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cc53a5a47647b0" /></Relationships>
</file>

<file path=xl/workbook.xml><?xml version="1.0" encoding="utf-8"?>
<x:workbook xmlns:x="http://schemas.openxmlformats.org/spreadsheetml/2006/main">
  <x:sheets>
    <x:sheet xmlns:r="http://schemas.openxmlformats.org/officeDocument/2006/relationships" name="START_HIER" sheetId="1" r:id="R40467197ecb24fb3"/>
    <x:sheet xmlns:r="http://schemas.openxmlformats.org/officeDocument/2006/relationships" name="DASHBOARD" sheetId="2" r:id="Rdffdbe6933c349e1"/>
    <x:sheet xmlns:r="http://schemas.openxmlformats.org/officeDocument/2006/relationships" name="FRAGEN_MASTER" sheetId="3" r:id="Rc4d49a02ce654ebc"/>
    <x:sheet xmlns:r="http://schemas.openxmlformats.org/officeDocument/2006/relationships" name="KAPITEL_QA" sheetId="4" r:id="R863879951f4340eb"/>
    <x:sheet xmlns:r="http://schemas.openxmlformats.org/officeDocument/2006/relationships" name="FAITHPATH_IMPORT" sheetId="5" r:id="R1b1d420a7d72491b"/>
    <x:sheet xmlns:r="http://schemas.openxmlformats.org/officeDocument/2006/relationships" name="BUCH_STATUS" sheetId="6" r:id="Rd6f4ab851a174abd"/>
    <x:sheet xmlns:r="http://schemas.openxmlformats.org/officeDocument/2006/relationships" name="LOOKUPS" sheetId="7" r:id="Recaa54d315b64bbb"/>
    <x:sheet xmlns:r="http://schemas.openxmlformats.org/officeDocument/2006/relationships" name="QUELLEN" sheetId="8" r:id="Rb70abc0b26cc4238"/>
    <x:sheet xmlns:r="http://schemas.openxmlformats.org/officeDocument/2006/relationships" name="REGRESSION_REPORT" sheetId="9" r:id="R1ccfdbf159a84e8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8">
    <x:font>
      <x:sz val="11"/>
      <x:name val="Carlito"/>
    </x:font>
    <x:font>
      <x:b/>
      <x:sz val="18"/>
      <x:color rgb="FFFFFFFF"/>
      <x:name val="Carlito"/>
    </x:font>
    <x:font>
      <x:b/>
      <x:sz val="11"/>
      <x:color rgb="FF2E332F"/>
      <x:name val="Carlito"/>
    </x:font>
    <x:font>
      <x:sz val="11"/>
      <x:color rgb="FF2E332F"/>
      <x:name val="Carlito"/>
    </x:font>
    <x:font>
      <x:b/>
      <x:sz val="11"/>
      <x:color rgb="FFFFFFFF"/>
      <x:name val="Carlito"/>
    </x:font>
    <x:font>
      <x:b/>
      <x:sz val="11"/>
      <x:color rgb="FF223F33"/>
      <x:name val="Carlito"/>
    </x:font>
    <x:font>
      <x:b/>
      <x:sz val="15"/>
      <x:color rgb="FFFFFFFF"/>
      <x:name val="Carlito"/>
    </x:font>
    <x:font>
      <x:b/>
      <x:sz val="11"/>
      <x:name val="Carlito"/>
    </x:font>
  </x:fonts>
  <x:fills count="11">
    <x:fill>
      <x:patternFill patternType="none"/>
    </x:fill>
    <x:fill>
      <x:patternFill patternType="gray125"/>
    </x:fill>
    <x:fill>
      <x:patternFill patternType="solid">
        <x:fgColor rgb="FF223F33"/>
      </x:patternFill>
    </x:fill>
    <x:fill>
      <x:patternFill patternType="solid">
        <x:fgColor rgb="FFE8DCC5"/>
      </x:patternFill>
    </x:fill>
    <x:fill>
      <x:patternFill patternType="solid">
        <x:fgColor rgb="FFFBF8F1"/>
      </x:patternFill>
    </x:fill>
    <x:fill>
      <x:patternFill patternType="solid">
        <x:fgColor rgb="FF315B45"/>
      </x:patternFill>
    </x:fill>
    <x:fill>
      <x:patternFill patternType="solid">
        <x:fgColor rgb="FFB58B4F"/>
      </x:patternFill>
    </x:fill>
    <x:fill>
      <x:patternFill patternType="solid">
        <x:fgColor rgb="FFE5EEE7"/>
      </x:patternFill>
    </x:fill>
    <x:fill>
      <x:patternFill patternType="solid">
        <x:fgColor rgb="FF3F5132"/>
      </x:patternFill>
    </x:fill>
    <x:fill>
      <x:patternFill patternType="solid">
        <x:fgColor rgb="FFD9E2D0"/>
      </x:patternFill>
    </x:fill>
    <x:fill>
      <x:patternFill patternType="solid">
        <x:fgColor rgb="FFC7A65B"/>
      </x:patternFill>
    </x:fill>
  </x:fills>
  <x:borders count="2">
    <x:border/>
    <x:border/>
  </x:borders>
  <x:cellStyleXfs count="1">
    <x:xf numFmtId="0" fontId="0" fillId="0" borderId="0"/>
  </x:cellStyleXfs>
  <x:cellXfs count="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0" fillId="6" borderId="1" xfId="0" applyNumberFormat="1" applyFont="1" applyFill="1" applyBorder="1"/>
    <x:xf numFmtId="0" fontId="4" fillId="6" borderId="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1" xfId="0" applyNumberFormat="1" applyFont="1" applyFill="1" applyBorder="1"/>
    <x:xf numFmtId="0" fontId="4"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applyAlignment="1">
      <x:alignment wrapText="1"/>
    </x:xf>
    <x:xf numFmtId="0" fontId="1"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6" fillId="8" borderId="0" xfId="0" applyNumberFormat="1" applyFont="1" applyFill="1" applyBorder="1" applyAlignment="1">
      <x:alignment horizontal="center" vertical="center"/>
    </x:xf>
    <x:xf numFmtId="0" fontId="4" fillId="9" borderId="0" xfId="0" applyNumberFormat="1" applyFont="1" applyFill="1" applyBorder="1"/>
    <x:xf numFmtId="0" fontId="4" fillId="9" borderId="0" xfId="0" applyNumberFormat="1" applyFont="1" applyFill="1" applyBorder="1" applyAlignment="1">
      <x:alignment horizontal="center"/>
    </x:xf>
    <x:xf numFmtId="0" fontId="4" fillId="10" borderId="0" xfId="0" applyNumberFormat="1" applyFont="1" applyFill="1" applyBorder="1"/>
    <x:xf numFmtId="0" fontId="6" fillId="8" borderId="0" xfId="0" applyNumberFormat="1" applyFont="1" applyFill="1" applyBorder="1" applyAlignment="1">
      <x:alignment horizontal="center" vertical="center" wrapText="1"/>
    </x:xf>
    <x:xf numFmtId="0" fontId="4" fillId="9" borderId="0" xfId="0" applyNumberFormat="1" applyFont="1" applyFill="1" applyBorder="1" applyAlignment="1">
      <x:alignment horizontal="center" wrapText="1"/>
    </x:xf>
    <x:xf numFmtId="0" fontId="2" fillId="3" borderId="0" xfId="0" applyNumberFormat="1" applyFont="1" applyFill="1" applyBorder="1" applyAlignment="1">
      <x:alignment wrapText="1"/>
    </x:xf>
    <x:xf numFmtId="0" fontId="5" fillId="7" borderId="0" xfId="0" applyNumberFormat="1" applyFont="1" applyFill="1" applyBorder="1" applyAlignment="1">
      <x:alignment wrapText="1"/>
    </x:xf>
    <x:xf numFmtId="0" fontId="4" fillId="10" borderId="0" xfId="0" applyNumberFormat="1" applyFont="1" applyFill="1" applyBorder="1" applyAlignment="1">
      <x:alignment wrapText="1"/>
    </x:xf>
    <x:xf numFmtId="0" fontId="0" fillId="8" borderId="0" xfId="0" applyNumberFormat="1" applyFont="1" applyFill="1" applyBorder="1"/>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0" fillId="10" borderId="0" xfId="0" applyNumberFormat="1" applyFont="1" applyFill="1" applyBorder="1"/>
    <x:xf numFmtId="0" fontId="7" fillId="9" borderId="0" xfId="0" applyNumberFormat="1" applyFont="1" applyFill="1" applyBorder="1" applyAlignment="1">
      <x:alignment horizontal="center" wrapText="1"/>
    </x:xf>
  </x:cellXfs>
  <x:cellStyles count="1">
    <x:cellStyle name="Normal" xfId="0"/>
  </x:cellStyles>
  <x:dxfs count="8">
    <x:dxf>
      <x:fill>
        <x:patternFill>
          <x:bgColor rgb="FFF7E2DE"/>
        </x:patternFill>
      </x:fill>
    </x:dxf>
    <x:dxf>
      <x:font>
        <x:b/>
        <x:color rgb="FF223F33"/>
      </x:font>
      <x:fill>
        <x:patternFill>
          <x:bgColor rgb="FFE5EEE7"/>
        </x:patternFill>
      </x:fill>
    </x:dxf>
    <x:dxf>
      <x:font>
        <x:b/>
        <x:color rgb="FF223F33"/>
      </x:font>
      <x:fill>
        <x:patternFill>
          <x:bgColor rgb="FFE5EEE7"/>
        </x:patternFill>
      </x:fill>
    </x:dxf>
    <x:dxf>
      <x:font>
        <x:color rgb="FF66706A"/>
      </x:font>
      <x:fill>
        <x:patternFill>
          <x:bgColor rgb="FFECEDE9"/>
        </x:patternFill>
      </x:fill>
    </x:dxf>
    <x:dxf>
      <x:font>
        <x:b/>
        <x:color rgb="FF223F33"/>
      </x:font>
      <x:fill>
        <x:patternFill>
          <x:bgColor rgb="FFE5EEE7"/>
        </x:patternFill>
      </x:fill>
    </x:dxf>
    <x:dxf>
      <x:font>
        <x:b/>
        <x:color rgb="FF223F33"/>
      </x:font>
      <x:fill>
        <x:patternFill>
          <x:bgColor rgb="FFE5EEE7"/>
        </x:patternFill>
      </x:fill>
    </x:dxf>
    <x:dxf>
      <x:font>
        <x:color rgb="FF66706A"/>
      </x:font>
      <x:fill>
        <x:patternFill>
          <x:bgColor rgb="FFECEDE9"/>
        </x:patternFill>
      </x:fill>
    </x:dxf>
    <x:dxf>
      <x:fill>
        <x:patternFill patternType="solid">
          <x:bgColor rgb="FFDCE6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2b6165d255a4a97" /><Relationship Type="http://schemas.openxmlformats.org/officeDocument/2006/relationships/theme" Target="/xl/theme/theme1.xml" Id="R02f7a782afaf4e32" /><Relationship Type="http://schemas.openxmlformats.org/officeDocument/2006/relationships/sharedStrings" Target="/xl/sharedStrings.xml" Id="Rb6e01d3368184268" /><Relationship Type="http://schemas.openxmlformats.org/officeDocument/2006/relationships/worksheet" Target="/xl/worksheets/sheet1.xml" Id="R40467197ecb24fb3" /><Relationship Type="http://schemas.openxmlformats.org/officeDocument/2006/relationships/worksheet" Target="/xl/worksheets/sheet2.xml" Id="Rdffdbe6933c349e1" /><Relationship Type="http://schemas.openxmlformats.org/officeDocument/2006/relationships/worksheet" Target="/xl/worksheets/sheet3.xml" Id="Rc4d49a02ce654ebc" /><Relationship Type="http://schemas.openxmlformats.org/officeDocument/2006/relationships/worksheet" Target="/xl/worksheets/sheet4.xml" Id="R863879951f4340eb" /><Relationship Type="http://schemas.openxmlformats.org/officeDocument/2006/relationships/worksheet" Target="/xl/worksheets/sheet5.xml" Id="R1b1d420a7d72491b" /><Relationship Type="http://schemas.openxmlformats.org/officeDocument/2006/relationships/worksheet" Target="/xl/worksheets/sheet6.xml" Id="Rd6f4ab851a174abd" /><Relationship Type="http://schemas.openxmlformats.org/officeDocument/2006/relationships/worksheet" Target="/xl/worksheets/sheet7.xml" Id="Recaa54d315b64bbb" /><Relationship Type="http://schemas.openxmlformats.org/officeDocument/2006/relationships/worksheet" Target="/xl/worksheets/sheet8.xml" Id="Rb70abc0b26cc4238" /><Relationship Type="http://schemas.openxmlformats.org/officeDocument/2006/relationships/worksheet" Target="/xl/worksheets/sheet9.xml" Id="R1ccfdbf159a84e8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5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47" t="str">
        <x:v>FaithPath · Kapitelfragen – FINALER NT-Redaktionsmaster</x:v>
      </x:c>
      <x:c r="B1" s="47"/>
      <x:c r="C1" s="47"/>
      <x:c r="D1" s="47"/>
      <x:c r="E1" s="47"/>
      <x:c r="F1" s="47"/>
      <x:c r="G1" s="47"/>
      <x:c r="H1" s="47"/>
    </x:row>
    <x:row r="2">
      <x:c r="A2"/>
      <x:c r="B2"/>
      <x:c r="C2"/>
      <x:c r="D2"/>
      <x:c r="E2"/>
      <x:c r="F2"/>
      <x:c r="G2"/>
      <x:c r="H2"/>
    </x:row>
    <x:row r="3">
      <x:c r="A3" s="7" t="str">
        <x:v>Zweck</x:v>
      </x:c>
      <x:c r="B3" s="12" t="str">
        <x:v>Finale redaktionelle Fassung der 1.300 NT-Kapitelfragen – bereit für technischen Import und Regression.</x:v>
      </x:c>
      <x:c r="C3"/>
      <x:c r="D3" s="17" t="str">
        <x:v>Qualitätsraster</x:v>
      </x:c>
      <x:c r="E3" s="17"/>
      <x:c r="F3" s="17"/>
      <x:c r="G3" s="17"/>
      <x:c r="H3" s="17"/>
    </x:row>
    <x:row r="4">
      <x:c r="A4" s="7" t="str">
        <x:v>Umfang</x:v>
      </x:c>
      <x:c r="B4" s="12" t="str">
        <x:v>FP-0261 bis FP-1560 · 260 NT-Kapitel · 5 Fragen je Kapitel.</x:v>
      </x:c>
      <x:c r="C4"/>
      <x:c r="D4" s="20" t="str">
        <x:v>1</x:v>
      </x:c>
      <x:c r="E4" s="20" t="str">
        <x:v>Texttreue</x:v>
      </x:c>
      <x:c r="F4" s="20" t="str">
        <x:v>Im Kapitel eindeutig belegbar</x:v>
      </x:c>
      <x:c r="G4" s="20" t="str">
        <x:v>Pflicht</x:v>
      </x:c>
      <x:c r="H4" s="20" t="str">
        <x:v>JA</x:v>
      </x:c>
    </x:row>
    <x:row r="5">
      <x:c r="A5" s="7" t="str">
        <x:v>Aktueller Stand</x:v>
      </x:c>
      <x:c r="B5" s="12" t="str">
        <x:v>1.300/1.300 Fragen · 260/260 Kapitel · 27/27 NT-Bücher FREIGEGEBEN.</x:v>
      </x:c>
      <x:c r="C5"/>
      <x:c r="D5" s="20" t="str">
        <x:v>2</x:v>
      </x:c>
      <x:c r="E5" s="20" t="str">
        <x:v>Eindeutigkeit</x:v>
      </x:c>
      <x:c r="F5" s="20" t="str">
        <x:v>Genau eine Option richtig</x:v>
      </x:c>
      <x:c r="G5" s="20" t="str">
        <x:v>Pflicht</x:v>
      </x:c>
      <x:c r="H5" s="20" t="str">
        <x:v>JA</x:v>
      </x:c>
    </x:row>
    <x:row r="6">
      <x:c r="A6" s="7" t="str">
        <x:v>Arbeitsprinzip</x:v>
      </x:c>
      <x:c r="B6" s="12" t="str">
        <x:v>Buch für Buch geprüft; repetitive Wiedererkennungsfragen durch textnahe Verständnisfragen ersetzt.</x:v>
      </x:c>
      <x:c r="C6"/>
      <x:c r="D6" s="20" t="str">
        <x:v>3</x:v>
      </x:c>
      <x:c r="E6" s="20" t="str">
        <x:v>Distraktoren</x:v>
      </x:c>
      <x:c r="F6" s="20" t="str">
        <x:v>Plausibel, aber klar falsch</x:v>
      </x:c>
      <x:c r="G6" s="20" t="str">
        <x:v>Pflicht</x:v>
      </x:c>
      <x:c r="H6" s="20" t="str">
        <x:v>JA</x:v>
      </x:c>
    </x:row>
    <x:row r="7">
      <x:c r="A7" s="7" t="str">
        <x:v>Fix</x:v>
      </x:c>
      <x:c r="B7" s="12" t="str">
        <x:v>FP-ID, Buch, Kapitel, Frage-Nr. 1–5 und Gesamtanzahl unverändert.</x:v>
      </x:c>
      <x:c r="C7"/>
      <x:c r="D7" s="20" t="str">
        <x:v>4</x:v>
      </x:c>
      <x:c r="E7" s="20" t="str">
        <x:v>Abwechslung</x:v>
      </x:c>
      <x:c r="F7" s="20" t="str">
        <x:v>Keine fünf identischen Frageformen</x:v>
      </x:c>
      <x:c r="G7" s="20" t="str">
        <x:v>Pflicht</x:v>
      </x:c>
      <x:c r="H7" s="20" t="str">
        <x:v>JA</x:v>
      </x:c>
    </x:row>
    <x:row r="8">
      <x:c r="A8" s="7" t="str">
        <x:v>Pro Frage</x:v>
      </x:c>
      <x:c r="B8" s="12" t="str">
        <x:v>4 Optionen · genau 1 richtige Antwort · Bibelreferenz · kurze Erklärung.</x:v>
      </x:c>
      <x:c r="C8"/>
      <x:c r="D8" s="20" t="str">
        <x:v>5</x:v>
      </x:c>
      <x:c r="E8" s="20" t="str">
        <x:v>Verständnis</x:v>
      </x:c>
      <x:c r="F8" s="20" t="str">
        <x:v>Mehr als bloße Zitat-Erkennung, wo sinnvoll</x:v>
      </x:c>
      <x:c r="G8" s="20" t="str">
        <x:v>Ziel</x:v>
      </x:c>
      <x:c r="H8" s="20" t="str">
        <x:v>JA</x:v>
      </x:c>
    </x:row>
    <x:row r="9">
      <x:c r="A9" s="7" t="str">
        <x:v>Prüfbasis</x:v>
      </x:c>
      <x:c r="B9" s="12" t="str">
        <x:v>FaithPath lokale Bibeltexte: Luther 1912 + OTB.</x:v>
      </x:c>
      <x:c r="C9"/>
      <x:c r="D9" s="20" t="str">
        <x:v>6</x:v>
      </x:c>
      <x:c r="E9" s="20" t="str">
        <x:v>Erklärung</x:v>
      </x:c>
      <x:c r="F9" s="20" t="str">
        <x:v>Kurzer echter Mehrwert</x:v>
      </x:c>
      <x:c r="G9" s="20" t="str">
        <x:v>Pflicht</x:v>
      </x:c>
      <x:c r="H9" s="20" t="str">
        <x:v>JA</x:v>
      </x:c>
    </x:row>
    <x:row r="10">
      <x:c r="A10" s="7" t="str">
        <x:v>Freigabe</x:v>
      </x:c>
      <x:c r="B10" s="12" t="str">
        <x:v>Alle 1.300 Fragen stehen auf FREIGEGEBEN / Import_Bereit = JA.</x:v>
      </x:c>
      <x:c r="C10"/>
      <x:c r="D10" s="20" t="str">
        <x:v>7</x:v>
      </x:c>
      <x:c r="E10" s="20" t="str">
        <x:v>Übersetzung</x:v>
      </x:c>
      <x:c r="F10" s="20" t="str">
        <x:v>Möglichst nicht an Einzelwortlaut gebunden</x:v>
      </x:c>
      <x:c r="G10" s="20" t="str">
        <x:v>Ziel</x:v>
      </x:c>
      <x:c r="H10" s="20" t="str">
        <x:v>JA</x:v>
      </x:c>
    </x:row>
    <x:row r="11">
      <x:c r="A11" s="7" t="str">
        <x:v>Import</x:v>
      </x:c>
      <x:c r="B11" s="12" t="str">
        <x:v>FAITHPATH_IMPORT ist die normalisierte Übergabeschicht für Codex.</x:v>
      </x:c>
      <x:c r="C11"/>
      <x:c r="D11"/>
      <x:c r="E11"/>
      <x:c r="F11"/>
      <x:c r="G11"/>
      <x:c r="H11"/>
    </x:row>
    <x:row r="12">
      <x:c r="A12" s="7" t="str">
        <x:v>Nächster Schritt</x:v>
      </x:c>
      <x:c r="B12" s="12" t="str">
        <x:v>Codex-/App-Import auf Basis von FAITHPATH_IMPORT; danach UI-Smoke-Test im veröffentlichten Build.</x:v>
      </x:c>
      <x:c r="C12"/>
      <x:c r="D12"/>
      <x:c r="E12"/>
      <x:c r="F12"/>
      <x:c r="G12"/>
      <x:c r="H12"/>
    </x:row>
    <x:row r="13">
      <x:c r="A13" s="7" t="str">
        <x:v>Hinweis</x:v>
      </x:c>
      <x:c r="B13" s="12" t="str">
        <x:v>Offenbarung wurde bewusst textnah und ohne unnötige Festlegung auf ein bestimmtes Endzeitmodell formuliert.</x:v>
      </x:c>
      <x:c r="C13"/>
      <x:c r="D13"/>
      <x:c r="E13"/>
      <x:c r="F13"/>
      <x:c r="G13"/>
      <x:c r="H13"/>
    </x:row>
  </x:sheetData>
  <x:mergeCells>
    <x:mergeCell ref="A1:H1"/>
    <x:mergeCell ref="D3:H3"/>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28" hidden="0" customWidth="1"/>
    <x:col min="4" max="4" width="24" hidden="0" customWidth="1"/>
    <x:col min="5" max="5" width="12" hidden="0" customWidth="1"/>
    <x:col min="6" max="6" width="18" hidden="0" customWidth="1"/>
    <x:col min="3" max="3" width="4" hidden="0" customWidth="1"/>
  </x:cols>
  <x:sheetData>
    <x:row r="1" ht="34" customHeight="1">
      <x:c r="A1" s="51" t="str">
        <x:v>FaithPath · Kapitelfragen QA Dashboard · FINAL</x:v>
      </x:c>
      <x:c r="B1" s="51"/>
      <x:c r="C1" s="51"/>
      <x:c r="D1" s="51"/>
      <x:c r="E1" s="51"/>
      <x:c r="F1" s="51"/>
      <x:c r="G1" s="3"/>
      <x:c r="H1" s="3"/>
    </x:row>
    <x:row r="2">
      <x:c r="A2" s="36"/>
      <x:c r="B2" s="36"/>
      <x:c r="C2" s="36"/>
      <x:c r="D2" s="36"/>
      <x:c r="E2" s="36"/>
      <x:c r="F2" s="36"/>
    </x:row>
    <x:row r="3">
      <x:c r="A3" s="52" t="str">
        <x:v>Kennzahl</x:v>
      </x:c>
      <x:c r="B3" s="52" t="str">
        <x:v>Wert</x:v>
      </x:c>
      <x:c r="C3" s="36"/>
      <x:c r="D3" s="52" t="str">
        <x:v>Buch</x:v>
      </x:c>
      <x:c r="E3" s="52" t="str">
        <x:v>Fragen</x:v>
      </x:c>
      <x:c r="F3" s="52" t="str">
        <x:v>Status</x:v>
      </x:c>
      <x:c r="G3" s="25"/>
      <x:c r="H3" s="25"/>
    </x:row>
    <x:row r="4">
      <x:c r="A4" s="36" t="str">
        <x:v>Fragen gesamt</x:v>
      </x:c>
      <x:c r="B4" s="36" t="n">
        <x:f>SUM(BUCH_STATUS!D2:D28)</x:f>
        <x:v>1300</x:v>
      </x:c>
      <x:c r="C4" s="36"/>
      <x:c r="D4" s="53" t="str">
        <x:v>Matthäus</x:v>
      </x:c>
      <x:c r="E4" s="53" t="n">
        <x:v>140</x:v>
      </x:c>
      <x:c r="F4" s="53" t="str">
        <x:v>FREIGEGEBEN</x:v>
      </x:c>
    </x:row>
    <x:row r="5">
      <x:c r="A5" s="36" t="str">
        <x:v>Kapitel gesamt</x:v>
      </x:c>
      <x:c r="B5" s="36" t="n">
        <x:f>SUM(BUCH_STATUS!C2:C28)</x:f>
        <x:v>260</x:v>
      </x:c>
      <x:c r="C5" s="36"/>
      <x:c r="D5" s="36" t="str">
        <x:v>Markus</x:v>
      </x:c>
      <x:c r="E5" s="36" t="n">
        <x:v>80</x:v>
      </x:c>
      <x:c r="F5" s="54" t="str">
        <x:v>FREIGEGEBEN</x:v>
      </x:c>
    </x:row>
    <x:row r="6">
      <x:c r="A6" s="36" t="str">
        <x:v>Freigegeben</x:v>
      </x:c>
      <x:c r="B6" s="36" t="n">
        <x:f>SUM(BUCH_STATUS!F2:F28)</x:f>
        <x:v>1300</x:v>
      </x:c>
      <x:c r="C6" s="36"/>
      <x:c r="D6" s="36" t="str">
        <x:v>Lukas</x:v>
      </x:c>
      <x:c r="E6" s="36" t="n">
        <x:v>120</x:v>
      </x:c>
      <x:c r="F6" s="54" t="str">
        <x:v>FREIGEGEBEN</x:v>
      </x:c>
    </x:row>
    <x:row r="7">
      <x:c r="A7" s="36" t="str">
        <x:v>Noch offen</x:v>
      </x:c>
      <x:c r="B7" s="36" t="n">
        <x:f>B4-B6</x:f>
        <x:v>0</x:v>
      </x:c>
      <x:c r="C7" s="36"/>
      <x:c r="D7" s="36" t="str">
        <x:v>Johannes</x:v>
      </x:c>
      <x:c r="E7" s="36" t="n">
        <x:v>105</x:v>
      </x:c>
      <x:c r="F7" s="54" t="str">
        <x:v>FREIGEGEBEN</x:v>
      </x:c>
    </x:row>
    <x:row r="8">
      <x:c r="A8" s="36" t="str">
        <x:v>Bücher fertig</x:v>
      </x:c>
      <x:c r="B8" s="36" t="n">
        <x:f>COUNTIF(BUCH_STATUS!I2:I28,"FREIGEGEBEN")</x:f>
        <x:v>27</x:v>
      </x:c>
      <x:c r="C8" s="36"/>
      <x:c r="D8" s="36" t="str">
        <x:v>Apostelgeschichte</x:v>
      </x:c>
      <x:c r="E8" s="36" t="n">
        <x:v>140</x:v>
      </x:c>
      <x:c r="F8" s="54" t="str">
        <x:v>FREIGEGEBEN</x:v>
      </x:c>
    </x:row>
    <x:row r="9">
      <x:c r="A9" s="36" t="str">
        <x:v>Bücher offen</x:v>
      </x:c>
      <x:c r="B9" s="36" t="n">
        <x:f>27-B8</x:f>
        <x:v>0</x:v>
      </x:c>
      <x:c r="C9" s="36"/>
      <x:c r="D9" s="36" t="str">
        <x:v>Römer</x:v>
      </x:c>
      <x:c r="E9" s="36" t="n">
        <x:v>80</x:v>
      </x:c>
      <x:c r="F9" s="36" t="str">
        <x:v>FREIGEGEBEN</x:v>
      </x:c>
    </x:row>
    <x:row r="10">
      <x:c r="A10" s="36" t="str">
        <x:v>Fortschritt</x:v>
      </x:c>
      <x:c r="B10" s="43" t="n">
        <x:f>B6/B4</x:f>
        <x:v>1</x:v>
      </x:c>
      <x:c r="C10" s="36"/>
      <x:c r="D10" s="36" t="str">
        <x:v>1. Korinther</x:v>
      </x:c>
      <x:c r="E10" s="36" t="n">
        <x:v>80</x:v>
      </x:c>
      <x:c r="F10" s="36" t="str">
        <x:v>FREIGEGEBEN</x:v>
      </x:c>
    </x:row>
    <x:row r="11">
      <x:c r="A11" s="36"/>
      <x:c r="B11" s="36"/>
      <x:c r="C11" s="36"/>
      <x:c r="D11" s="36" t="str">
        <x:v>2. Korinther</x:v>
      </x:c>
      <x:c r="E11" s="36" t="n">
        <x:v>65</x:v>
      </x:c>
      <x:c r="F11" s="36" t="str">
        <x:v>FREIGEGEBEN</x:v>
      </x:c>
    </x:row>
    <x:row r="12">
      <x:c r="A12" s="55" t="str">
        <x:v>Finaler Befund</x:v>
      </x:c>
      <x:c r="B12" s="55"/>
      <x:c r="C12" s="55"/>
      <x:c r="D12" s="55"/>
      <x:c r="E12" s="55"/>
      <x:c r="F12" s="55"/>
      <x:c r="G12" s="17"/>
      <x:c r="H12" s="17"/>
    </x:row>
    <x:row r="13">
      <x:c r="A13" s="12" t="str">
        <x:v>NT-KAPITELFRAGEN ABGESCHLOSSEN: 1.300/1.300 Fragen, 260/260 Kapitel, 27/27 Bücher. FAITHPATH_IMPORT ist vollständig zusammengeführt.</x:v>
      </x:c>
      <x:c r="B13" s="12"/>
      <x:c r="C13" s="12"/>
      <x:c r="D13" s="12"/>
      <x:c r="E13" s="12"/>
      <x:c r="F13" s="12"/>
      <x:c r="G13" s="12"/>
      <x:c r="H13" s="12"/>
    </x:row>
    <x:row r="14">
      <x:c r="A14" s="12" t="str">
        <x:v>Qualitätspatch</x:v>
      </x:c>
      <x:c r="B14" s="12" t="str">
        <x:v>Antwortpositionen zusätzlich in Markus sowie Galater, Epheser, Philipper und Kolosser ausgeglichen; FP-1124 übersetzungsneutral präzisiert.</x:v>
      </x:c>
      <x:c r="C14" s="12"/>
      <x:c r="D14" s="12"/>
      <x:c r="E14" s="12"/>
      <x:c r="F14" s="12"/>
      <x:c r="G14" s="12"/>
      <x:c r="H14" s="12"/>
    </x:row>
    <x:row r="15">
      <x:c r="A15" s="12"/>
      <x:c r="B15" s="12"/>
      <x:c r="C15" s="12"/>
      <x:c r="D15" s="12" t="str">
        <x:v>Kolosser</x:v>
      </x:c>
      <x:c r="E15" s="12" t="n">
        <x:v>20</x:v>
      </x:c>
      <x:c r="F15" s="12" t="str">
        <x:v>FREIGEGEBEN</x:v>
      </x:c>
      <x:c r="G15" s="12"/>
      <x:c r="H15" s="12"/>
    </x:row>
    <x:row r="16">
      <x:c r="A16" s="12"/>
      <x:c r="B16" s="12"/>
      <x:c r="C16" s="12"/>
      <x:c r="D16" s="12" t="str">
        <x:v>1. Thessalonicher</x:v>
      </x:c>
      <x:c r="E16" s="12" t="n">
        <x:v>25</x:v>
      </x:c>
      <x:c r="F16" s="12" t="str">
        <x:v>FREIGEGEBEN</x:v>
      </x:c>
      <x:c r="G16" s="12"/>
      <x:c r="H16" s="12"/>
    </x:row>
    <x:row r="17">
      <x:c r="A17" s="36"/>
      <x:c r="B17" s="36"/>
      <x:c r="C17" s="36"/>
      <x:c r="D17" s="36" t="str">
        <x:v>2. Thessalonicher</x:v>
      </x:c>
      <x:c r="E17" s="36" t="n">
        <x:v>15</x:v>
      </x:c>
      <x:c r="F17" s="36" t="str">
        <x:v>FREIGEGEBEN</x:v>
      </x:c>
    </x:row>
    <x:row r="18">
      <x:c r="A18" s="36"/>
      <x:c r="B18" s="36"/>
      <x:c r="C18" s="36"/>
      <x:c r="D18" s="36" t="str">
        <x:v>1. Timotheus</x:v>
      </x:c>
      <x:c r="E18" s="36" t="n">
        <x:v>30</x:v>
      </x:c>
      <x:c r="F18" s="36" t="str">
        <x:v>FREIGEGEBEN</x:v>
      </x:c>
    </x:row>
    <x:row r="19">
      <x:c r="A19" s="36"/>
      <x:c r="B19" s="36"/>
      <x:c r="C19" s="36"/>
      <x:c r="D19" s="36" t="str">
        <x:v>2. Timotheus</x:v>
      </x:c>
      <x:c r="E19" s="36" t="n">
        <x:v>20</x:v>
      </x:c>
      <x:c r="F19" s="36" t="str">
        <x:v>FREIGEGEBEN</x:v>
      </x:c>
    </x:row>
    <x:row r="20">
      <x:c r="A20" s="36"/>
      <x:c r="B20" s="36"/>
      <x:c r="C20" s="36"/>
      <x:c r="D20" s="36" t="str">
        <x:v>Titus</x:v>
      </x:c>
      <x:c r="E20" s="36" t="n">
        <x:v>15</x:v>
      </x:c>
      <x:c r="F20" s="36" t="str">
        <x:v>FREIGEGEBEN</x:v>
      </x:c>
    </x:row>
    <x:row r="21">
      <x:c r="A21" s="36"/>
      <x:c r="B21" s="36"/>
      <x:c r="C21" s="36"/>
      <x:c r="D21" s="36" t="str">
        <x:v>Philemon</x:v>
      </x:c>
      <x:c r="E21" s="36" t="n">
        <x:v>5</x:v>
      </x:c>
      <x:c r="F21" s="36" t="str">
        <x:v>FREIGEGEBEN</x:v>
      </x:c>
    </x:row>
    <x:row r="22">
      <x:c r="A22" s="36"/>
      <x:c r="B22" s="36"/>
      <x:c r="C22" s="36"/>
      <x:c r="D22" s="36" t="str">
        <x:v>Hebräer</x:v>
      </x:c>
      <x:c r="E22" s="36" t="n">
        <x:v>65</x:v>
      </x:c>
      <x:c r="F22" s="36" t="str">
        <x:v>FREIGEGEBEN</x:v>
      </x:c>
    </x:row>
    <x:row r="23">
      <x:c r="A23" s="36"/>
      <x:c r="B23" s="36"/>
      <x:c r="C23" s="36"/>
      <x:c r="D23" s="36" t="str">
        <x:v>Jakobus</x:v>
      </x:c>
      <x:c r="E23" s="36" t="n">
        <x:v>25</x:v>
      </x:c>
      <x:c r="F23" s="36" t="str">
        <x:v>FREIGEGEBEN</x:v>
      </x:c>
    </x:row>
    <x:row r="24">
      <x:c r="A24" s="36"/>
      <x:c r="B24" s="36"/>
      <x:c r="C24" s="36"/>
      <x:c r="D24" s="36" t="str">
        <x:v>1. Petrus</x:v>
      </x:c>
      <x:c r="E24" s="36" t="n">
        <x:v>25</x:v>
      </x:c>
      <x:c r="F24" s="36" t="str">
        <x:v>FREIGEGEBEN</x:v>
      </x:c>
    </x:row>
    <x:row r="25">
      <x:c r="A25" s="36"/>
      <x:c r="B25" s="36"/>
      <x:c r="C25" s="36"/>
      <x:c r="D25" s="36" t="str">
        <x:v>2. Petrus</x:v>
      </x:c>
      <x:c r="E25" s="36" t="n">
        <x:v>15</x:v>
      </x:c>
      <x:c r="F25" s="36" t="str">
        <x:v>FREIGEGEBEN</x:v>
      </x:c>
    </x:row>
    <x:row r="26">
      <x:c r="A26" s="36"/>
      <x:c r="B26" s="36"/>
      <x:c r="C26" s="36"/>
      <x:c r="D26" s="36" t="str">
        <x:v>1. Johannes</x:v>
      </x:c>
      <x:c r="E26" s="36" t="n">
        <x:v>25</x:v>
      </x:c>
      <x:c r="F26" s="36" t="str">
        <x:v>FREIGEGEBEN</x:v>
      </x:c>
    </x:row>
    <x:row r="27">
      <x:c r="A27" s="36"/>
      <x:c r="B27" s="36"/>
      <x:c r="C27" s="36"/>
      <x:c r="D27" s="36" t="str">
        <x:v>2. Johannes</x:v>
      </x:c>
      <x:c r="E27" s="36" t="n">
        <x:v>5</x:v>
      </x:c>
      <x:c r="F27" s="36" t="str">
        <x:v>FREIGEGEBEN</x:v>
      </x:c>
    </x:row>
    <x:row r="28">
      <x:c r="A28" s="36"/>
      <x:c r="B28" s="36"/>
      <x:c r="C28" s="36"/>
      <x:c r="D28" s="36" t="str">
        <x:v>3. Johannes</x:v>
      </x:c>
      <x:c r="E28" s="36" t="n">
        <x:v>5</x:v>
      </x:c>
      <x:c r="F28" s="36" t="str">
        <x:v>FREIGEGEBEN</x:v>
      </x:c>
    </x:row>
    <x:row r="29">
      <x:c r="A29" s="36"/>
      <x:c r="B29" s="36"/>
      <x:c r="C29" s="36"/>
      <x:c r="D29" s="36" t="str">
        <x:v>Judas</x:v>
      </x:c>
      <x:c r="E29" s="36" t="n">
        <x:v>5</x:v>
      </x:c>
      <x:c r="F29" s="36" t="str">
        <x:v>FREIGEGEBEN</x:v>
      </x:c>
    </x:row>
    <x:row r="30">
      <x:c r="A30" s="36"/>
      <x:c r="B30" s="36"/>
      <x:c r="C30" s="36"/>
      <x:c r="D30" s="36" t="str">
        <x:v>Offenbarung</x:v>
      </x:c>
      <x:c r="E30" s="36" t="n">
        <x:v>110</x:v>
      </x:c>
      <x:c r="F30" s="36" t="str">
        <x:v>FREIGEGEBEN</x:v>
      </x:c>
    </x:row>
    <x:row r="31">
      <x:c r="A31" s="36"/>
      <x:c r="B31" s="36"/>
      <x:c r="C31" s="36"/>
      <x:c r="D31" s="36"/>
      <x:c r="E31" s="36"/>
      <x:c r="F31" s="36"/>
    </x:row>
  </x:sheetData>
  <x:mergeCells>
    <x:mergeCell ref="A1:H1"/>
    <x:mergeCell ref="D3:H3"/>
    <x:mergeCell ref="A12:H12"/>
    <x:mergeCell ref="A13:F13"/>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0" hidden="0" customWidth="1"/>
    <x:col min="3" max="3" width="19" hidden="0" customWidth="1"/>
    <x:col min="4" max="4" width="9" hidden="0" customWidth="1"/>
    <x:col min="5" max="5" width="9" hidden="0" customWidth="1"/>
    <x:col min="6" max="6" width="13" hidden="0" customWidth="1"/>
    <x:col min="7" max="7" width="12" hidden="0" customWidth="1"/>
    <x:col min="8" max="8" width="10" hidden="0" customWidth="1"/>
    <x:col min="9" max="9" width="38" hidden="0" customWidth="1"/>
    <x:col min="10" max="10" width="30" hidden="0" customWidth="1"/>
    <x:col min="11" max="11" width="20" hidden="0" customWidth="1"/>
    <x:col min="12" max="12" width="20" hidden="0" customWidth="1"/>
    <x:col min="13" max="13" width="14" hidden="0" customWidth="1"/>
    <x:col min="14" max="14" width="24" hidden="0" customWidth="1"/>
    <x:col min="15" max="15" width="24" hidden="0" customWidth="1"/>
    <x:col min="16" max="16" width="18" hidden="0" customWidth="1"/>
    <x:col min="17" max="17" width="42" hidden="0" customWidth="1"/>
    <x:col min="18" max="18" width="30" hidden="0" customWidth="1"/>
    <x:col min="19" max="19" width="30" hidden="0" customWidth="1"/>
    <x:col min="20" max="20" width="30" hidden="0" customWidth="1"/>
    <x:col min="21" max="21" width="30" hidden="0" customWidth="1"/>
    <x:col min="22" max="22" width="12" hidden="0" customWidth="1"/>
    <x:col min="23" max="23" width="32" hidden="0" customWidth="1"/>
    <x:col min="24" max="24" width="20" hidden="0" customWidth="1"/>
    <x:col min="25" max="25" width="42" hidden="0" customWidth="1"/>
    <x:col min="26" max="26" width="18" hidden="0" customWidth="1"/>
    <x:col min="27" max="27" width="14" hidden="0" customWidth="1"/>
    <x:col min="28" max="28" width="14" hidden="0" customWidth="1"/>
    <x:col min="29" max="29" width="18" hidden="0" customWidth="1"/>
    <x:col min="30" max="30" width="22" hidden="0" customWidth="1"/>
    <x:col min="31" max="31" width="22" hidden="0" customWidth="1"/>
    <x:col min="32" max="32" width="20" hidden="0" customWidth="1"/>
    <x:col min="33" max="33" width="15" hidden="0" customWidth="1"/>
    <x:col min="34" max="34" width="20" hidden="0" customWidth="1"/>
    <x:col min="35" max="35" width="18" hidden="0" customWidth="1"/>
    <x:col min="36" max="36" width="38" hidden="0" customWidth="1"/>
    <x:col min="37" max="37" width="48" hidden="0" customWidth="1"/>
    <x:col min="38" max="38" width="14" hidden="0" customWidth="1"/>
  </x:cols>
  <x:sheetData>
    <x:row r="1" ht="34" customHeight="1">
      <x:c r="A1" s="33" t="str">
        <x:v>FP_ID</x:v>
      </x:c>
      <x:c r="B1" s="33" t="str">
        <x:v>Book_Key</x:v>
      </x:c>
      <x:c r="C1" s="33" t="str">
        <x:v>Buch</x:v>
      </x:c>
      <x:c r="D1" s="33" t="str">
        <x:v>Kapitel</x:v>
      </x:c>
      <x:c r="E1" s="33" t="str">
        <x:v>Frage_Nr</x:v>
      </x:c>
      <x:c r="F1" s="33" t="str">
        <x:v>Chapter_Key</x:v>
      </x:c>
      <x:c r="G1" s="33" t="str">
        <x:v>Kapitel_Index</x:v>
      </x:c>
      <x:c r="H1" s="33" t="str">
        <x:v>Prüfblock</x:v>
      </x:c>
      <x:c r="I1" s="33" t="str">
        <x:v>Alt_Frage</x:v>
      </x:c>
      <x:c r="J1" s="33" t="str">
        <x:v>Alt_Richtige_Antwort</x:v>
      </x:c>
      <x:c r="K1" s="33" t="str">
        <x:v>Alt_Referenz</x:v>
      </x:c>
      <x:c r="L1" s="33" t="str">
        <x:v>Alt_Quelle_Status</x:v>
      </x:c>
      <x:c r="M1" s="33" t="str">
        <x:v>Entscheidung</x:v>
      </x:c>
      <x:c r="N1" s="33" t="str">
        <x:v>Problem_1</x:v>
      </x:c>
      <x:c r="O1" s="33" t="str">
        <x:v>Problem_2</x:v>
      </x:c>
      <x:c r="P1" s="33" t="str">
        <x:v>Fragetyp_neu</x:v>
      </x:c>
      <x:c r="Q1" s="33" t="str">
        <x:v>Neue_Frage</x:v>
      </x:c>
      <x:c r="R1" s="33" t="str">
        <x:v>Option_A</x:v>
      </x:c>
      <x:c r="S1" s="33" t="str">
        <x:v>Option_B</x:v>
      </x:c>
      <x:c r="T1" s="33" t="str">
        <x:v>Option_C</x:v>
      </x:c>
      <x:c r="U1" s="33" t="str">
        <x:v>Option_D</x:v>
      </x:c>
      <x:c r="V1" s="33" t="str">
        <x:v>Richtig_Index</x:v>
      </x:c>
      <x:c r="W1" s="33" t="str">
        <x:v>Richtige_Antwort</x:v>
      </x:c>
      <x:c r="X1" s="33" t="str">
        <x:v>Neue_Referenz</x:v>
      </x:c>
      <x:c r="Y1" s="33" t="str">
        <x:v>Neue_Erklärung</x:v>
      </x:c>
      <x:c r="Z1" s="33" t="str">
        <x:v>Übersetzungsneutral</x:v>
      </x:c>
      <x:c r="AA1" s="33" t="str">
        <x:v>L1912_geprüft</x:v>
      </x:c>
      <x:c r="AB1" s="33" t="str">
        <x:v>OTB_geprüft</x:v>
      </x:c>
      <x:c r="AC1" s="33" t="str">
        <x:v>Eindeutig_1_richtig</x:v>
      </x:c>
      <x:c r="AD1" s="33" t="str">
        <x:v>Distraktoren_plausibel</x:v>
      </x:c>
      <x:c r="AE1" s="33" t="str">
        <x:v>Keine_Dopplung_im_Kapitel</x:v>
      </x:c>
      <x:c r="AF1" s="33" t="str">
        <x:v>Erklärung_mehrwert</x:v>
      </x:c>
      <x:c r="AG1" s="33" t="str">
        <x:v>QA_Status</x:v>
      </x:c>
      <x:c r="AH1" s="33" t="str">
        <x:v>Reviewer</x:v>
      </x:c>
      <x:c r="AI1" s="33" t="str">
        <x:v>Freigabe</x:v>
      </x:c>
      <x:c r="AJ1" s="33" t="str">
        <x:v>Änderungsnotiz</x:v>
      </x:c>
      <x:c r="AK1" s="33" t="str">
        <x:v>Source_Basis</x:v>
      </x:c>
      <x:c r="AL1" s="33" t="str">
        <x:v>Import_Bereit</x:v>
      </x:c>
    </x:row>
    <x:row r="2">
      <x:c r="A2" t="str">
        <x:v>FP-0261</x:v>
      </x:c>
      <x:c r="B2" t="str">
        <x:v>MAT</x:v>
      </x:c>
      <x:c r="C2" t="str">
        <x:v>Matthäus</x:v>
      </x:c>
      <x:c r="D2" t="n">
        <x:v>1</x:v>
      </x:c>
      <x:c r="E2" t="n">
        <x:v>1</x:v>
      </x:c>
      <x:c r="F2" t="str">
        <x:v>MAT-001</x:v>
      </x:c>
      <x:c r="G2" t="n">
        <x:v>1</x:v>
      </x:c>
      <x:c r="H2" t="str">
        <x:v>CQ-A01</x:v>
      </x:c>
      <x:c r="I2" s="36" t="str">
        <x:v>Welche dieser Aussagen stammt aus Matthäus 1?</x:v>
      </x:c>
      <x:c r="J2" s="36" t="str"/>
      <x:c r="K2" s="36" t="str"/>
      <x:c r="L2" s="36" t="str">
        <x:v>REPO_VERIFIZIERT_FRAGEFORM</x:v>
      </x:c>
      <x:c r="M2" s="36" t="str">
        <x:v>ERSETZEN</x:v>
      </x:c>
      <x:c r="N2" s="36" t="str">
        <x:v>REPETITIVE_FRAGEFORM</x:v>
      </x:c>
      <x:c r="O2" s="36" t="str">
        <x:v>REINE_WIEDERERKENNUNG</x:v>
      </x:c>
      <x:c r="P2" s="36" t="str">
        <x:v>TEXTGENAUIGKEIT</x:v>
      </x:c>
      <x:c r="Q2" s="36" t="str">
        <x:v>Wie fasst Matthäus den Stammbaum Jesu in Vers 17 zusammen?</x:v>
      </x:c>
      <x:c r="R2" s="36" t="str">
        <x:v>In drei Abschnitten mit jeweils vierzehn Generationen.</x:v>
      </x:c>
      <x:c r="S2" s="36" t="str">
        <x:v>In zwei Abschnitten mit jeweils zwölf Generationen.</x:v>
      </x:c>
      <x:c r="T2" s="36" t="str">
        <x:v>In vier Abschnitten mit jeweils sieben Generationen.</x:v>
      </x:c>
      <x:c r="U2" s="36" t="str">
        <x:v>Als eine durchgehende Liste mit vierzig Generationen.</x:v>
      </x:c>
      <x:c r="V2" s="36" t="n">
        <x:v>0</x:v>
      </x:c>
      <x:c r="W2" s="36" t="str">
        <x:v>In drei Abschnitten mit jeweils vierzehn Generationen.</x:v>
      </x:c>
      <x:c r="X2" s="36" t="str">
        <x:v>Matthäus 1,17</x:v>
      </x:c>
      <x:c r="Y2" s="36" t="str">
        <x:v>Matthäus gliedert die Abstammung Jesu in drei Abschnitte: von Abraham bis David, von David bis zur Wegführung nach Babylon und von dort bis Christus – jeweils vierzehn Generationen.</x:v>
      </x:c>
      <x:c r="Z2" s="36" t="str">
        <x:v>JA</x:v>
      </x:c>
      <x:c r="AA2" s="36" t="str">
        <x:v>JA</x:v>
      </x:c>
      <x:c r="AB2" s="36" t="str">
        <x:v>JA</x:v>
      </x:c>
      <x:c r="AC2" s="36" t="str">
        <x:v>JA</x:v>
      </x:c>
      <x:c r="AD2" s="36" t="str">
        <x:v>JA</x:v>
      </x:c>
      <x:c r="AE2" s="36" t="str">
        <x:v>JA</x:v>
      </x:c>
      <x:c r="AF2" s="36" t="str">
        <x:v>JA</x:v>
      </x:c>
      <x:c r="AG2" s="36" t="str">
        <x:v>FREIGEGEBEN</x:v>
      </x:c>
      <x:c r="AH2" s="36" t="str">
        <x:v>GPT-5.6 Sol · Buchprüfung Matthäus · L1912/OTB</x:v>
      </x:c>
      <x:c r="AI2" s="36" t="str">
        <x:v>FREIGEGEBEN</x:v>
      </x:c>
      <x:c r="AJ2" s="36" t="str">
        <x:v>Matthäus 1: repetitive Wiedererkennungsfrage durch TEXTGENAUIGKEIT-Frage ersetzt.</x:v>
      </x:c>
      <x:c r="AK2" s="36" t="str">
        <x:v>FaithPath repo develop/v4 · data/bibles/l1912/MAT.json · data/bibles/otb/MAT.json</x:v>
      </x:c>
      <x:c r="AL2" t="str">
        <x:v>JA</x:v>
      </x:c>
    </x:row>
    <x:row r="3">
      <x:c r="A3" t="str">
        <x:v>FP-0262</x:v>
      </x:c>
      <x:c r="B3" t="str">
        <x:v>MAT</x:v>
      </x:c>
      <x:c r="C3" t="str">
        <x:v>Matthäus</x:v>
      </x:c>
      <x:c r="D3" t="n">
        <x:v>1</x:v>
      </x:c>
      <x:c r="E3" t="n">
        <x:v>2</x:v>
      </x:c>
      <x:c r="F3" t="str">
        <x:v>MAT-001</x:v>
      </x:c>
      <x:c r="G3" t="n">
        <x:v>1</x:v>
      </x:c>
      <x:c r="H3" t="str">
        <x:v>CQ-A01</x:v>
      </x:c>
      <x:c r="I3" s="36" t="str">
        <x:v>Welche dieser Aussagen stammt aus Matthäus 1?</x:v>
      </x:c>
      <x:c r="J3" s="36" t="str"/>
      <x:c r="K3" s="36" t="str"/>
      <x:c r="L3" s="36" t="str">
        <x:v>REPO_VERIFIZIERT_FRAGEFORM</x:v>
      </x:c>
      <x:c r="M3" s="36" t="str">
        <x:v>ERSETZEN</x:v>
      </x:c>
      <x:c r="N3" s="36" t="str">
        <x:v>REPETITIVE_FRAGEFORM</x:v>
      </x:c>
      <x:c r="O3" s="36" t="str">
        <x:v>REINE_WIEDERERKENNUNG</x:v>
      </x:c>
      <x:c r="P3" s="36" t="str">
        <x:v>PERSON_AUSSAGE</x:v>
      </x:c>
      <x:c r="Q3" s="36" t="str">
        <x:v>Warum wollte Josef Maria zunächst heimlich entlassen?</x:v>
      </x:c>
      <x:c r="R3" s="36" t="str">
        <x:v>Weil ein Engel ihm befohlen hatte, sie zu verlassen.</x:v>
      </x:c>
      <x:c r="S3" s="36" t="str">
        <x:v>Weil er sie nicht öffentlich beschämen wollte.</x:v>
      </x:c>
      <x:c r="T3" s="36" t="str">
        <x:v>Weil Maria nach Bethlehem ziehen wollte.</x:v>
      </x:c>
      <x:c r="U3" s="36" t="str">
        <x:v>Weil Herodes bereits nach dem Kind suchte.</x:v>
      </x:c>
      <x:c r="V3" s="36" t="n">
        <x:v>1</x:v>
      </x:c>
      <x:c r="W3" s="36" t="str">
        <x:v>Weil er sie nicht öffentlich beschämen wollte.</x:v>
      </x:c>
      <x:c r="X3" s="36" t="str">
        <x:v>Matthäus 1,19</x:v>
      </x:c>
      <x:c r="Y3" s="36" t="str">
        <x:v>Josef wird als gerecht beschrieben und wollte Maria nicht der öffentlichen Schande aussetzen. Deshalb dachte er daran, sich heimlich von ihr zu trennen.</x:v>
      </x:c>
      <x:c r="Z3" s="36" t="str">
        <x:v>JA</x:v>
      </x:c>
      <x:c r="AA3" s="36" t="str">
        <x:v>JA</x:v>
      </x:c>
      <x:c r="AB3" s="36" t="str">
        <x:v>JA</x:v>
      </x:c>
      <x:c r="AC3" s="36" t="str">
        <x:v>JA</x:v>
      </x:c>
      <x:c r="AD3" s="36" t="str">
        <x:v>JA</x:v>
      </x:c>
      <x:c r="AE3" s="36" t="str">
        <x:v>JA</x:v>
      </x:c>
      <x:c r="AF3" s="36" t="str">
        <x:v>JA</x:v>
      </x:c>
      <x:c r="AG3" s="36" t="str">
        <x:v>FREIGEGEBEN</x:v>
      </x:c>
      <x:c r="AH3" s="36" t="str">
        <x:v>GPT-5.6 Sol · Buchprüfung Matthäus · L1912/OTB</x:v>
      </x:c>
      <x:c r="AI3" s="36" t="str">
        <x:v>FREIGEGEBEN</x:v>
      </x:c>
      <x:c r="AJ3" s="36" t="str">
        <x:v>Matthäus 1: repetitive Wiedererkennungsfrage durch PERSON_AUSSAGE-Frage ersetzt.</x:v>
      </x:c>
      <x:c r="AK3" s="36" t="str">
        <x:v>FaithPath repo develop/v4 · data/bibles/l1912/MAT.json · data/bibles/otb/MAT.json</x:v>
      </x:c>
      <x:c r="AL3" t="str">
        <x:v>JA</x:v>
      </x:c>
    </x:row>
    <x:row r="4">
      <x:c r="A4" t="str">
        <x:v>FP-0263</x:v>
      </x:c>
      <x:c r="B4" t="str">
        <x:v>MAT</x:v>
      </x:c>
      <x:c r="C4" t="str">
        <x:v>Matthäus</x:v>
      </x:c>
      <x:c r="D4" t="n">
        <x:v>1</x:v>
      </x:c>
      <x:c r="E4" t="n">
        <x:v>3</x:v>
      </x:c>
      <x:c r="F4" t="str">
        <x:v>MAT-001</x:v>
      </x:c>
      <x:c r="G4" t="n">
        <x:v>1</x:v>
      </x:c>
      <x:c r="H4" t="str">
        <x:v>CQ-A01</x:v>
      </x:c>
      <x:c r="I4" s="36" t="str">
        <x:v>Welche dieser Aussagen stammt aus Matthäus 1?</x:v>
      </x:c>
      <x:c r="J4" s="36" t="str"/>
      <x:c r="K4" s="36" t="str"/>
      <x:c r="L4" s="36" t="str">
        <x:v>REPO_VERIFIZIERT_FRAGEFORM</x:v>
      </x:c>
      <x:c r="M4" s="36" t="str">
        <x:v>ERSETZEN</x:v>
      </x:c>
      <x:c r="N4" s="36" t="str">
        <x:v>REPETITIVE_FRAGEFORM</x:v>
      </x:c>
      <x:c r="O4" s="36" t="str">
        <x:v>REINE_WIEDERERKENNUNG</x:v>
      </x:c>
      <x:c r="P4" s="36" t="str">
        <x:v>ZUSAMMENHANG</x:v>
      </x:c>
      <x:c r="Q4" s="36" t="str">
        <x:v>Was erklärte der Engel Josef über Marias Schwangerschaft?</x:v>
      </x:c>
      <x:c r="R4" s="36" t="str">
        <x:v>Maria erwartet Zwillinge.</x:v>
      </x:c>
      <x:c r="S4" s="36" t="str">
        <x:v>Das Kind muss in Nazareth geboren werden.</x:v>
      </x:c>
      <x:c r="T4" s="36" t="str">
        <x:v>Das Kind ist vom Heiligen Geist.</x:v>
      </x:c>
      <x:c r="U4" s="36" t="str">
        <x:v>Josef soll Maria sofort nach Ägypten bringen.</x:v>
      </x:c>
      <x:c r="V4" s="36" t="n">
        <x:v>2</x:v>
      </x:c>
      <x:c r="W4" s="36" t="str">
        <x:v>Das Kind ist vom Heiligen Geist.</x:v>
      </x:c>
      <x:c r="X4" s="36" t="str">
        <x:v>Matthäus 1,20</x:v>
      </x:c>
      <x:c r="Y4" s="36" t="str">
        <x:v>Der Engel erklärt Josef, dass das Kind, das Maria erwartet, vom Heiligen Geist ist. Das beantwortet Josefs vorherige Sorge.</x:v>
      </x:c>
      <x:c r="Z4" s="36" t="str">
        <x:v>JA</x:v>
      </x:c>
      <x:c r="AA4" s="36" t="str">
        <x:v>JA</x:v>
      </x:c>
      <x:c r="AB4" s="36" t="str">
        <x:v>JA</x:v>
      </x:c>
      <x:c r="AC4" s="36" t="str">
        <x:v>JA</x:v>
      </x:c>
      <x:c r="AD4" s="36" t="str">
        <x:v>JA</x:v>
      </x:c>
      <x:c r="AE4" s="36" t="str">
        <x:v>JA</x:v>
      </x:c>
      <x:c r="AF4" s="36" t="str">
        <x:v>JA</x:v>
      </x:c>
      <x:c r="AG4" s="36" t="str">
        <x:v>FREIGEGEBEN</x:v>
      </x:c>
      <x:c r="AH4" s="36" t="str">
        <x:v>GPT-5.6 Sol · Buchprüfung Matthäus · L1912/OTB</x:v>
      </x:c>
      <x:c r="AI4" s="36" t="str">
        <x:v>FREIGEGEBEN</x:v>
      </x:c>
      <x:c r="AJ4" s="36" t="str">
        <x:v>Matthäus 1: repetitive Wiedererkennungsfrage durch ZUSAMMENHANG-Frage ersetzt.</x:v>
      </x:c>
      <x:c r="AK4" s="36" t="str">
        <x:v>FaithPath repo develop/v4 · data/bibles/l1912/MAT.json · data/bibles/otb/MAT.json</x:v>
      </x:c>
      <x:c r="AL4" t="str">
        <x:v>JA</x:v>
      </x:c>
    </x:row>
    <x:row r="5">
      <x:c r="A5" t="str">
        <x:v>FP-0264</x:v>
      </x:c>
      <x:c r="B5" t="str">
        <x:v>MAT</x:v>
      </x:c>
      <x:c r="C5" t="str">
        <x:v>Matthäus</x:v>
      </x:c>
      <x:c r="D5" t="n">
        <x:v>1</x:v>
      </x:c>
      <x:c r="E5" t="n">
        <x:v>4</x:v>
      </x:c>
      <x:c r="F5" t="str">
        <x:v>MAT-001</x:v>
      </x:c>
      <x:c r="G5" t="n">
        <x:v>1</x:v>
      </x:c>
      <x:c r="H5" t="str">
        <x:v>CQ-A01</x:v>
      </x:c>
      <x:c r="I5" s="36" t="str">
        <x:v>Welche dieser Aussagen stammt aus Matthäus 1?</x:v>
      </x:c>
      <x:c r="J5" s="36" t="str"/>
      <x:c r="K5" s="36" t="str"/>
      <x:c r="L5" s="36" t="str">
        <x:v>REPO_VERIFIZIERT_FRAGEFORM</x:v>
      </x:c>
      <x:c r="M5" s="36" t="str">
        <x:v>ERSETZEN</x:v>
      </x:c>
      <x:c r="N5" s="36" t="str">
        <x:v>REPETITIVE_FRAGEFORM</x:v>
      </x:c>
      <x:c r="O5" s="36" t="str">
        <x:v>REINE_WIEDERERKENNUNG</x:v>
      </x:c>
      <x:c r="P5" s="36" t="str">
        <x:v>KERNAUSSAGE</x:v>
      </x:c>
      <x:c r="Q5" s="36" t="str">
        <x:v>Warum sollte das Kind den Namen Jesus bekommen?</x:v>
      </x:c>
      <x:c r="R5" s="36" t="str">
        <x:v>Weil er König über Rom werden sollte.</x:v>
      </x:c>
      <x:c r="S5" s="36" t="str">
        <x:v>Weil der Name in Josefs Familie üblich war.</x:v>
      </x:c>
      <x:c r="T5" s="36" t="str">
        <x:v>Weil die Weisen diesen Namen vorgeschlagen hatten.</x:v>
      </x:c>
      <x:c r="U5" s="36" t="str">
        <x:v>Weil er sein Volk von ihren Sünden retten würde.</x:v>
      </x:c>
      <x:c r="V5" s="36" t="n">
        <x:v>3</x:v>
      </x:c>
      <x:c r="W5" s="36" t="str">
        <x:v>Weil er sein Volk von ihren Sünden retten würde.</x:v>
      </x:c>
      <x:c r="X5" s="36" t="str">
        <x:v>Matthäus 1,21</x:v>
      </x:c>
      <x:c r="Y5" s="36" t="str">
        <x:v>Der Engel verbindet den Namen Jesus unmittelbar mit seiner Aufgabe: Er wird sein Volk von ihren Sünden retten.</x:v>
      </x:c>
      <x:c r="Z5" s="36" t="str">
        <x:v>JA</x:v>
      </x:c>
      <x:c r="AA5" s="36" t="str">
        <x:v>JA</x:v>
      </x:c>
      <x:c r="AB5" s="36" t="str">
        <x:v>JA</x:v>
      </x:c>
      <x:c r="AC5" s="36" t="str">
        <x:v>JA</x:v>
      </x:c>
      <x:c r="AD5" s="36" t="str">
        <x:v>JA</x:v>
      </x:c>
      <x:c r="AE5" s="36" t="str">
        <x:v>JA</x:v>
      </x:c>
      <x:c r="AF5" s="36" t="str">
        <x:v>JA</x:v>
      </x:c>
      <x:c r="AG5" s="36" t="str">
        <x:v>FREIGEGEBEN</x:v>
      </x:c>
      <x:c r="AH5" s="36" t="str">
        <x:v>GPT-5.6 Sol · Buchprüfung Matthäus · L1912/OTB</x:v>
      </x:c>
      <x:c r="AI5" s="36" t="str">
        <x:v>FREIGEGEBEN</x:v>
      </x:c>
      <x:c r="AJ5" s="36" t="str">
        <x:v>Matthäus 1: repetitive Wiedererkennungsfrage durch KERNAUSSAGE-Frage ersetzt.</x:v>
      </x:c>
      <x:c r="AK5" s="36" t="str">
        <x:v>FaithPath repo develop/v4 · data/bibles/l1912/MAT.json · data/bibles/otb/MAT.json</x:v>
      </x:c>
      <x:c r="AL5" t="str">
        <x:v>JA</x:v>
      </x:c>
    </x:row>
    <x:row r="6">
      <x:c r="A6" t="str">
        <x:v>FP-0265</x:v>
      </x:c>
      <x:c r="B6" t="str">
        <x:v>MAT</x:v>
      </x:c>
      <x:c r="C6" t="str">
        <x:v>Matthäus</x:v>
      </x:c>
      <x:c r="D6" t="n">
        <x:v>1</x:v>
      </x:c>
      <x:c r="E6" t="n">
        <x:v>5</x:v>
      </x:c>
      <x:c r="F6" t="str">
        <x:v>MAT-001</x:v>
      </x:c>
      <x:c r="G6" t="n">
        <x:v>1</x:v>
      </x:c>
      <x:c r="H6" t="str">
        <x:v>CQ-A01</x:v>
      </x:c>
      <x:c r="I6" s="36" t="str">
        <x:v>Welche dieser Aussagen stammt aus Matthäus 1?</x:v>
      </x:c>
      <x:c r="J6" s="36" t="str"/>
      <x:c r="K6" s="36" t="str"/>
      <x:c r="L6" s="36" t="str">
        <x:v>REPO_VERIFIZIERT_FRAGEFORM</x:v>
      </x:c>
      <x:c r="M6" s="36" t="str">
        <x:v>ERSETZEN</x:v>
      </x:c>
      <x:c r="N6" s="36" t="str">
        <x:v>REPETITIVE_FRAGEFORM</x:v>
      </x:c>
      <x:c r="O6" s="36" t="str">
        <x:v>REINE_WIEDERERKENNUNG</x:v>
      </x:c>
      <x:c r="P6" s="36" t="str">
        <x:v>TEXTGENAUIGKEIT</x:v>
      </x:c>
      <x:c r="Q6" s="36" t="str">
        <x:v>Was bedeutet der Name Immanuel laut Matthäus 1?</x:v>
      </x:c>
      <x:c r="R6" s="36" t="str">
        <x:v>Gott mit uns.</x:v>
      </x:c>
      <x:c r="S6" s="36" t="str">
        <x:v>Gott ist König.</x:v>
      </x:c>
      <x:c r="T6" s="36" t="str">
        <x:v>Der Herr rettet.</x:v>
      </x:c>
      <x:c r="U6" s="36" t="str">
        <x:v>Friede auf Erden.</x:v>
      </x:c>
      <x:c r="V6" s="36" t="n">
        <x:v>0</x:v>
      </x:c>
      <x:c r="W6" s="36" t="str">
        <x:v>Gott mit uns.</x:v>
      </x:c>
      <x:c r="X6" s="36" t="str">
        <x:v>Matthäus 1,23</x:v>
      </x:c>
      <x:c r="Y6" s="36" t="str">
        <x:v>Matthäus erklärt den Namen Immanuel ausdrücklich mit „Gott mit uns“.</x:v>
      </x:c>
      <x:c r="Z6" s="36" t="str">
        <x:v>JA</x:v>
      </x:c>
      <x:c r="AA6" s="36" t="str">
        <x:v>JA</x:v>
      </x:c>
      <x:c r="AB6" s="36" t="str">
        <x:v>JA</x:v>
      </x:c>
      <x:c r="AC6" s="36" t="str">
        <x:v>JA</x:v>
      </x:c>
      <x:c r="AD6" s="36" t="str">
        <x:v>JA</x:v>
      </x:c>
      <x:c r="AE6" s="36" t="str">
        <x:v>JA</x:v>
      </x:c>
      <x:c r="AF6" s="36" t="str">
        <x:v>JA</x:v>
      </x:c>
      <x:c r="AG6" s="36" t="str">
        <x:v>FREIGEGEBEN</x:v>
      </x:c>
      <x:c r="AH6" s="36" t="str">
        <x:v>GPT-5.6 Sol · Buchprüfung Matthäus · L1912/OTB</x:v>
      </x:c>
      <x:c r="AI6" s="36" t="str">
        <x:v>FREIGEGEBEN</x:v>
      </x:c>
      <x:c r="AJ6" s="36" t="str">
        <x:v>Matthäus 1: repetitive Wiedererkennungsfrage durch TEXTGENAUIGKEIT-Frage ersetzt.</x:v>
      </x:c>
      <x:c r="AK6" s="36" t="str">
        <x:v>FaithPath repo develop/v4 · data/bibles/l1912/MAT.json · data/bibles/otb/MAT.json</x:v>
      </x:c>
      <x:c r="AL6" t="str">
        <x:v>JA</x:v>
      </x:c>
    </x:row>
    <x:row r="7">
      <x:c r="A7" t="str">
        <x:v>FP-0266</x:v>
      </x:c>
      <x:c r="B7" t="str">
        <x:v>MAT</x:v>
      </x:c>
      <x:c r="C7" t="str">
        <x:v>Matthäus</x:v>
      </x:c>
      <x:c r="D7" t="n">
        <x:v>2</x:v>
      </x:c>
      <x:c r="E7" t="n">
        <x:v>1</x:v>
      </x:c>
      <x:c r="F7" t="str">
        <x:v>MAT-002</x:v>
      </x:c>
      <x:c r="G7" t="n">
        <x:v>2</x:v>
      </x:c>
      <x:c r="H7" t="str">
        <x:v>CQ-A01</x:v>
      </x:c>
      <x:c r="I7" s="36" t="str">
        <x:v>Welche dieser Aussagen stammt aus Matthäus 2?</x:v>
      </x:c>
      <x:c r="J7" s="36" t="str"/>
      <x:c r="K7" s="36" t="str"/>
      <x:c r="L7" s="36" t="str">
        <x:v>REPO_VERIFIZIERT_FRAGEFORM</x:v>
      </x:c>
      <x:c r="M7" s="36" t="str">
        <x:v>ERSETZEN</x:v>
      </x:c>
      <x:c r="N7" s="36" t="str">
        <x:v>REPETITIVE_FRAGEFORM</x:v>
      </x:c>
      <x:c r="O7" s="36" t="str">
        <x:v>REINE_WIEDERERKENNUNG</x:v>
      </x:c>
      <x:c r="P7" s="36" t="str">
        <x:v>TEXTGENAUIGKEIT</x:v>
      </x:c>
      <x:c r="Q7" s="36" t="str">
        <x:v>Wo sollte der Christus nach der Auskunft der Hohenpriester und Schriftgelehrten geboren werden?</x:v>
      </x:c>
      <x:c r="R7" s="36" t="str">
        <x:v>In Nazareth in Galiläa.</x:v>
      </x:c>
      <x:c r="S7" s="36" t="str">
        <x:v>In Bethlehem in Judäa.</x:v>
      </x:c>
      <x:c r="T7" s="36" t="str">
        <x:v>In Jerusalem.</x:v>
      </x:c>
      <x:c r="U7" s="36" t="str">
        <x:v>In Ägypten.</x:v>
      </x:c>
      <x:c r="V7" s="36" t="n">
        <x:v>1</x:v>
      </x:c>
      <x:c r="W7" s="36" t="str">
        <x:v>In Bethlehem in Judäa.</x:v>
      </x:c>
      <x:c r="X7" s="36" t="str">
        <x:v>Matthäus 2,4–6</x:v>
      </x:c>
      <x:c r="Y7" s="36" t="str">
        <x:v>Die Hohenpriester und Schriftgelehrten nennen Bethlehem in Judäa und begründen dies mit dem Prophetenwort.</x:v>
      </x:c>
      <x:c r="Z7" s="36" t="str">
        <x:v>JA</x:v>
      </x:c>
      <x:c r="AA7" s="36" t="str">
        <x:v>JA</x:v>
      </x:c>
      <x:c r="AB7" s="36" t="str">
        <x:v>JA</x:v>
      </x:c>
      <x:c r="AC7" s="36" t="str">
        <x:v>JA</x:v>
      </x:c>
      <x:c r="AD7" s="36" t="str">
        <x:v>JA</x:v>
      </x:c>
      <x:c r="AE7" s="36" t="str">
        <x:v>JA</x:v>
      </x:c>
      <x:c r="AF7" s="36" t="str">
        <x:v>JA</x:v>
      </x:c>
      <x:c r="AG7" s="36" t="str">
        <x:v>FREIGEGEBEN</x:v>
      </x:c>
      <x:c r="AH7" s="36" t="str">
        <x:v>GPT-5.6 Sol · Buchprüfung Matthäus · L1912/OTB</x:v>
      </x:c>
      <x:c r="AI7" s="36" t="str">
        <x:v>FREIGEGEBEN</x:v>
      </x:c>
      <x:c r="AJ7" s="36" t="str">
        <x:v>Matthäus 2: repetitive Wiedererkennungsfrage durch TEXTGENAUIGKEIT-Frage ersetzt.</x:v>
      </x:c>
      <x:c r="AK7" s="36" t="str">
        <x:v>FaithPath repo develop/v4 · data/bibles/l1912/MAT.json · data/bibles/otb/MAT.json</x:v>
      </x:c>
      <x:c r="AL7" t="str">
        <x:v>JA</x:v>
      </x:c>
    </x:row>
    <x:row r="8">
      <x:c r="A8" t="str">
        <x:v>FP-0267</x:v>
      </x:c>
      <x:c r="B8" t="str">
        <x:v>MAT</x:v>
      </x:c>
      <x:c r="C8" t="str">
        <x:v>Matthäus</x:v>
      </x:c>
      <x:c r="D8" t="n">
        <x:v>2</x:v>
      </x:c>
      <x:c r="E8" t="n">
        <x:v>2</x:v>
      </x:c>
      <x:c r="F8" t="str">
        <x:v>MAT-002</x:v>
      </x:c>
      <x:c r="G8" t="n">
        <x:v>2</x:v>
      </x:c>
      <x:c r="H8" t="str">
        <x:v>CQ-A01</x:v>
      </x:c>
      <x:c r="I8" s="36" t="str">
        <x:v>Welche dieser Aussagen stammt aus Matthäus 2?</x:v>
      </x:c>
      <x:c r="J8" s="36" t="str"/>
      <x:c r="K8" s="36" t="str"/>
      <x:c r="L8" s="36" t="str">
        <x:v>REPO_VERIFIZIERT_FRAGEFORM</x:v>
      </x:c>
      <x:c r="M8" s="36" t="str">
        <x:v>ERSETZEN</x:v>
      </x:c>
      <x:c r="N8" s="36" t="str">
        <x:v>REPETITIVE_FRAGEFORM</x:v>
      </x:c>
      <x:c r="O8" s="36" t="str">
        <x:v>REINE_WIEDERERKENNUNG</x:v>
      </x:c>
      <x:c r="P8" s="36" t="str">
        <x:v>DETAIL</x:v>
      </x:c>
      <x:c r="Q8" s="36" t="str">
        <x:v>Welche Gaben brachten die Weisen dem Kind?</x:v>
      </x:c>
      <x:c r="R8" s="36" t="str">
        <x:v>Silber, Öl und Wein.</x:v>
      </x:c>
      <x:c r="S8" s="36" t="str">
        <x:v>Brot, Salz und Weihrauch.</x:v>
      </x:c>
      <x:c r="T8" s="36" t="str">
        <x:v>Gold, Weihrauch und Myrrhe.</x:v>
      </x:c>
      <x:c r="U8" s="36" t="str">
        <x:v>Gold, Edelsteine und Öl.</x:v>
      </x:c>
      <x:c r="V8" s="36" t="n">
        <x:v>2</x:v>
      </x:c>
      <x:c r="W8" s="36" t="str">
        <x:v>Gold, Weihrauch und Myrrhe.</x:v>
      </x:c>
      <x:c r="X8" s="36" t="str">
        <x:v>Matthäus 2,11</x:v>
      </x:c>
      <x:c r="Y8" s="36" t="str">
        <x:v>Die Weisen öffnen ihre Schätze und bringen Gold, Weihrauch und Myrrhe.</x:v>
      </x:c>
      <x:c r="Z8" s="36" t="str">
        <x:v>JA</x:v>
      </x:c>
      <x:c r="AA8" s="36" t="str">
        <x:v>JA</x:v>
      </x:c>
      <x:c r="AB8" s="36" t="str">
        <x:v>JA</x:v>
      </x:c>
      <x:c r="AC8" s="36" t="str">
        <x:v>JA</x:v>
      </x:c>
      <x:c r="AD8" s="36" t="str">
        <x:v>JA</x:v>
      </x:c>
      <x:c r="AE8" s="36" t="str">
        <x:v>JA</x:v>
      </x:c>
      <x:c r="AF8" s="36" t="str">
        <x:v>JA</x:v>
      </x:c>
      <x:c r="AG8" s="36" t="str">
        <x:v>FREIGEGEBEN</x:v>
      </x:c>
      <x:c r="AH8" s="36" t="str">
        <x:v>GPT-5.6 Sol · Buchprüfung Matthäus · L1912/OTB</x:v>
      </x:c>
      <x:c r="AI8" s="36" t="str">
        <x:v>FREIGEGEBEN</x:v>
      </x:c>
      <x:c r="AJ8" s="36" t="str">
        <x:v>Matthäus 2: repetitive Wiedererkennungsfrage durch DETAIL-Frage ersetzt.</x:v>
      </x:c>
      <x:c r="AK8" s="36" t="str">
        <x:v>FaithPath repo develop/v4 · data/bibles/l1912/MAT.json · data/bibles/otb/MAT.json</x:v>
      </x:c>
      <x:c r="AL8" t="str">
        <x:v>JA</x:v>
      </x:c>
    </x:row>
    <x:row r="9">
      <x:c r="A9" t="str">
        <x:v>FP-0268</x:v>
      </x:c>
      <x:c r="B9" t="str">
        <x:v>MAT</x:v>
      </x:c>
      <x:c r="C9" t="str">
        <x:v>Matthäus</x:v>
      </x:c>
      <x:c r="D9" t="n">
        <x:v>2</x:v>
      </x:c>
      <x:c r="E9" t="n">
        <x:v>3</x:v>
      </x:c>
      <x:c r="F9" t="str">
        <x:v>MAT-002</x:v>
      </x:c>
      <x:c r="G9" t="n">
        <x:v>2</x:v>
      </x:c>
      <x:c r="H9" t="str">
        <x:v>CQ-A01</x:v>
      </x:c>
      <x:c r="I9" s="36" t="str">
        <x:v>Welche dieser Aussagen stammt aus Matthäus 2?</x:v>
      </x:c>
      <x:c r="J9" s="36" t="str"/>
      <x:c r="K9" s="36" t="str"/>
      <x:c r="L9" s="36" t="str">
        <x:v>REPO_VERIFIZIERT_FRAGEFORM</x:v>
      </x:c>
      <x:c r="M9" s="36" t="str">
        <x:v>ERSETZEN</x:v>
      </x:c>
      <x:c r="N9" s="36" t="str">
        <x:v>REPETITIVE_FRAGEFORM</x:v>
      </x:c>
      <x:c r="O9" s="36" t="str">
        <x:v>REINE_WIEDERERKENNUNG</x:v>
      </x:c>
      <x:c r="P9" s="36" t="str">
        <x:v>ZUSAMMENHANG</x:v>
      </x:c>
      <x:c r="Q9" s="36" t="str">
        <x:v>Warum kehrten die Weisen nicht zu Herodes zurück?</x:v>
      </x:c>
      <x:c r="R9" s="36" t="str">
        <x:v>Sie hatten den Stern verloren.</x:v>
      </x:c>
      <x:c r="S9" s="36" t="str">
        <x:v>Josef bat sie, Jerusalem zu meiden.</x:v>
      </x:c>
      <x:c r="T9" s="36" t="str">
        <x:v>Herodes war bereits gestorben.</x:v>
      </x:c>
      <x:c r="U9" s="36" t="str">
        <x:v>Sie wurden im Traum gewarnt, nicht zu ihm zurückzukehren.</x:v>
      </x:c>
      <x:c r="V9" s="36" t="n">
        <x:v>3</x:v>
      </x:c>
      <x:c r="W9" s="36" t="str">
        <x:v>Sie wurden im Traum gewarnt, nicht zu ihm zurückzukehren.</x:v>
      </x:c>
      <x:c r="X9" s="36" t="str">
        <x:v>Matthäus 2,12</x:v>
      </x:c>
      <x:c r="Y9" s="36" t="str">
        <x:v>Nach einer Warnung im Traum ziehen die Weisen auf einem anderen Weg in ihr Land zurück.</x:v>
      </x:c>
      <x:c r="Z9" s="36" t="str">
        <x:v>JA</x:v>
      </x:c>
      <x:c r="AA9" s="36" t="str">
        <x:v>JA</x:v>
      </x:c>
      <x:c r="AB9" s="36" t="str">
        <x:v>JA</x:v>
      </x:c>
      <x:c r="AC9" s="36" t="str">
        <x:v>JA</x:v>
      </x:c>
      <x:c r="AD9" s="36" t="str">
        <x:v>JA</x:v>
      </x:c>
      <x:c r="AE9" s="36" t="str">
        <x:v>JA</x:v>
      </x:c>
      <x:c r="AF9" s="36" t="str">
        <x:v>JA</x:v>
      </x:c>
      <x:c r="AG9" s="36" t="str">
        <x:v>FREIGEGEBEN</x:v>
      </x:c>
      <x:c r="AH9" s="36" t="str">
        <x:v>GPT-5.6 Sol · Buchprüfung Matthäus · L1912/OTB</x:v>
      </x:c>
      <x:c r="AI9" s="36" t="str">
        <x:v>FREIGEGEBEN</x:v>
      </x:c>
      <x:c r="AJ9" s="36" t="str">
        <x:v>Matthäus 2: repetitive Wiedererkennungsfrage durch ZUSAMMENHANG-Frage ersetzt.</x:v>
      </x:c>
      <x:c r="AK9" s="36" t="str">
        <x:v>FaithPath repo develop/v4 · data/bibles/l1912/MAT.json · data/bibles/otb/MAT.json</x:v>
      </x:c>
      <x:c r="AL9" t="str">
        <x:v>JA</x:v>
      </x:c>
    </x:row>
    <x:row r="10">
      <x:c r="A10" t="str">
        <x:v>FP-0269</x:v>
      </x:c>
      <x:c r="B10" t="str">
        <x:v>MAT</x:v>
      </x:c>
      <x:c r="C10" t="str">
        <x:v>Matthäus</x:v>
      </x:c>
      <x:c r="D10" t="n">
        <x:v>2</x:v>
      </x:c>
      <x:c r="E10" t="n">
        <x:v>4</x:v>
      </x:c>
      <x:c r="F10" t="str">
        <x:v>MAT-002</x:v>
      </x:c>
      <x:c r="G10" t="n">
        <x:v>2</x:v>
      </x:c>
      <x:c r="H10" t="str">
        <x:v>CQ-A01</x:v>
      </x:c>
      <x:c r="I10" s="36" t="str">
        <x:v>Welche dieser Aussagen stammt aus Matthäus 2?</x:v>
      </x:c>
      <x:c r="J10" s="36" t="str"/>
      <x:c r="K10" s="36" t="str"/>
      <x:c r="L10" s="36" t="str">
        <x:v>REPO_VERIFIZIERT_FRAGEFORM</x:v>
      </x:c>
      <x:c r="M10" s="36" t="str">
        <x:v>ERSETZEN</x:v>
      </x:c>
      <x:c r="N10" s="36" t="str">
        <x:v>REPETITIVE_FRAGEFORM</x:v>
      </x:c>
      <x:c r="O10" s="36" t="str">
        <x:v>REINE_WIEDERERKENNUNG</x:v>
      </x:c>
      <x:c r="P10" s="36" t="str">
        <x:v>GESCHEHEN</x:v>
      </x:c>
      <x:c r="Q10" s="36" t="str">
        <x:v>Warum floh Josef mit Maria und dem Kind nach Ägypten?</x:v>
      </x:c>
      <x:c r="R10" s="36" t="str">
        <x:v>Weil Herodes das Kind suchte, um es zu töten.</x:v>
      </x:c>
      <x:c r="S10" s="36" t="str">
        <x:v>Weil in Bethlehem eine Hungersnot ausbrach.</x:v>
      </x:c>
      <x:c r="T10" s="36" t="str">
        <x:v>Weil die Weisen sie dorthin schickten.</x:v>
      </x:c>
      <x:c r="U10" s="36" t="str">
        <x:v>Weil Josef dort Verwandte besuchen wollte.</x:v>
      </x:c>
      <x:c r="V10" s="36" t="n">
        <x:v>0</x:v>
      </x:c>
      <x:c r="W10" s="36" t="str">
        <x:v>Weil Herodes das Kind suchte, um es zu töten.</x:v>
      </x:c>
      <x:c r="X10" s="36" t="str">
        <x:v>Matthäus 2,13–14</x:v>
      </x:c>
      <x:c r="Y10" s="36" t="str">
        <x:v>Ein Engel warnt Josef, dass Herodes dem Kind nach dem Leben trachtet. Daraufhin flieht die Familie nach Ägypten.</x:v>
      </x:c>
      <x:c r="Z10" s="36" t="str">
        <x:v>JA</x:v>
      </x:c>
      <x:c r="AA10" s="36" t="str">
        <x:v>JA</x:v>
      </x:c>
      <x:c r="AB10" s="36" t="str">
        <x:v>JA</x:v>
      </x:c>
      <x:c r="AC10" s="36" t="str">
        <x:v>JA</x:v>
      </x:c>
      <x:c r="AD10" s="36" t="str">
        <x:v>JA</x:v>
      </x:c>
      <x:c r="AE10" s="36" t="str">
        <x:v>JA</x:v>
      </x:c>
      <x:c r="AF10" s="36" t="str">
        <x:v>JA</x:v>
      </x:c>
      <x:c r="AG10" s="36" t="str">
        <x:v>FREIGEGEBEN</x:v>
      </x:c>
      <x:c r="AH10" s="36" t="str">
        <x:v>GPT-5.6 Sol · Buchprüfung Matthäus · L1912/OTB</x:v>
      </x:c>
      <x:c r="AI10" s="36" t="str">
        <x:v>FREIGEGEBEN</x:v>
      </x:c>
      <x:c r="AJ10" s="36" t="str">
        <x:v>Matthäus 2: repetitive Wiedererkennungsfrage durch GESCHEHEN-Frage ersetzt.</x:v>
      </x:c>
      <x:c r="AK10" s="36" t="str">
        <x:v>FaithPath repo develop/v4 · data/bibles/l1912/MAT.json · data/bibles/otb/MAT.json</x:v>
      </x:c>
      <x:c r="AL10" t="str">
        <x:v>JA</x:v>
      </x:c>
    </x:row>
    <x:row r="11">
      <x:c r="A11" t="str">
        <x:v>FP-0270</x:v>
      </x:c>
      <x:c r="B11" t="str">
        <x:v>MAT</x:v>
      </x:c>
      <x:c r="C11" t="str">
        <x:v>Matthäus</x:v>
      </x:c>
      <x:c r="D11" t="n">
        <x:v>2</x:v>
      </x:c>
      <x:c r="E11" t="n">
        <x:v>5</x:v>
      </x:c>
      <x:c r="F11" t="str">
        <x:v>MAT-002</x:v>
      </x:c>
      <x:c r="G11" t="n">
        <x:v>2</x:v>
      </x:c>
      <x:c r="H11" t="str">
        <x:v>CQ-A01</x:v>
      </x:c>
      <x:c r="I11" s="36" t="str">
        <x:v>Welche dieser Aussagen stammt aus Matthäus 2?</x:v>
      </x:c>
      <x:c r="J11" s="36" t="str"/>
      <x:c r="K11" s="36" t="str"/>
      <x:c r="L11" s="36" t="str">
        <x:v>REPO_VERIFIZIERT_FRAGEFORM</x:v>
      </x:c>
      <x:c r="M11" s="36" t="str">
        <x:v>ERSETZEN</x:v>
      </x:c>
      <x:c r="N11" s="36" t="str">
        <x:v>REPETITIVE_FRAGEFORM</x:v>
      </x:c>
      <x:c r="O11" s="36" t="str">
        <x:v>REINE_WIEDERERKENNUNG</x:v>
      </x:c>
      <x:c r="P11" s="36" t="str">
        <x:v>ZUSAMMENHANG</x:v>
      </x:c>
      <x:c r="Q11" s="36" t="str">
        <x:v>Warum zog Josef nach seiner Rückkehr nicht nach Judäa, sondern nach Galiläa?</x:v>
      </x:c>
      <x:c r="R11" s="36" t="str">
        <x:v>Weil Bethlehem zerstört worden war.</x:v>
      </x:c>
      <x:c r="S11" s="36" t="str">
        <x:v>Weil Archelaus in Judäa herrschte und Josef zusätzlich im Traum gewarnt wurde.</x:v>
      </x:c>
      <x:c r="T11" s="36" t="str">
        <x:v>Weil die Weisen in Galiläa auf ihn warteten.</x:v>
      </x:c>
      <x:c r="U11" s="36" t="str">
        <x:v>Weil der Tempel in Jerusalem geschlossen war.</x:v>
      </x:c>
      <x:c r="V11" s="36" t="n">
        <x:v>1</x:v>
      </x:c>
      <x:c r="W11" s="36" t="str">
        <x:v>Weil Archelaus in Judäa herrschte und Josef zusätzlich im Traum gewarnt wurde.</x:v>
      </x:c>
      <x:c r="X11" s="36" t="str">
        <x:v>Matthäus 2,22–23</x:v>
      </x:c>
      <x:c r="Y11" s="36" t="str">
        <x:v>Josef fürchtet sich wegen Archelaus und erhält im Traum eine Warnung. Deshalb zieht er nach Galiläa und wohnt in Nazareth.</x:v>
      </x:c>
      <x:c r="Z11" s="36" t="str">
        <x:v>JA</x:v>
      </x:c>
      <x:c r="AA11" s="36" t="str">
        <x:v>JA</x:v>
      </x:c>
      <x:c r="AB11" s="36" t="str">
        <x:v>JA</x:v>
      </x:c>
      <x:c r="AC11" s="36" t="str">
        <x:v>JA</x:v>
      </x:c>
      <x:c r="AD11" s="36" t="str">
        <x:v>JA</x:v>
      </x:c>
      <x:c r="AE11" s="36" t="str">
        <x:v>JA</x:v>
      </x:c>
      <x:c r="AF11" s="36" t="str">
        <x:v>JA</x:v>
      </x:c>
      <x:c r="AG11" s="36" t="str">
        <x:v>FREIGEGEBEN</x:v>
      </x:c>
      <x:c r="AH11" s="36" t="str">
        <x:v>GPT-5.6 Sol · Buchprüfung Matthäus · L1912/OTB</x:v>
      </x:c>
      <x:c r="AI11" s="36" t="str">
        <x:v>FREIGEGEBEN</x:v>
      </x:c>
      <x:c r="AJ11" s="36" t="str">
        <x:v>Matthäus 2: repetitive Wiedererkennungsfrage durch ZUSAMMENHANG-Frage ersetzt.</x:v>
      </x:c>
      <x:c r="AK11" s="36" t="str">
        <x:v>FaithPath repo develop/v4 · data/bibles/l1912/MAT.json · data/bibles/otb/MAT.json</x:v>
      </x:c>
      <x:c r="AL11" t="str">
        <x:v>JA</x:v>
      </x:c>
    </x:row>
    <x:row r="12">
      <x:c r="A12" t="str">
        <x:v>FP-0271</x:v>
      </x:c>
      <x:c r="B12" t="str">
        <x:v>MAT</x:v>
      </x:c>
      <x:c r="C12" t="str">
        <x:v>Matthäus</x:v>
      </x:c>
      <x:c r="D12" t="n">
        <x:v>3</x:v>
      </x:c>
      <x:c r="E12" t="n">
        <x:v>1</x:v>
      </x:c>
      <x:c r="F12" t="str">
        <x:v>MAT-003</x:v>
      </x:c>
      <x:c r="G12" t="n">
        <x:v>3</x:v>
      </x:c>
      <x:c r="H12" t="str">
        <x:v>CQ-A01</x:v>
      </x:c>
      <x:c r="I12" s="36" t="str">
        <x:v>Welche dieser Aussagen stammt aus Matthäus 3?</x:v>
      </x:c>
      <x:c r="J12" s="36" t="str"/>
      <x:c r="K12" s="36" t="str"/>
      <x:c r="L12" s="36" t="str">
        <x:v>REPO_VERIFIZIERT_FRAGEFORM</x:v>
      </x:c>
      <x:c r="M12" s="36" t="str">
        <x:v>ERSETZEN</x:v>
      </x:c>
      <x:c r="N12" s="36" t="str">
        <x:v>REPETITIVE_FRAGEFORM</x:v>
      </x:c>
      <x:c r="O12" s="36" t="str">
        <x:v>REINE_WIEDERERKENNUNG</x:v>
      </x:c>
      <x:c r="P12" s="36" t="str">
        <x:v>KERNAUSSAGE</x:v>
      </x:c>
      <x:c r="Q12" s="36" t="str">
        <x:v>Was war die zentrale Botschaft Johannes des Täufers zu Beginn seines Auftretens?</x:v>
      </x:c>
      <x:c r="R12" s="36" t="str">
        <x:v>Zieht nach Jerusalem und wartet dort.</x:v>
      </x:c>
      <x:c r="S12" s="36" t="str">
        <x:v>Verlasst Judäa und geht nach Galiläa.</x:v>
      </x:c>
      <x:c r="T12" s="36" t="str">
        <x:v>Kehrt um, denn das Himmelreich ist nahe.</x:v>
      </x:c>
      <x:c r="U12" s="36" t="str">
        <x:v>Baut den Tempel neu auf.</x:v>
      </x:c>
      <x:c r="V12" s="36" t="n">
        <x:v>2</x:v>
      </x:c>
      <x:c r="W12" s="36" t="str">
        <x:v>Kehrt um, denn das Himmelreich ist nahe.</x:v>
      </x:c>
      <x:c r="X12" s="36" t="str">
        <x:v>Matthäus 3,1–2</x:v>
      </x:c>
      <x:c r="Y12" s="36" t="str">
        <x:v>Johannes beginnt seine Verkündigung mit dem Ruf zur Umkehr, weil das Himmelreich nahe ist.</x:v>
      </x:c>
      <x:c r="Z12" s="36" t="str">
        <x:v>JA</x:v>
      </x:c>
      <x:c r="AA12" s="36" t="str">
        <x:v>JA</x:v>
      </x:c>
      <x:c r="AB12" s="36" t="str">
        <x:v>JA</x:v>
      </x:c>
      <x:c r="AC12" s="36" t="str">
        <x:v>JA</x:v>
      </x:c>
      <x:c r="AD12" s="36" t="str">
        <x:v>JA</x:v>
      </x:c>
      <x:c r="AE12" s="36" t="str">
        <x:v>JA</x:v>
      </x:c>
      <x:c r="AF12" s="36" t="str">
        <x:v>JA</x:v>
      </x:c>
      <x:c r="AG12" s="36" t="str">
        <x:v>FREIGEGEBEN</x:v>
      </x:c>
      <x:c r="AH12" s="36" t="str">
        <x:v>GPT-5.6 Sol · Buchprüfung Matthäus · L1912/OTB</x:v>
      </x:c>
      <x:c r="AI12" s="36" t="str">
        <x:v>FREIGEGEBEN</x:v>
      </x:c>
      <x:c r="AJ12" s="36" t="str">
        <x:v>Matthäus 3: repetitive Wiedererkennungsfrage durch KERNAUSSAGE-Frage ersetzt.</x:v>
      </x:c>
      <x:c r="AK12" s="36" t="str">
        <x:v>FaithPath repo develop/v4 · data/bibles/l1912/MAT.json · data/bibles/otb/MAT.json</x:v>
      </x:c>
      <x:c r="AL12" t="str">
        <x:v>JA</x:v>
      </x:c>
    </x:row>
    <x:row r="13">
      <x:c r="A13" t="str">
        <x:v>FP-0272</x:v>
      </x:c>
      <x:c r="B13" t="str">
        <x:v>MAT</x:v>
      </x:c>
      <x:c r="C13" t="str">
        <x:v>Matthäus</x:v>
      </x:c>
      <x:c r="D13" t="n">
        <x:v>3</x:v>
      </x:c>
      <x:c r="E13" t="n">
        <x:v>2</x:v>
      </x:c>
      <x:c r="F13" t="str">
        <x:v>MAT-003</x:v>
      </x:c>
      <x:c r="G13" t="n">
        <x:v>3</x:v>
      </x:c>
      <x:c r="H13" t="str">
        <x:v>CQ-A01</x:v>
      </x:c>
      <x:c r="I13" s="36" t="str">
        <x:v>Welche dieser Aussagen stammt aus Matthäus 3?</x:v>
      </x:c>
      <x:c r="J13" s="36" t="str"/>
      <x:c r="K13" s="36" t="str"/>
      <x:c r="L13" s="36" t="str">
        <x:v>REPO_VERIFIZIERT_FRAGEFORM</x:v>
      </x:c>
      <x:c r="M13" s="36" t="str">
        <x:v>ERSETZEN</x:v>
      </x:c>
      <x:c r="N13" s="36" t="str">
        <x:v>REPETITIVE_FRAGEFORM</x:v>
      </x:c>
      <x:c r="O13" s="36" t="str">
        <x:v>REINE_WIEDERERKENNUNG</x:v>
      </x:c>
      <x:c r="P13" s="36" t="str">
        <x:v>GESCHEHEN</x:v>
      </x:c>
      <x:c r="Q13" s="36" t="str">
        <x:v>Was taten die Menschen bei ihrer Taufe im Jordan?</x:v>
      </x:c>
      <x:c r="R13" s="36" t="str">
        <x:v>Sie brachten ein Tieropfer dar.</x:v>
      </x:c>
      <x:c r="S13" s="36" t="str">
        <x:v>Sie legten ein Schweigegelübde ab.</x:v>
      </x:c>
      <x:c r="T13" s="36" t="str">
        <x:v>Sie wurden zu Priestern eingesetzt.</x:v>
      </x:c>
      <x:c r="U13" s="36" t="str">
        <x:v>Sie bekannten ihre Sünden.</x:v>
      </x:c>
      <x:c r="V13" s="36" t="n">
        <x:v>3</x:v>
      </x:c>
      <x:c r="W13" s="36" t="str">
        <x:v>Sie bekannten ihre Sünden.</x:v>
      </x:c>
      <x:c r="X13" s="36" t="str">
        <x:v>Matthäus 3,5–6</x:v>
      </x:c>
      <x:c r="Y13" s="36" t="str">
        <x:v>Die Menschen ließen sich von Johannes im Jordan taufen und bekannten dabei ihre Sünden.</x:v>
      </x:c>
      <x:c r="Z13" s="36" t="str">
        <x:v>JA</x:v>
      </x:c>
      <x:c r="AA13" s="36" t="str">
        <x:v>JA</x:v>
      </x:c>
      <x:c r="AB13" s="36" t="str">
        <x:v>JA</x:v>
      </x:c>
      <x:c r="AC13" s="36" t="str">
        <x:v>JA</x:v>
      </x:c>
      <x:c r="AD13" s="36" t="str">
        <x:v>JA</x:v>
      </x:c>
      <x:c r="AE13" s="36" t="str">
        <x:v>JA</x:v>
      </x:c>
      <x:c r="AF13" s="36" t="str">
        <x:v>JA</x:v>
      </x:c>
      <x:c r="AG13" s="36" t="str">
        <x:v>FREIGEGEBEN</x:v>
      </x:c>
      <x:c r="AH13" s="36" t="str">
        <x:v>GPT-5.6 Sol · Buchprüfung Matthäus · L1912/OTB</x:v>
      </x:c>
      <x:c r="AI13" s="36" t="str">
        <x:v>FREIGEGEBEN</x:v>
      </x:c>
      <x:c r="AJ13" s="36" t="str">
        <x:v>Matthäus 3: repetitive Wiedererkennungsfrage durch GESCHEHEN-Frage ersetzt.</x:v>
      </x:c>
      <x:c r="AK13" s="36" t="str">
        <x:v>FaithPath repo develop/v4 · data/bibles/l1912/MAT.json · data/bibles/otb/MAT.json</x:v>
      </x:c>
      <x:c r="AL13" t="str">
        <x:v>JA</x:v>
      </x:c>
    </x:row>
    <x:row r="14">
      <x:c r="A14" t="str">
        <x:v>FP-0273</x:v>
      </x:c>
      <x:c r="B14" t="str">
        <x:v>MAT</x:v>
      </x:c>
      <x:c r="C14" t="str">
        <x:v>Matthäus</x:v>
      </x:c>
      <x:c r="D14" t="n">
        <x:v>3</x:v>
      </x:c>
      <x:c r="E14" t="n">
        <x:v>3</x:v>
      </x:c>
      <x:c r="F14" t="str">
        <x:v>MAT-003</x:v>
      </x:c>
      <x:c r="G14" t="n">
        <x:v>3</x:v>
      </x:c>
      <x:c r="H14" t="str">
        <x:v>CQ-A01</x:v>
      </x:c>
      <x:c r="I14" s="36" t="str">
        <x:v>Welche dieser Aussagen stammt aus Matthäus 3?</x:v>
      </x:c>
      <x:c r="J14" s="36" t="str"/>
      <x:c r="K14" s="36" t="str"/>
      <x:c r="L14" s="36" t="str">
        <x:v>REPO_VERIFIZIERT_FRAGEFORM</x:v>
      </x:c>
      <x:c r="M14" s="36" t="str">
        <x:v>ERSETZEN</x:v>
      </x:c>
      <x:c r="N14" s="36" t="str">
        <x:v>REPETITIVE_FRAGEFORM</x:v>
      </x:c>
      <x:c r="O14" s="36" t="str">
        <x:v>REINE_WIEDERERKENNUNG</x:v>
      </x:c>
      <x:c r="P14" s="36" t="str">
        <x:v>KERNAUSSAGE</x:v>
      </x:c>
      <x:c r="Q14" s="36" t="str">
        <x:v>Was verlangte Johannes von den Menschen als Zeichen echter Umkehr?</x:v>
      </x:c>
      <x:c r="R14" s="36" t="str">
        <x:v>Frucht, die der Umkehr entspricht.</x:v>
      </x:c>
      <x:c r="S14" s="36" t="str">
        <x:v>Eine Reise nach Jerusalem.</x:v>
      </x:c>
      <x:c r="T14" s="36" t="str">
        <x:v>Den Verzicht auf jede Arbeit.</x:v>
      </x:c>
      <x:c r="U14" s="36" t="str">
        <x:v>Den Bau eines Altars am Jordan.</x:v>
      </x:c>
      <x:c r="V14" s="36" t="n">
        <x:v>0</x:v>
      </x:c>
      <x:c r="W14" s="36" t="str">
        <x:v>Frucht, die der Umkehr entspricht.</x:v>
      </x:c>
      <x:c r="X14" s="36" t="str">
        <x:v>Matthäus 3,7–10</x:v>
      </x:c>
      <x:c r="Y14" s="36" t="str">
        <x:v>Johannes warnt vor bloßem Vertrauen auf Abstammung und fordert Frucht, die zur Umkehr passt.</x:v>
      </x:c>
      <x:c r="Z14" s="36" t="str">
        <x:v>JA</x:v>
      </x:c>
      <x:c r="AA14" s="36" t="str">
        <x:v>JA</x:v>
      </x:c>
      <x:c r="AB14" s="36" t="str">
        <x:v>JA</x:v>
      </x:c>
      <x:c r="AC14" s="36" t="str">
        <x:v>JA</x:v>
      </x:c>
      <x:c r="AD14" s="36" t="str">
        <x:v>JA</x:v>
      </x:c>
      <x:c r="AE14" s="36" t="str">
        <x:v>JA</x:v>
      </x:c>
      <x:c r="AF14" s="36" t="str">
        <x:v>JA</x:v>
      </x:c>
      <x:c r="AG14" s="36" t="str">
        <x:v>FREIGEGEBEN</x:v>
      </x:c>
      <x:c r="AH14" s="36" t="str">
        <x:v>GPT-5.6 Sol · Buchprüfung Matthäus · L1912/OTB</x:v>
      </x:c>
      <x:c r="AI14" s="36" t="str">
        <x:v>FREIGEGEBEN</x:v>
      </x:c>
      <x:c r="AJ14" s="36" t="str">
        <x:v>Matthäus 3: repetitive Wiedererkennungsfrage durch KERNAUSSAGE-Frage ersetzt.</x:v>
      </x:c>
      <x:c r="AK14" s="36" t="str">
        <x:v>FaithPath repo develop/v4 · data/bibles/l1912/MAT.json · data/bibles/otb/MAT.json</x:v>
      </x:c>
      <x:c r="AL14" t="str">
        <x:v>JA</x:v>
      </x:c>
    </x:row>
    <x:row r="15">
      <x:c r="A15" t="str">
        <x:v>FP-0274</x:v>
      </x:c>
      <x:c r="B15" t="str">
        <x:v>MAT</x:v>
      </x:c>
      <x:c r="C15" t="str">
        <x:v>Matthäus</x:v>
      </x:c>
      <x:c r="D15" t="n">
        <x:v>3</x:v>
      </x:c>
      <x:c r="E15" t="n">
        <x:v>4</x:v>
      </x:c>
      <x:c r="F15" t="str">
        <x:v>MAT-003</x:v>
      </x:c>
      <x:c r="G15" t="n">
        <x:v>3</x:v>
      </x:c>
      <x:c r="H15" t="str">
        <x:v>CQ-A01</x:v>
      </x:c>
      <x:c r="I15" s="36" t="str">
        <x:v>Welche dieser Aussagen stammt aus Matthäus 3?</x:v>
      </x:c>
      <x:c r="J15" s="36" t="str"/>
      <x:c r="K15" s="36" t="str"/>
      <x:c r="L15" s="36" t="str">
        <x:v>REPO_VERIFIZIERT_FRAGEFORM</x:v>
      </x:c>
      <x:c r="M15" s="36" t="str">
        <x:v>ERSETZEN</x:v>
      </x:c>
      <x:c r="N15" s="36" t="str">
        <x:v>REPETITIVE_FRAGEFORM</x:v>
      </x:c>
      <x:c r="O15" s="36" t="str">
        <x:v>REINE_WIEDERERKENNUNG</x:v>
      </x:c>
      <x:c r="P15" s="36" t="str">
        <x:v>ZUSAMMENHANG</x:v>
      </x:c>
      <x:c r="Q15" s="36" t="str">
        <x:v>Wie beschreibt Johannes den Unterschied zwischen seiner Taufe und der des Kommenden?</x:v>
      </x:c>
      <x:c r="R15" s="36" t="str">
        <x:v>Johannes tauft im Jordan; der Kommende nur im Tempel.</x:v>
      </x:c>
      <x:c r="S15" s="36" t="str">
        <x:v>Johannes tauft mit Wasser; der Kommende wird mit Heiligem Geist und Feuer taufen.</x:v>
      </x:c>
      <x:c r="T15" s="36" t="str">
        <x:v>Johannes tauft Erwachsene; der Kommende nur Kinder.</x:v>
      </x:c>
      <x:c r="U15" s="36" t="str">
        <x:v>Johannes tauft einmal; der Kommende dreimal.</x:v>
      </x:c>
      <x:c r="V15" s="36" t="n">
        <x:v>1</x:v>
      </x:c>
      <x:c r="W15" s="36" t="str">
        <x:v>Johannes tauft mit Wasser; der Kommende wird mit Heiligem Geist und Feuer taufen.</x:v>
      </x:c>
      <x:c r="X15" s="36" t="str">
        <x:v>Matthäus 3,11</x:v>
      </x:c>
      <x:c r="Y15" s="36" t="str">
        <x:v>Johannes stellt seine Wassertaufe der Taufe des Stärkeren mit Heiligem Geist und Feuer gegenüber.</x:v>
      </x:c>
      <x:c r="Z15" s="36" t="str">
        <x:v>JA</x:v>
      </x:c>
      <x:c r="AA15" s="36" t="str">
        <x:v>JA</x:v>
      </x:c>
      <x:c r="AB15" s="36" t="str">
        <x:v>JA</x:v>
      </x:c>
      <x:c r="AC15" s="36" t="str">
        <x:v>JA</x:v>
      </x:c>
      <x:c r="AD15" s="36" t="str">
        <x:v>JA</x:v>
      </x:c>
      <x:c r="AE15" s="36" t="str">
        <x:v>JA</x:v>
      </x:c>
      <x:c r="AF15" s="36" t="str">
        <x:v>JA</x:v>
      </x:c>
      <x:c r="AG15" s="36" t="str">
        <x:v>FREIGEGEBEN</x:v>
      </x:c>
      <x:c r="AH15" s="36" t="str">
        <x:v>GPT-5.6 Sol · Buchprüfung Matthäus · L1912/OTB</x:v>
      </x:c>
      <x:c r="AI15" s="36" t="str">
        <x:v>FREIGEGEBEN</x:v>
      </x:c>
      <x:c r="AJ15" s="36" t="str">
        <x:v>Matthäus 3: repetitive Wiedererkennungsfrage durch ZUSAMMENHANG-Frage ersetzt.</x:v>
      </x:c>
      <x:c r="AK15" s="36" t="str">
        <x:v>FaithPath repo develop/v4 · data/bibles/l1912/MAT.json · data/bibles/otb/MAT.json</x:v>
      </x:c>
      <x:c r="AL15" t="str">
        <x:v>JA</x:v>
      </x:c>
    </x:row>
    <x:row r="16">
      <x:c r="A16" t="str">
        <x:v>FP-0275</x:v>
      </x:c>
      <x:c r="B16" t="str">
        <x:v>MAT</x:v>
      </x:c>
      <x:c r="C16" t="str">
        <x:v>Matthäus</x:v>
      </x:c>
      <x:c r="D16" t="n">
        <x:v>3</x:v>
      </x:c>
      <x:c r="E16" t="n">
        <x:v>5</x:v>
      </x:c>
      <x:c r="F16" t="str">
        <x:v>MAT-003</x:v>
      </x:c>
      <x:c r="G16" t="n">
        <x:v>3</x:v>
      </x:c>
      <x:c r="H16" t="str">
        <x:v>CQ-A01</x:v>
      </x:c>
      <x:c r="I16" s="36" t="str">
        <x:v>Welche dieser Aussagen stammt aus Matthäus 3?</x:v>
      </x:c>
      <x:c r="J16" s="36" t="str"/>
      <x:c r="K16" s="36" t="str"/>
      <x:c r="L16" s="36" t="str">
        <x:v>REPO_VERIFIZIERT_FRAGEFORM</x:v>
      </x:c>
      <x:c r="M16" s="36" t="str">
        <x:v>ERSETZEN</x:v>
      </x:c>
      <x:c r="N16" s="36" t="str">
        <x:v>REPETITIVE_FRAGEFORM</x:v>
      </x:c>
      <x:c r="O16" s="36" t="str">
        <x:v>REINE_WIEDERERKENNUNG</x:v>
      </x:c>
      <x:c r="P16" s="36" t="str">
        <x:v>PERSON_AUSSAGE</x:v>
      </x:c>
      <x:c r="Q16" s="36" t="str">
        <x:v>Was sagt die Stimme aus dem Himmel nach der Taufe Jesu über ihn?</x:v>
      </x:c>
      <x:c r="R16" s="36" t="str">
        <x:v>Er soll sofort nach Jerusalem gehen.</x:v>
      </x:c>
      <x:c r="S16" s="36" t="str">
        <x:v>Er ist der größte unter den Propheten.</x:v>
      </x:c>
      <x:c r="T16" s="36" t="str">
        <x:v>Er ist Gottes geliebter Sohn, an dem Gott Wohlgefallen hat.</x:v>
      </x:c>
      <x:c r="U16" s="36" t="str">
        <x:v>Er soll Johannes als Täufer ablösen.</x:v>
      </x:c>
      <x:c r="V16" s="36" t="n">
        <x:v>2</x:v>
      </x:c>
      <x:c r="W16" s="36" t="str">
        <x:v>Er ist Gottes geliebter Sohn, an dem Gott Wohlgefallen hat.</x:v>
      </x:c>
      <x:c r="X16" s="36" t="str">
        <x:v>Matthäus 3,16–17</x:v>
      </x:c>
      <x:c r="Y16" s="36" t="str">
        <x:v>Nach Jesu Taufe kommt der Geist Gottes auf ihn herab, und die Stimme aus dem Himmel bezeichnet ihn als den geliebten Sohn.</x:v>
      </x:c>
      <x:c r="Z16" s="36" t="str">
        <x:v>JA</x:v>
      </x:c>
      <x:c r="AA16" s="36" t="str">
        <x:v>JA</x:v>
      </x:c>
      <x:c r="AB16" s="36" t="str">
        <x:v>JA</x:v>
      </x:c>
      <x:c r="AC16" s="36" t="str">
        <x:v>JA</x:v>
      </x:c>
      <x:c r="AD16" s="36" t="str">
        <x:v>JA</x:v>
      </x:c>
      <x:c r="AE16" s="36" t="str">
        <x:v>JA</x:v>
      </x:c>
      <x:c r="AF16" s="36" t="str">
        <x:v>JA</x:v>
      </x:c>
      <x:c r="AG16" s="36" t="str">
        <x:v>FREIGEGEBEN</x:v>
      </x:c>
      <x:c r="AH16" s="36" t="str">
        <x:v>GPT-5.6 Sol · Buchprüfung Matthäus · L1912/OTB</x:v>
      </x:c>
      <x:c r="AI16" s="36" t="str">
        <x:v>FREIGEGEBEN</x:v>
      </x:c>
      <x:c r="AJ16" s="36" t="str">
        <x:v>Matthäus 3: repetitive Wiedererkennungsfrage durch PERSON_AUSSAGE-Frage ersetzt.</x:v>
      </x:c>
      <x:c r="AK16" s="36" t="str">
        <x:v>FaithPath repo develop/v4 · data/bibles/l1912/MAT.json · data/bibles/otb/MAT.json</x:v>
      </x:c>
      <x:c r="AL16" t="str">
        <x:v>JA</x:v>
      </x:c>
    </x:row>
    <x:row r="17">
      <x:c r="A17" t="str">
        <x:v>FP-0276</x:v>
      </x:c>
      <x:c r="B17" t="str">
        <x:v>MAT</x:v>
      </x:c>
      <x:c r="C17" t="str">
        <x:v>Matthäus</x:v>
      </x:c>
      <x:c r="D17" t="n">
        <x:v>4</x:v>
      </x:c>
      <x:c r="E17" t="n">
        <x:v>1</x:v>
      </x:c>
      <x:c r="F17" t="str">
        <x:v>MAT-004</x:v>
      </x:c>
      <x:c r="G17" t="n">
        <x:v>4</x:v>
      </x:c>
      <x:c r="H17" t="str">
        <x:v>CQ-A01</x:v>
      </x:c>
      <x:c r="I17" s="36" t="str">
        <x:v>Welche dieser Aussagen stammt aus Matthäus 4?</x:v>
      </x:c>
      <x:c r="J17" s="36" t="str"/>
      <x:c r="K17" s="36" t="str"/>
      <x:c r="L17" s="36" t="str">
        <x:v>REPO_VERIFIZIERT_FRAGEFORM</x:v>
      </x:c>
      <x:c r="M17" s="36" t="str">
        <x:v>ERSETZEN</x:v>
      </x:c>
      <x:c r="N17" s="36" t="str">
        <x:v>REPETITIVE_FRAGEFORM</x:v>
      </x:c>
      <x:c r="O17" s="36" t="str">
        <x:v>REINE_WIEDERERKENNUNG</x:v>
      </x:c>
      <x:c r="P17" s="36" t="str">
        <x:v>GESCHEHEN</x:v>
      </x:c>
      <x:c r="Q17" s="36" t="str">
        <x:v>Wozu forderte der Versucher Jesus bei der ersten Versuchung auf?</x:v>
      </x:c>
      <x:c r="R17" s="36" t="str">
        <x:v>Vom Tempel aus nach Galiläa zu gehen.</x:v>
      </x:c>
      <x:c r="S17" s="36" t="str">
        <x:v>Die Jünger nach Jerusalem zu schicken.</x:v>
      </x:c>
      <x:c r="T17" s="36" t="str">
        <x:v>Wasser in Wein zu verwandeln.</x:v>
      </x:c>
      <x:c r="U17" s="36" t="str">
        <x:v>Steine in Brot zu verwandeln.</x:v>
      </x:c>
      <x:c r="V17" s="36" t="n">
        <x:v>3</x:v>
      </x:c>
      <x:c r="W17" s="36" t="str">
        <x:v>Steine in Brot zu verwandeln.</x:v>
      </x:c>
      <x:c r="X17" s="36" t="str">
        <x:v>Matthäus 4,2–3</x:v>
      </x:c>
      <x:c r="Y17" s="36" t="str">
        <x:v>Nach vierzig Tagen Fasten fordert der Versucher Jesus auf, Steine zu Brot werden zu lassen.</x:v>
      </x:c>
      <x:c r="Z17" s="36" t="str">
        <x:v>JA</x:v>
      </x:c>
      <x:c r="AA17" s="36" t="str">
        <x:v>JA</x:v>
      </x:c>
      <x:c r="AB17" s="36" t="str">
        <x:v>JA</x:v>
      </x:c>
      <x:c r="AC17" s="36" t="str">
        <x:v>JA</x:v>
      </x:c>
      <x:c r="AD17" s="36" t="str">
        <x:v>JA</x:v>
      </x:c>
      <x:c r="AE17" s="36" t="str">
        <x:v>JA</x:v>
      </x:c>
      <x:c r="AF17" s="36" t="str">
        <x:v>JA</x:v>
      </x:c>
      <x:c r="AG17" s="36" t="str">
        <x:v>FREIGEGEBEN</x:v>
      </x:c>
      <x:c r="AH17" s="36" t="str">
        <x:v>GPT-5.6 Sol · Buchprüfung Matthäus · L1912/OTB</x:v>
      </x:c>
      <x:c r="AI17" s="36" t="str">
        <x:v>FREIGEGEBEN</x:v>
      </x:c>
      <x:c r="AJ17" s="36" t="str">
        <x:v>Matthäus 4: repetitive Wiedererkennungsfrage durch GESCHEHEN-Frage ersetzt.</x:v>
      </x:c>
      <x:c r="AK17" s="36" t="str">
        <x:v>FaithPath repo develop/v4 · data/bibles/l1912/MAT.json · data/bibles/otb/MAT.json</x:v>
      </x:c>
      <x:c r="AL17" t="str">
        <x:v>JA</x:v>
      </x:c>
    </x:row>
    <x:row r="18">
      <x:c r="A18" t="str">
        <x:v>FP-0277</x:v>
      </x:c>
      <x:c r="B18" t="str">
        <x:v>MAT</x:v>
      </x:c>
      <x:c r="C18" t="str">
        <x:v>Matthäus</x:v>
      </x:c>
      <x:c r="D18" t="n">
        <x:v>4</x:v>
      </x:c>
      <x:c r="E18" t="n">
        <x:v>2</x:v>
      </x:c>
      <x:c r="F18" t="str">
        <x:v>MAT-004</x:v>
      </x:c>
      <x:c r="G18" t="n">
        <x:v>4</x:v>
      </x:c>
      <x:c r="H18" t="str">
        <x:v>CQ-A01</x:v>
      </x:c>
      <x:c r="I18" s="36" t="str">
        <x:v>Welche dieser Aussagen stammt aus Matthäus 4?</x:v>
      </x:c>
      <x:c r="J18" s="36" t="str"/>
      <x:c r="K18" s="36" t="str"/>
      <x:c r="L18" s="36" t="str">
        <x:v>REPO_VERIFIZIERT_FRAGEFORM</x:v>
      </x:c>
      <x:c r="M18" s="36" t="str">
        <x:v>ERSETZEN</x:v>
      </x:c>
      <x:c r="N18" s="36" t="str">
        <x:v>REPETITIVE_FRAGEFORM</x:v>
      </x:c>
      <x:c r="O18" s="36" t="str">
        <x:v>REINE_WIEDERERKENNUNG</x:v>
      </x:c>
      <x:c r="P18" s="36" t="str">
        <x:v>PERSON_AUSSAGE</x:v>
      </x:c>
      <x:c r="Q18" s="36" t="str">
        <x:v>Wie antwortete Jesus auf die Versuchung, aus Steinen Brot zu machen?</x:v>
      </x:c>
      <x:c r="R18" s="36" t="str">
        <x:v>Der Mensch lebt nicht vom Brot allein, sondern von jedem Wort aus Gottes Mund.</x:v>
      </x:c>
      <x:c r="S18" s="36" t="str">
        <x:v>Wer bittet, dem wird gegeben.</x:v>
      </x:c>
      <x:c r="T18" s="36" t="str">
        <x:v>Der Sabbat ist um des Menschen willen gemacht.</x:v>
      </x:c>
      <x:c r="U18" s="36" t="str">
        <x:v>Liebe deinen Nächsten wie dich selbst.</x:v>
      </x:c>
      <x:c r="V18" s="36" t="n">
        <x:v>0</x:v>
      </x:c>
      <x:c r="W18" s="36" t="str">
        <x:v>Der Mensch lebt nicht vom Brot allein, sondern von jedem Wort aus Gottes Mund.</x:v>
      </x:c>
      <x:c r="X18" s="36" t="str">
        <x:v>Matthäus 4,4</x:v>
      </x:c>
      <x:c r="Y18" s="36" t="str">
        <x:v>Jesus antwortet mit der Schrift und betont, dass menschliches Leben nicht allein von Brot abhängt.</x:v>
      </x:c>
      <x:c r="Z18" s="36" t="str">
        <x:v>JA</x:v>
      </x:c>
      <x:c r="AA18" s="36" t="str">
        <x:v>JA</x:v>
      </x:c>
      <x:c r="AB18" s="36" t="str">
        <x:v>JA</x:v>
      </x:c>
      <x:c r="AC18" s="36" t="str">
        <x:v>JA</x:v>
      </x:c>
      <x:c r="AD18" s="36" t="str">
        <x:v>JA</x:v>
      </x:c>
      <x:c r="AE18" s="36" t="str">
        <x:v>JA</x:v>
      </x:c>
      <x:c r="AF18" s="36" t="str">
        <x:v>JA</x:v>
      </x:c>
      <x:c r="AG18" s="36" t="str">
        <x:v>FREIGEGEBEN</x:v>
      </x:c>
      <x:c r="AH18" s="36" t="str">
        <x:v>GPT-5.6 Sol · Buchprüfung Matthäus · L1912/OTB</x:v>
      </x:c>
      <x:c r="AI18" s="36" t="str">
        <x:v>FREIGEGEBEN</x:v>
      </x:c>
      <x:c r="AJ18" s="36" t="str">
        <x:v>Matthäus 4: repetitive Wiedererkennungsfrage durch PERSON_AUSSAGE-Frage ersetzt.</x:v>
      </x:c>
      <x:c r="AK18" s="36" t="str">
        <x:v>FaithPath repo develop/v4 · data/bibles/l1912/MAT.json · data/bibles/otb/MAT.json</x:v>
      </x:c>
      <x:c r="AL18" t="str">
        <x:v>JA</x:v>
      </x:c>
    </x:row>
    <x:row r="19">
      <x:c r="A19" t="str">
        <x:v>FP-0278</x:v>
      </x:c>
      <x:c r="B19" t="str">
        <x:v>MAT</x:v>
      </x:c>
      <x:c r="C19" t="str">
        <x:v>Matthäus</x:v>
      </x:c>
      <x:c r="D19" t="n">
        <x:v>4</x:v>
      </x:c>
      <x:c r="E19" t="n">
        <x:v>3</x:v>
      </x:c>
      <x:c r="F19" t="str">
        <x:v>MAT-004</x:v>
      </x:c>
      <x:c r="G19" t="n">
        <x:v>4</x:v>
      </x:c>
      <x:c r="H19" t="str">
        <x:v>CQ-A01</x:v>
      </x:c>
      <x:c r="I19" s="36" t="str">
        <x:v>Welche dieser Aussagen stammt aus Matthäus 4?</x:v>
      </x:c>
      <x:c r="J19" s="36" t="str"/>
      <x:c r="K19" s="36" t="str"/>
      <x:c r="L19" s="36" t="str">
        <x:v>REPO_VERIFIZIERT_FRAGEFORM</x:v>
      </x:c>
      <x:c r="M19" s="36" t="str">
        <x:v>ERSETZEN</x:v>
      </x:c>
      <x:c r="N19" s="36" t="str">
        <x:v>REPETITIVE_FRAGEFORM</x:v>
      </x:c>
      <x:c r="O19" s="36" t="str">
        <x:v>REINE_WIEDERERKENNUNG</x:v>
      </x:c>
      <x:c r="P19" s="36" t="str">
        <x:v>KERNAUSSAGE</x:v>
      </x:c>
      <x:c r="Q19" s="36" t="str">
        <x:v>Welche Botschaft begann Jesus nach seinem Umzug nach Kapernaum zu predigen?</x:v>
      </x:c>
      <x:c r="R19" s="36" t="str">
        <x:v>Der Tempel wird in drei Tagen neu gebaut.</x:v>
      </x:c>
      <x:c r="S19" s="36" t="str">
        <x:v>Kehrt um, denn das Himmelreich ist nahe.</x:v>
      </x:c>
      <x:c r="T19" s="36" t="str">
        <x:v>Geht zuerst zu den Heiden.</x:v>
      </x:c>
      <x:c r="U19" s="36" t="str">
        <x:v>Fastet vierzig Tage.</x:v>
      </x:c>
      <x:c r="V19" s="36" t="n">
        <x:v>1</x:v>
      </x:c>
      <x:c r="W19" s="36" t="str">
        <x:v>Kehrt um, denn das Himmelreich ist nahe.</x:v>
      </x:c>
      <x:c r="X19" s="36" t="str">
        <x:v>Matthäus 4,12–17</x:v>
      </x:c>
      <x:c r="Y19" s="36" t="str">
        <x:v>Nach dem Beginn seines Wirkens in Galiläa verkündet Jesus wie Johannes den Ruf zur Umkehr und die Nähe des Himmelreichs.</x:v>
      </x:c>
      <x:c r="Z19" s="36" t="str">
        <x:v>JA</x:v>
      </x:c>
      <x:c r="AA19" s="36" t="str">
        <x:v>JA</x:v>
      </x:c>
      <x:c r="AB19" s="36" t="str">
        <x:v>JA</x:v>
      </x:c>
      <x:c r="AC19" s="36" t="str">
        <x:v>JA</x:v>
      </x:c>
      <x:c r="AD19" s="36" t="str">
        <x:v>JA</x:v>
      </x:c>
      <x:c r="AE19" s="36" t="str">
        <x:v>JA</x:v>
      </x:c>
      <x:c r="AF19" s="36" t="str">
        <x:v>JA</x:v>
      </x:c>
      <x:c r="AG19" s="36" t="str">
        <x:v>FREIGEGEBEN</x:v>
      </x:c>
      <x:c r="AH19" s="36" t="str">
        <x:v>GPT-5.6 Sol · Buchprüfung Matthäus · L1912/OTB</x:v>
      </x:c>
      <x:c r="AI19" s="36" t="str">
        <x:v>FREIGEGEBEN</x:v>
      </x:c>
      <x:c r="AJ19" s="36" t="str">
        <x:v>Matthäus 4: repetitive Wiedererkennungsfrage durch KERNAUSSAGE-Frage ersetzt.</x:v>
      </x:c>
      <x:c r="AK19" s="36" t="str">
        <x:v>FaithPath repo develop/v4 · data/bibles/l1912/MAT.json · data/bibles/otb/MAT.json</x:v>
      </x:c>
      <x:c r="AL19" t="str">
        <x:v>JA</x:v>
      </x:c>
    </x:row>
    <x:row r="20">
      <x:c r="A20" t="str">
        <x:v>FP-0279</x:v>
      </x:c>
      <x:c r="B20" t="str">
        <x:v>MAT</x:v>
      </x:c>
      <x:c r="C20" t="str">
        <x:v>Matthäus</x:v>
      </x:c>
      <x:c r="D20" t="n">
        <x:v>4</x:v>
      </x:c>
      <x:c r="E20" t="n">
        <x:v>4</x:v>
      </x:c>
      <x:c r="F20" t="str">
        <x:v>MAT-004</x:v>
      </x:c>
      <x:c r="G20" t="n">
        <x:v>4</x:v>
      </x:c>
      <x:c r="H20" t="str">
        <x:v>CQ-A01</x:v>
      </x:c>
      <x:c r="I20" s="36" t="str">
        <x:v>Welche dieser Aussagen stammt aus Matthäus 4?</x:v>
      </x:c>
      <x:c r="J20" s="36" t="str"/>
      <x:c r="K20" s="36" t="str"/>
      <x:c r="L20" s="36" t="str">
        <x:v>REPO_VERIFIZIERT_FRAGEFORM</x:v>
      </x:c>
      <x:c r="M20" s="36" t="str">
        <x:v>ERSETZEN</x:v>
      </x:c>
      <x:c r="N20" s="36" t="str">
        <x:v>REPETITIVE_FRAGEFORM</x:v>
      </x:c>
      <x:c r="O20" s="36" t="str">
        <x:v>REINE_WIEDERERKENNUNG</x:v>
      </x:c>
      <x:c r="P20" s="36" t="str">
        <x:v>GESCHEHEN</x:v>
      </x:c>
      <x:c r="Q20" s="36" t="str">
        <x:v>Wie reagierten Simon Petrus und Andreas auf Jesu Ruf, ihm zu folgen?</x:v>
      </x:c>
      <x:c r="R20" s="36" t="str">
        <x:v>Sie baten um sieben Tage Bedenkzeit.</x:v>
      </x:c>
      <x:c r="S20" s="36" t="str">
        <x:v>Sie gingen zuerst nach Jerusalem.</x:v>
      </x:c>
      <x:c r="T20" s="36" t="str">
        <x:v>Sie ließen sofort ihre Netze zurück und folgten ihm.</x:v>
      </x:c>
      <x:c r="U20" s="36" t="str">
        <x:v>Sie schickten einen Knecht an ihrer Stelle.</x:v>
      </x:c>
      <x:c r="V20" s="36" t="n">
        <x:v>2</x:v>
      </x:c>
      <x:c r="W20" s="36" t="str">
        <x:v>Sie ließen sofort ihre Netze zurück und folgten ihm.</x:v>
      </x:c>
      <x:c r="X20" s="36" t="str">
        <x:v>Matthäus 4,18–20</x:v>
      </x:c>
      <x:c r="Y20" s="36" t="str">
        <x:v>Petrus und Andreas verlassen unmittelbar ihre Netze und folgen Jesus.</x:v>
      </x:c>
      <x:c r="Z20" s="36" t="str">
        <x:v>JA</x:v>
      </x:c>
      <x:c r="AA20" s="36" t="str">
        <x:v>JA</x:v>
      </x:c>
      <x:c r="AB20" s="36" t="str">
        <x:v>JA</x:v>
      </x:c>
      <x:c r="AC20" s="36" t="str">
        <x:v>JA</x:v>
      </x:c>
      <x:c r="AD20" s="36" t="str">
        <x:v>JA</x:v>
      </x:c>
      <x:c r="AE20" s="36" t="str">
        <x:v>JA</x:v>
      </x:c>
      <x:c r="AF20" s="36" t="str">
        <x:v>JA</x:v>
      </x:c>
      <x:c r="AG20" s="36" t="str">
        <x:v>FREIGEGEBEN</x:v>
      </x:c>
      <x:c r="AH20" s="36" t="str">
        <x:v>GPT-5.6 Sol · Buchprüfung Matthäus · L1912/OTB</x:v>
      </x:c>
      <x:c r="AI20" s="36" t="str">
        <x:v>FREIGEGEBEN</x:v>
      </x:c>
      <x:c r="AJ20" s="36" t="str">
        <x:v>Matthäus 4: repetitive Wiedererkennungsfrage durch GESCHEHEN-Frage ersetzt.</x:v>
      </x:c>
      <x:c r="AK20" s="36" t="str">
        <x:v>FaithPath repo develop/v4 · data/bibles/l1912/MAT.json · data/bibles/otb/MAT.json</x:v>
      </x:c>
      <x:c r="AL20" t="str">
        <x:v>JA</x:v>
      </x:c>
    </x:row>
    <x:row r="21">
      <x:c r="A21" t="str">
        <x:v>FP-0280</x:v>
      </x:c>
      <x:c r="B21" t="str">
        <x:v>MAT</x:v>
      </x:c>
      <x:c r="C21" t="str">
        <x:v>Matthäus</x:v>
      </x:c>
      <x:c r="D21" t="n">
        <x:v>4</x:v>
      </x:c>
      <x:c r="E21" t="n">
        <x:v>5</x:v>
      </x:c>
      <x:c r="F21" t="str">
        <x:v>MAT-004</x:v>
      </x:c>
      <x:c r="G21" t="n">
        <x:v>4</x:v>
      </x:c>
      <x:c r="H21" t="str">
        <x:v>CQ-A01</x:v>
      </x:c>
      <x:c r="I21" s="36" t="str">
        <x:v>Welche dieser Aussagen stammt aus Matthäus 4?</x:v>
      </x:c>
      <x:c r="J21" s="36" t="str"/>
      <x:c r="K21" s="36" t="str"/>
      <x:c r="L21" s="36" t="str">
        <x:v>REPO_VERIFIZIERT_FRAGEFORM</x:v>
      </x:c>
      <x:c r="M21" s="36" t="str">
        <x:v>ERSETZEN</x:v>
      </x:c>
      <x:c r="N21" s="36" t="str">
        <x:v>REPETITIVE_FRAGEFORM</x:v>
      </x:c>
      <x:c r="O21" s="36" t="str">
        <x:v>REINE_WIEDERERKENNUNG</x:v>
      </x:c>
      <x:c r="P21" s="36" t="str">
        <x:v>ZUSAMMENHANG</x:v>
      </x:c>
      <x:c r="Q21" s="36" t="str">
        <x:v>Welche drei Tätigkeiten kennzeichnen Jesu Wirken in Galiläa in Matthäus 4,23?</x:v>
      </x:c>
      <x:c r="R21" s="36" t="str">
        <x:v>Opfern, fasten und schweigen.</x:v>
      </x:c>
      <x:c r="S21" s="36" t="str">
        <x:v>Schreiben, richten und Steuern erheben.</x:v>
      </x:c>
      <x:c r="T21" s="36" t="str">
        <x:v>Bauen, handeln und reisen.</x:v>
      </x:c>
      <x:c r="U21" s="36" t="str">
        <x:v>Lehren, das Evangelium vom Reich verkünden und Krankheiten heilen.</x:v>
      </x:c>
      <x:c r="V21" s="36" t="n">
        <x:v>3</x:v>
      </x:c>
      <x:c r="W21" s="36" t="str">
        <x:v>Lehren, das Evangelium vom Reich verkünden und Krankheiten heilen.</x:v>
      </x:c>
      <x:c r="X21" s="36" t="str">
        <x:v>Matthäus 4,23</x:v>
      </x:c>
      <x:c r="Y21" s="36" t="str">
        <x:v>Matthäus fasst Jesu Wirken als Lehren in den Synagogen, Verkündigung des Evangeliums vom Reich und Heilung von Krankheiten zusammen.</x:v>
      </x:c>
      <x:c r="Z21" s="36" t="str">
        <x:v>JA</x:v>
      </x:c>
      <x:c r="AA21" s="36" t="str">
        <x:v>JA</x:v>
      </x:c>
      <x:c r="AB21" s="36" t="str">
        <x:v>JA</x:v>
      </x:c>
      <x:c r="AC21" s="36" t="str">
        <x:v>JA</x:v>
      </x:c>
      <x:c r="AD21" s="36" t="str">
        <x:v>JA</x:v>
      </x:c>
      <x:c r="AE21" s="36" t="str">
        <x:v>JA</x:v>
      </x:c>
      <x:c r="AF21" s="36" t="str">
        <x:v>JA</x:v>
      </x:c>
      <x:c r="AG21" s="36" t="str">
        <x:v>FREIGEGEBEN</x:v>
      </x:c>
      <x:c r="AH21" s="36" t="str">
        <x:v>GPT-5.6 Sol · Buchprüfung Matthäus · L1912/OTB</x:v>
      </x:c>
      <x:c r="AI21" s="36" t="str">
        <x:v>FREIGEGEBEN</x:v>
      </x:c>
      <x:c r="AJ21" s="36" t="str">
        <x:v>Matthäus 4: repetitive Wiedererkennungsfrage durch ZUSAMMENHANG-Frage ersetzt.</x:v>
      </x:c>
      <x:c r="AK21" s="36" t="str">
        <x:v>FaithPath repo develop/v4 · data/bibles/l1912/MAT.json · data/bibles/otb/MAT.json</x:v>
      </x:c>
      <x:c r="AL21" t="str">
        <x:v>JA</x:v>
      </x:c>
    </x:row>
    <x:row r="22">
      <x:c r="A22" t="str">
        <x:v>FP-0281</x:v>
      </x:c>
      <x:c r="B22" t="str">
        <x:v>MAT</x:v>
      </x:c>
      <x:c r="C22" t="str">
        <x:v>Matthäus</x:v>
      </x:c>
      <x:c r="D22" t="n">
        <x:v>5</x:v>
      </x:c>
      <x:c r="E22" t="n">
        <x:v>1</x:v>
      </x:c>
      <x:c r="F22" t="str">
        <x:v>MAT-005</x:v>
      </x:c>
      <x:c r="G22" t="n">
        <x:v>5</x:v>
      </x:c>
      <x:c r="H22" t="str">
        <x:v>CQ-A01</x:v>
      </x:c>
      <x:c r="I22" s="36" t="str">
        <x:v>Welche dieser Aussagen stammt aus Matthäus 5?</x:v>
      </x:c>
      <x:c r="J22" s="36" t="str"/>
      <x:c r="K22" s="36" t="str"/>
      <x:c r="L22" s="36" t="str">
        <x:v>REPO_VERIFIZIERT_FRAGEFORM</x:v>
      </x:c>
      <x:c r="M22" s="36" t="str">
        <x:v>ERSETZEN</x:v>
      </x:c>
      <x:c r="N22" s="36" t="str">
        <x:v>REPETITIVE_FRAGEFORM</x:v>
      </x:c>
      <x:c r="O22" s="36" t="str">
        <x:v>REINE_WIEDERERKENNUNG</x:v>
      </x:c>
      <x:c r="P22" s="36" t="str">
        <x:v>TEXTGENAUIGKEIT</x:v>
      </x:c>
      <x:c r="Q22" s="36" t="str">
        <x:v>Was verheißt Jesus den Sanftmütigen in den Seligpreisungen?</x:v>
      </x:c>
      <x:c r="R22" s="36" t="str">
        <x:v>Sie werden das Erdreich besitzen.</x:v>
      </x:c>
      <x:c r="S22" s="36" t="str">
        <x:v>Sie werden nie verfolgt werden.</x:v>
      </x:c>
      <x:c r="T22" s="36" t="str">
        <x:v>Sie werden Könige in Jerusalem.</x:v>
      </x:c>
      <x:c r="U22" s="36" t="str">
        <x:v>Sie werden reich an Besitz.</x:v>
      </x:c>
      <x:c r="V22" s="36" t="n">
        <x:v>0</x:v>
      </x:c>
      <x:c r="W22" s="36" t="str">
        <x:v>Sie werden das Erdreich besitzen.</x:v>
      </x:c>
      <x:c r="X22" s="36" t="str">
        <x:v>Matthäus 5,5</x:v>
      </x:c>
      <x:c r="Y22" s="36" t="str">
        <x:v>In den Seligpreisungen sagt Jesus den Sanftmütigen zu, dass sie das Erdreich besitzen werden.</x:v>
      </x:c>
      <x:c r="Z22" s="36" t="str">
        <x:v>JA</x:v>
      </x:c>
      <x:c r="AA22" s="36" t="str">
        <x:v>JA</x:v>
      </x:c>
      <x:c r="AB22" s="36" t="str">
        <x:v>JA</x:v>
      </x:c>
      <x:c r="AC22" s="36" t="str">
        <x:v>JA</x:v>
      </x:c>
      <x:c r="AD22" s="36" t="str">
        <x:v>JA</x:v>
      </x:c>
      <x:c r="AE22" s="36" t="str">
        <x:v>JA</x:v>
      </x:c>
      <x:c r="AF22" s="36" t="str">
        <x:v>JA</x:v>
      </x:c>
      <x:c r="AG22" s="36" t="str">
        <x:v>FREIGEGEBEN</x:v>
      </x:c>
      <x:c r="AH22" s="36" t="str">
        <x:v>GPT-5.6 Sol · Buchprüfung Matthäus · L1912/OTB</x:v>
      </x:c>
      <x:c r="AI22" s="36" t="str">
        <x:v>FREIGEGEBEN</x:v>
      </x:c>
      <x:c r="AJ22" s="36" t="str">
        <x:v>Matthäus 5: repetitive Wiedererkennungsfrage durch TEXTGENAUIGKEIT-Frage ersetzt.</x:v>
      </x:c>
      <x:c r="AK22" s="36" t="str">
        <x:v>FaithPath repo develop/v4 · data/bibles/l1912/MAT.json · data/bibles/otb/MAT.json</x:v>
      </x:c>
      <x:c r="AL22" t="str">
        <x:v>JA</x:v>
      </x:c>
    </x:row>
    <x:row r="23">
      <x:c r="A23" t="str">
        <x:v>FP-0282</x:v>
      </x:c>
      <x:c r="B23" t="str">
        <x:v>MAT</x:v>
      </x:c>
      <x:c r="C23" t="str">
        <x:v>Matthäus</x:v>
      </x:c>
      <x:c r="D23" t="n">
        <x:v>5</x:v>
      </x:c>
      <x:c r="E23" t="n">
        <x:v>2</x:v>
      </x:c>
      <x:c r="F23" t="str">
        <x:v>MAT-005</x:v>
      </x:c>
      <x:c r="G23" t="n">
        <x:v>5</x:v>
      </x:c>
      <x:c r="H23" t="str">
        <x:v>CQ-A01</x:v>
      </x:c>
      <x:c r="I23" s="36" t="str">
        <x:v>Welche dieser Aussagen stammt aus Matthäus 5?</x:v>
      </x:c>
      <x:c r="J23" s="36" t="str"/>
      <x:c r="K23" s="36" t="str"/>
      <x:c r="L23" s="36" t="str">
        <x:v>REPO_VERIFIZIERT_FRAGEFORM</x:v>
      </x:c>
      <x:c r="M23" s="36" t="str">
        <x:v>ERSETZEN</x:v>
      </x:c>
      <x:c r="N23" s="36" t="str">
        <x:v>REPETITIVE_FRAGEFORM</x:v>
      </x:c>
      <x:c r="O23" s="36" t="str">
        <x:v>REINE_WIEDERERKENNUNG</x:v>
      </x:c>
      <x:c r="P23" s="36" t="str">
        <x:v>KERNAUSSAGE</x:v>
      </x:c>
      <x:c r="Q23" s="36" t="str">
        <x:v>Warum sollen die Jünger ihr Licht vor den Menschen leuchten lassen?</x:v>
      </x:c>
      <x:c r="R23" s="36" t="str">
        <x:v>Damit sie selbst berühmt werden.</x:v>
      </x:c>
      <x:c r="S23" s="36" t="str">
        <x:v>Damit die Menschen ihre guten Werke sehen und den Vater im Himmel ehren.</x:v>
      </x:c>
      <x:c r="T23" s="36" t="str">
        <x:v>Damit niemand mehr widerspricht.</x:v>
      </x:c>
      <x:c r="U23" s="36" t="str">
        <x:v>Damit sie von Steuern befreit werden.</x:v>
      </x:c>
      <x:c r="V23" s="36" t="n">
        <x:v>1</x:v>
      </x:c>
      <x:c r="W23" s="36" t="str">
        <x:v>Damit die Menschen ihre guten Werke sehen und den Vater im Himmel ehren.</x:v>
      </x:c>
      <x:c r="X23" s="36" t="str">
        <x:v>Matthäus 5,14–16</x:v>
      </x:c>
      <x:c r="Y23" s="36" t="str">
        <x:v>Das sichtbare Gute soll nicht die Jünger selbst verherrlichen, sondern Menschen dazu führen, den Vater im Himmel zu ehren.</x:v>
      </x:c>
      <x:c r="Z23" s="36" t="str">
        <x:v>JA</x:v>
      </x:c>
      <x:c r="AA23" s="36" t="str">
        <x:v>JA</x:v>
      </x:c>
      <x:c r="AB23" s="36" t="str">
        <x:v>JA</x:v>
      </x:c>
      <x:c r="AC23" s="36" t="str">
        <x:v>JA</x:v>
      </x:c>
      <x:c r="AD23" s="36" t="str">
        <x:v>JA</x:v>
      </x:c>
      <x:c r="AE23" s="36" t="str">
        <x:v>JA</x:v>
      </x:c>
      <x:c r="AF23" s="36" t="str">
        <x:v>JA</x:v>
      </x:c>
      <x:c r="AG23" s="36" t="str">
        <x:v>FREIGEGEBEN</x:v>
      </x:c>
      <x:c r="AH23" s="36" t="str">
        <x:v>GPT-5.6 Sol · Buchprüfung Matthäus · L1912/OTB</x:v>
      </x:c>
      <x:c r="AI23" s="36" t="str">
        <x:v>FREIGEGEBEN</x:v>
      </x:c>
      <x:c r="AJ23" s="36" t="str">
        <x:v>Matthäus 5: repetitive Wiedererkennungsfrage durch KERNAUSSAGE-Frage ersetzt.</x:v>
      </x:c>
      <x:c r="AK23" s="36" t="str">
        <x:v>FaithPath repo develop/v4 · data/bibles/l1912/MAT.json · data/bibles/otb/MAT.json</x:v>
      </x:c>
      <x:c r="AL23" t="str">
        <x:v>JA</x:v>
      </x:c>
    </x:row>
    <x:row r="24">
      <x:c r="A24" t="str">
        <x:v>FP-0283</x:v>
      </x:c>
      <x:c r="B24" t="str">
        <x:v>MAT</x:v>
      </x:c>
      <x:c r="C24" t="str">
        <x:v>Matthäus</x:v>
      </x:c>
      <x:c r="D24" t="n">
        <x:v>5</x:v>
      </x:c>
      <x:c r="E24" t="n">
        <x:v>3</x:v>
      </x:c>
      <x:c r="F24" t="str">
        <x:v>MAT-005</x:v>
      </x:c>
      <x:c r="G24" t="n">
        <x:v>5</x:v>
      </x:c>
      <x:c r="H24" t="str">
        <x:v>CQ-A01</x:v>
      </x:c>
      <x:c r="I24" s="36" t="str">
        <x:v>Welche dieser Aussagen stammt aus Matthäus 5?</x:v>
      </x:c>
      <x:c r="J24" s="36" t="str"/>
      <x:c r="K24" s="36" t="str"/>
      <x:c r="L24" s="36" t="str">
        <x:v>REPO_VERIFIZIERT_FRAGEFORM</x:v>
      </x:c>
      <x:c r="M24" s="36" t="str">
        <x:v>ERSETZEN</x:v>
      </x:c>
      <x:c r="N24" s="36" t="str">
        <x:v>REPETITIVE_FRAGEFORM</x:v>
      </x:c>
      <x:c r="O24" s="36" t="str">
        <x:v>REINE_WIEDERERKENNUNG</x:v>
      </x:c>
      <x:c r="P24" s="36" t="str">
        <x:v>KERNAUSSAGE</x:v>
      </x:c>
      <x:c r="Q24" s="36" t="str">
        <x:v>Wie beschreibt Jesus sein Verhältnis zum Gesetz und zu den Propheten?</x:v>
      </x:c>
      <x:c r="R24" s="36" t="str">
        <x:v>Er erklärt sie vollständig für ungültig.</x:v>
      </x:c>
      <x:c r="S24" s="36" t="str">
        <x:v>Er ersetzt sie durch römisches Recht.</x:v>
      </x:c>
      <x:c r="T24" s="36" t="str">
        <x:v>Er ist gekommen, sie zu erfüllen, nicht sie aufzulösen.</x:v>
      </x:c>
      <x:c r="U24" s="36" t="str">
        <x:v>Er will nur die prophetischen Schriften behalten.</x:v>
      </x:c>
      <x:c r="V24" s="36" t="n">
        <x:v>2</x:v>
      </x:c>
      <x:c r="W24" s="36" t="str">
        <x:v>Er ist gekommen, sie zu erfüllen, nicht sie aufzulösen.</x:v>
      </x:c>
      <x:c r="X24" s="36" t="str">
        <x:v>Matthäus 5,17</x:v>
      </x:c>
      <x:c r="Y24" s="36" t="str">
        <x:v>Jesus sagt ausdrücklich, dass er Gesetz und Propheten nicht auflösen, sondern erfüllen will.</x:v>
      </x:c>
      <x:c r="Z24" s="36" t="str">
        <x:v>JA</x:v>
      </x:c>
      <x:c r="AA24" s="36" t="str">
        <x:v>JA</x:v>
      </x:c>
      <x:c r="AB24" s="36" t="str">
        <x:v>JA</x:v>
      </x:c>
      <x:c r="AC24" s="36" t="str">
        <x:v>JA</x:v>
      </x:c>
      <x:c r="AD24" s="36" t="str">
        <x:v>JA</x:v>
      </x:c>
      <x:c r="AE24" s="36" t="str">
        <x:v>JA</x:v>
      </x:c>
      <x:c r="AF24" s="36" t="str">
        <x:v>JA</x:v>
      </x:c>
      <x:c r="AG24" s="36" t="str">
        <x:v>FREIGEGEBEN</x:v>
      </x:c>
      <x:c r="AH24" s="36" t="str">
        <x:v>GPT-5.6 Sol · Buchprüfung Matthäus · L1912/OTB</x:v>
      </x:c>
      <x:c r="AI24" s="36" t="str">
        <x:v>FREIGEGEBEN</x:v>
      </x:c>
      <x:c r="AJ24" s="36" t="str">
        <x:v>Matthäus 5: repetitive Wiedererkennungsfrage durch KERNAUSSAGE-Frage ersetzt.</x:v>
      </x:c>
      <x:c r="AK24" s="36" t="str">
        <x:v>FaithPath repo develop/v4 · data/bibles/l1912/MAT.json · data/bibles/otb/MAT.json</x:v>
      </x:c>
      <x:c r="AL24" t="str">
        <x:v>JA</x:v>
      </x:c>
    </x:row>
    <x:row r="25">
      <x:c r="A25" t="str">
        <x:v>FP-0284</x:v>
      </x:c>
      <x:c r="B25" t="str">
        <x:v>MAT</x:v>
      </x:c>
      <x:c r="C25" t="str">
        <x:v>Matthäus</x:v>
      </x:c>
      <x:c r="D25" t="n">
        <x:v>5</x:v>
      </x:c>
      <x:c r="E25" t="n">
        <x:v>4</x:v>
      </x:c>
      <x:c r="F25" t="str">
        <x:v>MAT-005</x:v>
      </x:c>
      <x:c r="G25" t="n">
        <x:v>5</x:v>
      </x:c>
      <x:c r="H25" t="str">
        <x:v>CQ-A01</x:v>
      </x:c>
      <x:c r="I25" s="36" t="str">
        <x:v>Welche dieser Aussagen stammt aus Matthäus 5?</x:v>
      </x:c>
      <x:c r="J25" s="36" t="str"/>
      <x:c r="K25" s="36" t="str"/>
      <x:c r="L25" s="36" t="str">
        <x:v>REPO_VERIFIZIERT_FRAGEFORM</x:v>
      </x:c>
      <x:c r="M25" s="36" t="str">
        <x:v>ERSETZEN</x:v>
      </x:c>
      <x:c r="N25" s="36" t="str">
        <x:v>REPETITIVE_FRAGEFORM</x:v>
      </x:c>
      <x:c r="O25" s="36" t="str">
        <x:v>REINE_WIEDERERKENNUNG</x:v>
      </x:c>
      <x:c r="P25" s="36" t="str">
        <x:v>ZUSAMMENHANG</x:v>
      </x:c>
      <x:c r="Q25" s="36" t="str">
        <x:v>Was soll jemand tun, wenn ihm beim Opfer einfällt, dass sein Bruder etwas gegen ihn hat?</x:v>
      </x:c>
      <x:c r="R25" s="36" t="str">
        <x:v>Die Gabe zurücknehmen und nie wieder opfern.</x:v>
      </x:c>
      <x:c r="S25" s="36" t="str">
        <x:v>Den Bruder öffentlich anklagen.</x:v>
      </x:c>
      <x:c r="T25" s="36" t="str">
        <x:v>Den Priester um ein Urteil bitten.</x:v>
      </x:c>
      <x:c r="U25" s="36" t="str">
        <x:v>Zuerst die Versöhnung suchen und danach die Gabe darbringen.</x:v>
      </x:c>
      <x:c r="V25" s="36" t="n">
        <x:v>3</x:v>
      </x:c>
      <x:c r="W25" s="36" t="str">
        <x:v>Zuerst die Versöhnung suchen und danach die Gabe darbringen.</x:v>
      </x:c>
      <x:c r="X25" s="36" t="str">
        <x:v>Matthäus 5,23–24</x:v>
      </x:c>
      <x:c r="Y25" s="36" t="str">
        <x:v>Jesus stellt die Versöhnung mit dem Bruder vor die Fortsetzung der Opferhandlung.</x:v>
      </x:c>
      <x:c r="Z25" s="36" t="str">
        <x:v>JA</x:v>
      </x:c>
      <x:c r="AA25" s="36" t="str">
        <x:v>JA</x:v>
      </x:c>
      <x:c r="AB25" s="36" t="str">
        <x:v>JA</x:v>
      </x:c>
      <x:c r="AC25" s="36" t="str">
        <x:v>JA</x:v>
      </x:c>
      <x:c r="AD25" s="36" t="str">
        <x:v>JA</x:v>
      </x:c>
      <x:c r="AE25" s="36" t="str">
        <x:v>JA</x:v>
      </x:c>
      <x:c r="AF25" s="36" t="str">
        <x:v>JA</x:v>
      </x:c>
      <x:c r="AG25" s="36" t="str">
        <x:v>FREIGEGEBEN</x:v>
      </x:c>
      <x:c r="AH25" s="36" t="str">
        <x:v>GPT-5.6 Sol · Buchprüfung Matthäus · L1912/OTB</x:v>
      </x:c>
      <x:c r="AI25" s="36" t="str">
        <x:v>FREIGEGEBEN</x:v>
      </x:c>
      <x:c r="AJ25" s="36" t="str">
        <x:v>Matthäus 5: repetitive Wiedererkennungsfrage durch ZUSAMMENHANG-Frage ersetzt.</x:v>
      </x:c>
      <x:c r="AK25" s="36" t="str">
        <x:v>FaithPath repo develop/v4 · data/bibles/l1912/MAT.json · data/bibles/otb/MAT.json</x:v>
      </x:c>
      <x:c r="AL25" t="str">
        <x:v>JA</x:v>
      </x:c>
    </x:row>
    <x:row r="26">
      <x:c r="A26" t="str">
        <x:v>FP-0285</x:v>
      </x:c>
      <x:c r="B26" t="str">
        <x:v>MAT</x:v>
      </x:c>
      <x:c r="C26" t="str">
        <x:v>Matthäus</x:v>
      </x:c>
      <x:c r="D26" t="n">
        <x:v>5</x:v>
      </x:c>
      <x:c r="E26" t="n">
        <x:v>5</x:v>
      </x:c>
      <x:c r="F26" t="str">
        <x:v>MAT-005</x:v>
      </x:c>
      <x:c r="G26" t="n">
        <x:v>5</x:v>
      </x:c>
      <x:c r="H26" t="str">
        <x:v>CQ-A01</x:v>
      </x:c>
      <x:c r="I26" s="36" t="str">
        <x:v>Welche dieser Aussagen stammt aus Matthäus 5?</x:v>
      </x:c>
      <x:c r="J26" s="36" t="str"/>
      <x:c r="K26" s="36" t="str"/>
      <x:c r="L26" s="36" t="str">
        <x:v>REPO_VERIFIZIERT_FRAGEFORM</x:v>
      </x:c>
      <x:c r="M26" s="36" t="str">
        <x:v>ERSETZEN</x:v>
      </x:c>
      <x:c r="N26" s="36" t="str">
        <x:v>REPETITIVE_FRAGEFORM</x:v>
      </x:c>
      <x:c r="O26" s="36" t="str">
        <x:v>REINE_WIEDERERKENNUNG</x:v>
      </x:c>
      <x:c r="P26" s="36" t="str">
        <x:v>KERNAUSSAGE</x:v>
      </x:c>
      <x:c r="Q26" s="36" t="str">
        <x:v>Wie sollen Jesu Jünger nach Matthäus 5 mit ihren Feinden umgehen?</x:v>
      </x:c>
      <x:c r="R26" s="36" t="str">
        <x:v>Sie sollen sie lieben und für ihre Verfolger beten.</x:v>
      </x:c>
      <x:c r="S26" s="36" t="str">
        <x:v>Sie sollen jeden Kontakt abbrechen.</x:v>
      </x:c>
      <x:c r="T26" s="36" t="str">
        <x:v>Sie sollen nur dann helfen, wenn sie sich entschuldigen.</x:v>
      </x:c>
      <x:c r="U26" s="36" t="str">
        <x:v>Sie sollen ihnen mit gleicher Härte begegnen.</x:v>
      </x:c>
      <x:c r="V26" s="36" t="n">
        <x:v>0</x:v>
      </x:c>
      <x:c r="W26" s="36" t="str">
        <x:v>Sie sollen sie lieben und für ihre Verfolger beten.</x:v>
      </x:c>
      <x:c r="X26" s="36" t="str">
        <x:v>Matthäus 5,43–45</x:v>
      </x:c>
      <x:c r="Y26" s="36" t="str">
        <x:v>Jesus fordert Liebe zu den Feinden und Gebet für die Verfolger und verbindet dies mit dem Handeln des himmlischen Vaters.</x:v>
      </x:c>
      <x:c r="Z26" s="36" t="str">
        <x:v>JA</x:v>
      </x:c>
      <x:c r="AA26" s="36" t="str">
        <x:v>JA</x:v>
      </x:c>
      <x:c r="AB26" s="36" t="str">
        <x:v>JA</x:v>
      </x:c>
      <x:c r="AC26" s="36" t="str">
        <x:v>JA</x:v>
      </x:c>
      <x:c r="AD26" s="36" t="str">
        <x:v>JA</x:v>
      </x:c>
      <x:c r="AE26" s="36" t="str">
        <x:v>JA</x:v>
      </x:c>
      <x:c r="AF26" s="36" t="str">
        <x:v>JA</x:v>
      </x:c>
      <x:c r="AG26" s="36" t="str">
        <x:v>FREIGEGEBEN</x:v>
      </x:c>
      <x:c r="AH26" s="36" t="str">
        <x:v>GPT-5.6 Sol · Buchprüfung Matthäus · L1912/OTB</x:v>
      </x:c>
      <x:c r="AI26" s="36" t="str">
        <x:v>FREIGEGEBEN</x:v>
      </x:c>
      <x:c r="AJ26" s="36" t="str">
        <x:v>Matthäus 5: repetitive Wiedererkennungsfrage durch KERNAUSSAGE-Frage ersetzt.</x:v>
      </x:c>
      <x:c r="AK26" s="36" t="str">
        <x:v>FaithPath repo develop/v4 · data/bibles/l1912/MAT.json · data/bibles/otb/MAT.json</x:v>
      </x:c>
      <x:c r="AL26" t="str">
        <x:v>JA</x:v>
      </x:c>
    </x:row>
    <x:row r="27">
      <x:c r="A27" t="str">
        <x:v>FP-0286</x:v>
      </x:c>
      <x:c r="B27" t="str">
        <x:v>MAT</x:v>
      </x:c>
      <x:c r="C27" t="str">
        <x:v>Matthäus</x:v>
      </x:c>
      <x:c r="D27" t="n">
        <x:v>6</x:v>
      </x:c>
      <x:c r="E27" t="n">
        <x:v>1</x:v>
      </x:c>
      <x:c r="F27" t="str">
        <x:v>MAT-006</x:v>
      </x:c>
      <x:c r="G27" t="n">
        <x:v>6</x:v>
      </x:c>
      <x:c r="H27" t="str">
        <x:v>CQ-A01</x:v>
      </x:c>
      <x:c r="I27" s="36" t="str">
        <x:v>Welche dieser Aussagen stammt aus Matthäus 6?</x:v>
      </x:c>
      <x:c r="J27" s="36" t="str"/>
      <x:c r="K27" s="36" t="str"/>
      <x:c r="L27" s="36" t="str">
        <x:v>REPO_VERIFIZIERT_FRAGEFORM</x:v>
      </x:c>
      <x:c r="M27" s="36" t="str">
        <x:v>ERSETZEN</x:v>
      </x:c>
      <x:c r="N27" s="36" t="str">
        <x:v>REPETITIVE_FRAGEFORM</x:v>
      </x:c>
      <x:c r="O27" s="36" t="str">
        <x:v>REINE_WIEDERERKENNUNG</x:v>
      </x:c>
      <x:c r="P27" s="36" t="str">
        <x:v>ZUSAMMENHANG</x:v>
      </x:c>
      <x:c r="Q27" s="36" t="str">
        <x:v>Was verbindet Jesu Lehre über Geben und Beten im Verborgenen?</x:v>
      </x:c>
      <x:c r="R27" s="36" t="str">
        <x:v>Beides darf nur im Tempel geschehen.</x:v>
      </x:c>
      <x:c r="S27" s="36" t="str">
        <x:v>Der Vater sieht das Verborgene und belohnt nicht die Selbstdarstellung vor Menschen.</x:v>
      </x:c>
      <x:c r="T27" s="36" t="str">
        <x:v>Beides ist nur am Sabbat erlaubt.</x:v>
      </x:c>
      <x:c r="U27" s="36" t="str">
        <x:v>Beides muss laut vor anderen angekündigt werden.</x:v>
      </x:c>
      <x:c r="V27" s="36" t="n">
        <x:v>1</x:v>
      </x:c>
      <x:c r="W27" s="36" t="str">
        <x:v>Der Vater sieht das Verborgene und belohnt nicht die Selbstdarstellung vor Menschen.</x:v>
      </x:c>
      <x:c r="X27" s="36" t="str">
        <x:v>Matthäus 6,3–6</x:v>
      </x:c>
      <x:c r="Y27" s="36" t="str">
        <x:v>Beim Geben wie beim Beten warnt Jesus vor religiöser Selbstdarstellung und verweist auf den Vater, der das Verborgene sieht.</x:v>
      </x:c>
      <x:c r="Z27" s="36" t="str">
        <x:v>JA</x:v>
      </x:c>
      <x:c r="AA27" s="36" t="str">
        <x:v>JA</x:v>
      </x:c>
      <x:c r="AB27" s="36" t="str">
        <x:v>JA</x:v>
      </x:c>
      <x:c r="AC27" s="36" t="str">
        <x:v>JA</x:v>
      </x:c>
      <x:c r="AD27" s="36" t="str">
        <x:v>JA</x:v>
      </x:c>
      <x:c r="AE27" s="36" t="str">
        <x:v>JA</x:v>
      </x:c>
      <x:c r="AF27" s="36" t="str">
        <x:v>JA</x:v>
      </x:c>
      <x:c r="AG27" s="36" t="str">
        <x:v>FREIGEGEBEN</x:v>
      </x:c>
      <x:c r="AH27" s="36" t="str">
        <x:v>GPT-5.6 Sol · Buchprüfung Matthäus · L1912/OTB</x:v>
      </x:c>
      <x:c r="AI27" s="36" t="str">
        <x:v>FREIGEGEBEN</x:v>
      </x:c>
      <x:c r="AJ27" s="36" t="str">
        <x:v>Matthäus 6: repetitive Wiedererkennungsfrage durch ZUSAMMENHANG-Frage ersetzt.</x:v>
      </x:c>
      <x:c r="AK27" s="36" t="str">
        <x:v>FaithPath repo develop/v4 · data/bibles/l1912/MAT.json · data/bibles/otb/MAT.json</x:v>
      </x:c>
      <x:c r="AL27" t="str">
        <x:v>JA</x:v>
      </x:c>
    </x:row>
    <x:row r="28">
      <x:c r="A28" t="str">
        <x:v>FP-0287</x:v>
      </x:c>
      <x:c r="B28" t="str">
        <x:v>MAT</x:v>
      </x:c>
      <x:c r="C28" t="str">
        <x:v>Matthäus</x:v>
      </x:c>
      <x:c r="D28" t="n">
        <x:v>6</x:v>
      </x:c>
      <x:c r="E28" t="n">
        <x:v>2</x:v>
      </x:c>
      <x:c r="F28" t="str">
        <x:v>MAT-006</x:v>
      </x:c>
      <x:c r="G28" t="n">
        <x:v>6</x:v>
      </x:c>
      <x:c r="H28" t="str">
        <x:v>CQ-A01</x:v>
      </x:c>
      <x:c r="I28" s="36" t="str">
        <x:v>Welche dieser Aussagen stammt aus Matthäus 6?</x:v>
      </x:c>
      <x:c r="J28" s="36" t="str"/>
      <x:c r="K28" s="36" t="str"/>
      <x:c r="L28" s="36" t="str">
        <x:v>REPO_VERIFIZIERT_FRAGEFORM</x:v>
      </x:c>
      <x:c r="M28" s="36" t="str">
        <x:v>ERSETZEN</x:v>
      </x:c>
      <x:c r="N28" s="36" t="str">
        <x:v>REPETITIVE_FRAGEFORM</x:v>
      </x:c>
      <x:c r="O28" s="36" t="str">
        <x:v>REINE_WIEDERERKENNUNG</x:v>
      </x:c>
      <x:c r="P28" s="36" t="str">
        <x:v>TEXTGENAUIGKEIT</x:v>
      </x:c>
      <x:c r="Q28" s="36" t="str">
        <x:v>Welche Bitte über Vergebung gehört zum Gebet, das Jesus seine Jünger lehrt?</x:v>
      </x:c>
      <x:c r="R28" s="36" t="str">
        <x:v>Vergib nur denen, die nie wieder sündigen.</x:v>
      </x:c>
      <x:c r="S28" s="36" t="str">
        <x:v>Vergib uns erst nach einem Opfer.</x:v>
      </x:c>
      <x:c r="T28" s="36" t="str">
        <x:v>Vergib uns unsere Schuld, wie auch wir unseren Schuldnern vergeben.</x:v>
      </x:c>
      <x:c r="U28" s="36" t="str">
        <x:v>Vergib uns, ohne dass wir anderen vergeben müssen.</x:v>
      </x:c>
      <x:c r="V28" s="36" t="n">
        <x:v>2</x:v>
      </x:c>
      <x:c r="W28" s="36" t="str">
        <x:v>Vergib uns unsere Schuld, wie auch wir unseren Schuldnern vergeben.</x:v>
      </x:c>
      <x:c r="X28" s="36" t="str">
        <x:v>Matthäus 6,12</x:v>
      </x:c>
      <x:c r="Y28" s="36" t="str">
        <x:v>Im Vaterunser wird die Bitte um eigene Vergebung mit der Bereitschaft verbunden, anderen zu vergeben.</x:v>
      </x:c>
      <x:c r="Z28" s="36" t="str">
        <x:v>JA</x:v>
      </x:c>
      <x:c r="AA28" s="36" t="str">
        <x:v>JA</x:v>
      </x:c>
      <x:c r="AB28" s="36" t="str">
        <x:v>JA</x:v>
      </x:c>
      <x:c r="AC28" s="36" t="str">
        <x:v>JA</x:v>
      </x:c>
      <x:c r="AD28" s="36" t="str">
        <x:v>JA</x:v>
      </x:c>
      <x:c r="AE28" s="36" t="str">
        <x:v>JA</x:v>
      </x:c>
      <x:c r="AF28" s="36" t="str">
        <x:v>JA</x:v>
      </x:c>
      <x:c r="AG28" s="36" t="str">
        <x:v>FREIGEGEBEN</x:v>
      </x:c>
      <x:c r="AH28" s="36" t="str">
        <x:v>GPT-5.6 Sol · Buchprüfung Matthäus · L1912/OTB</x:v>
      </x:c>
      <x:c r="AI28" s="36" t="str">
        <x:v>FREIGEGEBEN</x:v>
      </x:c>
      <x:c r="AJ28" s="36" t="str">
        <x:v>Matthäus 6: repetitive Wiedererkennungsfrage durch TEXTGENAUIGKEIT-Frage ersetzt.</x:v>
      </x:c>
      <x:c r="AK28" s="36" t="str">
        <x:v>FaithPath repo develop/v4 · data/bibles/l1912/MAT.json · data/bibles/otb/MAT.json</x:v>
      </x:c>
      <x:c r="AL28" t="str">
        <x:v>JA</x:v>
      </x:c>
    </x:row>
    <x:row r="29">
      <x:c r="A29" t="str">
        <x:v>FP-0288</x:v>
      </x:c>
      <x:c r="B29" t="str">
        <x:v>MAT</x:v>
      </x:c>
      <x:c r="C29" t="str">
        <x:v>Matthäus</x:v>
      </x:c>
      <x:c r="D29" t="n">
        <x:v>6</x:v>
      </x:c>
      <x:c r="E29" t="n">
        <x:v>3</x:v>
      </x:c>
      <x:c r="F29" t="str">
        <x:v>MAT-006</x:v>
      </x:c>
      <x:c r="G29" t="n">
        <x:v>6</x:v>
      </x:c>
      <x:c r="H29" t="str">
        <x:v>CQ-A01</x:v>
      </x:c>
      <x:c r="I29" s="36" t="str">
        <x:v>Welche dieser Aussagen stammt aus Matthäus 6?</x:v>
      </x:c>
      <x:c r="J29" s="36" t="str"/>
      <x:c r="K29" s="36" t="str"/>
      <x:c r="L29" s="36" t="str">
        <x:v>REPO_VERIFIZIERT_FRAGEFORM</x:v>
      </x:c>
      <x:c r="M29" s="36" t="str">
        <x:v>ERSETZEN</x:v>
      </x:c>
      <x:c r="N29" s="36" t="str">
        <x:v>REPETITIVE_FRAGEFORM</x:v>
      </x:c>
      <x:c r="O29" s="36" t="str">
        <x:v>REINE_WIEDERERKENNUNG</x:v>
      </x:c>
      <x:c r="P29" s="36" t="str">
        <x:v>PERSON_AUSSAGE</x:v>
      </x:c>
      <x:c r="Q29" s="36" t="str">
        <x:v>Wie sollen Jesu Jünger beim Fasten auftreten?</x:v>
      </x:c>
      <x:c r="R29" s="36" t="str">
        <x:v>Mit besonders traurigem Gesicht.</x:v>
      </x:c>
      <x:c r="S29" s="36" t="str">
        <x:v>Mit zerrissenen Kleidern auf öffentlichen Plätzen.</x:v>
      </x:c>
      <x:c r="T29" s="36" t="str">
        <x:v>Nur nachts und außerhalb der Stadt.</x:v>
      </x:c>
      <x:c r="U29" s="36" t="str">
        <x:v>So, dass ihr Fasten nicht bewusst vor Menschen zur Schau gestellt wird.</x:v>
      </x:c>
      <x:c r="V29" s="36" t="n">
        <x:v>3</x:v>
      </x:c>
      <x:c r="W29" s="36" t="str">
        <x:v>So, dass ihr Fasten nicht bewusst vor Menschen zur Schau gestellt wird.</x:v>
      </x:c>
      <x:c r="X29" s="36" t="str">
        <x:v>Matthäus 6,16–18</x:v>
      </x:c>
      <x:c r="Y29" s="36" t="str">
        <x:v>Jesus warnt davor, Fasten als sichtbare Frömmigkeitsleistung vor Menschen zu inszenieren.</x:v>
      </x:c>
      <x:c r="Z29" s="36" t="str">
        <x:v>JA</x:v>
      </x:c>
      <x:c r="AA29" s="36" t="str">
        <x:v>JA</x:v>
      </x:c>
      <x:c r="AB29" s="36" t="str">
        <x:v>JA</x:v>
      </x:c>
      <x:c r="AC29" s="36" t="str">
        <x:v>JA</x:v>
      </x:c>
      <x:c r="AD29" s="36" t="str">
        <x:v>JA</x:v>
      </x:c>
      <x:c r="AE29" s="36" t="str">
        <x:v>JA</x:v>
      </x:c>
      <x:c r="AF29" s="36" t="str">
        <x:v>JA</x:v>
      </x:c>
      <x:c r="AG29" s="36" t="str">
        <x:v>FREIGEGEBEN</x:v>
      </x:c>
      <x:c r="AH29" s="36" t="str">
        <x:v>GPT-5.6 Sol · Buchprüfung Matthäus · L1912/OTB</x:v>
      </x:c>
      <x:c r="AI29" s="36" t="str">
        <x:v>FREIGEGEBEN</x:v>
      </x:c>
      <x:c r="AJ29" s="36" t="str">
        <x:v>Matthäus 6: repetitive Wiedererkennungsfrage durch PERSON_AUSSAGE-Frage ersetzt.</x:v>
      </x:c>
      <x:c r="AK29" s="36" t="str">
        <x:v>FaithPath repo develop/v4 · data/bibles/l1912/MAT.json · data/bibles/otb/MAT.json</x:v>
      </x:c>
      <x:c r="AL29" t="str">
        <x:v>JA</x:v>
      </x:c>
    </x:row>
    <x:row r="30">
      <x:c r="A30" t="str">
        <x:v>FP-0289</x:v>
      </x:c>
      <x:c r="B30" t="str">
        <x:v>MAT</x:v>
      </x:c>
      <x:c r="C30" t="str">
        <x:v>Matthäus</x:v>
      </x:c>
      <x:c r="D30" t="n">
        <x:v>6</x:v>
      </x:c>
      <x:c r="E30" t="n">
        <x:v>4</x:v>
      </x:c>
      <x:c r="F30" t="str">
        <x:v>MAT-006</x:v>
      </x:c>
      <x:c r="G30" t="n">
        <x:v>6</x:v>
      </x:c>
      <x:c r="H30" t="str">
        <x:v>CQ-A01</x:v>
      </x:c>
      <x:c r="I30" s="36" t="str">
        <x:v>Welche dieser Aussagen stammt aus Matthäus 6?</x:v>
      </x:c>
      <x:c r="J30" s="36" t="str"/>
      <x:c r="K30" s="36" t="str"/>
      <x:c r="L30" s="36" t="str">
        <x:v>REPO_VERIFIZIERT_FRAGEFORM</x:v>
      </x:c>
      <x:c r="M30" s="36" t="str">
        <x:v>ERSETZEN</x:v>
      </x:c>
      <x:c r="N30" s="36" t="str">
        <x:v>REPETITIVE_FRAGEFORM</x:v>
      </x:c>
      <x:c r="O30" s="36" t="str">
        <x:v>REINE_WIEDERERKENNUNG</x:v>
      </x:c>
      <x:c r="P30" s="36" t="str">
        <x:v>KERNAUSSAGE</x:v>
      </x:c>
      <x:c r="Q30" s="36" t="str">
        <x:v>Wem kann man nach Jesus nicht gleichzeitig dienen?</x:v>
      </x:c>
      <x:c r="R30" s="36" t="str">
        <x:v>Gott und dem Reichtum (Mammon).</x:v>
      </x:c>
      <x:c r="S30" s="36" t="str">
        <x:v>Mose und Elia.</x:v>
      </x:c>
      <x:c r="T30" s="36" t="str">
        <x:v>Kaiser und Statthalter.</x:v>
      </x:c>
      <x:c r="U30" s="36" t="str">
        <x:v>Petrus und Johannes.</x:v>
      </x:c>
      <x:c r="V30" s="36" t="n">
        <x:v>0</x:v>
      </x:c>
      <x:c r="W30" s="36" t="str">
        <x:v>Gott und dem Reichtum (Mammon).</x:v>
      </x:c>
      <x:c r="X30" s="36" t="str">
        <x:v>Matthäus 6,24</x:v>
      </x:c>
      <x:c r="Y30" s="36" t="str">
        <x:v>Luther 1912 spricht von „Gott und dem Mammon“, OTB von „Gott und dem Reichtum“. Gemeint ist dieselbe unvereinbare Doppelbindung.</x:v>
      </x:c>
      <x:c r="Z30" s="36" t="str">
        <x:v>JA</x:v>
      </x:c>
      <x:c r="AA30" s="36" t="str">
        <x:v>JA</x:v>
      </x:c>
      <x:c r="AB30" s="36" t="str">
        <x:v>JA</x:v>
      </x:c>
      <x:c r="AC30" s="36" t="str">
        <x:v>JA</x:v>
      </x:c>
      <x:c r="AD30" s="36" t="str">
        <x:v>JA</x:v>
      </x:c>
      <x:c r="AE30" s="36" t="str">
        <x:v>JA</x:v>
      </x:c>
      <x:c r="AF30" s="36" t="str">
        <x:v>JA</x:v>
      </x:c>
      <x:c r="AG30" s="36" t="str">
        <x:v>FREIGEGEBEN</x:v>
      </x:c>
      <x:c r="AH30" s="36" t="str">
        <x:v>GPT-5.6 Sol · Buchprüfung Matthäus · L1912/OTB</x:v>
      </x:c>
      <x:c r="AI30" s="36" t="str">
        <x:v>FREIGEGEBEN</x:v>
      </x:c>
      <x:c r="AJ30" s="36" t="str">
        <x:v>Matthäus 6: repetitive Wiedererkennungsfrage durch KERNAUSSAGE-Frage ersetzt.</x:v>
      </x:c>
      <x:c r="AK30" s="36" t="str">
        <x:v>FaithPath repo develop/v4 · data/bibles/l1912/MAT.json · data/bibles/otb/MAT.json</x:v>
      </x:c>
      <x:c r="AL30" t="str">
        <x:v>JA</x:v>
      </x:c>
    </x:row>
    <x:row r="31">
      <x:c r="A31" t="str">
        <x:v>FP-0290</x:v>
      </x:c>
      <x:c r="B31" t="str">
        <x:v>MAT</x:v>
      </x:c>
      <x:c r="C31" t="str">
        <x:v>Matthäus</x:v>
      </x:c>
      <x:c r="D31" t="n">
        <x:v>6</x:v>
      </x:c>
      <x:c r="E31" t="n">
        <x:v>5</x:v>
      </x:c>
      <x:c r="F31" t="str">
        <x:v>MAT-006</x:v>
      </x:c>
      <x:c r="G31" t="n">
        <x:v>6</x:v>
      </x:c>
      <x:c r="H31" t="str">
        <x:v>CQ-A01</x:v>
      </x:c>
      <x:c r="I31" s="36" t="str">
        <x:v>Welche dieser Aussagen stammt aus Matthäus 6?</x:v>
      </x:c>
      <x:c r="J31" s="36" t="str"/>
      <x:c r="K31" s="36" t="str"/>
      <x:c r="L31" s="36" t="str">
        <x:v>REPO_VERIFIZIERT_FRAGEFORM</x:v>
      </x:c>
      <x:c r="M31" s="36" t="str">
        <x:v>ERSETZEN</x:v>
      </x:c>
      <x:c r="N31" s="36" t="str">
        <x:v>REPETITIVE_FRAGEFORM</x:v>
      </x:c>
      <x:c r="O31" s="36" t="str">
        <x:v>REINE_WIEDERERKENNUNG</x:v>
      </x:c>
      <x:c r="P31" s="36" t="str">
        <x:v>KERNAUSSAGE</x:v>
      </x:c>
      <x:c r="Q31" s="36" t="str">
        <x:v>Was sollen Jesu Jünger zuerst suchen, statt sich von Sorgen bestimmen zu lassen?</x:v>
      </x:c>
      <x:c r="R31" s="36" t="str">
        <x:v>Reichtum und gesellschaftliches Ansehen.</x:v>
      </x:c>
      <x:c r="S31" s="36" t="str">
        <x:v>Gottes Reich und seine Gerechtigkeit.</x:v>
      </x:c>
      <x:c r="T31" s="36" t="str">
        <x:v>Ein sorgenfreies Leben ohne Arbeit.</x:v>
      </x:c>
      <x:c r="U31" s="36" t="str">
        <x:v>Zeichen vom Himmel.</x:v>
      </x:c>
      <x:c r="V31" s="36" t="n">
        <x:v>1</x:v>
      </x:c>
      <x:c r="W31" s="36" t="str">
        <x:v>Gottes Reich und seine Gerechtigkeit.</x:v>
      </x:c>
      <x:c r="X31" s="36" t="str">
        <x:v>Matthäus 6,31–34</x:v>
      </x:c>
      <x:c r="Y31" s="36" t="str">
        <x:v>Jesus lenkt den Blick von der Sorge um Versorgung auf Gottes Reich und seine Gerechtigkeit.</x:v>
      </x:c>
      <x:c r="Z31" s="36" t="str">
        <x:v>JA</x:v>
      </x:c>
      <x:c r="AA31" s="36" t="str">
        <x:v>JA</x:v>
      </x:c>
      <x:c r="AB31" s="36" t="str">
        <x:v>JA</x:v>
      </x:c>
      <x:c r="AC31" s="36" t="str">
        <x:v>JA</x:v>
      </x:c>
      <x:c r="AD31" s="36" t="str">
        <x:v>JA</x:v>
      </x:c>
      <x:c r="AE31" s="36" t="str">
        <x:v>JA</x:v>
      </x:c>
      <x:c r="AF31" s="36" t="str">
        <x:v>JA</x:v>
      </x:c>
      <x:c r="AG31" s="36" t="str">
        <x:v>FREIGEGEBEN</x:v>
      </x:c>
      <x:c r="AH31" s="36" t="str">
        <x:v>GPT-5.6 Sol · Buchprüfung Matthäus · L1912/OTB</x:v>
      </x:c>
      <x:c r="AI31" s="36" t="str">
        <x:v>FREIGEGEBEN</x:v>
      </x:c>
      <x:c r="AJ31" s="36" t="str">
        <x:v>Matthäus 6: repetitive Wiedererkennungsfrage durch KERNAUSSAGE-Frage ersetzt.</x:v>
      </x:c>
      <x:c r="AK31" s="36" t="str">
        <x:v>FaithPath repo develop/v4 · data/bibles/l1912/MAT.json · data/bibles/otb/MAT.json</x:v>
      </x:c>
      <x:c r="AL31" t="str">
        <x:v>JA</x:v>
      </x:c>
    </x:row>
    <x:row r="32">
      <x:c r="A32" t="str">
        <x:v>FP-0291</x:v>
      </x:c>
      <x:c r="B32" t="str">
        <x:v>MAT</x:v>
      </x:c>
      <x:c r="C32" t="str">
        <x:v>Matthäus</x:v>
      </x:c>
      <x:c r="D32" t="n">
        <x:v>7</x:v>
      </x:c>
      <x:c r="E32" t="n">
        <x:v>1</x:v>
      </x:c>
      <x:c r="F32" t="str">
        <x:v>MAT-007</x:v>
      </x:c>
      <x:c r="G32" t="n">
        <x:v>7</x:v>
      </x:c>
      <x:c r="H32" t="str">
        <x:v>CQ-A01</x:v>
      </x:c>
      <x:c r="I32" s="36" t="str">
        <x:v>Welche dieser Aussagen stammt aus Matthäus 7?</x:v>
      </x:c>
      <x:c r="J32" s="36" t="str"/>
      <x:c r="K32" s="36" t="str"/>
      <x:c r="L32" s="36" t="str">
        <x:v>REPO_VERIFIZIERT_FRAGEFORM</x:v>
      </x:c>
      <x:c r="M32" s="36" t="str">
        <x:v>ERSETZEN</x:v>
      </x:c>
      <x:c r="N32" s="36" t="str">
        <x:v>REPETITIVE_FRAGEFORM</x:v>
      </x:c>
      <x:c r="O32" s="36" t="str">
        <x:v>REINE_WIEDERERKENNUNG</x:v>
      </x:c>
      <x:c r="P32" s="36" t="str">
        <x:v>ZUSAMMENHANG</x:v>
      </x:c>
      <x:c r="Q32" s="36" t="str">
        <x:v>Was soll jemand nach Jesu Bild vom Splitter und Balken zuerst tun?</x:v>
      </x:c>
      <x:c r="R32" s="36" t="str">
        <x:v>Den Fehler des anderen öffentlich machen.</x:v>
      </x:c>
      <x:c r="S32" s="36" t="str">
        <x:v>Jeden Fehler vollständig ignorieren.</x:v>
      </x:c>
      <x:c r="T32" s="36" t="str">
        <x:v>Zuerst den eigenen Balken entfernen, bevor er den Splitter des anderen angeht.</x:v>
      </x:c>
      <x:c r="U32" s="36" t="str">
        <x:v>Nur einen Schriftgelehrten um Korrektur bitten.</x:v>
      </x:c>
      <x:c r="V32" s="36" t="n">
        <x:v>2</x:v>
      </x:c>
      <x:c r="W32" s="36" t="str">
        <x:v>Zuerst den eigenen Balken entfernen, bevor er den Splitter des anderen angeht.</x:v>
      </x:c>
      <x:c r="X32" s="36" t="str">
        <x:v>Matthäus 7,3–5</x:v>
      </x:c>
      <x:c r="Y32" s="36" t="str">
        <x:v>Jesus fordert zuerst Selbstprüfung und Korrektur des eigenen Fehlers, bevor man den anderen zurechtweist.</x:v>
      </x:c>
      <x:c r="Z32" s="36" t="str">
        <x:v>JA</x:v>
      </x:c>
      <x:c r="AA32" s="36" t="str">
        <x:v>JA</x:v>
      </x:c>
      <x:c r="AB32" s="36" t="str">
        <x:v>JA</x:v>
      </x:c>
      <x:c r="AC32" s="36" t="str">
        <x:v>JA</x:v>
      </x:c>
      <x:c r="AD32" s="36" t="str">
        <x:v>JA</x:v>
      </x:c>
      <x:c r="AE32" s="36" t="str">
        <x:v>JA</x:v>
      </x:c>
      <x:c r="AF32" s="36" t="str">
        <x:v>JA</x:v>
      </x:c>
      <x:c r="AG32" s="36" t="str">
        <x:v>FREIGEGEBEN</x:v>
      </x:c>
      <x:c r="AH32" s="36" t="str">
        <x:v>GPT-5.6 Sol · Buchprüfung Matthäus · L1912/OTB</x:v>
      </x:c>
      <x:c r="AI32" s="36" t="str">
        <x:v>FREIGEGEBEN</x:v>
      </x:c>
      <x:c r="AJ32" s="36" t="str">
        <x:v>Matthäus 7: repetitive Wiedererkennungsfrage durch ZUSAMMENHANG-Frage ersetzt.</x:v>
      </x:c>
      <x:c r="AK32" s="36" t="str">
        <x:v>FaithPath repo develop/v4 · data/bibles/l1912/MAT.json · data/bibles/otb/MAT.json</x:v>
      </x:c>
      <x:c r="AL32" t="str">
        <x:v>JA</x:v>
      </x:c>
    </x:row>
    <x:row r="33">
      <x:c r="A33" t="str">
        <x:v>FP-0292</x:v>
      </x:c>
      <x:c r="B33" t="str">
        <x:v>MAT</x:v>
      </x:c>
      <x:c r="C33" t="str">
        <x:v>Matthäus</x:v>
      </x:c>
      <x:c r="D33" t="n">
        <x:v>7</x:v>
      </x:c>
      <x:c r="E33" t="n">
        <x:v>2</x:v>
      </x:c>
      <x:c r="F33" t="str">
        <x:v>MAT-007</x:v>
      </x:c>
      <x:c r="G33" t="n">
        <x:v>7</x:v>
      </x:c>
      <x:c r="H33" t="str">
        <x:v>CQ-A01</x:v>
      </x:c>
      <x:c r="I33" s="36" t="str">
        <x:v>Welche dieser Aussagen stammt aus Matthäus 7?</x:v>
      </x:c>
      <x:c r="J33" s="36" t="str"/>
      <x:c r="K33" s="36" t="str"/>
      <x:c r="L33" s="36" t="str">
        <x:v>REPO_VERIFIZIERT_FRAGEFORM</x:v>
      </x:c>
      <x:c r="M33" s="36" t="str">
        <x:v>ERSETZEN</x:v>
      </x:c>
      <x:c r="N33" s="36" t="str">
        <x:v>REPETITIVE_FRAGEFORM</x:v>
      </x:c>
      <x:c r="O33" s="36" t="str">
        <x:v>REINE_WIEDERERKENNUNG</x:v>
      </x:c>
      <x:c r="P33" s="36" t="str">
        <x:v>KERNAUSSAGE</x:v>
      </x:c>
      <x:c r="Q33" s="36" t="str">
        <x:v>Wie fasst Jesus in Matthäus 7,12 den Umgang mit anderen zusammen?</x:v>
      </x:c>
      <x:c r="R33" s="36" t="str">
        <x:v>Behandle Freunde besser als Fremde.</x:v>
      </x:c>
      <x:c r="S33" s="36" t="str">
        <x:v>Antworte auf Unrecht immer mit gleichem Unrecht.</x:v>
      </x:c>
      <x:c r="T33" s="36" t="str">
        <x:v>Meide Menschen, die anders denken.</x:v>
      </x:c>
      <x:c r="U33" s="36" t="str">
        <x:v>Behandle andere so, wie du selbst von ihnen behandelt werden möchtest.</x:v>
      </x:c>
      <x:c r="V33" s="36" t="n">
        <x:v>3</x:v>
      </x:c>
      <x:c r="W33" s="36" t="str">
        <x:v>Behandle andere so, wie du selbst von ihnen behandelt werden möchtest.</x:v>
      </x:c>
      <x:c r="X33" s="36" t="str">
        <x:v>Matthäus 7,12</x:v>
      </x:c>
      <x:c r="Y33" s="36" t="str">
        <x:v>Jesus formuliert die sogenannte Goldene Regel und verbindet sie mit Gesetz und Propheten.</x:v>
      </x:c>
      <x:c r="Z33" s="36" t="str">
        <x:v>JA</x:v>
      </x:c>
      <x:c r="AA33" s="36" t="str">
        <x:v>JA</x:v>
      </x:c>
      <x:c r="AB33" s="36" t="str">
        <x:v>JA</x:v>
      </x:c>
      <x:c r="AC33" s="36" t="str">
        <x:v>JA</x:v>
      </x:c>
      <x:c r="AD33" s="36" t="str">
        <x:v>JA</x:v>
      </x:c>
      <x:c r="AE33" s="36" t="str">
        <x:v>JA</x:v>
      </x:c>
      <x:c r="AF33" s="36" t="str">
        <x:v>JA</x:v>
      </x:c>
      <x:c r="AG33" s="36" t="str">
        <x:v>FREIGEGEBEN</x:v>
      </x:c>
      <x:c r="AH33" s="36" t="str">
        <x:v>GPT-5.6 Sol · Buchprüfung Matthäus · L1912/OTB</x:v>
      </x:c>
      <x:c r="AI33" s="36" t="str">
        <x:v>FREIGEGEBEN</x:v>
      </x:c>
      <x:c r="AJ33" s="36" t="str">
        <x:v>Matthäus 7: repetitive Wiedererkennungsfrage durch KERNAUSSAGE-Frage ersetzt.</x:v>
      </x:c>
      <x:c r="AK33" s="36" t="str">
        <x:v>FaithPath repo develop/v4 · data/bibles/l1912/MAT.json · data/bibles/otb/MAT.json</x:v>
      </x:c>
      <x:c r="AL33" t="str">
        <x:v>JA</x:v>
      </x:c>
    </x:row>
    <x:row r="34">
      <x:c r="A34" t="str">
        <x:v>FP-0293</x:v>
      </x:c>
      <x:c r="B34" t="str">
        <x:v>MAT</x:v>
      </x:c>
      <x:c r="C34" t="str">
        <x:v>Matthäus</x:v>
      </x:c>
      <x:c r="D34" t="n">
        <x:v>7</x:v>
      </x:c>
      <x:c r="E34" t="n">
        <x:v>3</x:v>
      </x:c>
      <x:c r="F34" t="str">
        <x:v>MAT-007</x:v>
      </x:c>
      <x:c r="G34" t="n">
        <x:v>7</x:v>
      </x:c>
      <x:c r="H34" t="str">
        <x:v>CQ-A01</x:v>
      </x:c>
      <x:c r="I34" s="36" t="str">
        <x:v>Welche dieser Aussagen stammt aus Matthäus 7?</x:v>
      </x:c>
      <x:c r="J34" s="36" t="str"/>
      <x:c r="K34" s="36" t="str"/>
      <x:c r="L34" s="36" t="str">
        <x:v>REPO_VERIFIZIERT_FRAGEFORM</x:v>
      </x:c>
      <x:c r="M34" s="36" t="str">
        <x:v>ERSETZEN</x:v>
      </x:c>
      <x:c r="N34" s="36" t="str">
        <x:v>REPETITIVE_FRAGEFORM</x:v>
      </x:c>
      <x:c r="O34" s="36" t="str">
        <x:v>REINE_WIEDERERKENNUNG</x:v>
      </x:c>
      <x:c r="P34" s="36" t="str">
        <x:v>TEXTGENAUIGKEIT</x:v>
      </x:c>
      <x:c r="Q34" s="36" t="str">
        <x:v>Wohin führt nach Jesus der schmale Weg?</x:v>
      </x:c>
      <x:c r="R34" s="36" t="str">
        <x:v>Zum Leben.</x:v>
      </x:c>
      <x:c r="S34" s="36" t="str">
        <x:v>Zu großem Reichtum.</x:v>
      </x:c>
      <x:c r="T34" s="36" t="str">
        <x:v>Nach Jerusalem.</x:v>
      </x:c>
      <x:c r="U34" s="36" t="str">
        <x:v>Zu öffentlicher Anerkennung.</x:v>
      </x:c>
      <x:c r="V34" s="36" t="n">
        <x:v>0</x:v>
      </x:c>
      <x:c r="W34" s="36" t="str">
        <x:v>Zum Leben.</x:v>
      </x:c>
      <x:c r="X34" s="36" t="str">
        <x:v>Matthäus 7,13–14</x:v>
      </x:c>
      <x:c r="Y34" s="36" t="str">
        <x:v>Jesus stellt den breiten Weg zur Verderbnis dem schmalen Weg gegenüber, der zum Leben führt.</x:v>
      </x:c>
      <x:c r="Z34" s="36" t="str">
        <x:v>JA</x:v>
      </x:c>
      <x:c r="AA34" s="36" t="str">
        <x:v>JA</x:v>
      </x:c>
      <x:c r="AB34" s="36" t="str">
        <x:v>JA</x:v>
      </x:c>
      <x:c r="AC34" s="36" t="str">
        <x:v>JA</x:v>
      </x:c>
      <x:c r="AD34" s="36" t="str">
        <x:v>JA</x:v>
      </x:c>
      <x:c r="AE34" s="36" t="str">
        <x:v>JA</x:v>
      </x:c>
      <x:c r="AF34" s="36" t="str">
        <x:v>JA</x:v>
      </x:c>
      <x:c r="AG34" s="36" t="str">
        <x:v>FREIGEGEBEN</x:v>
      </x:c>
      <x:c r="AH34" s="36" t="str">
        <x:v>GPT-5.6 Sol · Buchprüfung Matthäus · L1912/OTB</x:v>
      </x:c>
      <x:c r="AI34" s="36" t="str">
        <x:v>FREIGEGEBEN</x:v>
      </x:c>
      <x:c r="AJ34" s="36" t="str">
        <x:v>Matthäus 7: repetitive Wiedererkennungsfrage durch TEXTGENAUIGKEIT-Frage ersetzt.</x:v>
      </x:c>
      <x:c r="AK34" s="36" t="str">
        <x:v>FaithPath repo develop/v4 · data/bibles/l1912/MAT.json · data/bibles/otb/MAT.json</x:v>
      </x:c>
      <x:c r="AL34" t="str">
        <x:v>JA</x:v>
      </x:c>
    </x:row>
    <x:row r="35">
      <x:c r="A35" t="str">
        <x:v>FP-0294</x:v>
      </x:c>
      <x:c r="B35" t="str">
        <x:v>MAT</x:v>
      </x:c>
      <x:c r="C35" t="str">
        <x:v>Matthäus</x:v>
      </x:c>
      <x:c r="D35" t="n">
        <x:v>7</x:v>
      </x:c>
      <x:c r="E35" t="n">
        <x:v>4</x:v>
      </x:c>
      <x:c r="F35" t="str">
        <x:v>MAT-007</x:v>
      </x:c>
      <x:c r="G35" t="n">
        <x:v>7</x:v>
      </x:c>
      <x:c r="H35" t="str">
        <x:v>CQ-A01</x:v>
      </x:c>
      <x:c r="I35" s="36" t="str">
        <x:v>Welche dieser Aussagen stammt aus Matthäus 7?</x:v>
      </x:c>
      <x:c r="J35" s="36" t="str"/>
      <x:c r="K35" s="36" t="str"/>
      <x:c r="L35" s="36" t="str">
        <x:v>REPO_VERIFIZIERT_FRAGEFORM</x:v>
      </x:c>
      <x:c r="M35" s="36" t="str">
        <x:v>ERSETZEN</x:v>
      </x:c>
      <x:c r="N35" s="36" t="str">
        <x:v>REPETITIVE_FRAGEFORM</x:v>
      </x:c>
      <x:c r="O35" s="36" t="str">
        <x:v>REINE_WIEDERERKENNUNG</x:v>
      </x:c>
      <x:c r="P35" s="36" t="str">
        <x:v>ZUSAMMENHANG</x:v>
      </x:c>
      <x:c r="Q35" s="36" t="str">
        <x:v>Woran sollen falsche Propheten erkannt werden?</x:v>
      </x:c>
      <x:c r="R35" s="36" t="str">
        <x:v>An ihrer Kleidung.</x:v>
      </x:c>
      <x:c r="S35" s="36" t="str">
        <x:v>An ihren Früchten.</x:v>
      </x:c>
      <x:c r="T35" s="36" t="str">
        <x:v>An der Länge ihrer Gebete.</x:v>
      </x:c>
      <x:c r="U35" s="36" t="str">
        <x:v>An ihrer Herkunft.</x:v>
      </x:c>
      <x:c r="V35" s="36" t="n">
        <x:v>1</x:v>
      </x:c>
      <x:c r="W35" s="36" t="str">
        <x:v>An ihren Früchten.</x:v>
      </x:c>
      <x:c r="X35" s="36" t="str">
        <x:v>Matthäus 7,15–20</x:v>
      </x:c>
      <x:c r="Y35" s="36" t="str">
        <x:v>Jesus warnt vor falschen Propheten und nennt ihre Früchte als entscheidendes Erkennungsmerkmal.</x:v>
      </x:c>
      <x:c r="Z35" s="36" t="str">
        <x:v>JA</x:v>
      </x:c>
      <x:c r="AA35" s="36" t="str">
        <x:v>JA</x:v>
      </x:c>
      <x:c r="AB35" s="36" t="str">
        <x:v>JA</x:v>
      </x:c>
      <x:c r="AC35" s="36" t="str">
        <x:v>JA</x:v>
      </x:c>
      <x:c r="AD35" s="36" t="str">
        <x:v>JA</x:v>
      </x:c>
      <x:c r="AE35" s="36" t="str">
        <x:v>JA</x:v>
      </x:c>
      <x:c r="AF35" s="36" t="str">
        <x:v>JA</x:v>
      </x:c>
      <x:c r="AG35" s="36" t="str">
        <x:v>FREIGEGEBEN</x:v>
      </x:c>
      <x:c r="AH35" s="36" t="str">
        <x:v>GPT-5.6 Sol · Buchprüfung Matthäus · L1912/OTB</x:v>
      </x:c>
      <x:c r="AI35" s="36" t="str">
        <x:v>FREIGEGEBEN</x:v>
      </x:c>
      <x:c r="AJ35" s="36" t="str">
        <x:v>Matthäus 7: repetitive Wiedererkennungsfrage durch ZUSAMMENHANG-Frage ersetzt.</x:v>
      </x:c>
      <x:c r="AK35" s="36" t="str">
        <x:v>FaithPath repo develop/v4 · data/bibles/l1912/MAT.json · data/bibles/otb/MAT.json</x:v>
      </x:c>
      <x:c r="AL35" t="str">
        <x:v>JA</x:v>
      </x:c>
    </x:row>
    <x:row r="36">
      <x:c r="A36" t="str">
        <x:v>FP-0295</x:v>
      </x:c>
      <x:c r="B36" t="str">
        <x:v>MAT</x:v>
      </x:c>
      <x:c r="C36" t="str">
        <x:v>Matthäus</x:v>
      </x:c>
      <x:c r="D36" t="n">
        <x:v>7</x:v>
      </x:c>
      <x:c r="E36" t="n">
        <x:v>5</x:v>
      </x:c>
      <x:c r="F36" t="str">
        <x:v>MAT-007</x:v>
      </x:c>
      <x:c r="G36" t="n">
        <x:v>7</x:v>
      </x:c>
      <x:c r="H36" t="str">
        <x:v>CQ-A01</x:v>
      </x:c>
      <x:c r="I36" s="36" t="str">
        <x:v>Welche dieser Aussagen stammt aus Matthäus 7?</x:v>
      </x:c>
      <x:c r="J36" s="36" t="str"/>
      <x:c r="K36" s="36" t="str"/>
      <x:c r="L36" s="36" t="str">
        <x:v>REPO_VERIFIZIERT_FRAGEFORM</x:v>
      </x:c>
      <x:c r="M36" s="36" t="str">
        <x:v>ERSETZEN</x:v>
      </x:c>
      <x:c r="N36" s="36" t="str">
        <x:v>REPETITIVE_FRAGEFORM</x:v>
      </x:c>
      <x:c r="O36" s="36" t="str">
        <x:v>REINE_WIEDERERKENNUNG</x:v>
      </x:c>
      <x:c r="P36" s="36" t="str">
        <x:v>KERNAUSSAGE</x:v>
      </x:c>
      <x:c r="Q36" s="36" t="str">
        <x:v>Wodurch gleicht ein Mensch dem klugen Hausbauer auf dem Felsen?</x:v>
      </x:c>
      <x:c r="R36" s="36" t="str">
        <x:v>Indem er möglichst viele Gleichnisse kennt.</x:v>
      </x:c>
      <x:c r="S36" s="36" t="str">
        <x:v>Indem er ein großes Haus besitzt.</x:v>
      </x:c>
      <x:c r="T36" s="36" t="str">
        <x:v>Indem er Jesu Worte hört und danach handelt.</x:v>
      </x:c>
      <x:c r="U36" s="36" t="str">
        <x:v>Indem er nie Schwierigkeiten erlebt.</x:v>
      </x:c>
      <x:c r="V36" s="36" t="n">
        <x:v>2</x:v>
      </x:c>
      <x:c r="W36" s="36" t="str">
        <x:v>Indem er Jesu Worte hört und danach handelt.</x:v>
      </x:c>
      <x:c r="X36" s="36" t="str">
        <x:v>Matthäus 7,24–27</x:v>
      </x:c>
      <x:c r="Y36" s="36" t="str">
        <x:v>Der Unterschied zwischen Fels und Sand liegt darin, ob Jesu Worte nicht nur gehört, sondern auch getan werden.</x:v>
      </x:c>
      <x:c r="Z36" s="36" t="str">
        <x:v>JA</x:v>
      </x:c>
      <x:c r="AA36" s="36" t="str">
        <x:v>JA</x:v>
      </x:c>
      <x:c r="AB36" s="36" t="str">
        <x:v>JA</x:v>
      </x:c>
      <x:c r="AC36" s="36" t="str">
        <x:v>JA</x:v>
      </x:c>
      <x:c r="AD36" s="36" t="str">
        <x:v>JA</x:v>
      </x:c>
      <x:c r="AE36" s="36" t="str">
        <x:v>JA</x:v>
      </x:c>
      <x:c r="AF36" s="36" t="str">
        <x:v>JA</x:v>
      </x:c>
      <x:c r="AG36" s="36" t="str">
        <x:v>FREIGEGEBEN</x:v>
      </x:c>
      <x:c r="AH36" s="36" t="str">
        <x:v>GPT-5.6 Sol · Buchprüfung Matthäus · L1912/OTB</x:v>
      </x:c>
      <x:c r="AI36" s="36" t="str">
        <x:v>FREIGEGEBEN</x:v>
      </x:c>
      <x:c r="AJ36" s="36" t="str">
        <x:v>Matthäus 7: repetitive Wiedererkennungsfrage durch KERNAUSSAGE-Frage ersetzt.</x:v>
      </x:c>
      <x:c r="AK36" s="36" t="str">
        <x:v>FaithPath repo develop/v4 · data/bibles/l1912/MAT.json · data/bibles/otb/MAT.json</x:v>
      </x:c>
      <x:c r="AL36" t="str">
        <x:v>JA</x:v>
      </x:c>
    </x:row>
    <x:row r="37">
      <x:c r="A37" t="str">
        <x:v>FP-0296</x:v>
      </x:c>
      <x:c r="B37" t="str">
        <x:v>MAT</x:v>
      </x:c>
      <x:c r="C37" t="str">
        <x:v>Matthäus</x:v>
      </x:c>
      <x:c r="D37" t="n">
        <x:v>8</x:v>
      </x:c>
      <x:c r="E37" t="n">
        <x:v>1</x:v>
      </x:c>
      <x:c r="F37" t="str">
        <x:v>MAT-008</x:v>
      </x:c>
      <x:c r="G37" t="n">
        <x:v>8</x:v>
      </x:c>
      <x:c r="H37" t="str">
        <x:v>CQ-A01</x:v>
      </x:c>
      <x:c r="I37" s="36" t="str">
        <x:v>Welche dieser Aussagen stammt aus Matthäus 8?</x:v>
      </x:c>
      <x:c r="J37" s="36" t="str"/>
      <x:c r="K37" s="36" t="str"/>
      <x:c r="L37" s="36" t="str">
        <x:v>REPO_VERIFIZIERT_FRAGEFORM</x:v>
      </x:c>
      <x:c r="M37" s="36" t="str">
        <x:v>ERSETZEN</x:v>
      </x:c>
      <x:c r="N37" s="36" t="str">
        <x:v>REPETITIVE_FRAGEFORM</x:v>
      </x:c>
      <x:c r="O37" s="36" t="str">
        <x:v>REINE_WIEDERERKENNUNG</x:v>
      </x:c>
      <x:c r="P37" s="36" t="str">
        <x:v>PERSON_AUSSAGE</x:v>
      </x:c>
      <x:c r="Q37" s="36" t="str">
        <x:v>Wie reagiert Jesus auf die Bitte des Aussätzigen, gereinigt zu werden?</x:v>
      </x:c>
      <x:c r="R37" s="36" t="str">
        <x:v>Er schickt ihn zunächst für vierzig Tage weg.</x:v>
      </x:c>
      <x:c r="S37" s="36" t="str">
        <x:v>Er fordert zuerst eine Geldgabe.</x:v>
      </x:c>
      <x:c r="T37" s="36" t="str">
        <x:v>Er verweist ihn ausschließlich an die Jünger.</x:v>
      </x:c>
      <x:c r="U37" s="36" t="str">
        <x:v>Er berührt ihn, erklärt seine Bereitschaft und reinigt ihn.</x:v>
      </x:c>
      <x:c r="V37" s="36" t="n">
        <x:v>3</x:v>
      </x:c>
      <x:c r="W37" s="36" t="str">
        <x:v>Er berührt ihn, erklärt seine Bereitschaft und reinigt ihn.</x:v>
      </x:c>
      <x:c r="X37" s="36" t="str">
        <x:v>Matthäus 8,2–4</x:v>
      </x:c>
      <x:c r="Y37" s="36" t="str">
        <x:v>Jesus antwortet auf das Vertrauen des Aussätzigen mit „Ich will“ und reinigt ihn.</x:v>
      </x:c>
      <x:c r="Z37" s="36" t="str">
        <x:v>JA</x:v>
      </x:c>
      <x:c r="AA37" s="36" t="str">
        <x:v>JA</x:v>
      </x:c>
      <x:c r="AB37" s="36" t="str">
        <x:v>JA</x:v>
      </x:c>
      <x:c r="AC37" s="36" t="str">
        <x:v>JA</x:v>
      </x:c>
      <x:c r="AD37" s="36" t="str">
        <x:v>JA</x:v>
      </x:c>
      <x:c r="AE37" s="36" t="str">
        <x:v>JA</x:v>
      </x:c>
      <x:c r="AF37" s="36" t="str">
        <x:v>JA</x:v>
      </x:c>
      <x:c r="AG37" s="36" t="str">
        <x:v>FREIGEGEBEN</x:v>
      </x:c>
      <x:c r="AH37" s="36" t="str">
        <x:v>GPT-5.6 Sol · Buchprüfung Matthäus · L1912/OTB</x:v>
      </x:c>
      <x:c r="AI37" s="36" t="str">
        <x:v>FREIGEGEBEN</x:v>
      </x:c>
      <x:c r="AJ37" s="36" t="str">
        <x:v>Matthäus 8: repetitive Wiedererkennungsfrage durch PERSON_AUSSAGE-Frage ersetzt.</x:v>
      </x:c>
      <x:c r="AK37" s="36" t="str">
        <x:v>FaithPath repo develop/v4 · data/bibles/l1912/MAT.json · data/bibles/otb/MAT.json</x:v>
      </x:c>
      <x:c r="AL37" t="str">
        <x:v>JA</x:v>
      </x:c>
    </x:row>
    <x:row r="38">
      <x:c r="A38" t="str">
        <x:v>FP-0297</x:v>
      </x:c>
      <x:c r="B38" t="str">
        <x:v>MAT</x:v>
      </x:c>
      <x:c r="C38" t="str">
        <x:v>Matthäus</x:v>
      </x:c>
      <x:c r="D38" t="n">
        <x:v>8</x:v>
      </x:c>
      <x:c r="E38" t="n">
        <x:v>2</x:v>
      </x:c>
      <x:c r="F38" t="str">
        <x:v>MAT-008</x:v>
      </x:c>
      <x:c r="G38" t="n">
        <x:v>8</x:v>
      </x:c>
      <x:c r="H38" t="str">
        <x:v>CQ-A01</x:v>
      </x:c>
      <x:c r="I38" s="36" t="str">
        <x:v>Welche dieser Aussagen stammt aus Matthäus 8?</x:v>
      </x:c>
      <x:c r="J38" s="36" t="str"/>
      <x:c r="K38" s="36" t="str"/>
      <x:c r="L38" s="36" t="str">
        <x:v>REPO_VERIFIZIERT_FRAGEFORM</x:v>
      </x:c>
      <x:c r="M38" s="36" t="str">
        <x:v>ERSETZEN</x:v>
      </x:c>
      <x:c r="N38" s="36" t="str">
        <x:v>REPETITIVE_FRAGEFORM</x:v>
      </x:c>
      <x:c r="O38" s="36" t="str">
        <x:v>REINE_WIEDERERKENNUNG</x:v>
      </x:c>
      <x:c r="P38" s="36" t="str">
        <x:v>ZUSAMMENHANG</x:v>
      </x:c>
      <x:c r="Q38" s="36" t="str">
        <x:v>Warum meinte der Hauptmann, Jesus müsse nicht in sein Haus kommen?</x:v>
      </x:c>
      <x:c r="R38" s="36" t="str">
        <x:v>Er vertraute darauf, dass Jesu Wort allein zur Heilung genügt.</x:v>
      </x:c>
      <x:c r="S38" s="36" t="str">
        <x:v>Er wollte seinen Knecht nicht heilen lassen.</x:v>
      </x:c>
      <x:c r="T38" s="36" t="str">
        <x:v>Er hielt Jesus für unrein.</x:v>
      </x:c>
      <x:c r="U38" s="36" t="str">
        <x:v>Er hatte das Haus bereits verlassen.</x:v>
      </x:c>
      <x:c r="V38" s="36" t="n">
        <x:v>0</x:v>
      </x:c>
      <x:c r="W38" s="36" t="str">
        <x:v>Er vertraute darauf, dass Jesu Wort allein zur Heilung genügt.</x:v>
      </x:c>
      <x:c r="X38" s="36" t="str">
        <x:v>Matthäus 8,5–10</x:v>
      </x:c>
      <x:c r="Y38" s="36" t="str">
        <x:v>Der Hauptmann vergleicht Jesu Autorität mit Befehlsgewalt und vertraut darauf, dass ein Wort Jesu genügt.</x:v>
      </x:c>
      <x:c r="Z38" s="36" t="str">
        <x:v>JA</x:v>
      </x:c>
      <x:c r="AA38" s="36" t="str">
        <x:v>JA</x:v>
      </x:c>
      <x:c r="AB38" s="36" t="str">
        <x:v>JA</x:v>
      </x:c>
      <x:c r="AC38" s="36" t="str">
        <x:v>JA</x:v>
      </x:c>
      <x:c r="AD38" s="36" t="str">
        <x:v>JA</x:v>
      </x:c>
      <x:c r="AE38" s="36" t="str">
        <x:v>JA</x:v>
      </x:c>
      <x:c r="AF38" s="36" t="str">
        <x:v>JA</x:v>
      </x:c>
      <x:c r="AG38" s="36" t="str">
        <x:v>FREIGEGEBEN</x:v>
      </x:c>
      <x:c r="AH38" s="36" t="str">
        <x:v>GPT-5.6 Sol · Buchprüfung Matthäus · L1912/OTB</x:v>
      </x:c>
      <x:c r="AI38" s="36" t="str">
        <x:v>FREIGEGEBEN</x:v>
      </x:c>
      <x:c r="AJ38" s="36" t="str">
        <x:v>Matthäus 8: repetitive Wiedererkennungsfrage durch ZUSAMMENHANG-Frage ersetzt.</x:v>
      </x:c>
      <x:c r="AK38" s="36" t="str">
        <x:v>FaithPath repo develop/v4 · data/bibles/l1912/MAT.json · data/bibles/otb/MAT.json</x:v>
      </x:c>
      <x:c r="AL38" t="str">
        <x:v>JA</x:v>
      </x:c>
    </x:row>
    <x:row r="39">
      <x:c r="A39" t="str">
        <x:v>FP-0298</x:v>
      </x:c>
      <x:c r="B39" t="str">
        <x:v>MAT</x:v>
      </x:c>
      <x:c r="C39" t="str">
        <x:v>Matthäus</x:v>
      </x:c>
      <x:c r="D39" t="n">
        <x:v>8</x:v>
      </x:c>
      <x:c r="E39" t="n">
        <x:v>3</x:v>
      </x:c>
      <x:c r="F39" t="str">
        <x:v>MAT-008</x:v>
      </x:c>
      <x:c r="G39" t="n">
        <x:v>8</x:v>
      </x:c>
      <x:c r="H39" t="str">
        <x:v>CQ-A01</x:v>
      </x:c>
      <x:c r="I39" s="36" t="str">
        <x:v>Welche dieser Aussagen stammt aus Matthäus 8?</x:v>
      </x:c>
      <x:c r="J39" s="36" t="str"/>
      <x:c r="K39" s="36" t="str"/>
      <x:c r="L39" s="36" t="str">
        <x:v>REPO_VERIFIZIERT_FRAGEFORM</x:v>
      </x:c>
      <x:c r="M39" s="36" t="str">
        <x:v>ERSETZEN</x:v>
      </x:c>
      <x:c r="N39" s="36" t="str">
        <x:v>REPETITIVE_FRAGEFORM</x:v>
      </x:c>
      <x:c r="O39" s="36" t="str">
        <x:v>REINE_WIEDERERKENNUNG</x:v>
      </x:c>
      <x:c r="P39" s="36" t="str">
        <x:v>KERNAUSSAGE</x:v>
      </x:c>
      <x:c r="Q39" s="36" t="str">
        <x:v>Was macht Jesus dem Schriftgelehrten über Nachfolge deutlich?</x:v>
      </x:c>
      <x:c r="R39" s="36" t="str">
        <x:v>Nachfolge führt immer zu materiellem Wohlstand.</x:v>
      </x:c>
      <x:c r="S39" s="36" t="str">
        <x:v>Der Menschensohn hat keinen festen Ort, wo er sein Haupt hinlegen kann.</x:v>
      </x:c>
      <x:c r="T39" s="36" t="str">
        <x:v>Jeder Nachfolger erhält sofort ein eigenes Haus.</x:v>
      </x:c>
      <x:c r="U39" s="36" t="str">
        <x:v>Nachfolge ist nur Priestern möglich.</x:v>
      </x:c>
      <x:c r="V39" s="36" t="n">
        <x:v>1</x:v>
      </x:c>
      <x:c r="W39" s="36" t="str">
        <x:v>Der Menschensohn hat keinen festen Ort, wo er sein Haupt hinlegen kann.</x:v>
      </x:c>
      <x:c r="X39" s="36" t="str">
        <x:v>Matthäus 8,19–20</x:v>
      </x:c>
      <x:c r="Y39" s="36" t="str">
        <x:v>Jesus macht deutlich, dass Nachfolge nicht mit Sicherheit und Bequemlichkeit gleichgesetzt werden kann.</x:v>
      </x:c>
      <x:c r="Z39" s="36" t="str">
        <x:v>JA</x:v>
      </x:c>
      <x:c r="AA39" s="36" t="str">
        <x:v>JA</x:v>
      </x:c>
      <x:c r="AB39" s="36" t="str">
        <x:v>JA</x:v>
      </x:c>
      <x:c r="AC39" s="36" t="str">
        <x:v>JA</x:v>
      </x:c>
      <x:c r="AD39" s="36" t="str">
        <x:v>JA</x:v>
      </x:c>
      <x:c r="AE39" s="36" t="str">
        <x:v>JA</x:v>
      </x:c>
      <x:c r="AF39" s="36" t="str">
        <x:v>JA</x:v>
      </x:c>
      <x:c r="AG39" s="36" t="str">
        <x:v>FREIGEGEBEN</x:v>
      </x:c>
      <x:c r="AH39" s="36" t="str">
        <x:v>GPT-5.6 Sol · Buchprüfung Matthäus · L1912/OTB</x:v>
      </x:c>
      <x:c r="AI39" s="36" t="str">
        <x:v>FREIGEGEBEN</x:v>
      </x:c>
      <x:c r="AJ39" s="36" t="str">
        <x:v>Matthäus 8: repetitive Wiedererkennungsfrage durch KERNAUSSAGE-Frage ersetzt.</x:v>
      </x:c>
      <x:c r="AK39" s="36" t="str">
        <x:v>FaithPath repo develop/v4 · data/bibles/l1912/MAT.json · data/bibles/otb/MAT.json</x:v>
      </x:c>
      <x:c r="AL39" t="str">
        <x:v>JA</x:v>
      </x:c>
    </x:row>
    <x:row r="40">
      <x:c r="A40" t="str">
        <x:v>FP-0299</x:v>
      </x:c>
      <x:c r="B40" t="str">
        <x:v>MAT</x:v>
      </x:c>
      <x:c r="C40" t="str">
        <x:v>Matthäus</x:v>
      </x:c>
      <x:c r="D40" t="n">
        <x:v>8</x:v>
      </x:c>
      <x:c r="E40" t="n">
        <x:v>4</x:v>
      </x:c>
      <x:c r="F40" t="str">
        <x:v>MAT-008</x:v>
      </x:c>
      <x:c r="G40" t="n">
        <x:v>8</x:v>
      </x:c>
      <x:c r="H40" t="str">
        <x:v>CQ-A01</x:v>
      </x:c>
      <x:c r="I40" s="36" t="str">
        <x:v>Welche dieser Aussagen stammt aus Matthäus 8?</x:v>
      </x:c>
      <x:c r="J40" s="36" t="str"/>
      <x:c r="K40" s="36" t="str"/>
      <x:c r="L40" s="36" t="str">
        <x:v>REPO_VERIFIZIERT_FRAGEFORM</x:v>
      </x:c>
      <x:c r="M40" s="36" t="str">
        <x:v>ERSETZEN</x:v>
      </x:c>
      <x:c r="N40" s="36" t="str">
        <x:v>REPETITIVE_FRAGEFORM</x:v>
      </x:c>
      <x:c r="O40" s="36" t="str">
        <x:v>REINE_WIEDERERKENNUNG</x:v>
      </x:c>
      <x:c r="P40" s="36" t="str">
        <x:v>GESCHEHEN</x:v>
      </x:c>
      <x:c r="Q40" s="36" t="str">
        <x:v>Was geschah, nachdem Jesus Wind und Meer bedroht hatte?</x:v>
      </x:c>
      <x:c r="R40" s="36" t="str">
        <x:v>Das Schiff sank.</x:v>
      </x:c>
      <x:c r="S40" s="36" t="str">
        <x:v>Die Jünger schwammen ans Ufer.</x:v>
      </x:c>
      <x:c r="T40" s="36" t="str">
        <x:v>Es wurde ganz still.</x:v>
      </x:c>
      <x:c r="U40" s="36" t="str">
        <x:v>Ein zweiter Sturm begann.</x:v>
      </x:c>
      <x:c r="V40" s="36" t="n">
        <x:v>2</x:v>
      </x:c>
      <x:c r="W40" s="36" t="str">
        <x:v>Es wurde ganz still.</x:v>
      </x:c>
      <x:c r="X40" s="36" t="str">
        <x:v>Matthäus 8,23–27</x:v>
      </x:c>
      <x:c r="Y40" s="36" t="str">
        <x:v>Jesus stillt den Sturm; die Jünger staunen darüber, dass ihm sogar Wind und Meer gehorchen.</x:v>
      </x:c>
      <x:c r="Z40" s="36" t="str">
        <x:v>JA</x:v>
      </x:c>
      <x:c r="AA40" s="36" t="str">
        <x:v>JA</x:v>
      </x:c>
      <x:c r="AB40" s="36" t="str">
        <x:v>JA</x:v>
      </x:c>
      <x:c r="AC40" s="36" t="str">
        <x:v>JA</x:v>
      </x:c>
      <x:c r="AD40" s="36" t="str">
        <x:v>JA</x:v>
      </x:c>
      <x:c r="AE40" s="36" t="str">
        <x:v>JA</x:v>
      </x:c>
      <x:c r="AF40" s="36" t="str">
        <x:v>JA</x:v>
      </x:c>
      <x:c r="AG40" s="36" t="str">
        <x:v>FREIGEGEBEN</x:v>
      </x:c>
      <x:c r="AH40" s="36" t="str">
        <x:v>GPT-5.6 Sol · Buchprüfung Matthäus · L1912/OTB</x:v>
      </x:c>
      <x:c r="AI40" s="36" t="str">
        <x:v>FREIGEGEBEN</x:v>
      </x:c>
      <x:c r="AJ40" s="36" t="str">
        <x:v>Matthäus 8: repetitive Wiedererkennungsfrage durch GESCHEHEN-Frage ersetzt.</x:v>
      </x:c>
      <x:c r="AK40" s="36" t="str">
        <x:v>FaithPath repo develop/v4 · data/bibles/l1912/MAT.json · data/bibles/otb/MAT.json</x:v>
      </x:c>
      <x:c r="AL40" t="str">
        <x:v>JA</x:v>
      </x:c>
    </x:row>
    <x:row r="41">
      <x:c r="A41" t="str">
        <x:v>FP-0300</x:v>
      </x:c>
      <x:c r="B41" t="str">
        <x:v>MAT</x:v>
      </x:c>
      <x:c r="C41" t="str">
        <x:v>Matthäus</x:v>
      </x:c>
      <x:c r="D41" t="n">
        <x:v>8</x:v>
      </x:c>
      <x:c r="E41" t="n">
        <x:v>5</x:v>
      </x:c>
      <x:c r="F41" t="str">
        <x:v>MAT-008</x:v>
      </x:c>
      <x:c r="G41" t="n">
        <x:v>8</x:v>
      </x:c>
      <x:c r="H41" t="str">
        <x:v>CQ-A01</x:v>
      </x:c>
      <x:c r="I41" s="36" t="str">
        <x:v>Welche dieser Aussagen stammt aus Matthäus 8?</x:v>
      </x:c>
      <x:c r="J41" s="36" t="str"/>
      <x:c r="K41" s="36" t="str"/>
      <x:c r="L41" s="36" t="str">
        <x:v>REPO_VERIFIZIERT_FRAGEFORM</x:v>
      </x:c>
      <x:c r="M41" s="36" t="str">
        <x:v>ERSETZEN</x:v>
      </x:c>
      <x:c r="N41" s="36" t="str">
        <x:v>REPETITIVE_FRAGEFORM</x:v>
      </x:c>
      <x:c r="O41" s="36" t="str">
        <x:v>REINE_WIEDERERKENNUNG</x:v>
      </x:c>
      <x:c r="P41" s="36" t="str">
        <x:v>GESCHEHEN</x:v>
      </x:c>
      <x:c r="Q41" s="36" t="str">
        <x:v>Was baten die Bewohner der Gegend Jesus nach dem Geschehen mit den Besessenen und der Schweineherde?</x:v>
      </x:c>
      <x:c r="R41" s="36" t="str">
        <x:v>Er solle dauerhaft bei ihnen wohnen.</x:v>
      </x:c>
      <x:c r="S41" s="36" t="str">
        <x:v>Er solle sie alle taufen.</x:v>
      </x:c>
      <x:c r="T41" s="36" t="str">
        <x:v>Er solle die Herde wiederherstellen.</x:v>
      </x:c>
      <x:c r="U41" s="36" t="str">
        <x:v>Er solle ihre Gegend verlassen.</x:v>
      </x:c>
      <x:c r="V41" s="36" t="n">
        <x:v>3</x:v>
      </x:c>
      <x:c r="W41" s="36" t="str">
        <x:v>Er solle ihre Gegend verlassen.</x:v>
      </x:c>
      <x:c r="X41" s="36" t="str">
        <x:v>Matthäus 8,28–34</x:v>
      </x:c>
      <x:c r="Y41" s="36" t="str">
        <x:v>Nachdem die Hirten berichtet hatten, kommt die Stadt Jesus entgegen und bittet ihn, ihre Gegend zu verlassen.</x:v>
      </x:c>
      <x:c r="Z41" s="36" t="str">
        <x:v>JA</x:v>
      </x:c>
      <x:c r="AA41" s="36" t="str">
        <x:v>JA</x:v>
      </x:c>
      <x:c r="AB41" s="36" t="str">
        <x:v>JA</x:v>
      </x:c>
      <x:c r="AC41" s="36" t="str">
        <x:v>JA</x:v>
      </x:c>
      <x:c r="AD41" s="36" t="str">
        <x:v>JA</x:v>
      </x:c>
      <x:c r="AE41" s="36" t="str">
        <x:v>JA</x:v>
      </x:c>
      <x:c r="AF41" s="36" t="str">
        <x:v>JA</x:v>
      </x:c>
      <x:c r="AG41" s="36" t="str">
        <x:v>FREIGEGEBEN</x:v>
      </x:c>
      <x:c r="AH41" s="36" t="str">
        <x:v>GPT-5.6 Sol · Buchprüfung Matthäus · L1912/OTB</x:v>
      </x:c>
      <x:c r="AI41" s="36" t="str">
        <x:v>FREIGEGEBEN</x:v>
      </x:c>
      <x:c r="AJ41" s="36" t="str">
        <x:v>Matthäus 8: repetitive Wiedererkennungsfrage durch GESCHEHEN-Frage ersetzt.</x:v>
      </x:c>
      <x:c r="AK41" s="36" t="str">
        <x:v>FaithPath repo develop/v4 · data/bibles/l1912/MAT.json · data/bibles/otb/MAT.json</x:v>
      </x:c>
      <x:c r="AL41" t="str">
        <x:v>JA</x:v>
      </x:c>
    </x:row>
    <x:row r="42">
      <x:c r="A42" t="str">
        <x:v>FP-0301</x:v>
      </x:c>
      <x:c r="B42" t="str">
        <x:v>MAT</x:v>
      </x:c>
      <x:c r="C42" t="str">
        <x:v>Matthäus</x:v>
      </x:c>
      <x:c r="D42" t="n">
        <x:v>9</x:v>
      </x:c>
      <x:c r="E42" t="n">
        <x:v>1</x:v>
      </x:c>
      <x:c r="F42" t="str">
        <x:v>MAT-009</x:v>
      </x:c>
      <x:c r="G42" t="n">
        <x:v>9</x:v>
      </x:c>
      <x:c r="H42" t="str">
        <x:v>CQ-A01</x:v>
      </x:c>
      <x:c r="I42" s="36" t="str">
        <x:v>Welche dieser Aussagen stammt aus Matthäus 9?</x:v>
      </x:c>
      <x:c r="J42" s="36" t="str"/>
      <x:c r="K42" s="36" t="str"/>
      <x:c r="L42" s="36" t="str">
        <x:v>REPO_VERIFIZIERT_FRAGEFORM</x:v>
      </x:c>
      <x:c r="M42" s="36" t="str">
        <x:v>ERSETZEN</x:v>
      </x:c>
      <x:c r="N42" s="36" t="str">
        <x:v>REPETITIVE_FRAGEFORM</x:v>
      </x:c>
      <x:c r="O42" s="36" t="str">
        <x:v>REINE_WIEDERERKENNUNG</x:v>
      </x:c>
      <x:c r="P42" s="36" t="str">
        <x:v>ZUSAMMENHANG</x:v>
      </x:c>
      <x:c r="Q42" s="36" t="str">
        <x:v>Was sagte Jesus dem Gelähmten, bevor er ihn körperlich heilte?</x:v>
      </x:c>
      <x:c r="R42" s="36" t="str">
        <x:v>Seine Sünden seien ihm vergeben.</x:v>
      </x:c>
      <x:c r="S42" s="36" t="str">
        <x:v>Er müsse zuerst fasten.</x:v>
      </x:c>
      <x:c r="T42" s="36" t="str">
        <x:v>Er solle nach Jerusalem gehen.</x:v>
      </x:c>
      <x:c r="U42" s="36" t="str">
        <x:v>Er müsse ein Opfer bringen.</x:v>
      </x:c>
      <x:c r="V42" s="36" t="n">
        <x:v>0</x:v>
      </x:c>
      <x:c r="W42" s="36" t="str">
        <x:v>Seine Sünden seien ihm vergeben.</x:v>
      </x:c>
      <x:c r="X42" s="36" t="str">
        <x:v>Matthäus 9,2–7</x:v>
      </x:c>
      <x:c r="Y42" s="36" t="str">
        <x:v>Jesus spricht zuerst die Vergebung der Sünden aus und heilt den Gelähmten anschließend als Zeichen seiner Vollmacht.</x:v>
      </x:c>
      <x:c r="Z42" s="36" t="str">
        <x:v>JA</x:v>
      </x:c>
      <x:c r="AA42" s="36" t="str">
        <x:v>JA</x:v>
      </x:c>
      <x:c r="AB42" s="36" t="str">
        <x:v>JA</x:v>
      </x:c>
      <x:c r="AC42" s="36" t="str">
        <x:v>JA</x:v>
      </x:c>
      <x:c r="AD42" s="36" t="str">
        <x:v>JA</x:v>
      </x:c>
      <x:c r="AE42" s="36" t="str">
        <x:v>JA</x:v>
      </x:c>
      <x:c r="AF42" s="36" t="str">
        <x:v>JA</x:v>
      </x:c>
      <x:c r="AG42" s="36" t="str">
        <x:v>FREIGEGEBEN</x:v>
      </x:c>
      <x:c r="AH42" s="36" t="str">
        <x:v>GPT-5.6 Sol · Buchprüfung Matthäus · L1912/OTB</x:v>
      </x:c>
      <x:c r="AI42" s="36" t="str">
        <x:v>FREIGEGEBEN</x:v>
      </x:c>
      <x:c r="AJ42" s="36" t="str">
        <x:v>Matthäus 9: repetitive Wiedererkennungsfrage durch ZUSAMMENHANG-Frage ersetzt.</x:v>
      </x:c>
      <x:c r="AK42" s="36" t="str">
        <x:v>FaithPath repo develop/v4 · data/bibles/l1912/MAT.json · data/bibles/otb/MAT.json</x:v>
      </x:c>
      <x:c r="AL42" t="str">
        <x:v>JA</x:v>
      </x:c>
    </x:row>
    <x:row r="43">
      <x:c r="A43" t="str">
        <x:v>FP-0302</x:v>
      </x:c>
      <x:c r="B43" t="str">
        <x:v>MAT</x:v>
      </x:c>
      <x:c r="C43" t="str">
        <x:v>Matthäus</x:v>
      </x:c>
      <x:c r="D43" t="n">
        <x:v>9</x:v>
      </x:c>
      <x:c r="E43" t="n">
        <x:v>2</x:v>
      </x:c>
      <x:c r="F43" t="str">
        <x:v>MAT-009</x:v>
      </x:c>
      <x:c r="G43" t="n">
        <x:v>9</x:v>
      </x:c>
      <x:c r="H43" t="str">
        <x:v>CQ-A01</x:v>
      </x:c>
      <x:c r="I43" s="36" t="str">
        <x:v>Welche dieser Aussagen stammt aus Matthäus 9?</x:v>
      </x:c>
      <x:c r="J43" s="36" t="str"/>
      <x:c r="K43" s="36" t="str"/>
      <x:c r="L43" s="36" t="str">
        <x:v>REPO_VERIFIZIERT_FRAGEFORM</x:v>
      </x:c>
      <x:c r="M43" s="36" t="str">
        <x:v>ERSETZEN</x:v>
      </x:c>
      <x:c r="N43" s="36" t="str">
        <x:v>REPETITIVE_FRAGEFORM</x:v>
      </x:c>
      <x:c r="O43" s="36" t="str">
        <x:v>REINE_WIEDERERKENNUNG</x:v>
      </x:c>
      <x:c r="P43" s="36" t="str">
        <x:v>GESCHEHEN</x:v>
      </x:c>
      <x:c r="Q43" s="36" t="str">
        <x:v>Wo befand sich Matthäus, als Jesus ihn in die Nachfolge rief?</x:v>
      </x:c>
      <x:c r="R43" s="36" t="str">
        <x:v>Im Tempel.</x:v>
      </x:c>
      <x:c r="S43" s="36" t="str">
        <x:v>Am Zoll.</x:v>
      </x:c>
      <x:c r="T43" s="36" t="str">
        <x:v>Auf einem Fischerboot.</x:v>
      </x:c>
      <x:c r="U43" s="36" t="str">
        <x:v>In einer Synagoge.</x:v>
      </x:c>
      <x:c r="V43" s="36" t="n">
        <x:v>1</x:v>
      </x:c>
      <x:c r="W43" s="36" t="str">
        <x:v>Am Zoll.</x:v>
      </x:c>
      <x:c r="X43" s="36" t="str">
        <x:v>Matthäus 9,9</x:v>
      </x:c>
      <x:c r="Y43" s="36" t="str">
        <x:v>Jesus sieht Matthäus am Zoll sitzen, ruft ihn mit „Folge mir“, und Matthäus folgt ihm.</x:v>
      </x:c>
      <x:c r="Z43" s="36" t="str">
        <x:v>JA</x:v>
      </x:c>
      <x:c r="AA43" s="36" t="str">
        <x:v>JA</x:v>
      </x:c>
      <x:c r="AB43" s="36" t="str">
        <x:v>JA</x:v>
      </x:c>
      <x:c r="AC43" s="36" t="str">
        <x:v>JA</x:v>
      </x:c>
      <x:c r="AD43" s="36" t="str">
        <x:v>JA</x:v>
      </x:c>
      <x:c r="AE43" s="36" t="str">
        <x:v>JA</x:v>
      </x:c>
      <x:c r="AF43" s="36" t="str">
        <x:v>JA</x:v>
      </x:c>
      <x:c r="AG43" s="36" t="str">
        <x:v>FREIGEGEBEN</x:v>
      </x:c>
      <x:c r="AH43" s="36" t="str">
        <x:v>GPT-5.6 Sol · Buchprüfung Matthäus · L1912/OTB</x:v>
      </x:c>
      <x:c r="AI43" s="36" t="str">
        <x:v>FREIGEGEBEN</x:v>
      </x:c>
      <x:c r="AJ43" s="36" t="str">
        <x:v>Matthäus 9: repetitive Wiedererkennungsfrage durch GESCHEHEN-Frage ersetzt.</x:v>
      </x:c>
      <x:c r="AK43" s="36" t="str">
        <x:v>FaithPath repo develop/v4 · data/bibles/l1912/MAT.json · data/bibles/otb/MAT.json</x:v>
      </x:c>
      <x:c r="AL43" t="str">
        <x:v>JA</x:v>
      </x:c>
    </x:row>
    <x:row r="44">
      <x:c r="A44" t="str">
        <x:v>FP-0303</x:v>
      </x:c>
      <x:c r="B44" t="str">
        <x:v>MAT</x:v>
      </x:c>
      <x:c r="C44" t="str">
        <x:v>Matthäus</x:v>
      </x:c>
      <x:c r="D44" t="n">
        <x:v>9</x:v>
      </x:c>
      <x:c r="E44" t="n">
        <x:v>3</x:v>
      </x:c>
      <x:c r="F44" t="str">
        <x:v>MAT-009</x:v>
      </x:c>
      <x:c r="G44" t="n">
        <x:v>9</x:v>
      </x:c>
      <x:c r="H44" t="str">
        <x:v>CQ-A01</x:v>
      </x:c>
      <x:c r="I44" s="36" t="str">
        <x:v>Welche dieser Aussagen stammt aus Matthäus 9?</x:v>
      </x:c>
      <x:c r="J44" s="36" t="str"/>
      <x:c r="K44" s="36" t="str"/>
      <x:c r="L44" s="36" t="str">
        <x:v>REPO_VERIFIZIERT_FRAGEFORM</x:v>
      </x:c>
      <x:c r="M44" s="36" t="str">
        <x:v>ERSETZEN</x:v>
      </x:c>
      <x:c r="N44" s="36" t="str">
        <x:v>REPETITIVE_FRAGEFORM</x:v>
      </x:c>
      <x:c r="O44" s="36" t="str">
        <x:v>REINE_WIEDERERKENNUNG</x:v>
      </x:c>
      <x:c r="P44" s="36" t="str">
        <x:v>KERNAUSSAGE</x:v>
      </x:c>
      <x:c r="Q44" s="36" t="str">
        <x:v>Wie begründet Jesus, dass er mit Zöllnern und Sündern isst?</x:v>
      </x:c>
      <x:c r="R44" s="36" t="str">
        <x:v>Zöllner seien gerechter als alle anderen.</x:v>
      </x:c>
      <x:c r="S44" s="36" t="str">
        <x:v>Jeder müsse mit jedem essen, unabhängig von allem weiteren.</x:v>
      </x:c>
      <x:c r="T44" s="36" t="str">
        <x:v>Nicht die Gesunden brauchen den Arzt, sondern die Kranken; er ist gekommen, Sünder zu rufen.</x:v>
      </x:c>
      <x:c r="U44" s="36" t="str">
        <x:v>Die Pharisäer hätten ihn ausdrücklich darum gebeten.</x:v>
      </x:c>
      <x:c r="V44" s="36" t="n">
        <x:v>2</x:v>
      </x:c>
      <x:c r="W44" s="36" t="str">
        <x:v>Nicht die Gesunden brauchen den Arzt, sondern die Kranken; er ist gekommen, Sünder zu rufen.</x:v>
      </x:c>
      <x:c r="X44" s="36" t="str">
        <x:v>Matthäus 9,10–13</x:v>
      </x:c>
      <x:c r="Y44" s="36" t="str">
        <x:v>Jesus verwendet das Bild vom Arzt und erklärt seinen Auftrag gegenüber Sündern.</x:v>
      </x:c>
      <x:c r="Z44" s="36" t="str">
        <x:v>JA</x:v>
      </x:c>
      <x:c r="AA44" s="36" t="str">
        <x:v>JA</x:v>
      </x:c>
      <x:c r="AB44" s="36" t="str">
        <x:v>JA</x:v>
      </x:c>
      <x:c r="AC44" s="36" t="str">
        <x:v>JA</x:v>
      </x:c>
      <x:c r="AD44" s="36" t="str">
        <x:v>JA</x:v>
      </x:c>
      <x:c r="AE44" s="36" t="str">
        <x:v>JA</x:v>
      </x:c>
      <x:c r="AF44" s="36" t="str">
        <x:v>JA</x:v>
      </x:c>
      <x:c r="AG44" s="36" t="str">
        <x:v>FREIGEGEBEN</x:v>
      </x:c>
      <x:c r="AH44" s="36" t="str">
        <x:v>GPT-5.6 Sol · Buchprüfung Matthäus · L1912/OTB</x:v>
      </x:c>
      <x:c r="AI44" s="36" t="str">
        <x:v>FREIGEGEBEN</x:v>
      </x:c>
      <x:c r="AJ44" s="36" t="str">
        <x:v>Matthäus 9: repetitive Wiedererkennungsfrage durch KERNAUSSAGE-Frage ersetzt.</x:v>
      </x:c>
      <x:c r="AK44" s="36" t="str">
        <x:v>FaithPath repo develop/v4 · data/bibles/l1912/MAT.json · data/bibles/otb/MAT.json</x:v>
      </x:c>
      <x:c r="AL44" t="str">
        <x:v>JA</x:v>
      </x:c>
    </x:row>
    <x:row r="45">
      <x:c r="A45" t="str">
        <x:v>FP-0304</x:v>
      </x:c>
      <x:c r="B45" t="str">
        <x:v>MAT</x:v>
      </x:c>
      <x:c r="C45" t="str">
        <x:v>Matthäus</x:v>
      </x:c>
      <x:c r="D45" t="n">
        <x:v>9</x:v>
      </x:c>
      <x:c r="E45" t="n">
        <x:v>4</x:v>
      </x:c>
      <x:c r="F45" t="str">
        <x:v>MAT-009</x:v>
      </x:c>
      <x:c r="G45" t="n">
        <x:v>9</x:v>
      </x:c>
      <x:c r="H45" t="str">
        <x:v>CQ-A01</x:v>
      </x:c>
      <x:c r="I45" s="36" t="str">
        <x:v>Welche dieser Aussagen stammt aus Matthäus 9?</x:v>
      </x:c>
      <x:c r="J45" s="36" t="str"/>
      <x:c r="K45" s="36" t="str"/>
      <x:c r="L45" s="36" t="str">
        <x:v>REPO_VERIFIZIERT_FRAGEFORM</x:v>
      </x:c>
      <x:c r="M45" s="36" t="str">
        <x:v>ERSETZEN</x:v>
      </x:c>
      <x:c r="N45" s="36" t="str">
        <x:v>REPETITIVE_FRAGEFORM</x:v>
      </x:c>
      <x:c r="O45" s="36" t="str">
        <x:v>REINE_WIEDERERKENNUNG</x:v>
      </x:c>
      <x:c r="P45" s="36" t="str">
        <x:v>PERSON_AUSSAGE</x:v>
      </x:c>
      <x:c r="Q45" s="36" t="str">
        <x:v>Was sagt Jesus der Frau, die seit zwölf Jahren Blutungen hatte?</x:v>
      </x:c>
      <x:c r="R45" s="36" t="str">
        <x:v>Sie müsse zuerst zum Priester gehen.</x:v>
      </x:c>
      <x:c r="S45" s="36" t="str">
        <x:v>Sie solle sieben Tage warten.</x:v>
      </x:c>
      <x:c r="T45" s="36" t="str">
        <x:v>Ihre Familie habe sie geheilt.</x:v>
      </x:c>
      <x:c r="U45" s="36" t="str">
        <x:v>Ihr Glaube habe ihr geholfen.</x:v>
      </x:c>
      <x:c r="V45" s="36" t="n">
        <x:v>3</x:v>
      </x:c>
      <x:c r="W45" s="36" t="str">
        <x:v>Ihr Glaube habe ihr geholfen.</x:v>
      </x:c>
      <x:c r="X45" s="36" t="str">
        <x:v>Matthäus 9,20–22</x:v>
      </x:c>
      <x:c r="Y45" s="36" t="str">
        <x:v>Die Frau berührt Jesu Gewand im Vertrauen auf Heilung; Jesus spricht ihr zu, dass ihr Glaube ihr geholfen hat.</x:v>
      </x:c>
      <x:c r="Z45" s="36" t="str">
        <x:v>JA</x:v>
      </x:c>
      <x:c r="AA45" s="36" t="str">
        <x:v>JA</x:v>
      </x:c>
      <x:c r="AB45" s="36" t="str">
        <x:v>JA</x:v>
      </x:c>
      <x:c r="AC45" s="36" t="str">
        <x:v>JA</x:v>
      </x:c>
      <x:c r="AD45" s="36" t="str">
        <x:v>JA</x:v>
      </x:c>
      <x:c r="AE45" s="36" t="str">
        <x:v>JA</x:v>
      </x:c>
      <x:c r="AF45" s="36" t="str">
        <x:v>JA</x:v>
      </x:c>
      <x:c r="AG45" s="36" t="str">
        <x:v>FREIGEGEBEN</x:v>
      </x:c>
      <x:c r="AH45" s="36" t="str">
        <x:v>GPT-5.6 Sol · Buchprüfung Matthäus · L1912/OTB</x:v>
      </x:c>
      <x:c r="AI45" s="36" t="str">
        <x:v>FREIGEGEBEN</x:v>
      </x:c>
      <x:c r="AJ45" s="36" t="str">
        <x:v>Matthäus 9: repetitive Wiedererkennungsfrage durch PERSON_AUSSAGE-Frage ersetzt.</x:v>
      </x:c>
      <x:c r="AK45" s="36" t="str">
        <x:v>FaithPath repo develop/v4 · data/bibles/l1912/MAT.json · data/bibles/otb/MAT.json</x:v>
      </x:c>
      <x:c r="AL45" t="str">
        <x:v>JA</x:v>
      </x:c>
    </x:row>
    <x:row r="46">
      <x:c r="A46" t="str">
        <x:v>FP-0305</x:v>
      </x:c>
      <x:c r="B46" t="str">
        <x:v>MAT</x:v>
      </x:c>
      <x:c r="C46" t="str">
        <x:v>Matthäus</x:v>
      </x:c>
      <x:c r="D46" t="n">
        <x:v>9</x:v>
      </x:c>
      <x:c r="E46" t="n">
        <x:v>5</x:v>
      </x:c>
      <x:c r="F46" t="str">
        <x:v>MAT-009</x:v>
      </x:c>
      <x:c r="G46" t="n">
        <x:v>9</x:v>
      </x:c>
      <x:c r="H46" t="str">
        <x:v>CQ-A01</x:v>
      </x:c>
      <x:c r="I46" s="36" t="str">
        <x:v>Welche dieser Aussagen stammt aus Matthäus 9?</x:v>
      </x:c>
      <x:c r="J46" s="36" t="str"/>
      <x:c r="K46" s="36" t="str"/>
      <x:c r="L46" s="36" t="str">
        <x:v>REPO_VERIFIZIERT_FRAGEFORM</x:v>
      </x:c>
      <x:c r="M46" s="36" t="str">
        <x:v>ERSETZEN</x:v>
      </x:c>
      <x:c r="N46" s="36" t="str">
        <x:v>REPETITIVE_FRAGEFORM</x:v>
      </x:c>
      <x:c r="O46" s="36" t="str">
        <x:v>REINE_WIEDERERKENNUNG</x:v>
      </x:c>
      <x:c r="P46" s="36" t="str">
        <x:v>KERNAUSSAGE</x:v>
      </x:c>
      <x:c r="Q46" s="36" t="str">
        <x:v>Was sollen die Jünger angesichts der großen Ernte und der wenigen Arbeiter tun?</x:v>
      </x:c>
      <x:c r="R46" s="36" t="str">
        <x:v>Den Herrn der Ernte bitten, Arbeiter in seine Ernte zu senden.</x:v>
      </x:c>
      <x:c r="S46" s="36" t="str">
        <x:v>Selbst die Ernte abbrechen.</x:v>
      </x:c>
      <x:c r="T46" s="36" t="str">
        <x:v>Nur in Jerusalem predigen.</x:v>
      </x:c>
      <x:c r="U46" s="36" t="str">
        <x:v>Auf ein weiteres Zeichen warten.</x:v>
      </x:c>
      <x:c r="V46" s="36" t="n">
        <x:v>0</x:v>
      </x:c>
      <x:c r="W46" s="36" t="str">
        <x:v>Den Herrn der Ernte bitten, Arbeiter in seine Ernte zu senden.</x:v>
      </x:c>
      <x:c r="X46" s="36" t="str">
        <x:v>Matthäus 9,36–38</x:v>
      </x:c>
      <x:c r="Y46" s="36" t="str">
        <x:v>Jesus sieht die Not der Menschen, spricht von einer großen Ernte und fordert zum Gebet um Arbeiter auf.</x:v>
      </x:c>
      <x:c r="Z46" s="36" t="str">
        <x:v>JA</x:v>
      </x:c>
      <x:c r="AA46" s="36" t="str">
        <x:v>JA</x:v>
      </x:c>
      <x:c r="AB46" s="36" t="str">
        <x:v>JA</x:v>
      </x:c>
      <x:c r="AC46" s="36" t="str">
        <x:v>JA</x:v>
      </x:c>
      <x:c r="AD46" s="36" t="str">
        <x:v>JA</x:v>
      </x:c>
      <x:c r="AE46" s="36" t="str">
        <x:v>JA</x:v>
      </x:c>
      <x:c r="AF46" s="36" t="str">
        <x:v>JA</x:v>
      </x:c>
      <x:c r="AG46" s="36" t="str">
        <x:v>FREIGEGEBEN</x:v>
      </x:c>
      <x:c r="AH46" s="36" t="str">
        <x:v>GPT-5.6 Sol · Buchprüfung Matthäus · L1912/OTB</x:v>
      </x:c>
      <x:c r="AI46" s="36" t="str">
        <x:v>FREIGEGEBEN</x:v>
      </x:c>
      <x:c r="AJ46" s="36" t="str">
        <x:v>Matthäus 9: repetitive Wiedererkennungsfrage durch KERNAUSSAGE-Frage ersetzt.</x:v>
      </x:c>
      <x:c r="AK46" s="36" t="str">
        <x:v>FaithPath repo develop/v4 · data/bibles/l1912/MAT.json · data/bibles/otb/MAT.json</x:v>
      </x:c>
      <x:c r="AL46" t="str">
        <x:v>JA</x:v>
      </x:c>
    </x:row>
    <x:row r="47">
      <x:c r="A47" t="str">
        <x:v>FP-0306</x:v>
      </x:c>
      <x:c r="B47" t="str">
        <x:v>MAT</x:v>
      </x:c>
      <x:c r="C47" t="str">
        <x:v>Matthäus</x:v>
      </x:c>
      <x:c r="D47" t="n">
        <x:v>10</x:v>
      </x:c>
      <x:c r="E47" t="n">
        <x:v>1</x:v>
      </x:c>
      <x:c r="F47" t="str">
        <x:v>MAT-010</x:v>
      </x:c>
      <x:c r="G47" t="n">
        <x:v>10</x:v>
      </x:c>
      <x:c r="H47" t="str">
        <x:v>CQ-A01</x:v>
      </x:c>
      <x:c r="I47" s="36" t="str">
        <x:v>Welche dieser Aussagen stammt aus Matthäus 10?</x:v>
      </x:c>
      <x:c r="J47" s="36" t="str"/>
      <x:c r="K47" s="36" t="str"/>
      <x:c r="L47" s="36" t="str">
        <x:v>REPO_VERIFIZIERT_FRAGEFORM</x:v>
      </x:c>
      <x:c r="M47" s="36" t="str">
        <x:v>ERSETZEN</x:v>
      </x:c>
      <x:c r="N47" s="36" t="str">
        <x:v>REPETITIVE_FRAGEFORM</x:v>
      </x:c>
      <x:c r="O47" s="36" t="str">
        <x:v>REINE_WIEDERERKENNUNG</x:v>
      </x:c>
      <x:c r="P47" s="36" t="str">
        <x:v>GESCHEHEN</x:v>
      </x:c>
      <x:c r="Q47" s="36" t="str">
        <x:v>Welche Vollmacht gab Jesus den zwölf Jüngern zu Beginn ihrer Aussendung?</x:v>
      </x:c>
      <x:c r="R47" s="36" t="str">
        <x:v>Vollmacht, Steuern zu erheben.</x:v>
      </x:c>
      <x:c r="S47" s="36" t="str">
        <x:v>Vollmacht über unreine Geister und zum Heilen von Krankheiten.</x:v>
      </x:c>
      <x:c r="T47" s="36" t="str">
        <x:v>Vollmacht, den Tempel zu verwalten.</x:v>
      </x:c>
      <x:c r="U47" s="36" t="str">
        <x:v>Vollmacht, römische Soldaten zu befehligen.</x:v>
      </x:c>
      <x:c r="V47" s="36" t="n">
        <x:v>1</x:v>
      </x:c>
      <x:c r="W47" s="36" t="str">
        <x:v>Vollmacht über unreine Geister und zum Heilen von Krankheiten.</x:v>
      </x:c>
      <x:c r="X47" s="36" t="str">
        <x:v>Matthäus 10,1</x:v>
      </x:c>
      <x:c r="Y47" s="36" t="str">
        <x:v>Jesus gibt den Zwölf Vollmacht über unreine Geister und über Krankheiten.</x:v>
      </x:c>
      <x:c r="Z47" s="36" t="str">
        <x:v>JA</x:v>
      </x:c>
      <x:c r="AA47" s="36" t="str">
        <x:v>JA</x:v>
      </x:c>
      <x:c r="AB47" s="36" t="str">
        <x:v>JA</x:v>
      </x:c>
      <x:c r="AC47" s="36" t="str">
        <x:v>JA</x:v>
      </x:c>
      <x:c r="AD47" s="36" t="str">
        <x:v>JA</x:v>
      </x:c>
      <x:c r="AE47" s="36" t="str">
        <x:v>JA</x:v>
      </x:c>
      <x:c r="AF47" s="36" t="str">
        <x:v>JA</x:v>
      </x:c>
      <x:c r="AG47" s="36" t="str">
        <x:v>FREIGEGEBEN</x:v>
      </x:c>
      <x:c r="AH47" s="36" t="str">
        <x:v>GPT-5.6 Sol · Buchprüfung Matthäus · L1912/OTB</x:v>
      </x:c>
      <x:c r="AI47" s="36" t="str">
        <x:v>FREIGEGEBEN</x:v>
      </x:c>
      <x:c r="AJ47" s="36" t="str">
        <x:v>Matthäus 10: repetitive Wiedererkennungsfrage durch GESCHEHEN-Frage ersetzt.</x:v>
      </x:c>
      <x:c r="AK47" s="36" t="str">
        <x:v>FaithPath repo develop/v4 · data/bibles/l1912/MAT.json · data/bibles/otb/MAT.json</x:v>
      </x:c>
      <x:c r="AL47" t="str">
        <x:v>JA</x:v>
      </x:c>
    </x:row>
    <x:row r="48">
      <x:c r="A48" t="str">
        <x:v>FP-0307</x:v>
      </x:c>
      <x:c r="B48" t="str">
        <x:v>MAT</x:v>
      </x:c>
      <x:c r="C48" t="str">
        <x:v>Matthäus</x:v>
      </x:c>
      <x:c r="D48" t="n">
        <x:v>10</x:v>
      </x:c>
      <x:c r="E48" t="n">
        <x:v>2</x:v>
      </x:c>
      <x:c r="F48" t="str">
        <x:v>MAT-010</x:v>
      </x:c>
      <x:c r="G48" t="n">
        <x:v>10</x:v>
      </x:c>
      <x:c r="H48" t="str">
        <x:v>CQ-A01</x:v>
      </x:c>
      <x:c r="I48" s="36" t="str">
        <x:v>Welche dieser Aussagen stammt aus Matthäus 10?</x:v>
      </x:c>
      <x:c r="J48" s="36" t="str"/>
      <x:c r="K48" s="36" t="str"/>
      <x:c r="L48" s="36" t="str">
        <x:v>REPO_VERIFIZIERT_FRAGEFORM</x:v>
      </x:c>
      <x:c r="M48" s="36" t="str">
        <x:v>ERSETZEN</x:v>
      </x:c>
      <x:c r="N48" s="36" t="str">
        <x:v>REPETITIVE_FRAGEFORM</x:v>
      </x:c>
      <x:c r="O48" s="36" t="str">
        <x:v>REINE_WIEDERERKENNUNG</x:v>
      </x:c>
      <x:c r="P48" s="36" t="str">
        <x:v>TEXTGENAUIGKEIT</x:v>
      </x:c>
      <x:c r="Q48" s="36" t="str">
        <x:v>Zu wem sollten die Zwölf bei dieser ersten Aussendung besonders gehen?</x:v>
      </x:c>
      <x:c r="R48" s="36" t="str">
        <x:v>Ausschließlich zu den Römern.</x:v>
      </x:c>
      <x:c r="S48" s="36" t="str">
        <x:v>Nur zu den Samaritern.</x:v>
      </x:c>
      <x:c r="T48" s="36" t="str">
        <x:v>Zu den verlorenen Schafen des Hauses Israel.</x:v>
      </x:c>
      <x:c r="U48" s="36" t="str">
        <x:v>Nur zu den Priestern in Jerusalem.</x:v>
      </x:c>
      <x:c r="V48" s="36" t="n">
        <x:v>2</x:v>
      </x:c>
      <x:c r="W48" s="36" t="str">
        <x:v>Zu den verlorenen Schafen des Hauses Israel.</x:v>
      </x:c>
      <x:c r="X48" s="36" t="str">
        <x:v>Matthäus 10,5–6</x:v>
      </x:c>
      <x:c r="Y48" s="36" t="str">
        <x:v>Jesus begrenzt diese konkrete Aussendung zunächst auf die verlorenen Schafe des Hauses Israel.</x:v>
      </x:c>
      <x:c r="Z48" s="36" t="str">
        <x:v>JA</x:v>
      </x:c>
      <x:c r="AA48" s="36" t="str">
        <x:v>JA</x:v>
      </x:c>
      <x:c r="AB48" s="36" t="str">
        <x:v>JA</x:v>
      </x:c>
      <x:c r="AC48" s="36" t="str">
        <x:v>JA</x:v>
      </x:c>
      <x:c r="AD48" s="36" t="str">
        <x:v>JA</x:v>
      </x:c>
      <x:c r="AE48" s="36" t="str">
        <x:v>JA</x:v>
      </x:c>
      <x:c r="AF48" s="36" t="str">
        <x:v>JA</x:v>
      </x:c>
      <x:c r="AG48" s="36" t="str">
        <x:v>FREIGEGEBEN</x:v>
      </x:c>
      <x:c r="AH48" s="36" t="str">
        <x:v>GPT-5.6 Sol · Buchprüfung Matthäus · L1912/OTB</x:v>
      </x:c>
      <x:c r="AI48" s="36" t="str">
        <x:v>FREIGEGEBEN</x:v>
      </x:c>
      <x:c r="AJ48" s="36" t="str">
        <x:v>Matthäus 10: repetitive Wiedererkennungsfrage durch TEXTGENAUIGKEIT-Frage ersetzt.</x:v>
      </x:c>
      <x:c r="AK48" s="36" t="str">
        <x:v>FaithPath repo develop/v4 · data/bibles/l1912/MAT.json · data/bibles/otb/MAT.json</x:v>
      </x:c>
      <x:c r="AL48" t="str">
        <x:v>JA</x:v>
      </x:c>
    </x:row>
    <x:row r="49">
      <x:c r="A49" t="str">
        <x:v>FP-0308</x:v>
      </x:c>
      <x:c r="B49" t="str">
        <x:v>MAT</x:v>
      </x:c>
      <x:c r="C49" t="str">
        <x:v>Matthäus</x:v>
      </x:c>
      <x:c r="D49" t="n">
        <x:v>10</x:v>
      </x:c>
      <x:c r="E49" t="n">
        <x:v>3</x:v>
      </x:c>
      <x:c r="F49" t="str">
        <x:v>MAT-010</x:v>
      </x:c>
      <x:c r="G49" t="n">
        <x:v>10</x:v>
      </x:c>
      <x:c r="H49" t="str">
        <x:v>CQ-A01</x:v>
      </x:c>
      <x:c r="I49" s="36" t="str">
        <x:v>Welche dieser Aussagen stammt aus Matthäus 10?</x:v>
      </x:c>
      <x:c r="J49" s="36" t="str"/>
      <x:c r="K49" s="36" t="str"/>
      <x:c r="L49" s="36" t="str">
        <x:v>REPO_VERIFIZIERT_FRAGEFORM</x:v>
      </x:c>
      <x:c r="M49" s="36" t="str">
        <x:v>ERSETZEN</x:v>
      </x:c>
      <x:c r="N49" s="36" t="str">
        <x:v>REPETITIVE_FRAGEFORM</x:v>
      </x:c>
      <x:c r="O49" s="36" t="str">
        <x:v>REINE_WIEDERERKENNUNG</x:v>
      </x:c>
      <x:c r="P49" s="36" t="str">
        <x:v>KERNAUSSAGE</x:v>
      </x:c>
      <x:c r="Q49" s="36" t="str">
        <x:v>Was sollten die Jünger auf ihrem Weg verkünden?</x:v>
      </x:c>
      <x:c r="R49" s="36" t="str">
        <x:v>Der Tempel wird geschlossen.</x:v>
      </x:c>
      <x:c r="S49" s="36" t="str">
        <x:v>Rom wird bald fallen.</x:v>
      </x:c>
      <x:c r="T49" s="36" t="str">
        <x:v>Johannes wird König.</x:v>
      </x:c>
      <x:c r="U49" s="36" t="str">
        <x:v>Das Himmelreich ist nahe.</x:v>
      </x:c>
      <x:c r="V49" s="36" t="n">
        <x:v>3</x:v>
      </x:c>
      <x:c r="W49" s="36" t="str">
        <x:v>Das Himmelreich ist nahe.</x:v>
      </x:c>
      <x:c r="X49" s="36" t="str">
        <x:v>Matthäus 10,7–8</x:v>
      </x:c>
      <x:c r="Y49" s="36" t="str">
        <x:v>Die Jünger sollen die Nähe des Himmelreichs verkünden und das Empfangene unentgeltlich weitergeben.</x:v>
      </x:c>
      <x:c r="Z49" s="36" t="str">
        <x:v>JA</x:v>
      </x:c>
      <x:c r="AA49" s="36" t="str">
        <x:v>JA</x:v>
      </x:c>
      <x:c r="AB49" s="36" t="str">
        <x:v>JA</x:v>
      </x:c>
      <x:c r="AC49" s="36" t="str">
        <x:v>JA</x:v>
      </x:c>
      <x:c r="AD49" s="36" t="str">
        <x:v>JA</x:v>
      </x:c>
      <x:c r="AE49" s="36" t="str">
        <x:v>JA</x:v>
      </x:c>
      <x:c r="AF49" s="36" t="str">
        <x:v>JA</x:v>
      </x:c>
      <x:c r="AG49" s="36" t="str">
        <x:v>FREIGEGEBEN</x:v>
      </x:c>
      <x:c r="AH49" s="36" t="str">
        <x:v>GPT-5.6 Sol · Buchprüfung Matthäus · L1912/OTB</x:v>
      </x:c>
      <x:c r="AI49" s="36" t="str">
        <x:v>FREIGEGEBEN</x:v>
      </x:c>
      <x:c r="AJ49" s="36" t="str">
        <x:v>Matthäus 10: repetitive Wiedererkennungsfrage durch KERNAUSSAGE-Frage ersetzt.</x:v>
      </x:c>
      <x:c r="AK49" s="36" t="str">
        <x:v>FaithPath repo develop/v4 · data/bibles/l1912/MAT.json · data/bibles/otb/MAT.json</x:v>
      </x:c>
      <x:c r="AL49" t="str">
        <x:v>JA</x:v>
      </x:c>
    </x:row>
    <x:row r="50">
      <x:c r="A50" t="str">
        <x:v>FP-0309</x:v>
      </x:c>
      <x:c r="B50" t="str">
        <x:v>MAT</x:v>
      </x:c>
      <x:c r="C50" t="str">
        <x:v>Matthäus</x:v>
      </x:c>
      <x:c r="D50" t="n">
        <x:v>10</x:v>
      </x:c>
      <x:c r="E50" t="n">
        <x:v>4</x:v>
      </x:c>
      <x:c r="F50" t="str">
        <x:v>MAT-010</x:v>
      </x:c>
      <x:c r="G50" t="n">
        <x:v>10</x:v>
      </x:c>
      <x:c r="H50" t="str">
        <x:v>CQ-A01</x:v>
      </x:c>
      <x:c r="I50" s="36" t="str">
        <x:v>Welche dieser Aussagen stammt aus Matthäus 10?</x:v>
      </x:c>
      <x:c r="J50" s="36" t="str"/>
      <x:c r="K50" s="36" t="str"/>
      <x:c r="L50" s="36" t="str">
        <x:v>REPO_VERIFIZIERT_FRAGEFORM</x:v>
      </x:c>
      <x:c r="M50" s="36" t="str">
        <x:v>ERSETZEN</x:v>
      </x:c>
      <x:c r="N50" s="36" t="str">
        <x:v>REPETITIVE_FRAGEFORM</x:v>
      </x:c>
      <x:c r="O50" s="36" t="str">
        <x:v>REINE_WIEDERERKENNUNG</x:v>
      </x:c>
      <x:c r="P50" s="36" t="str">
        <x:v>ZUSAMMENHANG</x:v>
      </x:c>
      <x:c r="Q50" s="36" t="str">
        <x:v>Warum sollten sich die Jünger bei Verhören nicht vorher sorgen, was sie sagen sollen?</x:v>
      </x:c>
      <x:c r="R50" s="36" t="str">
        <x:v>Weil ihnen gegeben wird, was sie sagen sollen, und der Geist des Vaters durch sie redet.</x:v>
      </x:c>
      <x:c r="S50" s="36" t="str">
        <x:v>Weil sie grundsätzlich schweigen sollten.</x:v>
      </x:c>
      <x:c r="T50" s="36" t="str">
        <x:v>Weil Petrus immer für alle antworten würde.</x:v>
      </x:c>
      <x:c r="U50" s="36" t="str">
        <x:v>Weil sie nie vor Gerichte kommen würden.</x:v>
      </x:c>
      <x:c r="V50" s="36" t="n">
        <x:v>0</x:v>
      </x:c>
      <x:c r="W50" s="36" t="str">
        <x:v>Weil ihnen gegeben wird, was sie sagen sollen, und der Geist des Vaters durch sie redet.</x:v>
      </x:c>
      <x:c r="X50" s="36" t="str">
        <x:v>Matthäus 10,17–20</x:v>
      </x:c>
      <x:c r="Y50" s="36" t="str">
        <x:v>Jesus bereitet die Jünger auf Verfolgung vor und verspricht ihnen Hilfe beim Reden.</x:v>
      </x:c>
      <x:c r="Z50" s="36" t="str">
        <x:v>JA</x:v>
      </x:c>
      <x:c r="AA50" s="36" t="str">
        <x:v>JA</x:v>
      </x:c>
      <x:c r="AB50" s="36" t="str">
        <x:v>JA</x:v>
      </x:c>
      <x:c r="AC50" s="36" t="str">
        <x:v>JA</x:v>
      </x:c>
      <x:c r="AD50" s="36" t="str">
        <x:v>JA</x:v>
      </x:c>
      <x:c r="AE50" s="36" t="str">
        <x:v>JA</x:v>
      </x:c>
      <x:c r="AF50" s="36" t="str">
        <x:v>JA</x:v>
      </x:c>
      <x:c r="AG50" s="36" t="str">
        <x:v>FREIGEGEBEN</x:v>
      </x:c>
      <x:c r="AH50" s="36" t="str">
        <x:v>GPT-5.6 Sol · Buchprüfung Matthäus · L1912/OTB</x:v>
      </x:c>
      <x:c r="AI50" s="36" t="str">
        <x:v>FREIGEGEBEN</x:v>
      </x:c>
      <x:c r="AJ50" s="36" t="str">
        <x:v>Matthäus 10: repetitive Wiedererkennungsfrage durch ZUSAMMENHANG-Frage ersetzt.</x:v>
      </x:c>
      <x:c r="AK50" s="36" t="str">
        <x:v>FaithPath repo develop/v4 · data/bibles/l1912/MAT.json · data/bibles/otb/MAT.json</x:v>
      </x:c>
      <x:c r="AL50" t="str">
        <x:v>JA</x:v>
      </x:c>
    </x:row>
    <x:row r="51">
      <x:c r="A51" t="str">
        <x:v>FP-0310</x:v>
      </x:c>
      <x:c r="B51" t="str">
        <x:v>MAT</x:v>
      </x:c>
      <x:c r="C51" t="str">
        <x:v>Matthäus</x:v>
      </x:c>
      <x:c r="D51" t="n">
        <x:v>10</x:v>
      </x:c>
      <x:c r="E51" t="n">
        <x:v>5</x:v>
      </x:c>
      <x:c r="F51" t="str">
        <x:v>MAT-010</x:v>
      </x:c>
      <x:c r="G51" t="n">
        <x:v>10</x:v>
      </x:c>
      <x:c r="H51" t="str">
        <x:v>CQ-A01</x:v>
      </x:c>
      <x:c r="I51" s="36" t="str">
        <x:v>Welche dieser Aussagen stammt aus Matthäus 10?</x:v>
      </x:c>
      <x:c r="J51" s="36" t="str"/>
      <x:c r="K51" s="36" t="str"/>
      <x:c r="L51" s="36" t="str">
        <x:v>REPO_VERIFIZIERT_FRAGEFORM</x:v>
      </x:c>
      <x:c r="M51" s="36" t="str">
        <x:v>ERSETZEN</x:v>
      </x:c>
      <x:c r="N51" s="36" t="str">
        <x:v>REPETITIVE_FRAGEFORM</x:v>
      </x:c>
      <x:c r="O51" s="36" t="str">
        <x:v>REINE_WIEDERERKENNUNG</x:v>
      </x:c>
      <x:c r="P51" s="36" t="str">
        <x:v>KERNAUSSAGE</x:v>
      </x:c>
      <x:c r="Q51" s="36" t="str">
        <x:v>Was sagt Jesus über selbst kleine Hilfe für einen seiner Jünger?</x:v>
      </x:c>
      <x:c r="R51" s="36" t="str">
        <x:v>Nur große Geldgaben zählen.</x:v>
      </x:c>
      <x:c r="S51" s="36" t="str">
        <x:v>Schon ein Becher kaltes Wasser wird nicht ohne Lohn bleiben.</x:v>
      </x:c>
      <x:c r="T51" s="36" t="str">
        <x:v>Hilfe ist nur im Tempel wertvoll.</x:v>
      </x:c>
      <x:c r="U51" s="36" t="str">
        <x:v>Sie hat keinerlei Bedeutung.</x:v>
      </x:c>
      <x:c r="V51" s="36" t="n">
        <x:v>1</x:v>
      </x:c>
      <x:c r="W51" s="36" t="str">
        <x:v>Schon ein Becher kaltes Wasser wird nicht ohne Lohn bleiben.</x:v>
      </x:c>
      <x:c r="X51" s="36" t="str">
        <x:v>Matthäus 10,40–42</x:v>
      </x:c>
      <x:c r="Y51" s="36" t="str">
        <x:v>Jesus verbindet die Aufnahme seiner Gesandten mit seiner eigenen Sendung und würdigt selbst einen Becher kalten Wassers.</x:v>
      </x:c>
      <x:c r="Z51" s="36" t="str">
        <x:v>JA</x:v>
      </x:c>
      <x:c r="AA51" s="36" t="str">
        <x:v>JA</x:v>
      </x:c>
      <x:c r="AB51" s="36" t="str">
        <x:v>JA</x:v>
      </x:c>
      <x:c r="AC51" s="36" t="str">
        <x:v>JA</x:v>
      </x:c>
      <x:c r="AD51" s="36" t="str">
        <x:v>JA</x:v>
      </x:c>
      <x:c r="AE51" s="36" t="str">
        <x:v>JA</x:v>
      </x:c>
      <x:c r="AF51" s="36" t="str">
        <x:v>JA</x:v>
      </x:c>
      <x:c r="AG51" s="36" t="str">
        <x:v>FREIGEGEBEN</x:v>
      </x:c>
      <x:c r="AH51" s="36" t="str">
        <x:v>GPT-5.6 Sol · Buchprüfung Matthäus · L1912/OTB</x:v>
      </x:c>
      <x:c r="AI51" s="36" t="str">
        <x:v>FREIGEGEBEN</x:v>
      </x:c>
      <x:c r="AJ51" s="36" t="str">
        <x:v>Matthäus 10: repetitive Wiedererkennungsfrage durch KERNAUSSAGE-Frage ersetzt.</x:v>
      </x:c>
      <x:c r="AK51" s="36" t="str">
        <x:v>FaithPath repo develop/v4 · data/bibles/l1912/MAT.json · data/bibles/otb/MAT.json</x:v>
      </x:c>
      <x:c r="AL51" t="str">
        <x:v>JA</x:v>
      </x:c>
    </x:row>
    <x:row r="52">
      <x:c r="A52" t="str">
        <x:v>FP-0311</x:v>
      </x:c>
      <x:c r="B52" t="str">
        <x:v>MAT</x:v>
      </x:c>
      <x:c r="C52" t="str">
        <x:v>Matthäus</x:v>
      </x:c>
      <x:c r="D52" t="n">
        <x:v>11</x:v>
      </x:c>
      <x:c r="E52" t="n">
        <x:v>1</x:v>
      </x:c>
      <x:c r="F52" t="str">
        <x:v>MAT-011</x:v>
      </x:c>
      <x:c r="G52" t="n">
        <x:v>11</x:v>
      </x:c>
      <x:c r="H52" t="str">
        <x:v>CQ-A01</x:v>
      </x:c>
      <x:c r="I52" s="36" t="str">
        <x:v>Welche dieser Aussagen stammt aus Matthäus 11?</x:v>
      </x:c>
      <x:c r="J52" s="36" t="str"/>
      <x:c r="K52" s="36" t="str"/>
      <x:c r="L52" s="36" t="str">
        <x:v>REPO_VERIFIZIERT_FRAGEFORM</x:v>
      </x:c>
      <x:c r="M52" s="36" t="str">
        <x:v>ERSETZEN</x:v>
      </x:c>
      <x:c r="N52" s="36" t="str">
        <x:v>REPETITIVE_FRAGEFORM</x:v>
      </x:c>
      <x:c r="O52" s="36" t="str">
        <x:v>REINE_WIEDERERKENNUNG</x:v>
      </x:c>
      <x:c r="P52" s="36" t="str">
        <x:v>GESCHEHEN</x:v>
      </x:c>
      <x:c r="Q52" s="36" t="str">
        <x:v>Welche Frage ließ Johannes der Täufer Jesus aus dem Gefängnis stellen?</x:v>
      </x:c>
      <x:c r="R52" s="36" t="str">
        <x:v>Ob Jesus nach Rom gehen werde.</x:v>
      </x:c>
      <x:c r="S52" s="36" t="str">
        <x:v>Ob die Jünger fasten sollten.</x:v>
      </x:c>
      <x:c r="T52" s="36" t="str">
        <x:v>Ob Jesus der Kommende sei oder ob sie auf einen anderen warten sollten.</x:v>
      </x:c>
      <x:c r="U52" s="36" t="str">
        <x:v>Ob Herodes König bleiben werde.</x:v>
      </x:c>
      <x:c r="V52" s="36" t="n">
        <x:v>2</x:v>
      </x:c>
      <x:c r="W52" s="36" t="str">
        <x:v>Ob Jesus der Kommende sei oder ob sie auf einen anderen warten sollten.</x:v>
      </x:c>
      <x:c r="X52" s="36" t="str">
        <x:v>Matthäus 11,2–3</x:v>
      </x:c>
      <x:c r="Y52" s="36" t="str">
        <x:v>Johannes lässt Jesus fragen, ob er der erwartete Kommende ist.</x:v>
      </x:c>
      <x:c r="Z52" s="36" t="str">
        <x:v>JA</x:v>
      </x:c>
      <x:c r="AA52" s="36" t="str">
        <x:v>JA</x:v>
      </x:c>
      <x:c r="AB52" s="36" t="str">
        <x:v>JA</x:v>
      </x:c>
      <x:c r="AC52" s="36" t="str">
        <x:v>JA</x:v>
      </x:c>
      <x:c r="AD52" s="36" t="str">
        <x:v>JA</x:v>
      </x:c>
      <x:c r="AE52" s="36" t="str">
        <x:v>JA</x:v>
      </x:c>
      <x:c r="AF52" s="36" t="str">
        <x:v>JA</x:v>
      </x:c>
      <x:c r="AG52" s="36" t="str">
        <x:v>FREIGEGEBEN</x:v>
      </x:c>
      <x:c r="AH52" s="36" t="str">
        <x:v>GPT-5.6 Sol · Buchprüfung Matthäus · L1912/OTB</x:v>
      </x:c>
      <x:c r="AI52" s="36" t="str">
        <x:v>FREIGEGEBEN</x:v>
      </x:c>
      <x:c r="AJ52" s="36" t="str">
        <x:v>Matthäus 11: repetitive Wiedererkennungsfrage durch GESCHEHEN-Frage ersetzt.</x:v>
      </x:c>
      <x:c r="AK52" s="36" t="str">
        <x:v>FaithPath repo develop/v4 · data/bibles/l1912/MAT.json · data/bibles/otb/MAT.json</x:v>
      </x:c>
      <x:c r="AL52" t="str">
        <x:v>JA</x:v>
      </x:c>
    </x:row>
    <x:row r="53">
      <x:c r="A53" t="str">
        <x:v>FP-0312</x:v>
      </x:c>
      <x:c r="B53" t="str">
        <x:v>MAT</x:v>
      </x:c>
      <x:c r="C53" t="str">
        <x:v>Matthäus</x:v>
      </x:c>
      <x:c r="D53" t="n">
        <x:v>11</x:v>
      </x:c>
      <x:c r="E53" t="n">
        <x:v>2</x:v>
      </x:c>
      <x:c r="F53" t="str">
        <x:v>MAT-011</x:v>
      </x:c>
      <x:c r="G53" t="n">
        <x:v>11</x:v>
      </x:c>
      <x:c r="H53" t="str">
        <x:v>CQ-A01</x:v>
      </x:c>
      <x:c r="I53" s="36" t="str">
        <x:v>Welche dieser Aussagen stammt aus Matthäus 11?</x:v>
      </x:c>
      <x:c r="J53" s="36" t="str"/>
      <x:c r="K53" s="36" t="str"/>
      <x:c r="L53" s="36" t="str">
        <x:v>REPO_VERIFIZIERT_FRAGEFORM</x:v>
      </x:c>
      <x:c r="M53" s="36" t="str">
        <x:v>ERSETZEN</x:v>
      </x:c>
      <x:c r="N53" s="36" t="str">
        <x:v>REPETITIVE_FRAGEFORM</x:v>
      </x:c>
      <x:c r="O53" s="36" t="str">
        <x:v>REINE_WIEDERERKENNUNG</x:v>
      </x:c>
      <x:c r="P53" s="36" t="str">
        <x:v>ZUSAMMENHANG</x:v>
      </x:c>
      <x:c r="Q53" s="36" t="str">
        <x:v>Worauf verweist Jesus in seiner Antwort an Johannes?</x:v>
      </x:c>
      <x:c r="R53" s="36" t="str">
        <x:v>Auf seine Abstammungsliste allein.</x:v>
      </x:c>
      <x:c r="S53" s="36" t="str">
        <x:v>Auf ein geheimes Zeichen im Tempel.</x:v>
      </x:c>
      <x:c r="T53" s="36" t="str">
        <x:v>Auf eine politische Veränderung in Judäa.</x:v>
      </x:c>
      <x:c r="U53" s="36" t="str">
        <x:v>Auf das, was die Boten hören und sehen: Heilungen, Auferweckung und Evangelium für die Armen.</x:v>
      </x:c>
      <x:c r="V53" s="36" t="n">
        <x:v>3</x:v>
      </x:c>
      <x:c r="W53" s="36" t="str">
        <x:v>Auf das, was die Boten hören und sehen: Heilungen, Auferweckung und Evangelium für die Armen.</x:v>
      </x:c>
      <x:c r="X53" s="36" t="str">
        <x:v>Matthäus 11,4–6</x:v>
      </x:c>
      <x:c r="Y53" s="36" t="str">
        <x:v>Jesus verweist auf sichtbare und hörbare Zeichen seines Wirkens als Antwort auf die Frage des Johannes.</x:v>
      </x:c>
      <x:c r="Z53" s="36" t="str">
        <x:v>JA</x:v>
      </x:c>
      <x:c r="AA53" s="36" t="str">
        <x:v>JA</x:v>
      </x:c>
      <x:c r="AB53" s="36" t="str">
        <x:v>JA</x:v>
      </x:c>
      <x:c r="AC53" s="36" t="str">
        <x:v>JA</x:v>
      </x:c>
      <x:c r="AD53" s="36" t="str">
        <x:v>JA</x:v>
      </x:c>
      <x:c r="AE53" s="36" t="str">
        <x:v>JA</x:v>
      </x:c>
      <x:c r="AF53" s="36" t="str">
        <x:v>JA</x:v>
      </x:c>
      <x:c r="AG53" s="36" t="str">
        <x:v>FREIGEGEBEN</x:v>
      </x:c>
      <x:c r="AH53" s="36" t="str">
        <x:v>GPT-5.6 Sol · Buchprüfung Matthäus · L1912/OTB</x:v>
      </x:c>
      <x:c r="AI53" s="36" t="str">
        <x:v>FREIGEGEBEN</x:v>
      </x:c>
      <x:c r="AJ53" s="36" t="str">
        <x:v>Matthäus 11: repetitive Wiedererkennungsfrage durch ZUSAMMENHANG-Frage ersetzt.</x:v>
      </x:c>
      <x:c r="AK53" s="36" t="str">
        <x:v>FaithPath repo develop/v4 · data/bibles/l1912/MAT.json · data/bibles/otb/MAT.json</x:v>
      </x:c>
      <x:c r="AL53" t="str">
        <x:v>JA</x:v>
      </x:c>
    </x:row>
    <x:row r="54">
      <x:c r="A54" t="str">
        <x:v>FP-0313</x:v>
      </x:c>
      <x:c r="B54" t="str">
        <x:v>MAT</x:v>
      </x:c>
      <x:c r="C54" t="str">
        <x:v>Matthäus</x:v>
      </x:c>
      <x:c r="D54" t="n">
        <x:v>11</x:v>
      </x:c>
      <x:c r="E54" t="n">
        <x:v>3</x:v>
      </x:c>
      <x:c r="F54" t="str">
        <x:v>MAT-011</x:v>
      </x:c>
      <x:c r="G54" t="n">
        <x:v>11</x:v>
      </x:c>
      <x:c r="H54" t="str">
        <x:v>CQ-A01</x:v>
      </x:c>
      <x:c r="I54" s="36" t="str">
        <x:v>Welche dieser Aussagen stammt aus Matthäus 11?</x:v>
      </x:c>
      <x:c r="J54" s="36" t="str"/>
      <x:c r="K54" s="36" t="str"/>
      <x:c r="L54" s="36" t="str">
        <x:v>REPO_VERIFIZIERT_FRAGEFORM</x:v>
      </x:c>
      <x:c r="M54" s="36" t="str">
        <x:v>ERSETZEN</x:v>
      </x:c>
      <x:c r="N54" s="36" t="str">
        <x:v>REPETITIVE_FRAGEFORM</x:v>
      </x:c>
      <x:c r="O54" s="36" t="str">
        <x:v>REINE_WIEDERERKENNUNG</x:v>
      </x:c>
      <x:c r="P54" s="36" t="str">
        <x:v>PERSON_AUSSAGE</x:v>
      </x:c>
      <x:c r="Q54" s="36" t="str">
        <x:v>Wie beschreibt Jesus Johannes im Verhältnis zu gewöhnlichen Propheten?</x:v>
      </x:c>
      <x:c r="R54" s="36" t="str">
        <x:v>Als mehr als einen Propheten und als den angekündigten Boten, der den Weg bereitet.</x:v>
      </x:c>
      <x:c r="S54" s="36" t="str">
        <x:v>Als König über Israel.</x:v>
      </x:c>
      <x:c r="T54" s="36" t="str">
        <x:v>Als einen der zwölf Apostel.</x:v>
      </x:c>
      <x:c r="U54" s="36" t="str">
        <x:v>Als Schriftgelehrten aus Jerusalem.</x:v>
      </x:c>
      <x:c r="V54" s="36" t="n">
        <x:v>0</x:v>
      </x:c>
      <x:c r="W54" s="36" t="str">
        <x:v>Als mehr als einen Propheten und als den angekündigten Boten, der den Weg bereitet.</x:v>
      </x:c>
      <x:c r="X54" s="36" t="str">
        <x:v>Matthäus 11,9–10</x:v>
      </x:c>
      <x:c r="Y54" s="36" t="str">
        <x:v>Jesus bezeichnet Johannes als mehr als einen Propheten und verbindet ihn mit dem angekündigten Wegbereiter.</x:v>
      </x:c>
      <x:c r="Z54" s="36" t="str">
        <x:v>JA</x:v>
      </x:c>
      <x:c r="AA54" s="36" t="str">
        <x:v>JA</x:v>
      </x:c>
      <x:c r="AB54" s="36" t="str">
        <x:v>JA</x:v>
      </x:c>
      <x:c r="AC54" s="36" t="str">
        <x:v>JA</x:v>
      </x:c>
      <x:c r="AD54" s="36" t="str">
        <x:v>JA</x:v>
      </x:c>
      <x:c r="AE54" s="36" t="str">
        <x:v>JA</x:v>
      </x:c>
      <x:c r="AF54" s="36" t="str">
        <x:v>JA</x:v>
      </x:c>
      <x:c r="AG54" s="36" t="str">
        <x:v>FREIGEGEBEN</x:v>
      </x:c>
      <x:c r="AH54" s="36" t="str">
        <x:v>GPT-5.6 Sol · Buchprüfung Matthäus · L1912/OTB</x:v>
      </x:c>
      <x:c r="AI54" s="36" t="str">
        <x:v>FREIGEGEBEN</x:v>
      </x:c>
      <x:c r="AJ54" s="36" t="str">
        <x:v>Matthäus 11: repetitive Wiedererkennungsfrage durch PERSON_AUSSAGE-Frage ersetzt.</x:v>
      </x:c>
      <x:c r="AK54" s="36" t="str">
        <x:v>FaithPath repo develop/v4 · data/bibles/l1912/MAT.json · data/bibles/otb/MAT.json</x:v>
      </x:c>
      <x:c r="AL54" t="str">
        <x:v>JA</x:v>
      </x:c>
    </x:row>
    <x:row r="55">
      <x:c r="A55" t="str">
        <x:v>FP-0314</x:v>
      </x:c>
      <x:c r="B55" t="str">
        <x:v>MAT</x:v>
      </x:c>
      <x:c r="C55" t="str">
        <x:v>Matthäus</x:v>
      </x:c>
      <x:c r="D55" t="n">
        <x:v>11</x:v>
      </x:c>
      <x:c r="E55" t="n">
        <x:v>4</x:v>
      </x:c>
      <x:c r="F55" t="str">
        <x:v>MAT-011</x:v>
      </x:c>
      <x:c r="G55" t="n">
        <x:v>11</x:v>
      </x:c>
      <x:c r="H55" t="str">
        <x:v>CQ-A01</x:v>
      </x:c>
      <x:c r="I55" s="36" t="str">
        <x:v>Welche dieser Aussagen stammt aus Matthäus 11?</x:v>
      </x:c>
      <x:c r="J55" s="36" t="str"/>
      <x:c r="K55" s="36" t="str"/>
      <x:c r="L55" s="36" t="str">
        <x:v>REPO_VERIFIZIERT_FRAGEFORM</x:v>
      </x:c>
      <x:c r="M55" s="36" t="str">
        <x:v>ERSETZEN</x:v>
      </x:c>
      <x:c r="N55" s="36" t="str">
        <x:v>REPETITIVE_FRAGEFORM</x:v>
      </x:c>
      <x:c r="O55" s="36" t="str">
        <x:v>REINE_WIEDERERKENNUNG</x:v>
      </x:c>
      <x:c r="P55" s="36" t="str">
        <x:v>ZUSAMMENHANG</x:v>
      </x:c>
      <x:c r="Q55" s="36" t="str">
        <x:v>Warum tadelt Jesus Städte wie Chorazin und Bethsaida?</x:v>
      </x:c>
      <x:c r="R55" s="36" t="str">
        <x:v>Weil sie keine Synagogen hatten.</x:v>
      </x:c>
      <x:c r="S55" s="36" t="str">
        <x:v>Weil sie trotz der dort geschehenen Machttaten nicht umkehrten.</x:v>
      </x:c>
      <x:c r="T55" s="36" t="str">
        <x:v>Weil sie den Sabbat abschafften.</x:v>
      </x:c>
      <x:c r="U55" s="36" t="str">
        <x:v>Weil sie keine Steuern zahlten.</x:v>
      </x:c>
      <x:c r="V55" s="36" t="n">
        <x:v>1</x:v>
      </x:c>
      <x:c r="W55" s="36" t="str">
        <x:v>Weil sie trotz der dort geschehenen Machttaten nicht umkehrten.</x:v>
      </x:c>
      <x:c r="X55" s="36" t="str">
        <x:v>Matthäus 11,20–22</x:v>
      </x:c>
      <x:c r="Y55" s="36" t="str">
        <x:v>Jesus wirft den Städten vor, dass die vielen Machttaten nicht zur Umkehr geführt haben.</x:v>
      </x:c>
      <x:c r="Z55" s="36" t="str">
        <x:v>JA</x:v>
      </x:c>
      <x:c r="AA55" s="36" t="str">
        <x:v>JA</x:v>
      </x:c>
      <x:c r="AB55" s="36" t="str">
        <x:v>JA</x:v>
      </x:c>
      <x:c r="AC55" s="36" t="str">
        <x:v>JA</x:v>
      </x:c>
      <x:c r="AD55" s="36" t="str">
        <x:v>JA</x:v>
      </x:c>
      <x:c r="AE55" s="36" t="str">
        <x:v>JA</x:v>
      </x:c>
      <x:c r="AF55" s="36" t="str">
        <x:v>JA</x:v>
      </x:c>
      <x:c r="AG55" s="36" t="str">
        <x:v>FREIGEGEBEN</x:v>
      </x:c>
      <x:c r="AH55" s="36" t="str">
        <x:v>GPT-5.6 Sol · Buchprüfung Matthäus · L1912/OTB</x:v>
      </x:c>
      <x:c r="AI55" s="36" t="str">
        <x:v>FREIGEGEBEN</x:v>
      </x:c>
      <x:c r="AJ55" s="36" t="str">
        <x:v>Matthäus 11: repetitive Wiedererkennungsfrage durch ZUSAMMENHANG-Frage ersetzt.</x:v>
      </x:c>
      <x:c r="AK55" s="36" t="str">
        <x:v>FaithPath repo develop/v4 · data/bibles/l1912/MAT.json · data/bibles/otb/MAT.json</x:v>
      </x:c>
      <x:c r="AL55" t="str">
        <x:v>JA</x:v>
      </x:c>
    </x:row>
    <x:row r="56">
      <x:c r="A56" t="str">
        <x:v>FP-0315</x:v>
      </x:c>
      <x:c r="B56" t="str">
        <x:v>MAT</x:v>
      </x:c>
      <x:c r="C56" t="str">
        <x:v>Matthäus</x:v>
      </x:c>
      <x:c r="D56" t="n">
        <x:v>11</x:v>
      </x:c>
      <x:c r="E56" t="n">
        <x:v>5</x:v>
      </x:c>
      <x:c r="F56" t="str">
        <x:v>MAT-011</x:v>
      </x:c>
      <x:c r="G56" t="n">
        <x:v>11</x:v>
      </x:c>
      <x:c r="H56" t="str">
        <x:v>CQ-A01</x:v>
      </x:c>
      <x:c r="I56" s="36" t="str">
        <x:v>Welche dieser Aussagen stammt aus Matthäus 11?</x:v>
      </x:c>
      <x:c r="J56" s="36" t="str"/>
      <x:c r="K56" s="36" t="str"/>
      <x:c r="L56" s="36" t="str">
        <x:v>REPO_VERIFIZIERT_FRAGEFORM</x:v>
      </x:c>
      <x:c r="M56" s="36" t="str">
        <x:v>ERSETZEN</x:v>
      </x:c>
      <x:c r="N56" s="36" t="str">
        <x:v>REPETITIVE_FRAGEFORM</x:v>
      </x:c>
      <x:c r="O56" s="36" t="str">
        <x:v>REINE_WIEDERERKENNUNG</x:v>
      </x:c>
      <x:c r="P56" s="36" t="str">
        <x:v>KERNAUSSAGE</x:v>
      </x:c>
      <x:c r="Q56" s="36" t="str">
        <x:v>Welche Einladung spricht Jesus am Ende von Matthäus 11 aus?</x:v>
      </x:c>
      <x:c r="R56" s="36" t="str">
        <x:v>Nur Schriftgelehrte sollen ihm folgen.</x:v>
      </x:c>
      <x:c r="S56" s="36" t="str">
        <x:v>Alle sollen in die Wüste ziehen.</x:v>
      </x:c>
      <x:c r="T56" s="36" t="str">
        <x:v>Mühselige und Beladene sollen zu ihm kommen, und er will ihnen Ruhe geben.</x:v>
      </x:c>
      <x:c r="U56" s="36" t="str">
        <x:v>Niemand soll mehr arbeiten.</x:v>
      </x:c>
      <x:c r="V56" s="36" t="n">
        <x:v>2</x:v>
      </x:c>
      <x:c r="W56" s="36" t="str">
        <x:v>Mühselige und Beladene sollen zu ihm kommen, und er will ihnen Ruhe geben.</x:v>
      </x:c>
      <x:c r="X56" s="36" t="str">
        <x:v>Matthäus 11,28–30</x:v>
      </x:c>
      <x:c r="Y56" s="36" t="str">
        <x:v>Jesus lädt Belastete zu sich ein und beschreibt sein Joch als sanft und seine Last als leicht.</x:v>
      </x:c>
      <x:c r="Z56" s="36" t="str">
        <x:v>JA</x:v>
      </x:c>
      <x:c r="AA56" s="36" t="str">
        <x:v>JA</x:v>
      </x:c>
      <x:c r="AB56" s="36" t="str">
        <x:v>JA</x:v>
      </x:c>
      <x:c r="AC56" s="36" t="str">
        <x:v>JA</x:v>
      </x:c>
      <x:c r="AD56" s="36" t="str">
        <x:v>JA</x:v>
      </x:c>
      <x:c r="AE56" s="36" t="str">
        <x:v>JA</x:v>
      </x:c>
      <x:c r="AF56" s="36" t="str">
        <x:v>JA</x:v>
      </x:c>
      <x:c r="AG56" s="36" t="str">
        <x:v>FREIGEGEBEN</x:v>
      </x:c>
      <x:c r="AH56" s="36" t="str">
        <x:v>GPT-5.6 Sol · Buchprüfung Matthäus · L1912/OTB</x:v>
      </x:c>
      <x:c r="AI56" s="36" t="str">
        <x:v>FREIGEGEBEN</x:v>
      </x:c>
      <x:c r="AJ56" s="36" t="str">
        <x:v>Matthäus 11: repetitive Wiedererkennungsfrage durch KERNAUSSAGE-Frage ersetzt.</x:v>
      </x:c>
      <x:c r="AK56" s="36" t="str">
        <x:v>FaithPath repo develop/v4 · data/bibles/l1912/MAT.json · data/bibles/otb/MAT.json</x:v>
      </x:c>
      <x:c r="AL56" t="str">
        <x:v>JA</x:v>
      </x:c>
    </x:row>
    <x:row r="57">
      <x:c r="A57" t="str">
        <x:v>FP-0316</x:v>
      </x:c>
      <x:c r="B57" t="str">
        <x:v>MAT</x:v>
      </x:c>
      <x:c r="C57" t="str">
        <x:v>Matthäus</x:v>
      </x:c>
      <x:c r="D57" t="n">
        <x:v>12</x:v>
      </x:c>
      <x:c r="E57" t="n">
        <x:v>1</x:v>
      </x:c>
      <x:c r="F57" t="str">
        <x:v>MAT-012</x:v>
      </x:c>
      <x:c r="G57" t="n">
        <x:v>12</x:v>
      </x:c>
      <x:c r="H57" t="str">
        <x:v>CQ-A01</x:v>
      </x:c>
      <x:c r="I57" s="36" t="str">
        <x:v>Welche dieser Aussagen stammt aus Matthäus 12?</x:v>
      </x:c>
      <x:c r="J57" s="36" t="str"/>
      <x:c r="K57" s="36" t="str"/>
      <x:c r="L57" s="36" t="str">
        <x:v>REPO_VERIFIZIERT_FRAGEFORM</x:v>
      </x:c>
      <x:c r="M57" s="36" t="str">
        <x:v>ERSETZEN</x:v>
      </x:c>
      <x:c r="N57" s="36" t="str">
        <x:v>REPETITIVE_FRAGEFORM</x:v>
      </x:c>
      <x:c r="O57" s="36" t="str">
        <x:v>REINE_WIEDERERKENNUNG</x:v>
      </x:c>
      <x:c r="P57" s="36" t="str">
        <x:v>ZUSAMMENHANG</x:v>
      </x:c>
      <x:c r="Q57" s="36" t="str">
        <x:v>Welche Aussage macht Jesus im Streit um das Ährenpflücken am Sabbat über den Menschensohn?</x:v>
      </x:c>
      <x:c r="R57" s="36" t="str">
        <x:v>Der Menschensohn darf den Sabbat nicht betreten.</x:v>
      </x:c>
      <x:c r="S57" s="36" t="str">
        <x:v>Der Sabbat gilt nur für Priester.</x:v>
      </x:c>
      <x:c r="T57" s="36" t="str">
        <x:v>Der Menschensohn soll den Tempel meiden.</x:v>
      </x:c>
      <x:c r="U57" s="36" t="str">
        <x:v>Der Menschensohn ist Herr über den Sabbat.</x:v>
      </x:c>
      <x:c r="V57" s="36" t="n">
        <x:v>3</x:v>
      </x:c>
      <x:c r="W57" s="36" t="str">
        <x:v>Der Menschensohn ist Herr über den Sabbat.</x:v>
      </x:c>
      <x:c r="X57" s="36" t="str">
        <x:v>Matthäus 12,1–8</x:v>
      </x:c>
      <x:c r="Y57" s="36" t="str">
        <x:v>Jesus verteidigt seine Jünger und erklärt den Menschensohn zum Herrn über den Sabbat.</x:v>
      </x:c>
      <x:c r="Z57" s="36" t="str">
        <x:v>JA</x:v>
      </x:c>
      <x:c r="AA57" s="36" t="str">
        <x:v>JA</x:v>
      </x:c>
      <x:c r="AB57" s="36" t="str">
        <x:v>JA</x:v>
      </x:c>
      <x:c r="AC57" s="36" t="str">
        <x:v>JA</x:v>
      </x:c>
      <x:c r="AD57" s="36" t="str">
        <x:v>JA</x:v>
      </x:c>
      <x:c r="AE57" s="36" t="str">
        <x:v>JA</x:v>
      </x:c>
      <x:c r="AF57" s="36" t="str">
        <x:v>JA</x:v>
      </x:c>
      <x:c r="AG57" s="36" t="str">
        <x:v>FREIGEGEBEN</x:v>
      </x:c>
      <x:c r="AH57" s="36" t="str">
        <x:v>GPT-5.6 Sol · Buchprüfung Matthäus · L1912/OTB</x:v>
      </x:c>
      <x:c r="AI57" s="36" t="str">
        <x:v>FREIGEGEBEN</x:v>
      </x:c>
      <x:c r="AJ57" s="36" t="str">
        <x:v>Matthäus 12: repetitive Wiedererkennungsfrage durch ZUSAMMENHANG-Frage ersetzt.</x:v>
      </x:c>
      <x:c r="AK57" s="36" t="str">
        <x:v>FaithPath repo develop/v4 · data/bibles/l1912/MAT.json · data/bibles/otb/MAT.json</x:v>
      </x:c>
      <x:c r="AL57" t="str">
        <x:v>JA</x:v>
      </x:c>
    </x:row>
    <x:row r="58">
      <x:c r="A58" t="str">
        <x:v>FP-0317</x:v>
      </x:c>
      <x:c r="B58" t="str">
        <x:v>MAT</x:v>
      </x:c>
      <x:c r="C58" t="str">
        <x:v>Matthäus</x:v>
      </x:c>
      <x:c r="D58" t="n">
        <x:v>12</x:v>
      </x:c>
      <x:c r="E58" t="n">
        <x:v>2</x:v>
      </x:c>
      <x:c r="F58" t="str">
        <x:v>MAT-012</x:v>
      </x:c>
      <x:c r="G58" t="n">
        <x:v>12</x:v>
      </x:c>
      <x:c r="H58" t="str">
        <x:v>CQ-A01</x:v>
      </x:c>
      <x:c r="I58" s="36" t="str">
        <x:v>Welche dieser Aussagen stammt aus Matthäus 12?</x:v>
      </x:c>
      <x:c r="J58" s="36" t="str"/>
      <x:c r="K58" s="36" t="str"/>
      <x:c r="L58" s="36" t="str">
        <x:v>REPO_VERIFIZIERT_FRAGEFORM</x:v>
      </x:c>
      <x:c r="M58" s="36" t="str">
        <x:v>ERSETZEN</x:v>
      </x:c>
      <x:c r="N58" s="36" t="str">
        <x:v>REPETITIVE_FRAGEFORM</x:v>
      </x:c>
      <x:c r="O58" s="36" t="str">
        <x:v>REINE_WIEDERERKENNUNG</x:v>
      </x:c>
      <x:c r="P58" s="36" t="str">
        <x:v>KERNAUSSAGE</x:v>
      </x:c>
      <x:c r="Q58" s="36" t="str">
        <x:v>Was zeigt Jesus mit der Heilung der verdorrten Hand am Sabbat?</x:v>
      </x:c>
      <x:c r="R58" s="36" t="str">
        <x:v>Es ist erlaubt, am Sabbat Gutes zu tun.</x:v>
      </x:c>
      <x:c r="S58" s="36" t="str">
        <x:v>Heilung ist am Sabbat grundsätzlich verboten.</x:v>
      </x:c>
      <x:c r="T58" s="36" t="str">
        <x:v>Nur Priester dürfen am Sabbat helfen.</x:v>
      </x:c>
      <x:c r="U58" s="36" t="str">
        <x:v>Am Sabbat darf niemand eine Synagoge betreten.</x:v>
      </x:c>
      <x:c r="V58" s="36" t="n">
        <x:v>0</x:v>
      </x:c>
      <x:c r="W58" s="36" t="str">
        <x:v>Es ist erlaubt, am Sabbat Gutes zu tun.</x:v>
      </x:c>
      <x:c r="X58" s="36" t="str">
        <x:v>Matthäus 12,9–13</x:v>
      </x:c>
      <x:c r="Y58" s="36" t="str">
        <x:v>Jesus verbindet die Heilung mit der Aussage, dass es erlaubt ist, am Sabbat Gutes zu tun.</x:v>
      </x:c>
      <x:c r="Z58" s="36" t="str">
        <x:v>JA</x:v>
      </x:c>
      <x:c r="AA58" s="36" t="str">
        <x:v>JA</x:v>
      </x:c>
      <x:c r="AB58" s="36" t="str">
        <x:v>JA</x:v>
      </x:c>
      <x:c r="AC58" s="36" t="str">
        <x:v>JA</x:v>
      </x:c>
      <x:c r="AD58" s="36" t="str">
        <x:v>JA</x:v>
      </x:c>
      <x:c r="AE58" s="36" t="str">
        <x:v>JA</x:v>
      </x:c>
      <x:c r="AF58" s="36" t="str">
        <x:v>JA</x:v>
      </x:c>
      <x:c r="AG58" s="36" t="str">
        <x:v>FREIGEGEBEN</x:v>
      </x:c>
      <x:c r="AH58" s="36" t="str">
        <x:v>GPT-5.6 Sol · Buchprüfung Matthäus · L1912/OTB</x:v>
      </x:c>
      <x:c r="AI58" s="36" t="str">
        <x:v>FREIGEGEBEN</x:v>
      </x:c>
      <x:c r="AJ58" s="36" t="str">
        <x:v>Matthäus 12: repetitive Wiedererkennungsfrage durch KERNAUSSAGE-Frage ersetzt.</x:v>
      </x:c>
      <x:c r="AK58" s="36" t="str">
        <x:v>FaithPath repo develop/v4 · data/bibles/l1912/MAT.json · data/bibles/otb/MAT.json</x:v>
      </x:c>
      <x:c r="AL58" t="str">
        <x:v>JA</x:v>
      </x:c>
    </x:row>
    <x:row r="59">
      <x:c r="A59" t="str">
        <x:v>FP-0318</x:v>
      </x:c>
      <x:c r="B59" t="str">
        <x:v>MAT</x:v>
      </x:c>
      <x:c r="C59" t="str">
        <x:v>Matthäus</x:v>
      </x:c>
      <x:c r="D59" t="n">
        <x:v>12</x:v>
      </x:c>
      <x:c r="E59" t="n">
        <x:v>3</x:v>
      </x:c>
      <x:c r="F59" t="str">
        <x:v>MAT-012</x:v>
      </x:c>
      <x:c r="G59" t="n">
        <x:v>12</x:v>
      </x:c>
      <x:c r="H59" t="str">
        <x:v>CQ-A01</x:v>
      </x:c>
      <x:c r="I59" s="36" t="str">
        <x:v>Welche dieser Aussagen stammt aus Matthäus 12?</x:v>
      </x:c>
      <x:c r="J59" s="36" t="str"/>
      <x:c r="K59" s="36" t="str"/>
      <x:c r="L59" s="36" t="str">
        <x:v>REPO_VERIFIZIERT_FRAGEFORM</x:v>
      </x:c>
      <x:c r="M59" s="36" t="str">
        <x:v>ERSETZEN</x:v>
      </x:c>
      <x:c r="N59" s="36" t="str">
        <x:v>REPETITIVE_FRAGEFORM</x:v>
      </x:c>
      <x:c r="O59" s="36" t="str">
        <x:v>REINE_WIEDERERKENNUNG</x:v>
      </x:c>
      <x:c r="P59" s="36" t="str">
        <x:v>ZUSAMMENHANG</x:v>
      </x:c>
      <x:c r="Q59" s="36" t="str">
        <x:v>Wie antwortet Jesus auf den Vorwurf, er treibe Dämonen durch Beelzebub aus?</x:v>
      </x:c>
      <x:c r="R59" s="36" t="str">
        <x:v>Beelzebub sei ein anderer Name für Johannes.</x:v>
      </x:c>
      <x:c r="S59" s="36" t="str">
        <x:v>Ein Reich, das mit sich selbst entzweit ist, kann nicht bestehen.</x:v>
      </x:c>
      <x:c r="T59" s="36" t="str">
        <x:v>Dämonen könnten überhaupt nicht ausgetrieben werden.</x:v>
      </x:c>
      <x:c r="U59" s="36" t="str">
        <x:v>Nur die Jünger dürften Dämonen austreiben.</x:v>
      </x:c>
      <x:c r="V59" s="36" t="n">
        <x:v>1</x:v>
      </x:c>
      <x:c r="W59" s="36" t="str">
        <x:v>Ein Reich, das mit sich selbst entzweit ist, kann nicht bestehen.</x:v>
      </x:c>
      <x:c r="X59" s="36" t="str">
        <x:v>Matthäus 12,24–28</x:v>
      </x:c>
      <x:c r="Y59" s="36" t="str">
        <x:v>Jesus zeigt die Widersprüchlichkeit des Vorwurfs mit dem Bild eines in sich geteilten Reiches.</x:v>
      </x:c>
      <x:c r="Z59" s="36" t="str">
        <x:v>JA</x:v>
      </x:c>
      <x:c r="AA59" s="36" t="str">
        <x:v>JA</x:v>
      </x:c>
      <x:c r="AB59" s="36" t="str">
        <x:v>JA</x:v>
      </x:c>
      <x:c r="AC59" s="36" t="str">
        <x:v>JA</x:v>
      </x:c>
      <x:c r="AD59" s="36" t="str">
        <x:v>JA</x:v>
      </x:c>
      <x:c r="AE59" s="36" t="str">
        <x:v>JA</x:v>
      </x:c>
      <x:c r="AF59" s="36" t="str">
        <x:v>JA</x:v>
      </x:c>
      <x:c r="AG59" s="36" t="str">
        <x:v>FREIGEGEBEN</x:v>
      </x:c>
      <x:c r="AH59" s="36" t="str">
        <x:v>GPT-5.6 Sol · Buchprüfung Matthäus · L1912/OTB</x:v>
      </x:c>
      <x:c r="AI59" s="36" t="str">
        <x:v>FREIGEGEBEN</x:v>
      </x:c>
      <x:c r="AJ59" s="36" t="str">
        <x:v>Matthäus 12: repetitive Wiedererkennungsfrage durch ZUSAMMENHANG-Frage ersetzt.</x:v>
      </x:c>
      <x:c r="AK59" s="36" t="str">
        <x:v>FaithPath repo develop/v4 · data/bibles/l1912/MAT.json · data/bibles/otb/MAT.json</x:v>
      </x:c>
      <x:c r="AL59" t="str">
        <x:v>JA</x:v>
      </x:c>
    </x:row>
    <x:row r="60">
      <x:c r="A60" t="str">
        <x:v>FP-0319</x:v>
      </x:c>
      <x:c r="B60" t="str">
        <x:v>MAT</x:v>
      </x:c>
      <x:c r="C60" t="str">
        <x:v>Matthäus</x:v>
      </x:c>
      <x:c r="D60" t="n">
        <x:v>12</x:v>
      </x:c>
      <x:c r="E60" t="n">
        <x:v>4</x:v>
      </x:c>
      <x:c r="F60" t="str">
        <x:v>MAT-012</x:v>
      </x:c>
      <x:c r="G60" t="n">
        <x:v>12</x:v>
      </x:c>
      <x:c r="H60" t="str">
        <x:v>CQ-A01</x:v>
      </x:c>
      <x:c r="I60" s="36" t="str">
        <x:v>Welche dieser Aussagen stammt aus Matthäus 12?</x:v>
      </x:c>
      <x:c r="J60" s="36" t="str"/>
      <x:c r="K60" s="36" t="str"/>
      <x:c r="L60" s="36" t="str">
        <x:v>REPO_VERIFIZIERT_FRAGEFORM</x:v>
      </x:c>
      <x:c r="M60" s="36" t="str">
        <x:v>ERSETZEN</x:v>
      </x:c>
      <x:c r="N60" s="36" t="str">
        <x:v>REPETITIVE_FRAGEFORM</x:v>
      </x:c>
      <x:c r="O60" s="36" t="str">
        <x:v>REINE_WIEDERERKENNUNG</x:v>
      </x:c>
      <x:c r="P60" s="36" t="str">
        <x:v>TEXTGENAUIGKEIT</x:v>
      </x:c>
      <x:c r="Q60" s="36" t="str">
        <x:v>Welches Zeichen nennt Jesus den Schriftgelehrten und Pharisäern, die ein Zeichen verlangen?</x:v>
      </x:c>
      <x:c r="R60" s="36" t="str">
        <x:v>Das Zeichen des Mose.</x:v>
      </x:c>
      <x:c r="S60" s="36" t="str">
        <x:v>Das Zeichen des Elia.</x:v>
      </x:c>
      <x:c r="T60" s="36" t="str">
        <x:v>Das Zeichen des Propheten Jona.</x:v>
      </x:c>
      <x:c r="U60" s="36" t="str">
        <x:v>Das Zeichen des David.</x:v>
      </x:c>
      <x:c r="V60" s="36" t="n">
        <x:v>2</x:v>
      </x:c>
      <x:c r="W60" s="36" t="str">
        <x:v>Das Zeichen des Propheten Jona.</x:v>
      </x:c>
      <x:c r="X60" s="36" t="str">
        <x:v>Matthäus 12,38–40</x:v>
      </x:c>
      <x:c r="Y60" s="36" t="str">
        <x:v>Jesus verweist auf Jona und verbindet dessen Zeit im Fisch mit dem Menschensohn.</x:v>
      </x:c>
      <x:c r="Z60" s="36" t="str">
        <x:v>JA</x:v>
      </x:c>
      <x:c r="AA60" s="36" t="str">
        <x:v>JA</x:v>
      </x:c>
      <x:c r="AB60" s="36" t="str">
        <x:v>JA</x:v>
      </x:c>
      <x:c r="AC60" s="36" t="str">
        <x:v>JA</x:v>
      </x:c>
      <x:c r="AD60" s="36" t="str">
        <x:v>JA</x:v>
      </x:c>
      <x:c r="AE60" s="36" t="str">
        <x:v>JA</x:v>
      </x:c>
      <x:c r="AF60" s="36" t="str">
        <x:v>JA</x:v>
      </x:c>
      <x:c r="AG60" s="36" t="str">
        <x:v>FREIGEGEBEN</x:v>
      </x:c>
      <x:c r="AH60" s="36" t="str">
        <x:v>GPT-5.6 Sol · Buchprüfung Matthäus · L1912/OTB</x:v>
      </x:c>
      <x:c r="AI60" s="36" t="str">
        <x:v>FREIGEGEBEN</x:v>
      </x:c>
      <x:c r="AJ60" s="36" t="str">
        <x:v>Matthäus 12: repetitive Wiedererkennungsfrage durch TEXTGENAUIGKEIT-Frage ersetzt.</x:v>
      </x:c>
      <x:c r="AK60" s="36" t="str">
        <x:v>FaithPath repo develop/v4 · data/bibles/l1912/MAT.json · data/bibles/otb/MAT.json</x:v>
      </x:c>
      <x:c r="AL60" t="str">
        <x:v>JA</x:v>
      </x:c>
    </x:row>
    <x:row r="61">
      <x:c r="A61" t="str">
        <x:v>FP-0320</x:v>
      </x:c>
      <x:c r="B61" t="str">
        <x:v>MAT</x:v>
      </x:c>
      <x:c r="C61" t="str">
        <x:v>Matthäus</x:v>
      </x:c>
      <x:c r="D61" t="n">
        <x:v>12</x:v>
      </x:c>
      <x:c r="E61" t="n">
        <x:v>5</x:v>
      </x:c>
      <x:c r="F61" t="str">
        <x:v>MAT-012</x:v>
      </x:c>
      <x:c r="G61" t="n">
        <x:v>12</x:v>
      </x:c>
      <x:c r="H61" t="str">
        <x:v>CQ-A01</x:v>
      </x:c>
      <x:c r="I61" s="36" t="str">
        <x:v>Welche dieser Aussagen stammt aus Matthäus 12?</x:v>
      </x:c>
      <x:c r="J61" s="36" t="str"/>
      <x:c r="K61" s="36" t="str"/>
      <x:c r="L61" s="36" t="str">
        <x:v>REPO_VERIFIZIERT_FRAGEFORM</x:v>
      </x:c>
      <x:c r="M61" s="36" t="str">
        <x:v>ERSETZEN</x:v>
      </x:c>
      <x:c r="N61" s="36" t="str">
        <x:v>REPETITIVE_FRAGEFORM</x:v>
      </x:c>
      <x:c r="O61" s="36" t="str">
        <x:v>REINE_WIEDERERKENNUNG</x:v>
      </x:c>
      <x:c r="P61" s="36" t="str">
        <x:v>KERNAUSSAGE</x:v>
      </x:c>
      <x:c r="Q61" s="36" t="str">
        <x:v>Wen bezeichnet Jesus als seine geistliche Familie?</x:v>
      </x:c>
      <x:c r="R61" s="36" t="str">
        <x:v>Nur seine leiblichen Verwandten.</x:v>
      </x:c>
      <x:c r="S61" s="36" t="str">
        <x:v>Nur die zwölf Apostel.</x:v>
      </x:c>
      <x:c r="T61" s="36" t="str">
        <x:v>Alle Einwohner Nazareths.</x:v>
      </x:c>
      <x:c r="U61" s="36" t="str">
        <x:v>Wer den Willen seines Vaters im Himmel tut.</x:v>
      </x:c>
      <x:c r="V61" s="36" t="n">
        <x:v>3</x:v>
      </x:c>
      <x:c r="W61" s="36" t="str">
        <x:v>Wer den Willen seines Vaters im Himmel tut.</x:v>
      </x:c>
      <x:c r="X61" s="36" t="str">
        <x:v>Matthäus 12,46–50</x:v>
      </x:c>
      <x:c r="Y61" s="36" t="str">
        <x:v>Jesus erweitert den Familienbegriff auf diejenigen, die den Willen seines himmlischen Vaters tun.</x:v>
      </x:c>
      <x:c r="Z61" s="36" t="str">
        <x:v>JA</x:v>
      </x:c>
      <x:c r="AA61" s="36" t="str">
        <x:v>JA</x:v>
      </x:c>
      <x:c r="AB61" s="36" t="str">
        <x:v>JA</x:v>
      </x:c>
      <x:c r="AC61" s="36" t="str">
        <x:v>JA</x:v>
      </x:c>
      <x:c r="AD61" s="36" t="str">
        <x:v>JA</x:v>
      </x:c>
      <x:c r="AE61" s="36" t="str">
        <x:v>JA</x:v>
      </x:c>
      <x:c r="AF61" s="36" t="str">
        <x:v>JA</x:v>
      </x:c>
      <x:c r="AG61" s="36" t="str">
        <x:v>FREIGEGEBEN</x:v>
      </x:c>
      <x:c r="AH61" s="36" t="str">
        <x:v>GPT-5.6 Sol · Buchprüfung Matthäus · L1912/OTB</x:v>
      </x:c>
      <x:c r="AI61" s="36" t="str">
        <x:v>FREIGEGEBEN</x:v>
      </x:c>
      <x:c r="AJ61" s="36" t="str">
        <x:v>Matthäus 12: repetitive Wiedererkennungsfrage durch KERNAUSSAGE-Frage ersetzt.</x:v>
      </x:c>
      <x:c r="AK61" s="36" t="str">
        <x:v>FaithPath repo develop/v4 · data/bibles/l1912/MAT.json · data/bibles/otb/MAT.json</x:v>
      </x:c>
      <x:c r="AL61" t="str">
        <x:v>JA</x:v>
      </x:c>
    </x:row>
    <x:row r="62">
      <x:c r="A62" t="str">
        <x:v>FP-0321</x:v>
      </x:c>
      <x:c r="B62" t="str">
        <x:v>MAT</x:v>
      </x:c>
      <x:c r="C62" t="str">
        <x:v>Matthäus</x:v>
      </x:c>
      <x:c r="D62" t="n">
        <x:v>13</x:v>
      </x:c>
      <x:c r="E62" t="n">
        <x:v>1</x:v>
      </x:c>
      <x:c r="F62" t="str">
        <x:v>MAT-013</x:v>
      </x:c>
      <x:c r="G62" t="n">
        <x:v>13</x:v>
      </x:c>
      <x:c r="H62" t="str">
        <x:v>CQ-A01</x:v>
      </x:c>
      <x:c r="I62" s="36" t="str">
        <x:v>Welche dieser Aussagen stammt aus Matthäus 13?</x:v>
      </x:c>
      <x:c r="J62" s="36" t="str"/>
      <x:c r="K62" s="36" t="str"/>
      <x:c r="L62" s="36" t="str">
        <x:v>REPO_VERIFIZIERT_FRAGEFORM</x:v>
      </x:c>
      <x:c r="M62" s="36" t="str">
        <x:v>ERSETZEN</x:v>
      </x:c>
      <x:c r="N62" s="36" t="str">
        <x:v>REPETITIVE_FRAGEFORM</x:v>
      </x:c>
      <x:c r="O62" s="36" t="str">
        <x:v>REINE_WIEDERERKENNUNG</x:v>
      </x:c>
      <x:c r="P62" s="36" t="str">
        <x:v>ZUSAMMENHANG</x:v>
      </x:c>
      <x:c r="Q62" s="36" t="str">
        <x:v>Wofür steht der Same in Jesu Erklärung des Gleichnisses vom Sämann?</x:v>
      </x:c>
      <x:c r="R62" s="36" t="str">
        <x:v>Für das Wort vom Reich.</x:v>
      </x:c>
      <x:c r="S62" s="36" t="str">
        <x:v>Für Geld und Besitz.</x:v>
      </x:c>
      <x:c r="T62" s="36" t="str">
        <x:v>Für die römische Herrschaft.</x:v>
      </x:c>
      <x:c r="U62" s="36" t="str">
        <x:v>Für das Gesetz des Kaisers.</x:v>
      </x:c>
      <x:c r="V62" s="36" t="n">
        <x:v>0</x:v>
      </x:c>
      <x:c r="W62" s="36" t="str">
        <x:v>Für das Wort vom Reich.</x:v>
      </x:c>
      <x:c r="X62" s="36" t="str">
        <x:v>Matthäus 13,18–23</x:v>
      </x:c>
      <x:c r="Y62" s="36" t="str">
        <x:v>Jesus erklärt das Gleichnis, indem er den ausgesäten Samen mit dem Wort vom Reich verbindet.</x:v>
      </x:c>
      <x:c r="Z62" s="36" t="str">
        <x:v>JA</x:v>
      </x:c>
      <x:c r="AA62" s="36" t="str">
        <x:v>JA</x:v>
      </x:c>
      <x:c r="AB62" s="36" t="str">
        <x:v>JA</x:v>
      </x:c>
      <x:c r="AC62" s="36" t="str">
        <x:v>JA</x:v>
      </x:c>
      <x:c r="AD62" s="36" t="str">
        <x:v>JA</x:v>
      </x:c>
      <x:c r="AE62" s="36" t="str">
        <x:v>JA</x:v>
      </x:c>
      <x:c r="AF62" s="36" t="str">
        <x:v>JA</x:v>
      </x:c>
      <x:c r="AG62" s="36" t="str">
        <x:v>FREIGEGEBEN</x:v>
      </x:c>
      <x:c r="AH62" s="36" t="str">
        <x:v>GPT-5.6 Sol · Buchprüfung Matthäus · L1912/OTB</x:v>
      </x:c>
      <x:c r="AI62" s="36" t="str">
        <x:v>FREIGEGEBEN</x:v>
      </x:c>
      <x:c r="AJ62" s="36" t="str">
        <x:v>Matthäus 13: repetitive Wiedererkennungsfrage durch ZUSAMMENHANG-Frage ersetzt.</x:v>
      </x:c>
      <x:c r="AK62" s="36" t="str">
        <x:v>FaithPath repo develop/v4 · data/bibles/l1912/MAT.json · data/bibles/otb/MAT.json</x:v>
      </x:c>
      <x:c r="AL62" t="str">
        <x:v>JA</x:v>
      </x:c>
    </x:row>
    <x:row r="63">
      <x:c r="A63" t="str">
        <x:v>FP-0322</x:v>
      </x:c>
      <x:c r="B63" t="str">
        <x:v>MAT</x:v>
      </x:c>
      <x:c r="C63" t="str">
        <x:v>Matthäus</x:v>
      </x:c>
      <x:c r="D63" t="n">
        <x:v>13</x:v>
      </x:c>
      <x:c r="E63" t="n">
        <x:v>2</x:v>
      </x:c>
      <x:c r="F63" t="str">
        <x:v>MAT-013</x:v>
      </x:c>
      <x:c r="G63" t="n">
        <x:v>13</x:v>
      </x:c>
      <x:c r="H63" t="str">
        <x:v>CQ-A01</x:v>
      </x:c>
      <x:c r="I63" s="36" t="str">
        <x:v>Welche dieser Aussagen stammt aus Matthäus 13?</x:v>
      </x:c>
      <x:c r="J63" s="36" t="str"/>
      <x:c r="K63" s="36" t="str"/>
      <x:c r="L63" s="36" t="str">
        <x:v>REPO_VERIFIZIERT_FRAGEFORM</x:v>
      </x:c>
      <x:c r="M63" s="36" t="str">
        <x:v>ERSETZEN</x:v>
      </x:c>
      <x:c r="N63" s="36" t="str">
        <x:v>REPETITIVE_FRAGEFORM</x:v>
      </x:c>
      <x:c r="O63" s="36" t="str">
        <x:v>REINE_WIEDERERKENNUNG</x:v>
      </x:c>
      <x:c r="P63" s="36" t="str">
        <x:v>GESCHEHEN</x:v>
      </x:c>
      <x:c r="Q63" s="36" t="str">
        <x:v>Warum lässt der Hausherr im Gleichnis vom Unkraut Weizen und Unkraut zunächst zusammen wachsen?</x:v>
      </x:c>
      <x:c r="R63" s="36" t="str">
        <x:v>Weil er das Unkraut für wertvoll hält.</x:v>
      </x:c>
      <x:c r="S63" s="36" t="str">
        <x:v>Damit beim Ausreißen des Unkrauts nicht auch der Weizen mit ausgerissen wird.</x:v>
      </x:c>
      <x:c r="T63" s="36" t="str">
        <x:v>Weil niemand den Unterschied erkennen kann, auch bei der Ernte nicht.</x:v>
      </x:c>
      <x:c r="U63" s="36" t="str">
        <x:v>Weil die Arbeiter den Acker verlassen haben.</x:v>
      </x:c>
      <x:c r="V63" s="36" t="n">
        <x:v>1</x:v>
      </x:c>
      <x:c r="W63" s="36" t="str">
        <x:v>Damit beim Ausreißen des Unkrauts nicht auch der Weizen mit ausgerissen wird.</x:v>
      </x:c>
      <x:c r="X63" s="36" t="str">
        <x:v>Matthäus 13,24–30</x:v>
      </x:c>
      <x:c r="Y63" s="36" t="str">
        <x:v>Der Hausherr wartet bis zur Ernte, um den Weizen nicht durch vorschnelles Ausjäten zu gefährden.</x:v>
      </x:c>
      <x:c r="Z63" s="36" t="str">
        <x:v>JA</x:v>
      </x:c>
      <x:c r="AA63" s="36" t="str">
        <x:v>JA</x:v>
      </x:c>
      <x:c r="AB63" s="36" t="str">
        <x:v>JA</x:v>
      </x:c>
      <x:c r="AC63" s="36" t="str">
        <x:v>JA</x:v>
      </x:c>
      <x:c r="AD63" s="36" t="str">
        <x:v>JA</x:v>
      </x:c>
      <x:c r="AE63" s="36" t="str">
        <x:v>JA</x:v>
      </x:c>
      <x:c r="AF63" s="36" t="str">
        <x:v>JA</x:v>
      </x:c>
      <x:c r="AG63" s="36" t="str">
        <x:v>FREIGEGEBEN</x:v>
      </x:c>
      <x:c r="AH63" s="36" t="str">
        <x:v>GPT-5.6 Sol · Buchprüfung Matthäus · L1912/OTB</x:v>
      </x:c>
      <x:c r="AI63" s="36" t="str">
        <x:v>FREIGEGEBEN</x:v>
      </x:c>
      <x:c r="AJ63" s="36" t="str">
        <x:v>Matthäus 13: repetitive Wiedererkennungsfrage durch GESCHEHEN-Frage ersetzt.</x:v>
      </x:c>
      <x:c r="AK63" s="36" t="str">
        <x:v>FaithPath repo develop/v4 · data/bibles/l1912/MAT.json · data/bibles/otb/MAT.json</x:v>
      </x:c>
      <x:c r="AL63" t="str">
        <x:v>JA</x:v>
      </x:c>
    </x:row>
    <x:row r="64">
      <x:c r="A64" t="str">
        <x:v>FP-0323</x:v>
      </x:c>
      <x:c r="B64" t="str">
        <x:v>MAT</x:v>
      </x:c>
      <x:c r="C64" t="str">
        <x:v>Matthäus</x:v>
      </x:c>
      <x:c r="D64" t="n">
        <x:v>13</x:v>
      </x:c>
      <x:c r="E64" t="n">
        <x:v>3</x:v>
      </x:c>
      <x:c r="F64" t="str">
        <x:v>MAT-013</x:v>
      </x:c>
      <x:c r="G64" t="n">
        <x:v>13</x:v>
      </x:c>
      <x:c r="H64" t="str">
        <x:v>CQ-A01</x:v>
      </x:c>
      <x:c r="I64" s="36" t="str">
        <x:v>Welche dieser Aussagen stammt aus Matthäus 13?</x:v>
      </x:c>
      <x:c r="J64" s="36" t="str"/>
      <x:c r="K64" s="36" t="str"/>
      <x:c r="L64" s="36" t="str">
        <x:v>REPO_VERIFIZIERT_FRAGEFORM</x:v>
      </x:c>
      <x:c r="M64" s="36" t="str">
        <x:v>ERSETZEN</x:v>
      </x:c>
      <x:c r="N64" s="36" t="str">
        <x:v>REPETITIVE_FRAGEFORM</x:v>
      </x:c>
      <x:c r="O64" s="36" t="str">
        <x:v>REINE_WIEDERERKENNUNG</x:v>
      </x:c>
      <x:c r="P64" s="36" t="str">
        <x:v>KERNAUSSAGE</x:v>
      </x:c>
      <x:c r="Q64" s="36" t="str">
        <x:v>Was tun der Finder des Schatzes und der Kaufmann mit der kostbaren Perle?</x:v>
      </x:c>
      <x:c r="R64" s="36" t="str">
        <x:v>Sie verstecken alles und behalten ihren bisherigen Besitz unverändert.</x:v>
      </x:c>
      <x:c r="S64" s="36" t="str">
        <x:v>Sie verschenken Schatz und Perle sofort.</x:v>
      </x:c>
      <x:c r="T64" s="36" t="str">
        <x:v>Sie geben alles hin, um den gefundenen Wert zu gewinnen.</x:v>
      </x:c>
      <x:c r="U64" s="36" t="str">
        <x:v>Sie bringen beides zum Tempel, ohne etwas zu verkaufen.</x:v>
      </x:c>
      <x:c r="V64" s="36" t="n">
        <x:v>2</x:v>
      </x:c>
      <x:c r="W64" s="36" t="str">
        <x:v>Sie geben alles hin, um den gefundenen Wert zu gewinnen.</x:v>
      </x:c>
      <x:c r="X64" s="36" t="str">
        <x:v>Matthäus 13,44–46</x:v>
      </x:c>
      <x:c r="Y64" s="36" t="str">
        <x:v>Beide Gleichnisse betonen den überragenden Wert des Himmelreichs, für den alles andere zurücktritt.</x:v>
      </x:c>
      <x:c r="Z64" s="36" t="str">
        <x:v>JA</x:v>
      </x:c>
      <x:c r="AA64" s="36" t="str">
        <x:v>JA</x:v>
      </x:c>
      <x:c r="AB64" s="36" t="str">
        <x:v>JA</x:v>
      </x:c>
      <x:c r="AC64" s="36" t="str">
        <x:v>JA</x:v>
      </x:c>
      <x:c r="AD64" s="36" t="str">
        <x:v>JA</x:v>
      </x:c>
      <x:c r="AE64" s="36" t="str">
        <x:v>JA</x:v>
      </x:c>
      <x:c r="AF64" s="36" t="str">
        <x:v>JA</x:v>
      </x:c>
      <x:c r="AG64" s="36" t="str">
        <x:v>FREIGEGEBEN</x:v>
      </x:c>
      <x:c r="AH64" s="36" t="str">
        <x:v>GPT-5.6 Sol · Buchprüfung Matthäus · L1912/OTB</x:v>
      </x:c>
      <x:c r="AI64" s="36" t="str">
        <x:v>FREIGEGEBEN</x:v>
      </x:c>
      <x:c r="AJ64" s="36" t="str">
        <x:v>Matthäus 13: repetitive Wiedererkennungsfrage durch KERNAUSSAGE-Frage ersetzt.</x:v>
      </x:c>
      <x:c r="AK64" s="36" t="str">
        <x:v>FaithPath repo develop/v4 · data/bibles/l1912/MAT.json · data/bibles/otb/MAT.json</x:v>
      </x:c>
      <x:c r="AL64" t="str">
        <x:v>JA</x:v>
      </x:c>
    </x:row>
    <x:row r="65">
      <x:c r="A65" t="str">
        <x:v>FP-0324</x:v>
      </x:c>
      <x:c r="B65" t="str">
        <x:v>MAT</x:v>
      </x:c>
      <x:c r="C65" t="str">
        <x:v>Matthäus</x:v>
      </x:c>
      <x:c r="D65" t="n">
        <x:v>13</x:v>
      </x:c>
      <x:c r="E65" t="n">
        <x:v>4</x:v>
      </x:c>
      <x:c r="F65" t="str">
        <x:v>MAT-013</x:v>
      </x:c>
      <x:c r="G65" t="n">
        <x:v>13</x:v>
      </x:c>
      <x:c r="H65" t="str">
        <x:v>CQ-A01</x:v>
      </x:c>
      <x:c r="I65" s="36" t="str">
        <x:v>Welche dieser Aussagen stammt aus Matthäus 13?</x:v>
      </x:c>
      <x:c r="J65" s="36" t="str"/>
      <x:c r="K65" s="36" t="str"/>
      <x:c r="L65" s="36" t="str">
        <x:v>REPO_VERIFIZIERT_FRAGEFORM</x:v>
      </x:c>
      <x:c r="M65" s="36" t="str">
        <x:v>ERSETZEN</x:v>
      </x:c>
      <x:c r="N65" s="36" t="str">
        <x:v>REPETITIVE_FRAGEFORM</x:v>
      </x:c>
      <x:c r="O65" s="36" t="str">
        <x:v>REINE_WIEDERERKENNUNG</x:v>
      </x:c>
      <x:c r="P65" s="36" t="str">
        <x:v>DETAIL</x:v>
      </x:c>
      <x:c r="Q65" s="36" t="str">
        <x:v>Was geschieht im Gleichnis vom Netz mit den Fischen nach dem Fang?</x:v>
      </x:c>
      <x:c r="R65" s="36" t="str">
        <x:v>Alle werden sofort wieder ins Meer gesetzt.</x:v>
      </x:c>
      <x:c r="S65" s="36" t="str">
        <x:v>Nur die kleinsten werden behalten.</x:v>
      </x:c>
      <x:c r="T65" s="36" t="str">
        <x:v>Die Fischer verkaufen das Netz und behalten keine Fische.</x:v>
      </x:c>
      <x:c r="U65" s="36" t="str">
        <x:v>Die guten werden gesammelt, die schlechten weggeworfen.</x:v>
      </x:c>
      <x:c r="V65" s="36" t="n">
        <x:v>3</x:v>
      </x:c>
      <x:c r="W65" s="36" t="str">
        <x:v>Die guten werden gesammelt, die schlechten weggeworfen.</x:v>
      </x:c>
      <x:c r="X65" s="36" t="str">
        <x:v>Matthäus 13,47–50</x:v>
      </x:c>
      <x:c r="Y65" s="36" t="str">
        <x:v>Das Netz sammelt vielerlei Fische; anschließend werden gute und schlechte getrennt.</x:v>
      </x:c>
      <x:c r="Z65" s="36" t="str">
        <x:v>JA</x:v>
      </x:c>
      <x:c r="AA65" s="36" t="str">
        <x:v>JA</x:v>
      </x:c>
      <x:c r="AB65" s="36" t="str">
        <x:v>JA</x:v>
      </x:c>
      <x:c r="AC65" s="36" t="str">
        <x:v>JA</x:v>
      </x:c>
      <x:c r="AD65" s="36" t="str">
        <x:v>JA</x:v>
      </x:c>
      <x:c r="AE65" s="36" t="str">
        <x:v>JA</x:v>
      </x:c>
      <x:c r="AF65" s="36" t="str">
        <x:v>JA</x:v>
      </x:c>
      <x:c r="AG65" s="36" t="str">
        <x:v>FREIGEGEBEN</x:v>
      </x:c>
      <x:c r="AH65" s="36" t="str">
        <x:v>GPT-5.6 Sol · Buchprüfung Matthäus · L1912/OTB</x:v>
      </x:c>
      <x:c r="AI65" s="36" t="str">
        <x:v>FREIGEGEBEN</x:v>
      </x:c>
      <x:c r="AJ65" s="36" t="str">
        <x:v>Matthäus 13: repetitive Wiedererkennungsfrage durch DETAIL-Frage ersetzt.</x:v>
      </x:c>
      <x:c r="AK65" s="36" t="str">
        <x:v>FaithPath repo develop/v4 · data/bibles/l1912/MAT.json · data/bibles/otb/MAT.json</x:v>
      </x:c>
      <x:c r="AL65" t="str">
        <x:v>JA</x:v>
      </x:c>
    </x:row>
    <x:row r="66">
      <x:c r="A66" t="str">
        <x:v>FP-0325</x:v>
      </x:c>
      <x:c r="B66" t="str">
        <x:v>MAT</x:v>
      </x:c>
      <x:c r="C66" t="str">
        <x:v>Matthäus</x:v>
      </x:c>
      <x:c r="D66" t="n">
        <x:v>13</x:v>
      </x:c>
      <x:c r="E66" t="n">
        <x:v>5</x:v>
      </x:c>
      <x:c r="F66" t="str">
        <x:v>MAT-013</x:v>
      </x:c>
      <x:c r="G66" t="n">
        <x:v>13</x:v>
      </x:c>
      <x:c r="H66" t="str">
        <x:v>CQ-A01</x:v>
      </x:c>
      <x:c r="I66" s="36" t="str">
        <x:v>Welche dieser Aussagen stammt aus Matthäus 13?</x:v>
      </x:c>
      <x:c r="J66" s="36" t="str"/>
      <x:c r="K66" s="36" t="str"/>
      <x:c r="L66" s="36" t="str">
        <x:v>REPO_VERIFIZIERT_FRAGEFORM</x:v>
      </x:c>
      <x:c r="M66" s="36" t="str">
        <x:v>ERSETZEN</x:v>
      </x:c>
      <x:c r="N66" s="36" t="str">
        <x:v>REPETITIVE_FRAGEFORM</x:v>
      </x:c>
      <x:c r="O66" s="36" t="str">
        <x:v>REINE_WIEDERERKENNUNG</x:v>
      </x:c>
      <x:c r="P66" s="36" t="str">
        <x:v>ZUSAMMENHANG</x:v>
      </x:c>
      <x:c r="Q66" s="36" t="str">
        <x:v>Warum tat Jesus in seiner Heimat nicht viele Machttaten?</x:v>
      </x:c>
      <x:c r="R66" s="36" t="str">
        <x:v>Wegen ihres Unglaubens.</x:v>
      </x:c>
      <x:c r="S66" s="36" t="str">
        <x:v>Weil er dort niemanden kannte.</x:v>
      </x:c>
      <x:c r="T66" s="36" t="str">
        <x:v>Weil Herodes es verboten hatte.</x:v>
      </x:c>
      <x:c r="U66" s="36" t="str">
        <x:v>Weil die Jünger ihn verlassen hatten.</x:v>
      </x:c>
      <x:c r="V66" s="36" t="n">
        <x:v>0</x:v>
      </x:c>
      <x:c r="W66" s="36" t="str">
        <x:v>Wegen ihres Unglaubens.</x:v>
      </x:c>
      <x:c r="X66" s="36" t="str">
        <x:v>Matthäus 13,53–58</x:v>
      </x:c>
      <x:c r="Y66" s="36" t="str">
        <x:v>Matthäus verbindet die wenigen Machttaten in Jesu Heimat ausdrücklich mit dem Unglauben der Menschen dort.</x:v>
      </x:c>
      <x:c r="Z66" s="36" t="str">
        <x:v>JA</x:v>
      </x:c>
      <x:c r="AA66" s="36" t="str">
        <x:v>JA</x:v>
      </x:c>
      <x:c r="AB66" s="36" t="str">
        <x:v>JA</x:v>
      </x:c>
      <x:c r="AC66" s="36" t="str">
        <x:v>JA</x:v>
      </x:c>
      <x:c r="AD66" s="36" t="str">
        <x:v>JA</x:v>
      </x:c>
      <x:c r="AE66" s="36" t="str">
        <x:v>JA</x:v>
      </x:c>
      <x:c r="AF66" s="36" t="str">
        <x:v>JA</x:v>
      </x:c>
      <x:c r="AG66" s="36" t="str">
        <x:v>FREIGEGEBEN</x:v>
      </x:c>
      <x:c r="AH66" s="36" t="str">
        <x:v>GPT-5.6 Sol · Buchprüfung Matthäus · L1912/OTB</x:v>
      </x:c>
      <x:c r="AI66" s="36" t="str">
        <x:v>FREIGEGEBEN</x:v>
      </x:c>
      <x:c r="AJ66" s="36" t="str">
        <x:v>Matthäus 13: repetitive Wiedererkennungsfrage durch ZUSAMMENHANG-Frage ersetzt.</x:v>
      </x:c>
      <x:c r="AK66" s="36" t="str">
        <x:v>FaithPath repo develop/v4 · data/bibles/l1912/MAT.json · data/bibles/otb/MAT.json</x:v>
      </x:c>
      <x:c r="AL66" t="str">
        <x:v>JA</x:v>
      </x:c>
    </x:row>
    <x:row r="67">
      <x:c r="A67" t="str">
        <x:v>FP-0326</x:v>
      </x:c>
      <x:c r="B67" t="str">
        <x:v>MAT</x:v>
      </x:c>
      <x:c r="C67" t="str">
        <x:v>Matthäus</x:v>
      </x:c>
      <x:c r="D67" t="n">
        <x:v>14</x:v>
      </x:c>
      <x:c r="E67" t="n">
        <x:v>1</x:v>
      </x:c>
      <x:c r="F67" t="str">
        <x:v>MAT-014</x:v>
      </x:c>
      <x:c r="G67" t="n">
        <x:v>14</x:v>
      </x:c>
      <x:c r="H67" t="str">
        <x:v>CQ-A01</x:v>
      </x:c>
      <x:c r="I67" s="36" t="str">
        <x:v>Welche dieser Aussagen stammt aus Matthäus 14?</x:v>
      </x:c>
      <x:c r="J67" s="36" t="str"/>
      <x:c r="K67" s="36" t="str"/>
      <x:c r="L67" s="36" t="str">
        <x:v>REPO_VERIFIZIERT_FRAGEFORM</x:v>
      </x:c>
      <x:c r="M67" s="36" t="str">
        <x:v>ERSETZEN</x:v>
      </x:c>
      <x:c r="N67" s="36" t="str">
        <x:v>REPETITIVE_FRAGEFORM</x:v>
      </x:c>
      <x:c r="O67" s="36" t="str">
        <x:v>REINE_WIEDERERKENNUNG</x:v>
      </x:c>
      <x:c r="P67" s="36" t="str">
        <x:v>GESCHEHEN</x:v>
      </x:c>
      <x:c r="Q67" s="36" t="str">
        <x:v>Warum ließ Herodes Johannes den Täufer schließlich enthaupten?</x:v>
      </x:c>
      <x:c r="R67" s="36" t="str">
        <x:v>Weil Johannes nach Rom fliehen wollte.</x:v>
      </x:c>
      <x:c r="S67" s="36" t="str">
        <x:v>Wegen seines Eides und der Bitte der Tochter der Herodias.</x:v>
      </x:c>
      <x:c r="T67" s="36" t="str">
        <x:v>Weil die Jünger Johannes verrieten.</x:v>
      </x:c>
      <x:c r="U67" s="36" t="str">
        <x:v>Weil Johannes sich selbst zum König erklärt hatte.</x:v>
      </x:c>
      <x:c r="V67" s="36" t="n">
        <x:v>1</x:v>
      </x:c>
      <x:c r="W67" s="36" t="str">
        <x:v>Wegen seines Eides und der Bitte der Tochter der Herodias.</x:v>
      </x:c>
      <x:c r="X67" s="36" t="str">
        <x:v>Matthäus 14,6–10</x:v>
      </x:c>
      <x:c r="Y67" s="36" t="str">
        <x:v>Nach dem Tanz der Tochter der Herodias bindet sich Herodes durch seinen Eid und lässt Johannes auf ihre Bitte hin enthaupten.</x:v>
      </x:c>
      <x:c r="Z67" s="36" t="str">
        <x:v>JA</x:v>
      </x:c>
      <x:c r="AA67" s="36" t="str">
        <x:v>JA</x:v>
      </x:c>
      <x:c r="AB67" s="36" t="str">
        <x:v>JA</x:v>
      </x:c>
      <x:c r="AC67" s="36" t="str">
        <x:v>JA</x:v>
      </x:c>
      <x:c r="AD67" s="36" t="str">
        <x:v>JA</x:v>
      </x:c>
      <x:c r="AE67" s="36" t="str">
        <x:v>JA</x:v>
      </x:c>
      <x:c r="AF67" s="36" t="str">
        <x:v>JA</x:v>
      </x:c>
      <x:c r="AG67" s="36" t="str">
        <x:v>FREIGEGEBEN</x:v>
      </x:c>
      <x:c r="AH67" s="36" t="str">
        <x:v>GPT-5.6 Sol · Buchprüfung Matthäus · L1912/OTB</x:v>
      </x:c>
      <x:c r="AI67" s="36" t="str">
        <x:v>FREIGEGEBEN</x:v>
      </x:c>
      <x:c r="AJ67" s="36" t="str">
        <x:v>Matthäus 14: repetitive Wiedererkennungsfrage durch GESCHEHEN-Frage ersetzt.</x:v>
      </x:c>
      <x:c r="AK67" s="36" t="str">
        <x:v>FaithPath repo develop/v4 · data/bibles/l1912/MAT.json · data/bibles/otb/MAT.json</x:v>
      </x:c>
      <x:c r="AL67" t="str">
        <x:v>JA</x:v>
      </x:c>
    </x:row>
    <x:row r="68">
      <x:c r="A68" t="str">
        <x:v>FP-0327</x:v>
      </x:c>
      <x:c r="B68" t="str">
        <x:v>MAT</x:v>
      </x:c>
      <x:c r="C68" t="str">
        <x:v>Matthäus</x:v>
      </x:c>
      <x:c r="D68" t="n">
        <x:v>14</x:v>
      </x:c>
      <x:c r="E68" t="n">
        <x:v>2</x:v>
      </x:c>
      <x:c r="F68" t="str">
        <x:v>MAT-014</x:v>
      </x:c>
      <x:c r="G68" t="n">
        <x:v>14</x:v>
      </x:c>
      <x:c r="H68" t="str">
        <x:v>CQ-A01</x:v>
      </x:c>
      <x:c r="I68" s="36" t="str">
        <x:v>Welche dieser Aussagen stammt aus Matthäus 14?</x:v>
      </x:c>
      <x:c r="J68" s="36" t="str"/>
      <x:c r="K68" s="36" t="str"/>
      <x:c r="L68" s="36" t="str">
        <x:v>REPO_VERIFIZIERT_FRAGEFORM</x:v>
      </x:c>
      <x:c r="M68" s="36" t="str">
        <x:v>ERSETZEN</x:v>
      </x:c>
      <x:c r="N68" s="36" t="str">
        <x:v>REPETITIVE_FRAGEFORM</x:v>
      </x:c>
      <x:c r="O68" s="36" t="str">
        <x:v>REINE_WIEDERERKENNUNG</x:v>
      </x:c>
      <x:c r="P68" s="36" t="str">
        <x:v>DETAIL</x:v>
      </x:c>
      <x:c r="Q68" s="36" t="str">
        <x:v>Wie viele Brote und Fische standen Jesus bei der Speisung der großen Menge zur Verfügung?</x:v>
      </x:c>
      <x:c r="R68" s="36" t="str">
        <x:v>Sieben Brote und wenige Fische.</x:v>
      </x:c>
      <x:c r="S68" s="36" t="str">
        <x:v>Zwölf Brote und ein Fisch.</x:v>
      </x:c>
      <x:c r="T68" s="36" t="str">
        <x:v>Fünf Brote und zwei Fische.</x:v>
      </x:c>
      <x:c r="U68" s="36" t="str">
        <x:v>Drei Brote und fünf Fische.</x:v>
      </x:c>
      <x:c r="V68" s="36" t="n">
        <x:v>2</x:v>
      </x:c>
      <x:c r="W68" s="36" t="str">
        <x:v>Fünf Brote und zwei Fische.</x:v>
      </x:c>
      <x:c r="X68" s="36" t="str">
        <x:v>Matthäus 14,15–19</x:v>
      </x:c>
      <x:c r="Y68" s="36" t="str">
        <x:v>Die Jünger nennen fünf Brote und zwei Fische; Jesus dankt dafür und lässt sie austeilen.</x:v>
      </x:c>
      <x:c r="Z68" s="36" t="str">
        <x:v>JA</x:v>
      </x:c>
      <x:c r="AA68" s="36" t="str">
        <x:v>JA</x:v>
      </x:c>
      <x:c r="AB68" s="36" t="str">
        <x:v>JA</x:v>
      </x:c>
      <x:c r="AC68" s="36" t="str">
        <x:v>JA</x:v>
      </x:c>
      <x:c r="AD68" s="36" t="str">
        <x:v>JA</x:v>
      </x:c>
      <x:c r="AE68" s="36" t="str">
        <x:v>JA</x:v>
      </x:c>
      <x:c r="AF68" s="36" t="str">
        <x:v>JA</x:v>
      </x:c>
      <x:c r="AG68" s="36" t="str">
        <x:v>FREIGEGEBEN</x:v>
      </x:c>
      <x:c r="AH68" s="36" t="str">
        <x:v>GPT-5.6 Sol · Buchprüfung Matthäus · L1912/OTB</x:v>
      </x:c>
      <x:c r="AI68" s="36" t="str">
        <x:v>FREIGEGEBEN</x:v>
      </x:c>
      <x:c r="AJ68" s="36" t="str">
        <x:v>Matthäus 14: repetitive Wiedererkennungsfrage durch DETAIL-Frage ersetzt.</x:v>
      </x:c>
      <x:c r="AK68" s="36" t="str">
        <x:v>FaithPath repo develop/v4 · data/bibles/l1912/MAT.json · data/bibles/otb/MAT.json</x:v>
      </x:c>
      <x:c r="AL68" t="str">
        <x:v>JA</x:v>
      </x:c>
    </x:row>
    <x:row r="69">
      <x:c r="A69" t="str">
        <x:v>FP-0328</x:v>
      </x:c>
      <x:c r="B69" t="str">
        <x:v>MAT</x:v>
      </x:c>
      <x:c r="C69" t="str">
        <x:v>Matthäus</x:v>
      </x:c>
      <x:c r="D69" t="n">
        <x:v>14</x:v>
      </x:c>
      <x:c r="E69" t="n">
        <x:v>3</x:v>
      </x:c>
      <x:c r="F69" t="str">
        <x:v>MAT-014</x:v>
      </x:c>
      <x:c r="G69" t="n">
        <x:v>14</x:v>
      </x:c>
      <x:c r="H69" t="str">
        <x:v>CQ-A01</x:v>
      </x:c>
      <x:c r="I69" s="36" t="str">
        <x:v>Welche dieser Aussagen stammt aus Matthäus 14?</x:v>
      </x:c>
      <x:c r="J69" s="36" t="str"/>
      <x:c r="K69" s="36" t="str"/>
      <x:c r="L69" s="36" t="str">
        <x:v>REPO_VERIFIZIERT_FRAGEFORM</x:v>
      </x:c>
      <x:c r="M69" s="36" t="str">
        <x:v>ERSETZEN</x:v>
      </x:c>
      <x:c r="N69" s="36" t="str">
        <x:v>REPETITIVE_FRAGEFORM</x:v>
      </x:c>
      <x:c r="O69" s="36" t="str">
        <x:v>REINE_WIEDERERKENNUNG</x:v>
      </x:c>
      <x:c r="P69" s="36" t="str">
        <x:v>DETAIL</x:v>
      </x:c>
      <x:c r="Q69" s="36" t="str">
        <x:v>Wie viele Körbe mit Resten blieben nach der Speisung der Fünftausend übrig?</x:v>
      </x:c>
      <x:c r="R69" s="36" t="str">
        <x:v>Sieben Körbe.</x:v>
      </x:c>
      <x:c r="S69" s="36" t="str">
        <x:v>Fünf Körbe.</x:v>
      </x:c>
      <x:c r="T69" s="36" t="str">
        <x:v>Vierzehn Körbe.</x:v>
      </x:c>
      <x:c r="U69" s="36" t="str">
        <x:v>Zwölf Körbe.</x:v>
      </x:c>
      <x:c r="V69" s="36" t="n">
        <x:v>3</x:v>
      </x:c>
      <x:c r="W69" s="36" t="str">
        <x:v>Zwölf Körbe.</x:v>
      </x:c>
      <x:c r="X69" s="36" t="str">
        <x:v>Matthäus 14,20–21</x:v>
      </x:c>
      <x:c r="Y69" s="36" t="str">
        <x:v>Nach dem Essen werden zwölf volle Körbe mit übrig gebliebenen Brocken gesammelt.</x:v>
      </x:c>
      <x:c r="Z69" s="36" t="str">
        <x:v>JA</x:v>
      </x:c>
      <x:c r="AA69" s="36" t="str">
        <x:v>JA</x:v>
      </x:c>
      <x:c r="AB69" s="36" t="str">
        <x:v>JA</x:v>
      </x:c>
      <x:c r="AC69" s="36" t="str">
        <x:v>JA</x:v>
      </x:c>
      <x:c r="AD69" s="36" t="str">
        <x:v>JA</x:v>
      </x:c>
      <x:c r="AE69" s="36" t="str">
        <x:v>JA</x:v>
      </x:c>
      <x:c r="AF69" s="36" t="str">
        <x:v>JA</x:v>
      </x:c>
      <x:c r="AG69" s="36" t="str">
        <x:v>FREIGEGEBEN</x:v>
      </x:c>
      <x:c r="AH69" s="36" t="str">
        <x:v>GPT-5.6 Sol · Buchprüfung Matthäus · L1912/OTB</x:v>
      </x:c>
      <x:c r="AI69" s="36" t="str">
        <x:v>FREIGEGEBEN</x:v>
      </x:c>
      <x:c r="AJ69" s="36" t="str">
        <x:v>Matthäus 14: repetitive Wiedererkennungsfrage durch DETAIL-Frage ersetzt.</x:v>
      </x:c>
      <x:c r="AK69" s="36" t="str">
        <x:v>FaithPath repo develop/v4 · data/bibles/l1912/MAT.json · data/bibles/otb/MAT.json</x:v>
      </x:c>
      <x:c r="AL69" t="str">
        <x:v>JA</x:v>
      </x:c>
    </x:row>
    <x:row r="70">
      <x:c r="A70" t="str">
        <x:v>FP-0329</x:v>
      </x:c>
      <x:c r="B70" t="str">
        <x:v>MAT</x:v>
      </x:c>
      <x:c r="C70" t="str">
        <x:v>Matthäus</x:v>
      </x:c>
      <x:c r="D70" t="n">
        <x:v>14</x:v>
      </x:c>
      <x:c r="E70" t="n">
        <x:v>4</x:v>
      </x:c>
      <x:c r="F70" t="str">
        <x:v>MAT-014</x:v>
      </x:c>
      <x:c r="G70" t="n">
        <x:v>14</x:v>
      </x:c>
      <x:c r="H70" t="str">
        <x:v>CQ-A01</x:v>
      </x:c>
      <x:c r="I70" s="36" t="str">
        <x:v>Welche dieser Aussagen stammt aus Matthäus 14?</x:v>
      </x:c>
      <x:c r="J70" s="36" t="str"/>
      <x:c r="K70" s="36" t="str"/>
      <x:c r="L70" s="36" t="str">
        <x:v>REPO_VERIFIZIERT_FRAGEFORM</x:v>
      </x:c>
      <x:c r="M70" s="36" t="str">
        <x:v>ERSETZEN</x:v>
      </x:c>
      <x:c r="N70" s="36" t="str">
        <x:v>REPETITIVE_FRAGEFORM</x:v>
      </x:c>
      <x:c r="O70" s="36" t="str">
        <x:v>REINE_WIEDERERKENNUNG</x:v>
      </x:c>
      <x:c r="P70" s="36" t="str">
        <x:v>ZUSAMMENHANG</x:v>
      </x:c>
      <x:c r="Q70" s="36" t="str">
        <x:v>Warum begann Petrus zu sinken, nachdem er Jesus auf dem Wasser entgegengegangen war?</x:v>
      </x:c>
      <x:c r="R70" s="36" t="str">
        <x:v>Er sah auf den starken Wind, bekam Angst und begann zu zweifeln.</x:v>
      </x:c>
      <x:c r="S70" s="36" t="str">
        <x:v>Jesus befahl ihm unterzutauchen.</x:v>
      </x:c>
      <x:c r="T70" s="36" t="str">
        <x:v>Das Boot stieß gegen ihn.</x:v>
      </x:c>
      <x:c r="U70" s="36" t="str">
        <x:v>Die anderen Jünger zogen ihn ins Wasser.</x:v>
      </x:c>
      <x:c r="V70" s="36" t="n">
        <x:v>0</x:v>
      </x:c>
      <x:c r="W70" s="36" t="str">
        <x:v>Er sah auf den starken Wind, bekam Angst und begann zu zweifeln.</x:v>
      </x:c>
      <x:c r="X70" s="36" t="str">
        <x:v>Matthäus 14,28–31</x:v>
      </x:c>
      <x:c r="Y70" s="36" t="str">
        <x:v>Petrus geht zunächst auf dem Wasser, erschrickt dann über den Wind und sinkt; Jesus spricht seinen kleinen Glauben und Zweifel an.</x:v>
      </x:c>
      <x:c r="Z70" s="36" t="str">
        <x:v>JA</x:v>
      </x:c>
      <x:c r="AA70" s="36" t="str">
        <x:v>JA</x:v>
      </x:c>
      <x:c r="AB70" s="36" t="str">
        <x:v>JA</x:v>
      </x:c>
      <x:c r="AC70" s="36" t="str">
        <x:v>JA</x:v>
      </x:c>
      <x:c r="AD70" s="36" t="str">
        <x:v>JA</x:v>
      </x:c>
      <x:c r="AE70" s="36" t="str">
        <x:v>JA</x:v>
      </x:c>
      <x:c r="AF70" s="36" t="str">
        <x:v>JA</x:v>
      </x:c>
      <x:c r="AG70" s="36" t="str">
        <x:v>FREIGEGEBEN</x:v>
      </x:c>
      <x:c r="AH70" s="36" t="str">
        <x:v>GPT-5.6 Sol · Buchprüfung Matthäus · L1912/OTB</x:v>
      </x:c>
      <x:c r="AI70" s="36" t="str">
        <x:v>FREIGEGEBEN</x:v>
      </x:c>
      <x:c r="AJ70" s="36" t="str">
        <x:v>Matthäus 14: repetitive Wiedererkennungsfrage durch ZUSAMMENHANG-Frage ersetzt.</x:v>
      </x:c>
      <x:c r="AK70" s="36" t="str">
        <x:v>FaithPath repo develop/v4 · data/bibles/l1912/MAT.json · data/bibles/otb/MAT.json</x:v>
      </x:c>
      <x:c r="AL70" t="str">
        <x:v>JA</x:v>
      </x:c>
    </x:row>
    <x:row r="71">
      <x:c r="A71" t="str">
        <x:v>FP-0330</x:v>
      </x:c>
      <x:c r="B71" t="str">
        <x:v>MAT</x:v>
      </x:c>
      <x:c r="C71" t="str">
        <x:v>Matthäus</x:v>
      </x:c>
      <x:c r="D71" t="n">
        <x:v>14</x:v>
      </x:c>
      <x:c r="E71" t="n">
        <x:v>5</x:v>
      </x:c>
      <x:c r="F71" t="str">
        <x:v>MAT-014</x:v>
      </x:c>
      <x:c r="G71" t="n">
        <x:v>14</x:v>
      </x:c>
      <x:c r="H71" t="str">
        <x:v>CQ-A01</x:v>
      </x:c>
      <x:c r="I71" s="36" t="str">
        <x:v>Welche dieser Aussagen stammt aus Matthäus 14?</x:v>
      </x:c>
      <x:c r="J71" s="36" t="str"/>
      <x:c r="K71" s="36" t="str"/>
      <x:c r="L71" s="36" t="str">
        <x:v>REPO_VERIFIZIERT_FRAGEFORM</x:v>
      </x:c>
      <x:c r="M71" s="36" t="str">
        <x:v>ERSETZEN</x:v>
      </x:c>
      <x:c r="N71" s="36" t="str">
        <x:v>REPETITIVE_FRAGEFORM</x:v>
      </x:c>
      <x:c r="O71" s="36" t="str">
        <x:v>REINE_WIEDERERKENNUNG</x:v>
      </x:c>
      <x:c r="P71" s="36" t="str">
        <x:v>PERSON_AUSSAGE</x:v>
      </x:c>
      <x:c r="Q71" s="36" t="str">
        <x:v>Wie reagieren die Jünger im Boot, nachdem Jesus und Petrus eingestiegen sind und der Wind sich legt?</x:v>
      </x:c>
      <x:c r="R71" s="36" t="str">
        <x:v>Sie verlassen sofort das Boot.</x:v>
      </x:c>
      <x:c r="S71" s="36" t="str">
        <x:v>Sie beten Jesus an und bekennen ihn als Gottes Sohn.</x:v>
      </x:c>
      <x:c r="T71" s="36" t="str">
        <x:v>Sie bitten Jesus, nach Nazareth zurückzukehren.</x:v>
      </x:c>
      <x:c r="U71" s="36" t="str">
        <x:v>Sie schweigen und schlafen ein.</x:v>
      </x:c>
      <x:c r="V71" s="36" t="n">
        <x:v>1</x:v>
      </x:c>
      <x:c r="W71" s="36" t="str">
        <x:v>Sie beten Jesus an und bekennen ihn als Gottes Sohn.</x:v>
      </x:c>
      <x:c r="X71" s="36" t="str">
        <x:v>Matthäus 14,32–33</x:v>
      </x:c>
      <x:c r="Y71" s="36" t="str">
        <x:v>Nach dem Ende des Sturms fallen die Jünger vor Jesus nieder und bekennen: „Du bist wahrhaftig Gottes Sohn.“</x:v>
      </x:c>
      <x:c r="Z71" s="36" t="str">
        <x:v>JA</x:v>
      </x:c>
      <x:c r="AA71" s="36" t="str">
        <x:v>JA</x:v>
      </x:c>
      <x:c r="AB71" s="36" t="str">
        <x:v>JA</x:v>
      </x:c>
      <x:c r="AC71" s="36" t="str">
        <x:v>JA</x:v>
      </x:c>
      <x:c r="AD71" s="36" t="str">
        <x:v>JA</x:v>
      </x:c>
      <x:c r="AE71" s="36" t="str">
        <x:v>JA</x:v>
      </x:c>
      <x:c r="AF71" s="36" t="str">
        <x:v>JA</x:v>
      </x:c>
      <x:c r="AG71" s="36" t="str">
        <x:v>FREIGEGEBEN</x:v>
      </x:c>
      <x:c r="AH71" s="36" t="str">
        <x:v>GPT-5.6 Sol · Buchprüfung Matthäus · L1912/OTB</x:v>
      </x:c>
      <x:c r="AI71" s="36" t="str">
        <x:v>FREIGEGEBEN</x:v>
      </x:c>
      <x:c r="AJ71" s="36" t="str">
        <x:v>Matthäus 14: repetitive Wiedererkennungsfrage durch PERSON_AUSSAGE-Frage ersetzt.</x:v>
      </x:c>
      <x:c r="AK71" s="36" t="str">
        <x:v>FaithPath repo develop/v4 · data/bibles/l1912/MAT.json · data/bibles/otb/MAT.json</x:v>
      </x:c>
      <x:c r="AL71" t="str">
        <x:v>JA</x:v>
      </x:c>
    </x:row>
    <x:row r="72">
      <x:c r="A72" t="str">
        <x:v>FP-0331</x:v>
      </x:c>
      <x:c r="B72" t="str">
        <x:v>MAT</x:v>
      </x:c>
      <x:c r="C72" t="str">
        <x:v>Matthäus</x:v>
      </x:c>
      <x:c r="D72" t="n">
        <x:v>15</x:v>
      </x:c>
      <x:c r="E72" t="n">
        <x:v>1</x:v>
      </x:c>
      <x:c r="F72" t="str">
        <x:v>MAT-015</x:v>
      </x:c>
      <x:c r="G72" t="n">
        <x:v>15</x:v>
      </x:c>
      <x:c r="H72" t="str">
        <x:v>CQ-A01</x:v>
      </x:c>
      <x:c r="I72" s="36" t="str">
        <x:v>Welche dieser Aussagen stammt aus Matthäus 15?</x:v>
      </x:c>
      <x:c r="J72" s="36" t="str"/>
      <x:c r="K72" s="36" t="str"/>
      <x:c r="L72" s="36" t="str">
        <x:v>REPO_VERIFIZIERT_FRAGEFORM</x:v>
      </x:c>
      <x:c r="M72" s="36" t="str">
        <x:v>ERSETZEN</x:v>
      </x:c>
      <x:c r="N72" s="36" t="str">
        <x:v>REPETITIVE_FRAGEFORM</x:v>
      </x:c>
      <x:c r="O72" s="36" t="str">
        <x:v>REINE_WIEDERERKENNUNG</x:v>
      </x:c>
      <x:c r="P72" s="36" t="str">
        <x:v>ZUSAMMENHANG</x:v>
      </x:c>
      <x:c r="Q72" s="36" t="str">
        <x:v>Welchen Vorwurf macht Jesus den Pharisäern und Schriftgelehrten im Streit um ihre Überlieferung?</x:v>
      </x:c>
      <x:c r="R72" s="36" t="str">
        <x:v>Sie würden niemals die Hände waschen.</x:v>
      </x:c>
      <x:c r="S72" s="36" t="str">
        <x:v>Sie würden keine Propheten lesen.</x:v>
      </x:c>
      <x:c r="T72" s="36" t="str">
        <x:v>Ihre Überlieferung könne dazu führen, Gottes Gebot außer Kraft zu setzen.</x:v>
      </x:c>
      <x:c r="U72" s="36" t="str">
        <x:v>Sie würden den Tempel nicht besuchen.</x:v>
      </x:c>
      <x:c r="V72" s="36" t="n">
        <x:v>2</x:v>
      </x:c>
      <x:c r="W72" s="36" t="str">
        <x:v>Ihre Überlieferung könne dazu führen, Gottes Gebot außer Kraft zu setzen.</x:v>
      </x:c>
      <x:c r="X72" s="36" t="str">
        <x:v>Matthäus 15,1–6</x:v>
      </x:c>
      <x:c r="Y72" s="36" t="str">
        <x:v>Jesus stellt Gottes Gebot zur Ehrung der Eltern einer Tradition gegenüber, durch die dieses Gebot umgangen werden kann.</x:v>
      </x:c>
      <x:c r="Z72" s="36" t="str">
        <x:v>JA</x:v>
      </x:c>
      <x:c r="AA72" s="36" t="str">
        <x:v>JA</x:v>
      </x:c>
      <x:c r="AB72" s="36" t="str">
        <x:v>JA</x:v>
      </x:c>
      <x:c r="AC72" s="36" t="str">
        <x:v>JA</x:v>
      </x:c>
      <x:c r="AD72" s="36" t="str">
        <x:v>JA</x:v>
      </x:c>
      <x:c r="AE72" s="36" t="str">
        <x:v>JA</x:v>
      </x:c>
      <x:c r="AF72" s="36" t="str">
        <x:v>JA</x:v>
      </x:c>
      <x:c r="AG72" s="36" t="str">
        <x:v>FREIGEGEBEN</x:v>
      </x:c>
      <x:c r="AH72" s="36" t="str">
        <x:v>GPT-5.6 Sol · Buchprüfung Matthäus · L1912/OTB</x:v>
      </x:c>
      <x:c r="AI72" s="36" t="str">
        <x:v>FREIGEGEBEN</x:v>
      </x:c>
      <x:c r="AJ72" s="36" t="str">
        <x:v>Matthäus 15: repetitive Wiedererkennungsfrage durch ZUSAMMENHANG-Frage ersetzt.</x:v>
      </x:c>
      <x:c r="AK72" s="36" t="str">
        <x:v>FaithPath repo develop/v4 · data/bibles/l1912/MAT.json · data/bibles/otb/MAT.json</x:v>
      </x:c>
      <x:c r="AL72" t="str">
        <x:v>JA</x:v>
      </x:c>
    </x:row>
    <x:row r="73">
      <x:c r="A73" t="str">
        <x:v>FP-0332</x:v>
      </x:c>
      <x:c r="B73" t="str">
        <x:v>MAT</x:v>
      </x:c>
      <x:c r="C73" t="str">
        <x:v>Matthäus</x:v>
      </x:c>
      <x:c r="D73" t="n">
        <x:v>15</x:v>
      </x:c>
      <x:c r="E73" t="n">
        <x:v>2</x:v>
      </x:c>
      <x:c r="F73" t="str">
        <x:v>MAT-015</x:v>
      </x:c>
      <x:c r="G73" t="n">
        <x:v>15</x:v>
      </x:c>
      <x:c r="H73" t="str">
        <x:v>CQ-A01</x:v>
      </x:c>
      <x:c r="I73" s="36" t="str">
        <x:v>Welche dieser Aussagen stammt aus Matthäus 15?</x:v>
      </x:c>
      <x:c r="J73" s="36" t="str"/>
      <x:c r="K73" s="36" t="str"/>
      <x:c r="L73" s="36" t="str">
        <x:v>REPO_VERIFIZIERT_FRAGEFORM</x:v>
      </x:c>
      <x:c r="M73" s="36" t="str">
        <x:v>ERSETZEN</x:v>
      </x:c>
      <x:c r="N73" s="36" t="str">
        <x:v>REPETITIVE_FRAGEFORM</x:v>
      </x:c>
      <x:c r="O73" s="36" t="str">
        <x:v>REINE_WIEDERERKENNUNG</x:v>
      </x:c>
      <x:c r="P73" s="36" t="str">
        <x:v>KERNAUSSAGE</x:v>
      </x:c>
      <x:c r="Q73" s="36" t="str">
        <x:v>Was verunreinigt den Menschen nach Jesu Erklärung?</x:v>
      </x:c>
      <x:c r="R73" s="36" t="str">
        <x:v>Alles, was mit ungewaschenen Händen gegessen wird.</x:v>
      </x:c>
      <x:c r="S73" s="36" t="str">
        <x:v>Jedes Essen mit Fremden.</x:v>
      </x:c>
      <x:c r="T73" s="36" t="str">
        <x:v>Das Betreten eines fremden Hauses.</x:v>
      </x:c>
      <x:c r="U73" s="36" t="str">
        <x:v>Was aus dem Herzen hervorgeht und sich in bösen Worten und Taten zeigt.</x:v>
      </x:c>
      <x:c r="V73" s="36" t="n">
        <x:v>3</x:v>
      </x:c>
      <x:c r="W73" s="36" t="str">
        <x:v>Was aus dem Herzen hervorgeht und sich in bösen Worten und Taten zeigt.</x:v>
      </x:c>
      <x:c r="X73" s="36" t="str">
        <x:v>Matthäus 15,10–20</x:v>
      </x:c>
      <x:c r="Y73" s="36" t="str">
        <x:v>Jesus verlagert die Frage der Verunreinigung von äußerer Nahrung auf das, was aus dem Herzen kommt.</x:v>
      </x:c>
      <x:c r="Z73" s="36" t="str">
        <x:v>JA</x:v>
      </x:c>
      <x:c r="AA73" s="36" t="str">
        <x:v>JA</x:v>
      </x:c>
      <x:c r="AB73" s="36" t="str">
        <x:v>JA</x:v>
      </x:c>
      <x:c r="AC73" s="36" t="str">
        <x:v>JA</x:v>
      </x:c>
      <x:c r="AD73" s="36" t="str">
        <x:v>JA</x:v>
      </x:c>
      <x:c r="AE73" s="36" t="str">
        <x:v>JA</x:v>
      </x:c>
      <x:c r="AF73" s="36" t="str">
        <x:v>JA</x:v>
      </x:c>
      <x:c r="AG73" s="36" t="str">
        <x:v>FREIGEGEBEN</x:v>
      </x:c>
      <x:c r="AH73" s="36" t="str">
        <x:v>GPT-5.6 Sol · Buchprüfung Matthäus · L1912/OTB</x:v>
      </x:c>
      <x:c r="AI73" s="36" t="str">
        <x:v>FREIGEGEBEN</x:v>
      </x:c>
      <x:c r="AJ73" s="36" t="str">
        <x:v>Matthäus 15: repetitive Wiedererkennungsfrage durch KERNAUSSAGE-Frage ersetzt.</x:v>
      </x:c>
      <x:c r="AK73" s="36" t="str">
        <x:v>FaithPath repo develop/v4 · data/bibles/l1912/MAT.json · data/bibles/otb/MAT.json</x:v>
      </x:c>
      <x:c r="AL73" t="str">
        <x:v>JA</x:v>
      </x:c>
    </x:row>
    <x:row r="74">
      <x:c r="A74" t="str">
        <x:v>FP-0333</x:v>
      </x:c>
      <x:c r="B74" t="str">
        <x:v>MAT</x:v>
      </x:c>
      <x:c r="C74" t="str">
        <x:v>Matthäus</x:v>
      </x:c>
      <x:c r="D74" t="n">
        <x:v>15</x:v>
      </x:c>
      <x:c r="E74" t="n">
        <x:v>3</x:v>
      </x:c>
      <x:c r="F74" t="str">
        <x:v>MAT-015</x:v>
      </x:c>
      <x:c r="G74" t="n">
        <x:v>15</x:v>
      </x:c>
      <x:c r="H74" t="str">
        <x:v>CQ-A01</x:v>
      </x:c>
      <x:c r="I74" s="36" t="str">
        <x:v>Welche dieser Aussagen stammt aus Matthäus 15?</x:v>
      </x:c>
      <x:c r="J74" s="36" t="str"/>
      <x:c r="K74" s="36" t="str"/>
      <x:c r="L74" s="36" t="str">
        <x:v>REPO_VERIFIZIERT_FRAGEFORM</x:v>
      </x:c>
      <x:c r="M74" s="36" t="str">
        <x:v>ERSETZEN</x:v>
      </x:c>
      <x:c r="N74" s="36" t="str">
        <x:v>REPETITIVE_FRAGEFORM</x:v>
      </x:c>
      <x:c r="O74" s="36" t="str">
        <x:v>REINE_WIEDERERKENNUNG</x:v>
      </x:c>
      <x:c r="P74" s="36" t="str">
        <x:v>PERSON_AUSSAGE</x:v>
      </x:c>
      <x:c r="Q74" s="36" t="str">
        <x:v>Wie bewertet Jesus den Glauben der kanaanäischen Frau?</x:v>
      </x:c>
      <x:c r="R74" s="36" t="str">
        <x:v>Als groß.</x:v>
      </x:c>
      <x:c r="S74" s="36" t="str">
        <x:v>Als zu schwach.</x:v>
      </x:c>
      <x:c r="T74" s="36" t="str">
        <x:v>Als unwichtig.</x:v>
      </x:c>
      <x:c r="U74" s="36" t="str">
        <x:v>Als nur für Israel gültig.</x:v>
      </x:c>
      <x:c r="V74" s="36" t="n">
        <x:v>0</x:v>
      </x:c>
      <x:c r="W74" s="36" t="str">
        <x:v>Als groß.</x:v>
      </x:c>
      <x:c r="X74" s="36" t="str">
        <x:v>Matthäus 15,21–28</x:v>
      </x:c>
      <x:c r="Y74" s="36" t="str">
        <x:v>Nach ihrem beharrlichen Vertrauen sagt Jesus: „Frau, dein Glaube ist groß“, und ihre Tochter wird geheilt.</x:v>
      </x:c>
      <x:c r="Z74" s="36" t="str">
        <x:v>JA</x:v>
      </x:c>
      <x:c r="AA74" s="36" t="str">
        <x:v>JA</x:v>
      </x:c>
      <x:c r="AB74" s="36" t="str">
        <x:v>JA</x:v>
      </x:c>
      <x:c r="AC74" s="36" t="str">
        <x:v>JA</x:v>
      </x:c>
      <x:c r="AD74" s="36" t="str">
        <x:v>JA</x:v>
      </x:c>
      <x:c r="AE74" s="36" t="str">
        <x:v>JA</x:v>
      </x:c>
      <x:c r="AF74" s="36" t="str">
        <x:v>JA</x:v>
      </x:c>
      <x:c r="AG74" s="36" t="str">
        <x:v>FREIGEGEBEN</x:v>
      </x:c>
      <x:c r="AH74" s="36" t="str">
        <x:v>GPT-5.6 Sol · Buchprüfung Matthäus · L1912/OTB</x:v>
      </x:c>
      <x:c r="AI74" s="36" t="str">
        <x:v>FREIGEGEBEN</x:v>
      </x:c>
      <x:c r="AJ74" s="36" t="str">
        <x:v>Matthäus 15: repetitive Wiedererkennungsfrage durch PERSON_AUSSAGE-Frage ersetzt.</x:v>
      </x:c>
      <x:c r="AK74" s="36" t="str">
        <x:v>FaithPath repo develop/v4 · data/bibles/l1912/MAT.json · data/bibles/otb/MAT.json</x:v>
      </x:c>
      <x:c r="AL74" t="str">
        <x:v>JA</x:v>
      </x:c>
    </x:row>
    <x:row r="75">
      <x:c r="A75" t="str">
        <x:v>FP-0334</x:v>
      </x:c>
      <x:c r="B75" t="str">
        <x:v>MAT</x:v>
      </x:c>
      <x:c r="C75" t="str">
        <x:v>Matthäus</x:v>
      </x:c>
      <x:c r="D75" t="n">
        <x:v>15</x:v>
      </x:c>
      <x:c r="E75" t="n">
        <x:v>4</x:v>
      </x:c>
      <x:c r="F75" t="str">
        <x:v>MAT-015</x:v>
      </x:c>
      <x:c r="G75" t="n">
        <x:v>15</x:v>
      </x:c>
      <x:c r="H75" t="str">
        <x:v>CQ-A01</x:v>
      </x:c>
      <x:c r="I75" s="36" t="str">
        <x:v>Welche dieser Aussagen stammt aus Matthäus 15?</x:v>
      </x:c>
      <x:c r="J75" s="36" t="str"/>
      <x:c r="K75" s="36" t="str"/>
      <x:c r="L75" s="36" t="str">
        <x:v>REPO_VERIFIZIERT_FRAGEFORM</x:v>
      </x:c>
      <x:c r="M75" s="36" t="str">
        <x:v>ERSETZEN</x:v>
      </x:c>
      <x:c r="N75" s="36" t="str">
        <x:v>REPETITIVE_FRAGEFORM</x:v>
      </x:c>
      <x:c r="O75" s="36" t="str">
        <x:v>REINE_WIEDERERKENNUNG</x:v>
      </x:c>
      <x:c r="P75" s="36" t="str">
        <x:v>GESCHEHEN</x:v>
      </x:c>
      <x:c r="Q75" s="36" t="str">
        <x:v>Warum wollte Jesus die Menschenmenge vor der Speisung nicht hungrig wegschicken?</x:v>
      </x:c>
      <x:c r="R75" s="36" t="str">
        <x:v>Sie musste noch am selben Abend nach Jerusalem ziehen.</x:v>
      </x:c>
      <x:c r="S75" s="36" t="str">
        <x:v>Sie war bereits drei Tage bei ihm und hatte nichts zu essen.</x:v>
      </x:c>
      <x:c r="T75" s="36" t="str">
        <x:v>Es gab ein königliches Fest.</x:v>
      </x:c>
      <x:c r="U75" s="36" t="str">
        <x:v>Die Jünger hatten darum gewettet.</x:v>
      </x:c>
      <x:c r="V75" s="36" t="n">
        <x:v>1</x:v>
      </x:c>
      <x:c r="W75" s="36" t="str">
        <x:v>Sie war bereits drei Tage bei ihm und hatte nichts zu essen.</x:v>
      </x:c>
      <x:c r="X75" s="36" t="str">
        <x:v>Matthäus 15,32</x:v>
      </x:c>
      <x:c r="Y75" s="36" t="str">
        <x:v>Jesus hat Mitleid mit der Menge, weil sie schon drei Tage bei ihm ist und nichts zu essen hat.</x:v>
      </x:c>
      <x:c r="Z75" s="36" t="str">
        <x:v>JA</x:v>
      </x:c>
      <x:c r="AA75" s="36" t="str">
        <x:v>JA</x:v>
      </x:c>
      <x:c r="AB75" s="36" t="str">
        <x:v>JA</x:v>
      </x:c>
      <x:c r="AC75" s="36" t="str">
        <x:v>JA</x:v>
      </x:c>
      <x:c r="AD75" s="36" t="str">
        <x:v>JA</x:v>
      </x:c>
      <x:c r="AE75" s="36" t="str">
        <x:v>JA</x:v>
      </x:c>
      <x:c r="AF75" s="36" t="str">
        <x:v>JA</x:v>
      </x:c>
      <x:c r="AG75" s="36" t="str">
        <x:v>FREIGEGEBEN</x:v>
      </x:c>
      <x:c r="AH75" s="36" t="str">
        <x:v>GPT-5.6 Sol · Buchprüfung Matthäus · L1912/OTB</x:v>
      </x:c>
      <x:c r="AI75" s="36" t="str">
        <x:v>FREIGEGEBEN</x:v>
      </x:c>
      <x:c r="AJ75" s="36" t="str">
        <x:v>Matthäus 15: repetitive Wiedererkennungsfrage durch GESCHEHEN-Frage ersetzt.</x:v>
      </x:c>
      <x:c r="AK75" s="36" t="str">
        <x:v>FaithPath repo develop/v4 · data/bibles/l1912/MAT.json · data/bibles/otb/MAT.json</x:v>
      </x:c>
      <x:c r="AL75" t="str">
        <x:v>JA</x:v>
      </x:c>
    </x:row>
    <x:row r="76">
      <x:c r="A76" t="str">
        <x:v>FP-0335</x:v>
      </x:c>
      <x:c r="B76" t="str">
        <x:v>MAT</x:v>
      </x:c>
      <x:c r="C76" t="str">
        <x:v>Matthäus</x:v>
      </x:c>
      <x:c r="D76" t="n">
        <x:v>15</x:v>
      </x:c>
      <x:c r="E76" t="n">
        <x:v>5</x:v>
      </x:c>
      <x:c r="F76" t="str">
        <x:v>MAT-015</x:v>
      </x:c>
      <x:c r="G76" t="n">
        <x:v>15</x:v>
      </x:c>
      <x:c r="H76" t="str">
        <x:v>CQ-A01</x:v>
      </x:c>
      <x:c r="I76" s="36" t="str">
        <x:v>Welche dieser Aussagen stammt aus Matthäus 15?</x:v>
      </x:c>
      <x:c r="J76" s="36" t="str"/>
      <x:c r="K76" s="36" t="str"/>
      <x:c r="L76" s="36" t="str">
        <x:v>REPO_VERIFIZIERT_FRAGEFORM</x:v>
      </x:c>
      <x:c r="M76" s="36" t="str">
        <x:v>ERSETZEN</x:v>
      </x:c>
      <x:c r="N76" s="36" t="str">
        <x:v>REPETITIVE_FRAGEFORM</x:v>
      </x:c>
      <x:c r="O76" s="36" t="str">
        <x:v>REINE_WIEDERERKENNUNG</x:v>
      </x:c>
      <x:c r="P76" s="36" t="str">
        <x:v>DETAIL</x:v>
      </x:c>
      <x:c r="Q76" s="36" t="str">
        <x:v>Wie viele Brote hatten die Jünger bei der Speisung der Viertausend?</x:v>
      </x:c>
      <x:c r="R76" s="36" t="str">
        <x:v>Fünf.</x:v>
      </x:c>
      <x:c r="S76" s="36" t="str">
        <x:v>Zwölf.</x:v>
      </x:c>
      <x:c r="T76" s="36" t="str">
        <x:v>Sieben.</x:v>
      </x:c>
      <x:c r="U76" s="36" t="str">
        <x:v>Zwei.</x:v>
      </x:c>
      <x:c r="V76" s="36" t="n">
        <x:v>2</x:v>
      </x:c>
      <x:c r="W76" s="36" t="str">
        <x:v>Sieben.</x:v>
      </x:c>
      <x:c r="X76" s="36" t="str">
        <x:v>Matthäus 15,33–38</x:v>
      </x:c>
      <x:c r="Y76" s="36" t="str">
        <x:v>Die Jünger nennen sieben Brote und wenige kleine Fische; daraus wird die Menge gespeist.</x:v>
      </x:c>
      <x:c r="Z76" s="36" t="str">
        <x:v>JA</x:v>
      </x:c>
      <x:c r="AA76" s="36" t="str">
        <x:v>JA</x:v>
      </x:c>
      <x:c r="AB76" s="36" t="str">
        <x:v>JA</x:v>
      </x:c>
      <x:c r="AC76" s="36" t="str">
        <x:v>JA</x:v>
      </x:c>
      <x:c r="AD76" s="36" t="str">
        <x:v>JA</x:v>
      </x:c>
      <x:c r="AE76" s="36" t="str">
        <x:v>JA</x:v>
      </x:c>
      <x:c r="AF76" s="36" t="str">
        <x:v>JA</x:v>
      </x:c>
      <x:c r="AG76" s="36" t="str">
        <x:v>FREIGEGEBEN</x:v>
      </x:c>
      <x:c r="AH76" s="36" t="str">
        <x:v>GPT-5.6 Sol · Buchprüfung Matthäus · L1912/OTB</x:v>
      </x:c>
      <x:c r="AI76" s="36" t="str">
        <x:v>FREIGEGEBEN</x:v>
      </x:c>
      <x:c r="AJ76" s="36" t="str">
        <x:v>Matthäus 15: repetitive Wiedererkennungsfrage durch DETAIL-Frage ersetzt.</x:v>
      </x:c>
      <x:c r="AK76" s="36" t="str">
        <x:v>FaithPath repo develop/v4 · data/bibles/l1912/MAT.json · data/bibles/otb/MAT.json</x:v>
      </x:c>
      <x:c r="AL76" t="str">
        <x:v>JA</x:v>
      </x:c>
    </x:row>
    <x:row r="77">
      <x:c r="A77" t="str">
        <x:v>FP-0336</x:v>
      </x:c>
      <x:c r="B77" t="str">
        <x:v>MAT</x:v>
      </x:c>
      <x:c r="C77" t="str">
        <x:v>Matthäus</x:v>
      </x:c>
      <x:c r="D77" t="n">
        <x:v>16</x:v>
      </x:c>
      <x:c r="E77" t="n">
        <x:v>1</x:v>
      </x:c>
      <x:c r="F77" t="str">
        <x:v>MAT-016</x:v>
      </x:c>
      <x:c r="G77" t="n">
        <x:v>16</x:v>
      </x:c>
      <x:c r="H77" t="str">
        <x:v>CQ-A01</x:v>
      </x:c>
      <x:c r="I77" s="36" t="str">
        <x:v>Welche dieser Aussagen stammt aus Matthäus 16?</x:v>
      </x:c>
      <x:c r="J77" s="36" t="str"/>
      <x:c r="K77" s="36" t="str"/>
      <x:c r="L77" s="36" t="str">
        <x:v>REPO_VERIFIZIERT_FRAGEFORM</x:v>
      </x:c>
      <x:c r="M77" s="36" t="str">
        <x:v>ERSETZEN</x:v>
      </x:c>
      <x:c r="N77" s="36" t="str">
        <x:v>REPETITIVE_FRAGEFORM</x:v>
      </x:c>
      <x:c r="O77" s="36" t="str">
        <x:v>REINE_WIEDERERKENNUNG</x:v>
      </x:c>
      <x:c r="P77" s="36" t="str">
        <x:v>TEXTGENAUIGKEIT</x:v>
      </x:c>
      <x:c r="Q77" s="36" t="str">
        <x:v>Welches Zeichen nennt Jesus den Pharisäern und Sadduzäern, die ein Zeichen vom Himmel fordern?</x:v>
      </x:c>
      <x:c r="R77" s="36" t="str">
        <x:v>Das Zeichen des Elia.</x:v>
      </x:c>
      <x:c r="S77" s="36" t="str">
        <x:v>Das Zeichen des Mose.</x:v>
      </x:c>
      <x:c r="T77" s="36" t="str">
        <x:v>Das Zeichen Samuels.</x:v>
      </x:c>
      <x:c r="U77" s="36" t="str">
        <x:v>Das Zeichen des Jona.</x:v>
      </x:c>
      <x:c r="V77" s="36" t="n">
        <x:v>3</x:v>
      </x:c>
      <x:c r="W77" s="36" t="str">
        <x:v>Das Zeichen des Jona.</x:v>
      </x:c>
      <x:c r="X77" s="36" t="str">
        <x:v>Matthäus 16,1–4</x:v>
      </x:c>
      <x:c r="Y77" s="36" t="str">
        <x:v>Jesus verweigert ein Schauwunder und nennt das Zeichen des Jona.</x:v>
      </x:c>
      <x:c r="Z77" s="36" t="str">
        <x:v>JA</x:v>
      </x:c>
      <x:c r="AA77" s="36" t="str">
        <x:v>JA</x:v>
      </x:c>
      <x:c r="AB77" s="36" t="str">
        <x:v>JA</x:v>
      </x:c>
      <x:c r="AC77" s="36" t="str">
        <x:v>JA</x:v>
      </x:c>
      <x:c r="AD77" s="36" t="str">
        <x:v>JA</x:v>
      </x:c>
      <x:c r="AE77" s="36" t="str">
        <x:v>JA</x:v>
      </x:c>
      <x:c r="AF77" s="36" t="str">
        <x:v>JA</x:v>
      </x:c>
      <x:c r="AG77" s="36" t="str">
        <x:v>FREIGEGEBEN</x:v>
      </x:c>
      <x:c r="AH77" s="36" t="str">
        <x:v>GPT-5.6 Sol · Buchprüfung Matthäus · L1912/OTB</x:v>
      </x:c>
      <x:c r="AI77" s="36" t="str">
        <x:v>FREIGEGEBEN</x:v>
      </x:c>
      <x:c r="AJ77" s="36" t="str">
        <x:v>Matthäus 16: repetitive Wiedererkennungsfrage durch TEXTGENAUIGKEIT-Frage ersetzt.</x:v>
      </x:c>
      <x:c r="AK77" s="36" t="str">
        <x:v>FaithPath repo develop/v4 · data/bibles/l1912/MAT.json · data/bibles/otb/MAT.json</x:v>
      </x:c>
      <x:c r="AL77" t="str">
        <x:v>JA</x:v>
      </x:c>
    </x:row>
    <x:row r="78">
      <x:c r="A78" t="str">
        <x:v>FP-0337</x:v>
      </x:c>
      <x:c r="B78" t="str">
        <x:v>MAT</x:v>
      </x:c>
      <x:c r="C78" t="str">
        <x:v>Matthäus</x:v>
      </x:c>
      <x:c r="D78" t="n">
        <x:v>16</x:v>
      </x:c>
      <x:c r="E78" t="n">
        <x:v>2</x:v>
      </x:c>
      <x:c r="F78" t="str">
        <x:v>MAT-016</x:v>
      </x:c>
      <x:c r="G78" t="n">
        <x:v>16</x:v>
      </x:c>
      <x:c r="H78" t="str">
        <x:v>CQ-A01</x:v>
      </x:c>
      <x:c r="I78" s="36" t="str">
        <x:v>Welche dieser Aussagen stammt aus Matthäus 16?</x:v>
      </x:c>
      <x:c r="J78" s="36" t="str"/>
      <x:c r="K78" s="36" t="str"/>
      <x:c r="L78" s="36" t="str">
        <x:v>REPO_VERIFIZIERT_FRAGEFORM</x:v>
      </x:c>
      <x:c r="M78" s="36" t="str">
        <x:v>ERSETZEN</x:v>
      </x:c>
      <x:c r="N78" s="36" t="str">
        <x:v>REPETITIVE_FRAGEFORM</x:v>
      </x:c>
      <x:c r="O78" s="36" t="str">
        <x:v>REINE_WIEDERERKENNUNG</x:v>
      </x:c>
      <x:c r="P78" s="36" t="str">
        <x:v>ZUSAMMENHANG</x:v>
      </x:c>
      <x:c r="Q78" s="36" t="str">
        <x:v>Was meint Jesus mit dem „Sauerteig“ der Pharisäer und Sadduzäer?</x:v>
      </x:c>
      <x:c r="R78" s="36" t="str">
        <x:v>Ihre Lehre.</x:v>
      </x:c>
      <x:c r="S78" s="36" t="str">
        <x:v>Ihr Brot.</x:v>
      </x:c>
      <x:c r="T78" s="36" t="str">
        <x:v>Ihre Kleidung.</x:v>
      </x:c>
      <x:c r="U78" s="36" t="str">
        <x:v>Ihre Tempelsteuer.</x:v>
      </x:c>
      <x:c r="V78" s="36" t="n">
        <x:v>0</x:v>
      </x:c>
      <x:c r="W78" s="36" t="str">
        <x:v>Ihre Lehre.</x:v>
      </x:c>
      <x:c r="X78" s="36" t="str">
        <x:v>Matthäus 16,5–12</x:v>
      </x:c>
      <x:c r="Y78" s="36" t="str">
        <x:v>Die Jünger verstehen schließlich, dass Jesus nicht vom Brotsauerteig, sondern von der Lehre der Pharisäer und Sadduzäer spricht.</x:v>
      </x:c>
      <x:c r="Z78" s="36" t="str">
        <x:v>JA</x:v>
      </x:c>
      <x:c r="AA78" s="36" t="str">
        <x:v>JA</x:v>
      </x:c>
      <x:c r="AB78" s="36" t="str">
        <x:v>JA</x:v>
      </x:c>
      <x:c r="AC78" s="36" t="str">
        <x:v>JA</x:v>
      </x:c>
      <x:c r="AD78" s="36" t="str">
        <x:v>JA</x:v>
      </x:c>
      <x:c r="AE78" s="36" t="str">
        <x:v>JA</x:v>
      </x:c>
      <x:c r="AF78" s="36" t="str">
        <x:v>JA</x:v>
      </x:c>
      <x:c r="AG78" s="36" t="str">
        <x:v>FREIGEGEBEN</x:v>
      </x:c>
      <x:c r="AH78" s="36" t="str">
        <x:v>GPT-5.6 Sol · Buchprüfung Matthäus · L1912/OTB</x:v>
      </x:c>
      <x:c r="AI78" s="36" t="str">
        <x:v>FREIGEGEBEN</x:v>
      </x:c>
      <x:c r="AJ78" s="36" t="str">
        <x:v>Matthäus 16: repetitive Wiedererkennungsfrage durch ZUSAMMENHANG-Frage ersetzt.</x:v>
      </x:c>
      <x:c r="AK78" s="36" t="str">
        <x:v>FaithPath repo develop/v4 · data/bibles/l1912/MAT.json · data/bibles/otb/MAT.json</x:v>
      </x:c>
      <x:c r="AL78" t="str">
        <x:v>JA</x:v>
      </x:c>
    </x:row>
    <x:row r="79">
      <x:c r="A79" t="str">
        <x:v>FP-0338</x:v>
      </x:c>
      <x:c r="B79" t="str">
        <x:v>MAT</x:v>
      </x:c>
      <x:c r="C79" t="str">
        <x:v>Matthäus</x:v>
      </x:c>
      <x:c r="D79" t="n">
        <x:v>16</x:v>
      </x:c>
      <x:c r="E79" t="n">
        <x:v>3</x:v>
      </x:c>
      <x:c r="F79" t="str">
        <x:v>MAT-016</x:v>
      </x:c>
      <x:c r="G79" t="n">
        <x:v>16</x:v>
      </x:c>
      <x:c r="H79" t="str">
        <x:v>CQ-A01</x:v>
      </x:c>
      <x:c r="I79" s="36" t="str">
        <x:v>Welche dieser Aussagen stammt aus Matthäus 16?</x:v>
      </x:c>
      <x:c r="J79" s="36" t="str"/>
      <x:c r="K79" s="36" t="str"/>
      <x:c r="L79" s="36" t="str">
        <x:v>REPO_VERIFIZIERT_FRAGEFORM</x:v>
      </x:c>
      <x:c r="M79" s="36" t="str">
        <x:v>ERSETZEN</x:v>
      </x:c>
      <x:c r="N79" s="36" t="str">
        <x:v>REPETITIVE_FRAGEFORM</x:v>
      </x:c>
      <x:c r="O79" s="36" t="str">
        <x:v>REINE_WIEDERERKENNUNG</x:v>
      </x:c>
      <x:c r="P79" s="36" t="str">
        <x:v>PERSON_AUSSAGE</x:v>
      </x:c>
      <x:c r="Q79" s="36" t="str">
        <x:v>Wie beantwortet Petrus Jesu Frage: „Wer sagt ihr, dass ich sei?“</x:v>
      </x:c>
      <x:c r="R79" s="36" t="str">
        <x:v>Du bist Johannes der Täufer.</x:v>
      </x:c>
      <x:c r="S79" s="36" t="str">
        <x:v>Du bist der Christus, der Sohn des lebendigen Gottes.</x:v>
      </x:c>
      <x:c r="T79" s="36" t="str">
        <x:v>Du bist Elia und niemand sonst.</x:v>
      </x:c>
      <x:c r="U79" s="36" t="str">
        <x:v>Du bist ein römischer König.</x:v>
      </x:c>
      <x:c r="V79" s="36" t="n">
        <x:v>1</x:v>
      </x:c>
      <x:c r="W79" s="36" t="str">
        <x:v>Du bist der Christus, der Sohn des lebendigen Gottes.</x:v>
      </x:c>
      <x:c r="X79" s="36" t="str">
        <x:v>Matthäus 16,15–16</x:v>
      </x:c>
      <x:c r="Y79" s="36" t="str">
        <x:v>Petrus bekennt Jesus als den Christus und Sohn des lebendigen Gottes.</x:v>
      </x:c>
      <x:c r="Z79" s="36" t="str">
        <x:v>JA</x:v>
      </x:c>
      <x:c r="AA79" s="36" t="str">
        <x:v>JA</x:v>
      </x:c>
      <x:c r="AB79" s="36" t="str">
        <x:v>JA</x:v>
      </x:c>
      <x:c r="AC79" s="36" t="str">
        <x:v>JA</x:v>
      </x:c>
      <x:c r="AD79" s="36" t="str">
        <x:v>JA</x:v>
      </x:c>
      <x:c r="AE79" s="36" t="str">
        <x:v>JA</x:v>
      </x:c>
      <x:c r="AF79" s="36" t="str">
        <x:v>JA</x:v>
      </x:c>
      <x:c r="AG79" s="36" t="str">
        <x:v>FREIGEGEBEN</x:v>
      </x:c>
      <x:c r="AH79" s="36" t="str">
        <x:v>GPT-5.6 Sol · Buchprüfung Matthäus · L1912/OTB</x:v>
      </x:c>
      <x:c r="AI79" s="36" t="str">
        <x:v>FREIGEGEBEN</x:v>
      </x:c>
      <x:c r="AJ79" s="36" t="str">
        <x:v>Matthäus 16: repetitive Wiedererkennungsfrage durch PERSON_AUSSAGE-Frage ersetzt.</x:v>
      </x:c>
      <x:c r="AK79" s="36" t="str">
        <x:v>FaithPath repo develop/v4 · data/bibles/l1912/MAT.json · data/bibles/otb/MAT.json</x:v>
      </x:c>
      <x:c r="AL79" t="str">
        <x:v>JA</x:v>
      </x:c>
    </x:row>
    <x:row r="80">
      <x:c r="A80" t="str">
        <x:v>FP-0339</x:v>
      </x:c>
      <x:c r="B80" t="str">
        <x:v>MAT</x:v>
      </x:c>
      <x:c r="C80" t="str">
        <x:v>Matthäus</x:v>
      </x:c>
      <x:c r="D80" t="n">
        <x:v>16</x:v>
      </x:c>
      <x:c r="E80" t="n">
        <x:v>4</x:v>
      </x:c>
      <x:c r="F80" t="str">
        <x:v>MAT-016</x:v>
      </x:c>
      <x:c r="G80" t="n">
        <x:v>16</x:v>
      </x:c>
      <x:c r="H80" t="str">
        <x:v>CQ-A01</x:v>
      </x:c>
      <x:c r="I80" s="36" t="str">
        <x:v>Welche dieser Aussagen stammt aus Matthäus 16?</x:v>
      </x:c>
      <x:c r="J80" s="36" t="str"/>
      <x:c r="K80" s="36" t="str"/>
      <x:c r="L80" s="36" t="str">
        <x:v>REPO_VERIFIZIERT_FRAGEFORM</x:v>
      </x:c>
      <x:c r="M80" s="36" t="str">
        <x:v>ERSETZEN</x:v>
      </x:c>
      <x:c r="N80" s="36" t="str">
        <x:v>REPETITIVE_FRAGEFORM</x:v>
      </x:c>
      <x:c r="O80" s="36" t="str">
        <x:v>REINE_WIEDERERKENNUNG</x:v>
      </x:c>
      <x:c r="P80" s="36" t="str">
        <x:v>GESCHEHEN</x:v>
      </x:c>
      <x:c r="Q80" s="36" t="str">
        <x:v>Was begann Jesus seinen Jüngern von diesem Zeitpunkt an über seinen Weg zu zeigen?</x:v>
      </x:c>
      <x:c r="R80" s="36" t="str">
        <x:v>Dass er sofort nach Rom reisen werde.</x:v>
      </x:c>
      <x:c r="S80" s="36" t="str">
        <x:v>Dass er Herodes als König ablösen werde.</x:v>
      </x:c>
      <x:c r="T80" s="36" t="str">
        <x:v>Dass er in Jerusalem leiden, getötet und am dritten Tag auferstehen werde.</x:v>
      </x:c>
      <x:c r="U80" s="36" t="str">
        <x:v>Dass er nie mehr nach Jerusalem gehen werde.</x:v>
      </x:c>
      <x:c r="V80" s="36" t="n">
        <x:v>2</x:v>
      </x:c>
      <x:c r="W80" s="36" t="str">
        <x:v>Dass er in Jerusalem leiden, getötet und am dritten Tag auferstehen werde.</x:v>
      </x:c>
      <x:c r="X80" s="36" t="str">
        <x:v>Matthäus 16,21</x:v>
      </x:c>
      <x:c r="Y80" s="36" t="str">
        <x:v>Jesus kündigt seinen Jüngern Leiden, Tod und Auferstehung an.</x:v>
      </x:c>
      <x:c r="Z80" s="36" t="str">
        <x:v>JA</x:v>
      </x:c>
      <x:c r="AA80" s="36" t="str">
        <x:v>JA</x:v>
      </x:c>
      <x:c r="AB80" s="36" t="str">
        <x:v>JA</x:v>
      </x:c>
      <x:c r="AC80" s="36" t="str">
        <x:v>JA</x:v>
      </x:c>
      <x:c r="AD80" s="36" t="str">
        <x:v>JA</x:v>
      </x:c>
      <x:c r="AE80" s="36" t="str">
        <x:v>JA</x:v>
      </x:c>
      <x:c r="AF80" s="36" t="str">
        <x:v>JA</x:v>
      </x:c>
      <x:c r="AG80" s="36" t="str">
        <x:v>FREIGEGEBEN</x:v>
      </x:c>
      <x:c r="AH80" s="36" t="str">
        <x:v>GPT-5.6 Sol · Buchprüfung Matthäus · L1912/OTB</x:v>
      </x:c>
      <x:c r="AI80" s="36" t="str">
        <x:v>FREIGEGEBEN</x:v>
      </x:c>
      <x:c r="AJ80" s="36" t="str">
        <x:v>Matthäus 16: repetitive Wiedererkennungsfrage durch GESCHEHEN-Frage ersetzt.</x:v>
      </x:c>
      <x:c r="AK80" s="36" t="str">
        <x:v>FaithPath repo develop/v4 · data/bibles/l1912/MAT.json · data/bibles/otb/MAT.json</x:v>
      </x:c>
      <x:c r="AL80" t="str">
        <x:v>JA</x:v>
      </x:c>
    </x:row>
    <x:row r="81">
      <x:c r="A81" t="str">
        <x:v>FP-0340</x:v>
      </x:c>
      <x:c r="B81" t="str">
        <x:v>MAT</x:v>
      </x:c>
      <x:c r="C81" t="str">
        <x:v>Matthäus</x:v>
      </x:c>
      <x:c r="D81" t="n">
        <x:v>16</x:v>
      </x:c>
      <x:c r="E81" t="n">
        <x:v>5</x:v>
      </x:c>
      <x:c r="F81" t="str">
        <x:v>MAT-016</x:v>
      </x:c>
      <x:c r="G81" t="n">
        <x:v>16</x:v>
      </x:c>
      <x:c r="H81" t="str">
        <x:v>CQ-A01</x:v>
      </x:c>
      <x:c r="I81" s="36" t="str">
        <x:v>Welche dieser Aussagen stammt aus Matthäus 16?</x:v>
      </x:c>
      <x:c r="J81" s="36" t="str"/>
      <x:c r="K81" s="36" t="str"/>
      <x:c r="L81" s="36" t="str">
        <x:v>REPO_VERIFIZIERT_FRAGEFORM</x:v>
      </x:c>
      <x:c r="M81" s="36" t="str">
        <x:v>ERSETZEN</x:v>
      </x:c>
      <x:c r="N81" s="36" t="str">
        <x:v>REPETITIVE_FRAGEFORM</x:v>
      </x:c>
      <x:c r="O81" s="36" t="str">
        <x:v>REINE_WIEDERERKENNUNG</x:v>
      </x:c>
      <x:c r="P81" s="36" t="str">
        <x:v>KERNAUSSAGE</x:v>
      </x:c>
      <x:c r="Q81" s="36" t="str">
        <x:v>Was gehört nach Jesus zur Nachfolge?</x:v>
      </x:c>
      <x:c r="R81" s="36" t="str">
        <x:v>Sich vor allen Konflikten zurückziehen.</x:v>
      </x:c>
      <x:c r="S81" s="36" t="str">
        <x:v>Reichtum ansammeln, um unabhängig zu werden.</x:v>
      </x:c>
      <x:c r="T81" s="36" t="str">
        <x:v>Nur an Feiertagen nach Jerusalem reisen.</x:v>
      </x:c>
      <x:c r="U81" s="36" t="str">
        <x:v>Sich selbst verleugnen, sein Kreuz aufnehmen und Jesus folgen.</x:v>
      </x:c>
      <x:c r="V81" s="36" t="n">
        <x:v>3</x:v>
      </x:c>
      <x:c r="W81" s="36" t="str">
        <x:v>Sich selbst verleugnen, sein Kreuz aufnehmen und Jesus folgen.</x:v>
      </x:c>
      <x:c r="X81" s="36" t="str">
        <x:v>Matthäus 16,24–25</x:v>
      </x:c>
      <x:c r="Y81" s="36" t="str">
        <x:v>Jesus beschreibt Nachfolge als Selbstverleugnung, Kreuztragen und Folgen und verbindet dies mit dem scheinbaren Verlieren und Finden des Lebens.</x:v>
      </x:c>
      <x:c r="Z81" s="36" t="str">
        <x:v>JA</x:v>
      </x:c>
      <x:c r="AA81" s="36" t="str">
        <x:v>JA</x:v>
      </x:c>
      <x:c r="AB81" s="36" t="str">
        <x:v>JA</x:v>
      </x:c>
      <x:c r="AC81" s="36" t="str">
        <x:v>JA</x:v>
      </x:c>
      <x:c r="AD81" s="36" t="str">
        <x:v>JA</x:v>
      </x:c>
      <x:c r="AE81" s="36" t="str">
        <x:v>JA</x:v>
      </x:c>
      <x:c r="AF81" s="36" t="str">
        <x:v>JA</x:v>
      </x:c>
      <x:c r="AG81" s="36" t="str">
        <x:v>FREIGEGEBEN</x:v>
      </x:c>
      <x:c r="AH81" s="36" t="str">
        <x:v>GPT-5.6 Sol · Buchprüfung Matthäus · L1912/OTB</x:v>
      </x:c>
      <x:c r="AI81" s="36" t="str">
        <x:v>FREIGEGEBEN</x:v>
      </x:c>
      <x:c r="AJ81" s="36" t="str">
        <x:v>Matthäus 16: repetitive Wiedererkennungsfrage durch KERNAUSSAGE-Frage ersetzt.</x:v>
      </x:c>
      <x:c r="AK81" s="36" t="str">
        <x:v>FaithPath repo develop/v4 · data/bibles/l1912/MAT.json · data/bibles/otb/MAT.json</x:v>
      </x:c>
      <x:c r="AL81" t="str">
        <x:v>JA</x:v>
      </x:c>
    </x:row>
    <x:row r="82">
      <x:c r="A82" t="str">
        <x:v>FP-0341</x:v>
      </x:c>
      <x:c r="B82" t="str">
        <x:v>MAT</x:v>
      </x:c>
      <x:c r="C82" t="str">
        <x:v>Matthäus</x:v>
      </x:c>
      <x:c r="D82" t="n">
        <x:v>17</x:v>
      </x:c>
      <x:c r="E82" t="n">
        <x:v>1</x:v>
      </x:c>
      <x:c r="F82" t="str">
        <x:v>MAT-017</x:v>
      </x:c>
      <x:c r="G82" t="n">
        <x:v>17</x:v>
      </x:c>
      <x:c r="H82" t="str">
        <x:v>CQ-A01</x:v>
      </x:c>
      <x:c r="I82" s="36" t="str">
        <x:v>Welche dieser Aussagen stammt aus Matthäus 17?</x:v>
      </x:c>
      <x:c r="J82" s="36" t="str"/>
      <x:c r="K82" s="36" t="str"/>
      <x:c r="L82" s="36" t="str">
        <x:v>REPO_VERIFIZIERT_FRAGEFORM</x:v>
      </x:c>
      <x:c r="M82" s="36" t="str">
        <x:v>ERSETZEN</x:v>
      </x:c>
      <x:c r="N82" s="36" t="str">
        <x:v>REPETITIVE_FRAGEFORM</x:v>
      </x:c>
      <x:c r="O82" s="36" t="str">
        <x:v>REINE_WIEDERERKENNUNG</x:v>
      </x:c>
      <x:c r="P82" s="36" t="str">
        <x:v>DETAIL</x:v>
      </x:c>
      <x:c r="Q82" s="36" t="str">
        <x:v>Welche drei Jünger nahm Jesus mit auf den hohen Berg zur Verklärung?</x:v>
      </x:c>
      <x:c r="R82" s="36" t="str">
        <x:v>Petrus, Jakobus und Johannes.</x:v>
      </x:c>
      <x:c r="S82" s="36" t="str">
        <x:v>Petrus, Andreas und Matthäus.</x:v>
      </x:c>
      <x:c r="T82" s="36" t="str">
        <x:v>Thomas, Philippus und Bartholomäus.</x:v>
      </x:c>
      <x:c r="U82" s="36" t="str">
        <x:v>Jakobus, Judas und Simon.</x:v>
      </x:c>
      <x:c r="V82" s="36" t="n">
        <x:v>0</x:v>
      </x:c>
      <x:c r="W82" s="36" t="str">
        <x:v>Petrus, Jakobus und Johannes.</x:v>
      </x:c>
      <x:c r="X82" s="36" t="str">
        <x:v>Matthäus 17,1</x:v>
      </x:c>
      <x:c r="Y82" s="36" t="str">
        <x:v>Jesus nimmt Petrus, Jakobus und dessen Bruder Johannes mit auf den Berg.</x:v>
      </x:c>
      <x:c r="Z82" s="36" t="str">
        <x:v>JA</x:v>
      </x:c>
      <x:c r="AA82" s="36" t="str">
        <x:v>JA</x:v>
      </x:c>
      <x:c r="AB82" s="36" t="str">
        <x:v>JA</x:v>
      </x:c>
      <x:c r="AC82" s="36" t="str">
        <x:v>JA</x:v>
      </x:c>
      <x:c r="AD82" s="36" t="str">
        <x:v>JA</x:v>
      </x:c>
      <x:c r="AE82" s="36" t="str">
        <x:v>JA</x:v>
      </x:c>
      <x:c r="AF82" s="36" t="str">
        <x:v>JA</x:v>
      </x:c>
      <x:c r="AG82" s="36" t="str">
        <x:v>FREIGEGEBEN</x:v>
      </x:c>
      <x:c r="AH82" s="36" t="str">
        <x:v>GPT-5.6 Sol · Buchprüfung Matthäus · L1912/OTB</x:v>
      </x:c>
      <x:c r="AI82" s="36" t="str">
        <x:v>FREIGEGEBEN</x:v>
      </x:c>
      <x:c r="AJ82" s="36" t="str">
        <x:v>Matthäus 17: repetitive Wiedererkennungsfrage durch DETAIL-Frage ersetzt.</x:v>
      </x:c>
      <x:c r="AK82" s="36" t="str">
        <x:v>FaithPath repo develop/v4 · data/bibles/l1912/MAT.json · data/bibles/otb/MAT.json</x:v>
      </x:c>
      <x:c r="AL82" t="str">
        <x:v>JA</x:v>
      </x:c>
    </x:row>
    <x:row r="83">
      <x:c r="A83" t="str">
        <x:v>FP-0342</x:v>
      </x:c>
      <x:c r="B83" t="str">
        <x:v>MAT</x:v>
      </x:c>
      <x:c r="C83" t="str">
        <x:v>Matthäus</x:v>
      </x:c>
      <x:c r="D83" t="n">
        <x:v>17</x:v>
      </x:c>
      <x:c r="E83" t="n">
        <x:v>2</x:v>
      </x:c>
      <x:c r="F83" t="str">
        <x:v>MAT-017</x:v>
      </x:c>
      <x:c r="G83" t="n">
        <x:v>17</x:v>
      </x:c>
      <x:c r="H83" t="str">
        <x:v>CQ-A01</x:v>
      </x:c>
      <x:c r="I83" s="36" t="str">
        <x:v>Welche dieser Aussagen stammt aus Matthäus 17?</x:v>
      </x:c>
      <x:c r="J83" s="36" t="str"/>
      <x:c r="K83" s="36" t="str"/>
      <x:c r="L83" s="36" t="str">
        <x:v>REPO_VERIFIZIERT_FRAGEFORM</x:v>
      </x:c>
      <x:c r="M83" s="36" t="str">
        <x:v>ERSETZEN</x:v>
      </x:c>
      <x:c r="N83" s="36" t="str">
        <x:v>REPETITIVE_FRAGEFORM</x:v>
      </x:c>
      <x:c r="O83" s="36" t="str">
        <x:v>REINE_WIEDERERKENNUNG</x:v>
      </x:c>
      <x:c r="P83" s="36" t="str">
        <x:v>PERSON_AUSSAGE</x:v>
      </x:c>
      <x:c r="Q83" s="36" t="str">
        <x:v>Was fordert die Stimme aus der Wolke die Jünger in Bezug auf Jesus auf?</x:v>
      </x:c>
      <x:c r="R83" s="36" t="str">
        <x:v>Ihn zum König zu machen.</x:v>
      </x:c>
      <x:c r="S83" s="36" t="str">
        <x:v>Auf ihn zu hören.</x:v>
      </x:c>
      <x:c r="T83" s="36" t="str">
        <x:v>Ihn nach Nazareth zurückzubringen.</x:v>
      </x:c>
      <x:c r="U83" s="36" t="str">
        <x:v>Ihm ein Haus zu bauen.</x:v>
      </x:c>
      <x:c r="V83" s="36" t="n">
        <x:v>1</x:v>
      </x:c>
      <x:c r="W83" s="36" t="str">
        <x:v>Auf ihn zu hören.</x:v>
      </x:c>
      <x:c r="X83" s="36" t="str">
        <x:v>Matthäus 17,5</x:v>
      </x:c>
      <x:c r="Y83" s="36" t="str">
        <x:v>Die Stimme bezeichnet Jesus als den geliebten Sohn und fordert: „Auf ihn sollt ihr hören.“</x:v>
      </x:c>
      <x:c r="Z83" s="36" t="str">
        <x:v>JA</x:v>
      </x:c>
      <x:c r="AA83" s="36" t="str">
        <x:v>JA</x:v>
      </x:c>
      <x:c r="AB83" s="36" t="str">
        <x:v>JA</x:v>
      </x:c>
      <x:c r="AC83" s="36" t="str">
        <x:v>JA</x:v>
      </x:c>
      <x:c r="AD83" s="36" t="str">
        <x:v>JA</x:v>
      </x:c>
      <x:c r="AE83" s="36" t="str">
        <x:v>JA</x:v>
      </x:c>
      <x:c r="AF83" s="36" t="str">
        <x:v>JA</x:v>
      </x:c>
      <x:c r="AG83" s="36" t="str">
        <x:v>FREIGEGEBEN</x:v>
      </x:c>
      <x:c r="AH83" s="36" t="str">
        <x:v>GPT-5.6 Sol · Buchprüfung Matthäus · L1912/OTB</x:v>
      </x:c>
      <x:c r="AI83" s="36" t="str">
        <x:v>FREIGEGEBEN</x:v>
      </x:c>
      <x:c r="AJ83" s="36" t="str">
        <x:v>Matthäus 17: repetitive Wiedererkennungsfrage durch PERSON_AUSSAGE-Frage ersetzt.</x:v>
      </x:c>
      <x:c r="AK83" s="36" t="str">
        <x:v>FaithPath repo develop/v4 · data/bibles/l1912/MAT.json · data/bibles/otb/MAT.json</x:v>
      </x:c>
      <x:c r="AL83" t="str">
        <x:v>JA</x:v>
      </x:c>
    </x:row>
    <x:row r="84">
      <x:c r="A84" t="str">
        <x:v>FP-0343</x:v>
      </x:c>
      <x:c r="B84" t="str">
        <x:v>MAT</x:v>
      </x:c>
      <x:c r="C84" t="str">
        <x:v>Matthäus</x:v>
      </x:c>
      <x:c r="D84" t="n">
        <x:v>17</x:v>
      </x:c>
      <x:c r="E84" t="n">
        <x:v>3</x:v>
      </x:c>
      <x:c r="F84" t="str">
        <x:v>MAT-017</x:v>
      </x:c>
      <x:c r="G84" t="n">
        <x:v>17</x:v>
      </x:c>
      <x:c r="H84" t="str">
        <x:v>CQ-A01</x:v>
      </x:c>
      <x:c r="I84" s="36" t="str">
        <x:v>Welche dieser Aussagen stammt aus Matthäus 17?</x:v>
      </x:c>
      <x:c r="J84" s="36" t="str"/>
      <x:c r="K84" s="36" t="str"/>
      <x:c r="L84" s="36" t="str">
        <x:v>REPO_VERIFIZIERT_FRAGEFORM</x:v>
      </x:c>
      <x:c r="M84" s="36" t="str">
        <x:v>ERSETZEN</x:v>
      </x:c>
      <x:c r="N84" s="36" t="str">
        <x:v>REPETITIVE_FRAGEFORM</x:v>
      </x:c>
      <x:c r="O84" s="36" t="str">
        <x:v>REINE_WIEDERERKENNUNG</x:v>
      </x:c>
      <x:c r="P84" s="36" t="str">
        <x:v>GESCHEHEN</x:v>
      </x:c>
      <x:c r="Q84" s="36" t="str">
        <x:v>Was tat Jesus mit dem Jungen, den die Jünger zuvor nicht heilen konnten?</x:v>
      </x:c>
      <x:c r="R84" s="36" t="str">
        <x:v>Er schickte den Jungen zum Tempel.</x:v>
      </x:c>
      <x:c r="S84" s="36" t="str">
        <x:v>Er bat Herodes um Hilfe.</x:v>
      </x:c>
      <x:c r="T84" s="36" t="str">
        <x:v>Er bedrohte den Dämon, der ausfuhr, und der Junge wurde geheilt.</x:v>
      </x:c>
      <x:c r="U84" s="36" t="str">
        <x:v>Er ließ den Jungen bei den Jüngern zurück.</x:v>
      </x:c>
      <x:c r="V84" s="36" t="n">
        <x:v>2</x:v>
      </x:c>
      <x:c r="W84" s="36" t="str">
        <x:v>Er bedrohte den Dämon, der ausfuhr, und der Junge wurde geheilt.</x:v>
      </x:c>
      <x:c r="X84" s="36" t="str">
        <x:v>Matthäus 17,14–18</x:v>
      </x:c>
      <x:c r="Y84" s="36" t="str">
        <x:v>Jesus treibt den Dämon aus; der Junge ist von dieser Stunde an geheilt.</x:v>
      </x:c>
      <x:c r="Z84" s="36" t="str">
        <x:v>JA</x:v>
      </x:c>
      <x:c r="AA84" s="36" t="str">
        <x:v>JA</x:v>
      </x:c>
      <x:c r="AB84" s="36" t="str">
        <x:v>JA</x:v>
      </x:c>
      <x:c r="AC84" s="36" t="str">
        <x:v>JA</x:v>
      </x:c>
      <x:c r="AD84" s="36" t="str">
        <x:v>JA</x:v>
      </x:c>
      <x:c r="AE84" s="36" t="str">
        <x:v>JA</x:v>
      </x:c>
      <x:c r="AF84" s="36" t="str">
        <x:v>JA</x:v>
      </x:c>
      <x:c r="AG84" s="36" t="str">
        <x:v>FREIGEGEBEN</x:v>
      </x:c>
      <x:c r="AH84" s="36" t="str">
        <x:v>GPT-5.6 Sol · Buchprüfung Matthäus · L1912/OTB</x:v>
      </x:c>
      <x:c r="AI84" s="36" t="str">
        <x:v>FREIGEGEBEN</x:v>
      </x:c>
      <x:c r="AJ84" s="36" t="str">
        <x:v>Matthäus 17: repetitive Wiedererkennungsfrage durch GESCHEHEN-Frage ersetzt.</x:v>
      </x:c>
      <x:c r="AK84" s="36" t="str">
        <x:v>FaithPath repo develop/v4 · data/bibles/l1912/MAT.json · data/bibles/otb/MAT.json</x:v>
      </x:c>
      <x:c r="AL84" t="str">
        <x:v>JA</x:v>
      </x:c>
    </x:row>
    <x:row r="85">
      <x:c r="A85" t="str">
        <x:v>FP-0344</x:v>
      </x:c>
      <x:c r="B85" t="str">
        <x:v>MAT</x:v>
      </x:c>
      <x:c r="C85" t="str">
        <x:v>Matthäus</x:v>
      </x:c>
      <x:c r="D85" t="n">
        <x:v>17</x:v>
      </x:c>
      <x:c r="E85" t="n">
        <x:v>4</x:v>
      </x:c>
      <x:c r="F85" t="str">
        <x:v>MAT-017</x:v>
      </x:c>
      <x:c r="G85" t="n">
        <x:v>17</x:v>
      </x:c>
      <x:c r="H85" t="str">
        <x:v>CQ-A01</x:v>
      </x:c>
      <x:c r="I85" s="36" t="str">
        <x:v>Welche dieser Aussagen stammt aus Matthäus 17?</x:v>
      </x:c>
      <x:c r="J85" s="36" t="str"/>
      <x:c r="K85" s="36" t="str"/>
      <x:c r="L85" s="36" t="str">
        <x:v>REPO_VERIFIZIERT_FRAGEFORM</x:v>
      </x:c>
      <x:c r="M85" s="36" t="str">
        <x:v>ERSETZEN</x:v>
      </x:c>
      <x:c r="N85" s="36" t="str">
        <x:v>REPETITIVE_FRAGEFORM</x:v>
      </x:c>
      <x:c r="O85" s="36" t="str">
        <x:v>REINE_WIEDERERKENNUNG</x:v>
      </x:c>
      <x:c r="P85" s="36" t="str">
        <x:v>KERNAUSSAGE</x:v>
      </x:c>
      <x:c r="Q85" s="36" t="str">
        <x:v>Womit erklärt Jesus den Jüngern, dass selbst scheinbar Unmögliches möglich werden kann?</x:v>
      </x:c>
      <x:c r="R85" s="36" t="str">
        <x:v>Mit politischer Macht.</x:v>
      </x:c>
      <x:c r="S85" s="36" t="str">
        <x:v>Mit großem Besitz.</x:v>
      </x:c>
      <x:c r="T85" s="36" t="str">
        <x:v>Mit einer langen Abstammungsliste.</x:v>
      </x:c>
      <x:c r="U85" s="36" t="str">
        <x:v>Mit Glauben, den er mit einem Senfkorn vergleicht.</x:v>
      </x:c>
      <x:c r="V85" s="36" t="n">
        <x:v>3</x:v>
      </x:c>
      <x:c r="W85" s="36" t="str">
        <x:v>Mit Glauben, den er mit einem Senfkorn vergleicht.</x:v>
      </x:c>
      <x:c r="X85" s="36" t="str">
        <x:v>Matthäus 17,19–20</x:v>
      </x:c>
      <x:c r="Y85" s="36" t="str">
        <x:v>Jesus spricht über ihren kleinen Glauben und verwendet das Bild des Senfkorns.</x:v>
      </x:c>
      <x:c r="Z85" s="36" t="str">
        <x:v>JA</x:v>
      </x:c>
      <x:c r="AA85" s="36" t="str">
        <x:v>JA</x:v>
      </x:c>
      <x:c r="AB85" s="36" t="str">
        <x:v>JA</x:v>
      </x:c>
      <x:c r="AC85" s="36" t="str">
        <x:v>JA</x:v>
      </x:c>
      <x:c r="AD85" s="36" t="str">
        <x:v>JA</x:v>
      </x:c>
      <x:c r="AE85" s="36" t="str">
        <x:v>JA</x:v>
      </x:c>
      <x:c r="AF85" s="36" t="str">
        <x:v>JA</x:v>
      </x:c>
      <x:c r="AG85" s="36" t="str">
        <x:v>FREIGEGEBEN</x:v>
      </x:c>
      <x:c r="AH85" s="36" t="str">
        <x:v>GPT-5.6 Sol · Buchprüfung Matthäus · L1912/OTB</x:v>
      </x:c>
      <x:c r="AI85" s="36" t="str">
        <x:v>FREIGEGEBEN</x:v>
      </x:c>
      <x:c r="AJ85" s="36" t="str">
        <x:v>Matthäus 17: repetitive Wiedererkennungsfrage durch KERNAUSSAGE-Frage ersetzt.</x:v>
      </x:c>
      <x:c r="AK85" s="36" t="str">
        <x:v>FaithPath repo develop/v4 · data/bibles/l1912/MAT.json · data/bibles/otb/MAT.json</x:v>
      </x:c>
      <x:c r="AL85" t="str">
        <x:v>JA</x:v>
      </x:c>
    </x:row>
    <x:row r="86">
      <x:c r="A86" t="str">
        <x:v>FP-0345</x:v>
      </x:c>
      <x:c r="B86" t="str">
        <x:v>MAT</x:v>
      </x:c>
      <x:c r="C86" t="str">
        <x:v>Matthäus</x:v>
      </x:c>
      <x:c r="D86" t="n">
        <x:v>17</x:v>
      </x:c>
      <x:c r="E86" t="n">
        <x:v>5</x:v>
      </x:c>
      <x:c r="F86" t="str">
        <x:v>MAT-017</x:v>
      </x:c>
      <x:c r="G86" t="n">
        <x:v>17</x:v>
      </x:c>
      <x:c r="H86" t="str">
        <x:v>CQ-A01</x:v>
      </x:c>
      <x:c r="I86" s="36" t="str">
        <x:v>Welche dieser Aussagen stammt aus Matthäus 17?</x:v>
      </x:c>
      <x:c r="J86" s="36" t="str"/>
      <x:c r="K86" s="36" t="str"/>
      <x:c r="L86" s="36" t="str">
        <x:v>REPO_VERIFIZIERT_FRAGEFORM</x:v>
      </x:c>
      <x:c r="M86" s="36" t="str">
        <x:v>ERSETZEN</x:v>
      </x:c>
      <x:c r="N86" s="36" t="str">
        <x:v>REPETITIVE_FRAGEFORM</x:v>
      </x:c>
      <x:c r="O86" s="36" t="str">
        <x:v>REINE_WIEDERERKENNUNG</x:v>
      </x:c>
      <x:c r="P86" s="36" t="str">
        <x:v>DETAIL</x:v>
      </x:c>
      <x:c r="Q86" s="36" t="str">
        <x:v>Woher sollte Petrus die Münze für die Tempelabgabe nehmen?</x:v>
      </x:c>
      <x:c r="R86" s="36" t="str">
        <x:v>Aus dem Maul des ersten gefangenen Fisches.</x:v>
      </x:c>
      <x:c r="S86" s="36" t="str">
        <x:v>Aus der gemeinsamen Geldkasse der Jünger.</x:v>
      </x:c>
      <x:c r="T86" s="36" t="str">
        <x:v>Von einem Zöllner in Kapernaum.</x:v>
      </x:c>
      <x:c r="U86" s="36" t="str">
        <x:v>Aus einem Krug im Tempel.</x:v>
      </x:c>
      <x:c r="V86" s="36" t="n">
        <x:v>0</x:v>
      </x:c>
      <x:c r="W86" s="36" t="str">
        <x:v>Aus dem Maul des ersten gefangenen Fisches.</x:v>
      </x:c>
      <x:c r="X86" s="36" t="str">
        <x:v>Matthäus 17,24–27</x:v>
      </x:c>
      <x:c r="Y86" s="36" t="str">
        <x:v>Jesus weist Petrus an zu angeln; im Maul des ersten Fisches soll er die Münze für die Abgabe finden.</x:v>
      </x:c>
      <x:c r="Z86" s="36" t="str">
        <x:v>JA</x:v>
      </x:c>
      <x:c r="AA86" s="36" t="str">
        <x:v>JA</x:v>
      </x:c>
      <x:c r="AB86" s="36" t="str">
        <x:v>JA</x:v>
      </x:c>
      <x:c r="AC86" s="36" t="str">
        <x:v>JA</x:v>
      </x:c>
      <x:c r="AD86" s="36" t="str">
        <x:v>JA</x:v>
      </x:c>
      <x:c r="AE86" s="36" t="str">
        <x:v>JA</x:v>
      </x:c>
      <x:c r="AF86" s="36" t="str">
        <x:v>JA</x:v>
      </x:c>
      <x:c r="AG86" s="36" t="str">
        <x:v>FREIGEGEBEN</x:v>
      </x:c>
      <x:c r="AH86" s="36" t="str">
        <x:v>GPT-5.6 Sol · Buchprüfung Matthäus · L1912/OTB</x:v>
      </x:c>
      <x:c r="AI86" s="36" t="str">
        <x:v>FREIGEGEBEN</x:v>
      </x:c>
      <x:c r="AJ86" s="36" t="str">
        <x:v>Matthäus 17: repetitive Wiedererkennungsfrage durch DETAIL-Frage ersetzt.</x:v>
      </x:c>
      <x:c r="AK86" s="36" t="str">
        <x:v>FaithPath repo develop/v4 · data/bibles/l1912/MAT.json · data/bibles/otb/MAT.json</x:v>
      </x:c>
      <x:c r="AL86" t="str">
        <x:v>JA</x:v>
      </x:c>
    </x:row>
    <x:row r="87">
      <x:c r="A87" t="str">
        <x:v>FP-0346</x:v>
      </x:c>
      <x:c r="B87" t="str">
        <x:v>MAT</x:v>
      </x:c>
      <x:c r="C87" t="str">
        <x:v>Matthäus</x:v>
      </x:c>
      <x:c r="D87" t="n">
        <x:v>18</x:v>
      </x:c>
      <x:c r="E87" t="n">
        <x:v>1</x:v>
      </x:c>
      <x:c r="F87" t="str">
        <x:v>MAT-018</x:v>
      </x:c>
      <x:c r="G87" t="n">
        <x:v>18</x:v>
      </x:c>
      <x:c r="H87" t="str">
        <x:v>CQ-A01</x:v>
      </x:c>
      <x:c r="I87" s="36" t="str">
        <x:v>Welche dieser Aussagen stammt aus Matthäus 18?</x:v>
      </x:c>
      <x:c r="J87" s="36" t="str"/>
      <x:c r="K87" s="36" t="str"/>
      <x:c r="L87" s="36" t="str">
        <x:v>REPO_VERIFIZIERT_FRAGEFORM</x:v>
      </x:c>
      <x:c r="M87" s="36" t="str">
        <x:v>ERSETZEN</x:v>
      </x:c>
      <x:c r="N87" s="36" t="str">
        <x:v>REPETITIVE_FRAGEFORM</x:v>
      </x:c>
      <x:c r="O87" s="36" t="str">
        <x:v>REINE_WIEDERERKENNUNG</x:v>
      </x:c>
      <x:c r="P87" s="36" t="str">
        <x:v>KERNAUSSAGE</x:v>
      </x:c>
      <x:c r="Q87" s="36" t="str">
        <x:v>Welche Haltung verbindet Jesus mit Größe im Himmelreich?</x:v>
      </x:c>
      <x:c r="R87" s="36" t="str">
        <x:v>Möglichst viele Titel zu tragen.</x:v>
      </x:c>
      <x:c r="S87" s="36" t="str">
        <x:v>Sich zu demütigen wie ein Kind.</x:v>
      </x:c>
      <x:c r="T87" s="36" t="str">
        <x:v>Viel Besitz zu sammeln.</x:v>
      </x:c>
      <x:c r="U87" s="36" t="str">
        <x:v>Von allen anderen bedient zu werden.</x:v>
      </x:c>
      <x:c r="V87" s="36" t="n">
        <x:v>1</x:v>
      </x:c>
      <x:c r="W87" s="36" t="str">
        <x:v>Sich zu demütigen wie ein Kind.</x:v>
      </x:c>
      <x:c r="X87" s="36" t="str">
        <x:v>Matthäus 18,1–4</x:v>
      </x:c>
      <x:c r="Y87" s="36" t="str">
        <x:v>Jesus stellt ein Kind in die Mitte und verbindet Größe im Himmelreich mit Umkehr und Demut.</x:v>
      </x:c>
      <x:c r="Z87" s="36" t="str">
        <x:v>JA</x:v>
      </x:c>
      <x:c r="AA87" s="36" t="str">
        <x:v>JA</x:v>
      </x:c>
      <x:c r="AB87" s="36" t="str">
        <x:v>JA</x:v>
      </x:c>
      <x:c r="AC87" s="36" t="str">
        <x:v>JA</x:v>
      </x:c>
      <x:c r="AD87" s="36" t="str">
        <x:v>JA</x:v>
      </x:c>
      <x:c r="AE87" s="36" t="str">
        <x:v>JA</x:v>
      </x:c>
      <x:c r="AF87" s="36" t="str">
        <x:v>JA</x:v>
      </x:c>
      <x:c r="AG87" s="36" t="str">
        <x:v>FREIGEGEBEN</x:v>
      </x:c>
      <x:c r="AH87" s="36" t="str">
        <x:v>GPT-5.6 Sol · Buchprüfung Matthäus · L1912/OTB</x:v>
      </x:c>
      <x:c r="AI87" s="36" t="str">
        <x:v>FREIGEGEBEN</x:v>
      </x:c>
      <x:c r="AJ87" s="36" t="str">
        <x:v>Matthäus 18: repetitive Wiedererkennungsfrage durch KERNAUSSAGE-Frage ersetzt.</x:v>
      </x:c>
      <x:c r="AK87" s="36" t="str">
        <x:v>FaithPath repo develop/v4 · data/bibles/l1912/MAT.json · data/bibles/otb/MAT.json</x:v>
      </x:c>
      <x:c r="AL87" t="str">
        <x:v>JA</x:v>
      </x:c>
    </x:row>
    <x:row r="88">
      <x:c r="A88" t="str">
        <x:v>FP-0347</x:v>
      </x:c>
      <x:c r="B88" t="str">
        <x:v>MAT</x:v>
      </x:c>
      <x:c r="C88" t="str">
        <x:v>Matthäus</x:v>
      </x:c>
      <x:c r="D88" t="n">
        <x:v>18</x:v>
      </x:c>
      <x:c r="E88" t="n">
        <x:v>2</x:v>
      </x:c>
      <x:c r="F88" t="str">
        <x:v>MAT-018</x:v>
      </x:c>
      <x:c r="G88" t="n">
        <x:v>18</x:v>
      </x:c>
      <x:c r="H88" t="str">
        <x:v>CQ-A01</x:v>
      </x:c>
      <x:c r="I88" s="36" t="str">
        <x:v>Welche dieser Aussagen stammt aus Matthäus 18?</x:v>
      </x:c>
      <x:c r="J88" s="36" t="str"/>
      <x:c r="K88" s="36" t="str"/>
      <x:c r="L88" s="36" t="str">
        <x:v>REPO_VERIFIZIERT_FRAGEFORM</x:v>
      </x:c>
      <x:c r="M88" s="36" t="str">
        <x:v>ERSETZEN</x:v>
      </x:c>
      <x:c r="N88" s="36" t="str">
        <x:v>REPETITIVE_FRAGEFORM</x:v>
      </x:c>
      <x:c r="O88" s="36" t="str">
        <x:v>REINE_WIEDERERKENNUNG</x:v>
      </x:c>
      <x:c r="P88" s="36" t="str">
        <x:v>KERNAUSSAGE</x:v>
      </x:c>
      <x:c r="Q88" s="36" t="str">
        <x:v>Was zeigt das Gleichnis vom verlorenen Schaf über den Willen des Vaters?</x:v>
      </x:c>
      <x:c r="R88" s="36" t="str">
        <x:v>Nur die neunundneunzig zählen.</x:v>
      </x:c>
      <x:c r="S88" s="36" t="str">
        <x:v>Ein verlorenes Schaf soll nicht gesucht werden.</x:v>
      </x:c>
      <x:c r="T88" s="36" t="str">
        <x:v>Er will nicht, dass eines dieser Kleinen verloren geht.</x:v>
      </x:c>
      <x:c r="U88" s="36" t="str">
        <x:v>Der Hirte soll seine Herde verkaufen.</x:v>
      </x:c>
      <x:c r="V88" s="36" t="n">
        <x:v>2</x:v>
      </x:c>
      <x:c r="W88" s="36" t="str">
        <x:v>Er will nicht, dass eines dieser Kleinen verloren geht.</x:v>
      </x:c>
      <x:c r="X88" s="36" t="str">
        <x:v>Matthäus 18,12–14</x:v>
      </x:c>
      <x:c r="Y88" s="36" t="str">
        <x:v>Der Hirte sucht das eine verirrte Schaf; Jesus verbindet das mit dem Willen des Vaters, dass keines verloren geht.</x:v>
      </x:c>
      <x:c r="Z88" s="36" t="str">
        <x:v>JA</x:v>
      </x:c>
      <x:c r="AA88" s="36" t="str">
        <x:v>JA</x:v>
      </x:c>
      <x:c r="AB88" s="36" t="str">
        <x:v>JA</x:v>
      </x:c>
      <x:c r="AC88" s="36" t="str">
        <x:v>JA</x:v>
      </x:c>
      <x:c r="AD88" s="36" t="str">
        <x:v>JA</x:v>
      </x:c>
      <x:c r="AE88" s="36" t="str">
        <x:v>JA</x:v>
      </x:c>
      <x:c r="AF88" s="36" t="str">
        <x:v>JA</x:v>
      </x:c>
      <x:c r="AG88" s="36" t="str">
        <x:v>FREIGEGEBEN</x:v>
      </x:c>
      <x:c r="AH88" s="36" t="str">
        <x:v>GPT-5.6 Sol · Buchprüfung Matthäus · L1912/OTB</x:v>
      </x:c>
      <x:c r="AI88" s="36" t="str">
        <x:v>FREIGEGEBEN</x:v>
      </x:c>
      <x:c r="AJ88" s="36" t="str">
        <x:v>Matthäus 18: repetitive Wiedererkennungsfrage durch KERNAUSSAGE-Frage ersetzt.</x:v>
      </x:c>
      <x:c r="AK88" s="36" t="str">
        <x:v>FaithPath repo develop/v4 · data/bibles/l1912/MAT.json · data/bibles/otb/MAT.json</x:v>
      </x:c>
      <x:c r="AL88" t="str">
        <x:v>JA</x:v>
      </x:c>
    </x:row>
    <x:row r="89">
      <x:c r="A89" t="str">
        <x:v>FP-0348</x:v>
      </x:c>
      <x:c r="B89" t="str">
        <x:v>MAT</x:v>
      </x:c>
      <x:c r="C89" t="str">
        <x:v>Matthäus</x:v>
      </x:c>
      <x:c r="D89" t="n">
        <x:v>18</x:v>
      </x:c>
      <x:c r="E89" t="n">
        <x:v>3</x:v>
      </x:c>
      <x:c r="F89" t="str">
        <x:v>MAT-018</x:v>
      </x:c>
      <x:c r="G89" t="n">
        <x:v>18</x:v>
      </x:c>
      <x:c r="H89" t="str">
        <x:v>CQ-A01</x:v>
      </x:c>
      <x:c r="I89" s="36" t="str">
        <x:v>Welche dieser Aussagen stammt aus Matthäus 18?</x:v>
      </x:c>
      <x:c r="J89" s="36" t="str"/>
      <x:c r="K89" s="36" t="str"/>
      <x:c r="L89" s="36" t="str">
        <x:v>REPO_VERIFIZIERT_FRAGEFORM</x:v>
      </x:c>
      <x:c r="M89" s="36" t="str">
        <x:v>ERSETZEN</x:v>
      </x:c>
      <x:c r="N89" s="36" t="str">
        <x:v>REPETITIVE_FRAGEFORM</x:v>
      </x:c>
      <x:c r="O89" s="36" t="str">
        <x:v>REINE_WIEDERERKENNUNG</x:v>
      </x:c>
      <x:c r="P89" s="36" t="str">
        <x:v>ZUSAMMENHANG</x:v>
      </x:c>
      <x:c r="Q89" s="36" t="str">
        <x:v>Was ist der erste Schritt, wenn ein Bruder gegen dich sündigt?</x:v>
      </x:c>
      <x:c r="R89" s="36" t="str">
        <x:v>Ihn sofort öffentlich vor der Gemeinde anklagen.</x:v>
      </x:c>
      <x:c r="S89" s="36" t="str">
        <x:v>Den Kontakt für immer abbrechen.</x:v>
      </x:c>
      <x:c r="T89" s="36" t="str">
        <x:v>Direkt die römische Obrigkeit einschalten.</x:v>
      </x:c>
      <x:c r="U89" s="36" t="str">
        <x:v>Mit ihm unter vier Augen über die Sache sprechen.</x:v>
      </x:c>
      <x:c r="V89" s="36" t="n">
        <x:v>3</x:v>
      </x:c>
      <x:c r="W89" s="36" t="str">
        <x:v>Mit ihm unter vier Augen über die Sache sprechen.</x:v>
      </x:c>
      <x:c r="X89" s="36" t="str">
        <x:v>Matthäus 18,15–17</x:v>
      </x:c>
      <x:c r="Y89" s="36" t="str">
        <x:v>Jesus beginnt den Weg der Klärung mit einem persönlichen Gespräch unter vier Augen.</x:v>
      </x:c>
      <x:c r="Z89" s="36" t="str">
        <x:v>JA</x:v>
      </x:c>
      <x:c r="AA89" s="36" t="str">
        <x:v>JA</x:v>
      </x:c>
      <x:c r="AB89" s="36" t="str">
        <x:v>JA</x:v>
      </x:c>
      <x:c r="AC89" s="36" t="str">
        <x:v>JA</x:v>
      </x:c>
      <x:c r="AD89" s="36" t="str">
        <x:v>JA</x:v>
      </x:c>
      <x:c r="AE89" s="36" t="str">
        <x:v>JA</x:v>
      </x:c>
      <x:c r="AF89" s="36" t="str">
        <x:v>JA</x:v>
      </x:c>
      <x:c r="AG89" s="36" t="str">
        <x:v>FREIGEGEBEN</x:v>
      </x:c>
      <x:c r="AH89" s="36" t="str">
        <x:v>GPT-5.6 Sol · Buchprüfung Matthäus · L1912/OTB</x:v>
      </x:c>
      <x:c r="AI89" s="36" t="str">
        <x:v>FREIGEGEBEN</x:v>
      </x:c>
      <x:c r="AJ89" s="36" t="str">
        <x:v>Matthäus 18: repetitive Wiedererkennungsfrage durch ZUSAMMENHANG-Frage ersetzt.</x:v>
      </x:c>
      <x:c r="AK89" s="36" t="str">
        <x:v>FaithPath repo develop/v4 · data/bibles/l1912/MAT.json · data/bibles/otb/MAT.json</x:v>
      </x:c>
      <x:c r="AL89" t="str">
        <x:v>JA</x:v>
      </x:c>
    </x:row>
    <x:row r="90">
      <x:c r="A90" t="str">
        <x:v>FP-0349</x:v>
      </x:c>
      <x:c r="B90" t="str">
        <x:v>MAT</x:v>
      </x:c>
      <x:c r="C90" t="str">
        <x:v>Matthäus</x:v>
      </x:c>
      <x:c r="D90" t="n">
        <x:v>18</x:v>
      </x:c>
      <x:c r="E90" t="n">
        <x:v>4</x:v>
      </x:c>
      <x:c r="F90" t="str">
        <x:v>MAT-018</x:v>
      </x:c>
      <x:c r="G90" t="n">
        <x:v>18</x:v>
      </x:c>
      <x:c r="H90" t="str">
        <x:v>CQ-A01</x:v>
      </x:c>
      <x:c r="I90" s="36" t="str">
        <x:v>Welche dieser Aussagen stammt aus Matthäus 18?</x:v>
      </x:c>
      <x:c r="J90" s="36" t="str"/>
      <x:c r="K90" s="36" t="str"/>
      <x:c r="L90" s="36" t="str">
        <x:v>REPO_VERIFIZIERT_FRAGEFORM</x:v>
      </x:c>
      <x:c r="M90" s="36" t="str">
        <x:v>ERSETZEN</x:v>
      </x:c>
      <x:c r="N90" s="36" t="str">
        <x:v>REPETITIVE_FRAGEFORM</x:v>
      </x:c>
      <x:c r="O90" s="36" t="str">
        <x:v>REINE_WIEDERERKENNUNG</x:v>
      </x:c>
      <x:c r="P90" s="36" t="str">
        <x:v>KERNAUSSAGE</x:v>
      </x:c>
      <x:c r="Q90" s="36" t="str">
        <x:v>Wie beantwortet Jesus Petrus' Frage, ob Vergebung auf siebenmal begrenzt werden soll?</x:v>
      </x:c>
      <x:c r="R90" s="36" t="str">
        <x:v>Er macht deutlich, dass Vergebung weit über siebenmal hinausgehen soll.</x:v>
      </x:c>
      <x:c r="S90" s="36" t="str">
        <x:v>Er bestätigt eine feste Grenze von siebenmal.</x:v>
      </x:c>
      <x:c r="T90" s="36" t="str">
        <x:v>Er nennt eine Grenze von dreimal.</x:v>
      </x:c>
      <x:c r="U90" s="36" t="str">
        <x:v>Er sagt, nur einmal müsse vergeben werden.</x:v>
      </x:c>
      <x:c r="V90" s="36" t="n">
        <x:v>0</x:v>
      </x:c>
      <x:c r="W90" s="36" t="str">
        <x:v>Er macht deutlich, dass Vergebung weit über siebenmal hinausgehen soll.</x:v>
      </x:c>
      <x:c r="X90" s="36" t="str">
        <x:v>Matthäus 18,21–22</x:v>
      </x:c>
      <x:c r="Y90" s="36" t="str">
        <x:v>Die beiden FaithPath-Übersetzungen geben die Zahl unterschiedlich wieder, stimmen aber darin überein: Vergebung soll nicht auf siebenmal begrenzt werden.</x:v>
      </x:c>
      <x:c r="Z90" s="36" t="str">
        <x:v>JA</x:v>
      </x:c>
      <x:c r="AA90" s="36" t="str">
        <x:v>JA</x:v>
      </x:c>
      <x:c r="AB90" s="36" t="str">
        <x:v>JA</x:v>
      </x:c>
      <x:c r="AC90" s="36" t="str">
        <x:v>JA</x:v>
      </x:c>
      <x:c r="AD90" s="36" t="str">
        <x:v>JA</x:v>
      </x:c>
      <x:c r="AE90" s="36" t="str">
        <x:v>JA</x:v>
      </x:c>
      <x:c r="AF90" s="36" t="str">
        <x:v>JA</x:v>
      </x:c>
      <x:c r="AG90" s="36" t="str">
        <x:v>FREIGEGEBEN</x:v>
      </x:c>
      <x:c r="AH90" s="36" t="str">
        <x:v>GPT-5.6 Sol · Buchprüfung Matthäus · L1912/OTB</x:v>
      </x:c>
      <x:c r="AI90" s="36" t="str">
        <x:v>FREIGEGEBEN</x:v>
      </x:c>
      <x:c r="AJ90" s="36" t="str">
        <x:v>Matthäus 18: repetitive Wiedererkennungsfrage durch KERNAUSSAGE-Frage ersetzt.</x:v>
      </x:c>
      <x:c r="AK90" s="36" t="str">
        <x:v>FaithPath repo develop/v4 · data/bibles/l1912/MAT.json · data/bibles/otb/MAT.json</x:v>
      </x:c>
      <x:c r="AL90" t="str">
        <x:v>JA</x:v>
      </x:c>
    </x:row>
    <x:row r="91">
      <x:c r="A91" t="str">
        <x:v>FP-0350</x:v>
      </x:c>
      <x:c r="B91" t="str">
        <x:v>MAT</x:v>
      </x:c>
      <x:c r="C91" t="str">
        <x:v>Matthäus</x:v>
      </x:c>
      <x:c r="D91" t="n">
        <x:v>18</x:v>
      </x:c>
      <x:c r="E91" t="n">
        <x:v>5</x:v>
      </x:c>
      <x:c r="F91" t="str">
        <x:v>MAT-018</x:v>
      </x:c>
      <x:c r="G91" t="n">
        <x:v>18</x:v>
      </x:c>
      <x:c r="H91" t="str">
        <x:v>CQ-A01</x:v>
      </x:c>
      <x:c r="I91" s="36" t="str">
        <x:v>Welche dieser Aussagen stammt aus Matthäus 18?</x:v>
      </x:c>
      <x:c r="J91" s="36" t="str"/>
      <x:c r="K91" s="36" t="str"/>
      <x:c r="L91" s="36" t="str">
        <x:v>REPO_VERIFIZIERT_FRAGEFORM</x:v>
      </x:c>
      <x:c r="M91" s="36" t="str">
        <x:v>ERSETZEN</x:v>
      </x:c>
      <x:c r="N91" s="36" t="str">
        <x:v>REPETITIVE_FRAGEFORM</x:v>
      </x:c>
      <x:c r="O91" s="36" t="str">
        <x:v>REINE_WIEDERERKENNUNG</x:v>
      </x:c>
      <x:c r="P91" s="36" t="str">
        <x:v>ZUSAMMENHANG</x:v>
      </x:c>
      <x:c r="Q91" s="36" t="str">
        <x:v>Warum wird der zuvor begnadigte Knecht im Gleichnis am Ende verurteilt?</x:v>
      </x:c>
      <x:c r="R91" s="36" t="str">
        <x:v>Weil er nie eine Schuld gehabt hatte.</x:v>
      </x:c>
      <x:c r="S91" s="36" t="str">
        <x:v>Weil er seinem Mitknecht die viel kleinere Schuld nicht erlassen wollte.</x:v>
      </x:c>
      <x:c r="T91" s="36" t="str">
        <x:v>Weil er das Geld des Königs verschenkte.</x:v>
      </x:c>
      <x:c r="U91" s="36" t="str">
        <x:v>Weil er den Palast verlassen wollte.</x:v>
      </x:c>
      <x:c r="V91" s="36" t="n">
        <x:v>1</x:v>
      </x:c>
      <x:c r="W91" s="36" t="str">
        <x:v>Weil er seinem Mitknecht die viel kleinere Schuld nicht erlassen wollte.</x:v>
      </x:c>
      <x:c r="X91" s="36" t="str">
        <x:v>Matthäus 18,23–35</x:v>
      </x:c>
      <x:c r="Y91" s="36" t="str">
        <x:v>Der Herr hatte dem Knecht eine große Schuld erlassen; dessen Unbarmherzigkeit gegenüber dem Mitknecht widerspricht der empfangenen Barmherzigkeit.</x:v>
      </x:c>
      <x:c r="Z91" s="36" t="str">
        <x:v>JA</x:v>
      </x:c>
      <x:c r="AA91" s="36" t="str">
        <x:v>JA</x:v>
      </x:c>
      <x:c r="AB91" s="36" t="str">
        <x:v>JA</x:v>
      </x:c>
      <x:c r="AC91" s="36" t="str">
        <x:v>JA</x:v>
      </x:c>
      <x:c r="AD91" s="36" t="str">
        <x:v>JA</x:v>
      </x:c>
      <x:c r="AE91" s="36" t="str">
        <x:v>JA</x:v>
      </x:c>
      <x:c r="AF91" s="36" t="str">
        <x:v>JA</x:v>
      </x:c>
      <x:c r="AG91" s="36" t="str">
        <x:v>FREIGEGEBEN</x:v>
      </x:c>
      <x:c r="AH91" s="36" t="str">
        <x:v>GPT-5.6 Sol · Buchprüfung Matthäus · L1912/OTB</x:v>
      </x:c>
      <x:c r="AI91" s="36" t="str">
        <x:v>FREIGEGEBEN</x:v>
      </x:c>
      <x:c r="AJ91" s="36" t="str">
        <x:v>Matthäus 18: repetitive Wiedererkennungsfrage durch ZUSAMMENHANG-Frage ersetzt.</x:v>
      </x:c>
      <x:c r="AK91" s="36" t="str">
        <x:v>FaithPath repo develop/v4 · data/bibles/l1912/MAT.json · data/bibles/otb/MAT.json</x:v>
      </x:c>
      <x:c r="AL91" t="str">
        <x:v>JA</x:v>
      </x:c>
    </x:row>
    <x:row r="92">
      <x:c r="A92" t="str">
        <x:v>FP-0351</x:v>
      </x:c>
      <x:c r="B92" t="str">
        <x:v>MAT</x:v>
      </x:c>
      <x:c r="C92" t="str">
        <x:v>Matthäus</x:v>
      </x:c>
      <x:c r="D92" t="n">
        <x:v>19</x:v>
      </x:c>
      <x:c r="E92" t="n">
        <x:v>1</x:v>
      </x:c>
      <x:c r="F92" t="str">
        <x:v>MAT-019</x:v>
      </x:c>
      <x:c r="G92" t="n">
        <x:v>19</x:v>
      </x:c>
      <x:c r="H92" t="str">
        <x:v>CQ-A01</x:v>
      </x:c>
      <x:c r="I92" s="36" t="str">
        <x:v>Welche dieser Aussagen stammt aus Matthäus 19?</x:v>
      </x:c>
      <x:c r="J92" s="36" t="str"/>
      <x:c r="K92" s="36" t="str"/>
      <x:c r="L92" s="36" t="str">
        <x:v>REPO_VERIFIZIERT_FRAGEFORM</x:v>
      </x:c>
      <x:c r="M92" s="36" t="str">
        <x:v>ERSETZEN</x:v>
      </x:c>
      <x:c r="N92" s="36" t="str">
        <x:v>REPETITIVE_FRAGEFORM</x:v>
      </x:c>
      <x:c r="O92" s="36" t="str">
        <x:v>REINE_WIEDERERKENNUNG</x:v>
      </x:c>
      <x:c r="P92" s="36" t="str">
        <x:v>KERNAUSSAGE</x:v>
      </x:c>
      <x:c r="Q92" s="36" t="str">
        <x:v>Worauf verweist Jesus in der Frage nach Ehe und Scheidung zurück?</x:v>
      </x:c>
      <x:c r="R92" s="36" t="str">
        <x:v>Auf römisches Familienrecht.</x:v>
      </x:c>
      <x:c r="S92" s="36" t="str">
        <x:v>Auf Davids Königsherrschaft.</x:v>
      </x:c>
      <x:c r="T92" s="36" t="str">
        <x:v>Auf Gottes Schöpfungsordnung: Mann und Frau werden ein Fleisch.</x:v>
      </x:c>
      <x:c r="U92" s="36" t="str">
        <x:v>Auf die Tempelsteuer.</x:v>
      </x:c>
      <x:c r="V92" s="36" t="n">
        <x:v>2</x:v>
      </x:c>
      <x:c r="W92" s="36" t="str">
        <x:v>Auf Gottes Schöpfungsordnung: Mann und Frau werden ein Fleisch.</x:v>
      </x:c>
      <x:c r="X92" s="36" t="str">
        <x:v>Matthäus 19,3–6</x:v>
      </x:c>
      <x:c r="Y92" s="36" t="str">
        <x:v>Jesus antwortet mit dem Schöpfungsbericht und betont die von Gott verbundene Einheit von Mann und Frau.</x:v>
      </x:c>
      <x:c r="Z92" s="36" t="str">
        <x:v>JA</x:v>
      </x:c>
      <x:c r="AA92" s="36" t="str">
        <x:v>JA</x:v>
      </x:c>
      <x:c r="AB92" s="36" t="str">
        <x:v>JA</x:v>
      </x:c>
      <x:c r="AC92" s="36" t="str">
        <x:v>JA</x:v>
      </x:c>
      <x:c r="AD92" s="36" t="str">
        <x:v>JA</x:v>
      </x:c>
      <x:c r="AE92" s="36" t="str">
        <x:v>JA</x:v>
      </x:c>
      <x:c r="AF92" s="36" t="str">
        <x:v>JA</x:v>
      </x:c>
      <x:c r="AG92" s="36" t="str">
        <x:v>FREIGEGEBEN</x:v>
      </x:c>
      <x:c r="AH92" s="36" t="str">
        <x:v>GPT-5.6 Sol · Buchprüfung Matthäus · L1912/OTB</x:v>
      </x:c>
      <x:c r="AI92" s="36" t="str">
        <x:v>FREIGEGEBEN</x:v>
      </x:c>
      <x:c r="AJ92" s="36" t="str">
        <x:v>Matthäus 19: repetitive Wiedererkennungsfrage durch KERNAUSSAGE-Frage ersetzt.</x:v>
      </x:c>
      <x:c r="AK92" s="36" t="str">
        <x:v>FaithPath repo develop/v4 · data/bibles/l1912/MAT.json · data/bibles/otb/MAT.json</x:v>
      </x:c>
      <x:c r="AL92" t="str">
        <x:v>JA</x:v>
      </x:c>
    </x:row>
    <x:row r="93">
      <x:c r="A93" t="str">
        <x:v>FP-0352</x:v>
      </x:c>
      <x:c r="B93" t="str">
        <x:v>MAT</x:v>
      </x:c>
      <x:c r="C93" t="str">
        <x:v>Matthäus</x:v>
      </x:c>
      <x:c r="D93" t="n">
        <x:v>19</x:v>
      </x:c>
      <x:c r="E93" t="n">
        <x:v>2</x:v>
      </x:c>
      <x:c r="F93" t="str">
        <x:v>MAT-019</x:v>
      </x:c>
      <x:c r="G93" t="n">
        <x:v>19</x:v>
      </x:c>
      <x:c r="H93" t="str">
        <x:v>CQ-A01</x:v>
      </x:c>
      <x:c r="I93" s="36" t="str">
        <x:v>Welche dieser Aussagen stammt aus Matthäus 19?</x:v>
      </x:c>
      <x:c r="J93" s="36" t="str"/>
      <x:c r="K93" s="36" t="str"/>
      <x:c r="L93" s="36" t="str">
        <x:v>REPO_VERIFIZIERT_FRAGEFORM</x:v>
      </x:c>
      <x:c r="M93" s="36" t="str">
        <x:v>ERSETZEN</x:v>
      </x:c>
      <x:c r="N93" s="36" t="str">
        <x:v>REPETITIVE_FRAGEFORM</x:v>
      </x:c>
      <x:c r="O93" s="36" t="str">
        <x:v>REINE_WIEDERERKENNUNG</x:v>
      </x:c>
      <x:c r="P93" s="36" t="str">
        <x:v>ZUSAMMENHANG</x:v>
      </x:c>
      <x:c r="Q93" s="36" t="str">
        <x:v>Warum erlaubte Mose nach Jesu Aussage einen Scheidebrief?</x:v>
      </x:c>
      <x:c r="R93" s="36" t="str">
        <x:v>Weil Scheidung von Anfang an Gottes Ziel war.</x:v>
      </x:c>
      <x:c r="S93" s="36" t="str">
        <x:v>Weil die Römer es verlangten.</x:v>
      </x:c>
      <x:c r="T93" s="36" t="str">
        <x:v>Weil es keine Ehegesetze gab.</x:v>
      </x:c>
      <x:c r="U93" s="36" t="str">
        <x:v>Wegen der Härte ihrer Herzen.</x:v>
      </x:c>
      <x:c r="V93" s="36" t="n">
        <x:v>3</x:v>
      </x:c>
      <x:c r="W93" s="36" t="str">
        <x:v>Wegen der Härte ihrer Herzen.</x:v>
      </x:c>
      <x:c r="X93" s="36" t="str">
        <x:v>Matthäus 19,7–8</x:v>
      </x:c>
      <x:c r="Y93" s="36" t="str">
        <x:v>Jesus erklärt die mosaische Erlaubnis mit der Herzenshärte und sagt, dass es von Anfang an nicht so gewesen sei.</x:v>
      </x:c>
      <x:c r="Z93" s="36" t="str">
        <x:v>JA</x:v>
      </x:c>
      <x:c r="AA93" s="36" t="str">
        <x:v>JA</x:v>
      </x:c>
      <x:c r="AB93" s="36" t="str">
        <x:v>JA</x:v>
      </x:c>
      <x:c r="AC93" s="36" t="str">
        <x:v>JA</x:v>
      </x:c>
      <x:c r="AD93" s="36" t="str">
        <x:v>JA</x:v>
      </x:c>
      <x:c r="AE93" s="36" t="str">
        <x:v>JA</x:v>
      </x:c>
      <x:c r="AF93" s="36" t="str">
        <x:v>JA</x:v>
      </x:c>
      <x:c r="AG93" s="36" t="str">
        <x:v>FREIGEGEBEN</x:v>
      </x:c>
      <x:c r="AH93" s="36" t="str">
        <x:v>GPT-5.6 Sol · Buchprüfung Matthäus · L1912/OTB</x:v>
      </x:c>
      <x:c r="AI93" s="36" t="str">
        <x:v>FREIGEGEBEN</x:v>
      </x:c>
      <x:c r="AJ93" s="36" t="str">
        <x:v>Matthäus 19: repetitive Wiedererkennungsfrage durch ZUSAMMENHANG-Frage ersetzt.</x:v>
      </x:c>
      <x:c r="AK93" s="36" t="str">
        <x:v>FaithPath repo develop/v4 · data/bibles/l1912/MAT.json · data/bibles/otb/MAT.json</x:v>
      </x:c>
      <x:c r="AL93" t="str">
        <x:v>JA</x:v>
      </x:c>
    </x:row>
    <x:row r="94">
      <x:c r="A94" t="str">
        <x:v>FP-0353</x:v>
      </x:c>
      <x:c r="B94" t="str">
        <x:v>MAT</x:v>
      </x:c>
      <x:c r="C94" t="str">
        <x:v>Matthäus</x:v>
      </x:c>
      <x:c r="D94" t="n">
        <x:v>19</x:v>
      </x:c>
      <x:c r="E94" t="n">
        <x:v>3</x:v>
      </x:c>
      <x:c r="F94" t="str">
        <x:v>MAT-019</x:v>
      </x:c>
      <x:c r="G94" t="n">
        <x:v>19</x:v>
      </x:c>
      <x:c r="H94" t="str">
        <x:v>CQ-A01</x:v>
      </x:c>
      <x:c r="I94" s="36" t="str">
        <x:v>Welche dieser Aussagen stammt aus Matthäus 19?</x:v>
      </x:c>
      <x:c r="J94" s="36" t="str"/>
      <x:c r="K94" s="36" t="str"/>
      <x:c r="L94" s="36" t="str">
        <x:v>REPO_VERIFIZIERT_FRAGEFORM</x:v>
      </x:c>
      <x:c r="M94" s="36" t="str">
        <x:v>ERSETZEN</x:v>
      </x:c>
      <x:c r="N94" s="36" t="str">
        <x:v>REPETITIVE_FRAGEFORM</x:v>
      </x:c>
      <x:c r="O94" s="36" t="str">
        <x:v>REINE_WIEDERERKENNUNG</x:v>
      </x:c>
      <x:c r="P94" s="36" t="str">
        <x:v>PERSON_AUSSAGE</x:v>
      </x:c>
      <x:c r="Q94" s="36" t="str">
        <x:v>Wie reagiert Jesus, als Kinder zu ihm gebracht werden und die Jünger sie abweisen wollen?</x:v>
      </x:c>
      <x:c r="R94" s="36" t="str">
        <x:v>Er lässt die Kinder zu sich kommen und sagt, solchen gehöre das Himmelreich.</x:v>
      </x:c>
      <x:c r="S94" s="36" t="str">
        <x:v>Er schickt sie nach Hause.</x:v>
      </x:c>
      <x:c r="T94" s="36" t="str">
        <x:v>Er erlaubt nur den ältesten Kindern zu bleiben.</x:v>
      </x:c>
      <x:c r="U94" s="36" t="str">
        <x:v>Er übergibt sie den Pharisäern.</x:v>
      </x:c>
      <x:c r="V94" s="36" t="n">
        <x:v>0</x:v>
      </x:c>
      <x:c r="W94" s="36" t="str">
        <x:v>Er lässt die Kinder zu sich kommen und sagt, solchen gehöre das Himmelreich.</x:v>
      </x:c>
      <x:c r="X94" s="36" t="str">
        <x:v>Matthäus 19,13–15</x:v>
      </x:c>
      <x:c r="Y94" s="36" t="str">
        <x:v>Jesus weist die Jünger zurecht, lässt die Kinder zu sich kommen und legt ihnen die Hände auf.</x:v>
      </x:c>
      <x:c r="Z94" s="36" t="str">
        <x:v>JA</x:v>
      </x:c>
      <x:c r="AA94" s="36" t="str">
        <x:v>JA</x:v>
      </x:c>
      <x:c r="AB94" s="36" t="str">
        <x:v>JA</x:v>
      </x:c>
      <x:c r="AC94" s="36" t="str">
        <x:v>JA</x:v>
      </x:c>
      <x:c r="AD94" s="36" t="str">
        <x:v>JA</x:v>
      </x:c>
      <x:c r="AE94" s="36" t="str">
        <x:v>JA</x:v>
      </x:c>
      <x:c r="AF94" s="36" t="str">
        <x:v>JA</x:v>
      </x:c>
      <x:c r="AG94" s="36" t="str">
        <x:v>FREIGEGEBEN</x:v>
      </x:c>
      <x:c r="AH94" s="36" t="str">
        <x:v>GPT-5.6 Sol · Buchprüfung Matthäus · L1912/OTB</x:v>
      </x:c>
      <x:c r="AI94" s="36" t="str">
        <x:v>FREIGEGEBEN</x:v>
      </x:c>
      <x:c r="AJ94" s="36" t="str">
        <x:v>Matthäus 19: repetitive Wiedererkennungsfrage durch PERSON_AUSSAGE-Frage ersetzt.</x:v>
      </x:c>
      <x:c r="AK94" s="36" t="str">
        <x:v>FaithPath repo develop/v4 · data/bibles/l1912/MAT.json · data/bibles/otb/MAT.json</x:v>
      </x:c>
      <x:c r="AL94" t="str">
        <x:v>JA</x:v>
      </x:c>
    </x:row>
    <x:row r="95">
      <x:c r="A95" t="str">
        <x:v>FP-0354</x:v>
      </x:c>
      <x:c r="B95" t="str">
        <x:v>MAT</x:v>
      </x:c>
      <x:c r="C95" t="str">
        <x:v>Matthäus</x:v>
      </x:c>
      <x:c r="D95" t="n">
        <x:v>19</x:v>
      </x:c>
      <x:c r="E95" t="n">
        <x:v>4</x:v>
      </x:c>
      <x:c r="F95" t="str">
        <x:v>MAT-019</x:v>
      </x:c>
      <x:c r="G95" t="n">
        <x:v>19</x:v>
      </x:c>
      <x:c r="H95" t="str">
        <x:v>CQ-A01</x:v>
      </x:c>
      <x:c r="I95" s="36" t="str">
        <x:v>Welche dieser Aussagen stammt aus Matthäus 19?</x:v>
      </x:c>
      <x:c r="J95" s="36" t="str"/>
      <x:c r="K95" s="36" t="str"/>
      <x:c r="L95" s="36" t="str">
        <x:v>REPO_VERIFIZIERT_FRAGEFORM</x:v>
      </x:c>
      <x:c r="M95" s="36" t="str">
        <x:v>ERSETZEN</x:v>
      </x:c>
      <x:c r="N95" s="36" t="str">
        <x:v>REPETITIVE_FRAGEFORM</x:v>
      </x:c>
      <x:c r="O95" s="36" t="str">
        <x:v>REINE_WIEDERERKENNUNG</x:v>
      </x:c>
      <x:c r="P95" s="36" t="str">
        <x:v>KERNAUSSAGE</x:v>
      </x:c>
      <x:c r="Q95" s="36" t="str">
        <x:v>Was fehlt dem reichen jungen Mann nach Jesu Antwort noch?</x:v>
      </x:c>
      <x:c r="R95" s="36" t="str">
        <x:v>Priester zu werden.</x:v>
      </x:c>
      <x:c r="S95" s="36" t="str">
        <x:v>Seinen Besitz zu verkaufen, den Armen zu geben und Jesus zu folgen.</x:v>
      </x:c>
      <x:c r="T95" s="36" t="str">
        <x:v>Nach Rom zu reisen.</x:v>
      </x:c>
      <x:c r="U95" s="36" t="str">
        <x:v>Noch mehr Besitz anzusammeln.</x:v>
      </x:c>
      <x:c r="V95" s="36" t="n">
        <x:v>1</x:v>
      </x:c>
      <x:c r="W95" s="36" t="str">
        <x:v>Seinen Besitz zu verkaufen, den Armen zu geben und Jesus zu folgen.</x:v>
      </x:c>
      <x:c r="X95" s="36" t="str">
        <x:v>Matthäus 19,16–22</x:v>
      </x:c>
      <x:c r="Y95" s="36" t="str">
        <x:v>Nach dem Gespräch über die Gebote fordert Jesus ihn auf, Besitz loszulassen, den Armen zu geben und ihm zu folgen.</x:v>
      </x:c>
      <x:c r="Z95" s="36" t="str">
        <x:v>JA</x:v>
      </x:c>
      <x:c r="AA95" s="36" t="str">
        <x:v>JA</x:v>
      </x:c>
      <x:c r="AB95" s="36" t="str">
        <x:v>JA</x:v>
      </x:c>
      <x:c r="AC95" s="36" t="str">
        <x:v>JA</x:v>
      </x:c>
      <x:c r="AD95" s="36" t="str">
        <x:v>JA</x:v>
      </x:c>
      <x:c r="AE95" s="36" t="str">
        <x:v>JA</x:v>
      </x:c>
      <x:c r="AF95" s="36" t="str">
        <x:v>JA</x:v>
      </x:c>
      <x:c r="AG95" s="36" t="str">
        <x:v>FREIGEGEBEN</x:v>
      </x:c>
      <x:c r="AH95" s="36" t="str">
        <x:v>GPT-5.6 Sol · Buchprüfung Matthäus · L1912/OTB</x:v>
      </x:c>
      <x:c r="AI95" s="36" t="str">
        <x:v>FREIGEGEBEN</x:v>
      </x:c>
      <x:c r="AJ95" s="36" t="str">
        <x:v>Matthäus 19: repetitive Wiedererkennungsfrage durch KERNAUSSAGE-Frage ersetzt.</x:v>
      </x:c>
      <x:c r="AK95" s="36" t="str">
        <x:v>FaithPath repo develop/v4 · data/bibles/l1912/MAT.json · data/bibles/otb/MAT.json</x:v>
      </x:c>
      <x:c r="AL95" t="str">
        <x:v>JA</x:v>
      </x:c>
    </x:row>
    <x:row r="96">
      <x:c r="A96" t="str">
        <x:v>FP-0355</x:v>
      </x:c>
      <x:c r="B96" t="str">
        <x:v>MAT</x:v>
      </x:c>
      <x:c r="C96" t="str">
        <x:v>Matthäus</x:v>
      </x:c>
      <x:c r="D96" t="n">
        <x:v>19</x:v>
      </x:c>
      <x:c r="E96" t="n">
        <x:v>5</x:v>
      </x:c>
      <x:c r="F96" t="str">
        <x:v>MAT-019</x:v>
      </x:c>
      <x:c r="G96" t="n">
        <x:v>19</x:v>
      </x:c>
      <x:c r="H96" t="str">
        <x:v>CQ-A01</x:v>
      </x:c>
      <x:c r="I96" s="36" t="str">
        <x:v>Welche dieser Aussagen stammt aus Matthäus 19?</x:v>
      </x:c>
      <x:c r="J96" s="36" t="str"/>
      <x:c r="K96" s="36" t="str"/>
      <x:c r="L96" s="36" t="str">
        <x:v>REPO_VERIFIZIERT_FRAGEFORM</x:v>
      </x:c>
      <x:c r="M96" s="36" t="str">
        <x:v>ERSETZEN</x:v>
      </x:c>
      <x:c r="N96" s="36" t="str">
        <x:v>REPETITIVE_FRAGEFORM</x:v>
      </x:c>
      <x:c r="O96" s="36" t="str">
        <x:v>REINE_WIEDERERKENNUNG</x:v>
      </x:c>
      <x:c r="P96" s="36" t="str">
        <x:v>KERNAUSSAGE</x:v>
      </x:c>
      <x:c r="Q96" s="36" t="str">
        <x:v>Was antwortet Jesus auf die Frage der Jünger, wer dann gerettet werden kann?</x:v>
      </x:c>
      <x:c r="R96" s="36" t="str">
        <x:v>Nur Reiche können gerettet werden.</x:v>
      </x:c>
      <x:c r="S96" s="36" t="str">
        <x:v>Niemand kann gerettet werden.</x:v>
      </x:c>
      <x:c r="T96" s="36" t="str">
        <x:v>Bei Menschen ist es unmöglich, aber bei Gott sind alle Dinge möglich.</x:v>
      </x:c>
      <x:c r="U96" s="36" t="str">
        <x:v>Nur die zwölf Jünger können gerettet werden.</x:v>
      </x:c>
      <x:c r="V96" s="36" t="n">
        <x:v>2</x:v>
      </x:c>
      <x:c r="W96" s="36" t="str">
        <x:v>Bei Menschen ist es unmöglich, aber bei Gott sind alle Dinge möglich.</x:v>
      </x:c>
      <x:c r="X96" s="36" t="str">
        <x:v>Matthäus 19,23–26</x:v>
      </x:c>
      <x:c r="Y96" s="36" t="str">
        <x:v>Jesus stellt menschliche Unmöglichkeit Gottes Möglichkeit gegenüber.</x:v>
      </x:c>
      <x:c r="Z96" s="36" t="str">
        <x:v>JA</x:v>
      </x:c>
      <x:c r="AA96" s="36" t="str">
        <x:v>JA</x:v>
      </x:c>
      <x:c r="AB96" s="36" t="str">
        <x:v>JA</x:v>
      </x:c>
      <x:c r="AC96" s="36" t="str">
        <x:v>JA</x:v>
      </x:c>
      <x:c r="AD96" s="36" t="str">
        <x:v>JA</x:v>
      </x:c>
      <x:c r="AE96" s="36" t="str">
        <x:v>JA</x:v>
      </x:c>
      <x:c r="AF96" s="36" t="str">
        <x:v>JA</x:v>
      </x:c>
      <x:c r="AG96" s="36" t="str">
        <x:v>FREIGEGEBEN</x:v>
      </x:c>
      <x:c r="AH96" s="36" t="str">
        <x:v>GPT-5.6 Sol · Buchprüfung Matthäus · L1912/OTB</x:v>
      </x:c>
      <x:c r="AI96" s="36" t="str">
        <x:v>FREIGEGEBEN</x:v>
      </x:c>
      <x:c r="AJ96" s="36" t="str">
        <x:v>Matthäus 19: repetitive Wiedererkennungsfrage durch KERNAUSSAGE-Frage ersetzt.</x:v>
      </x:c>
      <x:c r="AK96" s="36" t="str">
        <x:v>FaithPath repo develop/v4 · data/bibles/l1912/MAT.json · data/bibles/otb/MAT.json</x:v>
      </x:c>
      <x:c r="AL96" t="str">
        <x:v>JA</x:v>
      </x:c>
    </x:row>
    <x:row r="97">
      <x:c r="A97" t="str">
        <x:v>FP-0356</x:v>
      </x:c>
      <x:c r="B97" t="str">
        <x:v>MAT</x:v>
      </x:c>
      <x:c r="C97" t="str">
        <x:v>Matthäus</x:v>
      </x:c>
      <x:c r="D97" t="n">
        <x:v>20</x:v>
      </x:c>
      <x:c r="E97" t="n">
        <x:v>1</x:v>
      </x:c>
      <x:c r="F97" t="str">
        <x:v>MAT-020</x:v>
      </x:c>
      <x:c r="G97" t="n">
        <x:v>20</x:v>
      </x:c>
      <x:c r="H97" t="str">
        <x:v>CQ-A01</x:v>
      </x:c>
      <x:c r="I97" s="36" t="str">
        <x:v>Welche dieser Aussagen stammt aus Matthäus 20?</x:v>
      </x:c>
      <x:c r="J97" s="36" t="str"/>
      <x:c r="K97" s="36" t="str"/>
      <x:c r="L97" s="36" t="str">
        <x:v>REPO_VERIFIZIERT_FRAGEFORM</x:v>
      </x:c>
      <x:c r="M97" s="36" t="str">
        <x:v>ERSETZEN</x:v>
      </x:c>
      <x:c r="N97" s="36" t="str">
        <x:v>REPETITIVE_FRAGEFORM</x:v>
      </x:c>
      <x:c r="O97" s="36" t="str">
        <x:v>REINE_WIEDERERKENNUNG</x:v>
      </x:c>
      <x:c r="P97" s="36" t="str">
        <x:v>ZUSAMMENHANG</x:v>
      </x:c>
      <x:c r="Q97" s="36" t="str">
        <x:v>Was erhalten die zuletzt eingestellten Arbeiter im Gleichnis vom Weinberg?</x:v>
      </x:c>
      <x:c r="R97" s="36" t="str">
        <x:v>Nur die Hälfte eines Denars.</x:v>
      </x:c>
      <x:c r="S97" s="36" t="str">
        <x:v>Gar keinen Lohn.</x:v>
      </x:c>
      <x:c r="T97" s="36" t="str">
        <x:v>Doppelt so viel wie die zuerst eingestellten Arbeiter.</x:v>
      </x:c>
      <x:c r="U97" s="36" t="str">
        <x:v>Denselben Denar wie die zuerst eingestellten Arbeiter.</x:v>
      </x:c>
      <x:c r="V97" s="36" t="n">
        <x:v>3</x:v>
      </x:c>
      <x:c r="W97" s="36" t="str">
        <x:v>Denselben Denar wie die zuerst eingestellten Arbeiter.</x:v>
      </x:c>
      <x:c r="X97" s="36" t="str">
        <x:v>Matthäus 20,1–16</x:v>
      </x:c>
      <x:c r="Y97" s="36" t="str">
        <x:v>Die zuletzt Eingestellten erhalten einen Denar – denselben Betrag, den auch die zuerst Eingestellten bekommen.</x:v>
      </x:c>
      <x:c r="Z97" s="36" t="str">
        <x:v>JA</x:v>
      </x:c>
      <x:c r="AA97" s="36" t="str">
        <x:v>JA</x:v>
      </x:c>
      <x:c r="AB97" s="36" t="str">
        <x:v>JA</x:v>
      </x:c>
      <x:c r="AC97" s="36" t="str">
        <x:v>JA</x:v>
      </x:c>
      <x:c r="AD97" s="36" t="str">
        <x:v>JA</x:v>
      </x:c>
      <x:c r="AE97" s="36" t="str">
        <x:v>JA</x:v>
      </x:c>
      <x:c r="AF97" s="36" t="str">
        <x:v>JA</x:v>
      </x:c>
      <x:c r="AG97" s="36" t="str">
        <x:v>FREIGEGEBEN</x:v>
      </x:c>
      <x:c r="AH97" s="36" t="str">
        <x:v>GPT-5.6 Sol · Buchprüfung Matthäus · L1912/OTB</x:v>
      </x:c>
      <x:c r="AI97" s="36" t="str">
        <x:v>FREIGEGEBEN</x:v>
      </x:c>
      <x:c r="AJ97" s="36" t="str">
        <x:v>Matthäus 20: repetitive Wiedererkennungsfrage durch ZUSAMMENHANG-Frage ersetzt.</x:v>
      </x:c>
      <x:c r="AK97" s="36" t="str">
        <x:v>FaithPath repo develop/v4 · data/bibles/l1912/MAT.json · data/bibles/otb/MAT.json</x:v>
      </x:c>
      <x:c r="AL97" t="str">
        <x:v>JA</x:v>
      </x:c>
    </x:row>
    <x:row r="98">
      <x:c r="A98" t="str">
        <x:v>FP-0357</x:v>
      </x:c>
      <x:c r="B98" t="str">
        <x:v>MAT</x:v>
      </x:c>
      <x:c r="C98" t="str">
        <x:v>Matthäus</x:v>
      </x:c>
      <x:c r="D98" t="n">
        <x:v>20</x:v>
      </x:c>
      <x:c r="E98" t="n">
        <x:v>2</x:v>
      </x:c>
      <x:c r="F98" t="str">
        <x:v>MAT-020</x:v>
      </x:c>
      <x:c r="G98" t="n">
        <x:v>20</x:v>
      </x:c>
      <x:c r="H98" t="str">
        <x:v>CQ-A01</x:v>
      </x:c>
      <x:c r="I98" s="36" t="str">
        <x:v>Welche dieser Aussagen stammt aus Matthäus 20?</x:v>
      </x:c>
      <x:c r="J98" s="36" t="str"/>
      <x:c r="K98" s="36" t="str"/>
      <x:c r="L98" s="36" t="str">
        <x:v>REPO_VERIFIZIERT_FRAGEFORM</x:v>
      </x:c>
      <x:c r="M98" s="36" t="str">
        <x:v>ERSETZEN</x:v>
      </x:c>
      <x:c r="N98" s="36" t="str">
        <x:v>REPETITIVE_FRAGEFORM</x:v>
      </x:c>
      <x:c r="O98" s="36" t="str">
        <x:v>REINE_WIEDERERKENNUNG</x:v>
      </x:c>
      <x:c r="P98" s="36" t="str">
        <x:v>GESCHEHEN</x:v>
      </x:c>
      <x:c r="Q98" s="36" t="str">
        <x:v>Was kündigt Jesus auf dem Weg nach Jerusalem über sich an?</x:v>
      </x:c>
      <x:c r="R98" s="36" t="str">
        <x:v>Er wird ausgeliefert, verurteilt, getötet und am dritten Tag auferstehen.</x:v>
      </x:c>
      <x:c r="S98" s="36" t="str">
        <x:v>Er wird zum König gekrönt und in Jerusalem bleiben.</x:v>
      </x:c>
      <x:c r="T98" s="36" t="str">
        <x:v>Er wird Herodes ablösen.</x:v>
      </x:c>
      <x:c r="U98" s="36" t="str">
        <x:v>Er wird nicht mehr nach Jerusalem gehen.</x:v>
      </x:c>
      <x:c r="V98" s="36" t="n">
        <x:v>0</x:v>
      </x:c>
      <x:c r="W98" s="36" t="str">
        <x:v>Er wird ausgeliefert, verurteilt, getötet und am dritten Tag auferstehen.</x:v>
      </x:c>
      <x:c r="X98" s="36" t="str">
        <x:v>Matthäus 20,17–19</x:v>
      </x:c>
      <x:c r="Y98" s="36" t="str">
        <x:v>Jesus kündigt erneut Leiden, Tod und Auferstehung an.</x:v>
      </x:c>
      <x:c r="Z98" s="36" t="str">
        <x:v>JA</x:v>
      </x:c>
      <x:c r="AA98" s="36" t="str">
        <x:v>JA</x:v>
      </x:c>
      <x:c r="AB98" s="36" t="str">
        <x:v>JA</x:v>
      </x:c>
      <x:c r="AC98" s="36" t="str">
        <x:v>JA</x:v>
      </x:c>
      <x:c r="AD98" s="36" t="str">
        <x:v>JA</x:v>
      </x:c>
      <x:c r="AE98" s="36" t="str">
        <x:v>JA</x:v>
      </x:c>
      <x:c r="AF98" s="36" t="str">
        <x:v>JA</x:v>
      </x:c>
      <x:c r="AG98" s="36" t="str">
        <x:v>FREIGEGEBEN</x:v>
      </x:c>
      <x:c r="AH98" s="36" t="str">
        <x:v>GPT-5.6 Sol · Buchprüfung Matthäus · L1912/OTB</x:v>
      </x:c>
      <x:c r="AI98" s="36" t="str">
        <x:v>FREIGEGEBEN</x:v>
      </x:c>
      <x:c r="AJ98" s="36" t="str">
        <x:v>Matthäus 20: repetitive Wiedererkennungsfrage durch GESCHEHEN-Frage ersetzt.</x:v>
      </x:c>
      <x:c r="AK98" s="36" t="str">
        <x:v>FaithPath repo develop/v4 · data/bibles/l1912/MAT.json · data/bibles/otb/MAT.json</x:v>
      </x:c>
      <x:c r="AL98" t="str">
        <x:v>JA</x:v>
      </x:c>
    </x:row>
    <x:row r="99">
      <x:c r="A99" t="str">
        <x:v>FP-0358</x:v>
      </x:c>
      <x:c r="B99" t="str">
        <x:v>MAT</x:v>
      </x:c>
      <x:c r="C99" t="str">
        <x:v>Matthäus</x:v>
      </x:c>
      <x:c r="D99" t="n">
        <x:v>20</x:v>
      </x:c>
      <x:c r="E99" t="n">
        <x:v>3</x:v>
      </x:c>
      <x:c r="F99" t="str">
        <x:v>MAT-020</x:v>
      </x:c>
      <x:c r="G99" t="n">
        <x:v>20</x:v>
      </x:c>
      <x:c r="H99" t="str">
        <x:v>CQ-A01</x:v>
      </x:c>
      <x:c r="I99" s="36" t="str">
        <x:v>Welche dieser Aussagen stammt aus Matthäus 20?</x:v>
      </x:c>
      <x:c r="J99" s="36" t="str"/>
      <x:c r="K99" s="36" t="str"/>
      <x:c r="L99" s="36" t="str">
        <x:v>REPO_VERIFIZIERT_FRAGEFORM</x:v>
      </x:c>
      <x:c r="M99" s="36" t="str">
        <x:v>ERSETZEN</x:v>
      </x:c>
      <x:c r="N99" s="36" t="str">
        <x:v>REPETITIVE_FRAGEFORM</x:v>
      </x:c>
      <x:c r="O99" s="36" t="str">
        <x:v>REINE_WIEDERERKENNUNG</x:v>
      </x:c>
      <x:c r="P99" s="36" t="str">
        <x:v>GESCHEHEN</x:v>
      </x:c>
      <x:c r="Q99" s="36" t="str">
        <x:v>Was erbittet die Mutter der Söhne des Zebedäus von Jesus?</x:v>
      </x:c>
      <x:c r="R99" s="36" t="str">
        <x:v>Dass ihre Söhne vom Dienst befreit werden.</x:v>
      </x:c>
      <x:c r="S99" s="36" t="str">
        <x:v>Dass ihre beiden Söhne in seinem Reich rechts und links von ihm sitzen dürfen.</x:v>
      </x:c>
      <x:c r="T99" s="36" t="str">
        <x:v>Dass sie den Tempel leiten dürfen.</x:v>
      </x:c>
      <x:c r="U99" s="36" t="str">
        <x:v>Dass sie nach Galiläa zurückkehren dürfen.</x:v>
      </x:c>
      <x:c r="V99" s="36" t="n">
        <x:v>1</x:v>
      </x:c>
      <x:c r="W99" s="36" t="str">
        <x:v>Dass ihre beiden Söhne in seinem Reich rechts und links von ihm sitzen dürfen.</x:v>
      </x:c>
      <x:c r="X99" s="36" t="str">
        <x:v>Matthäus 20,20–21</x:v>
      </x:c>
      <x:c r="Y99" s="36" t="str">
        <x:v>Die Mutter bittet um besondere Ehrenplätze für ihre beiden Söhne im Reich Jesu.</x:v>
      </x:c>
      <x:c r="Z99" s="36" t="str">
        <x:v>JA</x:v>
      </x:c>
      <x:c r="AA99" s="36" t="str">
        <x:v>JA</x:v>
      </x:c>
      <x:c r="AB99" s="36" t="str">
        <x:v>JA</x:v>
      </x:c>
      <x:c r="AC99" s="36" t="str">
        <x:v>JA</x:v>
      </x:c>
      <x:c r="AD99" s="36" t="str">
        <x:v>JA</x:v>
      </x:c>
      <x:c r="AE99" s="36" t="str">
        <x:v>JA</x:v>
      </x:c>
      <x:c r="AF99" s="36" t="str">
        <x:v>JA</x:v>
      </x:c>
      <x:c r="AG99" s="36" t="str">
        <x:v>FREIGEGEBEN</x:v>
      </x:c>
      <x:c r="AH99" s="36" t="str">
        <x:v>GPT-5.6 Sol · Buchprüfung Matthäus · L1912/OTB</x:v>
      </x:c>
      <x:c r="AI99" s="36" t="str">
        <x:v>FREIGEGEBEN</x:v>
      </x:c>
      <x:c r="AJ99" s="36" t="str">
        <x:v>Matthäus 20: repetitive Wiedererkennungsfrage durch GESCHEHEN-Frage ersetzt.</x:v>
      </x:c>
      <x:c r="AK99" s="36" t="str">
        <x:v>FaithPath repo develop/v4 · data/bibles/l1912/MAT.json · data/bibles/otb/MAT.json</x:v>
      </x:c>
      <x:c r="AL99" t="str">
        <x:v>JA</x:v>
      </x:c>
    </x:row>
    <x:row r="100">
      <x:c r="A100" t="str">
        <x:v>FP-0359</x:v>
      </x:c>
      <x:c r="B100" t="str">
        <x:v>MAT</x:v>
      </x:c>
      <x:c r="C100" t="str">
        <x:v>Matthäus</x:v>
      </x:c>
      <x:c r="D100" t="n">
        <x:v>20</x:v>
      </x:c>
      <x:c r="E100" t="n">
        <x:v>4</x:v>
      </x:c>
      <x:c r="F100" t="str">
        <x:v>MAT-020</x:v>
      </x:c>
      <x:c r="G100" t="n">
        <x:v>20</x:v>
      </x:c>
      <x:c r="H100" t="str">
        <x:v>CQ-A01</x:v>
      </x:c>
      <x:c r="I100" s="36" t="str">
        <x:v>Welche dieser Aussagen stammt aus Matthäus 20?</x:v>
      </x:c>
      <x:c r="J100" s="36" t="str"/>
      <x:c r="K100" s="36" t="str"/>
      <x:c r="L100" s="36" t="str">
        <x:v>REPO_VERIFIZIERT_FRAGEFORM</x:v>
      </x:c>
      <x:c r="M100" s="36" t="str">
        <x:v>ERSETZEN</x:v>
      </x:c>
      <x:c r="N100" s="36" t="str">
        <x:v>REPETITIVE_FRAGEFORM</x:v>
      </x:c>
      <x:c r="O100" s="36" t="str">
        <x:v>REINE_WIEDERERKENNUNG</x:v>
      </x:c>
      <x:c r="P100" s="36" t="str">
        <x:v>KERNAUSSAGE</x:v>
      </x:c>
      <x:c r="Q100" s="36" t="str">
        <x:v>Wie soll Größe unter Jesu Jüngern aussehen?</x:v>
      </x:c>
      <x:c r="R100" s="36" t="str">
        <x:v>Wer groß sein will, soll über die anderen herrschen.</x:v>
      </x:c>
      <x:c r="S100" s="36" t="str">
        <x:v>Wer groß sein will, soll möglichst reich werden.</x:v>
      </x:c>
      <x:c r="T100" s="36" t="str">
        <x:v>Wer groß sein will, soll dienen.</x:v>
      </x:c>
      <x:c r="U100" s="36" t="str">
        <x:v>Wer groß sein will, soll sich von den anderen trennen.</x:v>
      </x:c>
      <x:c r="V100" s="36" t="n">
        <x:v>2</x:v>
      </x:c>
      <x:c r="W100" s="36" t="str">
        <x:v>Wer groß sein will, soll dienen.</x:v>
      </x:c>
      <x:c r="X100" s="36" t="str">
        <x:v>Matthäus 20,25–28</x:v>
      </x:c>
      <x:c r="Y100" s="36" t="str">
        <x:v>Jesus stellt die Herrschaftslogik der Völker dem Dienst gegenüber und verweist auf den Menschensohn, der gekommen ist zu dienen.</x:v>
      </x:c>
      <x:c r="Z100" s="36" t="str">
        <x:v>JA</x:v>
      </x:c>
      <x:c r="AA100" s="36" t="str">
        <x:v>JA</x:v>
      </x:c>
      <x:c r="AB100" s="36" t="str">
        <x:v>JA</x:v>
      </x:c>
      <x:c r="AC100" s="36" t="str">
        <x:v>JA</x:v>
      </x:c>
      <x:c r="AD100" s="36" t="str">
        <x:v>JA</x:v>
      </x:c>
      <x:c r="AE100" s="36" t="str">
        <x:v>JA</x:v>
      </x:c>
      <x:c r="AF100" s="36" t="str">
        <x:v>JA</x:v>
      </x:c>
      <x:c r="AG100" s="36" t="str">
        <x:v>FREIGEGEBEN</x:v>
      </x:c>
      <x:c r="AH100" s="36" t="str">
        <x:v>GPT-5.6 Sol · Buchprüfung Matthäus · L1912/OTB</x:v>
      </x:c>
      <x:c r="AI100" s="36" t="str">
        <x:v>FREIGEGEBEN</x:v>
      </x:c>
      <x:c r="AJ100" s="36" t="str">
        <x:v>Matthäus 20: repetitive Wiedererkennungsfrage durch KERNAUSSAGE-Frage ersetzt.</x:v>
      </x:c>
      <x:c r="AK100" s="36" t="str">
        <x:v>FaithPath repo develop/v4 · data/bibles/l1912/MAT.json · data/bibles/otb/MAT.json</x:v>
      </x:c>
      <x:c r="AL100" t="str">
        <x:v>JA</x:v>
      </x:c>
    </x:row>
    <x:row r="101">
      <x:c r="A101" t="str">
        <x:v>FP-0360</x:v>
      </x:c>
      <x:c r="B101" t="str">
        <x:v>MAT</x:v>
      </x:c>
      <x:c r="C101" t="str">
        <x:v>Matthäus</x:v>
      </x:c>
      <x:c r="D101" t="n">
        <x:v>20</x:v>
      </x:c>
      <x:c r="E101" t="n">
        <x:v>5</x:v>
      </x:c>
      <x:c r="F101" t="str">
        <x:v>MAT-020</x:v>
      </x:c>
      <x:c r="G101" t="n">
        <x:v>20</x:v>
      </x:c>
      <x:c r="H101" t="str">
        <x:v>CQ-A01</x:v>
      </x:c>
      <x:c r="I101" s="36" t="str">
        <x:v>Welche dieser Aussagen stammt aus Matthäus 20?</x:v>
      </x:c>
      <x:c r="J101" s="36" t="str"/>
      <x:c r="K101" s="36" t="str"/>
      <x:c r="L101" s="36" t="str">
        <x:v>REPO_VERIFIZIERT_FRAGEFORM</x:v>
      </x:c>
      <x:c r="M101" s="36" t="str">
        <x:v>ERSETZEN</x:v>
      </x:c>
      <x:c r="N101" s="36" t="str">
        <x:v>REPETITIVE_FRAGEFORM</x:v>
      </x:c>
      <x:c r="O101" s="36" t="str">
        <x:v>REINE_WIEDERERKENNUNG</x:v>
      </x:c>
      <x:c r="P101" s="36" t="str">
        <x:v>GESCHEHEN</x:v>
      </x:c>
      <x:c r="Q101" s="36" t="str">
        <x:v>Wie reagiert Jesus auf die beiden Blinden bei Jericho, die ihn um Erbarmen bitten?</x:v>
      </x:c>
      <x:c r="R101" s="36" t="str">
        <x:v>Er schickt sie zum Priester ohne Heilung.</x:v>
      </x:c>
      <x:c r="S101" s="36" t="str">
        <x:v>Er bittet die Menge, sie wegzuführen.</x:v>
      </x:c>
      <x:c r="T101" s="36" t="str">
        <x:v>Er sagt ihnen, sie müssten bis Jerusalem warten.</x:v>
      </x:c>
      <x:c r="U101" s="36" t="str">
        <x:v>Er hat Mitleid, berührt ihre Augen und sie können sehen.</x:v>
      </x:c>
      <x:c r="V101" s="36" t="n">
        <x:v>3</x:v>
      </x:c>
      <x:c r="W101" s="36" t="str">
        <x:v>Er hat Mitleid, berührt ihre Augen und sie können sehen.</x:v>
      </x:c>
      <x:c r="X101" s="36" t="str">
        <x:v>Matthäus 20,29–34</x:v>
      </x:c>
      <x:c r="Y101" s="36" t="str">
        <x:v>Jesus lässt sich von der Menge nicht davon abhalten, auf den Ruf der beiden einzugehen, und heilt sie.</x:v>
      </x:c>
      <x:c r="Z101" s="36" t="str">
        <x:v>JA</x:v>
      </x:c>
      <x:c r="AA101" s="36" t="str">
        <x:v>JA</x:v>
      </x:c>
      <x:c r="AB101" s="36" t="str">
        <x:v>JA</x:v>
      </x:c>
      <x:c r="AC101" s="36" t="str">
        <x:v>JA</x:v>
      </x:c>
      <x:c r="AD101" s="36" t="str">
        <x:v>JA</x:v>
      </x:c>
      <x:c r="AE101" s="36" t="str">
        <x:v>JA</x:v>
      </x:c>
      <x:c r="AF101" s="36" t="str">
        <x:v>JA</x:v>
      </x:c>
      <x:c r="AG101" s="36" t="str">
        <x:v>FREIGEGEBEN</x:v>
      </x:c>
      <x:c r="AH101" s="36" t="str">
        <x:v>GPT-5.6 Sol · Buchprüfung Matthäus · L1912/OTB</x:v>
      </x:c>
      <x:c r="AI101" s="36" t="str">
        <x:v>FREIGEGEBEN</x:v>
      </x:c>
      <x:c r="AJ101" s="36" t="str">
        <x:v>Matthäus 20: repetitive Wiedererkennungsfrage durch GESCHEHEN-Frage ersetzt.</x:v>
      </x:c>
      <x:c r="AK101" s="36" t="str">
        <x:v>FaithPath repo develop/v4 · data/bibles/l1912/MAT.json · data/bibles/otb/MAT.json</x:v>
      </x:c>
      <x:c r="AL101" t="str">
        <x:v>JA</x:v>
      </x:c>
    </x:row>
    <x:row r="102">
      <x:c r="A102" t="str">
        <x:v>FP-0361</x:v>
      </x:c>
      <x:c r="B102" t="str">
        <x:v>MAT</x:v>
      </x:c>
      <x:c r="C102" t="str">
        <x:v>Matthäus</x:v>
      </x:c>
      <x:c r="D102" t="n">
        <x:v>21</x:v>
      </x:c>
      <x:c r="E102" t="n">
        <x:v>1</x:v>
      </x:c>
      <x:c r="F102" t="str">
        <x:v>MAT-021</x:v>
      </x:c>
      <x:c r="G102" t="n">
        <x:v>21</x:v>
      </x:c>
      <x:c r="H102" t="str">
        <x:v>CQ-A02</x:v>
      </x:c>
      <x:c r="I102" s="36" t="str">
        <x:v>Welche dieser Aussagen stammt aus Matthäus 21?</x:v>
      </x:c>
      <x:c r="J102" s="36" t="str"/>
      <x:c r="K102" s="36" t="str"/>
      <x:c r="L102" s="36" t="str">
        <x:v>REPO_VERIFIZIERT_FRAGEFORM</x:v>
      </x:c>
      <x:c r="M102" s="36" t="str">
        <x:v>ERSETZEN</x:v>
      </x:c>
      <x:c r="N102" s="36" t="str">
        <x:v>REPETITIVE_FRAGEFORM</x:v>
      </x:c>
      <x:c r="O102" s="36" t="str">
        <x:v>REINE_WIEDERERKENNUNG</x:v>
      </x:c>
      <x:c r="P102" s="36" t="str">
        <x:v>GESCHEHEN</x:v>
      </x:c>
      <x:c r="Q102" s="36" t="str">
        <x:v>Wie wird Jesus bei seinem Einzug in Jerusalem von der Menge begrüßt?</x:v>
      </x:c>
      <x:c r="R102" s="36" t="str">
        <x:v>Mit „Hosanna dem Sohn Davids“ und dem Ruf nach dem Kommenden im Namen des Herrn.</x:v>
      </x:c>
      <x:c r="S102" s="36" t="str">
        <x:v>Mit dem Ruf „Es lebe Herodes“.</x:v>
      </x:c>
      <x:c r="T102" s="36" t="str">
        <x:v>Mit völliger Stille.</x:v>
      </x:c>
      <x:c r="U102" s="36" t="str">
        <x:v>Mit der Aufforderung, nach Galiläa zurückzukehren.</x:v>
      </x:c>
      <x:c r="V102" s="36" t="n">
        <x:v>0</x:v>
      </x:c>
      <x:c r="W102" s="36" t="str">
        <x:v>Mit „Hosanna dem Sohn Davids“ und dem Ruf nach dem Kommenden im Namen des Herrn.</x:v>
      </x:c>
      <x:c r="X102" s="36" t="str">
        <x:v>Matthäus 21,1–9</x:v>
      </x:c>
      <x:c r="Y102" s="36" t="str">
        <x:v>Die Menge breitet Kleider und Zweige aus und begrüßt Jesus messianisch mit „Hosanna dem Sohn Davids“.</x:v>
      </x:c>
      <x:c r="Z102" s="36" t="str">
        <x:v>JA</x:v>
      </x:c>
      <x:c r="AA102" s="36" t="str">
        <x:v>JA</x:v>
      </x:c>
      <x:c r="AB102" s="36" t="str">
        <x:v>JA</x:v>
      </x:c>
      <x:c r="AC102" s="36" t="str">
        <x:v>JA</x:v>
      </x:c>
      <x:c r="AD102" s="36" t="str">
        <x:v>JA</x:v>
      </x:c>
      <x:c r="AE102" s="36" t="str">
        <x:v>JA</x:v>
      </x:c>
      <x:c r="AF102" s="36" t="str">
        <x:v>JA</x:v>
      </x:c>
      <x:c r="AG102" s="36" t="str">
        <x:v>FREIGEGEBEN</x:v>
      </x:c>
      <x:c r="AH102" s="36" t="str">
        <x:v>GPT-5.6 Sol · Buchprüfung Matthäus · L1912/OTB</x:v>
      </x:c>
      <x:c r="AI102" s="36" t="str">
        <x:v>FREIGEGEBEN</x:v>
      </x:c>
      <x:c r="AJ102" s="36" t="str">
        <x:v>Matthäus 21: repetitive Wiedererkennungsfrage durch GESCHEHEN-Frage ersetzt.</x:v>
      </x:c>
      <x:c r="AK102" s="36" t="str">
        <x:v>FaithPath repo develop/v4 · data/bibles/l1912/MAT.json · data/bibles/otb/MAT.json</x:v>
      </x:c>
      <x:c r="AL102" t="str">
        <x:v>JA</x:v>
      </x:c>
    </x:row>
    <x:row r="103">
      <x:c r="A103" t="str">
        <x:v>FP-0362</x:v>
      </x:c>
      <x:c r="B103" t="str">
        <x:v>MAT</x:v>
      </x:c>
      <x:c r="C103" t="str">
        <x:v>Matthäus</x:v>
      </x:c>
      <x:c r="D103" t="n">
        <x:v>21</x:v>
      </x:c>
      <x:c r="E103" t="n">
        <x:v>2</x:v>
      </x:c>
      <x:c r="F103" t="str">
        <x:v>MAT-021</x:v>
      </x:c>
      <x:c r="G103" t="n">
        <x:v>21</x:v>
      </x:c>
      <x:c r="H103" t="str">
        <x:v>CQ-A02</x:v>
      </x:c>
      <x:c r="I103" s="36" t="str">
        <x:v>Welche dieser Aussagen stammt aus Matthäus 21?</x:v>
      </x:c>
      <x:c r="J103" s="36" t="str"/>
      <x:c r="K103" s="36" t="str"/>
      <x:c r="L103" s="36" t="str">
        <x:v>REPO_VERIFIZIERT_FRAGEFORM</x:v>
      </x:c>
      <x:c r="M103" s="36" t="str">
        <x:v>ERSETZEN</x:v>
      </x:c>
      <x:c r="N103" s="36" t="str">
        <x:v>REPETITIVE_FRAGEFORM</x:v>
      </x:c>
      <x:c r="O103" s="36" t="str">
        <x:v>REINE_WIEDERERKENNUNG</x:v>
      </x:c>
      <x:c r="P103" s="36" t="str">
        <x:v>PERSON_AUSSAGE</x:v>
      </x:c>
      <x:c r="Q103" s="36" t="str">
        <x:v>Was sagt Jesus über den Tempel, als er Verkäufer und Käufer hinaustreibt?</x:v>
      </x:c>
      <x:c r="R103" s="36" t="str">
        <x:v>Er solle zu einem Markt erweitert werden.</x:v>
      </x:c>
      <x:c r="S103" s="36" t="str">
        <x:v>Er soll ein Haus des Gebets sein, sie aber hätten eine Räuberhöhle daraus gemacht.</x:v>
      </x:c>
      <x:c r="T103" s="36" t="str">
        <x:v>Er dürfe nur von Priestern betreten werden.</x:v>
      </x:c>
      <x:c r="U103" s="36" t="str">
        <x:v>Er müsse sofort abgerissen werden.</x:v>
      </x:c>
      <x:c r="V103" s="36" t="n">
        <x:v>1</x:v>
      </x:c>
      <x:c r="W103" s="36" t="str">
        <x:v>Er soll ein Haus des Gebets sein, sie aber hätten eine Räuberhöhle daraus gemacht.</x:v>
      </x:c>
      <x:c r="X103" s="36" t="str">
        <x:v>Matthäus 21,12–13</x:v>
      </x:c>
      <x:c r="Y103" s="36" t="str">
        <x:v>Jesus verbindet die Tempelreinigung mit dem Gegensatz zwischen „Haus des Gebets“ und „Räuberhöhle“.</x:v>
      </x:c>
      <x:c r="Z103" s="36" t="str">
        <x:v>JA</x:v>
      </x:c>
      <x:c r="AA103" s="36" t="str">
        <x:v>JA</x:v>
      </x:c>
      <x:c r="AB103" s="36" t="str">
        <x:v>JA</x:v>
      </x:c>
      <x:c r="AC103" s="36" t="str">
        <x:v>JA</x:v>
      </x:c>
      <x:c r="AD103" s="36" t="str">
        <x:v>JA</x:v>
      </x:c>
      <x:c r="AE103" s="36" t="str">
        <x:v>JA</x:v>
      </x:c>
      <x:c r="AF103" s="36" t="str">
        <x:v>JA</x:v>
      </x:c>
      <x:c r="AG103" s="36" t="str">
        <x:v>FREIGEGEBEN</x:v>
      </x:c>
      <x:c r="AH103" s="36" t="str">
        <x:v>GPT-5.6 Sol · Buchprüfung Matthäus · L1912/OTB</x:v>
      </x:c>
      <x:c r="AI103" s="36" t="str">
        <x:v>FREIGEGEBEN</x:v>
      </x:c>
      <x:c r="AJ103" s="36" t="str">
        <x:v>Matthäus 21: repetitive Wiedererkennungsfrage durch PERSON_AUSSAGE-Frage ersetzt.</x:v>
      </x:c>
      <x:c r="AK103" s="36" t="str">
        <x:v>FaithPath repo develop/v4 · data/bibles/l1912/MAT.json · data/bibles/otb/MAT.json</x:v>
      </x:c>
      <x:c r="AL103" t="str">
        <x:v>JA</x:v>
      </x:c>
    </x:row>
    <x:row r="104">
      <x:c r="A104" t="str">
        <x:v>FP-0363</x:v>
      </x:c>
      <x:c r="B104" t="str">
        <x:v>MAT</x:v>
      </x:c>
      <x:c r="C104" t="str">
        <x:v>Matthäus</x:v>
      </x:c>
      <x:c r="D104" t="n">
        <x:v>21</x:v>
      </x:c>
      <x:c r="E104" t="n">
        <x:v>3</x:v>
      </x:c>
      <x:c r="F104" t="str">
        <x:v>MAT-021</x:v>
      </x:c>
      <x:c r="G104" t="n">
        <x:v>21</x:v>
      </x:c>
      <x:c r="H104" t="str">
        <x:v>CQ-A02</x:v>
      </x:c>
      <x:c r="I104" s="36" t="str">
        <x:v>Welche dieser Aussagen stammt aus Matthäus 21?</x:v>
      </x:c>
      <x:c r="J104" s="36" t="str"/>
      <x:c r="K104" s="36" t="str"/>
      <x:c r="L104" s="36" t="str">
        <x:v>REPO_VERIFIZIERT_FRAGEFORM</x:v>
      </x:c>
      <x:c r="M104" s="36" t="str">
        <x:v>ERSETZEN</x:v>
      </x:c>
      <x:c r="N104" s="36" t="str">
        <x:v>REPETITIVE_FRAGEFORM</x:v>
      </x:c>
      <x:c r="O104" s="36" t="str">
        <x:v>REINE_WIEDERERKENNUNG</x:v>
      </x:c>
      <x:c r="P104" s="36" t="str">
        <x:v>ZUSAMMENHANG</x:v>
      </x:c>
      <x:c r="Q104" s="36" t="str">
        <x:v>Welche Lehre verbindet Jesus mit dem verdorrten Feigenbaum?</x:v>
      </x:c>
      <x:c r="R104" s="36" t="str">
        <x:v>Die Pflicht, jeden Baum zu fällen.</x:v>
      </x:c>
      <x:c r="S104" s="36" t="str">
        <x:v>Ein Verbot, Feigen zu essen.</x:v>
      </x:c>
      <x:c r="T104" s="36" t="str">
        <x:v>Glauben und vertrauensvolles Gebet.</x:v>
      </x:c>
      <x:c r="U104" s="36" t="str">
        <x:v>Die Notwendigkeit, nach Bethlehem zu reisen.</x:v>
      </x:c>
      <x:c r="V104" s="36" t="n">
        <x:v>2</x:v>
      </x:c>
      <x:c r="W104" s="36" t="str">
        <x:v>Glauben und vertrauensvolles Gebet.</x:v>
      </x:c>
      <x:c r="X104" s="36" t="str">
        <x:v>Matthäus 21,18–22</x:v>
      </x:c>
      <x:c r="Y104" s="36" t="str">
        <x:v>Jesus nimmt das Geschehen am Feigenbaum zum Anlass, über Glauben und Gebet zu sprechen.</x:v>
      </x:c>
      <x:c r="Z104" s="36" t="str">
        <x:v>JA</x:v>
      </x:c>
      <x:c r="AA104" s="36" t="str">
        <x:v>JA</x:v>
      </x:c>
      <x:c r="AB104" s="36" t="str">
        <x:v>JA</x:v>
      </x:c>
      <x:c r="AC104" s="36" t="str">
        <x:v>JA</x:v>
      </x:c>
      <x:c r="AD104" s="36" t="str">
        <x:v>JA</x:v>
      </x:c>
      <x:c r="AE104" s="36" t="str">
        <x:v>JA</x:v>
      </x:c>
      <x:c r="AF104" s="36" t="str">
        <x:v>JA</x:v>
      </x:c>
      <x:c r="AG104" s="36" t="str">
        <x:v>FREIGEGEBEN</x:v>
      </x:c>
      <x:c r="AH104" s="36" t="str">
        <x:v>GPT-5.6 Sol · Buchprüfung Matthäus · L1912/OTB</x:v>
      </x:c>
      <x:c r="AI104" s="36" t="str">
        <x:v>FREIGEGEBEN</x:v>
      </x:c>
      <x:c r="AJ104" s="36" t="str">
        <x:v>Matthäus 21: repetitive Wiedererkennungsfrage durch ZUSAMMENHANG-Frage ersetzt.</x:v>
      </x:c>
      <x:c r="AK104" s="36" t="str">
        <x:v>FaithPath repo develop/v4 · data/bibles/l1912/MAT.json · data/bibles/otb/MAT.json</x:v>
      </x:c>
      <x:c r="AL104" t="str">
        <x:v>JA</x:v>
      </x:c>
    </x:row>
    <x:row r="105">
      <x:c r="A105" t="str">
        <x:v>FP-0364</x:v>
      </x:c>
      <x:c r="B105" t="str">
        <x:v>MAT</x:v>
      </x:c>
      <x:c r="C105" t="str">
        <x:v>Matthäus</x:v>
      </x:c>
      <x:c r="D105" t="n">
        <x:v>21</x:v>
      </x:c>
      <x:c r="E105" t="n">
        <x:v>4</x:v>
      </x:c>
      <x:c r="F105" t="str">
        <x:v>MAT-021</x:v>
      </x:c>
      <x:c r="G105" t="n">
        <x:v>21</x:v>
      </x:c>
      <x:c r="H105" t="str">
        <x:v>CQ-A02</x:v>
      </x:c>
      <x:c r="I105" s="36" t="str">
        <x:v>Welche dieser Aussagen stammt aus Matthäus 21?</x:v>
      </x:c>
      <x:c r="J105" s="36" t="str"/>
      <x:c r="K105" s="36" t="str"/>
      <x:c r="L105" s="36" t="str">
        <x:v>REPO_VERIFIZIERT_FRAGEFORM</x:v>
      </x:c>
      <x:c r="M105" s="36" t="str">
        <x:v>ERSETZEN</x:v>
      </x:c>
      <x:c r="N105" s="36" t="str">
        <x:v>REPETITIVE_FRAGEFORM</x:v>
      </x:c>
      <x:c r="O105" s="36" t="str">
        <x:v>REINE_WIEDERERKENNUNG</x:v>
      </x:c>
      <x:c r="P105" s="36" t="str">
        <x:v>ZUSAMMENHANG</x:v>
      </x:c>
      <x:c r="Q105" s="36" t="str">
        <x:v>Mit welcher Gegenfrage beantwortet Jesus die Frage nach seiner Vollmacht?</x:v>
      </x:c>
      <x:c r="R105" s="36" t="str">
        <x:v>Ob Mose in Ägypten geboren wurde.</x:v>
      </x:c>
      <x:c r="S105" s="36" t="str">
        <x:v>Ob David König von Israel war.</x:v>
      </x:c>
      <x:c r="T105" s="36" t="str">
        <x:v>Ob der Tempel Steuern zahlen müsse.</x:v>
      </x:c>
      <x:c r="U105" s="36" t="str">
        <x:v>Ob die Taufe des Johannes vom Himmel oder von Menschen war.</x:v>
      </x:c>
      <x:c r="V105" s="36" t="n">
        <x:v>3</x:v>
      </x:c>
      <x:c r="W105" s="36" t="str">
        <x:v>Ob die Taufe des Johannes vom Himmel oder von Menschen war.</x:v>
      </x:c>
      <x:c r="X105" s="36" t="str">
        <x:v>Matthäus 21,23–27</x:v>
      </x:c>
      <x:c r="Y105" s="36" t="str">
        <x:v>Jesus stellt die Frage nach der Herkunft der Taufe des Johannes und legt damit die Unaufrichtigkeit seiner Fragesteller offen.</x:v>
      </x:c>
      <x:c r="Z105" s="36" t="str">
        <x:v>JA</x:v>
      </x:c>
      <x:c r="AA105" s="36" t="str">
        <x:v>JA</x:v>
      </x:c>
      <x:c r="AB105" s="36" t="str">
        <x:v>JA</x:v>
      </x:c>
      <x:c r="AC105" s="36" t="str">
        <x:v>JA</x:v>
      </x:c>
      <x:c r="AD105" s="36" t="str">
        <x:v>JA</x:v>
      </x:c>
      <x:c r="AE105" s="36" t="str">
        <x:v>JA</x:v>
      </x:c>
      <x:c r="AF105" s="36" t="str">
        <x:v>JA</x:v>
      </x:c>
      <x:c r="AG105" s="36" t="str">
        <x:v>FREIGEGEBEN</x:v>
      </x:c>
      <x:c r="AH105" s="36" t="str">
        <x:v>GPT-5.6 Sol · Buchprüfung Matthäus · L1912/OTB</x:v>
      </x:c>
      <x:c r="AI105" s="36" t="str">
        <x:v>FREIGEGEBEN</x:v>
      </x:c>
      <x:c r="AJ105" s="36" t="str">
        <x:v>Matthäus 21: repetitive Wiedererkennungsfrage durch ZUSAMMENHANG-Frage ersetzt.</x:v>
      </x:c>
      <x:c r="AK105" s="36" t="str">
        <x:v>FaithPath repo develop/v4 · data/bibles/l1912/MAT.json · data/bibles/otb/MAT.json</x:v>
      </x:c>
      <x:c r="AL105" t="str">
        <x:v>JA</x:v>
      </x:c>
    </x:row>
    <x:row r="106">
      <x:c r="A106" t="str">
        <x:v>FP-0365</x:v>
      </x:c>
      <x:c r="B106" t="str">
        <x:v>MAT</x:v>
      </x:c>
      <x:c r="C106" t="str">
        <x:v>Matthäus</x:v>
      </x:c>
      <x:c r="D106" t="n">
        <x:v>21</x:v>
      </x:c>
      <x:c r="E106" t="n">
        <x:v>5</x:v>
      </x:c>
      <x:c r="F106" t="str">
        <x:v>MAT-021</x:v>
      </x:c>
      <x:c r="G106" t="n">
        <x:v>21</x:v>
      </x:c>
      <x:c r="H106" t="str">
        <x:v>CQ-A02</x:v>
      </x:c>
      <x:c r="I106" s="36" t="str">
        <x:v>Welche dieser Aussagen stammt aus Matthäus 21?</x:v>
      </x:c>
      <x:c r="J106" s="36" t="str"/>
      <x:c r="K106" s="36" t="str"/>
      <x:c r="L106" s="36" t="str">
        <x:v>REPO_VERIFIZIERT_FRAGEFORM</x:v>
      </x:c>
      <x:c r="M106" s="36" t="str">
        <x:v>ERSETZEN</x:v>
      </x:c>
      <x:c r="N106" s="36" t="str">
        <x:v>REPETITIVE_FRAGEFORM</x:v>
      </x:c>
      <x:c r="O106" s="36" t="str">
        <x:v>REINE_WIEDERERKENNUNG</x:v>
      </x:c>
      <x:c r="P106" s="36" t="str">
        <x:v>ZUSAMMENHANG</x:v>
      </x:c>
      <x:c r="Q106" s="36" t="str">
        <x:v>Warum suchen die Hohenpriester und Pharisäer nach dem Gleichnis von den bösen Weingärtnern eine Möglichkeit, Jesus festzunehmen?</x:v>
      </x:c>
      <x:c r="R106" s="36" t="str">
        <x:v>Sie erkennen, dass Jesus in den Gleichnissen von ihnen gesprochen hat.</x:v>
      </x:c>
      <x:c r="S106" s="36" t="str">
        <x:v>Sie wollen ihn zum König machen.</x:v>
      </x:c>
      <x:c r="T106" s="36" t="str">
        <x:v>Sie glauben, er wolle den Tempel verkaufen.</x:v>
      </x:c>
      <x:c r="U106" s="36" t="str">
        <x:v>Sie haben das Gleichnis nicht verstanden.</x:v>
      </x:c>
      <x:c r="V106" s="36" t="n">
        <x:v>0</x:v>
      </x:c>
      <x:c r="W106" s="36" t="str">
        <x:v>Sie erkennen, dass Jesus in den Gleichnissen von ihnen gesprochen hat.</x:v>
      </x:c>
      <x:c r="X106" s="36" t="str">
        <x:v>Matthäus 21,33–46</x:v>
      </x:c>
      <x:c r="Y106" s="36" t="str">
        <x:v>Nach Jesu Gleichnissen erkennen die religiösen Führer, dass sie gemeint sind, und wollen ihn ergreifen.</x:v>
      </x:c>
      <x:c r="Z106" s="36" t="str">
        <x:v>JA</x:v>
      </x:c>
      <x:c r="AA106" s="36" t="str">
        <x:v>JA</x:v>
      </x:c>
      <x:c r="AB106" s="36" t="str">
        <x:v>JA</x:v>
      </x:c>
      <x:c r="AC106" s="36" t="str">
        <x:v>JA</x:v>
      </x:c>
      <x:c r="AD106" s="36" t="str">
        <x:v>JA</x:v>
      </x:c>
      <x:c r="AE106" s="36" t="str">
        <x:v>JA</x:v>
      </x:c>
      <x:c r="AF106" s="36" t="str">
        <x:v>JA</x:v>
      </x:c>
      <x:c r="AG106" s="36" t="str">
        <x:v>FREIGEGEBEN</x:v>
      </x:c>
      <x:c r="AH106" s="36" t="str">
        <x:v>GPT-5.6 Sol · Buchprüfung Matthäus · L1912/OTB</x:v>
      </x:c>
      <x:c r="AI106" s="36" t="str">
        <x:v>FREIGEGEBEN</x:v>
      </x:c>
      <x:c r="AJ106" s="36" t="str">
        <x:v>Matthäus 21: repetitive Wiedererkennungsfrage durch ZUSAMMENHANG-Frage ersetzt.</x:v>
      </x:c>
      <x:c r="AK106" s="36" t="str">
        <x:v>FaithPath repo develop/v4 · data/bibles/l1912/MAT.json · data/bibles/otb/MAT.json</x:v>
      </x:c>
      <x:c r="AL106" t="str">
        <x:v>JA</x:v>
      </x:c>
    </x:row>
    <x:row r="107">
      <x:c r="A107" t="str">
        <x:v>FP-0366</x:v>
      </x:c>
      <x:c r="B107" t="str">
        <x:v>MAT</x:v>
      </x:c>
      <x:c r="C107" t="str">
        <x:v>Matthäus</x:v>
      </x:c>
      <x:c r="D107" t="n">
        <x:v>22</x:v>
      </x:c>
      <x:c r="E107" t="n">
        <x:v>1</x:v>
      </x:c>
      <x:c r="F107" t="str">
        <x:v>MAT-022</x:v>
      </x:c>
      <x:c r="G107" t="n">
        <x:v>22</x:v>
      </x:c>
      <x:c r="H107" t="str">
        <x:v>CQ-A02</x:v>
      </x:c>
      <x:c r="I107" s="36" t="str">
        <x:v>Welche dieser Aussagen stammt aus Matthäus 22?</x:v>
      </x:c>
      <x:c r="J107" s="36" t="str"/>
      <x:c r="K107" s="36" t="str"/>
      <x:c r="L107" s="36" t="str">
        <x:v>REPO_VERIFIZIERT_FRAGEFORM</x:v>
      </x:c>
      <x:c r="M107" s="36" t="str">
        <x:v>ERSETZEN</x:v>
      </x:c>
      <x:c r="N107" s="36" t="str">
        <x:v>REPETITIVE_FRAGEFORM</x:v>
      </x:c>
      <x:c r="O107" s="36" t="str">
        <x:v>REINE_WIEDERERKENNUNG</x:v>
      </x:c>
      <x:c r="P107" s="36" t="str">
        <x:v>GESCHEHEN</x:v>
      </x:c>
      <x:c r="Q107" s="36" t="str">
        <x:v>Warum wird im Gleichnis vom Hochzeitsmahl ein Gast hinausgeworfen?</x:v>
      </x:c>
      <x:c r="R107" s="36" t="str">
        <x:v>Weil er zu spät kommt.</x:v>
      </x:c>
      <x:c r="S107" s="36" t="str">
        <x:v>Weil er kein Hochzeitsgewand trägt.</x:v>
      </x:c>
      <x:c r="T107" s="36" t="str">
        <x:v>Weil er kein Geschenk mitbringt.</x:v>
      </x:c>
      <x:c r="U107" s="36" t="str">
        <x:v>Weil er aus Galiläa stammt.</x:v>
      </x:c>
      <x:c r="V107" s="36" t="n">
        <x:v>1</x:v>
      </x:c>
      <x:c r="W107" s="36" t="str">
        <x:v>Weil er kein Hochzeitsgewand trägt.</x:v>
      </x:c>
      <x:c r="X107" s="36" t="str">
        <x:v>Matthäus 22,11–13</x:v>
      </x:c>
      <x:c r="Y107" s="36" t="str">
        <x:v>Der König spricht den Gast wegen des fehlenden Hochzeitsgewands an und lässt ihn hinauswerfen.</x:v>
      </x:c>
      <x:c r="Z107" s="36" t="str">
        <x:v>JA</x:v>
      </x:c>
      <x:c r="AA107" s="36" t="str">
        <x:v>JA</x:v>
      </x:c>
      <x:c r="AB107" s="36" t="str">
        <x:v>JA</x:v>
      </x:c>
      <x:c r="AC107" s="36" t="str">
        <x:v>JA</x:v>
      </x:c>
      <x:c r="AD107" s="36" t="str">
        <x:v>JA</x:v>
      </x:c>
      <x:c r="AE107" s="36" t="str">
        <x:v>JA</x:v>
      </x:c>
      <x:c r="AF107" s="36" t="str">
        <x:v>JA</x:v>
      </x:c>
      <x:c r="AG107" s="36" t="str">
        <x:v>FREIGEGEBEN</x:v>
      </x:c>
      <x:c r="AH107" s="36" t="str">
        <x:v>GPT-5.6 Sol · Buchprüfung Matthäus · L1912/OTB</x:v>
      </x:c>
      <x:c r="AI107" s="36" t="str">
        <x:v>FREIGEGEBEN</x:v>
      </x:c>
      <x:c r="AJ107" s="36" t="str">
        <x:v>Matthäus 22: repetitive Wiedererkennungsfrage durch GESCHEHEN-Frage ersetzt.</x:v>
      </x:c>
      <x:c r="AK107" s="36" t="str">
        <x:v>FaithPath repo develop/v4 · data/bibles/l1912/MAT.json · data/bibles/otb/MAT.json</x:v>
      </x:c>
      <x:c r="AL107" t="str">
        <x:v>JA</x:v>
      </x:c>
    </x:row>
    <x:row r="108">
      <x:c r="A108" t="str">
        <x:v>FP-0367</x:v>
      </x:c>
      <x:c r="B108" t="str">
        <x:v>MAT</x:v>
      </x:c>
      <x:c r="C108" t="str">
        <x:v>Matthäus</x:v>
      </x:c>
      <x:c r="D108" t="n">
        <x:v>22</x:v>
      </x:c>
      <x:c r="E108" t="n">
        <x:v>2</x:v>
      </x:c>
      <x:c r="F108" t="str">
        <x:v>MAT-022</x:v>
      </x:c>
      <x:c r="G108" t="n">
        <x:v>22</x:v>
      </x:c>
      <x:c r="H108" t="str">
        <x:v>CQ-A02</x:v>
      </x:c>
      <x:c r="I108" s="36" t="str">
        <x:v>Welche dieser Aussagen stammt aus Matthäus 22?</x:v>
      </x:c>
      <x:c r="J108" s="36" t="str"/>
      <x:c r="K108" s="36" t="str"/>
      <x:c r="L108" s="36" t="str">
        <x:v>REPO_VERIFIZIERT_FRAGEFORM</x:v>
      </x:c>
      <x:c r="M108" s="36" t="str">
        <x:v>ERSETZEN</x:v>
      </x:c>
      <x:c r="N108" s="36" t="str">
        <x:v>REPETITIVE_FRAGEFORM</x:v>
      </x:c>
      <x:c r="O108" s="36" t="str">
        <x:v>REINE_WIEDERERKENNUNG</x:v>
      </x:c>
      <x:c r="P108" s="36" t="str">
        <x:v>KERNAUSSAGE</x:v>
      </x:c>
      <x:c r="Q108" s="36" t="str">
        <x:v>Wie beantwortet Jesus die Frage nach der Steuer für den Kaiser?</x:v>
      </x:c>
      <x:c r="R108" s="36" t="str">
        <x:v>Zahlt niemals Steuern.</x:v>
      </x:c>
      <x:c r="S108" s="36" t="str">
        <x:v>Gebt alles dem Kaiser.</x:v>
      </x:c>
      <x:c r="T108" s="36" t="str">
        <x:v>Gebt dem Kaiser, was dem Kaiser gehört, und Gott, was Gott gehört.</x:v>
      </x:c>
      <x:c r="U108" s="36" t="str">
        <x:v>Nur Priester müssen Steuern zahlen.</x:v>
      </x:c>
      <x:c r="V108" s="36" t="n">
        <x:v>2</x:v>
      </x:c>
      <x:c r="W108" s="36" t="str">
        <x:v>Gebt dem Kaiser, was dem Kaiser gehört, und Gott, was Gott gehört.</x:v>
      </x:c>
      <x:c r="X108" s="36" t="str">
        <x:v>Matthäus 22,15–22</x:v>
      </x:c>
      <x:c r="Y108" s="36" t="str">
        <x:v>Jesus nimmt die Münze zum Anlass, die Ansprüche des Kaisers und Gottes zu unterscheiden.</x:v>
      </x:c>
      <x:c r="Z108" s="36" t="str">
        <x:v>JA</x:v>
      </x:c>
      <x:c r="AA108" s="36" t="str">
        <x:v>JA</x:v>
      </x:c>
      <x:c r="AB108" s="36" t="str">
        <x:v>JA</x:v>
      </x:c>
      <x:c r="AC108" s="36" t="str">
        <x:v>JA</x:v>
      </x:c>
      <x:c r="AD108" s="36" t="str">
        <x:v>JA</x:v>
      </x:c>
      <x:c r="AE108" s="36" t="str">
        <x:v>JA</x:v>
      </x:c>
      <x:c r="AF108" s="36" t="str">
        <x:v>JA</x:v>
      </x:c>
      <x:c r="AG108" s="36" t="str">
        <x:v>FREIGEGEBEN</x:v>
      </x:c>
      <x:c r="AH108" s="36" t="str">
        <x:v>GPT-5.6 Sol · Buchprüfung Matthäus · L1912/OTB</x:v>
      </x:c>
      <x:c r="AI108" s="36" t="str">
        <x:v>FREIGEGEBEN</x:v>
      </x:c>
      <x:c r="AJ108" s="36" t="str">
        <x:v>Matthäus 22: repetitive Wiedererkennungsfrage durch KERNAUSSAGE-Frage ersetzt.</x:v>
      </x:c>
      <x:c r="AK108" s="36" t="str">
        <x:v>FaithPath repo develop/v4 · data/bibles/l1912/MAT.json · data/bibles/otb/MAT.json</x:v>
      </x:c>
      <x:c r="AL108" t="str">
        <x:v>JA</x:v>
      </x:c>
    </x:row>
    <x:row r="109">
      <x:c r="A109" t="str">
        <x:v>FP-0368</x:v>
      </x:c>
      <x:c r="B109" t="str">
        <x:v>MAT</x:v>
      </x:c>
      <x:c r="C109" t="str">
        <x:v>Matthäus</x:v>
      </x:c>
      <x:c r="D109" t="n">
        <x:v>22</x:v>
      </x:c>
      <x:c r="E109" t="n">
        <x:v>3</x:v>
      </x:c>
      <x:c r="F109" t="str">
        <x:v>MAT-022</x:v>
      </x:c>
      <x:c r="G109" t="n">
        <x:v>22</x:v>
      </x:c>
      <x:c r="H109" t="str">
        <x:v>CQ-A02</x:v>
      </x:c>
      <x:c r="I109" s="36" t="str">
        <x:v>Welche dieser Aussagen stammt aus Matthäus 22?</x:v>
      </x:c>
      <x:c r="J109" s="36" t="str"/>
      <x:c r="K109" s="36" t="str"/>
      <x:c r="L109" s="36" t="str">
        <x:v>REPO_VERIFIZIERT_FRAGEFORM</x:v>
      </x:c>
      <x:c r="M109" s="36" t="str">
        <x:v>ERSETZEN</x:v>
      </x:c>
      <x:c r="N109" s="36" t="str">
        <x:v>REPETITIVE_FRAGEFORM</x:v>
      </x:c>
      <x:c r="O109" s="36" t="str">
        <x:v>REINE_WIEDERERKENNUNG</x:v>
      </x:c>
      <x:c r="P109" s="36" t="str">
        <x:v>KERNAUSSAGE</x:v>
      </x:c>
      <x:c r="Q109" s="36" t="str">
        <x:v>Was betont Jesus gegenüber den Sadduzäern über Gott und die Auferstehung?</x:v>
      </x:c>
      <x:c r="R109" s="36" t="str">
        <x:v>Es gibt keine Auferstehung.</x:v>
      </x:c>
      <x:c r="S109" s="36" t="str">
        <x:v>Nur Priester werden auferstehen.</x:v>
      </x:c>
      <x:c r="T109" s="36" t="str">
        <x:v>Auferstehung betrifft nur Israeliten.</x:v>
      </x:c>
      <x:c r="U109" s="36" t="str">
        <x:v>Gott ist nicht ein Gott der Toten, sondern der Lebenden.</x:v>
      </x:c>
      <x:c r="V109" s="36" t="n">
        <x:v>3</x:v>
      </x:c>
      <x:c r="W109" s="36" t="str">
        <x:v>Gott ist nicht ein Gott der Toten, sondern der Lebenden.</x:v>
      </x:c>
      <x:c r="X109" s="36" t="str">
        <x:v>Matthäus 22,23–32</x:v>
      </x:c>
      <x:c r="Y109" s="36" t="str">
        <x:v>Jesus widerspricht den Sadduzäern und begründet aus der Schrift, dass Gott der Gott der Lebenden ist.</x:v>
      </x:c>
      <x:c r="Z109" s="36" t="str">
        <x:v>JA</x:v>
      </x:c>
      <x:c r="AA109" s="36" t="str">
        <x:v>JA</x:v>
      </x:c>
      <x:c r="AB109" s="36" t="str">
        <x:v>JA</x:v>
      </x:c>
      <x:c r="AC109" s="36" t="str">
        <x:v>JA</x:v>
      </x:c>
      <x:c r="AD109" s="36" t="str">
        <x:v>JA</x:v>
      </x:c>
      <x:c r="AE109" s="36" t="str">
        <x:v>JA</x:v>
      </x:c>
      <x:c r="AF109" s="36" t="str">
        <x:v>JA</x:v>
      </x:c>
      <x:c r="AG109" s="36" t="str">
        <x:v>FREIGEGEBEN</x:v>
      </x:c>
      <x:c r="AH109" s="36" t="str">
        <x:v>GPT-5.6 Sol · Buchprüfung Matthäus · L1912/OTB</x:v>
      </x:c>
      <x:c r="AI109" s="36" t="str">
        <x:v>FREIGEGEBEN</x:v>
      </x:c>
      <x:c r="AJ109" s="36" t="str">
        <x:v>Matthäus 22: repetitive Wiedererkennungsfrage durch KERNAUSSAGE-Frage ersetzt.</x:v>
      </x:c>
      <x:c r="AK109" s="36" t="str">
        <x:v>FaithPath repo develop/v4 · data/bibles/l1912/MAT.json · data/bibles/otb/MAT.json</x:v>
      </x:c>
      <x:c r="AL109" t="str">
        <x:v>JA</x:v>
      </x:c>
    </x:row>
    <x:row r="110">
      <x:c r="A110" t="str">
        <x:v>FP-0369</x:v>
      </x:c>
      <x:c r="B110" t="str">
        <x:v>MAT</x:v>
      </x:c>
      <x:c r="C110" t="str">
        <x:v>Matthäus</x:v>
      </x:c>
      <x:c r="D110" t="n">
        <x:v>22</x:v>
      </x:c>
      <x:c r="E110" t="n">
        <x:v>4</x:v>
      </x:c>
      <x:c r="F110" t="str">
        <x:v>MAT-022</x:v>
      </x:c>
      <x:c r="G110" t="n">
        <x:v>22</x:v>
      </x:c>
      <x:c r="H110" t="str">
        <x:v>CQ-A02</x:v>
      </x:c>
      <x:c r="I110" s="36" t="str">
        <x:v>Welche dieser Aussagen stammt aus Matthäus 22?</x:v>
      </x:c>
      <x:c r="J110" s="36" t="str"/>
      <x:c r="K110" s="36" t="str"/>
      <x:c r="L110" s="36" t="str">
        <x:v>REPO_VERIFIZIERT_FRAGEFORM</x:v>
      </x:c>
      <x:c r="M110" s="36" t="str">
        <x:v>ERSETZEN</x:v>
      </x:c>
      <x:c r="N110" s="36" t="str">
        <x:v>REPETITIVE_FRAGEFORM</x:v>
      </x:c>
      <x:c r="O110" s="36" t="str">
        <x:v>REINE_WIEDERERKENNUNG</x:v>
      </x:c>
      <x:c r="P110" s="36" t="str">
        <x:v>KERNAUSSAGE</x:v>
      </x:c>
      <x:c r="Q110" s="36" t="str">
        <x:v>Welches Gebot nennt Jesus das größte?</x:v>
      </x:c>
      <x:c r="R110" s="36" t="str">
        <x:v>Gott mit ganzem Herzen, ganzer Seele und ganzem Denken zu lieben.</x:v>
      </x:c>
      <x:c r="S110" s="36" t="str">
        <x:v>Den Sabbat länger als alle anderen zu halten.</x:v>
      </x:c>
      <x:c r="T110" s="36" t="str">
        <x:v>Nie mit Fremden zu essen.</x:v>
      </x:c>
      <x:c r="U110" s="36" t="str">
        <x:v>Jeden Besitz abzugeben.</x:v>
      </x:c>
      <x:c r="V110" s="36" t="n">
        <x:v>0</x:v>
      </x:c>
      <x:c r="W110" s="36" t="str">
        <x:v>Gott mit ganzem Herzen, ganzer Seele und ganzem Denken zu lieben.</x:v>
      </x:c>
      <x:c r="X110" s="36" t="str">
        <x:v>Matthäus 22,34–38</x:v>
      </x:c>
      <x:c r="Y110" s="36" t="str">
        <x:v>Jesus nennt die umfassende Liebe zu Gott das größte und erste Gebot.</x:v>
      </x:c>
      <x:c r="Z110" s="36" t="str">
        <x:v>JA</x:v>
      </x:c>
      <x:c r="AA110" s="36" t="str">
        <x:v>JA</x:v>
      </x:c>
      <x:c r="AB110" s="36" t="str">
        <x:v>JA</x:v>
      </x:c>
      <x:c r="AC110" s="36" t="str">
        <x:v>JA</x:v>
      </x:c>
      <x:c r="AD110" s="36" t="str">
        <x:v>JA</x:v>
      </x:c>
      <x:c r="AE110" s="36" t="str">
        <x:v>JA</x:v>
      </x:c>
      <x:c r="AF110" s="36" t="str">
        <x:v>JA</x:v>
      </x:c>
      <x:c r="AG110" s="36" t="str">
        <x:v>FREIGEGEBEN</x:v>
      </x:c>
      <x:c r="AH110" s="36" t="str">
        <x:v>GPT-5.6 Sol · Buchprüfung Matthäus · L1912/OTB</x:v>
      </x:c>
      <x:c r="AI110" s="36" t="str">
        <x:v>FREIGEGEBEN</x:v>
      </x:c>
      <x:c r="AJ110" s="36" t="str">
        <x:v>Matthäus 22: repetitive Wiedererkennungsfrage durch KERNAUSSAGE-Frage ersetzt.</x:v>
      </x:c>
      <x:c r="AK110" s="36" t="str">
        <x:v>FaithPath repo develop/v4 · data/bibles/l1912/MAT.json · data/bibles/otb/MAT.json</x:v>
      </x:c>
      <x:c r="AL110" t="str">
        <x:v>JA</x:v>
      </x:c>
    </x:row>
    <x:row r="111">
      <x:c r="A111" t="str">
        <x:v>FP-0370</x:v>
      </x:c>
      <x:c r="B111" t="str">
        <x:v>MAT</x:v>
      </x:c>
      <x:c r="C111" t="str">
        <x:v>Matthäus</x:v>
      </x:c>
      <x:c r="D111" t="n">
        <x:v>22</x:v>
      </x:c>
      <x:c r="E111" t="n">
        <x:v>5</x:v>
      </x:c>
      <x:c r="F111" t="str">
        <x:v>MAT-022</x:v>
      </x:c>
      <x:c r="G111" t="n">
        <x:v>22</x:v>
      </x:c>
      <x:c r="H111" t="str">
        <x:v>CQ-A02</x:v>
      </x:c>
      <x:c r="I111" s="36" t="str">
        <x:v>Welche dieser Aussagen stammt aus Matthäus 22?</x:v>
      </x:c>
      <x:c r="J111" s="36" t="str"/>
      <x:c r="K111" s="36" t="str"/>
      <x:c r="L111" s="36" t="str">
        <x:v>REPO_VERIFIZIERT_FRAGEFORM</x:v>
      </x:c>
      <x:c r="M111" s="36" t="str">
        <x:v>ERSETZEN</x:v>
      </x:c>
      <x:c r="N111" s="36" t="str">
        <x:v>REPETITIVE_FRAGEFORM</x:v>
      </x:c>
      <x:c r="O111" s="36" t="str">
        <x:v>REINE_WIEDERERKENNUNG</x:v>
      </x:c>
      <x:c r="P111" s="36" t="str">
        <x:v>PERSON_AUSSAGE</x:v>
      </x:c>
      <x:c r="Q111" s="36" t="str">
        <x:v>Wessen Sohn ist der Christus nach der Antwort der Pharisäer?</x:v>
      </x:c>
      <x:c r="R111" s="36" t="str">
        <x:v>Moses Sohn.</x:v>
      </x:c>
      <x:c r="S111" s="36" t="str">
        <x:v>Davids Sohn.</x:v>
      </x:c>
      <x:c r="T111" s="36" t="str">
        <x:v>Johannes' Sohn.</x:v>
      </x:c>
      <x:c r="U111" s="36" t="str">
        <x:v>Herodes' Sohn.</x:v>
      </x:c>
      <x:c r="V111" s="36" t="n">
        <x:v>1</x:v>
      </x:c>
      <x:c r="W111" s="36" t="str">
        <x:v>Davids Sohn.</x:v>
      </x:c>
      <x:c r="X111" s="36" t="str">
        <x:v>Matthäus 22,41–46</x:v>
      </x:c>
      <x:c r="Y111" s="36" t="str">
        <x:v>Die Pharisäer antworten „Davids Sohn“. Jesus schließt daran die Frage an, warum David ihn zugleich „Herr“ nennt.</x:v>
      </x:c>
      <x:c r="Z111" s="36" t="str">
        <x:v>JA</x:v>
      </x:c>
      <x:c r="AA111" s="36" t="str">
        <x:v>JA</x:v>
      </x:c>
      <x:c r="AB111" s="36" t="str">
        <x:v>JA</x:v>
      </x:c>
      <x:c r="AC111" s="36" t="str">
        <x:v>JA</x:v>
      </x:c>
      <x:c r="AD111" s="36" t="str">
        <x:v>JA</x:v>
      </x:c>
      <x:c r="AE111" s="36" t="str">
        <x:v>JA</x:v>
      </x:c>
      <x:c r="AF111" s="36" t="str">
        <x:v>JA</x:v>
      </x:c>
      <x:c r="AG111" s="36" t="str">
        <x:v>FREIGEGEBEN</x:v>
      </x:c>
      <x:c r="AH111" s="36" t="str">
        <x:v>GPT-5.6 Sol · Buchprüfung Matthäus · L1912/OTB</x:v>
      </x:c>
      <x:c r="AI111" s="36" t="str">
        <x:v>FREIGEGEBEN</x:v>
      </x:c>
      <x:c r="AJ111" s="36" t="str">
        <x:v>Matthäus 22: repetitive Wiedererkennungsfrage durch PERSON_AUSSAGE-Frage ersetzt.</x:v>
      </x:c>
      <x:c r="AK111" s="36" t="str">
        <x:v>FaithPath repo develop/v4 · data/bibles/l1912/MAT.json · data/bibles/otb/MAT.json</x:v>
      </x:c>
      <x:c r="AL111" t="str">
        <x:v>JA</x:v>
      </x:c>
    </x:row>
    <x:row r="112">
      <x:c r="A112" t="str">
        <x:v>FP-0371</x:v>
      </x:c>
      <x:c r="B112" t="str">
        <x:v>MAT</x:v>
      </x:c>
      <x:c r="C112" t="str">
        <x:v>Matthäus</x:v>
      </x:c>
      <x:c r="D112" t="n">
        <x:v>23</x:v>
      </x:c>
      <x:c r="E112" t="n">
        <x:v>1</x:v>
      </x:c>
      <x:c r="F112" t="str">
        <x:v>MAT-023</x:v>
      </x:c>
      <x:c r="G112" t="n">
        <x:v>23</x:v>
      </x:c>
      <x:c r="H112" t="str">
        <x:v>CQ-A02</x:v>
      </x:c>
      <x:c r="I112" s="36" t="str">
        <x:v>Welche dieser Aussagen stammt aus Matthäus 23?</x:v>
      </x:c>
      <x:c r="J112" s="36" t="str"/>
      <x:c r="K112" s="36" t="str"/>
      <x:c r="L112" s="36" t="str">
        <x:v>REPO_VERIFIZIERT_FRAGEFORM</x:v>
      </x:c>
      <x:c r="M112" s="36" t="str">
        <x:v>ERSETZEN</x:v>
      </x:c>
      <x:c r="N112" s="36" t="str">
        <x:v>REPETITIVE_FRAGEFORM</x:v>
      </x:c>
      <x:c r="O112" s="36" t="str">
        <x:v>REINE_WIEDERERKENNUNG</x:v>
      </x:c>
      <x:c r="P112" s="36" t="str">
        <x:v>ZUSAMMENHANG</x:v>
      </x:c>
      <x:c r="Q112" s="36" t="str">
        <x:v>Was sollen die Menschen nach Jesus bei den Schriftgelehrten und Pharisäern beachten?</x:v>
      </x:c>
      <x:c r="R112" s="36" t="str">
        <x:v>Ihre Werke nachahmen, aber ihre Lehre ignorieren.</x:v>
      </x:c>
      <x:c r="S112" s="36" t="str">
        <x:v>Nur ihre Kleidung übernehmen.</x:v>
      </x:c>
      <x:c r="T112" s="36" t="str">
        <x:v>Auf ihre Lehre hören, aber nicht ihre widersprüchlichen Werke nachahmen.</x:v>
      </x:c>
      <x:c r="U112" s="36" t="str">
        <x:v>Jede ihrer Aussagen grundsätzlich ablehnen.</x:v>
      </x:c>
      <x:c r="V112" s="36" t="n">
        <x:v>2</x:v>
      </x:c>
      <x:c r="W112" s="36" t="str">
        <x:v>Auf ihre Lehre hören, aber nicht ihre widersprüchlichen Werke nachahmen.</x:v>
      </x:c>
      <x:c r="X112" s="36" t="str">
        <x:v>Matthäus 23,1–4</x:v>
      </x:c>
      <x:c r="Y112" s="36" t="str">
        <x:v>Jesus unterscheidet zwischen dem, was sie lehren, und ihrem eigenen Verhalten, das er kritisiert.</x:v>
      </x:c>
      <x:c r="Z112" s="36" t="str">
        <x:v>JA</x:v>
      </x:c>
      <x:c r="AA112" s="36" t="str">
        <x:v>JA</x:v>
      </x:c>
      <x:c r="AB112" s="36" t="str">
        <x:v>JA</x:v>
      </x:c>
      <x:c r="AC112" s="36" t="str">
        <x:v>JA</x:v>
      </x:c>
      <x:c r="AD112" s="36" t="str">
        <x:v>JA</x:v>
      </x:c>
      <x:c r="AE112" s="36" t="str">
        <x:v>JA</x:v>
      </x:c>
      <x:c r="AF112" s="36" t="str">
        <x:v>JA</x:v>
      </x:c>
      <x:c r="AG112" s="36" t="str">
        <x:v>FREIGEGEBEN</x:v>
      </x:c>
      <x:c r="AH112" s="36" t="str">
        <x:v>GPT-5.6 Sol · Buchprüfung Matthäus · L1912/OTB</x:v>
      </x:c>
      <x:c r="AI112" s="36" t="str">
        <x:v>FREIGEGEBEN</x:v>
      </x:c>
      <x:c r="AJ112" s="36" t="str">
        <x:v>Matthäus 23: repetitive Wiedererkennungsfrage durch ZUSAMMENHANG-Frage ersetzt.</x:v>
      </x:c>
      <x:c r="AK112" s="36" t="str">
        <x:v>FaithPath repo develop/v4 · data/bibles/l1912/MAT.json · data/bibles/otb/MAT.json</x:v>
      </x:c>
      <x:c r="AL112" t="str">
        <x:v>JA</x:v>
      </x:c>
    </x:row>
    <x:row r="113">
      <x:c r="A113" t="str">
        <x:v>FP-0372</x:v>
      </x:c>
      <x:c r="B113" t="str">
        <x:v>MAT</x:v>
      </x:c>
      <x:c r="C113" t="str">
        <x:v>Matthäus</x:v>
      </x:c>
      <x:c r="D113" t="n">
        <x:v>23</x:v>
      </x:c>
      <x:c r="E113" t="n">
        <x:v>2</x:v>
      </x:c>
      <x:c r="F113" t="str">
        <x:v>MAT-023</x:v>
      </x:c>
      <x:c r="G113" t="n">
        <x:v>23</x:v>
      </x:c>
      <x:c r="H113" t="str">
        <x:v>CQ-A02</x:v>
      </x:c>
      <x:c r="I113" s="36" t="str">
        <x:v>Welche dieser Aussagen stammt aus Matthäus 23?</x:v>
      </x:c>
      <x:c r="J113" s="36" t="str"/>
      <x:c r="K113" s="36" t="str"/>
      <x:c r="L113" s="36" t="str">
        <x:v>REPO_VERIFIZIERT_FRAGEFORM</x:v>
      </x:c>
      <x:c r="M113" s="36" t="str">
        <x:v>ERSETZEN</x:v>
      </x:c>
      <x:c r="N113" s="36" t="str">
        <x:v>REPETITIVE_FRAGEFORM</x:v>
      </x:c>
      <x:c r="O113" s="36" t="str">
        <x:v>REINE_WIEDERERKENNUNG</x:v>
      </x:c>
      <x:c r="P113" s="36" t="str">
        <x:v>KERNAUSSAGE</x:v>
      </x:c>
      <x:c r="Q113" s="36" t="str">
        <x:v>Wer ist nach Jesus wirklich groß unter seinen Jüngern?</x:v>
      </x:c>
      <x:c r="R113" s="36" t="str">
        <x:v>Der mit dem höchsten Titel.</x:v>
      </x:c>
      <x:c r="S113" s="36" t="str">
        <x:v>Der mit dem meisten Besitz.</x:v>
      </x:c>
      <x:c r="T113" s="36" t="str">
        <x:v>Der mit den meisten Anhängern.</x:v>
      </x:c>
      <x:c r="U113" s="36" t="str">
        <x:v>Der, der dient.</x:v>
      </x:c>
      <x:c r="V113" s="36" t="n">
        <x:v>3</x:v>
      </x:c>
      <x:c r="W113" s="36" t="str">
        <x:v>Der, der dient.</x:v>
      </x:c>
      <x:c r="X113" s="36" t="str">
        <x:v>Matthäus 23,8–12</x:v>
      </x:c>
      <x:c r="Y113" s="36" t="str">
        <x:v>Jesus warnt vor Selbsterhöhung und sagt: Der Größte unter euch soll euer Diener sein.</x:v>
      </x:c>
      <x:c r="Z113" s="36" t="str">
        <x:v>JA</x:v>
      </x:c>
      <x:c r="AA113" s="36" t="str">
        <x:v>JA</x:v>
      </x:c>
      <x:c r="AB113" s="36" t="str">
        <x:v>JA</x:v>
      </x:c>
      <x:c r="AC113" s="36" t="str">
        <x:v>JA</x:v>
      </x:c>
      <x:c r="AD113" s="36" t="str">
        <x:v>JA</x:v>
      </x:c>
      <x:c r="AE113" s="36" t="str">
        <x:v>JA</x:v>
      </x:c>
      <x:c r="AF113" s="36" t="str">
        <x:v>JA</x:v>
      </x:c>
      <x:c r="AG113" s="36" t="str">
        <x:v>FREIGEGEBEN</x:v>
      </x:c>
      <x:c r="AH113" s="36" t="str">
        <x:v>GPT-5.6 Sol · Buchprüfung Matthäus · L1912/OTB</x:v>
      </x:c>
      <x:c r="AI113" s="36" t="str">
        <x:v>FREIGEGEBEN</x:v>
      </x:c>
      <x:c r="AJ113" s="36" t="str">
        <x:v>Matthäus 23: repetitive Wiedererkennungsfrage durch KERNAUSSAGE-Frage ersetzt.</x:v>
      </x:c>
      <x:c r="AK113" s="36" t="str">
        <x:v>FaithPath repo develop/v4 · data/bibles/l1912/MAT.json · data/bibles/otb/MAT.json</x:v>
      </x:c>
      <x:c r="AL113" t="str">
        <x:v>JA</x:v>
      </x:c>
    </x:row>
    <x:row r="114">
      <x:c r="A114" t="str">
        <x:v>FP-0373</x:v>
      </x:c>
      <x:c r="B114" t="str">
        <x:v>MAT</x:v>
      </x:c>
      <x:c r="C114" t="str">
        <x:v>Matthäus</x:v>
      </x:c>
      <x:c r="D114" t="n">
        <x:v>23</x:v>
      </x:c>
      <x:c r="E114" t="n">
        <x:v>3</x:v>
      </x:c>
      <x:c r="F114" t="str">
        <x:v>MAT-023</x:v>
      </x:c>
      <x:c r="G114" t="n">
        <x:v>23</x:v>
      </x:c>
      <x:c r="H114" t="str">
        <x:v>CQ-A02</x:v>
      </x:c>
      <x:c r="I114" s="36" t="str">
        <x:v>Welche dieser Aussagen stammt aus Matthäus 23?</x:v>
      </x:c>
      <x:c r="J114" s="36" t="str"/>
      <x:c r="K114" s="36" t="str"/>
      <x:c r="L114" s="36" t="str">
        <x:v>REPO_VERIFIZIERT_FRAGEFORM</x:v>
      </x:c>
      <x:c r="M114" s="36" t="str">
        <x:v>ERSETZEN</x:v>
      </x:c>
      <x:c r="N114" s="36" t="str">
        <x:v>REPETITIVE_FRAGEFORM</x:v>
      </x:c>
      <x:c r="O114" s="36" t="str">
        <x:v>REINE_WIEDERERKENNUNG</x:v>
      </x:c>
      <x:c r="P114" s="36" t="str">
        <x:v>KERNAUSSAGE</x:v>
      </x:c>
      <x:c r="Q114" s="36" t="str">
        <x:v>Welche „wichtigeren Dinge“ des Gesetzes wirft Jesus den Pharisäern vor vernachlässigt zu haben?</x:v>
      </x:c>
      <x:c r="R114" s="36" t="str">
        <x:v>Recht, Barmherzigkeit und Glauben beziehungsweise Treue.</x:v>
      </x:c>
      <x:c r="S114" s="36" t="str">
        <x:v>Fasten, Reisen und Handel.</x:v>
      </x:c>
      <x:c r="T114" s="36" t="str">
        <x:v>Musik, Baukunst und Bildung.</x:v>
      </x:c>
      <x:c r="U114" s="36" t="str">
        <x:v>Abstammung, Kleidung und Sprache.</x:v>
      </x:c>
      <x:c r="V114" s="36" t="n">
        <x:v>0</x:v>
      </x:c>
      <x:c r="W114" s="36" t="str">
        <x:v>Recht, Barmherzigkeit und Glauben beziehungsweise Treue.</x:v>
      </x:c>
      <x:c r="X114" s="36" t="str">
        <x:v>Matthäus 23,23</x:v>
      </x:c>
      <x:c r="Y114" s="36" t="str">
        <x:v>Jesus kritisiert genaue Zehntpraxis bei gleichzeitiger Vernachlässigung der gewichtigeren Anliegen des Gesetzes.</x:v>
      </x:c>
      <x:c r="Z114" s="36" t="str">
        <x:v>JA</x:v>
      </x:c>
      <x:c r="AA114" s="36" t="str">
        <x:v>JA</x:v>
      </x:c>
      <x:c r="AB114" s="36" t="str">
        <x:v>JA</x:v>
      </x:c>
      <x:c r="AC114" s="36" t="str">
        <x:v>JA</x:v>
      </x:c>
      <x:c r="AD114" s="36" t="str">
        <x:v>JA</x:v>
      </x:c>
      <x:c r="AE114" s="36" t="str">
        <x:v>JA</x:v>
      </x:c>
      <x:c r="AF114" s="36" t="str">
        <x:v>JA</x:v>
      </x:c>
      <x:c r="AG114" s="36" t="str">
        <x:v>FREIGEGEBEN</x:v>
      </x:c>
      <x:c r="AH114" s="36" t="str">
        <x:v>GPT-5.6 Sol · Buchprüfung Matthäus · L1912/OTB</x:v>
      </x:c>
      <x:c r="AI114" s="36" t="str">
        <x:v>FREIGEGEBEN</x:v>
      </x:c>
      <x:c r="AJ114" s="36" t="str">
        <x:v>Matthäus 23: repetitive Wiedererkennungsfrage durch KERNAUSSAGE-Frage ersetzt.</x:v>
      </x:c>
      <x:c r="AK114" s="36" t="str">
        <x:v>FaithPath repo develop/v4 · data/bibles/l1912/MAT.json · data/bibles/otb/MAT.json</x:v>
      </x:c>
      <x:c r="AL114" t="str">
        <x:v>JA</x:v>
      </x:c>
    </x:row>
    <x:row r="115">
      <x:c r="A115" t="str">
        <x:v>FP-0374</x:v>
      </x:c>
      <x:c r="B115" t="str">
        <x:v>MAT</x:v>
      </x:c>
      <x:c r="C115" t="str">
        <x:v>Matthäus</x:v>
      </x:c>
      <x:c r="D115" t="n">
        <x:v>23</x:v>
      </x:c>
      <x:c r="E115" t="n">
        <x:v>4</x:v>
      </x:c>
      <x:c r="F115" t="str">
        <x:v>MAT-023</x:v>
      </x:c>
      <x:c r="G115" t="n">
        <x:v>23</x:v>
      </x:c>
      <x:c r="H115" t="str">
        <x:v>CQ-A02</x:v>
      </x:c>
      <x:c r="I115" s="36" t="str">
        <x:v>Welche dieser Aussagen stammt aus Matthäus 23?</x:v>
      </x:c>
      <x:c r="J115" s="36" t="str"/>
      <x:c r="K115" s="36" t="str"/>
      <x:c r="L115" s="36" t="str">
        <x:v>REPO_VERIFIZIERT_FRAGEFORM</x:v>
      </x:c>
      <x:c r="M115" s="36" t="str">
        <x:v>ERSETZEN</x:v>
      </x:c>
      <x:c r="N115" s="36" t="str">
        <x:v>REPETITIVE_FRAGEFORM</x:v>
      </x:c>
      <x:c r="O115" s="36" t="str">
        <x:v>REINE_WIEDERERKENNUNG</x:v>
      </x:c>
      <x:c r="P115" s="36" t="str">
        <x:v>ZUSAMMENHANG</x:v>
      </x:c>
      <x:c r="Q115" s="36" t="str">
        <x:v>Was sollen die Pharisäer nach Jesu Bild vom Becher zuerst reinigen?</x:v>
      </x:c>
      <x:c r="R115" s="36" t="str">
        <x:v>Nur den äußeren Rand.</x:v>
      </x:c>
      <x:c r="S115" s="36" t="str">
        <x:v>Das Innere, damit auch das Äußere rein werde.</x:v>
      </x:c>
      <x:c r="T115" s="36" t="str">
        <x:v>Nur den Boden.</x:v>
      </x:c>
      <x:c r="U115" s="36" t="str">
        <x:v>Gar nichts, weil Reinheit unwichtig sei.</x:v>
      </x:c>
      <x:c r="V115" s="36" t="n">
        <x:v>1</x:v>
      </x:c>
      <x:c r="W115" s="36" t="str">
        <x:v>Das Innere, damit auch das Äußere rein werde.</x:v>
      </x:c>
      <x:c r="X115" s="36" t="str">
        <x:v>Matthäus 23,25–26</x:v>
      </x:c>
      <x:c r="Y115" s="36" t="str">
        <x:v>Jesus verwendet das Bild des Bechers, um innere und äußere Reinheit gegenüberzustellen.</x:v>
      </x:c>
      <x:c r="Z115" s="36" t="str">
        <x:v>JA</x:v>
      </x:c>
      <x:c r="AA115" s="36" t="str">
        <x:v>JA</x:v>
      </x:c>
      <x:c r="AB115" s="36" t="str">
        <x:v>JA</x:v>
      </x:c>
      <x:c r="AC115" s="36" t="str">
        <x:v>JA</x:v>
      </x:c>
      <x:c r="AD115" s="36" t="str">
        <x:v>JA</x:v>
      </x:c>
      <x:c r="AE115" s="36" t="str">
        <x:v>JA</x:v>
      </x:c>
      <x:c r="AF115" s="36" t="str">
        <x:v>JA</x:v>
      </x:c>
      <x:c r="AG115" s="36" t="str">
        <x:v>FREIGEGEBEN</x:v>
      </x:c>
      <x:c r="AH115" s="36" t="str">
        <x:v>GPT-5.6 Sol · Buchprüfung Matthäus · L1912/OTB</x:v>
      </x:c>
      <x:c r="AI115" s="36" t="str">
        <x:v>FREIGEGEBEN</x:v>
      </x:c>
      <x:c r="AJ115" s="36" t="str">
        <x:v>Matthäus 23: repetitive Wiedererkennungsfrage durch ZUSAMMENHANG-Frage ersetzt.</x:v>
      </x:c>
      <x:c r="AK115" s="36" t="str">
        <x:v>FaithPath repo develop/v4 · data/bibles/l1912/MAT.json · data/bibles/otb/MAT.json</x:v>
      </x:c>
      <x:c r="AL115" t="str">
        <x:v>JA</x:v>
      </x:c>
    </x:row>
    <x:row r="116">
      <x:c r="A116" t="str">
        <x:v>FP-0375</x:v>
      </x:c>
      <x:c r="B116" t="str">
        <x:v>MAT</x:v>
      </x:c>
      <x:c r="C116" t="str">
        <x:v>Matthäus</x:v>
      </x:c>
      <x:c r="D116" t="n">
        <x:v>23</x:v>
      </x:c>
      <x:c r="E116" t="n">
        <x:v>5</x:v>
      </x:c>
      <x:c r="F116" t="str">
        <x:v>MAT-023</x:v>
      </x:c>
      <x:c r="G116" t="n">
        <x:v>23</x:v>
      </x:c>
      <x:c r="H116" t="str">
        <x:v>CQ-A02</x:v>
      </x:c>
      <x:c r="I116" s="36" t="str">
        <x:v>Welche dieser Aussagen stammt aus Matthäus 23?</x:v>
      </x:c>
      <x:c r="J116" s="36" t="str"/>
      <x:c r="K116" s="36" t="str"/>
      <x:c r="L116" s="36" t="str">
        <x:v>REPO_VERIFIZIERT_FRAGEFORM</x:v>
      </x:c>
      <x:c r="M116" s="36" t="str">
        <x:v>ERSETZEN</x:v>
      </x:c>
      <x:c r="N116" s="36" t="str">
        <x:v>REPETITIVE_FRAGEFORM</x:v>
      </x:c>
      <x:c r="O116" s="36" t="str">
        <x:v>REINE_WIEDERERKENNUNG</x:v>
      </x:c>
      <x:c r="P116" s="36" t="str">
        <x:v>PERSON_AUSSAGE</x:v>
      </x:c>
      <x:c r="Q116" s="36" t="str">
        <x:v>Mit welchem Bild beschreibt Jesus seinen Wunsch, Jerusalem zu sammeln?</x:v>
      </x:c>
      <x:c r="R116" s="36" t="str">
        <x:v>Wie ein Fischer seine Netze auswirft.</x:v>
      </x:c>
      <x:c r="S116" s="36" t="str">
        <x:v>Wie ein König sein Heer versammelt.</x:v>
      </x:c>
      <x:c r="T116" s="36" t="str">
        <x:v>Wie eine Henne ihre Küken unter ihre Flügel sammelt.</x:v>
      </x:c>
      <x:c r="U116" s="36" t="str">
        <x:v>Wie ein Händler seine Münzen zählt.</x:v>
      </x:c>
      <x:c r="V116" s="36" t="n">
        <x:v>2</x:v>
      </x:c>
      <x:c r="W116" s="36" t="str">
        <x:v>Wie eine Henne ihre Küken unter ihre Flügel sammelt.</x:v>
      </x:c>
      <x:c r="X116" s="36" t="str">
        <x:v>Matthäus 23,37–39</x:v>
      </x:c>
      <x:c r="Y116" s="36" t="str">
        <x:v>Jesus klagt über Jerusalem und benutzt das Bild einer Henne, die ihre Küken unter den Flügeln sammelt.</x:v>
      </x:c>
      <x:c r="Z116" s="36" t="str">
        <x:v>JA</x:v>
      </x:c>
      <x:c r="AA116" s="36" t="str">
        <x:v>JA</x:v>
      </x:c>
      <x:c r="AB116" s="36" t="str">
        <x:v>JA</x:v>
      </x:c>
      <x:c r="AC116" s="36" t="str">
        <x:v>JA</x:v>
      </x:c>
      <x:c r="AD116" s="36" t="str">
        <x:v>JA</x:v>
      </x:c>
      <x:c r="AE116" s="36" t="str">
        <x:v>JA</x:v>
      </x:c>
      <x:c r="AF116" s="36" t="str">
        <x:v>JA</x:v>
      </x:c>
      <x:c r="AG116" s="36" t="str">
        <x:v>FREIGEGEBEN</x:v>
      </x:c>
      <x:c r="AH116" s="36" t="str">
        <x:v>GPT-5.6 Sol · Buchprüfung Matthäus · L1912/OTB</x:v>
      </x:c>
      <x:c r="AI116" s="36" t="str">
        <x:v>FREIGEGEBEN</x:v>
      </x:c>
      <x:c r="AJ116" s="36" t="str">
        <x:v>Matthäus 23: repetitive Wiedererkennungsfrage durch PERSON_AUSSAGE-Frage ersetzt.</x:v>
      </x:c>
      <x:c r="AK116" s="36" t="str">
        <x:v>FaithPath repo develop/v4 · data/bibles/l1912/MAT.json · data/bibles/otb/MAT.json</x:v>
      </x:c>
      <x:c r="AL116" t="str">
        <x:v>JA</x:v>
      </x:c>
    </x:row>
    <x:row r="117">
      <x:c r="A117" t="str">
        <x:v>FP-0376</x:v>
      </x:c>
      <x:c r="B117" t="str">
        <x:v>MAT</x:v>
      </x:c>
      <x:c r="C117" t="str">
        <x:v>Matthäus</x:v>
      </x:c>
      <x:c r="D117" t="n">
        <x:v>24</x:v>
      </x:c>
      <x:c r="E117" t="n">
        <x:v>1</x:v>
      </x:c>
      <x:c r="F117" t="str">
        <x:v>MAT-024</x:v>
      </x:c>
      <x:c r="G117" t="n">
        <x:v>24</x:v>
      </x:c>
      <x:c r="H117" t="str">
        <x:v>CQ-A02</x:v>
      </x:c>
      <x:c r="I117" s="36" t="str">
        <x:v>Welche dieser Aussagen stammt aus Matthäus 24?</x:v>
      </x:c>
      <x:c r="J117" s="36" t="str"/>
      <x:c r="K117" s="36" t="str"/>
      <x:c r="L117" s="36" t="str">
        <x:v>REPO_VERIFIZIERT_FRAGEFORM</x:v>
      </x:c>
      <x:c r="M117" s="36" t="str">
        <x:v>ERSETZEN</x:v>
      </x:c>
      <x:c r="N117" s="36" t="str">
        <x:v>REPETITIVE_FRAGEFORM</x:v>
      </x:c>
      <x:c r="O117" s="36" t="str">
        <x:v>REINE_WIEDERERKENNUNG</x:v>
      </x:c>
      <x:c r="P117" s="36" t="str">
        <x:v>GESCHEHEN</x:v>
      </x:c>
      <x:c r="Q117" s="36" t="str">
        <x:v>Was sagt Jesus über die Tempelgebäude, die ihm die Jünger zeigen?</x:v>
      </x:c>
      <x:c r="R117" s="36" t="str">
        <x:v>Sie würden für immer unverändert stehen.</x:v>
      </x:c>
      <x:c r="S117" s="36" t="str">
        <x:v>Sie würden sofort größer gebaut.</x:v>
      </x:c>
      <x:c r="T117" s="36" t="str">
        <x:v>Sie würden nach Galiläa versetzt.</x:v>
      </x:c>
      <x:c r="U117" s="36" t="str">
        <x:v>Kein Stein werde auf dem anderen bleiben.</x:v>
      </x:c>
      <x:c r="V117" s="36" t="n">
        <x:v>3</x:v>
      </x:c>
      <x:c r="W117" s="36" t="str">
        <x:v>Kein Stein werde auf dem anderen bleiben.</x:v>
      </x:c>
      <x:c r="X117" s="36" t="str">
        <x:v>Matthäus 24,1–2</x:v>
      </x:c>
      <x:c r="Y117" s="36" t="str">
        <x:v>Jesus kündigt die Zerstörung der Tempelanlage an.</x:v>
      </x:c>
      <x:c r="Z117" s="36" t="str">
        <x:v>JA</x:v>
      </x:c>
      <x:c r="AA117" s="36" t="str">
        <x:v>JA</x:v>
      </x:c>
      <x:c r="AB117" s="36" t="str">
        <x:v>JA</x:v>
      </x:c>
      <x:c r="AC117" s="36" t="str">
        <x:v>JA</x:v>
      </x:c>
      <x:c r="AD117" s="36" t="str">
        <x:v>JA</x:v>
      </x:c>
      <x:c r="AE117" s="36" t="str">
        <x:v>JA</x:v>
      </x:c>
      <x:c r="AF117" s="36" t="str">
        <x:v>JA</x:v>
      </x:c>
      <x:c r="AG117" s="36" t="str">
        <x:v>FREIGEGEBEN</x:v>
      </x:c>
      <x:c r="AH117" s="36" t="str">
        <x:v>GPT-5.6 Sol · Buchprüfung Matthäus · L1912/OTB</x:v>
      </x:c>
      <x:c r="AI117" s="36" t="str">
        <x:v>FREIGEGEBEN</x:v>
      </x:c>
      <x:c r="AJ117" s="36" t="str">
        <x:v>Matthäus 24: repetitive Wiedererkennungsfrage durch GESCHEHEN-Frage ersetzt.</x:v>
      </x:c>
      <x:c r="AK117" s="36" t="str">
        <x:v>FaithPath repo develop/v4 · data/bibles/l1912/MAT.json · data/bibles/otb/MAT.json</x:v>
      </x:c>
      <x:c r="AL117" t="str">
        <x:v>JA</x:v>
      </x:c>
    </x:row>
    <x:row r="118">
      <x:c r="A118" t="str">
        <x:v>FP-0377</x:v>
      </x:c>
      <x:c r="B118" t="str">
        <x:v>MAT</x:v>
      </x:c>
      <x:c r="C118" t="str">
        <x:v>Matthäus</x:v>
      </x:c>
      <x:c r="D118" t="n">
        <x:v>24</x:v>
      </x:c>
      <x:c r="E118" t="n">
        <x:v>2</x:v>
      </x:c>
      <x:c r="F118" t="str">
        <x:v>MAT-024</x:v>
      </x:c>
      <x:c r="G118" t="n">
        <x:v>24</x:v>
      </x:c>
      <x:c r="H118" t="str">
        <x:v>CQ-A02</x:v>
      </x:c>
      <x:c r="I118" s="36" t="str">
        <x:v>Welche dieser Aussagen stammt aus Matthäus 24?</x:v>
      </x:c>
      <x:c r="J118" s="36" t="str"/>
      <x:c r="K118" s="36" t="str"/>
      <x:c r="L118" s="36" t="str">
        <x:v>REPO_VERIFIZIERT_FRAGEFORM</x:v>
      </x:c>
      <x:c r="M118" s="36" t="str">
        <x:v>ERSETZEN</x:v>
      </x:c>
      <x:c r="N118" s="36" t="str">
        <x:v>REPETITIVE_FRAGEFORM</x:v>
      </x:c>
      <x:c r="O118" s="36" t="str">
        <x:v>REINE_WIEDERERKENNUNG</x:v>
      </x:c>
      <x:c r="P118" s="36" t="str">
        <x:v>ZUSAMMENHANG</x:v>
      </x:c>
      <x:c r="Q118" s="36" t="str">
        <x:v>Wie sollen die Jünger Kriege, Hungersnöte und Erdbeben einordnen?</x:v>
      </x:c>
      <x:c r="R118" s="36" t="str">
        <x:v>Als Anfang der Wehen; das Ende ist damit noch nicht da.</x:v>
      </x:c>
      <x:c r="S118" s="36" t="str">
        <x:v>Als sicheren Beweis, dass das Ende noch am selben Tag kommt.</x:v>
      </x:c>
      <x:c r="T118" s="36" t="str">
        <x:v>Als Grund, jede Verkündigung einzustellen.</x:v>
      </x:c>
      <x:c r="U118" s="36" t="str">
        <x:v>Als Zeichen, nach Rom zu ziehen.</x:v>
      </x:c>
      <x:c r="V118" s="36" t="n">
        <x:v>0</x:v>
      </x:c>
      <x:c r="W118" s="36" t="str">
        <x:v>Als Anfang der Wehen; das Ende ist damit noch nicht da.</x:v>
      </x:c>
      <x:c r="X118" s="36" t="str">
        <x:v>Matthäus 24,4–8</x:v>
      </x:c>
      <x:c r="Y118" s="36" t="str">
        <x:v>Jesus warnt vor Täuschung und sagt, dass solche Ereignisse geschehen müssen, aber noch nicht das Ende sind.</x:v>
      </x:c>
      <x:c r="Z118" s="36" t="str">
        <x:v>JA</x:v>
      </x:c>
      <x:c r="AA118" s="36" t="str">
        <x:v>JA</x:v>
      </x:c>
      <x:c r="AB118" s="36" t="str">
        <x:v>JA</x:v>
      </x:c>
      <x:c r="AC118" s="36" t="str">
        <x:v>JA</x:v>
      </x:c>
      <x:c r="AD118" s="36" t="str">
        <x:v>JA</x:v>
      </x:c>
      <x:c r="AE118" s="36" t="str">
        <x:v>JA</x:v>
      </x:c>
      <x:c r="AF118" s="36" t="str">
        <x:v>JA</x:v>
      </x:c>
      <x:c r="AG118" s="36" t="str">
        <x:v>FREIGEGEBEN</x:v>
      </x:c>
      <x:c r="AH118" s="36" t="str">
        <x:v>GPT-5.6 Sol · Buchprüfung Matthäus · L1912/OTB</x:v>
      </x:c>
      <x:c r="AI118" s="36" t="str">
        <x:v>FREIGEGEBEN</x:v>
      </x:c>
      <x:c r="AJ118" s="36" t="str">
        <x:v>Matthäus 24: repetitive Wiedererkennungsfrage durch ZUSAMMENHANG-Frage ersetzt.</x:v>
      </x:c>
      <x:c r="AK118" s="36" t="str">
        <x:v>FaithPath repo develop/v4 · data/bibles/l1912/MAT.json · data/bibles/otb/MAT.json</x:v>
      </x:c>
      <x:c r="AL118" t="str">
        <x:v>JA</x:v>
      </x:c>
    </x:row>
    <x:row r="119">
      <x:c r="A119" t="str">
        <x:v>FP-0378</x:v>
      </x:c>
      <x:c r="B119" t="str">
        <x:v>MAT</x:v>
      </x:c>
      <x:c r="C119" t="str">
        <x:v>Matthäus</x:v>
      </x:c>
      <x:c r="D119" t="n">
        <x:v>24</x:v>
      </x:c>
      <x:c r="E119" t="n">
        <x:v>3</x:v>
      </x:c>
      <x:c r="F119" t="str">
        <x:v>MAT-024</x:v>
      </x:c>
      <x:c r="G119" t="n">
        <x:v>24</x:v>
      </x:c>
      <x:c r="H119" t="str">
        <x:v>CQ-A02</x:v>
      </x:c>
      <x:c r="I119" s="36" t="str">
        <x:v>Welche dieser Aussagen stammt aus Matthäus 24?</x:v>
      </x:c>
      <x:c r="J119" s="36" t="str"/>
      <x:c r="K119" s="36" t="str"/>
      <x:c r="L119" s="36" t="str">
        <x:v>REPO_VERIFIZIERT_FRAGEFORM</x:v>
      </x:c>
      <x:c r="M119" s="36" t="str">
        <x:v>ERSETZEN</x:v>
      </x:c>
      <x:c r="N119" s="36" t="str">
        <x:v>REPETITIVE_FRAGEFORM</x:v>
      </x:c>
      <x:c r="O119" s="36" t="str">
        <x:v>REINE_WIEDERERKENNUNG</x:v>
      </x:c>
      <x:c r="P119" s="36" t="str">
        <x:v>KERNAUSSAGE</x:v>
      </x:c>
      <x:c r="Q119" s="36" t="str">
        <x:v>Was soll nach Jesus geschehen, bevor das Ende kommt?</x:v>
      </x:c>
      <x:c r="R119" s="36" t="str">
        <x:v>Alle Menschen müssen nach Jerusalem ziehen.</x:v>
      </x:c>
      <x:c r="S119" s="36" t="str">
        <x:v>Das Evangelium vom Reich soll in der ganzen Welt zum Zeugnis für alle Völker verkündet werden.</x:v>
      </x:c>
      <x:c r="T119" s="36" t="str">
        <x:v>Der Tempel muss neu gebaut werden.</x:v>
      </x:c>
      <x:c r="U119" s="36" t="str">
        <x:v>Jeder muss dieselbe Sprache sprechen.</x:v>
      </x:c>
      <x:c r="V119" s="36" t="n">
        <x:v>1</x:v>
      </x:c>
      <x:c r="W119" s="36" t="str">
        <x:v>Das Evangelium vom Reich soll in der ganzen Welt zum Zeugnis für alle Völker verkündet werden.</x:v>
      </x:c>
      <x:c r="X119" s="36" t="str">
        <x:v>Matthäus 24,14</x:v>
      </x:c>
      <x:c r="Y119" s="36" t="str">
        <x:v>Jesus verbindet die weltweite Verkündigung des Evangeliums vom Reich mit dem kommenden Ende.</x:v>
      </x:c>
      <x:c r="Z119" s="36" t="str">
        <x:v>JA</x:v>
      </x:c>
      <x:c r="AA119" s="36" t="str">
        <x:v>JA</x:v>
      </x:c>
      <x:c r="AB119" s="36" t="str">
        <x:v>JA</x:v>
      </x:c>
      <x:c r="AC119" s="36" t="str">
        <x:v>JA</x:v>
      </x:c>
      <x:c r="AD119" s="36" t="str">
        <x:v>JA</x:v>
      </x:c>
      <x:c r="AE119" s="36" t="str">
        <x:v>JA</x:v>
      </x:c>
      <x:c r="AF119" s="36" t="str">
        <x:v>JA</x:v>
      </x:c>
      <x:c r="AG119" s="36" t="str">
        <x:v>FREIGEGEBEN</x:v>
      </x:c>
      <x:c r="AH119" s="36" t="str">
        <x:v>GPT-5.6 Sol · Buchprüfung Matthäus · L1912/OTB</x:v>
      </x:c>
      <x:c r="AI119" s="36" t="str">
        <x:v>FREIGEGEBEN</x:v>
      </x:c>
      <x:c r="AJ119" s="36" t="str">
        <x:v>Matthäus 24: repetitive Wiedererkennungsfrage durch KERNAUSSAGE-Frage ersetzt.</x:v>
      </x:c>
      <x:c r="AK119" s="36" t="str">
        <x:v>FaithPath repo develop/v4 · data/bibles/l1912/MAT.json · data/bibles/otb/MAT.json</x:v>
      </x:c>
      <x:c r="AL119" t="str">
        <x:v>JA</x:v>
      </x:c>
    </x:row>
    <x:row r="120">
      <x:c r="A120" t="str">
        <x:v>FP-0379</x:v>
      </x:c>
      <x:c r="B120" t="str">
        <x:v>MAT</x:v>
      </x:c>
      <x:c r="C120" t="str">
        <x:v>Matthäus</x:v>
      </x:c>
      <x:c r="D120" t="n">
        <x:v>24</x:v>
      </x:c>
      <x:c r="E120" t="n">
        <x:v>4</x:v>
      </x:c>
      <x:c r="F120" t="str">
        <x:v>MAT-024</x:v>
      </x:c>
      <x:c r="G120" t="n">
        <x:v>24</x:v>
      </x:c>
      <x:c r="H120" t="str">
        <x:v>CQ-A02</x:v>
      </x:c>
      <x:c r="I120" s="36" t="str">
        <x:v>Welche dieser Aussagen stammt aus Matthäus 24?</x:v>
      </x:c>
      <x:c r="J120" s="36" t="str"/>
      <x:c r="K120" s="36" t="str"/>
      <x:c r="L120" s="36" t="str">
        <x:v>REPO_VERIFIZIERT_FRAGEFORM</x:v>
      </x:c>
      <x:c r="M120" s="36" t="str">
        <x:v>ERSETZEN</x:v>
      </x:c>
      <x:c r="N120" s="36" t="str">
        <x:v>REPETITIVE_FRAGEFORM</x:v>
      </x:c>
      <x:c r="O120" s="36" t="str">
        <x:v>REINE_WIEDERERKENNUNG</x:v>
      </x:c>
      <x:c r="P120" s="36" t="str">
        <x:v>TEXTGENAUIGKEIT</x:v>
      </x:c>
      <x:c r="Q120" s="36" t="str">
        <x:v>Wer kennt nach Jesu Aussage Tag und Stunde?</x:v>
      </x:c>
      <x:c r="R120" s="36" t="str">
        <x:v>Die Engel im Himmel.</x:v>
      </x:c>
      <x:c r="S120" s="36" t="str">
        <x:v>Die zwölf Apostel gemeinsam.</x:v>
      </x:c>
      <x:c r="T120" s="36" t="str">
        <x:v>Der Vater allein.</x:v>
      </x:c>
      <x:c r="U120" s="36" t="str">
        <x:v>Jeder, der die Zeichen beobachtet.</x:v>
      </x:c>
      <x:c r="V120" s="36" t="n">
        <x:v>2</x:v>
      </x:c>
      <x:c r="W120" s="36" t="str">
        <x:v>Der Vater allein.</x:v>
      </x:c>
      <x:c r="X120" s="36" t="str">
        <x:v>Matthäus 24,36</x:v>
      </x:c>
      <x:c r="Y120" s="36" t="str">
        <x:v>Jesus sagt, dass weder Menschen noch Engel den Zeitpunkt kennen, sondern der Vater allein.</x:v>
      </x:c>
      <x:c r="Z120" s="36" t="str">
        <x:v>JA</x:v>
      </x:c>
      <x:c r="AA120" s="36" t="str">
        <x:v>JA</x:v>
      </x:c>
      <x:c r="AB120" s="36" t="str">
        <x:v>JA</x:v>
      </x:c>
      <x:c r="AC120" s="36" t="str">
        <x:v>JA</x:v>
      </x:c>
      <x:c r="AD120" s="36" t="str">
        <x:v>JA</x:v>
      </x:c>
      <x:c r="AE120" s="36" t="str">
        <x:v>JA</x:v>
      </x:c>
      <x:c r="AF120" s="36" t="str">
        <x:v>JA</x:v>
      </x:c>
      <x:c r="AG120" s="36" t="str">
        <x:v>FREIGEGEBEN</x:v>
      </x:c>
      <x:c r="AH120" s="36" t="str">
        <x:v>GPT-5.6 Sol · Buchprüfung Matthäus · L1912/OTB</x:v>
      </x:c>
      <x:c r="AI120" s="36" t="str">
        <x:v>FREIGEGEBEN</x:v>
      </x:c>
      <x:c r="AJ120" s="36" t="str">
        <x:v>Matthäus 24: repetitive Wiedererkennungsfrage durch TEXTGENAUIGKEIT-Frage ersetzt.</x:v>
      </x:c>
      <x:c r="AK120" s="36" t="str">
        <x:v>FaithPath repo develop/v4 · data/bibles/l1912/MAT.json · data/bibles/otb/MAT.json</x:v>
      </x:c>
      <x:c r="AL120" t="str">
        <x:v>JA</x:v>
      </x:c>
    </x:row>
    <x:row r="121">
      <x:c r="A121" t="str">
        <x:v>FP-0380</x:v>
      </x:c>
      <x:c r="B121" t="str">
        <x:v>MAT</x:v>
      </x:c>
      <x:c r="C121" t="str">
        <x:v>Matthäus</x:v>
      </x:c>
      <x:c r="D121" t="n">
        <x:v>24</x:v>
      </x:c>
      <x:c r="E121" t="n">
        <x:v>5</x:v>
      </x:c>
      <x:c r="F121" t="str">
        <x:v>MAT-024</x:v>
      </x:c>
      <x:c r="G121" t="n">
        <x:v>24</x:v>
      </x:c>
      <x:c r="H121" t="str">
        <x:v>CQ-A02</x:v>
      </x:c>
      <x:c r="I121" s="36" t="str">
        <x:v>Welche dieser Aussagen stammt aus Matthäus 24?</x:v>
      </x:c>
      <x:c r="J121" s="36" t="str"/>
      <x:c r="K121" s="36" t="str"/>
      <x:c r="L121" s="36" t="str">
        <x:v>REPO_VERIFIZIERT_FRAGEFORM</x:v>
      </x:c>
      <x:c r="M121" s="36" t="str">
        <x:v>ERSETZEN</x:v>
      </x:c>
      <x:c r="N121" s="36" t="str">
        <x:v>REPETITIVE_FRAGEFORM</x:v>
      </x:c>
      <x:c r="O121" s="36" t="str">
        <x:v>REINE_WIEDERERKENNUNG</x:v>
      </x:c>
      <x:c r="P121" s="36" t="str">
        <x:v>KERNAUSSAGE</x:v>
      </x:c>
      <x:c r="Q121" s="36" t="str">
        <x:v>Welche Haltung fordert Jesus deshalb von seinen Jüngern?</x:v>
      </x:c>
      <x:c r="R121" s="36" t="str">
        <x:v>Ein genaues Datum zu berechnen.</x:v>
      </x:c>
      <x:c r="S121" s="36" t="str">
        <x:v>Alle Arbeit einzustellen.</x:v>
      </x:c>
      <x:c r="T121" s="36" t="str">
        <x:v>Sich dauerhaft im Tempel einzuschließen.</x:v>
      </x:c>
      <x:c r="U121" s="36" t="str">
        <x:v>Wachsam und bereit zu sein, weil der Menschensohn zu einer unerwarteten Stunde kommt.</x:v>
      </x:c>
      <x:c r="V121" s="36" t="n">
        <x:v>3</x:v>
      </x:c>
      <x:c r="W121" s="36" t="str">
        <x:v>Wachsam und bereit zu sein, weil der Menschensohn zu einer unerwarteten Stunde kommt.</x:v>
      </x:c>
      <x:c r="X121" s="36" t="str">
        <x:v>Matthäus 24,42–44</x:v>
      </x:c>
      <x:c r="Y121" s="36" t="str">
        <x:v>Weil der Zeitpunkt nicht bekannt ist, ruft Jesus zu Wachsamkeit und Bereitschaft auf.</x:v>
      </x:c>
      <x:c r="Z121" s="36" t="str">
        <x:v>JA</x:v>
      </x:c>
      <x:c r="AA121" s="36" t="str">
        <x:v>JA</x:v>
      </x:c>
      <x:c r="AB121" s="36" t="str">
        <x:v>JA</x:v>
      </x:c>
      <x:c r="AC121" s="36" t="str">
        <x:v>JA</x:v>
      </x:c>
      <x:c r="AD121" s="36" t="str">
        <x:v>JA</x:v>
      </x:c>
      <x:c r="AE121" s="36" t="str">
        <x:v>JA</x:v>
      </x:c>
      <x:c r="AF121" s="36" t="str">
        <x:v>JA</x:v>
      </x:c>
      <x:c r="AG121" s="36" t="str">
        <x:v>FREIGEGEBEN</x:v>
      </x:c>
      <x:c r="AH121" s="36" t="str">
        <x:v>GPT-5.6 Sol · Buchprüfung Matthäus · L1912/OTB</x:v>
      </x:c>
      <x:c r="AI121" s="36" t="str">
        <x:v>FREIGEGEBEN</x:v>
      </x:c>
      <x:c r="AJ121" s="36" t="str">
        <x:v>Matthäus 24: repetitive Wiedererkennungsfrage durch KERNAUSSAGE-Frage ersetzt.</x:v>
      </x:c>
      <x:c r="AK121" s="36" t="str">
        <x:v>FaithPath repo develop/v4 · data/bibles/l1912/MAT.json · data/bibles/otb/MAT.json</x:v>
      </x:c>
      <x:c r="AL121" t="str">
        <x:v>JA</x:v>
      </x:c>
    </x:row>
    <x:row r="122">
      <x:c r="A122" t="str">
        <x:v>FP-0381</x:v>
      </x:c>
      <x:c r="B122" t="str">
        <x:v>MAT</x:v>
      </x:c>
      <x:c r="C122" t="str">
        <x:v>Matthäus</x:v>
      </x:c>
      <x:c r="D122" t="n">
        <x:v>25</x:v>
      </x:c>
      <x:c r="E122" t="n">
        <x:v>1</x:v>
      </x:c>
      <x:c r="F122" t="str">
        <x:v>MAT-025</x:v>
      </x:c>
      <x:c r="G122" t="n">
        <x:v>25</x:v>
      </x:c>
      <x:c r="H122" t="str">
        <x:v>CQ-A02</x:v>
      </x:c>
      <x:c r="I122" s="36" t="str">
        <x:v>Welche dieser Aussagen stammt aus Matthäus 25?</x:v>
      </x:c>
      <x:c r="J122" s="36" t="str"/>
      <x:c r="K122" s="36" t="str"/>
      <x:c r="L122" s="36" t="str">
        <x:v>REPO_VERIFIZIERT_FRAGEFORM</x:v>
      </x:c>
      <x:c r="M122" s="36" t="str">
        <x:v>ERSETZEN</x:v>
      </x:c>
      <x:c r="N122" s="36" t="str">
        <x:v>REPETITIVE_FRAGEFORM</x:v>
      </x:c>
      <x:c r="O122" s="36" t="str">
        <x:v>REINE_WIEDERERKENNUNG</x:v>
      </x:c>
      <x:c r="P122" s="36" t="str">
        <x:v>ZUSAMMENHANG</x:v>
      </x:c>
      <x:c r="Q122" s="36" t="str">
        <x:v>Was unterscheidet im Gleichnis die klugen von den törichten Jungfrauen?</x:v>
      </x:c>
      <x:c r="R122" s="36" t="str">
        <x:v>Die klugen nehmen zusätzlich Öl für ihre Lampen mit.</x:v>
      </x:c>
      <x:c r="S122" s="36" t="str">
        <x:v>Die klugen haben größere Lampen.</x:v>
      </x:c>
      <x:c r="T122" s="36" t="str">
        <x:v>Die törichten kommen zuerst an.</x:v>
      </x:c>
      <x:c r="U122" s="36" t="str">
        <x:v>Die törichten kennen den Bräutigam persönlich.</x:v>
      </x:c>
      <x:c r="V122" s="36" t="n">
        <x:v>0</x:v>
      </x:c>
      <x:c r="W122" s="36" t="str">
        <x:v>Die klugen nehmen zusätzlich Öl für ihre Lampen mit.</x:v>
      </x:c>
      <x:c r="X122" s="36" t="str">
        <x:v>Matthäus 25,1–10</x:v>
      </x:c>
      <x:c r="Y122" s="36" t="str">
        <x:v>Die klugen Jungfrauen sind vorbereitet und nehmen Öl mit; die törichten haben keinen ausreichenden Vorrat.</x:v>
      </x:c>
      <x:c r="Z122" s="36" t="str">
        <x:v>JA</x:v>
      </x:c>
      <x:c r="AA122" s="36" t="str">
        <x:v>JA</x:v>
      </x:c>
      <x:c r="AB122" s="36" t="str">
        <x:v>JA</x:v>
      </x:c>
      <x:c r="AC122" s="36" t="str">
        <x:v>JA</x:v>
      </x:c>
      <x:c r="AD122" s="36" t="str">
        <x:v>JA</x:v>
      </x:c>
      <x:c r="AE122" s="36" t="str">
        <x:v>JA</x:v>
      </x:c>
      <x:c r="AF122" s="36" t="str">
        <x:v>JA</x:v>
      </x:c>
      <x:c r="AG122" s="36" t="str">
        <x:v>FREIGEGEBEN</x:v>
      </x:c>
      <x:c r="AH122" s="36" t="str">
        <x:v>GPT-5.6 Sol · Buchprüfung Matthäus · L1912/OTB</x:v>
      </x:c>
      <x:c r="AI122" s="36" t="str">
        <x:v>FREIGEGEBEN</x:v>
      </x:c>
      <x:c r="AJ122" s="36" t="str">
        <x:v>Matthäus 25: repetitive Wiedererkennungsfrage durch ZUSAMMENHANG-Frage ersetzt.</x:v>
      </x:c>
      <x:c r="AK122" s="36" t="str">
        <x:v>FaithPath repo develop/v4 · data/bibles/l1912/MAT.json · data/bibles/otb/MAT.json</x:v>
      </x:c>
      <x:c r="AL122" t="str">
        <x:v>JA</x:v>
      </x:c>
    </x:row>
    <x:row r="123">
      <x:c r="A123" t="str">
        <x:v>FP-0382</x:v>
      </x:c>
      <x:c r="B123" t="str">
        <x:v>MAT</x:v>
      </x:c>
      <x:c r="C123" t="str">
        <x:v>Matthäus</x:v>
      </x:c>
      <x:c r="D123" t="n">
        <x:v>25</x:v>
      </x:c>
      <x:c r="E123" t="n">
        <x:v>2</x:v>
      </x:c>
      <x:c r="F123" t="str">
        <x:v>MAT-025</x:v>
      </x:c>
      <x:c r="G123" t="n">
        <x:v>25</x:v>
      </x:c>
      <x:c r="H123" t="str">
        <x:v>CQ-A02</x:v>
      </x:c>
      <x:c r="I123" s="36" t="str">
        <x:v>Welche dieser Aussagen stammt aus Matthäus 25?</x:v>
      </x:c>
      <x:c r="J123" s="36" t="str"/>
      <x:c r="K123" s="36" t="str"/>
      <x:c r="L123" s="36" t="str">
        <x:v>REPO_VERIFIZIERT_FRAGEFORM</x:v>
      </x:c>
      <x:c r="M123" s="36" t="str">
        <x:v>ERSETZEN</x:v>
      </x:c>
      <x:c r="N123" s="36" t="str">
        <x:v>REPETITIVE_FRAGEFORM</x:v>
      </x:c>
      <x:c r="O123" s="36" t="str">
        <x:v>REINE_WIEDERERKENNUNG</x:v>
      </x:c>
      <x:c r="P123" s="36" t="str">
        <x:v>KERNAUSSAGE</x:v>
      </x:c>
      <x:c r="Q123" s="36" t="str">
        <x:v>Welche Schlussfolgerung zieht Jesus aus dem Gleichnis von den zehn Jungfrauen?</x:v>
      </x:c>
      <x:c r="R123" s="36" t="str">
        <x:v>Berechnet den genauen Tag.</x:v>
      </x:c>
      <x:c r="S123" s="36" t="str">
        <x:v>Wacht, denn ihr kennt weder Tag noch Stunde.</x:v>
      </x:c>
      <x:c r="T123" s="36" t="str">
        <x:v>Verlasst eure Lampen.</x:v>
      </x:c>
      <x:c r="U123" s="36" t="str">
        <x:v>Wartet nur tagsüber.</x:v>
      </x:c>
      <x:c r="V123" s="36" t="n">
        <x:v>1</x:v>
      </x:c>
      <x:c r="W123" s="36" t="str">
        <x:v>Wacht, denn ihr kennt weder Tag noch Stunde.</x:v>
      </x:c>
      <x:c r="X123" s="36" t="str">
        <x:v>Matthäus 25,13</x:v>
      </x:c>
      <x:c r="Y123" s="36" t="str">
        <x:v>Jesus schließt das Gleichnis mit dem Aufruf zur Wachsamkeit.</x:v>
      </x:c>
      <x:c r="Z123" s="36" t="str">
        <x:v>JA</x:v>
      </x:c>
      <x:c r="AA123" s="36" t="str">
        <x:v>JA</x:v>
      </x:c>
      <x:c r="AB123" s="36" t="str">
        <x:v>JA</x:v>
      </x:c>
      <x:c r="AC123" s="36" t="str">
        <x:v>JA</x:v>
      </x:c>
      <x:c r="AD123" s="36" t="str">
        <x:v>JA</x:v>
      </x:c>
      <x:c r="AE123" s="36" t="str">
        <x:v>JA</x:v>
      </x:c>
      <x:c r="AF123" s="36" t="str">
        <x:v>JA</x:v>
      </x:c>
      <x:c r="AG123" s="36" t="str">
        <x:v>FREIGEGEBEN</x:v>
      </x:c>
      <x:c r="AH123" s="36" t="str">
        <x:v>GPT-5.6 Sol · Buchprüfung Matthäus · L1912/OTB</x:v>
      </x:c>
      <x:c r="AI123" s="36" t="str">
        <x:v>FREIGEGEBEN</x:v>
      </x:c>
      <x:c r="AJ123" s="36" t="str">
        <x:v>Matthäus 25: repetitive Wiedererkennungsfrage durch KERNAUSSAGE-Frage ersetzt.</x:v>
      </x:c>
      <x:c r="AK123" s="36" t="str">
        <x:v>FaithPath repo develop/v4 · data/bibles/l1912/MAT.json · data/bibles/otb/MAT.json</x:v>
      </x:c>
      <x:c r="AL123" t="str">
        <x:v>JA</x:v>
      </x:c>
    </x:row>
    <x:row r="124">
      <x:c r="A124" t="str">
        <x:v>FP-0383</x:v>
      </x:c>
      <x:c r="B124" t="str">
        <x:v>MAT</x:v>
      </x:c>
      <x:c r="C124" t="str">
        <x:v>Matthäus</x:v>
      </x:c>
      <x:c r="D124" t="n">
        <x:v>25</x:v>
      </x:c>
      <x:c r="E124" t="n">
        <x:v>3</x:v>
      </x:c>
      <x:c r="F124" t="str">
        <x:v>MAT-025</x:v>
      </x:c>
      <x:c r="G124" t="n">
        <x:v>25</x:v>
      </x:c>
      <x:c r="H124" t="str">
        <x:v>CQ-A02</x:v>
      </x:c>
      <x:c r="I124" s="36" t="str">
        <x:v>Welche dieser Aussagen stammt aus Matthäus 25?</x:v>
      </x:c>
      <x:c r="J124" s="36" t="str"/>
      <x:c r="K124" s="36" t="str"/>
      <x:c r="L124" s="36" t="str">
        <x:v>REPO_VERIFIZIERT_FRAGEFORM</x:v>
      </x:c>
      <x:c r="M124" s="36" t="str">
        <x:v>ERSETZEN</x:v>
      </x:c>
      <x:c r="N124" s="36" t="str">
        <x:v>REPETITIVE_FRAGEFORM</x:v>
      </x:c>
      <x:c r="O124" s="36" t="str">
        <x:v>REINE_WIEDERERKENNUNG</x:v>
      </x:c>
      <x:c r="P124" s="36" t="str">
        <x:v>ZUSAMMENHANG</x:v>
      </x:c>
      <x:c r="Q124" s="36" t="str">
        <x:v>Was macht der Knecht mit dem einen Talent aus Angst vor seinem Herrn?</x:v>
      </x:c>
      <x:c r="R124" s="36" t="str">
        <x:v>Er verdoppelt es im Handel.</x:v>
      </x:c>
      <x:c r="S124" s="36" t="str">
        <x:v>Er verschenkt es an die Armen.</x:v>
      </x:c>
      <x:c r="T124" s="36" t="str">
        <x:v>Er vergräbt es in der Erde.</x:v>
      </x:c>
      <x:c r="U124" s="36" t="str">
        <x:v>Er gibt es einem anderen Knecht.</x:v>
      </x:c>
      <x:c r="V124" s="36" t="n">
        <x:v>2</x:v>
      </x:c>
      <x:c r="W124" s="36" t="str">
        <x:v>Er vergräbt es in der Erde.</x:v>
      </x:c>
      <x:c r="X124" s="36" t="str">
        <x:v>Matthäus 25,18; 24–27</x:v>
      </x:c>
      <x:c r="Y124" s="36" t="str">
        <x:v>Der Knecht versteckt das anvertraute Talent und begründet dies später mit seiner Furcht vor dem Herrn.</x:v>
      </x:c>
      <x:c r="Z124" s="36" t="str">
        <x:v>JA</x:v>
      </x:c>
      <x:c r="AA124" s="36" t="str">
        <x:v>JA</x:v>
      </x:c>
      <x:c r="AB124" s="36" t="str">
        <x:v>JA</x:v>
      </x:c>
      <x:c r="AC124" s="36" t="str">
        <x:v>JA</x:v>
      </x:c>
      <x:c r="AD124" s="36" t="str">
        <x:v>JA</x:v>
      </x:c>
      <x:c r="AE124" s="36" t="str">
        <x:v>JA</x:v>
      </x:c>
      <x:c r="AF124" s="36" t="str">
        <x:v>JA</x:v>
      </x:c>
      <x:c r="AG124" s="36" t="str">
        <x:v>FREIGEGEBEN</x:v>
      </x:c>
      <x:c r="AH124" s="36" t="str">
        <x:v>GPT-5.6 Sol · Buchprüfung Matthäus · L1912/OTB</x:v>
      </x:c>
      <x:c r="AI124" s="36" t="str">
        <x:v>FREIGEGEBEN</x:v>
      </x:c>
      <x:c r="AJ124" s="36" t="str">
        <x:v>Matthäus 25: repetitive Wiedererkennungsfrage durch ZUSAMMENHANG-Frage ersetzt.</x:v>
      </x:c>
      <x:c r="AK124" s="36" t="str">
        <x:v>FaithPath repo develop/v4 · data/bibles/l1912/MAT.json · data/bibles/otb/MAT.json</x:v>
      </x:c>
      <x:c r="AL124" t="str">
        <x:v>JA</x:v>
      </x:c>
    </x:row>
    <x:row r="125">
      <x:c r="A125" t="str">
        <x:v>FP-0384</x:v>
      </x:c>
      <x:c r="B125" t="str">
        <x:v>MAT</x:v>
      </x:c>
      <x:c r="C125" t="str">
        <x:v>Matthäus</x:v>
      </x:c>
      <x:c r="D125" t="n">
        <x:v>25</x:v>
      </x:c>
      <x:c r="E125" t="n">
        <x:v>4</x:v>
      </x:c>
      <x:c r="F125" t="str">
        <x:v>MAT-025</x:v>
      </x:c>
      <x:c r="G125" t="n">
        <x:v>25</x:v>
      </x:c>
      <x:c r="H125" t="str">
        <x:v>CQ-A02</x:v>
      </x:c>
      <x:c r="I125" s="36" t="str">
        <x:v>Welche dieser Aussagen stammt aus Matthäus 25?</x:v>
      </x:c>
      <x:c r="J125" s="36" t="str"/>
      <x:c r="K125" s="36" t="str"/>
      <x:c r="L125" s="36" t="str">
        <x:v>REPO_VERIFIZIERT_FRAGEFORM</x:v>
      </x:c>
      <x:c r="M125" s="36" t="str">
        <x:v>ERSETZEN</x:v>
      </x:c>
      <x:c r="N125" s="36" t="str">
        <x:v>REPETITIVE_FRAGEFORM</x:v>
      </x:c>
      <x:c r="O125" s="36" t="str">
        <x:v>REINE_WIEDERERKENNUNG</x:v>
      </x:c>
      <x:c r="P125" s="36" t="str">
        <x:v>KERNAUSSAGE</x:v>
      </x:c>
      <x:c r="Q125" s="36" t="str">
        <x:v>Wie verbindet Jesus im Bild vom Weltgericht Hilfe für Bedürftige mit seiner eigenen Person?</x:v>
      </x:c>
      <x:c r="R125" s="36" t="str">
        <x:v>Nur Hilfe für Könige zählt.</x:v>
      </x:c>
      <x:c r="S125" s="36" t="str">
        <x:v>Hilfe für andere hat nichts mit ihm zu tun.</x:v>
      </x:c>
      <x:c r="T125" s="36" t="str">
        <x:v>Nur Geldspenden werden berücksichtigt.</x:v>
      </x:c>
      <x:c r="U125" s="36" t="str">
        <x:v>Was man einem der geringsten seiner Brüder getan hat, hat man ihm getan.</x:v>
      </x:c>
      <x:c r="V125" s="36" t="n">
        <x:v>3</x:v>
      </x:c>
      <x:c r="W125" s="36" t="str">
        <x:v>Was man einem der geringsten seiner Brüder getan hat, hat man ihm getan.</x:v>
      </x:c>
      <x:c r="X125" s="36" t="str">
        <x:v>Matthäus 25,34–40</x:v>
      </x:c>
      <x:c r="Y125" s="36" t="str">
        <x:v>Jesus identifiziert sich in der Gerichtsszene mit den Bedürftigen: Hilfe an ihnen gilt als Hilfe an ihm.</x:v>
      </x:c>
      <x:c r="Z125" s="36" t="str">
        <x:v>JA</x:v>
      </x:c>
      <x:c r="AA125" s="36" t="str">
        <x:v>JA</x:v>
      </x:c>
      <x:c r="AB125" s="36" t="str">
        <x:v>JA</x:v>
      </x:c>
      <x:c r="AC125" s="36" t="str">
        <x:v>JA</x:v>
      </x:c>
      <x:c r="AD125" s="36" t="str">
        <x:v>JA</x:v>
      </x:c>
      <x:c r="AE125" s="36" t="str">
        <x:v>JA</x:v>
      </x:c>
      <x:c r="AF125" s="36" t="str">
        <x:v>JA</x:v>
      </x:c>
      <x:c r="AG125" s="36" t="str">
        <x:v>FREIGEGEBEN</x:v>
      </x:c>
      <x:c r="AH125" s="36" t="str">
        <x:v>GPT-5.6 Sol · Buchprüfung Matthäus · L1912/OTB</x:v>
      </x:c>
      <x:c r="AI125" s="36" t="str">
        <x:v>FREIGEGEBEN</x:v>
      </x:c>
      <x:c r="AJ125" s="36" t="str">
        <x:v>Matthäus 25: repetitive Wiedererkennungsfrage durch KERNAUSSAGE-Frage ersetzt.</x:v>
      </x:c>
      <x:c r="AK125" s="36" t="str">
        <x:v>FaithPath repo develop/v4 · data/bibles/l1912/MAT.json · data/bibles/otb/MAT.json</x:v>
      </x:c>
      <x:c r="AL125" t="str">
        <x:v>JA</x:v>
      </x:c>
    </x:row>
    <x:row r="126">
      <x:c r="A126" t="str">
        <x:v>FP-0385</x:v>
      </x:c>
      <x:c r="B126" t="str">
        <x:v>MAT</x:v>
      </x:c>
      <x:c r="C126" t="str">
        <x:v>Matthäus</x:v>
      </x:c>
      <x:c r="D126" t="n">
        <x:v>25</x:v>
      </x:c>
      <x:c r="E126" t="n">
        <x:v>5</x:v>
      </x:c>
      <x:c r="F126" t="str">
        <x:v>MAT-025</x:v>
      </x:c>
      <x:c r="G126" t="n">
        <x:v>25</x:v>
      </x:c>
      <x:c r="H126" t="str">
        <x:v>CQ-A02</x:v>
      </x:c>
      <x:c r="I126" s="36" t="str">
        <x:v>Welche dieser Aussagen stammt aus Matthäus 25?</x:v>
      </x:c>
      <x:c r="J126" s="36" t="str"/>
      <x:c r="K126" s="36" t="str"/>
      <x:c r="L126" s="36" t="str">
        <x:v>REPO_VERIFIZIERT_FRAGEFORM</x:v>
      </x:c>
      <x:c r="M126" s="36" t="str">
        <x:v>ERSETZEN</x:v>
      </x:c>
      <x:c r="N126" s="36" t="str">
        <x:v>REPETITIVE_FRAGEFORM</x:v>
      </x:c>
      <x:c r="O126" s="36" t="str">
        <x:v>REINE_WIEDERERKENNUNG</x:v>
      </x:c>
      <x:c r="P126" s="36" t="str">
        <x:v>TEXTGENAUIGKEIT</x:v>
      </x:c>
      <x:c r="Q126" s="36" t="str">
        <x:v>Welche beiden Ausgänge nennt Matthäus 25 am Ende der Gerichtsszene?</x:v>
      </x:c>
      <x:c r="R126" s="36" t="str">
        <x:v>Ewige Strafe und ewiges Leben.</x:v>
      </x:c>
      <x:c r="S126" s="36" t="str">
        <x:v>Reichtum und Armut.</x:v>
      </x:c>
      <x:c r="T126" s="36" t="str">
        <x:v>Jerusalem und Galiläa.</x:v>
      </x:c>
      <x:c r="U126" s="36" t="str">
        <x:v>Schlaf und Erwachen.</x:v>
      </x:c>
      <x:c r="V126" s="36" t="n">
        <x:v>0</x:v>
      </x:c>
      <x:c r="W126" s="36" t="str">
        <x:v>Ewige Strafe und ewiges Leben.</x:v>
      </x:c>
      <x:c r="X126" s="36" t="str">
        <x:v>Matthäus 25,46</x:v>
      </x:c>
      <x:c r="Y126" s="36" t="str">
        <x:v>Der Abschnitt endet mit dem Gegensatz zwischen ewiger Strafe und ewigem Leben.</x:v>
      </x:c>
      <x:c r="Z126" s="36" t="str">
        <x:v>JA</x:v>
      </x:c>
      <x:c r="AA126" s="36" t="str">
        <x:v>JA</x:v>
      </x:c>
      <x:c r="AB126" s="36" t="str">
        <x:v>JA</x:v>
      </x:c>
      <x:c r="AC126" s="36" t="str">
        <x:v>JA</x:v>
      </x:c>
      <x:c r="AD126" s="36" t="str">
        <x:v>JA</x:v>
      </x:c>
      <x:c r="AE126" s="36" t="str">
        <x:v>JA</x:v>
      </x:c>
      <x:c r="AF126" s="36" t="str">
        <x:v>JA</x:v>
      </x:c>
      <x:c r="AG126" s="36" t="str">
        <x:v>FREIGEGEBEN</x:v>
      </x:c>
      <x:c r="AH126" s="36" t="str">
        <x:v>GPT-5.6 Sol · Buchprüfung Matthäus · L1912/OTB</x:v>
      </x:c>
      <x:c r="AI126" s="36" t="str">
        <x:v>FREIGEGEBEN</x:v>
      </x:c>
      <x:c r="AJ126" s="36" t="str">
        <x:v>Matthäus 25: repetitive Wiedererkennungsfrage durch TEXTGENAUIGKEIT-Frage ersetzt.</x:v>
      </x:c>
      <x:c r="AK126" s="36" t="str">
        <x:v>FaithPath repo develop/v4 · data/bibles/l1912/MAT.json · data/bibles/otb/MAT.json</x:v>
      </x:c>
      <x:c r="AL126" t="str">
        <x:v>JA</x:v>
      </x:c>
    </x:row>
    <x:row r="127">
      <x:c r="A127" t="str">
        <x:v>FP-0386</x:v>
      </x:c>
      <x:c r="B127" t="str">
        <x:v>MAT</x:v>
      </x:c>
      <x:c r="C127" t="str">
        <x:v>Matthäus</x:v>
      </x:c>
      <x:c r="D127" t="n">
        <x:v>26</x:v>
      </x:c>
      <x:c r="E127" t="n">
        <x:v>1</x:v>
      </x:c>
      <x:c r="F127" t="str">
        <x:v>MAT-026</x:v>
      </x:c>
      <x:c r="G127" t="n">
        <x:v>26</x:v>
      </x:c>
      <x:c r="H127" t="str">
        <x:v>CQ-A02</x:v>
      </x:c>
      <x:c r="I127" s="36" t="str">
        <x:v>Welche dieser Aussagen stammt aus Matthäus 26?</x:v>
      </x:c>
      <x:c r="J127" s="36" t="str"/>
      <x:c r="K127" s="36" t="str"/>
      <x:c r="L127" s="36" t="str">
        <x:v>REPO_VERIFIZIERT_FRAGEFORM</x:v>
      </x:c>
      <x:c r="M127" s="36" t="str">
        <x:v>ERSETZEN</x:v>
      </x:c>
      <x:c r="N127" s="36" t="str">
        <x:v>REPETITIVE_FRAGEFORM</x:v>
      </x:c>
      <x:c r="O127" s="36" t="str">
        <x:v>REINE_WIEDERERKENNUNG</x:v>
      </x:c>
      <x:c r="P127" s="36" t="str">
        <x:v>ZUSAMMENHANG</x:v>
      </x:c>
      <x:c r="Q127" s="36" t="str">
        <x:v>Wie deutet Jesus die Salbung in Bethanien, gegen die einige Jünger protestieren?</x:v>
      </x:c>
      <x:c r="R127" s="36" t="str">
        <x:v>Als Zeichen seiner Krönung zum irdischen König.</x:v>
      </x:c>
      <x:c r="S127" s="36" t="str">
        <x:v>Als Vorbereitung auf sein Begräbnis.</x:v>
      </x:c>
      <x:c r="T127" s="36" t="str">
        <x:v>Als Bezahlung für das Passahmahl.</x:v>
      </x:c>
      <x:c r="U127" s="36" t="str">
        <x:v>Als Auftrag, Bethanien zu verlassen.</x:v>
      </x:c>
      <x:c r="V127" s="36" t="n">
        <x:v>1</x:v>
      </x:c>
      <x:c r="W127" s="36" t="str">
        <x:v>Als Vorbereitung auf sein Begräbnis.</x:v>
      </x:c>
      <x:c r="X127" s="36" t="str">
        <x:v>Matthäus 26,6–13</x:v>
      </x:c>
      <x:c r="Y127" s="36" t="str">
        <x:v>Jesus verteidigt die Frau und deutet ihre Handlung im Blick auf sein Begräbnis.</x:v>
      </x:c>
      <x:c r="Z127" s="36" t="str">
        <x:v>JA</x:v>
      </x:c>
      <x:c r="AA127" s="36" t="str">
        <x:v>JA</x:v>
      </x:c>
      <x:c r="AB127" s="36" t="str">
        <x:v>JA</x:v>
      </x:c>
      <x:c r="AC127" s="36" t="str">
        <x:v>JA</x:v>
      </x:c>
      <x:c r="AD127" s="36" t="str">
        <x:v>JA</x:v>
      </x:c>
      <x:c r="AE127" s="36" t="str">
        <x:v>JA</x:v>
      </x:c>
      <x:c r="AF127" s="36" t="str">
        <x:v>JA</x:v>
      </x:c>
      <x:c r="AG127" s="36" t="str">
        <x:v>FREIGEGEBEN</x:v>
      </x:c>
      <x:c r="AH127" s="36" t="str">
        <x:v>GPT-5.6 Sol · Buchprüfung Matthäus · L1912/OTB</x:v>
      </x:c>
      <x:c r="AI127" s="36" t="str">
        <x:v>FREIGEGEBEN</x:v>
      </x:c>
      <x:c r="AJ127" s="36" t="str">
        <x:v>Matthäus 26: repetitive Wiedererkennungsfrage durch ZUSAMMENHANG-Frage ersetzt.</x:v>
      </x:c>
      <x:c r="AK127" s="36" t="str">
        <x:v>FaithPath repo develop/v4 · data/bibles/l1912/MAT.json · data/bibles/otb/MAT.json</x:v>
      </x:c>
      <x:c r="AL127" t="str">
        <x:v>JA</x:v>
      </x:c>
    </x:row>
    <x:row r="128">
      <x:c r="A128" t="str">
        <x:v>FP-0387</x:v>
      </x:c>
      <x:c r="B128" t="str">
        <x:v>MAT</x:v>
      </x:c>
      <x:c r="C128" t="str">
        <x:v>Matthäus</x:v>
      </x:c>
      <x:c r="D128" t="n">
        <x:v>26</x:v>
      </x:c>
      <x:c r="E128" t="n">
        <x:v>2</x:v>
      </x:c>
      <x:c r="F128" t="str">
        <x:v>MAT-026</x:v>
      </x:c>
      <x:c r="G128" t="n">
        <x:v>26</x:v>
      </x:c>
      <x:c r="H128" t="str">
        <x:v>CQ-A02</x:v>
      </x:c>
      <x:c r="I128" s="36" t="str">
        <x:v>Welche dieser Aussagen stammt aus Matthäus 26?</x:v>
      </x:c>
      <x:c r="J128" s="36" t="str"/>
      <x:c r="K128" s="36" t="str"/>
      <x:c r="L128" s="36" t="str">
        <x:v>REPO_VERIFIZIERT_FRAGEFORM</x:v>
      </x:c>
      <x:c r="M128" s="36" t="str">
        <x:v>ERSETZEN</x:v>
      </x:c>
      <x:c r="N128" s="36" t="str">
        <x:v>REPETITIVE_FRAGEFORM</x:v>
      </x:c>
      <x:c r="O128" s="36" t="str">
        <x:v>REINE_WIEDERERKENNUNG</x:v>
      </x:c>
      <x:c r="P128" s="36" t="str">
        <x:v>DETAIL</x:v>
      </x:c>
      <x:c r="Q128" s="36" t="str">
        <x:v>Für welchen Betrag vereinbart Judas, Jesus auszuliefern?</x:v>
      </x:c>
      <x:c r="R128" s="36" t="str">
        <x:v>Zwölf Silberstücke.</x:v>
      </x:c>
      <x:c r="S128" s="36" t="str">
        <x:v>Fünfzig Goldstücke.</x:v>
      </x:c>
      <x:c r="T128" s="36" t="str">
        <x:v>Dreißig Silberstücke.</x:v>
      </x:c>
      <x:c r="U128" s="36" t="str">
        <x:v>Sieben Denare.</x:v>
      </x:c>
      <x:c r="V128" s="36" t="n">
        <x:v>2</x:v>
      </x:c>
      <x:c r="W128" s="36" t="str">
        <x:v>Dreißig Silberstücke.</x:v>
      </x:c>
      <x:c r="X128" s="36" t="str">
        <x:v>Matthäus 26,14–16</x:v>
      </x:c>
      <x:c r="Y128" s="36" t="str">
        <x:v>Judas verhandelt mit den Hohenpriestern und erhält dreißig Silberstücke.</x:v>
      </x:c>
      <x:c r="Z128" s="36" t="str">
        <x:v>JA</x:v>
      </x:c>
      <x:c r="AA128" s="36" t="str">
        <x:v>JA</x:v>
      </x:c>
      <x:c r="AB128" s="36" t="str">
        <x:v>JA</x:v>
      </x:c>
      <x:c r="AC128" s="36" t="str">
        <x:v>JA</x:v>
      </x:c>
      <x:c r="AD128" s="36" t="str">
        <x:v>JA</x:v>
      </x:c>
      <x:c r="AE128" s="36" t="str">
        <x:v>JA</x:v>
      </x:c>
      <x:c r="AF128" s="36" t="str">
        <x:v>JA</x:v>
      </x:c>
      <x:c r="AG128" s="36" t="str">
        <x:v>FREIGEGEBEN</x:v>
      </x:c>
      <x:c r="AH128" s="36" t="str">
        <x:v>GPT-5.6 Sol · Buchprüfung Matthäus · L1912/OTB</x:v>
      </x:c>
      <x:c r="AI128" s="36" t="str">
        <x:v>FREIGEGEBEN</x:v>
      </x:c>
      <x:c r="AJ128" s="36" t="str">
        <x:v>Matthäus 26: repetitive Wiedererkennungsfrage durch DETAIL-Frage ersetzt.</x:v>
      </x:c>
      <x:c r="AK128" s="36" t="str">
        <x:v>FaithPath repo develop/v4 · data/bibles/l1912/MAT.json · data/bibles/otb/MAT.json</x:v>
      </x:c>
      <x:c r="AL128" t="str">
        <x:v>JA</x:v>
      </x:c>
    </x:row>
    <x:row r="129">
      <x:c r="A129" t="str">
        <x:v>FP-0388</x:v>
      </x:c>
      <x:c r="B129" t="str">
        <x:v>MAT</x:v>
      </x:c>
      <x:c r="C129" t="str">
        <x:v>Matthäus</x:v>
      </x:c>
      <x:c r="D129" t="n">
        <x:v>26</x:v>
      </x:c>
      <x:c r="E129" t="n">
        <x:v>3</x:v>
      </x:c>
      <x:c r="F129" t="str">
        <x:v>MAT-026</x:v>
      </x:c>
      <x:c r="G129" t="n">
        <x:v>26</x:v>
      </x:c>
      <x:c r="H129" t="str">
        <x:v>CQ-A02</x:v>
      </x:c>
      <x:c r="I129" s="36" t="str">
        <x:v>Welche dieser Aussagen stammt aus Matthäus 26?</x:v>
      </x:c>
      <x:c r="J129" s="36" t="str"/>
      <x:c r="K129" s="36" t="str"/>
      <x:c r="L129" s="36" t="str">
        <x:v>REPO_VERIFIZIERT_FRAGEFORM</x:v>
      </x:c>
      <x:c r="M129" s="36" t="str">
        <x:v>ERSETZEN</x:v>
      </x:c>
      <x:c r="N129" s="36" t="str">
        <x:v>REPETITIVE_FRAGEFORM</x:v>
      </x:c>
      <x:c r="O129" s="36" t="str">
        <x:v>REINE_WIEDERERKENNUNG</x:v>
      </x:c>
      <x:c r="P129" s="36" t="str">
        <x:v>KERNAUSSAGE</x:v>
      </x:c>
      <x:c r="Q129" s="36" t="str">
        <x:v>Wofür steht der Kelch beim letzten Mahl nach Jesu Worten?</x:v>
      </x:c>
      <x:c r="R129" s="36" t="str">
        <x:v>Für die Tempelsteuer.</x:v>
      </x:c>
      <x:c r="S129" s="36" t="str">
        <x:v>Für den Sieg über Rom.</x:v>
      </x:c>
      <x:c r="T129" s="36" t="str">
        <x:v>Für das Wasser der Taufe des Johannes.</x:v>
      </x:c>
      <x:c r="U129" s="36" t="str">
        <x:v>Für sein Blut des Bundes, das für viele zur Vergebung der Sünden vergossen wird.</x:v>
      </x:c>
      <x:c r="V129" s="36" t="n">
        <x:v>3</x:v>
      </x:c>
      <x:c r="W129" s="36" t="str">
        <x:v>Für sein Blut des Bundes, das für viele zur Vergebung der Sünden vergossen wird.</x:v>
      </x:c>
      <x:c r="X129" s="36" t="str">
        <x:v>Matthäus 26,26–28</x:v>
      </x:c>
      <x:c r="Y129" s="36" t="str">
        <x:v>Jesus deutet den Kelch als sein Bundesblut, das für viele zur Vergebung der Sünden vergossen wird.</x:v>
      </x:c>
      <x:c r="Z129" s="36" t="str">
        <x:v>JA</x:v>
      </x:c>
      <x:c r="AA129" s="36" t="str">
        <x:v>JA</x:v>
      </x:c>
      <x:c r="AB129" s="36" t="str">
        <x:v>JA</x:v>
      </x:c>
      <x:c r="AC129" s="36" t="str">
        <x:v>JA</x:v>
      </x:c>
      <x:c r="AD129" s="36" t="str">
        <x:v>JA</x:v>
      </x:c>
      <x:c r="AE129" s="36" t="str">
        <x:v>JA</x:v>
      </x:c>
      <x:c r="AF129" s="36" t="str">
        <x:v>JA</x:v>
      </x:c>
      <x:c r="AG129" s="36" t="str">
        <x:v>FREIGEGEBEN</x:v>
      </x:c>
      <x:c r="AH129" s="36" t="str">
        <x:v>GPT-5.6 Sol · Buchprüfung Matthäus · L1912/OTB</x:v>
      </x:c>
      <x:c r="AI129" s="36" t="str">
        <x:v>FREIGEGEBEN</x:v>
      </x:c>
      <x:c r="AJ129" s="36" t="str">
        <x:v>Matthäus 26: repetitive Wiedererkennungsfrage durch KERNAUSSAGE-Frage ersetzt.</x:v>
      </x:c>
      <x:c r="AK129" s="36" t="str">
        <x:v>FaithPath repo develop/v4 · data/bibles/l1912/MAT.json · data/bibles/otb/MAT.json</x:v>
      </x:c>
      <x:c r="AL129" t="str">
        <x:v>JA</x:v>
      </x:c>
    </x:row>
    <x:row r="130">
      <x:c r="A130" t="str">
        <x:v>FP-0389</x:v>
      </x:c>
      <x:c r="B130" t="str">
        <x:v>MAT</x:v>
      </x:c>
      <x:c r="C130" t="str">
        <x:v>Matthäus</x:v>
      </x:c>
      <x:c r="D130" t="n">
        <x:v>26</x:v>
      </x:c>
      <x:c r="E130" t="n">
        <x:v>4</x:v>
      </x:c>
      <x:c r="F130" t="str">
        <x:v>MAT-026</x:v>
      </x:c>
      <x:c r="G130" t="n">
        <x:v>26</x:v>
      </x:c>
      <x:c r="H130" t="str">
        <x:v>CQ-A02</x:v>
      </x:c>
      <x:c r="I130" s="36" t="str">
        <x:v>Welche dieser Aussagen stammt aus Matthäus 26?</x:v>
      </x:c>
      <x:c r="J130" s="36" t="str"/>
      <x:c r="K130" s="36" t="str"/>
      <x:c r="L130" s="36" t="str">
        <x:v>REPO_VERIFIZIERT_FRAGEFORM</x:v>
      </x:c>
      <x:c r="M130" s="36" t="str">
        <x:v>ERSETZEN</x:v>
      </x:c>
      <x:c r="N130" s="36" t="str">
        <x:v>REPETITIVE_FRAGEFORM</x:v>
      </x:c>
      <x:c r="O130" s="36" t="str">
        <x:v>REINE_WIEDERERKENNUNG</x:v>
      </x:c>
      <x:c r="P130" s="36" t="str">
        <x:v>PERSON_AUSSAGE</x:v>
      </x:c>
      <x:c r="Q130" s="36" t="str">
        <x:v>Wie betet Jesus in Gethsemane angesichts des bevorstehenden Leidens?</x:v>
      </x:c>
      <x:c r="R130" s="36" t="str">
        <x:v>Nicht wie ich will, sondern wie du willst.</x:v>
      </x:c>
      <x:c r="S130" s="36" t="str">
        <x:v>Lass meine Jünger für mich entscheiden.</x:v>
      </x:c>
      <x:c r="T130" s="36" t="str">
        <x:v>Gib mir ein Zeichen vom Himmel.</x:v>
      </x:c>
      <x:c r="U130" s="36" t="str">
        <x:v>Führe mich sofort zurück nach Galiläa.</x:v>
      </x:c>
      <x:c r="V130" s="36" t="n">
        <x:v>0</x:v>
      </x:c>
      <x:c r="W130" s="36" t="str">
        <x:v>Nicht wie ich will, sondern wie du willst.</x:v>
      </x:c>
      <x:c r="X130" s="36" t="str">
        <x:v>Matthäus 26,36–42</x:v>
      </x:c>
      <x:c r="Y130" s="36" t="str">
        <x:v>Jesus bringt seine Angst vor den Vater, ordnet seinen eigenen Wunsch aber dem Willen des Vaters unter.</x:v>
      </x:c>
      <x:c r="Z130" s="36" t="str">
        <x:v>JA</x:v>
      </x:c>
      <x:c r="AA130" s="36" t="str">
        <x:v>JA</x:v>
      </x:c>
      <x:c r="AB130" s="36" t="str">
        <x:v>JA</x:v>
      </x:c>
      <x:c r="AC130" s="36" t="str">
        <x:v>JA</x:v>
      </x:c>
      <x:c r="AD130" s="36" t="str">
        <x:v>JA</x:v>
      </x:c>
      <x:c r="AE130" s="36" t="str">
        <x:v>JA</x:v>
      </x:c>
      <x:c r="AF130" s="36" t="str">
        <x:v>JA</x:v>
      </x:c>
      <x:c r="AG130" s="36" t="str">
        <x:v>FREIGEGEBEN</x:v>
      </x:c>
      <x:c r="AH130" s="36" t="str">
        <x:v>GPT-5.6 Sol · Buchprüfung Matthäus · L1912/OTB</x:v>
      </x:c>
      <x:c r="AI130" s="36" t="str">
        <x:v>FREIGEGEBEN</x:v>
      </x:c>
      <x:c r="AJ130" s="36" t="str">
        <x:v>Matthäus 26: repetitive Wiedererkennungsfrage durch PERSON_AUSSAGE-Frage ersetzt.</x:v>
      </x:c>
      <x:c r="AK130" s="36" t="str">
        <x:v>FaithPath repo develop/v4 · data/bibles/l1912/MAT.json · data/bibles/otb/MAT.json</x:v>
      </x:c>
      <x:c r="AL130" t="str">
        <x:v>JA</x:v>
      </x:c>
    </x:row>
    <x:row r="131">
      <x:c r="A131" t="str">
        <x:v>FP-0390</x:v>
      </x:c>
      <x:c r="B131" t="str">
        <x:v>MAT</x:v>
      </x:c>
      <x:c r="C131" t="str">
        <x:v>Matthäus</x:v>
      </x:c>
      <x:c r="D131" t="n">
        <x:v>26</x:v>
      </x:c>
      <x:c r="E131" t="n">
        <x:v>5</x:v>
      </x:c>
      <x:c r="F131" t="str">
        <x:v>MAT-026</x:v>
      </x:c>
      <x:c r="G131" t="n">
        <x:v>26</x:v>
      </x:c>
      <x:c r="H131" t="str">
        <x:v>CQ-A02</x:v>
      </x:c>
      <x:c r="I131" s="36" t="str">
        <x:v>Welche dieser Aussagen stammt aus Matthäus 26?</x:v>
      </x:c>
      <x:c r="J131" s="36" t="str"/>
      <x:c r="K131" s="36" t="str"/>
      <x:c r="L131" s="36" t="str">
        <x:v>REPO_VERIFIZIERT_FRAGEFORM</x:v>
      </x:c>
      <x:c r="M131" s="36" t="str">
        <x:v>ERSETZEN</x:v>
      </x:c>
      <x:c r="N131" s="36" t="str">
        <x:v>REPETITIVE_FRAGEFORM</x:v>
      </x:c>
      <x:c r="O131" s="36" t="str">
        <x:v>REINE_WIEDERERKENNUNG</x:v>
      </x:c>
      <x:c r="P131" s="36" t="str">
        <x:v>GESCHEHEN</x:v>
      </x:c>
      <x:c r="Q131" s="36" t="str">
        <x:v>Was geschieht mit Petrus nach seiner dritten Verleugnung Jesu?</x:v>
      </x:c>
      <x:c r="R131" s="36" t="str">
        <x:v>Petrus wird sofort verhaftet.</x:v>
      </x:c>
      <x:c r="S131" s="36" t="str">
        <x:v>Der Hahn kräht; Petrus erinnert sich an Jesu Wort und weint bitterlich.</x:v>
      </x:c>
      <x:c r="T131" s="36" t="str">
        <x:v>Jesus erscheint ihm noch in derselben Nacht allein.</x:v>
      </x:c>
      <x:c r="U131" s="36" t="str">
        <x:v>Petrus verlässt Jerusalem und kehrt nicht zurück.</x:v>
      </x:c>
      <x:c r="V131" s="36" t="n">
        <x:v>1</x:v>
      </x:c>
      <x:c r="W131" s="36" t="str">
        <x:v>Der Hahn kräht; Petrus erinnert sich an Jesu Wort und weint bitterlich.</x:v>
      </x:c>
      <x:c r="X131" s="36" t="str">
        <x:v>Matthäus 26,69–75</x:v>
      </x:c>
      <x:c r="Y131" s="36" t="str">
        <x:v>Nach der dritten Verleugnung erfüllt sich Jesu Ankündigung; Petrus erinnert sich daran und weint bitterlich.</x:v>
      </x:c>
      <x:c r="Z131" s="36" t="str">
        <x:v>JA</x:v>
      </x:c>
      <x:c r="AA131" s="36" t="str">
        <x:v>JA</x:v>
      </x:c>
      <x:c r="AB131" s="36" t="str">
        <x:v>JA</x:v>
      </x:c>
      <x:c r="AC131" s="36" t="str">
        <x:v>JA</x:v>
      </x:c>
      <x:c r="AD131" s="36" t="str">
        <x:v>JA</x:v>
      </x:c>
      <x:c r="AE131" s="36" t="str">
        <x:v>JA</x:v>
      </x:c>
      <x:c r="AF131" s="36" t="str">
        <x:v>JA</x:v>
      </x:c>
      <x:c r="AG131" s="36" t="str">
        <x:v>FREIGEGEBEN</x:v>
      </x:c>
      <x:c r="AH131" s="36" t="str">
        <x:v>GPT-5.6 Sol · Buchprüfung Matthäus · L1912/OTB</x:v>
      </x:c>
      <x:c r="AI131" s="36" t="str">
        <x:v>FREIGEGEBEN</x:v>
      </x:c>
      <x:c r="AJ131" s="36" t="str">
        <x:v>Matthäus 26: repetitive Wiedererkennungsfrage durch GESCHEHEN-Frage ersetzt.</x:v>
      </x:c>
      <x:c r="AK131" s="36" t="str">
        <x:v>FaithPath repo develop/v4 · data/bibles/l1912/MAT.json · data/bibles/otb/MAT.json</x:v>
      </x:c>
      <x:c r="AL131" t="str">
        <x:v>JA</x:v>
      </x:c>
    </x:row>
    <x:row r="132">
      <x:c r="A132" t="str">
        <x:v>FP-0391</x:v>
      </x:c>
      <x:c r="B132" t="str">
        <x:v>MAT</x:v>
      </x:c>
      <x:c r="C132" t="str">
        <x:v>Matthäus</x:v>
      </x:c>
      <x:c r="D132" t="n">
        <x:v>27</x:v>
      </x:c>
      <x:c r="E132" t="n">
        <x:v>1</x:v>
      </x:c>
      <x:c r="F132" t="str">
        <x:v>MAT-027</x:v>
      </x:c>
      <x:c r="G132" t="n">
        <x:v>27</x:v>
      </x:c>
      <x:c r="H132" t="str">
        <x:v>CQ-A02</x:v>
      </x:c>
      <x:c r="I132" s="36" t="str">
        <x:v>Welche dieser Aussagen stammt aus Matthäus 27?</x:v>
      </x:c>
      <x:c r="J132" s="36" t="str"/>
      <x:c r="K132" s="36" t="str"/>
      <x:c r="L132" s="36" t="str">
        <x:v>REPO_VERIFIZIERT_FRAGEFORM</x:v>
      </x:c>
      <x:c r="M132" s="36" t="str">
        <x:v>ERSETZEN</x:v>
      </x:c>
      <x:c r="N132" s="36" t="str">
        <x:v>REPETITIVE_FRAGEFORM</x:v>
      </x:c>
      <x:c r="O132" s="36" t="str">
        <x:v>REINE_WIEDERERKENNUNG</x:v>
      </x:c>
      <x:c r="P132" s="36" t="str">
        <x:v>GESCHEHEN</x:v>
      </x:c>
      <x:c r="Q132" s="36" t="str">
        <x:v>Was tut Judas, nachdem er erkennt, dass Jesus verurteilt worden ist?</x:v>
      </x:c>
      <x:c r="R132" s="36" t="str">
        <x:v>Er flieht mit dem Geld nach Galiläa.</x:v>
      </x:c>
      <x:c r="S132" s="36" t="str">
        <x:v>Er bittet Pilatus um ein Amt.</x:v>
      </x:c>
      <x:c r="T132" s="36" t="str">
        <x:v>Er bringt die dreißig Silberstücke zurück und erhängt sich.</x:v>
      </x:c>
      <x:c r="U132" s="36" t="str">
        <x:v>Er schließt sich den Jüngern wieder an.</x:v>
      </x:c>
      <x:c r="V132" s="36" t="n">
        <x:v>2</x:v>
      </x:c>
      <x:c r="W132" s="36" t="str">
        <x:v>Er bringt die dreißig Silberstücke zurück und erhängt sich.</x:v>
      </x:c>
      <x:c r="X132" s="36" t="str">
        <x:v>Matthäus 27,3–5</x:v>
      </x:c>
      <x:c r="Y132" s="36" t="str">
        <x:v>Judas bereut seine Tat, bringt das Geld zurück, wirft es in den Tempel und erhängt sich.</x:v>
      </x:c>
      <x:c r="Z132" s="36" t="str">
        <x:v>JA</x:v>
      </x:c>
      <x:c r="AA132" s="36" t="str">
        <x:v>JA</x:v>
      </x:c>
      <x:c r="AB132" s="36" t="str">
        <x:v>JA</x:v>
      </x:c>
      <x:c r="AC132" s="36" t="str">
        <x:v>JA</x:v>
      </x:c>
      <x:c r="AD132" s="36" t="str">
        <x:v>JA</x:v>
      </x:c>
      <x:c r="AE132" s="36" t="str">
        <x:v>JA</x:v>
      </x:c>
      <x:c r="AF132" s="36" t="str">
        <x:v>JA</x:v>
      </x:c>
      <x:c r="AG132" s="36" t="str">
        <x:v>FREIGEGEBEN</x:v>
      </x:c>
      <x:c r="AH132" s="36" t="str">
        <x:v>GPT-5.6 Sol · Buchprüfung Matthäus · L1912/OTB</x:v>
      </x:c>
      <x:c r="AI132" s="36" t="str">
        <x:v>FREIGEGEBEN</x:v>
      </x:c>
      <x:c r="AJ132" s="36" t="str">
        <x:v>Matthäus 27: repetitive Wiedererkennungsfrage durch GESCHEHEN-Frage ersetzt.</x:v>
      </x:c>
      <x:c r="AK132" s="36" t="str">
        <x:v>FaithPath repo develop/v4 · data/bibles/l1912/MAT.json · data/bibles/otb/MAT.json</x:v>
      </x:c>
      <x:c r="AL132" t="str">
        <x:v>JA</x:v>
      </x:c>
    </x:row>
    <x:row r="133">
      <x:c r="A133" t="str">
        <x:v>FP-0392</x:v>
      </x:c>
      <x:c r="B133" t="str">
        <x:v>MAT</x:v>
      </x:c>
      <x:c r="C133" t="str">
        <x:v>Matthäus</x:v>
      </x:c>
      <x:c r="D133" t="n">
        <x:v>27</x:v>
      </x:c>
      <x:c r="E133" t="n">
        <x:v>2</x:v>
      </x:c>
      <x:c r="F133" t="str">
        <x:v>MAT-027</x:v>
      </x:c>
      <x:c r="G133" t="n">
        <x:v>27</x:v>
      </x:c>
      <x:c r="H133" t="str">
        <x:v>CQ-A02</x:v>
      </x:c>
      <x:c r="I133" s="36" t="str">
        <x:v>Welche dieser Aussagen stammt aus Matthäus 27?</x:v>
      </x:c>
      <x:c r="J133" s="36" t="str"/>
      <x:c r="K133" s="36" t="str"/>
      <x:c r="L133" s="36" t="str">
        <x:v>REPO_VERIFIZIERT_FRAGEFORM</x:v>
      </x:c>
      <x:c r="M133" s="36" t="str">
        <x:v>ERSETZEN</x:v>
      </x:c>
      <x:c r="N133" s="36" t="str">
        <x:v>REPETITIVE_FRAGEFORM</x:v>
      </x:c>
      <x:c r="O133" s="36" t="str">
        <x:v>REINE_WIEDERERKENNUNG</x:v>
      </x:c>
      <x:c r="P133" s="36" t="str">
        <x:v>GESCHEHEN</x:v>
      </x:c>
      <x:c r="Q133" s="36" t="str">
        <x:v>Wen fordert die Menge bei Pilatus zur Freilassung?</x:v>
      </x:c>
      <x:c r="R133" s="36" t="str">
        <x:v>Jesus.</x:v>
      </x:c>
      <x:c r="S133" s="36" t="str">
        <x:v>Johannes den Täufer.</x:v>
      </x:c>
      <x:c r="T133" s="36" t="str">
        <x:v>Josef von Arimathäa.</x:v>
      </x:c>
      <x:c r="U133" s="36" t="str">
        <x:v>Barabbas.</x:v>
      </x:c>
      <x:c r="V133" s="36" t="n">
        <x:v>3</x:v>
      </x:c>
      <x:c r="W133" s="36" t="str">
        <x:v>Barabbas.</x:v>
      </x:c>
      <x:c r="X133" s="36" t="str">
        <x:v>Matthäus 27,15–26</x:v>
      </x:c>
      <x:c r="Y133" s="36" t="str">
        <x:v>Im Rahmen der Passah-Amnestie verlangt die Menge die Freilassung des Barabbas und die Kreuzigung Jesu.</x:v>
      </x:c>
      <x:c r="Z133" s="36" t="str">
        <x:v>JA</x:v>
      </x:c>
      <x:c r="AA133" s="36" t="str">
        <x:v>JA</x:v>
      </x:c>
      <x:c r="AB133" s="36" t="str">
        <x:v>JA</x:v>
      </x:c>
      <x:c r="AC133" s="36" t="str">
        <x:v>JA</x:v>
      </x:c>
      <x:c r="AD133" s="36" t="str">
        <x:v>JA</x:v>
      </x:c>
      <x:c r="AE133" s="36" t="str">
        <x:v>JA</x:v>
      </x:c>
      <x:c r="AF133" s="36" t="str">
        <x:v>JA</x:v>
      </x:c>
      <x:c r="AG133" s="36" t="str">
        <x:v>FREIGEGEBEN</x:v>
      </x:c>
      <x:c r="AH133" s="36" t="str">
        <x:v>GPT-5.6 Sol · Buchprüfung Matthäus · L1912/OTB</x:v>
      </x:c>
      <x:c r="AI133" s="36" t="str">
        <x:v>FREIGEGEBEN</x:v>
      </x:c>
      <x:c r="AJ133" s="36" t="str">
        <x:v>Matthäus 27: repetitive Wiedererkennungsfrage durch GESCHEHEN-Frage ersetzt.</x:v>
      </x:c>
      <x:c r="AK133" s="36" t="str">
        <x:v>FaithPath repo develop/v4 · data/bibles/l1912/MAT.json · data/bibles/otb/MAT.json</x:v>
      </x:c>
      <x:c r="AL133" t="str">
        <x:v>JA</x:v>
      </x:c>
    </x:row>
    <x:row r="134">
      <x:c r="A134" t="str">
        <x:v>FP-0393</x:v>
      </x:c>
      <x:c r="B134" t="str">
        <x:v>MAT</x:v>
      </x:c>
      <x:c r="C134" t="str">
        <x:v>Matthäus</x:v>
      </x:c>
      <x:c r="D134" t="n">
        <x:v>27</x:v>
      </x:c>
      <x:c r="E134" t="n">
        <x:v>3</x:v>
      </x:c>
      <x:c r="F134" t="str">
        <x:v>MAT-027</x:v>
      </x:c>
      <x:c r="G134" t="n">
        <x:v>27</x:v>
      </x:c>
      <x:c r="H134" t="str">
        <x:v>CQ-A02</x:v>
      </x:c>
      <x:c r="I134" s="36" t="str">
        <x:v>Welche dieser Aussagen stammt aus Matthäus 27?</x:v>
      </x:c>
      <x:c r="J134" s="36" t="str"/>
      <x:c r="K134" s="36" t="str"/>
      <x:c r="L134" s="36" t="str">
        <x:v>REPO_VERIFIZIERT_FRAGEFORM</x:v>
      </x:c>
      <x:c r="M134" s="36" t="str">
        <x:v>ERSETZEN</x:v>
      </x:c>
      <x:c r="N134" s="36" t="str">
        <x:v>REPETITIVE_FRAGEFORM</x:v>
      </x:c>
      <x:c r="O134" s="36" t="str">
        <x:v>REINE_WIEDERERKENNUNG</x:v>
      </x:c>
      <x:c r="P134" s="36" t="str">
        <x:v>TEXTGENAUIGKEIT</x:v>
      </x:c>
      <x:c r="Q134" s="36" t="str">
        <x:v>Welche Aufschrift wird über Jesu Kreuz angebracht?</x:v>
      </x:c>
      <x:c r="R134" s="36" t="str">
        <x:v>Dies ist Jesus, der König der Juden.</x:v>
      </x:c>
      <x:c r="S134" s="36" t="str">
        <x:v>Dies ist Jesus, der König von Rom.</x:v>
      </x:c>
      <x:c r="T134" s="36" t="str">
        <x:v>Dies ist der Täufer Johannes.</x:v>
      </x:c>
      <x:c r="U134" s="36" t="str">
        <x:v>Dies ist der Hohepriester.</x:v>
      </x:c>
      <x:c r="V134" s="36" t="n">
        <x:v>0</x:v>
      </x:c>
      <x:c r="W134" s="36" t="str">
        <x:v>Dies ist Jesus, der König der Juden.</x:v>
      </x:c>
      <x:c r="X134" s="36" t="str">
        <x:v>Matthäus 27,37</x:v>
      </x:c>
      <x:c r="Y134" s="36" t="str">
        <x:v>Über Jesu Kopf wird die Anklageschrift angebracht, die ihn als „König der Juden“ bezeichnet.</x:v>
      </x:c>
      <x:c r="Z134" s="36" t="str">
        <x:v>JA</x:v>
      </x:c>
      <x:c r="AA134" s="36" t="str">
        <x:v>JA</x:v>
      </x:c>
      <x:c r="AB134" s="36" t="str">
        <x:v>JA</x:v>
      </x:c>
      <x:c r="AC134" s="36" t="str">
        <x:v>JA</x:v>
      </x:c>
      <x:c r="AD134" s="36" t="str">
        <x:v>JA</x:v>
      </x:c>
      <x:c r="AE134" s="36" t="str">
        <x:v>JA</x:v>
      </x:c>
      <x:c r="AF134" s="36" t="str">
        <x:v>JA</x:v>
      </x:c>
      <x:c r="AG134" s="36" t="str">
        <x:v>FREIGEGEBEN</x:v>
      </x:c>
      <x:c r="AH134" s="36" t="str">
        <x:v>GPT-5.6 Sol · Buchprüfung Matthäus · L1912/OTB</x:v>
      </x:c>
      <x:c r="AI134" s="36" t="str">
        <x:v>FREIGEGEBEN</x:v>
      </x:c>
      <x:c r="AJ134" s="36" t="str">
        <x:v>Matthäus 27: repetitive Wiedererkennungsfrage durch TEXTGENAUIGKEIT-Frage ersetzt.</x:v>
      </x:c>
      <x:c r="AK134" s="36" t="str">
        <x:v>FaithPath repo develop/v4 · data/bibles/l1912/MAT.json · data/bibles/otb/MAT.json</x:v>
      </x:c>
      <x:c r="AL134" t="str">
        <x:v>JA</x:v>
      </x:c>
    </x:row>
    <x:row r="135">
      <x:c r="A135" t="str">
        <x:v>FP-0394</x:v>
      </x:c>
      <x:c r="B135" t="str">
        <x:v>MAT</x:v>
      </x:c>
      <x:c r="C135" t="str">
        <x:v>Matthäus</x:v>
      </x:c>
      <x:c r="D135" t="n">
        <x:v>27</x:v>
      </x:c>
      <x:c r="E135" t="n">
        <x:v>4</x:v>
      </x:c>
      <x:c r="F135" t="str">
        <x:v>MAT-027</x:v>
      </x:c>
      <x:c r="G135" t="n">
        <x:v>27</x:v>
      </x:c>
      <x:c r="H135" t="str">
        <x:v>CQ-A02</x:v>
      </x:c>
      <x:c r="I135" s="36" t="str">
        <x:v>Welche dieser Aussagen stammt aus Matthäus 27?</x:v>
      </x:c>
      <x:c r="J135" s="36" t="str"/>
      <x:c r="K135" s="36" t="str"/>
      <x:c r="L135" s="36" t="str">
        <x:v>REPO_VERIFIZIERT_FRAGEFORM</x:v>
      </x:c>
      <x:c r="M135" s="36" t="str">
        <x:v>ERSETZEN</x:v>
      </x:c>
      <x:c r="N135" s="36" t="str">
        <x:v>REPETITIVE_FRAGEFORM</x:v>
      </x:c>
      <x:c r="O135" s="36" t="str">
        <x:v>REINE_WIEDERERKENNUNG</x:v>
      </x:c>
      <x:c r="P135" s="36" t="str">
        <x:v>ZUSAMMENHANG</x:v>
      </x:c>
      <x:c r="Q135" s="36" t="str">
        <x:v>Was bekennt der Hauptmann nach Jesu Tod und den begleitenden Ereignissen?</x:v>
      </x:c>
      <x:c r="R135" s="36" t="str">
        <x:v>Wahrhaftig, dieser war Johannes der Täufer.</x:v>
      </x:c>
      <x:c r="S135" s="36" t="str">
        <x:v>Wahrhaftig, dieser war Gottes Sohn.</x:v>
      </x:c>
      <x:c r="T135" s="36" t="str">
        <x:v>Wahrhaftig, dieser war ein römischer Bürger.</x:v>
      </x:c>
      <x:c r="U135" s="36" t="str">
        <x:v>Wahrhaftig, dieser war der Hohepriester.</x:v>
      </x:c>
      <x:c r="V135" s="36" t="n">
        <x:v>1</x:v>
      </x:c>
      <x:c r="W135" s="36" t="str">
        <x:v>Wahrhaftig, dieser war Gottes Sohn.</x:v>
      </x:c>
      <x:c r="X135" s="36" t="str">
        <x:v>Matthäus 27,50–54</x:v>
      </x:c>
      <x:c r="Y135" s="36" t="str">
        <x:v>Nach Jesu Tod, dem Zerreißen des Tempelvorhangs und dem Erdbeben bekennen der Hauptmann und seine Leute Jesus als Gottes Sohn.</x:v>
      </x:c>
      <x:c r="Z135" s="36" t="str">
        <x:v>JA</x:v>
      </x:c>
      <x:c r="AA135" s="36" t="str">
        <x:v>JA</x:v>
      </x:c>
      <x:c r="AB135" s="36" t="str">
        <x:v>JA</x:v>
      </x:c>
      <x:c r="AC135" s="36" t="str">
        <x:v>JA</x:v>
      </x:c>
      <x:c r="AD135" s="36" t="str">
        <x:v>JA</x:v>
      </x:c>
      <x:c r="AE135" s="36" t="str">
        <x:v>JA</x:v>
      </x:c>
      <x:c r="AF135" s="36" t="str">
        <x:v>JA</x:v>
      </x:c>
      <x:c r="AG135" s="36" t="str">
        <x:v>FREIGEGEBEN</x:v>
      </x:c>
      <x:c r="AH135" s="36" t="str">
        <x:v>GPT-5.6 Sol · Buchprüfung Matthäus · L1912/OTB</x:v>
      </x:c>
      <x:c r="AI135" s="36" t="str">
        <x:v>FREIGEGEBEN</x:v>
      </x:c>
      <x:c r="AJ135" s="36" t="str">
        <x:v>Matthäus 27: repetitive Wiedererkennungsfrage durch ZUSAMMENHANG-Frage ersetzt.</x:v>
      </x:c>
      <x:c r="AK135" s="36" t="str">
        <x:v>FaithPath repo develop/v4 · data/bibles/l1912/MAT.json · data/bibles/otb/MAT.json</x:v>
      </x:c>
      <x:c r="AL135" t="str">
        <x:v>JA</x:v>
      </x:c>
    </x:row>
    <x:row r="136">
      <x:c r="A136" t="str">
        <x:v>FP-0395</x:v>
      </x:c>
      <x:c r="B136" t="str">
        <x:v>MAT</x:v>
      </x:c>
      <x:c r="C136" t="str">
        <x:v>Matthäus</x:v>
      </x:c>
      <x:c r="D136" t="n">
        <x:v>27</x:v>
      </x:c>
      <x:c r="E136" t="n">
        <x:v>5</x:v>
      </x:c>
      <x:c r="F136" t="str">
        <x:v>MAT-027</x:v>
      </x:c>
      <x:c r="G136" t="n">
        <x:v>27</x:v>
      </x:c>
      <x:c r="H136" t="str">
        <x:v>CQ-A02</x:v>
      </x:c>
      <x:c r="I136" s="36" t="str">
        <x:v>Welche dieser Aussagen stammt aus Matthäus 27?</x:v>
      </x:c>
      <x:c r="J136" s="36" t="str"/>
      <x:c r="K136" s="36" t="str"/>
      <x:c r="L136" s="36" t="str">
        <x:v>REPO_VERIFIZIERT_FRAGEFORM</x:v>
      </x:c>
      <x:c r="M136" s="36" t="str">
        <x:v>ERSETZEN</x:v>
      </x:c>
      <x:c r="N136" s="36" t="str">
        <x:v>REPETITIVE_FRAGEFORM</x:v>
      </x:c>
      <x:c r="O136" s="36" t="str">
        <x:v>REINE_WIEDERERKENNUNG</x:v>
      </x:c>
      <x:c r="P136" s="36" t="str">
        <x:v>GESCHEHEN</x:v>
      </x:c>
      <x:c r="Q136" s="36" t="str">
        <x:v>Wie sichern die Hohenpriester und Pharisäer das Grab Jesu?</x:v>
      </x:c>
      <x:c r="R136" s="36" t="str">
        <x:v>Sie lassen das Grab offen.</x:v>
      </x:c>
      <x:c r="S136" s="36" t="str">
        <x:v>Sie bringen den Leichnam in den Tempel.</x:v>
      </x:c>
      <x:c r="T136" s="36" t="str">
        <x:v>Sie lassen den Stein versiegeln und eine Wache aufstellen.</x:v>
      </x:c>
      <x:c r="U136" s="36" t="str">
        <x:v>Sie bewachen es nur selbst ohne Siegel.</x:v>
      </x:c>
      <x:c r="V136" s="36" t="n">
        <x:v>2</x:v>
      </x:c>
      <x:c r="W136" s="36" t="str">
        <x:v>Sie lassen den Stein versiegeln und eine Wache aufstellen.</x:v>
      </x:c>
      <x:c r="X136" s="36" t="str">
        <x:v>Matthäus 27,62–66</x:v>
      </x:c>
      <x:c r="Y136" s="36" t="str">
        <x:v>Aus Sorge vor einer behaupteten Auferstehung wird das Grab mit einem Siegel und Wachen gesichert.</x:v>
      </x:c>
      <x:c r="Z136" s="36" t="str">
        <x:v>JA</x:v>
      </x:c>
      <x:c r="AA136" s="36" t="str">
        <x:v>JA</x:v>
      </x:c>
      <x:c r="AB136" s="36" t="str">
        <x:v>JA</x:v>
      </x:c>
      <x:c r="AC136" s="36" t="str">
        <x:v>JA</x:v>
      </x:c>
      <x:c r="AD136" s="36" t="str">
        <x:v>JA</x:v>
      </x:c>
      <x:c r="AE136" s="36" t="str">
        <x:v>JA</x:v>
      </x:c>
      <x:c r="AF136" s="36" t="str">
        <x:v>JA</x:v>
      </x:c>
      <x:c r="AG136" s="36" t="str">
        <x:v>FREIGEGEBEN</x:v>
      </x:c>
      <x:c r="AH136" s="36" t="str">
        <x:v>GPT-5.6 Sol · Buchprüfung Matthäus · L1912/OTB</x:v>
      </x:c>
      <x:c r="AI136" s="36" t="str">
        <x:v>FREIGEGEBEN</x:v>
      </x:c>
      <x:c r="AJ136" s="36" t="str">
        <x:v>Matthäus 27: repetitive Wiedererkennungsfrage durch GESCHEHEN-Frage ersetzt.</x:v>
      </x:c>
      <x:c r="AK136" s="36" t="str">
        <x:v>FaithPath repo develop/v4 · data/bibles/l1912/MAT.json · data/bibles/otb/MAT.json</x:v>
      </x:c>
      <x:c r="AL136" t="str">
        <x:v>JA</x:v>
      </x:c>
    </x:row>
    <x:row r="137">
      <x:c r="A137" t="str">
        <x:v>FP-0396</x:v>
      </x:c>
      <x:c r="B137" t="str">
        <x:v>MAT</x:v>
      </x:c>
      <x:c r="C137" t="str">
        <x:v>Matthäus</x:v>
      </x:c>
      <x:c r="D137" t="n">
        <x:v>28</x:v>
      </x:c>
      <x:c r="E137" t="n">
        <x:v>1</x:v>
      </x:c>
      <x:c r="F137" t="str">
        <x:v>MAT-028</x:v>
      </x:c>
      <x:c r="G137" t="n">
        <x:v>28</x:v>
      </x:c>
      <x:c r="H137" t="str">
        <x:v>CQ-A02</x:v>
      </x:c>
      <x:c r="I137" s="36" t="str">
        <x:v>Welche dieser Aussagen stammt aus Matthäus 28?</x:v>
      </x:c>
      <x:c r="J137" s="36" t="str"/>
      <x:c r="K137" s="36" t="str"/>
      <x:c r="L137" s="36" t="str">
        <x:v>REPO_VERIFIZIERT_FRAGEFORM</x:v>
      </x:c>
      <x:c r="M137" s="36" t="str">
        <x:v>ERSETZEN</x:v>
      </x:c>
      <x:c r="N137" s="36" t="str">
        <x:v>REPETITIVE_FRAGEFORM</x:v>
      </x:c>
      <x:c r="O137" s="36" t="str">
        <x:v>REINE_WIEDERERKENNUNG</x:v>
      </x:c>
      <x:c r="P137" s="36" t="str">
        <x:v>GESCHEHEN</x:v>
      </x:c>
      <x:c r="Q137" s="36" t="str">
        <x:v>Wer kommt am ersten Tag der Woche zum Grab Jesu?</x:v>
      </x:c>
      <x:c r="R137" s="36" t="str">
        <x:v>Petrus und Johannes allein.</x:v>
      </x:c>
      <x:c r="S137" s="36" t="str">
        <x:v>Pilatus und der Hauptmann.</x:v>
      </x:c>
      <x:c r="T137" s="36" t="str">
        <x:v>Josef von Arimathäa und Nikodemus.</x:v>
      </x:c>
      <x:c r="U137" s="36" t="str">
        <x:v>Maria Magdalena und die andere Maria.</x:v>
      </x:c>
      <x:c r="V137" s="36" t="n">
        <x:v>3</x:v>
      </x:c>
      <x:c r="W137" s="36" t="str">
        <x:v>Maria Magdalena und die andere Maria.</x:v>
      </x:c>
      <x:c r="X137" s="36" t="str">
        <x:v>Matthäus 28,1</x:v>
      </x:c>
      <x:c r="Y137" s="36" t="str">
        <x:v>Matthäus nennt Maria Magdalena und die andere Maria als die Frauen, die zum Grab kommen.</x:v>
      </x:c>
      <x:c r="Z137" s="36" t="str">
        <x:v>JA</x:v>
      </x:c>
      <x:c r="AA137" s="36" t="str">
        <x:v>JA</x:v>
      </x:c>
      <x:c r="AB137" s="36" t="str">
        <x:v>JA</x:v>
      </x:c>
      <x:c r="AC137" s="36" t="str">
        <x:v>JA</x:v>
      </x:c>
      <x:c r="AD137" s="36" t="str">
        <x:v>JA</x:v>
      </x:c>
      <x:c r="AE137" s="36" t="str">
        <x:v>JA</x:v>
      </x:c>
      <x:c r="AF137" s="36" t="str">
        <x:v>JA</x:v>
      </x:c>
      <x:c r="AG137" s="36" t="str">
        <x:v>FREIGEGEBEN</x:v>
      </x:c>
      <x:c r="AH137" s="36" t="str">
        <x:v>GPT-5.6 Sol · Buchprüfung Matthäus · L1912/OTB</x:v>
      </x:c>
      <x:c r="AI137" s="36" t="str">
        <x:v>FREIGEGEBEN</x:v>
      </x:c>
      <x:c r="AJ137" s="36" t="str">
        <x:v>Matthäus 28: repetitive Wiedererkennungsfrage durch GESCHEHEN-Frage ersetzt.</x:v>
      </x:c>
      <x:c r="AK137" s="36" t="str">
        <x:v>FaithPath repo develop/v4 · data/bibles/l1912/MAT.json · data/bibles/otb/MAT.json</x:v>
      </x:c>
      <x:c r="AL137" t="str">
        <x:v>JA</x:v>
      </x:c>
    </x:row>
    <x:row r="138">
      <x:c r="A138" t="str">
        <x:v>FP-0397</x:v>
      </x:c>
      <x:c r="B138" t="str">
        <x:v>MAT</x:v>
      </x:c>
      <x:c r="C138" t="str">
        <x:v>Matthäus</x:v>
      </x:c>
      <x:c r="D138" t="n">
        <x:v>28</x:v>
      </x:c>
      <x:c r="E138" t="n">
        <x:v>2</x:v>
      </x:c>
      <x:c r="F138" t="str">
        <x:v>MAT-028</x:v>
      </x:c>
      <x:c r="G138" t="n">
        <x:v>28</x:v>
      </x:c>
      <x:c r="H138" t="str">
        <x:v>CQ-A02</x:v>
      </x:c>
      <x:c r="I138" s="36" t="str">
        <x:v>Welche dieser Aussagen stammt aus Matthäus 28?</x:v>
      </x:c>
      <x:c r="J138" s="36" t="str"/>
      <x:c r="K138" s="36" t="str"/>
      <x:c r="L138" s="36" t="str">
        <x:v>REPO_VERIFIZIERT_FRAGEFORM</x:v>
      </x:c>
      <x:c r="M138" s="36" t="str">
        <x:v>ERSETZEN</x:v>
      </x:c>
      <x:c r="N138" s="36" t="str">
        <x:v>REPETITIVE_FRAGEFORM</x:v>
      </x:c>
      <x:c r="O138" s="36" t="str">
        <x:v>REINE_WIEDERERKENNUNG</x:v>
      </x:c>
      <x:c r="P138" s="36" t="str">
        <x:v>PERSON_AUSSAGE</x:v>
      </x:c>
      <x:c r="Q138" s="36" t="str">
        <x:v>Welche Botschaft gibt der Engel den Frauen über Jesus?</x:v>
      </x:c>
      <x:c r="R138" s="36" t="str">
        <x:v>Er ist auferstanden; sie sollen es den Jüngern sagen und sie nach Galiläa weisen.</x:v>
      </x:c>
      <x:c r="S138" s="36" t="str">
        <x:v>Jesus sei noch im Grab.</x:v>
      </x:c>
      <x:c r="T138" s="36" t="str">
        <x:v>Die Jünger sollten Jerusalem für immer verlassen.</x:v>
      </x:c>
      <x:c r="U138" s="36" t="str">
        <x:v>Sie sollten niemandem davon erzählen.</x:v>
      </x:c>
      <x:c r="V138" s="36" t="n">
        <x:v>0</x:v>
      </x:c>
      <x:c r="W138" s="36" t="str">
        <x:v>Er ist auferstanden; sie sollen es den Jüngern sagen und sie nach Galiläa weisen.</x:v>
      </x:c>
      <x:c r="X138" s="36" t="str">
        <x:v>Matthäus 28,5–7</x:v>
      </x:c>
      <x:c r="Y138" s="36" t="str">
        <x:v>Der Engel verkündet die Auferstehung und sendet die Frauen mit der Nachricht zu den Jüngern.</x:v>
      </x:c>
      <x:c r="Z138" s="36" t="str">
        <x:v>JA</x:v>
      </x:c>
      <x:c r="AA138" s="36" t="str">
        <x:v>JA</x:v>
      </x:c>
      <x:c r="AB138" s="36" t="str">
        <x:v>JA</x:v>
      </x:c>
      <x:c r="AC138" s="36" t="str">
        <x:v>JA</x:v>
      </x:c>
      <x:c r="AD138" s="36" t="str">
        <x:v>JA</x:v>
      </x:c>
      <x:c r="AE138" s="36" t="str">
        <x:v>JA</x:v>
      </x:c>
      <x:c r="AF138" s="36" t="str">
        <x:v>JA</x:v>
      </x:c>
      <x:c r="AG138" s="36" t="str">
        <x:v>FREIGEGEBEN</x:v>
      </x:c>
      <x:c r="AH138" s="36" t="str">
        <x:v>GPT-5.6 Sol · Buchprüfung Matthäus · L1912/OTB</x:v>
      </x:c>
      <x:c r="AI138" s="36" t="str">
        <x:v>FREIGEGEBEN</x:v>
      </x:c>
      <x:c r="AJ138" s="36" t="str">
        <x:v>Matthäus 28: repetitive Wiedererkennungsfrage durch PERSON_AUSSAGE-Frage ersetzt.</x:v>
      </x:c>
      <x:c r="AK138" s="36" t="str">
        <x:v>FaithPath repo develop/v4 · data/bibles/l1912/MAT.json · data/bibles/otb/MAT.json</x:v>
      </x:c>
      <x:c r="AL138" t="str">
        <x:v>JA</x:v>
      </x:c>
    </x:row>
    <x:row r="139">
      <x:c r="A139" t="str">
        <x:v>FP-0398</x:v>
      </x:c>
      <x:c r="B139" t="str">
        <x:v>MAT</x:v>
      </x:c>
      <x:c r="C139" t="str">
        <x:v>Matthäus</x:v>
      </x:c>
      <x:c r="D139" t="n">
        <x:v>28</x:v>
      </x:c>
      <x:c r="E139" t="n">
        <x:v>3</x:v>
      </x:c>
      <x:c r="F139" t="str">
        <x:v>MAT-028</x:v>
      </x:c>
      <x:c r="G139" t="n">
        <x:v>28</x:v>
      </x:c>
      <x:c r="H139" t="str">
        <x:v>CQ-A02</x:v>
      </x:c>
      <x:c r="I139" s="36" t="str">
        <x:v>Welche dieser Aussagen stammt aus Matthäus 28?</x:v>
      </x:c>
      <x:c r="J139" s="36" t="str"/>
      <x:c r="K139" s="36" t="str"/>
      <x:c r="L139" s="36" t="str">
        <x:v>REPO_VERIFIZIERT_FRAGEFORM</x:v>
      </x:c>
      <x:c r="M139" s="36" t="str">
        <x:v>ERSETZEN</x:v>
      </x:c>
      <x:c r="N139" s="36" t="str">
        <x:v>REPETITIVE_FRAGEFORM</x:v>
      </x:c>
      <x:c r="O139" s="36" t="str">
        <x:v>REINE_WIEDERERKENNUNG</x:v>
      </x:c>
      <x:c r="P139" s="36" t="str">
        <x:v>GESCHEHEN</x:v>
      </x:c>
      <x:c r="Q139" s="36" t="str">
        <x:v>Welche Erklärung sollen die Wächter nach der Absprache mit den Hohenpriestern verbreiten?</x:v>
      </x:c>
      <x:c r="R139" s="36" t="str">
        <x:v>Jesus sei nie gekreuzigt worden.</x:v>
      </x:c>
      <x:c r="S139" s="36" t="str">
        <x:v>Die Jünger hätten Jesu Leichnam nachts gestohlen, während die Wächter schliefen.</x:v>
      </x:c>
      <x:c r="T139" s="36" t="str">
        <x:v>Josef von Arimathäa habe das Grab verlegt.</x:v>
      </x:c>
      <x:c r="U139" s="36" t="str">
        <x:v>Ein Erdbeben habe den Leichnam fortgespült.</x:v>
      </x:c>
      <x:c r="V139" s="36" t="n">
        <x:v>1</x:v>
      </x:c>
      <x:c r="W139" s="36" t="str">
        <x:v>Die Jünger hätten Jesu Leichnam nachts gestohlen, während die Wächter schliefen.</x:v>
      </x:c>
      <x:c r="X139" s="36" t="str">
        <x:v>Matthäus 28,11–15</x:v>
      </x:c>
      <x:c r="Y139" s="36" t="str">
        <x:v>Die Wächter erhalten Geld und sollen die Geschichte verbreiten, die Jünger hätten den Leichnam nachts gestohlen.</x:v>
      </x:c>
      <x:c r="Z139" s="36" t="str">
        <x:v>JA</x:v>
      </x:c>
      <x:c r="AA139" s="36" t="str">
        <x:v>JA</x:v>
      </x:c>
      <x:c r="AB139" s="36" t="str">
        <x:v>JA</x:v>
      </x:c>
      <x:c r="AC139" s="36" t="str">
        <x:v>JA</x:v>
      </x:c>
      <x:c r="AD139" s="36" t="str">
        <x:v>JA</x:v>
      </x:c>
      <x:c r="AE139" s="36" t="str">
        <x:v>JA</x:v>
      </x:c>
      <x:c r="AF139" s="36" t="str">
        <x:v>JA</x:v>
      </x:c>
      <x:c r="AG139" s="36" t="str">
        <x:v>FREIGEGEBEN</x:v>
      </x:c>
      <x:c r="AH139" s="36" t="str">
        <x:v>GPT-5.6 Sol · Buchprüfung Matthäus · L1912/OTB</x:v>
      </x:c>
      <x:c r="AI139" s="36" t="str">
        <x:v>FREIGEGEBEN</x:v>
      </x:c>
      <x:c r="AJ139" s="36" t="str">
        <x:v>Matthäus 28: repetitive Wiedererkennungsfrage durch GESCHEHEN-Frage ersetzt.</x:v>
      </x:c>
      <x:c r="AK139" s="36" t="str">
        <x:v>FaithPath repo develop/v4 · data/bibles/l1912/MAT.json · data/bibles/otb/MAT.json</x:v>
      </x:c>
      <x:c r="AL139" t="str">
        <x:v>JA</x:v>
      </x:c>
    </x:row>
    <x:row r="140">
      <x:c r="A140" t="str">
        <x:v>FP-0399</x:v>
      </x:c>
      <x:c r="B140" t="str">
        <x:v>MAT</x:v>
      </x:c>
      <x:c r="C140" t="str">
        <x:v>Matthäus</x:v>
      </x:c>
      <x:c r="D140" t="n">
        <x:v>28</x:v>
      </x:c>
      <x:c r="E140" t="n">
        <x:v>4</x:v>
      </x:c>
      <x:c r="F140" t="str">
        <x:v>MAT-028</x:v>
      </x:c>
      <x:c r="G140" t="n">
        <x:v>28</x:v>
      </x:c>
      <x:c r="H140" t="str">
        <x:v>CQ-A02</x:v>
      </x:c>
      <x:c r="I140" s="36" t="str">
        <x:v>Welche dieser Aussagen stammt aus Matthäus 28?</x:v>
      </x:c>
      <x:c r="J140" s="36" t="str"/>
      <x:c r="K140" s="36" t="str"/>
      <x:c r="L140" s="36" t="str">
        <x:v>REPO_VERIFIZIERT_FRAGEFORM</x:v>
      </x:c>
      <x:c r="M140" s="36" t="str">
        <x:v>ERSETZEN</x:v>
      </x:c>
      <x:c r="N140" s="36" t="str">
        <x:v>REPETITIVE_FRAGEFORM</x:v>
      </x:c>
      <x:c r="O140" s="36" t="str">
        <x:v>REINE_WIEDERERKENNUNG</x:v>
      </x:c>
      <x:c r="P140" s="36" t="str">
        <x:v>KERNAUSSAGE</x:v>
      </x:c>
      <x:c r="Q140" s="36" t="str">
        <x:v>Welchen Auftrag gibt Jesus seinen Jüngern im sogenannten Missionsbefehl?</x:v>
      </x:c>
      <x:c r="R140" s="36" t="str">
        <x:v>Nur in Galiläa zu bleiben.</x:v>
      </x:c>
      <x:c r="S140" s="36" t="str">
        <x:v>Nur Judäer zu lehren.</x:v>
      </x:c>
      <x:c r="T140" s="36" t="str">
        <x:v>Alle Völker zu Jüngern zu machen und sie im Namen des Vaters, des Sohnes und des Heiligen Geistes zu taufen.</x:v>
      </x:c>
      <x:c r="U140" s="36" t="str">
        <x:v>Den Tempel neu zu bauen.</x:v>
      </x:c>
      <x:c r="V140" s="36" t="n">
        <x:v>2</x:v>
      </x:c>
      <x:c r="W140" s="36" t="str">
        <x:v>Alle Völker zu Jüngern zu machen und sie im Namen des Vaters, des Sohnes und des Heiligen Geistes zu taufen.</x:v>
      </x:c>
      <x:c r="X140" s="36" t="str">
        <x:v>Matthäus 28,18–19</x:v>
      </x:c>
      <x:c r="Y140" s="36" t="str">
        <x:v>Jesus sendet seine Jünger zu allen Völkern und verbindet Jüngermachen mit Taufe.</x:v>
      </x:c>
      <x:c r="Z140" s="36" t="str">
        <x:v>JA</x:v>
      </x:c>
      <x:c r="AA140" s="36" t="str">
        <x:v>JA</x:v>
      </x:c>
      <x:c r="AB140" s="36" t="str">
        <x:v>JA</x:v>
      </x:c>
      <x:c r="AC140" s="36" t="str">
        <x:v>JA</x:v>
      </x:c>
      <x:c r="AD140" s="36" t="str">
        <x:v>JA</x:v>
      </x:c>
      <x:c r="AE140" s="36" t="str">
        <x:v>JA</x:v>
      </x:c>
      <x:c r="AF140" s="36" t="str">
        <x:v>JA</x:v>
      </x:c>
      <x:c r="AG140" s="36" t="str">
        <x:v>FREIGEGEBEN</x:v>
      </x:c>
      <x:c r="AH140" s="36" t="str">
        <x:v>GPT-5.6 Sol · Buchprüfung Matthäus · L1912/OTB</x:v>
      </x:c>
      <x:c r="AI140" s="36" t="str">
        <x:v>FREIGEGEBEN</x:v>
      </x:c>
      <x:c r="AJ140" s="36" t="str">
        <x:v>Matthäus 28: repetitive Wiedererkennungsfrage durch KERNAUSSAGE-Frage ersetzt.</x:v>
      </x:c>
      <x:c r="AK140" s="36" t="str">
        <x:v>FaithPath repo develop/v4 · data/bibles/l1912/MAT.json · data/bibles/otb/MAT.json</x:v>
      </x:c>
      <x:c r="AL140" t="str">
        <x:v>JA</x:v>
      </x:c>
    </x:row>
    <x:row r="141">
      <x:c r="A141" t="str">
        <x:v>FP-0400</x:v>
      </x:c>
      <x:c r="B141" t="str">
        <x:v>MAT</x:v>
      </x:c>
      <x:c r="C141" t="str">
        <x:v>Matthäus</x:v>
      </x:c>
      <x:c r="D141" t="n">
        <x:v>28</x:v>
      </x:c>
      <x:c r="E141" t="n">
        <x:v>5</x:v>
      </x:c>
      <x:c r="F141" t="str">
        <x:v>MAT-028</x:v>
      </x:c>
      <x:c r="G141" t="n">
        <x:v>28</x:v>
      </x:c>
      <x:c r="H141" t="str">
        <x:v>CQ-A02</x:v>
      </x:c>
      <x:c r="I141" s="36" t="str">
        <x:v>Welche dieser Aussagen stammt aus Matthäus 28?</x:v>
      </x:c>
      <x:c r="J141" s="36" t="str"/>
      <x:c r="K141" s="36" t="str"/>
      <x:c r="L141" s="36" t="str">
        <x:v>REPO_VERIFIZIERT_FRAGEFORM</x:v>
      </x:c>
      <x:c r="M141" s="36" t="str">
        <x:v>ERSETZEN</x:v>
      </x:c>
      <x:c r="N141" s="36" t="str">
        <x:v>REPETITIVE_FRAGEFORM</x:v>
      </x:c>
      <x:c r="O141" s="36" t="str">
        <x:v>REINE_WIEDERERKENNUNG</x:v>
      </x:c>
      <x:c r="P141" s="36" t="str">
        <x:v>KERNAUSSAGE</x:v>
      </x:c>
      <x:c r="Q141" s="36" t="str">
        <x:v>Welche Zusage gibt Jesus seinen Jüngern am Ende des Matthäusevangeliums?</x:v>
      </x:c>
      <x:c r="R141" s="36" t="str">
        <x:v>Sie werden niemals Schwierigkeiten erleben.</x:v>
      </x:c>
      <x:c r="S141" s="36" t="str">
        <x:v>Sie werden sofort über alle Völker herrschen.</x:v>
      </x:c>
      <x:c r="T141" s="36" t="str">
        <x:v>Sie müssen nie wieder lehren.</x:v>
      </x:c>
      <x:c r="U141" s="36" t="str">
        <x:v>Er ist bei ihnen alle Tage bis zum Ende der Weltzeit.</x:v>
      </x:c>
      <x:c r="V141" s="36" t="n">
        <x:v>3</x:v>
      </x:c>
      <x:c r="W141" s="36" t="str">
        <x:v>Er ist bei ihnen alle Tage bis zum Ende der Weltzeit.</x:v>
      </x:c>
      <x:c r="X141" s="36" t="str">
        <x:v>Matthäus 28,20</x:v>
      </x:c>
      <x:c r="Y141" s="36" t="str">
        <x:v>Jesus verbindet den Auftrag zu lehren mit der Zusage seiner bleibenden Gegenwart.</x:v>
      </x:c>
      <x:c r="Z141" s="36" t="str">
        <x:v>JA</x:v>
      </x:c>
      <x:c r="AA141" s="36" t="str">
        <x:v>JA</x:v>
      </x:c>
      <x:c r="AB141" s="36" t="str">
        <x:v>JA</x:v>
      </x:c>
      <x:c r="AC141" s="36" t="str">
        <x:v>JA</x:v>
      </x:c>
      <x:c r="AD141" s="36" t="str">
        <x:v>JA</x:v>
      </x:c>
      <x:c r="AE141" s="36" t="str">
        <x:v>JA</x:v>
      </x:c>
      <x:c r="AF141" s="36" t="str">
        <x:v>JA</x:v>
      </x:c>
      <x:c r="AG141" s="36" t="str">
        <x:v>FREIGEGEBEN</x:v>
      </x:c>
      <x:c r="AH141" s="36" t="str">
        <x:v>GPT-5.6 Sol · Buchprüfung Matthäus · L1912/OTB</x:v>
      </x:c>
      <x:c r="AI141" s="36" t="str">
        <x:v>FREIGEGEBEN</x:v>
      </x:c>
      <x:c r="AJ141" s="36" t="str">
        <x:v>Matthäus 28: repetitive Wiedererkennungsfrage durch KERNAUSSAGE-Frage ersetzt.</x:v>
      </x:c>
      <x:c r="AK141" s="36" t="str">
        <x:v>FaithPath repo develop/v4 · data/bibles/l1912/MAT.json · data/bibles/otb/MAT.json</x:v>
      </x:c>
      <x:c r="AL141" t="str">
        <x:v>JA</x:v>
      </x:c>
    </x:row>
    <x:row r="142">
      <x:c r="A142" t="str">
        <x:v>FP-0401</x:v>
      </x:c>
      <x:c r="B142" t="str">
        <x:v>MRK</x:v>
      </x:c>
      <x:c r="C142" t="str">
        <x:v>Markus</x:v>
      </x:c>
      <x:c r="D142" t="n">
        <x:v>1</x:v>
      </x:c>
      <x:c r="E142" t="n">
        <x:v>1</x:v>
      </x:c>
      <x:c r="F142" t="str">
        <x:v>MRK-001</x:v>
      </x:c>
      <x:c r="G142" t="n">
        <x:v>29</x:v>
      </x:c>
      <x:c r="H142" t="str">
        <x:v>CQ-A02</x:v>
      </x:c>
      <x:c r="I142" s="36" t="str">
        <x:v>Welche dieser Aussagen stammt aus Markus 1?</x:v>
      </x:c>
      <x:c r="J142" s="36" t="str"/>
      <x:c r="K142" s="36" t="str"/>
      <x:c r="L142" s="36" t="str">
        <x:v>REPO_VERIFIZIERT_FRAGEFORM</x:v>
      </x:c>
      <x:c r="M142" s="36" t="str">
        <x:v>ERSETZEN</x:v>
      </x:c>
      <x:c r="N142" s="36" t="str">
        <x:v>REPETITIVE_FRAGEFORM</x:v>
      </x:c>
      <x:c r="O142" s="36" t="str">
        <x:v>REINE_WIEDERERKENNUNG</x:v>
      </x:c>
      <x:c r="P142" s="36" t="str">
        <x:v>TEXTGENAUIGKEIT</x:v>
      </x:c>
      <x:c r="Q142" s="36" t="str">
        <x:v>Was predigte Johannes der Täufer in der Wüste?</x:v>
      </x:c>
      <x:c r="R142" s="36" t="str">
        <x:v>Eine Taufe der Umkehr zur Vergebung der Sünden.</x:v>
      </x:c>
      <x:c r="S142" s="36" t="str">
        <x:v>Dass Jerusalem sofort zerstört werde.</x:v>
      </x:c>
      <x:c r="T142" s="36" t="str">
        <x:v>Dass niemand mehr getauft werden solle.</x:v>
      </x:c>
      <x:c r="U142" s="36" t="str">
        <x:v>Dass das Reich Gottes schon sichtbar vollendet sei.</x:v>
      </x:c>
      <x:c r="V142" s="36" t="n">
        <x:v>0</x:v>
      </x:c>
      <x:c r="W142" s="36" t="str">
        <x:v>Eine Taufe der Umkehr zur Vergebung der Sünden.</x:v>
      </x:c>
      <x:c r="X142" s="36" t="str">
        <x:v>Markus 1,4–5</x:v>
      </x:c>
      <x:c r="Y142" s="36" t="str">
        <x:v>Johannes predigt eine Taufe der Umkehr zur Vergebung der Sünden und die Menschen bekennen dabei ihre Sünden.</x:v>
      </x:c>
      <x:c r="Z142" s="36" t="str">
        <x:v>JA</x:v>
      </x:c>
      <x:c r="AA142" s="36" t="str">
        <x:v>JA</x:v>
      </x:c>
      <x:c r="AB142" s="36" t="str">
        <x:v>JA</x:v>
      </x:c>
      <x:c r="AC142" s="36" t="str">
        <x:v>JA</x:v>
      </x:c>
      <x:c r="AD142" s="36" t="str">
        <x:v>JA</x:v>
      </x:c>
      <x:c r="AE142" s="36" t="str">
        <x:v>JA</x:v>
      </x:c>
      <x:c r="AF142" s="36" t="str">
        <x:v>JA</x:v>
      </x:c>
      <x:c r="AG142" s="36" t="str">
        <x:v>FREIGEGEBEN</x:v>
      </x:c>
      <x:c r="AH142" s="36" t="str">
        <x:v>GPT-5.6 Sol · Buchprüfung Markus · L1912/OTB</x:v>
      </x:c>
      <x:c r="AI142" s="36" t="str">
        <x:v>FREIGEGEBEN</x:v>
      </x:c>
      <x:c r="AJ142" s="36" t="str">
        <x:v>Markus 1: repetitive Wiedererkennungsfrage durch TEXTGENAUIGKEIT-Frage ersetzt.</x:v>
      </x:c>
      <x:c r="AK142" s="36" t="str">
        <x:v>FaithPath repo develop/v4 · data/bibles/l1912/MRK.json · data/bibles/otb/MRK.json</x:v>
      </x:c>
      <x:c r="AL142" t="str">
        <x:v>JA</x:v>
      </x:c>
    </x:row>
    <x:row r="143">
      <x:c r="A143" t="str">
        <x:v>FP-0402</x:v>
      </x:c>
      <x:c r="B143" t="str">
        <x:v>MRK</x:v>
      </x:c>
      <x:c r="C143" t="str">
        <x:v>Markus</x:v>
      </x:c>
      <x:c r="D143" t="n">
        <x:v>1</x:v>
      </x:c>
      <x:c r="E143" t="n">
        <x:v>2</x:v>
      </x:c>
      <x:c r="F143" t="str">
        <x:v>MRK-001</x:v>
      </x:c>
      <x:c r="G143" t="n">
        <x:v>29</x:v>
      </x:c>
      <x:c r="H143" t="str">
        <x:v>CQ-A02</x:v>
      </x:c>
      <x:c r="I143" s="36" t="str">
        <x:v>Welche dieser Aussagen stammt aus Markus 1?</x:v>
      </x:c>
      <x:c r="J143" s="36" t="str"/>
      <x:c r="K143" s="36" t="str"/>
      <x:c r="L143" s="36" t="str">
        <x:v>REPO_VERIFIZIERT_FRAGEFORM</x:v>
      </x:c>
      <x:c r="M143" s="36" t="str">
        <x:v>ERSETZEN</x:v>
      </x:c>
      <x:c r="N143" s="36" t="str">
        <x:v>REPETITIVE_FRAGEFORM</x:v>
      </x:c>
      <x:c r="O143" s="36" t="str">
        <x:v>REINE_WIEDERERKENNUNG</x:v>
      </x:c>
      <x:c r="P143" s="36" t="str">
        <x:v>PERSON_AUSSAGE</x:v>
      </x:c>
      <x:c r="Q143" s="36" t="str">
        <x:v>Was sagt die Stimme aus dem Himmel bei Jesu Taufe?</x:v>
      </x:c>
      <x:c r="R143" s="36" t="str">
        <x:v>Dies ist Mose, auf den ihr hören sollt.</x:v>
      </x:c>
      <x:c r="S143" s="36" t="str">
        <x:v>Du bist mein geliebter Sohn; an dir habe ich Wohlgefallen.</x:v>
      </x:c>
      <x:c r="T143" s="36" t="str">
        <x:v>Du wirst heute König in Jerusalem.</x:v>
      </x:c>
      <x:c r="U143" s="36" t="str">
        <x:v>Alle Menschen werden dir sofort folgen.</x:v>
      </x:c>
      <x:c r="V143" s="36" t="n">
        <x:v>1</x:v>
      </x:c>
      <x:c r="W143" s="36" t="str">
        <x:v>Du bist mein geliebter Sohn; an dir habe ich Wohlgefallen.</x:v>
      </x:c>
      <x:c r="X143" s="36" t="str">
        <x:v>Markus 1,9–11</x:v>
      </x:c>
      <x:c r="Y143" s="36" t="str">
        <x:v>Bei Jesu Taufe bezeichnet die Stimme aus dem Himmel ihn als den geliebten Sohn, an dem Gott Wohlgefallen hat.</x:v>
      </x:c>
      <x:c r="Z143" s="36" t="str">
        <x:v>JA</x:v>
      </x:c>
      <x:c r="AA143" s="36" t="str">
        <x:v>JA</x:v>
      </x:c>
      <x:c r="AB143" s="36" t="str">
        <x:v>JA</x:v>
      </x:c>
      <x:c r="AC143" s="36" t="str">
        <x:v>JA</x:v>
      </x:c>
      <x:c r="AD143" s="36" t="str">
        <x:v>JA</x:v>
      </x:c>
      <x:c r="AE143" s="36" t="str">
        <x:v>JA</x:v>
      </x:c>
      <x:c r="AF143" s="36" t="str">
        <x:v>JA</x:v>
      </x:c>
      <x:c r="AG143" s="36" t="str">
        <x:v>FREIGEGEBEN</x:v>
      </x:c>
      <x:c r="AH143" s="36" t="str">
        <x:v>GPT-5.6 Sol · Buchprüfung Markus · L1912/OTB</x:v>
      </x:c>
      <x:c r="AI143" s="36" t="str">
        <x:v>FREIGEGEBEN</x:v>
      </x:c>
      <x:c r="AJ143" s="36" t="str">
        <x:v>Markus 1: repetitive Wiedererkennungsfrage durch PERSON_AUSSAGE-Frage ersetzt.</x:v>
      </x:c>
      <x:c r="AK143" s="36" t="str">
        <x:v>FaithPath repo develop/v4 · data/bibles/l1912/MRK.json · data/bibles/otb/MRK.json</x:v>
      </x:c>
      <x:c r="AL143" t="str">
        <x:v>JA</x:v>
      </x:c>
    </x:row>
    <x:row r="144">
      <x:c r="A144" t="str">
        <x:v>FP-0403</x:v>
      </x:c>
      <x:c r="B144" t="str">
        <x:v>MRK</x:v>
      </x:c>
      <x:c r="C144" t="str">
        <x:v>Markus</x:v>
      </x:c>
      <x:c r="D144" t="n">
        <x:v>1</x:v>
      </x:c>
      <x:c r="E144" t="n">
        <x:v>3</x:v>
      </x:c>
      <x:c r="F144" t="str">
        <x:v>MRK-001</x:v>
      </x:c>
      <x:c r="G144" t="n">
        <x:v>29</x:v>
      </x:c>
      <x:c r="H144" t="str">
        <x:v>CQ-A02</x:v>
      </x:c>
      <x:c r="I144" s="36" t="str">
        <x:v>Welche dieser Aussagen stammt aus Markus 1?</x:v>
      </x:c>
      <x:c r="J144" s="36" t="str"/>
      <x:c r="K144" s="36" t="str"/>
      <x:c r="L144" s="36" t="str">
        <x:v>REPO_VERIFIZIERT_FRAGEFORM</x:v>
      </x:c>
      <x:c r="M144" s="36" t="str">
        <x:v>ERSETZEN</x:v>
      </x:c>
      <x:c r="N144" s="36" t="str">
        <x:v>REPETITIVE_FRAGEFORM</x:v>
      </x:c>
      <x:c r="O144" s="36" t="str">
        <x:v>REINE_WIEDERERKENNUNG</x:v>
      </x:c>
      <x:c r="P144" s="36" t="str">
        <x:v>GESCHEHEN</x:v>
      </x:c>
      <x:c r="Q144" s="36" t="str">
        <x:v>Wie reagieren Simon und Andreas auf Jesu Ruf, ihm nachzufolgen?</x:v>
      </x:c>
      <x:c r="R144" s="36" t="str">
        <x:v>Sie bitten um drei Tage Bedenkzeit.</x:v>
      </x:c>
      <x:c r="S144" s="36" t="str">
        <x:v>Sie gehen zuerst nach Jerusalem.</x:v>
      </x:c>
      <x:c r="T144" s="36" t="str">
        <x:v>Sie verlassen sofort ihre Netze und folgen ihm.</x:v>
      </x:c>
      <x:c r="U144" s="36" t="str">
        <x:v>Sie schicken andere Fischer an ihrer Stelle.</x:v>
      </x:c>
      <x:c r="V144" s="36" t="n">
        <x:v>2</x:v>
      </x:c>
      <x:c r="W144" s="36" t="str">
        <x:v>Sie verlassen sofort ihre Netze und folgen ihm.</x:v>
      </x:c>
      <x:c r="X144" s="36" t="str">
        <x:v>Markus 1,16–18</x:v>
      </x:c>
      <x:c r="Y144" s="36" t="str">
        <x:v>Simon und Andreas lassen ihre Netze ohne Zögern zurück und folgen Jesus.</x:v>
      </x:c>
      <x:c r="Z144" s="36" t="str">
        <x:v>JA</x:v>
      </x:c>
      <x:c r="AA144" s="36" t="str">
        <x:v>JA</x:v>
      </x:c>
      <x:c r="AB144" s="36" t="str">
        <x:v>JA</x:v>
      </x:c>
      <x:c r="AC144" s="36" t="str">
        <x:v>JA</x:v>
      </x:c>
      <x:c r="AD144" s="36" t="str">
        <x:v>JA</x:v>
      </x:c>
      <x:c r="AE144" s="36" t="str">
        <x:v>JA</x:v>
      </x:c>
      <x:c r="AF144" s="36" t="str">
        <x:v>JA</x:v>
      </x:c>
      <x:c r="AG144" s="36" t="str">
        <x:v>FREIGEGEBEN</x:v>
      </x:c>
      <x:c r="AH144" s="36" t="str">
        <x:v>GPT-5.6 Sol · Buchprüfung Markus · L1912/OTB</x:v>
      </x:c>
      <x:c r="AI144" s="36" t="str">
        <x:v>FREIGEGEBEN</x:v>
      </x:c>
      <x:c r="AJ144" s="36" t="str">
        <x:v>Markus 1: repetitive Wiedererkennungsfrage durch GESCHEHEN-Frage ersetzt.</x:v>
      </x:c>
      <x:c r="AK144" s="36" t="str">
        <x:v>FaithPath repo develop/v4 · data/bibles/l1912/MRK.json · data/bibles/otb/MRK.json</x:v>
      </x:c>
      <x:c r="AL144" t="str">
        <x:v>JA</x:v>
      </x:c>
    </x:row>
    <x:row r="145">
      <x:c r="A145" t="str">
        <x:v>FP-0404</x:v>
      </x:c>
      <x:c r="B145" t="str">
        <x:v>MRK</x:v>
      </x:c>
      <x:c r="C145" t="str">
        <x:v>Markus</x:v>
      </x:c>
      <x:c r="D145" t="n">
        <x:v>1</x:v>
      </x:c>
      <x:c r="E145" t="n">
        <x:v>4</x:v>
      </x:c>
      <x:c r="F145" t="str">
        <x:v>MRK-001</x:v>
      </x:c>
      <x:c r="G145" t="n">
        <x:v>29</x:v>
      </x:c>
      <x:c r="H145" t="str">
        <x:v>CQ-A02</x:v>
      </x:c>
      <x:c r="I145" s="36" t="str">
        <x:v>Welche dieser Aussagen stammt aus Markus 1?</x:v>
      </x:c>
      <x:c r="J145" s="36" t="str"/>
      <x:c r="K145" s="36" t="str"/>
      <x:c r="L145" s="36" t="str">
        <x:v>REPO_VERIFIZIERT_FRAGEFORM</x:v>
      </x:c>
      <x:c r="M145" s="36" t="str">
        <x:v>ERSETZEN</x:v>
      </x:c>
      <x:c r="N145" s="36" t="str">
        <x:v>REPETITIVE_FRAGEFORM</x:v>
      </x:c>
      <x:c r="O145" s="36" t="str">
        <x:v>REINE_WIEDERERKENNUNG</x:v>
      </x:c>
      <x:c r="P145" s="36" t="str">
        <x:v>ZUSAMMENHANG</x:v>
      </x:c>
      <x:c r="Q145" s="36" t="str">
        <x:v>Warum staunen die Menschen in der Synagoge über Jesus?</x:v>
      </x:c>
      <x:c r="R145" s="36" t="str">
        <x:v>Weil er eine neue Synagoge bauen lässt.</x:v>
      </x:c>
      <x:c r="S145" s="36" t="str">
        <x:v>Weil er nur in Gleichnissen schweigt.</x:v>
      </x:c>
      <x:c r="T145" s="36" t="str">
        <x:v>Weil er den Gottesdienst vorzeitig beendet.</x:v>
      </x:c>
      <x:c r="U145" s="36" t="str">
        <x:v>Weil er mit Vollmacht lehrt und sogar unreine Geister ihm gehorchen.</x:v>
      </x:c>
      <x:c r="V145" s="36" t="n">
        <x:v>3</x:v>
      </x:c>
      <x:c r="W145" s="36" t="str">
        <x:v>Weil er mit Vollmacht lehrt und sogar unreine Geister ihm gehorchen.</x:v>
      </x:c>
      <x:c r="X145" s="36" t="str">
        <x:v>Markus 1,23–27</x:v>
      </x:c>
      <x:c r="Y145" s="36" t="str">
        <x:v>Die Menschen verbinden Jesu Lehre mit sichtbarer Vollmacht: Selbst ein unreiner Geist gehorcht seinem Befehl.</x:v>
      </x:c>
      <x:c r="Z145" s="36" t="str">
        <x:v>JA</x:v>
      </x:c>
      <x:c r="AA145" s="36" t="str">
        <x:v>JA</x:v>
      </x:c>
      <x:c r="AB145" s="36" t="str">
        <x:v>JA</x:v>
      </x:c>
      <x:c r="AC145" s="36" t="str">
        <x:v>JA</x:v>
      </x:c>
      <x:c r="AD145" s="36" t="str">
        <x:v>JA</x:v>
      </x:c>
      <x:c r="AE145" s="36" t="str">
        <x:v>JA</x:v>
      </x:c>
      <x:c r="AF145" s="36" t="str">
        <x:v>JA</x:v>
      </x:c>
      <x:c r="AG145" s="36" t="str">
        <x:v>FREIGEGEBEN</x:v>
      </x:c>
      <x:c r="AH145" s="36" t="str">
        <x:v>GPT-5.6 Sol · Buchprüfung Markus · L1912/OTB</x:v>
      </x:c>
      <x:c r="AI145" s="36" t="str">
        <x:v>FREIGEGEBEN</x:v>
      </x:c>
      <x:c r="AJ145" s="36" t="str">
        <x:v>Markus 1: repetitive Wiedererkennungsfrage durch ZUSAMMENHANG-Frage ersetzt.</x:v>
      </x:c>
      <x:c r="AK145" s="36" t="str">
        <x:v>FaithPath repo develop/v4 · data/bibles/l1912/MRK.json · data/bibles/otb/MRK.json</x:v>
      </x:c>
      <x:c r="AL145" t="str">
        <x:v>JA</x:v>
      </x:c>
    </x:row>
    <x:row r="146">
      <x:c r="A146" t="str">
        <x:v>FP-0405</x:v>
      </x:c>
      <x:c r="B146" t="str">
        <x:v>MRK</x:v>
      </x:c>
      <x:c r="C146" t="str">
        <x:v>Markus</x:v>
      </x:c>
      <x:c r="D146" t="n">
        <x:v>1</x:v>
      </x:c>
      <x:c r="E146" t="n">
        <x:v>5</x:v>
      </x:c>
      <x:c r="F146" t="str">
        <x:v>MRK-001</x:v>
      </x:c>
      <x:c r="G146" t="n">
        <x:v>29</x:v>
      </x:c>
      <x:c r="H146" t="str">
        <x:v>CQ-A02</x:v>
      </x:c>
      <x:c r="I146" s="36" t="str">
        <x:v>Welche dieser Aussagen stammt aus Markus 1?</x:v>
      </x:c>
      <x:c r="J146" s="36" t="str"/>
      <x:c r="K146" s="36" t="str"/>
      <x:c r="L146" s="36" t="str">
        <x:v>REPO_VERIFIZIERT_FRAGEFORM</x:v>
      </x:c>
      <x:c r="M146" s="36" t="str">
        <x:v>ERSETZEN</x:v>
      </x:c>
      <x:c r="N146" s="36" t="str">
        <x:v>REPETITIVE_FRAGEFORM</x:v>
      </x:c>
      <x:c r="O146" s="36" t="str">
        <x:v>REINE_WIEDERERKENNUNG</x:v>
      </x:c>
      <x:c r="P146" s="36" t="str">
        <x:v>GESCHEHEN</x:v>
      </x:c>
      <x:c r="Q146" s="36" t="str">
        <x:v>Welche Folge hat es, dass der geheilte Aussätzige die Nachricht weit verbreitet?</x:v>
      </x:c>
      <x:c r="R146" s="36" t="str">
        <x:v>Jesus kann nicht mehr offen in die Städte gehen und bleibt an abgelegenen Orten.</x:v>
      </x:c>
      <x:c r="S146" s="36" t="str">
        <x:v>Jesus wird zum Hohenpriester ernannt.</x:v>
      </x:c>
      <x:c r="T146" s="36" t="str">
        <x:v>Die Synagogen werden geschlossen.</x:v>
      </x:c>
      <x:c r="U146" s="36" t="str">
        <x:v>Johannes der Täufer folgt Jesus nach.</x:v>
      </x:c>
      <x:c r="V146" s="36" t="n">
        <x:v>0</x:v>
      </x:c>
      <x:c r="W146" s="36" t="str">
        <x:v>Jesus kann nicht mehr offen in die Städte gehen und bleibt an abgelegenen Orten.</x:v>
      </x:c>
      <x:c r="X146" s="36" t="str">
        <x:v>Markus 1,40–45</x:v>
      </x:c>
      <x:c r="Y146" s="36" t="str">
        <x:v>Weil der Geheilte die Sache weithin bekannt macht, kann Jesus nicht mehr offen in eine Stadt gehen; die Menschen kommen dennoch zu ihm.</x:v>
      </x:c>
      <x:c r="Z146" s="36" t="str">
        <x:v>JA</x:v>
      </x:c>
      <x:c r="AA146" s="36" t="str">
        <x:v>JA</x:v>
      </x:c>
      <x:c r="AB146" s="36" t="str">
        <x:v>JA</x:v>
      </x:c>
      <x:c r="AC146" s="36" t="str">
        <x:v>JA</x:v>
      </x:c>
      <x:c r="AD146" s="36" t="str">
        <x:v>JA</x:v>
      </x:c>
      <x:c r="AE146" s="36" t="str">
        <x:v>JA</x:v>
      </x:c>
      <x:c r="AF146" s="36" t="str">
        <x:v>JA</x:v>
      </x:c>
      <x:c r="AG146" s="36" t="str">
        <x:v>FREIGEGEBEN</x:v>
      </x:c>
      <x:c r="AH146" s="36" t="str">
        <x:v>GPT-5.6 Sol · Buchprüfung Markus · L1912/OTB</x:v>
      </x:c>
      <x:c r="AI146" s="36" t="str">
        <x:v>FREIGEGEBEN</x:v>
      </x:c>
      <x:c r="AJ146" s="36" t="str">
        <x:v>Markus 1: repetitive Wiedererkennungsfrage durch GESCHEHEN-Frage ersetzt.</x:v>
      </x:c>
      <x:c r="AK146" s="36" t="str">
        <x:v>FaithPath repo develop/v4 · data/bibles/l1912/MRK.json · data/bibles/otb/MRK.json</x:v>
      </x:c>
      <x:c r="AL146" t="str">
        <x:v>JA</x:v>
      </x:c>
    </x:row>
    <x:row r="147">
      <x:c r="A147" t="str">
        <x:v>FP-0406</x:v>
      </x:c>
      <x:c r="B147" t="str">
        <x:v>MRK</x:v>
      </x:c>
      <x:c r="C147" t="str">
        <x:v>Markus</x:v>
      </x:c>
      <x:c r="D147" t="n">
        <x:v>2</x:v>
      </x:c>
      <x:c r="E147" t="n">
        <x:v>1</x:v>
      </x:c>
      <x:c r="F147" t="str">
        <x:v>MRK-002</x:v>
      </x:c>
      <x:c r="G147" t="n">
        <x:v>30</x:v>
      </x:c>
      <x:c r="H147" t="str">
        <x:v>CQ-A02</x:v>
      </x:c>
      <x:c r="I147" s="36" t="str">
        <x:v>Welche dieser Aussagen stammt aus Markus 2?</x:v>
      </x:c>
      <x:c r="J147" s="36" t="str"/>
      <x:c r="K147" s="36" t="str"/>
      <x:c r="L147" s="36" t="str">
        <x:v>REPO_VERIFIZIERT_FRAGEFORM</x:v>
      </x:c>
      <x:c r="M147" s="36" t="str">
        <x:v>ERSETZEN</x:v>
      </x:c>
      <x:c r="N147" s="36" t="str">
        <x:v>REPETITIVE_FRAGEFORM</x:v>
      </x:c>
      <x:c r="O147" s="36" t="str">
        <x:v>REINE_WIEDERERKENNUNG</x:v>
      </x:c>
      <x:c r="P147" s="36" t="str">
        <x:v>GESCHEHEN</x:v>
      </x:c>
      <x:c r="Q147" s="36" t="str">
        <x:v>Wie bringen die vier Männer den Gelähmten zu Jesus, obwohl das Haus überfüllt ist?</x:v>
      </x:c>
      <x:c r="R147" s="36" t="str">
        <x:v>Sie warten bis zur Nacht.</x:v>
      </x:c>
      <x:c r="S147" s="36" t="str">
        <x:v>Sie öffnen das Dach und lassen ihn auf seiner Matte hinab.</x:v>
      </x:c>
      <x:c r="T147" s="36" t="str">
        <x:v>Sie tragen ihn durch ein Fenster.</x:v>
      </x:c>
      <x:c r="U147" s="36" t="str">
        <x:v>Sie bitten die Menge, das Haus zu verlassen.</x:v>
      </x:c>
      <x:c r="V147" s="36" t="n">
        <x:v>1</x:v>
      </x:c>
      <x:c r="W147" s="36" t="str">
        <x:v>Sie öffnen das Dach und lassen ihn auf seiner Matte hinab.</x:v>
      </x:c>
      <x:c r="X147" s="36" t="str">
        <x:v>Markus 2,3–12</x:v>
      </x:c>
      <x:c r="Y147" s="36" t="str">
        <x:v>Die Männer öffnen wegen der dichten Menge das Dach über Jesus und lassen den Gelähmten auf seiner Matte hinunter.</x:v>
      </x:c>
      <x:c r="Z147" s="36" t="str">
        <x:v>JA</x:v>
      </x:c>
      <x:c r="AA147" s="36" t="str">
        <x:v>JA</x:v>
      </x:c>
      <x:c r="AB147" s="36" t="str">
        <x:v>JA</x:v>
      </x:c>
      <x:c r="AC147" s="36" t="str">
        <x:v>JA</x:v>
      </x:c>
      <x:c r="AD147" s="36" t="str">
        <x:v>JA</x:v>
      </x:c>
      <x:c r="AE147" s="36" t="str">
        <x:v>JA</x:v>
      </x:c>
      <x:c r="AF147" s="36" t="str">
        <x:v>JA</x:v>
      </x:c>
      <x:c r="AG147" s="36" t="str">
        <x:v>FREIGEGEBEN</x:v>
      </x:c>
      <x:c r="AH147" s="36" t="str">
        <x:v>GPT-5.6 Sol · Buchprüfung Markus · L1912/OTB</x:v>
      </x:c>
      <x:c r="AI147" s="36" t="str">
        <x:v>FREIGEGEBEN</x:v>
      </x:c>
      <x:c r="AJ147" s="36" t="str">
        <x:v>Markus 2: repetitive Wiedererkennungsfrage durch GESCHEHEN-Frage ersetzt.</x:v>
      </x:c>
      <x:c r="AK147" s="36" t="str">
        <x:v>FaithPath repo develop/v4 · data/bibles/l1912/MRK.json · data/bibles/otb/MRK.json</x:v>
      </x:c>
      <x:c r="AL147" t="str">
        <x:v>JA</x:v>
      </x:c>
    </x:row>
    <x:row r="148">
      <x:c r="A148" t="str">
        <x:v>FP-0407</x:v>
      </x:c>
      <x:c r="B148" t="str">
        <x:v>MRK</x:v>
      </x:c>
      <x:c r="C148" t="str">
        <x:v>Markus</x:v>
      </x:c>
      <x:c r="D148" t="n">
        <x:v>2</x:v>
      </x:c>
      <x:c r="E148" t="n">
        <x:v>2</x:v>
      </x:c>
      <x:c r="F148" t="str">
        <x:v>MRK-002</x:v>
      </x:c>
      <x:c r="G148" t="n">
        <x:v>30</x:v>
      </x:c>
      <x:c r="H148" t="str">
        <x:v>CQ-A02</x:v>
      </x:c>
      <x:c r="I148" s="36" t="str">
        <x:v>Welche dieser Aussagen stammt aus Markus 2?</x:v>
      </x:c>
      <x:c r="J148" s="36" t="str"/>
      <x:c r="K148" s="36" t="str"/>
      <x:c r="L148" s="36" t="str">
        <x:v>REPO_VERIFIZIERT_FRAGEFORM</x:v>
      </x:c>
      <x:c r="M148" s="36" t="str">
        <x:v>ERSETZEN</x:v>
      </x:c>
      <x:c r="N148" s="36" t="str">
        <x:v>REPETITIVE_FRAGEFORM</x:v>
      </x:c>
      <x:c r="O148" s="36" t="str">
        <x:v>REINE_WIEDERERKENNUNG</x:v>
      </x:c>
      <x:c r="P148" s="36" t="str">
        <x:v>KERNAUSSAGE</x:v>
      </x:c>
      <x:c r="Q148" s="36" t="str">
        <x:v>Was soll die Heilung des Gelähmten nach Jesu Worten zeigen?</x:v>
      </x:c>
      <x:c r="R148" s="36" t="str">
        <x:v>Dass nur Priester heilen dürfen.</x:v>
      </x:c>
      <x:c r="S148" s="36" t="str">
        <x:v>Dass Krankheit immer eine persönliche Strafe ist.</x:v>
      </x:c>
      <x:c r="T148" s="36" t="str">
        <x:v>Dass der Menschensohn auf Erden Vollmacht hat, Sünden zu vergeben.</x:v>
      </x:c>
      <x:c r="U148" s="36" t="str">
        <x:v>Dass man nur im Tempel Vergebung empfangen kann.</x:v>
      </x:c>
      <x:c r="V148" s="36" t="n">
        <x:v>2</x:v>
      </x:c>
      <x:c r="W148" s="36" t="str">
        <x:v>Dass der Menschensohn auf Erden Vollmacht hat, Sünden zu vergeben.</x:v>
      </x:c>
      <x:c r="X148" s="36" t="str">
        <x:v>Markus 2,10–12</x:v>
      </x:c>
      <x:c r="Y148" s="36" t="str">
        <x:v>Jesus verbindet die Heilung ausdrücklich damit, dass die Anwesenden erkennen sollen, dass der Menschensohn Vollmacht hat, Sünden zu vergeben.</x:v>
      </x:c>
      <x:c r="Z148" s="36" t="str">
        <x:v>JA</x:v>
      </x:c>
      <x:c r="AA148" s="36" t="str">
        <x:v>JA</x:v>
      </x:c>
      <x:c r="AB148" s="36" t="str">
        <x:v>JA</x:v>
      </x:c>
      <x:c r="AC148" s="36" t="str">
        <x:v>JA</x:v>
      </x:c>
      <x:c r="AD148" s="36" t="str">
        <x:v>JA</x:v>
      </x:c>
      <x:c r="AE148" s="36" t="str">
        <x:v>JA</x:v>
      </x:c>
      <x:c r="AF148" s="36" t="str">
        <x:v>JA</x:v>
      </x:c>
      <x:c r="AG148" s="36" t="str">
        <x:v>FREIGEGEBEN</x:v>
      </x:c>
      <x:c r="AH148" s="36" t="str">
        <x:v>GPT-5.6 Sol · Buchprüfung Markus · L1912/OTB</x:v>
      </x:c>
      <x:c r="AI148" s="36" t="str">
        <x:v>FREIGEGEBEN</x:v>
      </x:c>
      <x:c r="AJ148" s="36" t="str">
        <x:v>Markus 2: repetitive Wiedererkennungsfrage durch KERNAUSSAGE-Frage ersetzt.</x:v>
      </x:c>
      <x:c r="AK148" s="36" t="str">
        <x:v>FaithPath repo develop/v4 · data/bibles/l1912/MRK.json · data/bibles/otb/MRK.json</x:v>
      </x:c>
      <x:c r="AL148" t="str">
        <x:v>JA</x:v>
      </x:c>
    </x:row>
    <x:row r="149">
      <x:c r="A149" t="str">
        <x:v>FP-0408</x:v>
      </x:c>
      <x:c r="B149" t="str">
        <x:v>MRK</x:v>
      </x:c>
      <x:c r="C149" t="str">
        <x:v>Markus</x:v>
      </x:c>
      <x:c r="D149" t="n">
        <x:v>2</x:v>
      </x:c>
      <x:c r="E149" t="n">
        <x:v>3</x:v>
      </x:c>
      <x:c r="F149" t="str">
        <x:v>MRK-002</x:v>
      </x:c>
      <x:c r="G149" t="n">
        <x:v>30</x:v>
      </x:c>
      <x:c r="H149" t="str">
        <x:v>CQ-A02</x:v>
      </x:c>
      <x:c r="I149" s="36" t="str">
        <x:v>Welche dieser Aussagen stammt aus Markus 2?</x:v>
      </x:c>
      <x:c r="J149" s="36" t="str"/>
      <x:c r="K149" s="36" t="str"/>
      <x:c r="L149" s="36" t="str">
        <x:v>REPO_VERIFIZIERT_FRAGEFORM</x:v>
      </x:c>
      <x:c r="M149" s="36" t="str">
        <x:v>ERSETZEN</x:v>
      </x:c>
      <x:c r="N149" s="36" t="str">
        <x:v>REPETITIVE_FRAGEFORM</x:v>
      </x:c>
      <x:c r="O149" s="36" t="str">
        <x:v>REINE_WIEDERERKENNUNG</x:v>
      </x:c>
      <x:c r="P149" s="36" t="str">
        <x:v>PERSON_AUSSAGE</x:v>
      </x:c>
      <x:c r="Q149" s="36" t="str">
        <x:v>Wie reagiert Levi, als Jesus zu ihm sagt: „Folge mir nach“?</x:v>
      </x:c>
      <x:c r="R149" s="36" t="str">
        <x:v>Er lehnt wegen seiner Arbeit ab.</x:v>
      </x:c>
      <x:c r="S149" s="36" t="str">
        <x:v>Er bittet Jesus, später wiederzukommen.</x:v>
      </x:c>
      <x:c r="T149" s="36" t="str">
        <x:v>Er schickt einen Diener mit.</x:v>
      </x:c>
      <x:c r="U149" s="36" t="str">
        <x:v>Er steht auf und folgt ihm.</x:v>
      </x:c>
      <x:c r="V149" s="36" t="n">
        <x:v>3</x:v>
      </x:c>
      <x:c r="W149" s="36" t="str">
        <x:v>Er steht auf und folgt ihm.</x:v>
      </x:c>
      <x:c r="X149" s="36" t="str">
        <x:v>Markus 2,14</x:v>
      </x:c>
      <x:c r="Y149" s="36" t="str">
        <x:v>Levi steht vom Zoll auf und folgt Jesus.</x:v>
      </x:c>
      <x:c r="Z149" s="36" t="str">
        <x:v>JA</x:v>
      </x:c>
      <x:c r="AA149" s="36" t="str">
        <x:v>JA</x:v>
      </x:c>
      <x:c r="AB149" s="36" t="str">
        <x:v>JA</x:v>
      </x:c>
      <x:c r="AC149" s="36" t="str">
        <x:v>JA</x:v>
      </x:c>
      <x:c r="AD149" s="36" t="str">
        <x:v>JA</x:v>
      </x:c>
      <x:c r="AE149" s="36" t="str">
        <x:v>JA</x:v>
      </x:c>
      <x:c r="AF149" s="36" t="str">
        <x:v>JA</x:v>
      </x:c>
      <x:c r="AG149" s="36" t="str">
        <x:v>FREIGEGEBEN</x:v>
      </x:c>
      <x:c r="AH149" s="36" t="str">
        <x:v>GPT-5.6 Sol · Buchprüfung Markus · L1912/OTB</x:v>
      </x:c>
      <x:c r="AI149" s="36" t="str">
        <x:v>FREIGEGEBEN</x:v>
      </x:c>
      <x:c r="AJ149" s="36" t="str">
        <x:v>Markus 2: repetitive Wiedererkennungsfrage durch PERSON_AUSSAGE-Frage ersetzt.</x:v>
      </x:c>
      <x:c r="AK149" s="36" t="str">
        <x:v>FaithPath repo develop/v4 · data/bibles/l1912/MRK.json · data/bibles/otb/MRK.json</x:v>
      </x:c>
      <x:c r="AL149" t="str">
        <x:v>JA</x:v>
      </x:c>
    </x:row>
    <x:row r="150">
      <x:c r="A150" t="str">
        <x:v>FP-0409</x:v>
      </x:c>
      <x:c r="B150" t="str">
        <x:v>MRK</x:v>
      </x:c>
      <x:c r="C150" t="str">
        <x:v>Markus</x:v>
      </x:c>
      <x:c r="D150" t="n">
        <x:v>2</x:v>
      </x:c>
      <x:c r="E150" t="n">
        <x:v>4</x:v>
      </x:c>
      <x:c r="F150" t="str">
        <x:v>MRK-002</x:v>
      </x:c>
      <x:c r="G150" t="n">
        <x:v>30</x:v>
      </x:c>
      <x:c r="H150" t="str">
        <x:v>CQ-A02</x:v>
      </x:c>
      <x:c r="I150" s="36" t="str">
        <x:v>Welche dieser Aussagen stammt aus Markus 2?</x:v>
      </x:c>
      <x:c r="J150" s="36" t="str"/>
      <x:c r="K150" s="36" t="str"/>
      <x:c r="L150" s="36" t="str">
        <x:v>REPO_VERIFIZIERT_FRAGEFORM</x:v>
      </x:c>
      <x:c r="M150" s="36" t="str">
        <x:v>ERSETZEN</x:v>
      </x:c>
      <x:c r="N150" s="36" t="str">
        <x:v>REPETITIVE_FRAGEFORM</x:v>
      </x:c>
      <x:c r="O150" s="36" t="str">
        <x:v>REINE_WIEDERERKENNUNG</x:v>
      </x:c>
      <x:c r="P150" s="36" t="str">
        <x:v>ZUSAMMENHANG</x:v>
      </x:c>
      <x:c r="Q150" s="36" t="str">
        <x:v>Wie begründet Jesus, dass er mit Zöllnern und Sündern isst?</x:v>
      </x:c>
      <x:c r="R150" s="36" t="str">
        <x:v>Gesunde brauchen keinen Arzt, sondern Kranke; er ist gekommen, Sünder zu rufen.</x:v>
      </x:c>
      <x:c r="S150" s="36" t="str">
        <x:v>Nur Reiche dürften seine Gäste sein.</x:v>
      </x:c>
      <x:c r="T150" s="36" t="str">
        <x:v>Er wolle die Pharisäer provozieren.</x:v>
      </x:c>
      <x:c r="U150" s="36" t="str">
        <x:v>Zöllner seien grundsätzlich gerechter als alle anderen.</x:v>
      </x:c>
      <x:c r="V150" s="36" t="n">
        <x:v>0</x:v>
      </x:c>
      <x:c r="W150" s="36" t="str">
        <x:v>Gesunde brauchen keinen Arzt, sondern Kranke; er ist gekommen, Sünder zu rufen.</x:v>
      </x:c>
      <x:c r="X150" s="36" t="str">
        <x:v>Markus 2,15–17</x:v>
      </x:c>
      <x:c r="Y150" s="36" t="str">
        <x:v>Jesus vergleicht seinen Auftrag mit dem eines Arztes: Nicht die Gesunden brauchen ihn, sondern die Kranken; er ist gekommen, Sünder zu rufen.</x:v>
      </x:c>
      <x:c r="Z150" s="36" t="str">
        <x:v>JA</x:v>
      </x:c>
      <x:c r="AA150" s="36" t="str">
        <x:v>JA</x:v>
      </x:c>
      <x:c r="AB150" s="36" t="str">
        <x:v>JA</x:v>
      </x:c>
      <x:c r="AC150" s="36" t="str">
        <x:v>JA</x:v>
      </x:c>
      <x:c r="AD150" s="36" t="str">
        <x:v>JA</x:v>
      </x:c>
      <x:c r="AE150" s="36" t="str">
        <x:v>JA</x:v>
      </x:c>
      <x:c r="AF150" s="36" t="str">
        <x:v>JA</x:v>
      </x:c>
      <x:c r="AG150" s="36" t="str">
        <x:v>FREIGEGEBEN</x:v>
      </x:c>
      <x:c r="AH150" s="36" t="str">
        <x:v>GPT-5.6 Sol · Buchprüfung Markus · L1912/OTB</x:v>
      </x:c>
      <x:c r="AI150" s="36" t="str">
        <x:v>FREIGEGEBEN</x:v>
      </x:c>
      <x:c r="AJ150" s="36" t="str">
        <x:v>Markus 2: repetitive Wiedererkennungsfrage durch ZUSAMMENHANG-Frage ersetzt.</x:v>
      </x:c>
      <x:c r="AK150" s="36" t="str">
        <x:v>FaithPath repo develop/v4 · data/bibles/l1912/MRK.json · data/bibles/otb/MRK.json</x:v>
      </x:c>
      <x:c r="AL150" t="str">
        <x:v>JA</x:v>
      </x:c>
    </x:row>
    <x:row r="151">
      <x:c r="A151" t="str">
        <x:v>FP-0410</x:v>
      </x:c>
      <x:c r="B151" t="str">
        <x:v>MRK</x:v>
      </x:c>
      <x:c r="C151" t="str">
        <x:v>Markus</x:v>
      </x:c>
      <x:c r="D151" t="n">
        <x:v>2</x:v>
      </x:c>
      <x:c r="E151" t="n">
        <x:v>5</x:v>
      </x:c>
      <x:c r="F151" t="str">
        <x:v>MRK-002</x:v>
      </x:c>
      <x:c r="G151" t="n">
        <x:v>30</x:v>
      </x:c>
      <x:c r="H151" t="str">
        <x:v>CQ-A02</x:v>
      </x:c>
      <x:c r="I151" s="36" t="str">
        <x:v>Welche dieser Aussagen stammt aus Markus 2?</x:v>
      </x:c>
      <x:c r="J151" s="36" t="str"/>
      <x:c r="K151" s="36" t="str"/>
      <x:c r="L151" s="36" t="str">
        <x:v>REPO_VERIFIZIERT_FRAGEFORM</x:v>
      </x:c>
      <x:c r="M151" s="36" t="str">
        <x:v>ERSETZEN</x:v>
      </x:c>
      <x:c r="N151" s="36" t="str">
        <x:v>REPETITIVE_FRAGEFORM</x:v>
      </x:c>
      <x:c r="O151" s="36" t="str">
        <x:v>REINE_WIEDERERKENNUNG</x:v>
      </x:c>
      <x:c r="P151" s="36" t="str">
        <x:v>KERNAUSSAGE</x:v>
      </x:c>
      <x:c r="Q151" s="36" t="str">
        <x:v>Welche Aussage macht Jesus über den Sabbat?</x:v>
      </x:c>
      <x:c r="R151" s="36" t="str">
        <x:v>Der Mensch wurde für den Sabbat geschaffen.</x:v>
      </x:c>
      <x:c r="S151" s="36" t="str">
        <x:v>Der Sabbat ist für den Menschen gemacht, und der Menschensohn ist Herr auch des Sabbats.</x:v>
      </x:c>
      <x:c r="T151" s="36" t="str">
        <x:v>Am Sabbat darf niemand essen.</x:v>
      </x:c>
      <x:c r="U151" s="36" t="str">
        <x:v>Nur Schriftgelehrte dürfen über den Sabbat sprechen.</x:v>
      </x:c>
      <x:c r="V151" s="36" t="n">
        <x:v>1</x:v>
      </x:c>
      <x:c r="W151" s="36" t="str">
        <x:v>Der Sabbat ist für den Menschen gemacht, und der Menschensohn ist Herr auch des Sabbats.</x:v>
      </x:c>
      <x:c r="X151" s="36" t="str">
        <x:v>Markus 2,27–28</x:v>
      </x:c>
      <x:c r="Y151" s="36" t="str">
        <x:v>Jesus stellt den Sabbat in den Dienst des Menschen und bezeichnet den Menschensohn als Herrn des Sabbats.</x:v>
      </x:c>
      <x:c r="Z151" s="36" t="str">
        <x:v>JA</x:v>
      </x:c>
      <x:c r="AA151" s="36" t="str">
        <x:v>JA</x:v>
      </x:c>
      <x:c r="AB151" s="36" t="str">
        <x:v>JA</x:v>
      </x:c>
      <x:c r="AC151" s="36" t="str">
        <x:v>JA</x:v>
      </x:c>
      <x:c r="AD151" s="36" t="str">
        <x:v>JA</x:v>
      </x:c>
      <x:c r="AE151" s="36" t="str">
        <x:v>JA</x:v>
      </x:c>
      <x:c r="AF151" s="36" t="str">
        <x:v>JA</x:v>
      </x:c>
      <x:c r="AG151" s="36" t="str">
        <x:v>FREIGEGEBEN</x:v>
      </x:c>
      <x:c r="AH151" s="36" t="str">
        <x:v>GPT-5.6 Sol · Buchprüfung Markus · L1912/OTB</x:v>
      </x:c>
      <x:c r="AI151" s="36" t="str">
        <x:v>FREIGEGEBEN</x:v>
      </x:c>
      <x:c r="AJ151" s="36" t="str">
        <x:v>Markus 2: repetitive Wiedererkennungsfrage durch KERNAUSSAGE-Frage ersetzt.</x:v>
      </x:c>
      <x:c r="AK151" s="36" t="str">
        <x:v>FaithPath repo develop/v4 · data/bibles/l1912/MRK.json · data/bibles/otb/MRK.json</x:v>
      </x:c>
      <x:c r="AL151" t="str">
        <x:v>JA</x:v>
      </x:c>
    </x:row>
    <x:row r="152">
      <x:c r="A152" t="str">
        <x:v>FP-0411</x:v>
      </x:c>
      <x:c r="B152" t="str">
        <x:v>MRK</x:v>
      </x:c>
      <x:c r="C152" t="str">
        <x:v>Markus</x:v>
      </x:c>
      <x:c r="D152" t="n">
        <x:v>3</x:v>
      </x:c>
      <x:c r="E152" t="n">
        <x:v>1</x:v>
      </x:c>
      <x:c r="F152" t="str">
        <x:v>MRK-003</x:v>
      </x:c>
      <x:c r="G152" t="n">
        <x:v>31</x:v>
      </x:c>
      <x:c r="H152" t="str">
        <x:v>CQ-A02</x:v>
      </x:c>
      <x:c r="I152" s="36" t="str">
        <x:v>Welche dieser Aussagen stammt aus Markus 3?</x:v>
      </x:c>
      <x:c r="J152" s="36" t="str"/>
      <x:c r="K152" s="36" t="str"/>
      <x:c r="L152" s="36" t="str">
        <x:v>REPO_VERIFIZIERT_FRAGEFORM</x:v>
      </x:c>
      <x:c r="M152" s="36" t="str">
        <x:v>ERSETZEN</x:v>
      </x:c>
      <x:c r="N152" s="36" t="str">
        <x:v>REPETITIVE_FRAGEFORM</x:v>
      </x:c>
      <x:c r="O152" s="36" t="str">
        <x:v>REINE_WIEDERERKENNUNG</x:v>
      </x:c>
      <x:c r="P152" s="36" t="str">
        <x:v>KERNAUSSAGE</x:v>
      </x:c>
      <x:c r="Q152" s="36" t="str">
        <x:v>Welche Frage stellt Jesus vor der Heilung des Mannes mit der verdorrten Hand?</x:v>
      </x:c>
      <x:c r="R152" s="36" t="str">
        <x:v>Ob der Mann genug Geld für die Heilung hat.</x:v>
      </x:c>
      <x:c r="S152" s="36" t="str">
        <x:v>Ob die Synagoge groß genug ist.</x:v>
      </x:c>
      <x:c r="T152" s="36" t="str">
        <x:v>Ob man am Sabbat Gutes oder Böses tun und Leben retten oder töten soll.</x:v>
      </x:c>
      <x:c r="U152" s="36" t="str">
        <x:v>Ob Mose am Sabbat gearbeitet hat.</x:v>
      </x:c>
      <x:c r="V152" s="36" t="n">
        <x:v>2</x:v>
      </x:c>
      <x:c r="W152" s="36" t="str">
        <x:v>Ob man am Sabbat Gutes oder Böses tun und Leben retten oder töten soll.</x:v>
      </x:c>
      <x:c r="X152" s="36" t="str">
        <x:v>Markus 3,1–5</x:v>
      </x:c>
      <x:c r="Y152" s="36" t="str">
        <x:v>Jesus stellt die moralische Frage, ob am Sabbat Gutes oder Böses getan und Leben gerettet oder zerstört werden soll.</x:v>
      </x:c>
      <x:c r="Z152" s="36" t="str">
        <x:v>JA</x:v>
      </x:c>
      <x:c r="AA152" s="36" t="str">
        <x:v>JA</x:v>
      </x:c>
      <x:c r="AB152" s="36" t="str">
        <x:v>JA</x:v>
      </x:c>
      <x:c r="AC152" s="36" t="str">
        <x:v>JA</x:v>
      </x:c>
      <x:c r="AD152" s="36" t="str">
        <x:v>JA</x:v>
      </x:c>
      <x:c r="AE152" s="36" t="str">
        <x:v>JA</x:v>
      </x:c>
      <x:c r="AF152" s="36" t="str">
        <x:v>JA</x:v>
      </x:c>
      <x:c r="AG152" s="36" t="str">
        <x:v>FREIGEGEBEN</x:v>
      </x:c>
      <x:c r="AH152" s="36" t="str">
        <x:v>GPT-5.6 Sol · Buchprüfung Markus · L1912/OTB</x:v>
      </x:c>
      <x:c r="AI152" s="36" t="str">
        <x:v>FREIGEGEBEN</x:v>
      </x:c>
      <x:c r="AJ152" s="36" t="str">
        <x:v>Markus 3: repetitive Wiedererkennungsfrage durch KERNAUSSAGE-Frage ersetzt.</x:v>
      </x:c>
      <x:c r="AK152" s="36" t="str">
        <x:v>FaithPath repo develop/v4 · data/bibles/l1912/MRK.json · data/bibles/otb/MRK.json</x:v>
      </x:c>
      <x:c r="AL152" t="str">
        <x:v>JA</x:v>
      </x:c>
    </x:row>
    <x:row r="153">
      <x:c r="A153" t="str">
        <x:v>FP-0412</x:v>
      </x:c>
      <x:c r="B153" t="str">
        <x:v>MRK</x:v>
      </x:c>
      <x:c r="C153" t="str">
        <x:v>Markus</x:v>
      </x:c>
      <x:c r="D153" t="n">
        <x:v>3</x:v>
      </x:c>
      <x:c r="E153" t="n">
        <x:v>2</x:v>
      </x:c>
      <x:c r="F153" t="str">
        <x:v>MRK-003</x:v>
      </x:c>
      <x:c r="G153" t="n">
        <x:v>31</x:v>
      </x:c>
      <x:c r="H153" t="str">
        <x:v>CQ-A02</x:v>
      </x:c>
      <x:c r="I153" s="36" t="str">
        <x:v>Welche dieser Aussagen stammt aus Markus 3?</x:v>
      </x:c>
      <x:c r="J153" s="36" t="str"/>
      <x:c r="K153" s="36" t="str"/>
      <x:c r="L153" s="36" t="str">
        <x:v>REPO_VERIFIZIERT_FRAGEFORM</x:v>
      </x:c>
      <x:c r="M153" s="36" t="str">
        <x:v>ERSETZEN</x:v>
      </x:c>
      <x:c r="N153" s="36" t="str">
        <x:v>REPETITIVE_FRAGEFORM</x:v>
      </x:c>
      <x:c r="O153" s="36" t="str">
        <x:v>REINE_WIEDERERKENNUNG</x:v>
      </x:c>
      <x:c r="P153" s="36" t="str">
        <x:v>GESCHEHEN</x:v>
      </x:c>
      <x:c r="Q153" s="36" t="str">
        <x:v>Was tun die Pharisäer nach der Heilung am Sabbat?</x:v>
      </x:c>
      <x:c r="R153" s="36" t="str">
        <x:v>Sie loben Jesus öffentlich.</x:v>
      </x:c>
      <x:c r="S153" s="36" t="str">
        <x:v>Sie bitten um eine zweite Heilung.</x:v>
      </x:c>
      <x:c r="T153" s="36" t="str">
        <x:v>Sie verlassen Galiläa dauerhaft.</x:v>
      </x:c>
      <x:c r="U153" s="36" t="str">
        <x:v>Sie beraten mit den Herodianern, wie sie Jesus beseitigen könnten.</x:v>
      </x:c>
      <x:c r="V153" s="36" t="n">
        <x:v>3</x:v>
      </x:c>
      <x:c r="W153" s="36" t="str">
        <x:v>Sie beraten mit den Herodianern, wie sie Jesus beseitigen könnten.</x:v>
      </x:c>
      <x:c r="X153" s="36" t="str">
        <x:v>Markus 3,6</x:v>
      </x:c>
      <x:c r="Y153" s="36" t="str">
        <x:v>Unmittelbar danach beraten die Pharisäer mit den Herodianern darüber, wie sie Jesus vernichten könnten.</x:v>
      </x:c>
      <x:c r="Z153" s="36" t="str">
        <x:v>JA</x:v>
      </x:c>
      <x:c r="AA153" s="36" t="str">
        <x:v>JA</x:v>
      </x:c>
      <x:c r="AB153" s="36" t="str">
        <x:v>JA</x:v>
      </x:c>
      <x:c r="AC153" s="36" t="str">
        <x:v>JA</x:v>
      </x:c>
      <x:c r="AD153" s="36" t="str">
        <x:v>JA</x:v>
      </x:c>
      <x:c r="AE153" s="36" t="str">
        <x:v>JA</x:v>
      </x:c>
      <x:c r="AF153" s="36" t="str">
        <x:v>JA</x:v>
      </x:c>
      <x:c r="AG153" s="36" t="str">
        <x:v>FREIGEGEBEN</x:v>
      </x:c>
      <x:c r="AH153" s="36" t="str">
        <x:v>GPT-5.6 Sol · Buchprüfung Markus · L1912/OTB</x:v>
      </x:c>
      <x:c r="AI153" s="36" t="str">
        <x:v>FREIGEGEBEN</x:v>
      </x:c>
      <x:c r="AJ153" s="36" t="str">
        <x:v>Markus 3: repetitive Wiedererkennungsfrage durch GESCHEHEN-Frage ersetzt.</x:v>
      </x:c>
      <x:c r="AK153" s="36" t="str">
        <x:v>FaithPath repo develop/v4 · data/bibles/l1912/MRK.json · data/bibles/otb/MRK.json</x:v>
      </x:c>
      <x:c r="AL153" t="str">
        <x:v>JA</x:v>
      </x:c>
    </x:row>
    <x:row r="154">
      <x:c r="A154" t="str">
        <x:v>FP-0413</x:v>
      </x:c>
      <x:c r="B154" t="str">
        <x:v>MRK</x:v>
      </x:c>
      <x:c r="C154" t="str">
        <x:v>Markus</x:v>
      </x:c>
      <x:c r="D154" t="n">
        <x:v>3</x:v>
      </x:c>
      <x:c r="E154" t="n">
        <x:v>3</x:v>
      </x:c>
      <x:c r="F154" t="str">
        <x:v>MRK-003</x:v>
      </x:c>
      <x:c r="G154" t="n">
        <x:v>31</x:v>
      </x:c>
      <x:c r="H154" t="str">
        <x:v>CQ-A02</x:v>
      </x:c>
      <x:c r="I154" s="36" t="str">
        <x:v>Welche dieser Aussagen stammt aus Markus 3?</x:v>
      </x:c>
      <x:c r="J154" s="36" t="str"/>
      <x:c r="K154" s="36" t="str"/>
      <x:c r="L154" s="36" t="str">
        <x:v>REPO_VERIFIZIERT_FRAGEFORM</x:v>
      </x:c>
      <x:c r="M154" s="36" t="str">
        <x:v>ERSETZEN</x:v>
      </x:c>
      <x:c r="N154" s="36" t="str">
        <x:v>REPETITIVE_FRAGEFORM</x:v>
      </x:c>
      <x:c r="O154" s="36" t="str">
        <x:v>REINE_WIEDERERKENNUNG</x:v>
      </x:c>
      <x:c r="P154" s="36" t="str">
        <x:v>ZUSAMMENHANG</x:v>
      </x:c>
      <x:c r="Q154" s="36" t="str">
        <x:v>Warum setzt Jesus die Zwölf ein?</x:v>
      </x:c>
      <x:c r="R154" s="36" t="str">
        <x:v>Damit sie bei ihm seien, ausgesandt werden und Vollmacht über Dämonen haben.</x:v>
      </x:c>
      <x:c r="S154" s="36" t="str">
        <x:v>Damit sie Steuern eintreiben.</x:v>
      </x:c>
      <x:c r="T154" s="36" t="str">
        <x:v>Damit sie den Tempel bewachen.</x:v>
      </x:c>
      <x:c r="U154" s="36" t="str">
        <x:v>Damit sie nur schriftlich lehren.</x:v>
      </x:c>
      <x:c r="V154" s="36" t="n">
        <x:v>0</x:v>
      </x:c>
      <x:c r="W154" s="36" t="str">
        <x:v>Damit sie bei ihm seien, ausgesandt werden und Vollmacht über Dämonen haben.</x:v>
      </x:c>
      <x:c r="X154" s="36" t="str">
        <x:v>Markus 3,13–15</x:v>
      </x:c>
      <x:c r="Y154" s="36" t="str">
        <x:v>Die Zwölf sollen bei Jesus sein, von ihm ausgesandt werden und Vollmacht haben, Dämonen auszutreiben.</x:v>
      </x:c>
      <x:c r="Z154" s="36" t="str">
        <x:v>JA</x:v>
      </x:c>
      <x:c r="AA154" s="36" t="str">
        <x:v>JA</x:v>
      </x:c>
      <x:c r="AB154" s="36" t="str">
        <x:v>JA</x:v>
      </x:c>
      <x:c r="AC154" s="36" t="str">
        <x:v>JA</x:v>
      </x:c>
      <x:c r="AD154" s="36" t="str">
        <x:v>JA</x:v>
      </x:c>
      <x:c r="AE154" s="36" t="str">
        <x:v>JA</x:v>
      </x:c>
      <x:c r="AF154" s="36" t="str">
        <x:v>JA</x:v>
      </x:c>
      <x:c r="AG154" s="36" t="str">
        <x:v>FREIGEGEBEN</x:v>
      </x:c>
      <x:c r="AH154" s="36" t="str">
        <x:v>GPT-5.6 Sol · Buchprüfung Markus · L1912/OTB</x:v>
      </x:c>
      <x:c r="AI154" s="36" t="str">
        <x:v>FREIGEGEBEN</x:v>
      </x:c>
      <x:c r="AJ154" s="36" t="str">
        <x:v>Markus 3: repetitive Wiedererkennungsfrage durch ZUSAMMENHANG-Frage ersetzt.</x:v>
      </x:c>
      <x:c r="AK154" s="36" t="str">
        <x:v>FaithPath repo develop/v4 · data/bibles/l1912/MRK.json · data/bibles/otb/MRK.json</x:v>
      </x:c>
      <x:c r="AL154" t="str">
        <x:v>JA</x:v>
      </x:c>
    </x:row>
    <x:row r="155">
      <x:c r="A155" t="str">
        <x:v>FP-0414</x:v>
      </x:c>
      <x:c r="B155" t="str">
        <x:v>MRK</x:v>
      </x:c>
      <x:c r="C155" t="str">
        <x:v>Markus</x:v>
      </x:c>
      <x:c r="D155" t="n">
        <x:v>3</x:v>
      </x:c>
      <x:c r="E155" t="n">
        <x:v>4</x:v>
      </x:c>
      <x:c r="F155" t="str">
        <x:v>MRK-003</x:v>
      </x:c>
      <x:c r="G155" t="n">
        <x:v>31</x:v>
      </x:c>
      <x:c r="H155" t="str">
        <x:v>CQ-A02</x:v>
      </x:c>
      <x:c r="I155" s="36" t="str">
        <x:v>Welche dieser Aussagen stammt aus Markus 3?</x:v>
      </x:c>
      <x:c r="J155" s="36" t="str"/>
      <x:c r="K155" s="36" t="str"/>
      <x:c r="L155" s="36" t="str">
        <x:v>REPO_VERIFIZIERT_FRAGEFORM</x:v>
      </x:c>
      <x:c r="M155" s="36" t="str">
        <x:v>ERSETZEN</x:v>
      </x:c>
      <x:c r="N155" s="36" t="str">
        <x:v>REPETITIVE_FRAGEFORM</x:v>
      </x:c>
      <x:c r="O155" s="36" t="str">
        <x:v>REINE_WIEDERERKENNUNG</x:v>
      </x:c>
      <x:c r="P155" s="36" t="str">
        <x:v>KERNAUSSAGE</x:v>
      </x:c>
      <x:c r="Q155" s="36" t="str">
        <x:v>Wie antwortet Jesus auf den Vorwurf, er treibe Dämonen durch Satan aus?</x:v>
      </x:c>
      <x:c r="R155" s="36" t="str">
        <x:v>Satan sei mächtiger als Gott.</x:v>
      </x:c>
      <x:c r="S155" s="36" t="str">
        <x:v>Ein in sich gespaltenes Reich kann nicht bestehen.</x:v>
      </x:c>
      <x:c r="T155" s="36" t="str">
        <x:v>Dämonen seien nur Einbildung.</x:v>
      </x:c>
      <x:c r="U155" s="36" t="str">
        <x:v>Er werde nie wieder Dämonen austreiben.</x:v>
      </x:c>
      <x:c r="V155" s="36" t="n">
        <x:v>1</x:v>
      </x:c>
      <x:c r="W155" s="36" t="str">
        <x:v>Ein in sich gespaltenes Reich kann nicht bestehen.</x:v>
      </x:c>
      <x:c r="X155" s="36" t="str">
        <x:v>Markus 3,23–26</x:v>
      </x:c>
      <x:c r="Y155" s="36" t="str">
        <x:v>Jesus zeigt die innere Widersprüchlichkeit des Vorwurfs: Wenn Satan gegen sich selbst steht, kann sein Reich nicht bestehen.</x:v>
      </x:c>
      <x:c r="Z155" s="36" t="str">
        <x:v>JA</x:v>
      </x:c>
      <x:c r="AA155" s="36" t="str">
        <x:v>JA</x:v>
      </x:c>
      <x:c r="AB155" s="36" t="str">
        <x:v>JA</x:v>
      </x:c>
      <x:c r="AC155" s="36" t="str">
        <x:v>JA</x:v>
      </x:c>
      <x:c r="AD155" s="36" t="str">
        <x:v>JA</x:v>
      </x:c>
      <x:c r="AE155" s="36" t="str">
        <x:v>JA</x:v>
      </x:c>
      <x:c r="AF155" s="36" t="str">
        <x:v>JA</x:v>
      </x:c>
      <x:c r="AG155" s="36" t="str">
        <x:v>FREIGEGEBEN</x:v>
      </x:c>
      <x:c r="AH155" s="36" t="str">
        <x:v>GPT-5.6 Sol · Buchprüfung Markus · L1912/OTB</x:v>
      </x:c>
      <x:c r="AI155" s="36" t="str">
        <x:v>FREIGEGEBEN</x:v>
      </x:c>
      <x:c r="AJ155" s="36" t="str">
        <x:v>Markus 3: repetitive Wiedererkennungsfrage durch KERNAUSSAGE-Frage ersetzt.</x:v>
      </x:c>
      <x:c r="AK155" s="36" t="str">
        <x:v>FaithPath repo develop/v4 · data/bibles/l1912/MRK.json · data/bibles/otb/MRK.json</x:v>
      </x:c>
      <x:c r="AL155" t="str">
        <x:v>JA</x:v>
      </x:c>
    </x:row>
    <x:row r="156">
      <x:c r="A156" t="str">
        <x:v>FP-0415</x:v>
      </x:c>
      <x:c r="B156" t="str">
        <x:v>MRK</x:v>
      </x:c>
      <x:c r="C156" t="str">
        <x:v>Markus</x:v>
      </x:c>
      <x:c r="D156" t="n">
        <x:v>3</x:v>
      </x:c>
      <x:c r="E156" t="n">
        <x:v>5</x:v>
      </x:c>
      <x:c r="F156" t="str">
        <x:v>MRK-003</x:v>
      </x:c>
      <x:c r="G156" t="n">
        <x:v>31</x:v>
      </x:c>
      <x:c r="H156" t="str">
        <x:v>CQ-A02</x:v>
      </x:c>
      <x:c r="I156" s="36" t="str">
        <x:v>Welche dieser Aussagen stammt aus Markus 3?</x:v>
      </x:c>
      <x:c r="J156" s="36" t="str"/>
      <x:c r="K156" s="36" t="str"/>
      <x:c r="L156" s="36" t="str">
        <x:v>REPO_VERIFIZIERT_FRAGEFORM</x:v>
      </x:c>
      <x:c r="M156" s="36" t="str">
        <x:v>ERSETZEN</x:v>
      </x:c>
      <x:c r="N156" s="36" t="str">
        <x:v>REPETITIVE_FRAGEFORM</x:v>
      </x:c>
      <x:c r="O156" s="36" t="str">
        <x:v>REINE_WIEDERERKENNUNG</x:v>
      </x:c>
      <x:c r="P156" s="36" t="str">
        <x:v>PERSON_AUSSAGE</x:v>
      </x:c>
      <x:c r="Q156" s="36" t="str">
        <x:v>Wen bezeichnet Jesus als seine Brüder, Schwestern und Mutter?</x:v>
      </x:c>
      <x:c r="R156" s="36" t="str">
        <x:v>Nur seine leiblichen Verwandten.</x:v>
      </x:c>
      <x:c r="S156" s="36" t="str">
        <x:v>Alle Einwohner Nazareths.</x:v>
      </x:c>
      <x:c r="T156" s="36" t="str">
        <x:v>Diejenigen, die Gottes Willen tun.</x:v>
      </x:c>
      <x:c r="U156" s="36" t="str">
        <x:v>Nur die zwölf Apostel.</x:v>
      </x:c>
      <x:c r="V156" s="36" t="n">
        <x:v>2</x:v>
      </x:c>
      <x:c r="W156" s="36" t="str">
        <x:v>Diejenigen, die Gottes Willen tun.</x:v>
      </x:c>
      <x:c r="X156" s="36" t="str">
        <x:v>Markus 3,31–35</x:v>
      </x:c>
      <x:c r="Y156" s="36" t="str">
        <x:v>Jesus weitet den Familienbegriff aus: Wer den Willen Gottes tut, gehört in diesem Sinn zu seiner Familie.</x:v>
      </x:c>
      <x:c r="Z156" s="36" t="str">
        <x:v>JA</x:v>
      </x:c>
      <x:c r="AA156" s="36" t="str">
        <x:v>JA</x:v>
      </x:c>
      <x:c r="AB156" s="36" t="str">
        <x:v>JA</x:v>
      </x:c>
      <x:c r="AC156" s="36" t="str">
        <x:v>JA</x:v>
      </x:c>
      <x:c r="AD156" s="36" t="str">
        <x:v>JA</x:v>
      </x:c>
      <x:c r="AE156" s="36" t="str">
        <x:v>JA</x:v>
      </x:c>
      <x:c r="AF156" s="36" t="str">
        <x:v>JA</x:v>
      </x:c>
      <x:c r="AG156" s="36" t="str">
        <x:v>FREIGEGEBEN</x:v>
      </x:c>
      <x:c r="AH156" s="36" t="str">
        <x:v>GPT-5.6 Sol · Buchprüfung Markus · L1912/OTB</x:v>
      </x:c>
      <x:c r="AI156" s="36" t="str">
        <x:v>FREIGEGEBEN</x:v>
      </x:c>
      <x:c r="AJ156" s="36" t="str">
        <x:v>Markus 3: repetitive Wiedererkennungsfrage durch PERSON_AUSSAGE-Frage ersetzt.</x:v>
      </x:c>
      <x:c r="AK156" s="36" t="str">
        <x:v>FaithPath repo develop/v4 · data/bibles/l1912/MRK.json · data/bibles/otb/MRK.json</x:v>
      </x:c>
      <x:c r="AL156" t="str">
        <x:v>JA</x:v>
      </x:c>
    </x:row>
    <x:row r="157">
      <x:c r="A157" t="str">
        <x:v>FP-0416</x:v>
      </x:c>
      <x:c r="B157" t="str">
        <x:v>MRK</x:v>
      </x:c>
      <x:c r="C157" t="str">
        <x:v>Markus</x:v>
      </x:c>
      <x:c r="D157" t="n">
        <x:v>4</x:v>
      </x:c>
      <x:c r="E157" t="n">
        <x:v>1</x:v>
      </x:c>
      <x:c r="F157" t="str">
        <x:v>MRK-004</x:v>
      </x:c>
      <x:c r="G157" t="n">
        <x:v>32</x:v>
      </x:c>
      <x:c r="H157" t="str">
        <x:v>CQ-A02</x:v>
      </x:c>
      <x:c r="I157" s="36" t="str">
        <x:v>Welche dieser Aussagen stammt aus Markus 4?</x:v>
      </x:c>
      <x:c r="J157" s="36" t="str"/>
      <x:c r="K157" s="36" t="str"/>
      <x:c r="L157" s="36" t="str">
        <x:v>REPO_VERIFIZIERT_FRAGEFORM</x:v>
      </x:c>
      <x:c r="M157" s="36" t="str">
        <x:v>ERSETZEN</x:v>
      </x:c>
      <x:c r="N157" s="36" t="str">
        <x:v>REPETITIVE_FRAGEFORM</x:v>
      </x:c>
      <x:c r="O157" s="36" t="str">
        <x:v>REINE_WIEDERERKENNUNG</x:v>
      </x:c>
      <x:c r="P157" s="36" t="str">
        <x:v>KERNAUSSAGE</x:v>
      </x:c>
      <x:c r="Q157" s="36" t="str">
        <x:v>Wofür steht im Gleichnis vom Sämann der gute Boden?</x:v>
      </x:c>
      <x:c r="R157" s="36" t="str">
        <x:v>Für Menschen, die das Wort sofort vergessen.</x:v>
      </x:c>
      <x:c r="S157" s="36" t="str">
        <x:v>Für die Sorgen und den Reichtum der Welt.</x:v>
      </x:c>
      <x:c r="T157" s="36" t="str">
        <x:v>Für Verfolgung und Bedrängnis.</x:v>
      </x:c>
      <x:c r="U157" s="36" t="str">
        <x:v>Für Menschen, die das Wort hören, annehmen und Frucht bringen.</x:v>
      </x:c>
      <x:c r="V157" s="36" t="n">
        <x:v>3</x:v>
      </x:c>
      <x:c r="W157" s="36" t="str">
        <x:v>Für Menschen, die das Wort hören, annehmen und Frucht bringen.</x:v>
      </x:c>
      <x:c r="X157" s="36" t="str">
        <x:v>Markus 4,14–20</x:v>
      </x:c>
      <x:c r="Y157" s="36" t="str">
        <x:v>Der gute Boden steht für Menschen, die das Wort hören, annehmen und Frucht bringen.</x:v>
      </x:c>
      <x:c r="Z157" s="36" t="str">
        <x:v>JA</x:v>
      </x:c>
      <x:c r="AA157" s="36" t="str">
        <x:v>JA</x:v>
      </x:c>
      <x:c r="AB157" s="36" t="str">
        <x:v>JA</x:v>
      </x:c>
      <x:c r="AC157" s="36" t="str">
        <x:v>JA</x:v>
      </x:c>
      <x:c r="AD157" s="36" t="str">
        <x:v>JA</x:v>
      </x:c>
      <x:c r="AE157" s="36" t="str">
        <x:v>JA</x:v>
      </x:c>
      <x:c r="AF157" s="36" t="str">
        <x:v>JA</x:v>
      </x:c>
      <x:c r="AG157" s="36" t="str">
        <x:v>FREIGEGEBEN</x:v>
      </x:c>
      <x:c r="AH157" s="36" t="str">
        <x:v>GPT-5.6 Sol · Buchprüfung Markus · L1912/OTB</x:v>
      </x:c>
      <x:c r="AI157" s="36" t="str">
        <x:v>FREIGEGEBEN</x:v>
      </x:c>
      <x:c r="AJ157" s="36" t="str">
        <x:v>Markus 4: repetitive Wiedererkennungsfrage durch KERNAUSSAGE-Frage ersetzt.</x:v>
      </x:c>
      <x:c r="AK157" s="36" t="str">
        <x:v>FaithPath repo develop/v4 · data/bibles/l1912/MRK.json · data/bibles/otb/MRK.json</x:v>
      </x:c>
      <x:c r="AL157" t="str">
        <x:v>JA</x:v>
      </x:c>
    </x:row>
    <x:row r="158">
      <x:c r="A158" t="str">
        <x:v>FP-0417</x:v>
      </x:c>
      <x:c r="B158" t="str">
        <x:v>MRK</x:v>
      </x:c>
      <x:c r="C158" t="str">
        <x:v>Markus</x:v>
      </x:c>
      <x:c r="D158" t="n">
        <x:v>4</x:v>
      </x:c>
      <x:c r="E158" t="n">
        <x:v>2</x:v>
      </x:c>
      <x:c r="F158" t="str">
        <x:v>MRK-004</x:v>
      </x:c>
      <x:c r="G158" t="n">
        <x:v>32</x:v>
      </x:c>
      <x:c r="H158" t="str">
        <x:v>CQ-A02</x:v>
      </x:c>
      <x:c r="I158" s="36" t="str">
        <x:v>Welche dieser Aussagen stammt aus Markus 4?</x:v>
      </x:c>
      <x:c r="J158" s="36" t="str"/>
      <x:c r="K158" s="36" t="str"/>
      <x:c r="L158" s="36" t="str">
        <x:v>REPO_VERIFIZIERT_FRAGEFORM</x:v>
      </x:c>
      <x:c r="M158" s="36" t="str">
        <x:v>ERSETZEN</x:v>
      </x:c>
      <x:c r="N158" s="36" t="str">
        <x:v>REPETITIVE_FRAGEFORM</x:v>
      </x:c>
      <x:c r="O158" s="36" t="str">
        <x:v>REINE_WIEDERERKENNUNG</x:v>
      </x:c>
      <x:c r="P158" s="36" t="str">
        <x:v>TEXTGENAUIGKEIT</x:v>
      </x:c>
      <x:c r="Q158" s="36" t="str">
        <x:v>Wohin stellt man nach Jesu Bild ein Licht?</x:v>
      </x:c>
      <x:c r="R158" s="36" t="str">
        <x:v>Auf einen Leuchter.</x:v>
      </x:c>
      <x:c r="S158" s="36" t="str">
        <x:v>Unter ein Bett.</x:v>
      </x:c>
      <x:c r="T158" s="36" t="str">
        <x:v>Unter einen Scheffel.</x:v>
      </x:c>
      <x:c r="U158" s="36" t="str">
        <x:v>In einen verschlossenen Raum.</x:v>
      </x:c>
      <x:c r="V158" s="36" t="n">
        <x:v>0</x:v>
      </x:c>
      <x:c r="W158" s="36" t="str">
        <x:v>Auf einen Leuchter.</x:v>
      </x:c>
      <x:c r="X158" s="36" t="str">
        <x:v>Markus 4,21–22</x:v>
      </x:c>
      <x:c r="Y158" s="36" t="str">
        <x:v>Jesus verwendet das Bild, dass ein Licht sichtbar auf einen Leuchter gehört und nicht verborgen werden soll.</x:v>
      </x:c>
      <x:c r="Z158" s="36" t="str">
        <x:v>JA</x:v>
      </x:c>
      <x:c r="AA158" s="36" t="str">
        <x:v>JA</x:v>
      </x:c>
      <x:c r="AB158" s="36" t="str">
        <x:v>JA</x:v>
      </x:c>
      <x:c r="AC158" s="36" t="str">
        <x:v>JA</x:v>
      </x:c>
      <x:c r="AD158" s="36" t="str">
        <x:v>JA</x:v>
      </x:c>
      <x:c r="AE158" s="36" t="str">
        <x:v>JA</x:v>
      </x:c>
      <x:c r="AF158" s="36" t="str">
        <x:v>JA</x:v>
      </x:c>
      <x:c r="AG158" s="36" t="str">
        <x:v>FREIGEGEBEN</x:v>
      </x:c>
      <x:c r="AH158" s="36" t="str">
        <x:v>GPT-5.6 Sol · Buchprüfung Markus · L1912/OTB</x:v>
      </x:c>
      <x:c r="AI158" s="36" t="str">
        <x:v>FREIGEGEBEN</x:v>
      </x:c>
      <x:c r="AJ158" s="36" t="str">
        <x:v>Markus 4: repetitive Wiedererkennungsfrage durch TEXTGENAUIGKEIT-Frage ersetzt.</x:v>
      </x:c>
      <x:c r="AK158" s="36" t="str">
        <x:v>FaithPath repo develop/v4 · data/bibles/l1912/MRK.json · data/bibles/otb/MRK.json</x:v>
      </x:c>
      <x:c r="AL158" t="str">
        <x:v>JA</x:v>
      </x:c>
    </x:row>
    <x:row r="159">
      <x:c r="A159" t="str">
        <x:v>FP-0418</x:v>
      </x:c>
      <x:c r="B159" t="str">
        <x:v>MRK</x:v>
      </x:c>
      <x:c r="C159" t="str">
        <x:v>Markus</x:v>
      </x:c>
      <x:c r="D159" t="n">
        <x:v>4</x:v>
      </x:c>
      <x:c r="E159" t="n">
        <x:v>3</x:v>
      </x:c>
      <x:c r="F159" t="str">
        <x:v>MRK-004</x:v>
      </x:c>
      <x:c r="G159" t="n">
        <x:v>32</x:v>
      </x:c>
      <x:c r="H159" t="str">
        <x:v>CQ-A02</x:v>
      </x:c>
      <x:c r="I159" s="36" t="str">
        <x:v>Welche dieser Aussagen stammt aus Markus 4?</x:v>
      </x:c>
      <x:c r="J159" s="36" t="str"/>
      <x:c r="K159" s="36" t="str"/>
      <x:c r="L159" s="36" t="str">
        <x:v>REPO_VERIFIZIERT_FRAGEFORM</x:v>
      </x:c>
      <x:c r="M159" s="36" t="str">
        <x:v>ERSETZEN</x:v>
      </x:c>
      <x:c r="N159" s="36" t="str">
        <x:v>REPETITIVE_FRAGEFORM</x:v>
      </x:c>
      <x:c r="O159" s="36" t="str">
        <x:v>REINE_WIEDERERKENNUNG</x:v>
      </x:c>
      <x:c r="P159" s="36" t="str">
        <x:v>GESCHEHEN</x:v>
      </x:c>
      <x:c r="Q159" s="36" t="str">
        <x:v>Was betont das Gleichnis von der selbstwachsenden Saat?</x:v>
      </x:c>
      <x:c r="R159" s="36" t="str">
        <x:v>Der Mensch lässt die Saat wachsen, ohne Tag und Nacht zu schlafen.</x:v>
      </x:c>
      <x:c r="S159" s="36" t="str">
        <x:v>Die Saat wächst, obwohl der Mensch nicht weiß, wie; die Erde bringt Frucht hervor.</x:v>
      </x:c>
      <x:c r="T159" s="36" t="str">
        <x:v>Nur der Sämann darf die Ernte sehen.</x:v>
      </x:c>
      <x:c r="U159" s="36" t="str">
        <x:v>Saat kann nur im Tempel wachsen.</x:v>
      </x:c>
      <x:c r="V159" s="36" t="n">
        <x:v>1</x:v>
      </x:c>
      <x:c r="W159" s="36" t="str">
        <x:v>Die Saat wächst, obwohl der Mensch nicht weiß, wie; die Erde bringt Frucht hervor.</x:v>
      </x:c>
      <x:c r="X159" s="36" t="str">
        <x:v>Markus 4,26–29</x:v>
      </x:c>
      <x:c r="Y159" s="36" t="str">
        <x:v>Das Gleichnis betont, dass die Saat wächst und die Erde Frucht hervorbringt, ohne dass der Sämann den Vorgang vollständig versteht.</x:v>
      </x:c>
      <x:c r="Z159" s="36" t="str">
        <x:v>JA</x:v>
      </x:c>
      <x:c r="AA159" s="36" t="str">
        <x:v>JA</x:v>
      </x:c>
      <x:c r="AB159" s="36" t="str">
        <x:v>JA</x:v>
      </x:c>
      <x:c r="AC159" s="36" t="str">
        <x:v>JA</x:v>
      </x:c>
      <x:c r="AD159" s="36" t="str">
        <x:v>JA</x:v>
      </x:c>
      <x:c r="AE159" s="36" t="str">
        <x:v>JA</x:v>
      </x:c>
      <x:c r="AF159" s="36" t="str">
        <x:v>JA</x:v>
      </x:c>
      <x:c r="AG159" s="36" t="str">
        <x:v>FREIGEGEBEN</x:v>
      </x:c>
      <x:c r="AH159" s="36" t="str">
        <x:v>GPT-5.6 Sol · Buchprüfung Markus · L1912/OTB</x:v>
      </x:c>
      <x:c r="AI159" s="36" t="str">
        <x:v>FREIGEGEBEN</x:v>
      </x:c>
      <x:c r="AJ159" s="36" t="str">
        <x:v>Markus 4: repetitive Wiedererkennungsfrage durch GESCHEHEN-Frage ersetzt.</x:v>
      </x:c>
      <x:c r="AK159" s="36" t="str">
        <x:v>FaithPath repo develop/v4 · data/bibles/l1912/MRK.json · data/bibles/otb/MRK.json</x:v>
      </x:c>
      <x:c r="AL159" t="str">
        <x:v>JA</x:v>
      </x:c>
    </x:row>
    <x:row r="160">
      <x:c r="A160" t="str">
        <x:v>FP-0419</x:v>
      </x:c>
      <x:c r="B160" t="str">
        <x:v>MRK</x:v>
      </x:c>
      <x:c r="C160" t="str">
        <x:v>Markus</x:v>
      </x:c>
      <x:c r="D160" t="n">
        <x:v>4</x:v>
      </x:c>
      <x:c r="E160" t="n">
        <x:v>4</x:v>
      </x:c>
      <x:c r="F160" t="str">
        <x:v>MRK-004</x:v>
      </x:c>
      <x:c r="G160" t="n">
        <x:v>32</x:v>
      </x:c>
      <x:c r="H160" t="str">
        <x:v>CQ-A02</x:v>
      </x:c>
      <x:c r="I160" s="36" t="str">
        <x:v>Welche dieser Aussagen stammt aus Markus 4?</x:v>
      </x:c>
      <x:c r="J160" s="36" t="str"/>
      <x:c r="K160" s="36" t="str"/>
      <x:c r="L160" s="36" t="str">
        <x:v>REPO_VERIFIZIERT_FRAGEFORM</x:v>
      </x:c>
      <x:c r="M160" s="36" t="str">
        <x:v>ERSETZEN</x:v>
      </x:c>
      <x:c r="N160" s="36" t="str">
        <x:v>REPETITIVE_FRAGEFORM</x:v>
      </x:c>
      <x:c r="O160" s="36" t="str">
        <x:v>REINE_WIEDERERKENNUNG</x:v>
      </x:c>
      <x:c r="P160" s="36" t="str">
        <x:v>KERNAUSSAGE</x:v>
      </x:c>
      <x:c r="Q160" s="36" t="str">
        <x:v>Wie beschreibt Jesus das Senfkorn im Vergleich zu seinem späteren Wachstum?</x:v>
      </x:c>
      <x:c r="R160" s="36" t="str">
        <x:v>Es bleibt immer unsichtbar.</x:v>
      </x:c>
      <x:c r="S160" s="36" t="str">
        <x:v>Es wächst nur im Winter.</x:v>
      </x:c>
      <x:c r="T160" s="36" t="str">
        <x:v>Es ist klein, wächst aber zu einer großen Pflanze mit großen Zweigen heran.</x:v>
      </x:c>
      <x:c r="U160" s="36" t="str">
        <x:v>Es wird zu einem Weinstock.</x:v>
      </x:c>
      <x:c r="V160" s="36" t="n">
        <x:v>2</x:v>
      </x:c>
      <x:c r="W160" s="36" t="str">
        <x:v>Es ist klein, wächst aber zu einer großen Pflanze mit großen Zweigen heran.</x:v>
      </x:c>
      <x:c r="X160" s="36" t="str">
        <x:v>Markus 4,30–32</x:v>
      </x:c>
      <x:c r="Y160" s="36" t="str">
        <x:v>Jesus stellt den kleinen Anfang des Senfkorns seinem auffälligen späteren Wachstum gegenüber.</x:v>
      </x:c>
      <x:c r="Z160" s="36" t="str">
        <x:v>JA</x:v>
      </x:c>
      <x:c r="AA160" s="36" t="str">
        <x:v>JA</x:v>
      </x:c>
      <x:c r="AB160" s="36" t="str">
        <x:v>JA</x:v>
      </x:c>
      <x:c r="AC160" s="36" t="str">
        <x:v>JA</x:v>
      </x:c>
      <x:c r="AD160" s="36" t="str">
        <x:v>JA</x:v>
      </x:c>
      <x:c r="AE160" s="36" t="str">
        <x:v>JA</x:v>
      </x:c>
      <x:c r="AF160" s="36" t="str">
        <x:v>JA</x:v>
      </x:c>
      <x:c r="AG160" s="36" t="str">
        <x:v>FREIGEGEBEN</x:v>
      </x:c>
      <x:c r="AH160" s="36" t="str">
        <x:v>GPT-5.6 Sol · Buchprüfung Markus · L1912/OTB</x:v>
      </x:c>
      <x:c r="AI160" s="36" t="str">
        <x:v>FREIGEGEBEN</x:v>
      </x:c>
      <x:c r="AJ160" s="36" t="str">
        <x:v>Markus 4: repetitive Wiedererkennungsfrage durch KERNAUSSAGE-Frage ersetzt.</x:v>
      </x:c>
      <x:c r="AK160" s="36" t="str">
        <x:v>FaithPath repo develop/v4 · data/bibles/l1912/MRK.json · data/bibles/otb/MRK.json</x:v>
      </x:c>
      <x:c r="AL160" t="str">
        <x:v>JA</x:v>
      </x:c>
    </x:row>
    <x:row r="161">
      <x:c r="A161" t="str">
        <x:v>FP-0420</x:v>
      </x:c>
      <x:c r="B161" t="str">
        <x:v>MRK</x:v>
      </x:c>
      <x:c r="C161" t="str">
        <x:v>Markus</x:v>
      </x:c>
      <x:c r="D161" t="n">
        <x:v>4</x:v>
      </x:c>
      <x:c r="E161" t="n">
        <x:v>5</x:v>
      </x:c>
      <x:c r="F161" t="str">
        <x:v>MRK-004</x:v>
      </x:c>
      <x:c r="G161" t="n">
        <x:v>32</x:v>
      </x:c>
      <x:c r="H161" t="str">
        <x:v>CQ-A02</x:v>
      </x:c>
      <x:c r="I161" s="36" t="str">
        <x:v>Welche dieser Aussagen stammt aus Markus 4?</x:v>
      </x:c>
      <x:c r="J161" s="36" t="str"/>
      <x:c r="K161" s="36" t="str"/>
      <x:c r="L161" s="36" t="str">
        <x:v>REPO_VERIFIZIERT_FRAGEFORM</x:v>
      </x:c>
      <x:c r="M161" s="36" t="str">
        <x:v>ERSETZEN</x:v>
      </x:c>
      <x:c r="N161" s="36" t="str">
        <x:v>REPETITIVE_FRAGEFORM</x:v>
      </x:c>
      <x:c r="O161" s="36" t="str">
        <x:v>REINE_WIEDERERKENNUNG</x:v>
      </x:c>
      <x:c r="P161" s="36" t="str">
        <x:v>GESCHEHEN</x:v>
      </x:c>
      <x:c r="Q161" s="36" t="str">
        <x:v>Was geschieht, nachdem Jesus Wind und Meer bedroht hat?</x:v>
      </x:c>
      <x:c r="R161" s="36" t="str">
        <x:v>Der Sturm wird stärker.</x:v>
      </x:c>
      <x:c r="S161" s="36" t="str">
        <x:v>Das Boot sinkt.</x:v>
      </x:c>
      <x:c r="T161" s="36" t="str">
        <x:v>Die Jünger schwimmen ans Ufer.</x:v>
      </x:c>
      <x:c r="U161" s="36" t="str">
        <x:v>Es entsteht eine große Stille, und die Jünger fragen sich, wer er ist.</x:v>
      </x:c>
      <x:c r="V161" s="36" t="n">
        <x:v>3</x:v>
      </x:c>
      <x:c r="W161" s="36" t="str">
        <x:v>Es entsteht eine große Stille, und die Jünger fragen sich, wer er ist.</x:v>
      </x:c>
      <x:c r="X161" s="36" t="str">
        <x:v>Markus 4,35–41</x:v>
      </x:c>
      <x:c r="Y161" s="36" t="str">
        <x:v>Nach Jesu Befehl legt sich der Sturm. Die Jünger reagieren mit Furcht und fragen, wer dieser ist, dem sogar Wind und Meer gehorchen.</x:v>
      </x:c>
      <x:c r="Z161" s="36" t="str">
        <x:v>JA</x:v>
      </x:c>
      <x:c r="AA161" s="36" t="str">
        <x:v>JA</x:v>
      </x:c>
      <x:c r="AB161" s="36" t="str">
        <x:v>JA</x:v>
      </x:c>
      <x:c r="AC161" s="36" t="str">
        <x:v>JA</x:v>
      </x:c>
      <x:c r="AD161" s="36" t="str">
        <x:v>JA</x:v>
      </x:c>
      <x:c r="AE161" s="36" t="str">
        <x:v>JA</x:v>
      </x:c>
      <x:c r="AF161" s="36" t="str">
        <x:v>JA</x:v>
      </x:c>
      <x:c r="AG161" s="36" t="str">
        <x:v>FREIGEGEBEN</x:v>
      </x:c>
      <x:c r="AH161" s="36" t="str">
        <x:v>GPT-5.6 Sol · Buchprüfung Markus · L1912/OTB</x:v>
      </x:c>
      <x:c r="AI161" s="36" t="str">
        <x:v>FREIGEGEBEN</x:v>
      </x:c>
      <x:c r="AJ161" s="36" t="str">
        <x:v>Markus 4: repetitive Wiedererkennungsfrage durch GESCHEHEN-Frage ersetzt.</x:v>
      </x:c>
      <x:c r="AK161" s="36" t="str">
        <x:v>FaithPath repo develop/v4 · data/bibles/l1912/MRK.json · data/bibles/otb/MRK.json</x:v>
      </x:c>
      <x:c r="AL161" t="str">
        <x:v>JA</x:v>
      </x:c>
    </x:row>
    <x:row r="162">
      <x:c r="A162" t="str">
        <x:v>FP-0421</x:v>
      </x:c>
      <x:c r="B162" t="str">
        <x:v>MRK</x:v>
      </x:c>
      <x:c r="C162" t="str">
        <x:v>Markus</x:v>
      </x:c>
      <x:c r="D162" t="n">
        <x:v>5</x:v>
      </x:c>
      <x:c r="E162" t="n">
        <x:v>1</x:v>
      </x:c>
      <x:c r="F162" t="str">
        <x:v>MRK-005</x:v>
      </x:c>
      <x:c r="G162" t="n">
        <x:v>33</x:v>
      </x:c>
      <x:c r="H162" t="str">
        <x:v>CQ-A02</x:v>
      </x:c>
      <x:c r="I162" s="36" t="str">
        <x:v>Welche dieser Aussagen stammt aus Markus 5?</x:v>
      </x:c>
      <x:c r="J162" s="36" t="str"/>
      <x:c r="K162" s="36" t="str"/>
      <x:c r="L162" s="36" t="str">
        <x:v>REPO_VERIFIZIERT_FRAGEFORM</x:v>
      </x:c>
      <x:c r="M162" s="36" t="str">
        <x:v>ERSETZEN</x:v>
      </x:c>
      <x:c r="N162" s="36" t="str">
        <x:v>REPETITIVE_FRAGEFORM</x:v>
      </x:c>
      <x:c r="O162" s="36" t="str">
        <x:v>REINE_WIEDERERKENNUNG</x:v>
      </x:c>
      <x:c r="P162" s="36" t="str">
        <x:v>DETAIL</x:v>
      </x:c>
      <x:c r="Q162" s="36" t="str">
        <x:v>Welchen Namen nennt der unreine Geist, als Jesus ihn fragt?</x:v>
      </x:c>
      <x:c r="R162" s="36" t="str">
        <x:v>Legion, weil es viele sind.</x:v>
      </x:c>
      <x:c r="S162" s="36" t="str">
        <x:v>Belial.</x:v>
      </x:c>
      <x:c r="T162" s="36" t="str">
        <x:v>Abaddon.</x:v>
      </x:c>
      <x:c r="U162" s="36" t="str">
        <x:v>Beelzebul.</x:v>
      </x:c>
      <x:c r="V162" s="36" t="n">
        <x:v>0</x:v>
      </x:c>
      <x:c r="W162" s="36" t="str">
        <x:v>Legion, weil es viele sind.</x:v>
      </x:c>
      <x:c r="X162" s="36" t="str">
        <x:v>Markus 5,1–9</x:v>
      </x:c>
      <x:c r="Y162" s="36" t="str">
        <x:v>Der Geist nennt den Namen „Legion“ und erklärt dies damit, dass sie viele sind.</x:v>
      </x:c>
      <x:c r="Z162" s="36" t="str">
        <x:v>JA</x:v>
      </x:c>
      <x:c r="AA162" s="36" t="str">
        <x:v>JA</x:v>
      </x:c>
      <x:c r="AB162" s="36" t="str">
        <x:v>JA</x:v>
      </x:c>
      <x:c r="AC162" s="36" t="str">
        <x:v>JA</x:v>
      </x:c>
      <x:c r="AD162" s="36" t="str">
        <x:v>JA</x:v>
      </x:c>
      <x:c r="AE162" s="36" t="str">
        <x:v>JA</x:v>
      </x:c>
      <x:c r="AF162" s="36" t="str">
        <x:v>JA</x:v>
      </x:c>
      <x:c r="AG162" s="36" t="str">
        <x:v>FREIGEGEBEN</x:v>
      </x:c>
      <x:c r="AH162" s="36" t="str">
        <x:v>GPT-5.6 Sol · Buchprüfung Markus · L1912/OTB</x:v>
      </x:c>
      <x:c r="AI162" s="36" t="str">
        <x:v>FREIGEGEBEN</x:v>
      </x:c>
      <x:c r="AJ162" s="36" t="str">
        <x:v>Markus 5: repetitive Wiedererkennungsfrage durch DETAIL-Frage ersetzt.</x:v>
      </x:c>
      <x:c r="AK162" s="36" t="str">
        <x:v>FaithPath repo develop/v4 · data/bibles/l1912/MRK.json · data/bibles/otb/MRK.json</x:v>
      </x:c>
      <x:c r="AL162" t="str">
        <x:v>JA</x:v>
      </x:c>
    </x:row>
    <x:row r="163">
      <x:c r="A163" t="str">
        <x:v>FP-0422</x:v>
      </x:c>
      <x:c r="B163" t="str">
        <x:v>MRK</x:v>
      </x:c>
      <x:c r="C163" t="str">
        <x:v>Markus</x:v>
      </x:c>
      <x:c r="D163" t="n">
        <x:v>5</x:v>
      </x:c>
      <x:c r="E163" t="n">
        <x:v>2</x:v>
      </x:c>
      <x:c r="F163" t="str">
        <x:v>MRK-005</x:v>
      </x:c>
      <x:c r="G163" t="n">
        <x:v>33</x:v>
      </x:c>
      <x:c r="H163" t="str">
        <x:v>CQ-A02</x:v>
      </x:c>
      <x:c r="I163" s="36" t="str">
        <x:v>Welche dieser Aussagen stammt aus Markus 5?</x:v>
      </x:c>
      <x:c r="J163" s="36" t="str"/>
      <x:c r="K163" s="36" t="str"/>
      <x:c r="L163" s="36" t="str">
        <x:v>REPO_VERIFIZIERT_FRAGEFORM</x:v>
      </x:c>
      <x:c r="M163" s="36" t="str">
        <x:v>ERSETZEN</x:v>
      </x:c>
      <x:c r="N163" s="36" t="str">
        <x:v>REPETITIVE_FRAGEFORM</x:v>
      </x:c>
      <x:c r="O163" s="36" t="str">
        <x:v>REINE_WIEDERERKENNUNG</x:v>
      </x:c>
      <x:c r="P163" s="36" t="str">
        <x:v>GESCHEHEN</x:v>
      </x:c>
      <x:c r="Q163" s="36" t="str">
        <x:v>Was geschieht mit der Schweineherde, nachdem die unreinen Geister in sie fahren?</x:v>
      </x:c>
      <x:c r="R163" s="36" t="str">
        <x:v>Sie wird ruhig und bleibt auf der Weide.</x:v>
      </x:c>
      <x:c r="S163" s="36" t="str">
        <x:v>Sie stürzt den Abhang hinunter in den See.</x:v>
      </x:c>
      <x:c r="T163" s="36" t="str">
        <x:v>Sie läuft nach Jerusalem.</x:v>
      </x:c>
      <x:c r="U163" s="36" t="str">
        <x:v>Sie wird von den Jüngern eingefangen.</x:v>
      </x:c>
      <x:c r="V163" s="36" t="n">
        <x:v>1</x:v>
      </x:c>
      <x:c r="W163" s="36" t="str">
        <x:v>Sie stürzt den Abhang hinunter in den See.</x:v>
      </x:c>
      <x:c r="X163" s="36" t="str">
        <x:v>Markus 5,11–13</x:v>
      </x:c>
      <x:c r="Y163" s="36" t="str">
        <x:v>Die Herde stürzt den Abhang hinunter in den See.</x:v>
      </x:c>
      <x:c r="Z163" s="36" t="str">
        <x:v>JA</x:v>
      </x:c>
      <x:c r="AA163" s="36" t="str">
        <x:v>JA</x:v>
      </x:c>
      <x:c r="AB163" s="36" t="str">
        <x:v>JA</x:v>
      </x:c>
      <x:c r="AC163" s="36" t="str">
        <x:v>JA</x:v>
      </x:c>
      <x:c r="AD163" s="36" t="str">
        <x:v>JA</x:v>
      </x:c>
      <x:c r="AE163" s="36" t="str">
        <x:v>JA</x:v>
      </x:c>
      <x:c r="AF163" s="36" t="str">
        <x:v>JA</x:v>
      </x:c>
      <x:c r="AG163" s="36" t="str">
        <x:v>FREIGEGEBEN</x:v>
      </x:c>
      <x:c r="AH163" s="36" t="str">
        <x:v>GPT-5.6 Sol · Buchprüfung Markus · L1912/OTB</x:v>
      </x:c>
      <x:c r="AI163" s="36" t="str">
        <x:v>FREIGEGEBEN</x:v>
      </x:c>
      <x:c r="AJ163" s="36" t="str">
        <x:v>Markus 5: repetitive Wiedererkennungsfrage durch GESCHEHEN-Frage ersetzt.</x:v>
      </x:c>
      <x:c r="AK163" s="36" t="str">
        <x:v>FaithPath repo develop/v4 · data/bibles/l1912/MRK.json · data/bibles/otb/MRK.json</x:v>
      </x:c>
      <x:c r="AL163" t="str">
        <x:v>JA</x:v>
      </x:c>
    </x:row>
    <x:row r="164">
      <x:c r="A164" t="str">
        <x:v>FP-0423</x:v>
      </x:c>
      <x:c r="B164" t="str">
        <x:v>MRK</x:v>
      </x:c>
      <x:c r="C164" t="str">
        <x:v>Markus</x:v>
      </x:c>
      <x:c r="D164" t="n">
        <x:v>5</x:v>
      </x:c>
      <x:c r="E164" t="n">
        <x:v>3</x:v>
      </x:c>
      <x:c r="F164" t="str">
        <x:v>MRK-005</x:v>
      </x:c>
      <x:c r="G164" t="n">
        <x:v>33</x:v>
      </x:c>
      <x:c r="H164" t="str">
        <x:v>CQ-A02</x:v>
      </x:c>
      <x:c r="I164" s="36" t="str">
        <x:v>Welche dieser Aussagen stammt aus Markus 5?</x:v>
      </x:c>
      <x:c r="J164" s="36" t="str"/>
      <x:c r="K164" s="36" t="str"/>
      <x:c r="L164" s="36" t="str">
        <x:v>REPO_VERIFIZIERT_FRAGEFORM</x:v>
      </x:c>
      <x:c r="M164" s="36" t="str">
        <x:v>ERSETZEN</x:v>
      </x:c>
      <x:c r="N164" s="36" t="str">
        <x:v>REPETITIVE_FRAGEFORM</x:v>
      </x:c>
      <x:c r="O164" s="36" t="str">
        <x:v>REINE_WIEDERERKENNUNG</x:v>
      </x:c>
      <x:c r="P164" s="36" t="str">
        <x:v>GESCHEHEN</x:v>
      </x:c>
      <x:c r="Q164" s="36" t="str">
        <x:v>Warum bittet Jairus Jesus dringend, mit ihm zu kommen?</x:v>
      </x:c>
      <x:c r="R164" s="36" t="str">
        <x:v>Sein Haus wurde zerstört.</x:v>
      </x:c>
      <x:c r="S164" s="36" t="str">
        <x:v>Sein Sohn ist verschwunden.</x:v>
      </x:c>
      <x:c r="T164" s="36" t="str">
        <x:v>Seine Tochter liegt im Sterben.</x:v>
      </x:c>
      <x:c r="U164" s="36" t="str">
        <x:v>Er möchte Jesus zum Essen einladen.</x:v>
      </x:c>
      <x:c r="V164" s="36" t="n">
        <x:v>2</x:v>
      </x:c>
      <x:c r="W164" s="36" t="str">
        <x:v>Seine Tochter liegt im Sterben.</x:v>
      </x:c>
      <x:c r="X164" s="36" t="str">
        <x:v>Markus 5,21–24</x:v>
      </x:c>
      <x:c r="Y164" s="36" t="str">
        <x:v>Jairus bittet Jesus, weil seine kleine Tochter im Sterben liegt.</x:v>
      </x:c>
      <x:c r="Z164" s="36" t="str">
        <x:v>JA</x:v>
      </x:c>
      <x:c r="AA164" s="36" t="str">
        <x:v>JA</x:v>
      </x:c>
      <x:c r="AB164" s="36" t="str">
        <x:v>JA</x:v>
      </x:c>
      <x:c r="AC164" s="36" t="str">
        <x:v>JA</x:v>
      </x:c>
      <x:c r="AD164" s="36" t="str">
        <x:v>JA</x:v>
      </x:c>
      <x:c r="AE164" s="36" t="str">
        <x:v>JA</x:v>
      </x:c>
      <x:c r="AF164" s="36" t="str">
        <x:v>JA</x:v>
      </x:c>
      <x:c r="AG164" s="36" t="str">
        <x:v>FREIGEGEBEN</x:v>
      </x:c>
      <x:c r="AH164" s="36" t="str">
        <x:v>GPT-5.6 Sol · Buchprüfung Markus · L1912/OTB</x:v>
      </x:c>
      <x:c r="AI164" s="36" t="str">
        <x:v>FREIGEGEBEN</x:v>
      </x:c>
      <x:c r="AJ164" s="36" t="str">
        <x:v>Markus 5: repetitive Wiedererkennungsfrage durch GESCHEHEN-Frage ersetzt.</x:v>
      </x:c>
      <x:c r="AK164" s="36" t="str">
        <x:v>FaithPath repo develop/v4 · data/bibles/l1912/MRK.json · data/bibles/otb/MRK.json</x:v>
      </x:c>
      <x:c r="AL164" t="str">
        <x:v>JA</x:v>
      </x:c>
    </x:row>
    <x:row r="165">
      <x:c r="A165" t="str">
        <x:v>FP-0424</x:v>
      </x:c>
      <x:c r="B165" t="str">
        <x:v>MRK</x:v>
      </x:c>
      <x:c r="C165" t="str">
        <x:v>Markus</x:v>
      </x:c>
      <x:c r="D165" t="n">
        <x:v>5</x:v>
      </x:c>
      <x:c r="E165" t="n">
        <x:v>4</x:v>
      </x:c>
      <x:c r="F165" t="str">
        <x:v>MRK-005</x:v>
      </x:c>
      <x:c r="G165" t="n">
        <x:v>33</x:v>
      </x:c>
      <x:c r="H165" t="str">
        <x:v>CQ-A02</x:v>
      </x:c>
      <x:c r="I165" s="36" t="str">
        <x:v>Welche dieser Aussagen stammt aus Markus 5?</x:v>
      </x:c>
      <x:c r="J165" s="36" t="str"/>
      <x:c r="K165" s="36" t="str"/>
      <x:c r="L165" s="36" t="str">
        <x:v>REPO_VERIFIZIERT_FRAGEFORM</x:v>
      </x:c>
      <x:c r="M165" s="36" t="str">
        <x:v>ERSETZEN</x:v>
      </x:c>
      <x:c r="N165" s="36" t="str">
        <x:v>REPETITIVE_FRAGEFORM</x:v>
      </x:c>
      <x:c r="O165" s="36" t="str">
        <x:v>REINE_WIEDERERKENNUNG</x:v>
      </x:c>
      <x:c r="P165" s="36" t="str">
        <x:v>ZUSAMMENHANG</x:v>
      </x:c>
      <x:c r="Q165" s="36" t="str">
        <x:v>Warum berührt die seit zwölf Jahren kranke Frau Jesu Gewand?</x:v>
      </x:c>
      <x:c r="R165" s="36" t="str">
        <x:v>Sie will Jesus heimlich festhalten.</x:v>
      </x:c>
      <x:c r="S165" s="36" t="str">
        <x:v>Sie sucht einen Gegenstand als Andenken.</x:v>
      </x:c>
      <x:c r="T165" s="36" t="str">
        <x:v>Sie möchte prüfen, ob das Gewand echt ist.</x:v>
      </x:c>
      <x:c r="U165" s="36" t="str">
        <x:v>Sie glaubt, schon durch die Berührung geheilt zu werden.</x:v>
      </x:c>
      <x:c r="V165" s="36" t="n">
        <x:v>3</x:v>
      </x:c>
      <x:c r="W165" s="36" t="str">
        <x:v>Sie glaubt, schon durch die Berührung geheilt zu werden.</x:v>
      </x:c>
      <x:c r="X165" s="36" t="str">
        <x:v>Markus 5,25–34</x:v>
      </x:c>
      <x:c r="Y165" s="36" t="str">
        <x:v>Die Frau ist überzeugt, dass selbst die Berührung seines Gewandes zu ihrer Heilung führen kann; Jesus spricht anschließend von ihrem Glauben.</x:v>
      </x:c>
      <x:c r="Z165" s="36" t="str">
        <x:v>JA</x:v>
      </x:c>
      <x:c r="AA165" s="36" t="str">
        <x:v>JA</x:v>
      </x:c>
      <x:c r="AB165" s="36" t="str">
        <x:v>JA</x:v>
      </x:c>
      <x:c r="AC165" s="36" t="str">
        <x:v>JA</x:v>
      </x:c>
      <x:c r="AD165" s="36" t="str">
        <x:v>JA</x:v>
      </x:c>
      <x:c r="AE165" s="36" t="str">
        <x:v>JA</x:v>
      </x:c>
      <x:c r="AF165" s="36" t="str">
        <x:v>JA</x:v>
      </x:c>
      <x:c r="AG165" s="36" t="str">
        <x:v>FREIGEGEBEN</x:v>
      </x:c>
      <x:c r="AH165" s="36" t="str">
        <x:v>GPT-5.6 Sol · Buchprüfung Markus · L1912/OTB</x:v>
      </x:c>
      <x:c r="AI165" s="36" t="str">
        <x:v>FREIGEGEBEN</x:v>
      </x:c>
      <x:c r="AJ165" s="36" t="str">
        <x:v>Markus 5: repetitive Wiedererkennungsfrage durch ZUSAMMENHANG-Frage ersetzt.</x:v>
      </x:c>
      <x:c r="AK165" s="36" t="str">
        <x:v>FaithPath repo develop/v4 · data/bibles/l1912/MRK.json · data/bibles/otb/MRK.json</x:v>
      </x:c>
      <x:c r="AL165" t="str">
        <x:v>JA</x:v>
      </x:c>
    </x:row>
    <x:row r="166">
      <x:c r="A166" t="str">
        <x:v>FP-0425</x:v>
      </x:c>
      <x:c r="B166" t="str">
        <x:v>MRK</x:v>
      </x:c>
      <x:c r="C166" t="str">
        <x:v>Markus</x:v>
      </x:c>
      <x:c r="D166" t="n">
        <x:v>5</x:v>
      </x:c>
      <x:c r="E166" t="n">
        <x:v>5</x:v>
      </x:c>
      <x:c r="F166" t="str">
        <x:v>MRK-005</x:v>
      </x:c>
      <x:c r="G166" t="n">
        <x:v>33</x:v>
      </x:c>
      <x:c r="H166" t="str">
        <x:v>CQ-A02</x:v>
      </x:c>
      <x:c r="I166" s="36" t="str">
        <x:v>Welche dieser Aussagen stammt aus Markus 5?</x:v>
      </x:c>
      <x:c r="J166" s="36" t="str"/>
      <x:c r="K166" s="36" t="str"/>
      <x:c r="L166" s="36" t="str">
        <x:v>REPO_VERIFIZIERT_FRAGEFORM</x:v>
      </x:c>
      <x:c r="M166" s="36" t="str">
        <x:v>ERSETZEN</x:v>
      </x:c>
      <x:c r="N166" s="36" t="str">
        <x:v>REPETITIVE_FRAGEFORM</x:v>
      </x:c>
      <x:c r="O166" s="36" t="str">
        <x:v>REINE_WIEDERERKENNUNG</x:v>
      </x:c>
      <x:c r="P166" s="36" t="str">
        <x:v>PERSON_AUSSAGE</x:v>
      </x:c>
      <x:c r="Q166" s="36" t="str">
        <x:v>Was sagt Jesus zu Jairus, nachdem die Nachricht vom Tod seiner Tochter kommt?</x:v>
      </x:c>
      <x:c r="R166" s="36" t="str">
        <x:v>Fürchte dich nicht; glaube nur.</x:v>
      </x:c>
      <x:c r="S166" s="36" t="str">
        <x:v>Kehre nach Hause zurück und vergiss sie.</x:v>
      </x:c>
      <x:c r="T166" s="36" t="str">
        <x:v>Suche einen Arzt.</x:v>
      </x:c>
      <x:c r="U166" s="36" t="str">
        <x:v>Warte sieben Tage.</x:v>
      </x:c>
      <x:c r="V166" s="36" t="n">
        <x:v>0</x:v>
      </x:c>
      <x:c r="W166" s="36" t="str">
        <x:v>Fürchte dich nicht; glaube nur.</x:v>
      </x:c>
      <x:c r="X166" s="36" t="str">
        <x:v>Markus 5,35–43</x:v>
      </x:c>
      <x:c r="Y166" s="36" t="str">
        <x:v>Jesus fordert Jairus auf, sich nicht zu fürchten, sondern zu glauben, bevor er das Mädchen wieder aufrichtet.</x:v>
      </x:c>
      <x:c r="Z166" s="36" t="str">
        <x:v>JA</x:v>
      </x:c>
      <x:c r="AA166" s="36" t="str">
        <x:v>JA</x:v>
      </x:c>
      <x:c r="AB166" s="36" t="str">
        <x:v>JA</x:v>
      </x:c>
      <x:c r="AC166" s="36" t="str">
        <x:v>JA</x:v>
      </x:c>
      <x:c r="AD166" s="36" t="str">
        <x:v>JA</x:v>
      </x:c>
      <x:c r="AE166" s="36" t="str">
        <x:v>JA</x:v>
      </x:c>
      <x:c r="AF166" s="36" t="str">
        <x:v>JA</x:v>
      </x:c>
      <x:c r="AG166" s="36" t="str">
        <x:v>FREIGEGEBEN</x:v>
      </x:c>
      <x:c r="AH166" s="36" t="str">
        <x:v>GPT-5.6 Sol · Buchprüfung Markus · L1912/OTB</x:v>
      </x:c>
      <x:c r="AI166" s="36" t="str">
        <x:v>FREIGEGEBEN</x:v>
      </x:c>
      <x:c r="AJ166" s="36" t="str">
        <x:v>Markus 5: repetitive Wiedererkennungsfrage durch PERSON_AUSSAGE-Frage ersetzt.</x:v>
      </x:c>
      <x:c r="AK166" s="36" t="str">
        <x:v>FaithPath repo develop/v4 · data/bibles/l1912/MRK.json · data/bibles/otb/MRK.json</x:v>
      </x:c>
      <x:c r="AL166" t="str">
        <x:v>JA</x:v>
      </x:c>
    </x:row>
    <x:row r="167">
      <x:c r="A167" t="str">
        <x:v>FP-0426</x:v>
      </x:c>
      <x:c r="B167" t="str">
        <x:v>MRK</x:v>
      </x:c>
      <x:c r="C167" t="str">
        <x:v>Markus</x:v>
      </x:c>
      <x:c r="D167" t="n">
        <x:v>6</x:v>
      </x:c>
      <x:c r="E167" t="n">
        <x:v>1</x:v>
      </x:c>
      <x:c r="F167" t="str">
        <x:v>MRK-006</x:v>
      </x:c>
      <x:c r="G167" t="n">
        <x:v>34</x:v>
      </x:c>
      <x:c r="H167" t="str">
        <x:v>CQ-A02</x:v>
      </x:c>
      <x:c r="I167" s="36" t="str">
        <x:v>Welche dieser Aussagen stammt aus Markus 6?</x:v>
      </x:c>
      <x:c r="J167" s="36" t="str"/>
      <x:c r="K167" s="36" t="str"/>
      <x:c r="L167" s="36" t="str">
        <x:v>REPO_VERIFIZIERT_FRAGEFORM</x:v>
      </x:c>
      <x:c r="M167" s="36" t="str">
        <x:v>ERSETZEN</x:v>
      </x:c>
      <x:c r="N167" s="36" t="str">
        <x:v>REPETITIVE_FRAGEFORM</x:v>
      </x:c>
      <x:c r="O167" s="36" t="str">
        <x:v>REINE_WIEDERERKENNUNG</x:v>
      </x:c>
      <x:c r="P167" s="36" t="str">
        <x:v>ZUSAMMENHANG</x:v>
      </x:c>
      <x:c r="Q167" s="36" t="str">
        <x:v>Was fällt Jesus in seiner Heimat besonders auf?</x:v>
      </x:c>
      <x:c r="R167" s="36" t="str">
        <x:v>Der außergewöhnliche Reichtum der Stadt.</x:v>
      </x:c>
      <x:c r="S167" s="36" t="str">
        <x:v>Der Unglaube der Menschen.</x:v>
      </x:c>
      <x:c r="T167" s="36" t="str">
        <x:v>Die große Zahl der Priester.</x:v>
      </x:c>
      <x:c r="U167" s="36" t="str">
        <x:v>Dass niemand ihn kennt.</x:v>
      </x:c>
      <x:c r="V167" s="36" t="n">
        <x:v>1</x:v>
      </x:c>
      <x:c r="W167" s="36" t="str">
        <x:v>Der Unglaube der Menschen.</x:v>
      </x:c>
      <x:c r="X167" s="36" t="str">
        <x:v>Markus 6,1–6</x:v>
      </x:c>
      <x:c r="Y167" s="36" t="str">
        <x:v>In seiner Heimat stößt Jesus auf Ablehnung und wundert sich über den Unglauben der Menschen.</x:v>
      </x:c>
      <x:c r="Z167" s="36" t="str">
        <x:v>JA</x:v>
      </x:c>
      <x:c r="AA167" s="36" t="str">
        <x:v>JA</x:v>
      </x:c>
      <x:c r="AB167" s="36" t="str">
        <x:v>JA</x:v>
      </x:c>
      <x:c r="AC167" s="36" t="str">
        <x:v>JA</x:v>
      </x:c>
      <x:c r="AD167" s="36" t="str">
        <x:v>JA</x:v>
      </x:c>
      <x:c r="AE167" s="36" t="str">
        <x:v>JA</x:v>
      </x:c>
      <x:c r="AF167" s="36" t="str">
        <x:v>JA</x:v>
      </x:c>
      <x:c r="AG167" s="36" t="str">
        <x:v>FREIGEGEBEN</x:v>
      </x:c>
      <x:c r="AH167" s="36" t="str">
        <x:v>GPT-5.6 Sol · Buchprüfung Markus · L1912/OTB</x:v>
      </x:c>
      <x:c r="AI167" s="36" t="str">
        <x:v>FREIGEGEBEN</x:v>
      </x:c>
      <x:c r="AJ167" s="36" t="str">
        <x:v>Markus 6: repetitive Wiedererkennungsfrage durch ZUSAMMENHANG-Frage ersetzt.</x:v>
      </x:c>
      <x:c r="AK167" s="36" t="str">
        <x:v>FaithPath repo develop/v4 · data/bibles/l1912/MRK.json · data/bibles/otb/MRK.json</x:v>
      </x:c>
      <x:c r="AL167" t="str">
        <x:v>JA</x:v>
      </x:c>
    </x:row>
    <x:row r="168">
      <x:c r="A168" t="str">
        <x:v>FP-0427</x:v>
      </x:c>
      <x:c r="B168" t="str">
        <x:v>MRK</x:v>
      </x:c>
      <x:c r="C168" t="str">
        <x:v>Markus</x:v>
      </x:c>
      <x:c r="D168" t="n">
        <x:v>6</x:v>
      </x:c>
      <x:c r="E168" t="n">
        <x:v>2</x:v>
      </x:c>
      <x:c r="F168" t="str">
        <x:v>MRK-006</x:v>
      </x:c>
      <x:c r="G168" t="n">
        <x:v>34</x:v>
      </x:c>
      <x:c r="H168" t="str">
        <x:v>CQ-A02</x:v>
      </x:c>
      <x:c r="I168" s="36" t="str">
        <x:v>Welche dieser Aussagen stammt aus Markus 6?</x:v>
      </x:c>
      <x:c r="J168" s="36" t="str"/>
      <x:c r="K168" s="36" t="str"/>
      <x:c r="L168" s="36" t="str">
        <x:v>REPO_VERIFIZIERT_FRAGEFORM</x:v>
      </x:c>
      <x:c r="M168" s="36" t="str">
        <x:v>ERSETZEN</x:v>
      </x:c>
      <x:c r="N168" s="36" t="str">
        <x:v>REPETITIVE_FRAGEFORM</x:v>
      </x:c>
      <x:c r="O168" s="36" t="str">
        <x:v>REINE_WIEDERERKENNUNG</x:v>
      </x:c>
      <x:c r="P168" s="36" t="str">
        <x:v>GESCHEHEN</x:v>
      </x:c>
      <x:c r="Q168" s="36" t="str">
        <x:v>Wie sendet Jesus die Zwölf aus?</x:v>
      </x:c>
      <x:c r="R168" s="36" t="str">
        <x:v>Einzeln und ohne Auftrag.</x:v>
      </x:c>
      <x:c r="S168" s="36" t="str">
        <x:v>Nur nach Jerusalem.</x:v>
      </x:c>
      <x:c r="T168" s="36" t="str">
        <x:v>Je zwei zusammen und mit Vollmacht über unreine Geister.</x:v>
      </x:c>
      <x:c r="U168" s="36" t="str">
        <x:v>Mit einer großen Reiseausrüstung.</x:v>
      </x:c>
      <x:c r="V168" s="36" t="n">
        <x:v>2</x:v>
      </x:c>
      <x:c r="W168" s="36" t="str">
        <x:v>Je zwei zusammen und mit Vollmacht über unreine Geister.</x:v>
      </x:c>
      <x:c r="X168" s="36" t="str">
        <x:v>Markus 6,7–13</x:v>
      </x:c>
      <x:c r="Y168" s="36" t="str">
        <x:v>Jesus sendet die Zwölf jeweils zu zweit aus und gibt ihnen Vollmacht über unreine Geister.</x:v>
      </x:c>
      <x:c r="Z168" s="36" t="str">
        <x:v>JA</x:v>
      </x:c>
      <x:c r="AA168" s="36" t="str">
        <x:v>JA</x:v>
      </x:c>
      <x:c r="AB168" s="36" t="str">
        <x:v>JA</x:v>
      </x:c>
      <x:c r="AC168" s="36" t="str">
        <x:v>JA</x:v>
      </x:c>
      <x:c r="AD168" s="36" t="str">
        <x:v>JA</x:v>
      </x:c>
      <x:c r="AE168" s="36" t="str">
        <x:v>JA</x:v>
      </x:c>
      <x:c r="AF168" s="36" t="str">
        <x:v>JA</x:v>
      </x:c>
      <x:c r="AG168" s="36" t="str">
        <x:v>FREIGEGEBEN</x:v>
      </x:c>
      <x:c r="AH168" s="36" t="str">
        <x:v>GPT-5.6 Sol · Buchprüfung Markus · L1912/OTB</x:v>
      </x:c>
      <x:c r="AI168" s="36" t="str">
        <x:v>FREIGEGEBEN</x:v>
      </x:c>
      <x:c r="AJ168" s="36" t="str">
        <x:v>Markus 6: repetitive Wiedererkennungsfrage durch GESCHEHEN-Frage ersetzt.</x:v>
      </x:c>
      <x:c r="AK168" s="36" t="str">
        <x:v>FaithPath repo develop/v4 · data/bibles/l1912/MRK.json · data/bibles/otb/MRK.json</x:v>
      </x:c>
      <x:c r="AL168" t="str">
        <x:v>JA</x:v>
      </x:c>
    </x:row>
    <x:row r="169">
      <x:c r="A169" t="str">
        <x:v>FP-0428</x:v>
      </x:c>
      <x:c r="B169" t="str">
        <x:v>MRK</x:v>
      </x:c>
      <x:c r="C169" t="str">
        <x:v>Markus</x:v>
      </x:c>
      <x:c r="D169" t="n">
        <x:v>6</x:v>
      </x:c>
      <x:c r="E169" t="n">
        <x:v>3</x:v>
      </x:c>
      <x:c r="F169" t="str">
        <x:v>MRK-006</x:v>
      </x:c>
      <x:c r="G169" t="n">
        <x:v>34</x:v>
      </x:c>
      <x:c r="H169" t="str">
        <x:v>CQ-A02</x:v>
      </x:c>
      <x:c r="I169" s="36" t="str">
        <x:v>Welche dieser Aussagen stammt aus Markus 6?</x:v>
      </x:c>
      <x:c r="J169" s="36" t="str"/>
      <x:c r="K169" s="36" t="str"/>
      <x:c r="L169" s="36" t="str">
        <x:v>REPO_VERIFIZIERT_FRAGEFORM</x:v>
      </x:c>
      <x:c r="M169" s="36" t="str">
        <x:v>ERSETZEN</x:v>
      </x:c>
      <x:c r="N169" s="36" t="str">
        <x:v>REPETITIVE_FRAGEFORM</x:v>
      </x:c>
      <x:c r="O169" s="36" t="str">
        <x:v>REINE_WIEDERERKENNUNG</x:v>
      </x:c>
      <x:c r="P169" s="36" t="str">
        <x:v>GESCHEHEN</x:v>
      </x:c>
      <x:c r="Q169" s="36" t="str">
        <x:v>Wie kommt es zur Enthauptung Johannes des Täufers?</x:v>
      </x:c>
      <x:c r="R169" s="36" t="str">
        <x:v>Johannes stirbt auf einer Reise.</x:v>
      </x:c>
      <x:c r="S169" s="36" t="str">
        <x:v>Die Jünger töten ihn versehentlich.</x:v>
      </x:c>
      <x:c r="T169" s="36" t="str">
        <x:v>Pilatus verurteilt ihn in Jerusalem.</x:v>
      </x:c>
      <x:c r="U169" s="36" t="str">
        <x:v>Herodes lässt ihn nach einer Bitte im Rahmen seines Festes enthaupten.</x:v>
      </x:c>
      <x:c r="V169" s="36" t="n">
        <x:v>3</x:v>
      </x:c>
      <x:c r="W169" s="36" t="str">
        <x:v>Herodes lässt ihn nach einer Bitte im Rahmen seines Festes enthaupten.</x:v>
      </x:c>
      <x:c r="X169" s="36" t="str">
        <x:v>Markus 6,17–29</x:v>
      </x:c>
      <x:c r="Y169" s="36" t="str">
        <x:v>Auf Herodes' Fest führt die Bitte der Tochter, angestiftet von ihrer Mutter, dazu, dass Johannes im Gefängnis enthauptet wird.</x:v>
      </x:c>
      <x:c r="Z169" s="36" t="str">
        <x:v>JA</x:v>
      </x:c>
      <x:c r="AA169" s="36" t="str">
        <x:v>JA</x:v>
      </x:c>
      <x:c r="AB169" s="36" t="str">
        <x:v>JA</x:v>
      </x:c>
      <x:c r="AC169" s="36" t="str">
        <x:v>JA</x:v>
      </x:c>
      <x:c r="AD169" s="36" t="str">
        <x:v>JA</x:v>
      </x:c>
      <x:c r="AE169" s="36" t="str">
        <x:v>JA</x:v>
      </x:c>
      <x:c r="AF169" s="36" t="str">
        <x:v>JA</x:v>
      </x:c>
      <x:c r="AG169" s="36" t="str">
        <x:v>FREIGEGEBEN</x:v>
      </x:c>
      <x:c r="AH169" s="36" t="str">
        <x:v>GPT-5.6 Sol · Buchprüfung Markus · L1912/OTB</x:v>
      </x:c>
      <x:c r="AI169" s="36" t="str">
        <x:v>FREIGEGEBEN</x:v>
      </x:c>
      <x:c r="AJ169" s="36" t="str">
        <x:v>Markus 6: repetitive Wiedererkennungsfrage durch GESCHEHEN-Frage ersetzt.</x:v>
      </x:c>
      <x:c r="AK169" s="36" t="str">
        <x:v>FaithPath repo develop/v4 · data/bibles/l1912/MRK.json · data/bibles/otb/MRK.json</x:v>
      </x:c>
      <x:c r="AL169" t="str">
        <x:v>JA</x:v>
      </x:c>
    </x:row>
    <x:row r="170">
      <x:c r="A170" t="str">
        <x:v>FP-0429</x:v>
      </x:c>
      <x:c r="B170" t="str">
        <x:v>MRK</x:v>
      </x:c>
      <x:c r="C170" t="str">
        <x:v>Markus</x:v>
      </x:c>
      <x:c r="D170" t="n">
        <x:v>6</x:v>
      </x:c>
      <x:c r="E170" t="n">
        <x:v>4</x:v>
      </x:c>
      <x:c r="F170" t="str">
        <x:v>MRK-006</x:v>
      </x:c>
      <x:c r="G170" t="n">
        <x:v>34</x:v>
      </x:c>
      <x:c r="H170" t="str">
        <x:v>CQ-A02</x:v>
      </x:c>
      <x:c r="I170" s="36" t="str">
        <x:v>Welche dieser Aussagen stammt aus Markus 6?</x:v>
      </x:c>
      <x:c r="J170" s="36" t="str"/>
      <x:c r="K170" s="36" t="str"/>
      <x:c r="L170" s="36" t="str">
        <x:v>REPO_VERIFIZIERT_FRAGEFORM</x:v>
      </x:c>
      <x:c r="M170" s="36" t="str">
        <x:v>ERSETZEN</x:v>
      </x:c>
      <x:c r="N170" s="36" t="str">
        <x:v>REPETITIVE_FRAGEFORM</x:v>
      </x:c>
      <x:c r="O170" s="36" t="str">
        <x:v>REINE_WIEDERERKENNUNG</x:v>
      </x:c>
      <x:c r="P170" s="36" t="str">
        <x:v>TEXTGENAUIGKEIT</x:v>
      </x:c>
      <x:c r="Q170" s="36" t="str">
        <x:v>Womit speist Jesus die große Menge, und wie viele Körbe bleiben übrig?</x:v>
      </x:c>
      <x:c r="R170" s="36" t="str">
        <x:v>Mit fünf Broten und zwei Fischen; zwölf Körbe bleiben.</x:v>
      </x:c>
      <x:c r="S170" s="36" t="str">
        <x:v>Mit sieben Broten; fünf Körbe bleiben.</x:v>
      </x:c>
      <x:c r="T170" s="36" t="str">
        <x:v>Mit zwölf Broten; zwei Körbe bleiben.</x:v>
      </x:c>
      <x:c r="U170" s="36" t="str">
        <x:v>Mit zwei Broten und fünf Fischen; sieben Körbe bleiben.</x:v>
      </x:c>
      <x:c r="V170" s="36" t="n">
        <x:v>0</x:v>
      </x:c>
      <x:c r="W170" s="36" t="str">
        <x:v>Mit fünf Broten und zwei Fischen; zwölf Körbe bleiben.</x:v>
      </x:c>
      <x:c r="X170" s="36" t="str">
        <x:v>Markus 6,35–44</x:v>
      </x:c>
      <x:c r="Y170" s="36" t="str">
        <x:v>Jesus verwendet fünf Brote und zwei Fische; anschließend werden zwölf Körbe mit Resten gesammelt.</x:v>
      </x:c>
      <x:c r="Z170" s="36" t="str">
        <x:v>JA</x:v>
      </x:c>
      <x:c r="AA170" s="36" t="str">
        <x:v>JA</x:v>
      </x:c>
      <x:c r="AB170" s="36" t="str">
        <x:v>JA</x:v>
      </x:c>
      <x:c r="AC170" s="36" t="str">
        <x:v>JA</x:v>
      </x:c>
      <x:c r="AD170" s="36" t="str">
        <x:v>JA</x:v>
      </x:c>
      <x:c r="AE170" s="36" t="str">
        <x:v>JA</x:v>
      </x:c>
      <x:c r="AF170" s="36" t="str">
        <x:v>JA</x:v>
      </x:c>
      <x:c r="AG170" s="36" t="str">
        <x:v>FREIGEGEBEN</x:v>
      </x:c>
      <x:c r="AH170" s="36" t="str">
        <x:v>GPT-5.6 Sol · Buchprüfung Markus · L1912/OTB</x:v>
      </x:c>
      <x:c r="AI170" s="36" t="str">
        <x:v>FREIGEGEBEN</x:v>
      </x:c>
      <x:c r="AJ170" s="36" t="str">
        <x:v>Markus 6: repetitive Wiedererkennungsfrage durch TEXTGENAUIGKEIT-Frage ersetzt.</x:v>
      </x:c>
      <x:c r="AK170" s="36" t="str">
        <x:v>FaithPath repo develop/v4 · data/bibles/l1912/MRK.json · data/bibles/otb/MRK.json</x:v>
      </x:c>
      <x:c r="AL170" t="str">
        <x:v>JA</x:v>
      </x:c>
    </x:row>
    <x:row r="171">
      <x:c r="A171" t="str">
        <x:v>FP-0430</x:v>
      </x:c>
      <x:c r="B171" t="str">
        <x:v>MRK</x:v>
      </x:c>
      <x:c r="C171" t="str">
        <x:v>Markus</x:v>
      </x:c>
      <x:c r="D171" t="n">
        <x:v>6</x:v>
      </x:c>
      <x:c r="E171" t="n">
        <x:v>5</x:v>
      </x:c>
      <x:c r="F171" t="str">
        <x:v>MRK-006</x:v>
      </x:c>
      <x:c r="G171" t="n">
        <x:v>34</x:v>
      </x:c>
      <x:c r="H171" t="str">
        <x:v>CQ-A02</x:v>
      </x:c>
      <x:c r="I171" s="36" t="str">
        <x:v>Welche dieser Aussagen stammt aus Markus 6?</x:v>
      </x:c>
      <x:c r="J171" s="36" t="str"/>
      <x:c r="K171" s="36" t="str"/>
      <x:c r="L171" s="36" t="str">
        <x:v>REPO_VERIFIZIERT_FRAGEFORM</x:v>
      </x:c>
      <x:c r="M171" s="36" t="str">
        <x:v>ERSETZEN</x:v>
      </x:c>
      <x:c r="N171" s="36" t="str">
        <x:v>REPETITIVE_FRAGEFORM</x:v>
      </x:c>
      <x:c r="O171" s="36" t="str">
        <x:v>REINE_WIEDERERKENNUNG</x:v>
      </x:c>
      <x:c r="P171" s="36" t="str">
        <x:v>GESCHEHEN</x:v>
      </x:c>
      <x:c r="Q171" s="36" t="str">
        <x:v>Wie reagiert Jesus, als die Jünger ihn auf dem Wasser sehen und erschrecken?</x:v>
      </x:c>
      <x:c r="R171" s="36" t="str">
        <x:v>Er kehrt sofort um.</x:v>
      </x:c>
      <x:c r="S171" s="36" t="str">
        <x:v>Er sagt ihnen, sie sollen Mut haben und sich nicht fürchten.</x:v>
      </x:c>
      <x:c r="T171" s="36" t="str">
        <x:v>Er fordert sie auf, das Boot zu verlassen.</x:v>
      </x:c>
      <x:c r="U171" s="36" t="str">
        <x:v>Er schweigt bis zum Morgen.</x:v>
      </x:c>
      <x:c r="V171" s="36" t="n">
        <x:v>1</x:v>
      </x:c>
      <x:c r="W171" s="36" t="str">
        <x:v>Er sagt ihnen, sie sollen Mut haben und sich nicht fürchten.</x:v>
      </x:c>
      <x:c r="X171" s="36" t="str">
        <x:v>Markus 6,45–52</x:v>
      </x:c>
      <x:c r="Y171" s="36" t="str">
        <x:v>Die Jünger halten ihn zunächst für ein Gespenst. Jesus spricht ihnen Mut zu und sagt, sie sollen sich nicht fürchten.</x:v>
      </x:c>
      <x:c r="Z171" s="36" t="str">
        <x:v>JA</x:v>
      </x:c>
      <x:c r="AA171" s="36" t="str">
        <x:v>JA</x:v>
      </x:c>
      <x:c r="AB171" s="36" t="str">
        <x:v>JA</x:v>
      </x:c>
      <x:c r="AC171" s="36" t="str">
        <x:v>JA</x:v>
      </x:c>
      <x:c r="AD171" s="36" t="str">
        <x:v>JA</x:v>
      </x:c>
      <x:c r="AE171" s="36" t="str">
        <x:v>JA</x:v>
      </x:c>
      <x:c r="AF171" s="36" t="str">
        <x:v>JA</x:v>
      </x:c>
      <x:c r="AG171" s="36" t="str">
        <x:v>FREIGEGEBEN</x:v>
      </x:c>
      <x:c r="AH171" s="36" t="str">
        <x:v>GPT-5.6 Sol · Buchprüfung Markus · L1912/OTB</x:v>
      </x:c>
      <x:c r="AI171" s="36" t="str">
        <x:v>FREIGEGEBEN</x:v>
      </x:c>
      <x:c r="AJ171" s="36" t="str">
        <x:v>Markus 6: repetitive Wiedererkennungsfrage durch GESCHEHEN-Frage ersetzt.</x:v>
      </x:c>
      <x:c r="AK171" s="36" t="str">
        <x:v>FaithPath repo develop/v4 · data/bibles/l1912/MRK.json · data/bibles/otb/MRK.json</x:v>
      </x:c>
      <x:c r="AL171" t="str">
        <x:v>JA</x:v>
      </x:c>
    </x:row>
    <x:row r="172">
      <x:c r="A172" t="str">
        <x:v>FP-0431</x:v>
      </x:c>
      <x:c r="B172" t="str">
        <x:v>MRK</x:v>
      </x:c>
      <x:c r="C172" t="str">
        <x:v>Markus</x:v>
      </x:c>
      <x:c r="D172" t="n">
        <x:v>7</x:v>
      </x:c>
      <x:c r="E172" t="n">
        <x:v>1</x:v>
      </x:c>
      <x:c r="F172" t="str">
        <x:v>MRK-007</x:v>
      </x:c>
      <x:c r="G172" t="n">
        <x:v>35</x:v>
      </x:c>
      <x:c r="H172" t="str">
        <x:v>CQ-A02</x:v>
      </x:c>
      <x:c r="I172" s="36" t="str">
        <x:v>Welche dieser Aussagen stammt aus Markus 7?</x:v>
      </x:c>
      <x:c r="J172" s="36" t="str"/>
      <x:c r="K172" s="36" t="str"/>
      <x:c r="L172" s="36" t="str">
        <x:v>REPO_VERIFIZIERT_FRAGEFORM</x:v>
      </x:c>
      <x:c r="M172" s="36" t="str">
        <x:v>ERSETZEN</x:v>
      </x:c>
      <x:c r="N172" s="36" t="str">
        <x:v>REPETITIVE_FRAGEFORM</x:v>
      </x:c>
      <x:c r="O172" s="36" t="str">
        <x:v>REINE_WIEDERERKENNUNG</x:v>
      </x:c>
      <x:c r="P172" s="36" t="str">
        <x:v>ZUSAMMENHANG</x:v>
      </x:c>
      <x:c r="Q172" s="36" t="str">
        <x:v>Weshalb kritisieren Pharisäer und Schriftgelehrte einige Jünger Jesu?</x:v>
      </x:c>
      <x:c r="R172" s="36" t="str">
        <x:v>Weil sie am Sabbat reisen.</x:v>
      </x:c>
      <x:c r="S172" s="36" t="str">
        <x:v>Weil sie keine Opfer bringen.</x:v>
      </x:c>
      <x:c r="T172" s="36" t="str">
        <x:v>Weil sie mit ungewaschenen Händen essen.</x:v>
      </x:c>
      <x:c r="U172" s="36" t="str">
        <x:v>Weil sie keine Gleichnisse erzählen.</x:v>
      </x:c>
      <x:c r="V172" s="36" t="n">
        <x:v>2</x:v>
      </x:c>
      <x:c r="W172" s="36" t="str">
        <x:v>Weil sie mit ungewaschenen Händen essen.</x:v>
      </x:c>
      <x:c r="X172" s="36" t="str">
        <x:v>Markus 7,1–5</x:v>
      </x:c>
      <x:c r="Y172" s="36" t="str">
        <x:v>Der Streit beginnt damit, dass einige Jünger mit rituell ungewaschenen Händen essen.</x:v>
      </x:c>
      <x:c r="Z172" s="36" t="str">
        <x:v>JA</x:v>
      </x:c>
      <x:c r="AA172" s="36" t="str">
        <x:v>JA</x:v>
      </x:c>
      <x:c r="AB172" s="36" t="str">
        <x:v>JA</x:v>
      </x:c>
      <x:c r="AC172" s="36" t="str">
        <x:v>JA</x:v>
      </x:c>
      <x:c r="AD172" s="36" t="str">
        <x:v>JA</x:v>
      </x:c>
      <x:c r="AE172" s="36" t="str">
        <x:v>JA</x:v>
      </x:c>
      <x:c r="AF172" s="36" t="str">
        <x:v>JA</x:v>
      </x:c>
      <x:c r="AG172" s="36" t="str">
        <x:v>FREIGEGEBEN</x:v>
      </x:c>
      <x:c r="AH172" s="36" t="str">
        <x:v>GPT-5.6 Sol · Buchprüfung Markus · L1912/OTB</x:v>
      </x:c>
      <x:c r="AI172" s="36" t="str">
        <x:v>FREIGEGEBEN</x:v>
      </x:c>
      <x:c r="AJ172" s="36" t="str">
        <x:v>Markus 7: repetitive Wiedererkennungsfrage durch ZUSAMMENHANG-Frage ersetzt.</x:v>
      </x:c>
      <x:c r="AK172" s="36" t="str">
        <x:v>FaithPath repo develop/v4 · data/bibles/l1912/MRK.json · data/bibles/otb/MRK.json</x:v>
      </x:c>
      <x:c r="AL172" t="str">
        <x:v>JA</x:v>
      </x:c>
    </x:row>
    <x:row r="173">
      <x:c r="A173" t="str">
        <x:v>FP-0432</x:v>
      </x:c>
      <x:c r="B173" t="str">
        <x:v>MRK</x:v>
      </x:c>
      <x:c r="C173" t="str">
        <x:v>Markus</x:v>
      </x:c>
      <x:c r="D173" t="n">
        <x:v>7</x:v>
      </x:c>
      <x:c r="E173" t="n">
        <x:v>2</x:v>
      </x:c>
      <x:c r="F173" t="str">
        <x:v>MRK-007</x:v>
      </x:c>
      <x:c r="G173" t="n">
        <x:v>35</x:v>
      </x:c>
      <x:c r="H173" t="str">
        <x:v>CQ-A02</x:v>
      </x:c>
      <x:c r="I173" s="36" t="str">
        <x:v>Welche dieser Aussagen stammt aus Markus 7?</x:v>
      </x:c>
      <x:c r="J173" s="36" t="str"/>
      <x:c r="K173" s="36" t="str"/>
      <x:c r="L173" s="36" t="str">
        <x:v>REPO_VERIFIZIERT_FRAGEFORM</x:v>
      </x:c>
      <x:c r="M173" s="36" t="str">
        <x:v>ERSETZEN</x:v>
      </x:c>
      <x:c r="N173" s="36" t="str">
        <x:v>REPETITIVE_FRAGEFORM</x:v>
      </x:c>
      <x:c r="O173" s="36" t="str">
        <x:v>REINE_WIEDERERKENNUNG</x:v>
      </x:c>
      <x:c r="P173" s="36" t="str">
        <x:v>KERNAUSSAGE</x:v>
      </x:c>
      <x:c r="Q173" s="36" t="str">
        <x:v>Was kritisiert Jesus am Umgang mit der Korban-Tradition?</x:v>
      </x:c>
      <x:c r="R173" s="36" t="str">
        <x:v>Sie verlange zu viel Fasten.</x:v>
      </x:c>
      <x:c r="S173" s="36" t="str">
        <x:v>Sie verbiete jede Gabe für den Tempel.</x:v>
      </x:c>
      <x:c r="T173" s="36" t="str">
        <x:v>Sie erlaube den Jüngern, am Sabbat zu arbeiten.</x:v>
      </x:c>
      <x:c r="U173" s="36" t="str">
        <x:v>Sie mache das Gebot Gottes unwirksam, wenn dadurch die Pflicht gegenüber den Eltern umgangen wird.</x:v>
      </x:c>
      <x:c r="V173" s="36" t="n">
        <x:v>3</x:v>
      </x:c>
      <x:c r="W173" s="36" t="str">
        <x:v>Sie mache das Gebot Gottes unwirksam, wenn dadurch die Pflicht gegenüber den Eltern umgangen wird.</x:v>
      </x:c>
      <x:c r="X173" s="36" t="str">
        <x:v>Markus 7,9–13</x:v>
      </x:c>
      <x:c r="Y173" s="36" t="str">
        <x:v>Jesus kritisiert, dass menschliche Tradition so eingesetzt wird, dass Gottes Gebot gegenüber Vater und Mutter umgangen wird.</x:v>
      </x:c>
      <x:c r="Z173" s="36" t="str">
        <x:v>JA</x:v>
      </x:c>
      <x:c r="AA173" s="36" t="str">
        <x:v>JA</x:v>
      </x:c>
      <x:c r="AB173" s="36" t="str">
        <x:v>JA</x:v>
      </x:c>
      <x:c r="AC173" s="36" t="str">
        <x:v>JA</x:v>
      </x:c>
      <x:c r="AD173" s="36" t="str">
        <x:v>JA</x:v>
      </x:c>
      <x:c r="AE173" s="36" t="str">
        <x:v>JA</x:v>
      </x:c>
      <x:c r="AF173" s="36" t="str">
        <x:v>JA</x:v>
      </x:c>
      <x:c r="AG173" s="36" t="str">
        <x:v>FREIGEGEBEN</x:v>
      </x:c>
      <x:c r="AH173" s="36" t="str">
        <x:v>GPT-5.6 Sol · Buchprüfung Markus · L1912/OTB</x:v>
      </x:c>
      <x:c r="AI173" s="36" t="str">
        <x:v>FREIGEGEBEN</x:v>
      </x:c>
      <x:c r="AJ173" s="36" t="str">
        <x:v>Markus 7: repetitive Wiedererkennungsfrage durch KERNAUSSAGE-Frage ersetzt.</x:v>
      </x:c>
      <x:c r="AK173" s="36" t="str">
        <x:v>FaithPath repo develop/v4 · data/bibles/l1912/MRK.json · data/bibles/otb/MRK.json</x:v>
      </x:c>
      <x:c r="AL173" t="str">
        <x:v>JA</x:v>
      </x:c>
    </x:row>
    <x:row r="174">
      <x:c r="A174" t="str">
        <x:v>FP-0433</x:v>
      </x:c>
      <x:c r="B174" t="str">
        <x:v>MRK</x:v>
      </x:c>
      <x:c r="C174" t="str">
        <x:v>Markus</x:v>
      </x:c>
      <x:c r="D174" t="n">
        <x:v>7</x:v>
      </x:c>
      <x:c r="E174" t="n">
        <x:v>3</x:v>
      </x:c>
      <x:c r="F174" t="str">
        <x:v>MRK-007</x:v>
      </x:c>
      <x:c r="G174" t="n">
        <x:v>35</x:v>
      </x:c>
      <x:c r="H174" t="str">
        <x:v>CQ-A02</x:v>
      </x:c>
      <x:c r="I174" s="36" t="str">
        <x:v>Welche dieser Aussagen stammt aus Markus 7?</x:v>
      </x:c>
      <x:c r="J174" s="36" t="str"/>
      <x:c r="K174" s="36" t="str"/>
      <x:c r="L174" s="36" t="str">
        <x:v>REPO_VERIFIZIERT_FRAGEFORM</x:v>
      </x:c>
      <x:c r="M174" s="36" t="str">
        <x:v>ERSETZEN</x:v>
      </x:c>
      <x:c r="N174" s="36" t="str">
        <x:v>REPETITIVE_FRAGEFORM</x:v>
      </x:c>
      <x:c r="O174" s="36" t="str">
        <x:v>REINE_WIEDERERKENNUNG</x:v>
      </x:c>
      <x:c r="P174" s="36" t="str">
        <x:v>KERNAUSSAGE</x:v>
      </x:c>
      <x:c r="Q174" s="36" t="str">
        <x:v>Was verunreinigt den Menschen nach Jesu Erklärung?</x:v>
      </x:c>
      <x:c r="R174" s="36" t="str">
        <x:v>Vor allem das, was aus dem Inneren des Menschen hervorgeht.</x:v>
      </x:c>
      <x:c r="S174" s="36" t="str">
        <x:v>Nur bestimmte Speisen von außen.</x:v>
      </x:c>
      <x:c r="T174" s="36" t="str">
        <x:v>Jede Berührung mit Nichtjuden.</x:v>
      </x:c>
      <x:c r="U174" s="36" t="str">
        <x:v>Das Essen ohne vorheriges Fasten.</x:v>
      </x:c>
      <x:c r="V174" s="36" t="n">
        <x:v>0</x:v>
      </x:c>
      <x:c r="W174" s="36" t="str">
        <x:v>Vor allem das, was aus dem Inneren des Menschen hervorgeht.</x:v>
      </x:c>
      <x:c r="X174" s="36" t="str">
        <x:v>Markus 7,14–23</x:v>
      </x:c>
      <x:c r="Y174" s="36" t="str">
        <x:v>Jesus verlagert den Schwerpunkt von äußerer Nahrung auf das, was aus dem Herzen des Menschen hervorgeht.</x:v>
      </x:c>
      <x:c r="Z174" s="36" t="str">
        <x:v>JA</x:v>
      </x:c>
      <x:c r="AA174" s="36" t="str">
        <x:v>JA</x:v>
      </x:c>
      <x:c r="AB174" s="36" t="str">
        <x:v>JA</x:v>
      </x:c>
      <x:c r="AC174" s="36" t="str">
        <x:v>JA</x:v>
      </x:c>
      <x:c r="AD174" s="36" t="str">
        <x:v>JA</x:v>
      </x:c>
      <x:c r="AE174" s="36" t="str">
        <x:v>JA</x:v>
      </x:c>
      <x:c r="AF174" s="36" t="str">
        <x:v>JA</x:v>
      </x:c>
      <x:c r="AG174" s="36" t="str">
        <x:v>FREIGEGEBEN</x:v>
      </x:c>
      <x:c r="AH174" s="36" t="str">
        <x:v>GPT-5.6 Sol · Buchprüfung Markus · L1912/OTB</x:v>
      </x:c>
      <x:c r="AI174" s="36" t="str">
        <x:v>FREIGEGEBEN</x:v>
      </x:c>
      <x:c r="AJ174" s="36" t="str">
        <x:v>Markus 7: repetitive Wiedererkennungsfrage durch KERNAUSSAGE-Frage ersetzt.</x:v>
      </x:c>
      <x:c r="AK174" s="36" t="str">
        <x:v>FaithPath repo develop/v4 · data/bibles/l1912/MRK.json · data/bibles/otb/MRK.json</x:v>
      </x:c>
      <x:c r="AL174" t="str">
        <x:v>JA</x:v>
      </x:c>
    </x:row>
    <x:row r="175">
      <x:c r="A175" t="str">
        <x:v>FP-0434</x:v>
      </x:c>
      <x:c r="B175" t="str">
        <x:v>MRK</x:v>
      </x:c>
      <x:c r="C175" t="str">
        <x:v>Markus</x:v>
      </x:c>
      <x:c r="D175" t="n">
        <x:v>7</x:v>
      </x:c>
      <x:c r="E175" t="n">
        <x:v>4</x:v>
      </x:c>
      <x:c r="F175" t="str">
        <x:v>MRK-007</x:v>
      </x:c>
      <x:c r="G175" t="n">
        <x:v>35</x:v>
      </x:c>
      <x:c r="H175" t="str">
        <x:v>CQ-A02</x:v>
      </x:c>
      <x:c r="I175" s="36" t="str">
        <x:v>Welche dieser Aussagen stammt aus Markus 7?</x:v>
      </x:c>
      <x:c r="J175" s="36" t="str"/>
      <x:c r="K175" s="36" t="str"/>
      <x:c r="L175" s="36" t="str">
        <x:v>REPO_VERIFIZIERT_FRAGEFORM</x:v>
      </x:c>
      <x:c r="M175" s="36" t="str">
        <x:v>ERSETZEN</x:v>
      </x:c>
      <x:c r="N175" s="36" t="str">
        <x:v>REPETITIVE_FRAGEFORM</x:v>
      </x:c>
      <x:c r="O175" s="36" t="str">
        <x:v>REINE_WIEDERERKENNUNG</x:v>
      </x:c>
      <x:c r="P175" s="36" t="str">
        <x:v>GESCHEHEN</x:v>
      </x:c>
      <x:c r="Q175" s="36" t="str">
        <x:v>Was geschieht nach der Antwort der syrophönizischen Frau?</x:v>
      </x:c>
      <x:c r="R175" s="36" t="str">
        <x:v>Jesus weist sie endgültig fort.</x:v>
      </x:c>
      <x:c r="S175" s="36" t="str">
        <x:v>Jesus sagt ihr, sie könne gehen; der Dämon habe ihre Tochter verlassen.</x:v>
      </x:c>
      <x:c r="T175" s="36" t="str">
        <x:v>Die Jünger begleiten sie nach Hause.</x:v>
      </x:c>
      <x:c r="U175" s="36" t="str">
        <x:v>Sie muss sieben Tage warten.</x:v>
      </x:c>
      <x:c r="V175" s="36" t="n">
        <x:v>1</x:v>
      </x:c>
      <x:c r="W175" s="36" t="str">
        <x:v>Jesus sagt ihr, sie könne gehen; der Dämon habe ihre Tochter verlassen.</x:v>
      </x:c>
      <x:c r="X175" s="36" t="str">
        <x:v>Markus 7,24–30</x:v>
      </x:c>
      <x:c r="Y175" s="36" t="str">
        <x:v>Nach ihrer Antwort sagt Jesus der Frau, dass der Dämon ihre Tochter verlassen hat; zu Hause findet sie das Kind befreit vor.</x:v>
      </x:c>
      <x:c r="Z175" s="36" t="str">
        <x:v>JA</x:v>
      </x:c>
      <x:c r="AA175" s="36" t="str">
        <x:v>JA</x:v>
      </x:c>
      <x:c r="AB175" s="36" t="str">
        <x:v>JA</x:v>
      </x:c>
      <x:c r="AC175" s="36" t="str">
        <x:v>JA</x:v>
      </x:c>
      <x:c r="AD175" s="36" t="str">
        <x:v>JA</x:v>
      </x:c>
      <x:c r="AE175" s="36" t="str">
        <x:v>JA</x:v>
      </x:c>
      <x:c r="AF175" s="36" t="str">
        <x:v>JA</x:v>
      </x:c>
      <x:c r="AG175" s="36" t="str">
        <x:v>FREIGEGEBEN</x:v>
      </x:c>
      <x:c r="AH175" s="36" t="str">
        <x:v>GPT-5.6 Sol · Buchprüfung Markus · L1912/OTB</x:v>
      </x:c>
      <x:c r="AI175" s="36" t="str">
        <x:v>FREIGEGEBEN</x:v>
      </x:c>
      <x:c r="AJ175" s="36" t="str">
        <x:v>Markus 7: repetitive Wiedererkennungsfrage durch GESCHEHEN-Frage ersetzt.</x:v>
      </x:c>
      <x:c r="AK175" s="36" t="str">
        <x:v>FaithPath repo develop/v4 · data/bibles/l1912/MRK.json · data/bibles/otb/MRK.json</x:v>
      </x:c>
      <x:c r="AL175" t="str">
        <x:v>JA</x:v>
      </x:c>
    </x:row>
    <x:row r="176">
      <x:c r="A176" t="str">
        <x:v>FP-0435</x:v>
      </x:c>
      <x:c r="B176" t="str">
        <x:v>MRK</x:v>
      </x:c>
      <x:c r="C176" t="str">
        <x:v>Markus</x:v>
      </x:c>
      <x:c r="D176" t="n">
        <x:v>7</x:v>
      </x:c>
      <x:c r="E176" t="n">
        <x:v>5</x:v>
      </x:c>
      <x:c r="F176" t="str">
        <x:v>MRK-007</x:v>
      </x:c>
      <x:c r="G176" t="n">
        <x:v>35</x:v>
      </x:c>
      <x:c r="H176" t="str">
        <x:v>CQ-A02</x:v>
      </x:c>
      <x:c r="I176" s="36" t="str">
        <x:v>Welche dieser Aussagen stammt aus Markus 7?</x:v>
      </x:c>
      <x:c r="J176" s="36" t="str"/>
      <x:c r="K176" s="36" t="str"/>
      <x:c r="L176" s="36" t="str">
        <x:v>REPO_VERIFIZIERT_FRAGEFORM</x:v>
      </x:c>
      <x:c r="M176" s="36" t="str">
        <x:v>ERSETZEN</x:v>
      </x:c>
      <x:c r="N176" s="36" t="str">
        <x:v>REPETITIVE_FRAGEFORM</x:v>
      </x:c>
      <x:c r="O176" s="36" t="str">
        <x:v>REINE_WIEDERERKENNUNG</x:v>
      </x:c>
      <x:c r="P176" s="36" t="str">
        <x:v>GESCHEHEN</x:v>
      </x:c>
      <x:c r="Q176" s="36" t="str">
        <x:v>Was geschieht bei der Heilung des tauben Mannes mit Sprachstörung?</x:v>
      </x:c>
      <x:c r="R176" s="36" t="str">
        <x:v>Jesus schickt ihn zum Jordan.</x:v>
      </x:c>
      <x:c r="S176" s="36" t="str">
        <x:v>Petrus legt ihm die Hände auf.</x:v>
      </x:c>
      <x:c r="T176" s="36" t="str">
        <x:v>Jesus sagt „Ephatha“, und seine Ohren öffnen sich und seine Zunge wird gelöst.</x:v>
      </x:c>
      <x:c r="U176" s="36" t="str">
        <x:v>Er wird erst nach drei Tagen geheilt.</x:v>
      </x:c>
      <x:c r="V176" s="36" t="n">
        <x:v>2</x:v>
      </x:c>
      <x:c r="W176" s="36" t="str">
        <x:v>Jesus sagt „Ephatha“, und seine Ohren öffnen sich und seine Zunge wird gelöst.</x:v>
      </x:c>
      <x:c r="X176" s="36" t="str">
        <x:v>Markus 7,31–37</x:v>
      </x:c>
      <x:c r="Y176" s="36" t="str">
        <x:v>Jesus spricht „Ephatha“ – „Tu dich auf“ – und der Mann kann hören und deutlich sprechen.</x:v>
      </x:c>
      <x:c r="Z176" s="36" t="str">
        <x:v>JA</x:v>
      </x:c>
      <x:c r="AA176" s="36" t="str">
        <x:v>JA</x:v>
      </x:c>
      <x:c r="AB176" s="36" t="str">
        <x:v>JA</x:v>
      </x:c>
      <x:c r="AC176" s="36" t="str">
        <x:v>JA</x:v>
      </x:c>
      <x:c r="AD176" s="36" t="str">
        <x:v>JA</x:v>
      </x:c>
      <x:c r="AE176" s="36" t="str">
        <x:v>JA</x:v>
      </x:c>
      <x:c r="AF176" s="36" t="str">
        <x:v>JA</x:v>
      </x:c>
      <x:c r="AG176" s="36" t="str">
        <x:v>FREIGEGEBEN</x:v>
      </x:c>
      <x:c r="AH176" s="36" t="str">
        <x:v>GPT-5.6 Sol · Buchprüfung Markus · L1912/OTB</x:v>
      </x:c>
      <x:c r="AI176" s="36" t="str">
        <x:v>FREIGEGEBEN</x:v>
      </x:c>
      <x:c r="AJ176" s="36" t="str">
        <x:v>Markus 7: repetitive Wiedererkennungsfrage durch GESCHEHEN-Frage ersetzt.</x:v>
      </x:c>
      <x:c r="AK176" s="36" t="str">
        <x:v>FaithPath repo develop/v4 · data/bibles/l1912/MRK.json · data/bibles/otb/MRK.json</x:v>
      </x:c>
      <x:c r="AL176" t="str">
        <x:v>JA</x:v>
      </x:c>
    </x:row>
    <x:row r="177">
      <x:c r="A177" t="str">
        <x:v>FP-0436</x:v>
      </x:c>
      <x:c r="B177" t="str">
        <x:v>MRK</x:v>
      </x:c>
      <x:c r="C177" t="str">
        <x:v>Markus</x:v>
      </x:c>
      <x:c r="D177" t="n">
        <x:v>8</x:v>
      </x:c>
      <x:c r="E177" t="n">
        <x:v>1</x:v>
      </x:c>
      <x:c r="F177" t="str">
        <x:v>MRK-008</x:v>
      </x:c>
      <x:c r="G177" t="n">
        <x:v>36</x:v>
      </x:c>
      <x:c r="H177" t="str">
        <x:v>CQ-A02</x:v>
      </x:c>
      <x:c r="I177" s="36" t="str">
        <x:v>Welche dieser Aussagen stammt aus Markus 8?</x:v>
      </x:c>
      <x:c r="J177" s="36" t="str"/>
      <x:c r="K177" s="36" t="str"/>
      <x:c r="L177" s="36" t="str">
        <x:v>REPO_VERIFIZIERT_FRAGEFORM</x:v>
      </x:c>
      <x:c r="M177" s="36" t="str">
        <x:v>ERSETZEN</x:v>
      </x:c>
      <x:c r="N177" s="36" t="str">
        <x:v>REPETITIVE_FRAGEFORM</x:v>
      </x:c>
      <x:c r="O177" s="36" t="str">
        <x:v>REINE_WIEDERERKENNUNG</x:v>
      </x:c>
      <x:c r="P177" s="36" t="str">
        <x:v>TEXTGENAUIGKEIT</x:v>
      </x:c>
      <x:c r="Q177" s="36" t="str">
        <x:v>Wie viele Brote stehen bei der Speisung der etwa viertausend Menschen zur Verfügung?</x:v>
      </x:c>
      <x:c r="R177" s="36" t="str">
        <x:v>Fünf.</x:v>
      </x:c>
      <x:c r="S177" s="36" t="str">
        <x:v>Zwölf.</x:v>
      </x:c>
      <x:c r="T177" s="36" t="str">
        <x:v>Drei.</x:v>
      </x:c>
      <x:c r="U177" s="36" t="str">
        <x:v>Sieben.</x:v>
      </x:c>
      <x:c r="V177" s="36" t="n">
        <x:v>3</x:v>
      </x:c>
      <x:c r="W177" s="36" t="str">
        <x:v>Sieben.</x:v>
      </x:c>
      <x:c r="X177" s="36" t="str">
        <x:v>Markus 8,1–9</x:v>
      </x:c>
      <x:c r="Y177" s="36" t="str">
        <x:v>Bei dieser Speisung stehen sieben Brote zur Verfügung; am Ende werden sieben Körbe mit Resten gesammelt.</x:v>
      </x:c>
      <x:c r="Z177" s="36" t="str">
        <x:v>JA</x:v>
      </x:c>
      <x:c r="AA177" s="36" t="str">
        <x:v>JA</x:v>
      </x:c>
      <x:c r="AB177" s="36" t="str">
        <x:v>JA</x:v>
      </x:c>
      <x:c r="AC177" s="36" t="str">
        <x:v>JA</x:v>
      </x:c>
      <x:c r="AD177" s="36" t="str">
        <x:v>JA</x:v>
      </x:c>
      <x:c r="AE177" s="36" t="str">
        <x:v>JA</x:v>
      </x:c>
      <x:c r="AF177" s="36" t="str">
        <x:v>JA</x:v>
      </x:c>
      <x:c r="AG177" s="36" t="str">
        <x:v>FREIGEGEBEN</x:v>
      </x:c>
      <x:c r="AH177" s="36" t="str">
        <x:v>GPT-5.6 Sol · Buchprüfung Markus · L1912/OTB</x:v>
      </x:c>
      <x:c r="AI177" s="36" t="str">
        <x:v>FREIGEGEBEN</x:v>
      </x:c>
      <x:c r="AJ177" s="36" t="str">
        <x:v>Markus 8: repetitive Wiedererkennungsfrage durch TEXTGENAUIGKEIT-Frage ersetzt.</x:v>
      </x:c>
      <x:c r="AK177" s="36" t="str">
        <x:v>FaithPath repo develop/v4 · data/bibles/l1912/MRK.json · data/bibles/otb/MRK.json</x:v>
      </x:c>
      <x:c r="AL177" t="str">
        <x:v>JA</x:v>
      </x:c>
    </x:row>
    <x:row r="178">
      <x:c r="A178" t="str">
        <x:v>FP-0437</x:v>
      </x:c>
      <x:c r="B178" t="str">
        <x:v>MRK</x:v>
      </x:c>
      <x:c r="C178" t="str">
        <x:v>Markus</x:v>
      </x:c>
      <x:c r="D178" t="n">
        <x:v>8</x:v>
      </x:c>
      <x:c r="E178" t="n">
        <x:v>2</x:v>
      </x:c>
      <x:c r="F178" t="str">
        <x:v>MRK-008</x:v>
      </x:c>
      <x:c r="G178" t="n">
        <x:v>36</x:v>
      </x:c>
      <x:c r="H178" t="str">
        <x:v>CQ-A02</x:v>
      </x:c>
      <x:c r="I178" s="36" t="str">
        <x:v>Welche dieser Aussagen stammt aus Markus 8?</x:v>
      </x:c>
      <x:c r="J178" s="36" t="str"/>
      <x:c r="K178" s="36" t="str"/>
      <x:c r="L178" s="36" t="str">
        <x:v>REPO_VERIFIZIERT_FRAGEFORM</x:v>
      </x:c>
      <x:c r="M178" s="36" t="str">
        <x:v>ERSETZEN</x:v>
      </x:c>
      <x:c r="N178" s="36" t="str">
        <x:v>REPETITIVE_FRAGEFORM</x:v>
      </x:c>
      <x:c r="O178" s="36" t="str">
        <x:v>REINE_WIEDERERKENNUNG</x:v>
      </x:c>
      <x:c r="P178" s="36" t="str">
        <x:v>ZUSAMMENHANG</x:v>
      </x:c>
      <x:c r="Q178" s="36" t="str">
        <x:v>Was missverstehen die Jünger, als Jesus vor dem Sauerteig der Pharisäer und des Herodes warnt?</x:v>
      </x:c>
      <x:c r="R178" s="36" t="str">
        <x:v>Sie denken, Jesus spreche darüber, dass sie kein Brot dabeihaben.</x:v>
      </x:c>
      <x:c r="S178" s="36" t="str">
        <x:v>Sie meinen, er verbiete jedes Brot.</x:v>
      </x:c>
      <x:c r="T178" s="36" t="str">
        <x:v>Sie glauben, Herodes werde Bäcker.</x:v>
      </x:c>
      <x:c r="U178" s="36" t="str">
        <x:v>Sie halten es für ein Gleichnis über die Ernte.</x:v>
      </x:c>
      <x:c r="V178" s="36" t="n">
        <x:v>0</x:v>
      </x:c>
      <x:c r="W178" s="36" t="str">
        <x:v>Sie denken, Jesus spreche darüber, dass sie kein Brot dabeihaben.</x:v>
      </x:c>
      <x:c r="X178" s="36" t="str">
        <x:v>Markus 8,14–21</x:v>
      </x:c>
      <x:c r="Y178" s="36" t="str">
        <x:v>Die Jünger beziehen Jesu Warnung zunächst auf ihren Brotbestand, obwohl Jesus sie auf etwas anderes aufmerksam machen will.</x:v>
      </x:c>
      <x:c r="Z178" s="36" t="str">
        <x:v>JA</x:v>
      </x:c>
      <x:c r="AA178" s="36" t="str">
        <x:v>JA</x:v>
      </x:c>
      <x:c r="AB178" s="36" t="str">
        <x:v>JA</x:v>
      </x:c>
      <x:c r="AC178" s="36" t="str">
        <x:v>JA</x:v>
      </x:c>
      <x:c r="AD178" s="36" t="str">
        <x:v>JA</x:v>
      </x:c>
      <x:c r="AE178" s="36" t="str">
        <x:v>JA</x:v>
      </x:c>
      <x:c r="AF178" s="36" t="str">
        <x:v>JA</x:v>
      </x:c>
      <x:c r="AG178" s="36" t="str">
        <x:v>FREIGEGEBEN</x:v>
      </x:c>
      <x:c r="AH178" s="36" t="str">
        <x:v>GPT-5.6 Sol · Buchprüfung Markus · L1912/OTB</x:v>
      </x:c>
      <x:c r="AI178" s="36" t="str">
        <x:v>FREIGEGEBEN</x:v>
      </x:c>
      <x:c r="AJ178" s="36" t="str">
        <x:v>Markus 8: repetitive Wiedererkennungsfrage durch ZUSAMMENHANG-Frage ersetzt.</x:v>
      </x:c>
      <x:c r="AK178" s="36" t="str">
        <x:v>FaithPath repo develop/v4 · data/bibles/l1912/MRK.json · data/bibles/otb/MRK.json</x:v>
      </x:c>
      <x:c r="AL178" t="str">
        <x:v>JA</x:v>
      </x:c>
    </x:row>
    <x:row r="179">
      <x:c r="A179" t="str">
        <x:v>FP-0438</x:v>
      </x:c>
      <x:c r="B179" t="str">
        <x:v>MRK</x:v>
      </x:c>
      <x:c r="C179" t="str">
        <x:v>Markus</x:v>
      </x:c>
      <x:c r="D179" t="n">
        <x:v>8</x:v>
      </x:c>
      <x:c r="E179" t="n">
        <x:v>3</x:v>
      </x:c>
      <x:c r="F179" t="str">
        <x:v>MRK-008</x:v>
      </x:c>
      <x:c r="G179" t="n">
        <x:v>36</x:v>
      </x:c>
      <x:c r="H179" t="str">
        <x:v>CQ-A02</x:v>
      </x:c>
      <x:c r="I179" s="36" t="str">
        <x:v>Welche dieser Aussagen stammt aus Markus 8?</x:v>
      </x:c>
      <x:c r="J179" s="36" t="str"/>
      <x:c r="K179" s="36" t="str"/>
      <x:c r="L179" s="36" t="str">
        <x:v>REPO_VERIFIZIERT_FRAGEFORM</x:v>
      </x:c>
      <x:c r="M179" s="36" t="str">
        <x:v>ERSETZEN</x:v>
      </x:c>
      <x:c r="N179" s="36" t="str">
        <x:v>REPETITIVE_FRAGEFORM</x:v>
      </x:c>
      <x:c r="O179" s="36" t="str">
        <x:v>REINE_WIEDERERKENNUNG</x:v>
      </x:c>
      <x:c r="P179" s="36" t="str">
        <x:v>GESCHEHEN</x:v>
      </x:c>
      <x:c r="Q179" s="36" t="str">
        <x:v>Was ist bei der Heilung des Blinden in Bethsaida besonders?</x:v>
      </x:c>
      <x:c r="R179" s="36" t="str">
        <x:v>Er wird nur nachts geheilt.</x:v>
      </x:c>
      <x:c r="S179" s="36" t="str">
        <x:v>Er wird in zwei Schritten geheilt; zunächst sieht er Menschen wie umhergehende Bäume.</x:v>
      </x:c>
      <x:c r="T179" s="36" t="str">
        <x:v>Er muss zuerst zum Tempel gehen.</x:v>
      </x:c>
      <x:c r="U179" s="36" t="str">
        <x:v>Er bleibt blind, kann aber hören.</x:v>
      </x:c>
      <x:c r="V179" s="36" t="n">
        <x:v>1</x:v>
      </x:c>
      <x:c r="W179" s="36" t="str">
        <x:v>Er wird in zwei Schritten geheilt; zunächst sieht er Menschen wie umhergehende Bäume.</x:v>
      </x:c>
      <x:c r="X179" s="36" t="str">
        <x:v>Markus 8,22–26</x:v>
      </x:c>
      <x:c r="Y179" s="36" t="str">
        <x:v>Die Heilung verläuft stufenweise: Zuerst sieht der Mann undeutlich, danach klar.</x:v>
      </x:c>
      <x:c r="Z179" s="36" t="str">
        <x:v>JA</x:v>
      </x:c>
      <x:c r="AA179" s="36" t="str">
        <x:v>JA</x:v>
      </x:c>
      <x:c r="AB179" s="36" t="str">
        <x:v>JA</x:v>
      </x:c>
      <x:c r="AC179" s="36" t="str">
        <x:v>JA</x:v>
      </x:c>
      <x:c r="AD179" s="36" t="str">
        <x:v>JA</x:v>
      </x:c>
      <x:c r="AE179" s="36" t="str">
        <x:v>JA</x:v>
      </x:c>
      <x:c r="AF179" s="36" t="str">
        <x:v>JA</x:v>
      </x:c>
      <x:c r="AG179" s="36" t="str">
        <x:v>FREIGEGEBEN</x:v>
      </x:c>
      <x:c r="AH179" s="36" t="str">
        <x:v>GPT-5.6 Sol · Buchprüfung Markus · L1912/OTB</x:v>
      </x:c>
      <x:c r="AI179" s="36" t="str">
        <x:v>FREIGEGEBEN</x:v>
      </x:c>
      <x:c r="AJ179" s="36" t="str">
        <x:v>Markus 8: repetitive Wiedererkennungsfrage durch GESCHEHEN-Frage ersetzt.</x:v>
      </x:c>
      <x:c r="AK179" s="36" t="str">
        <x:v>FaithPath repo develop/v4 · data/bibles/l1912/MRK.json · data/bibles/otb/MRK.json</x:v>
      </x:c>
      <x:c r="AL179" t="str">
        <x:v>JA</x:v>
      </x:c>
    </x:row>
    <x:row r="180">
      <x:c r="A180" t="str">
        <x:v>FP-0439</x:v>
      </x:c>
      <x:c r="B180" t="str">
        <x:v>MRK</x:v>
      </x:c>
      <x:c r="C180" t="str">
        <x:v>Markus</x:v>
      </x:c>
      <x:c r="D180" t="n">
        <x:v>8</x:v>
      </x:c>
      <x:c r="E180" t="n">
        <x:v>4</x:v>
      </x:c>
      <x:c r="F180" t="str">
        <x:v>MRK-008</x:v>
      </x:c>
      <x:c r="G180" t="n">
        <x:v>36</x:v>
      </x:c>
      <x:c r="H180" t="str">
        <x:v>CQ-A02</x:v>
      </x:c>
      <x:c r="I180" s="36" t="str">
        <x:v>Welche dieser Aussagen stammt aus Markus 8?</x:v>
      </x:c>
      <x:c r="J180" s="36" t="str"/>
      <x:c r="K180" s="36" t="str"/>
      <x:c r="L180" s="36" t="str">
        <x:v>REPO_VERIFIZIERT_FRAGEFORM</x:v>
      </x:c>
      <x:c r="M180" s="36" t="str">
        <x:v>ERSETZEN</x:v>
      </x:c>
      <x:c r="N180" s="36" t="str">
        <x:v>REPETITIVE_FRAGEFORM</x:v>
      </x:c>
      <x:c r="O180" s="36" t="str">
        <x:v>REINE_WIEDERERKENNUNG</x:v>
      </x:c>
      <x:c r="P180" s="36" t="str">
        <x:v>PERSON_AUSSAGE</x:v>
      </x:c>
      <x:c r="Q180" s="36" t="str">
        <x:v>Wie beantwortet Petrus Jesu Frage: „Wer sagt ihr, dass ich sei?“</x:v>
      </x:c>
      <x:c r="R180" s="36" t="str">
        <x:v>Du bist Elia.</x:v>
      </x:c>
      <x:c r="S180" s="36" t="str">
        <x:v>Du bist Johannes der Täufer.</x:v>
      </x:c>
      <x:c r="T180" s="36" t="str">
        <x:v>Du bist der Christus.</x:v>
      </x:c>
      <x:c r="U180" s="36" t="str">
        <x:v>Du bist ein Schriftgelehrter.</x:v>
      </x:c>
      <x:c r="V180" s="36" t="n">
        <x:v>2</x:v>
      </x:c>
      <x:c r="W180" s="36" t="str">
        <x:v>Du bist der Christus.</x:v>
      </x:c>
      <x:c r="X180" s="36" t="str">
        <x:v>Markus 8,27–30</x:v>
      </x:c>
      <x:c r="Y180" s="36" t="str">
        <x:v>Petrus bekennt Jesus als den Christus.</x:v>
      </x:c>
      <x:c r="Z180" s="36" t="str">
        <x:v>JA</x:v>
      </x:c>
      <x:c r="AA180" s="36" t="str">
        <x:v>JA</x:v>
      </x:c>
      <x:c r="AB180" s="36" t="str">
        <x:v>JA</x:v>
      </x:c>
      <x:c r="AC180" s="36" t="str">
        <x:v>JA</x:v>
      </x:c>
      <x:c r="AD180" s="36" t="str">
        <x:v>JA</x:v>
      </x:c>
      <x:c r="AE180" s="36" t="str">
        <x:v>JA</x:v>
      </x:c>
      <x:c r="AF180" s="36" t="str">
        <x:v>JA</x:v>
      </x:c>
      <x:c r="AG180" s="36" t="str">
        <x:v>FREIGEGEBEN</x:v>
      </x:c>
      <x:c r="AH180" s="36" t="str">
        <x:v>GPT-5.6 Sol · Buchprüfung Markus · L1912/OTB</x:v>
      </x:c>
      <x:c r="AI180" s="36" t="str">
        <x:v>FREIGEGEBEN</x:v>
      </x:c>
      <x:c r="AJ180" s="36" t="str">
        <x:v>Markus 8: repetitive Wiedererkennungsfrage durch PERSON_AUSSAGE-Frage ersetzt.</x:v>
      </x:c>
      <x:c r="AK180" s="36" t="str">
        <x:v>FaithPath repo develop/v4 · data/bibles/l1912/MRK.json · data/bibles/otb/MRK.json</x:v>
      </x:c>
      <x:c r="AL180" t="str">
        <x:v>JA</x:v>
      </x:c>
    </x:row>
    <x:row r="181">
      <x:c r="A181" t="str">
        <x:v>FP-0440</x:v>
      </x:c>
      <x:c r="B181" t="str">
        <x:v>MRK</x:v>
      </x:c>
      <x:c r="C181" t="str">
        <x:v>Markus</x:v>
      </x:c>
      <x:c r="D181" t="n">
        <x:v>8</x:v>
      </x:c>
      <x:c r="E181" t="n">
        <x:v>5</x:v>
      </x:c>
      <x:c r="F181" t="str">
        <x:v>MRK-008</x:v>
      </x:c>
      <x:c r="G181" t="n">
        <x:v>36</x:v>
      </x:c>
      <x:c r="H181" t="str">
        <x:v>CQ-A02</x:v>
      </x:c>
      <x:c r="I181" s="36" t="str">
        <x:v>Welche dieser Aussagen stammt aus Markus 8?</x:v>
      </x:c>
      <x:c r="J181" s="36" t="str"/>
      <x:c r="K181" s="36" t="str"/>
      <x:c r="L181" s="36" t="str">
        <x:v>REPO_VERIFIZIERT_FRAGEFORM</x:v>
      </x:c>
      <x:c r="M181" s="36" t="str">
        <x:v>ERSETZEN</x:v>
      </x:c>
      <x:c r="N181" s="36" t="str">
        <x:v>REPETITIVE_FRAGEFORM</x:v>
      </x:c>
      <x:c r="O181" s="36" t="str">
        <x:v>REINE_WIEDERERKENNUNG</x:v>
      </x:c>
      <x:c r="P181" s="36" t="str">
        <x:v>KERNAUSSAGE</x:v>
      </x:c>
      <x:c r="Q181" s="36" t="str">
        <x:v>Was sagt Jesus über Nachfolge und das eigene Leben?</x:v>
      </x:c>
      <x:c r="R181" s="36" t="str">
        <x:v>Wer ihm folgt, wird niemals leiden.</x:v>
      </x:c>
      <x:c r="S181" s="36" t="str">
        <x:v>Nachfolge betrifft nur die Zwölf.</x:v>
      </x:c>
      <x:c r="T181" s="36" t="str">
        <x:v>Wer sein Leben bewahrt, kann es niemals verlieren.</x:v>
      </x:c>
      <x:c r="U181" s="36" t="str">
        <x:v>Wer ihm nachfolgen will, soll sich selbst verleugnen, sein Kreuz aufnehmen und ihm folgen.</x:v>
      </x:c>
      <x:c r="V181" s="36" t="n">
        <x:v>3</x:v>
      </x:c>
      <x:c r="W181" s="36" t="str">
        <x:v>Wer ihm nachfolgen will, soll sich selbst verleugnen, sein Kreuz aufnehmen und ihm folgen.</x:v>
      </x:c>
      <x:c r="X181" s="36" t="str">
        <x:v>Markus 8,34–35</x:v>
      </x:c>
      <x:c r="Y181" s="36" t="str">
        <x:v>Jesus verbindet Nachfolge mit Selbstverleugnung, Kreuztragen und der Bereitschaft, das eigene Leben um seinetwillen und um des Evangeliums willen loszulassen.</x:v>
      </x:c>
      <x:c r="Z181" s="36" t="str">
        <x:v>JA</x:v>
      </x:c>
      <x:c r="AA181" s="36" t="str">
        <x:v>JA</x:v>
      </x:c>
      <x:c r="AB181" s="36" t="str">
        <x:v>JA</x:v>
      </x:c>
      <x:c r="AC181" s="36" t="str">
        <x:v>JA</x:v>
      </x:c>
      <x:c r="AD181" s="36" t="str">
        <x:v>JA</x:v>
      </x:c>
      <x:c r="AE181" s="36" t="str">
        <x:v>JA</x:v>
      </x:c>
      <x:c r="AF181" s="36" t="str">
        <x:v>JA</x:v>
      </x:c>
      <x:c r="AG181" s="36" t="str">
        <x:v>FREIGEGEBEN</x:v>
      </x:c>
      <x:c r="AH181" s="36" t="str">
        <x:v>GPT-5.6 Sol · Buchprüfung Markus · L1912/OTB</x:v>
      </x:c>
      <x:c r="AI181" s="36" t="str">
        <x:v>FREIGEGEBEN</x:v>
      </x:c>
      <x:c r="AJ181" s="36" t="str">
        <x:v>Markus 8: repetitive Wiedererkennungsfrage durch KERNAUSSAGE-Frage ersetzt.</x:v>
      </x:c>
      <x:c r="AK181" s="36" t="str">
        <x:v>FaithPath repo develop/v4 · data/bibles/l1912/MRK.json · data/bibles/otb/MRK.json</x:v>
      </x:c>
      <x:c r="AL181" t="str">
        <x:v>JA</x:v>
      </x:c>
    </x:row>
    <x:row r="182">
      <x:c r="A182" t="str">
        <x:v>FP-0441</x:v>
      </x:c>
      <x:c r="B182" t="str">
        <x:v>MRK</x:v>
      </x:c>
      <x:c r="C182" t="str">
        <x:v>Markus</x:v>
      </x:c>
      <x:c r="D182" t="n">
        <x:v>9</x:v>
      </x:c>
      <x:c r="E182" t="n">
        <x:v>1</x:v>
      </x:c>
      <x:c r="F182" t="str">
        <x:v>MRK-009</x:v>
      </x:c>
      <x:c r="G182" t="n">
        <x:v>37</x:v>
      </x:c>
      <x:c r="H182" t="str">
        <x:v>CQ-A02</x:v>
      </x:c>
      <x:c r="I182" s="36" t="str">
        <x:v>Welche dieser Aussagen stammt aus Markus 9?</x:v>
      </x:c>
      <x:c r="J182" s="36" t="str"/>
      <x:c r="K182" s="36" t="str"/>
      <x:c r="L182" s="36" t="str">
        <x:v>REPO_VERIFIZIERT_FRAGEFORM</x:v>
      </x:c>
      <x:c r="M182" s="36" t="str">
        <x:v>ERSETZEN</x:v>
      </x:c>
      <x:c r="N182" s="36" t="str">
        <x:v>REPETITIVE_FRAGEFORM</x:v>
      </x:c>
      <x:c r="O182" s="36" t="str">
        <x:v>REINE_WIEDERERKENNUNG</x:v>
      </x:c>
      <x:c r="P182" s="36" t="str">
        <x:v>GESCHEHEN</x:v>
      </x:c>
      <x:c r="Q182" s="36" t="str">
        <x:v>Wer erscheint bei Jesu Verklärung zusammen mit ihm?</x:v>
      </x:c>
      <x:c r="R182" s="36" t="str">
        <x:v>Mose und Elia.</x:v>
      </x:c>
      <x:c r="S182" s="36" t="str">
        <x:v>Abraham und David.</x:v>
      </x:c>
      <x:c r="T182" s="36" t="str">
        <x:v>Johannes der Täufer und Petrus.</x:v>
      </x:c>
      <x:c r="U182" s="36" t="str">
        <x:v>Jesaja und Jeremia.</x:v>
      </x:c>
      <x:c r="V182" s="36" t="n">
        <x:v>0</x:v>
      </x:c>
      <x:c r="W182" s="36" t="str">
        <x:v>Mose und Elia.</x:v>
      </x:c>
      <x:c r="X182" s="36" t="str">
        <x:v>Markus 9,2–8</x:v>
      </x:c>
      <x:c r="Y182" s="36" t="str">
        <x:v>Bei der Verklärung erscheinen Mose und Elia und reden mit Jesus.</x:v>
      </x:c>
      <x:c r="Z182" s="36" t="str">
        <x:v>JA</x:v>
      </x:c>
      <x:c r="AA182" s="36" t="str">
        <x:v>JA</x:v>
      </x:c>
      <x:c r="AB182" s="36" t="str">
        <x:v>JA</x:v>
      </x:c>
      <x:c r="AC182" s="36" t="str">
        <x:v>JA</x:v>
      </x:c>
      <x:c r="AD182" s="36" t="str">
        <x:v>JA</x:v>
      </x:c>
      <x:c r="AE182" s="36" t="str">
        <x:v>JA</x:v>
      </x:c>
      <x:c r="AF182" s="36" t="str">
        <x:v>JA</x:v>
      </x:c>
      <x:c r="AG182" s="36" t="str">
        <x:v>FREIGEGEBEN</x:v>
      </x:c>
      <x:c r="AH182" s="36" t="str">
        <x:v>GPT-5.6 Sol · Buchprüfung Markus · L1912/OTB</x:v>
      </x:c>
      <x:c r="AI182" s="36" t="str">
        <x:v>FREIGEGEBEN</x:v>
      </x:c>
      <x:c r="AJ182" s="36" t="str">
        <x:v>Markus 9: repetitive Wiedererkennungsfrage durch GESCHEHEN-Frage ersetzt.</x:v>
      </x:c>
      <x:c r="AK182" s="36" t="str">
        <x:v>FaithPath repo develop/v4 · data/bibles/l1912/MRK.json · data/bibles/otb/MRK.json</x:v>
      </x:c>
      <x:c r="AL182" t="str">
        <x:v>JA</x:v>
      </x:c>
    </x:row>
    <x:row r="183">
      <x:c r="A183" t="str">
        <x:v>FP-0442</x:v>
      </x:c>
      <x:c r="B183" t="str">
        <x:v>MRK</x:v>
      </x:c>
      <x:c r="C183" t="str">
        <x:v>Markus</x:v>
      </x:c>
      <x:c r="D183" t="n">
        <x:v>9</x:v>
      </x:c>
      <x:c r="E183" t="n">
        <x:v>2</x:v>
      </x:c>
      <x:c r="F183" t="str">
        <x:v>MRK-009</x:v>
      </x:c>
      <x:c r="G183" t="n">
        <x:v>37</x:v>
      </x:c>
      <x:c r="H183" t="str">
        <x:v>CQ-A02</x:v>
      </x:c>
      <x:c r="I183" s="36" t="str">
        <x:v>Welche dieser Aussagen stammt aus Markus 9?</x:v>
      </x:c>
      <x:c r="J183" s="36" t="str"/>
      <x:c r="K183" s="36" t="str"/>
      <x:c r="L183" s="36" t="str">
        <x:v>REPO_VERIFIZIERT_FRAGEFORM</x:v>
      </x:c>
      <x:c r="M183" s="36" t="str">
        <x:v>ERSETZEN</x:v>
      </x:c>
      <x:c r="N183" s="36" t="str">
        <x:v>REPETITIVE_FRAGEFORM</x:v>
      </x:c>
      <x:c r="O183" s="36" t="str">
        <x:v>REINE_WIEDERERKENNUNG</x:v>
      </x:c>
      <x:c r="P183" s="36" t="str">
        <x:v>PERSON_AUSSAGE</x:v>
      </x:c>
      <x:c r="Q183" s="36" t="str">
        <x:v>Was sagt die Stimme aus der Wolke bei der Verklärung?</x:v>
      </x:c>
      <x:c r="R183" s="36" t="str">
        <x:v>Baut hier drei Hütten.</x:v>
      </x:c>
      <x:c r="S183" s="36" t="str">
        <x:v>Dies ist mein geliebter Sohn; auf ihn sollt ihr hören.</x:v>
      </x:c>
      <x:c r="T183" s="36" t="str">
        <x:v>Kehrt sofort nach Jerusalem zurück.</x:v>
      </x:c>
      <x:c r="U183" s="36" t="str">
        <x:v>Petrus soll die Leitung übernehmen.</x:v>
      </x:c>
      <x:c r="V183" s="36" t="n">
        <x:v>1</x:v>
      </x:c>
      <x:c r="W183" s="36" t="str">
        <x:v>Dies ist mein geliebter Sohn; auf ihn sollt ihr hören.</x:v>
      </x:c>
      <x:c r="X183" s="36" t="str">
        <x:v>Markus 9,2–8</x:v>
      </x:c>
      <x:c r="Y183" s="36" t="str">
        <x:v>Die Stimme bezeichnet Jesus als den geliebten Sohn und fordert die Jünger auf, auf ihn zu hören.</x:v>
      </x:c>
      <x:c r="Z183" s="36" t="str">
        <x:v>JA</x:v>
      </x:c>
      <x:c r="AA183" s="36" t="str">
        <x:v>JA</x:v>
      </x:c>
      <x:c r="AB183" s="36" t="str">
        <x:v>JA</x:v>
      </x:c>
      <x:c r="AC183" s="36" t="str">
        <x:v>JA</x:v>
      </x:c>
      <x:c r="AD183" s="36" t="str">
        <x:v>JA</x:v>
      </x:c>
      <x:c r="AE183" s="36" t="str">
        <x:v>JA</x:v>
      </x:c>
      <x:c r="AF183" s="36" t="str">
        <x:v>JA</x:v>
      </x:c>
      <x:c r="AG183" s="36" t="str">
        <x:v>FREIGEGEBEN</x:v>
      </x:c>
      <x:c r="AH183" s="36" t="str">
        <x:v>GPT-5.6 Sol · Buchprüfung Markus · L1912/OTB</x:v>
      </x:c>
      <x:c r="AI183" s="36" t="str">
        <x:v>FREIGEGEBEN</x:v>
      </x:c>
      <x:c r="AJ183" s="36" t="str">
        <x:v>Markus 9: repetitive Wiedererkennungsfrage durch PERSON_AUSSAGE-Frage ersetzt.</x:v>
      </x:c>
      <x:c r="AK183" s="36" t="str">
        <x:v>FaithPath repo develop/v4 · data/bibles/l1912/MRK.json · data/bibles/otb/MRK.json</x:v>
      </x:c>
      <x:c r="AL183" t="str">
        <x:v>JA</x:v>
      </x:c>
    </x:row>
    <x:row r="184">
      <x:c r="A184" t="str">
        <x:v>FP-0443</x:v>
      </x:c>
      <x:c r="B184" t="str">
        <x:v>MRK</x:v>
      </x:c>
      <x:c r="C184" t="str">
        <x:v>Markus</x:v>
      </x:c>
      <x:c r="D184" t="n">
        <x:v>9</x:v>
      </x:c>
      <x:c r="E184" t="n">
        <x:v>3</x:v>
      </x:c>
      <x:c r="F184" t="str">
        <x:v>MRK-009</x:v>
      </x:c>
      <x:c r="G184" t="n">
        <x:v>37</x:v>
      </x:c>
      <x:c r="H184" t="str">
        <x:v>CQ-A02</x:v>
      </x:c>
      <x:c r="I184" s="36" t="str">
        <x:v>Welche dieser Aussagen stammt aus Markus 9?</x:v>
      </x:c>
      <x:c r="J184" s="36" t="str"/>
      <x:c r="K184" s="36" t="str"/>
      <x:c r="L184" s="36" t="str">
        <x:v>REPO_VERIFIZIERT_FRAGEFORM</x:v>
      </x:c>
      <x:c r="M184" s="36" t="str">
        <x:v>ERSETZEN</x:v>
      </x:c>
      <x:c r="N184" s="36" t="str">
        <x:v>REPETITIVE_FRAGEFORM</x:v>
      </x:c>
      <x:c r="O184" s="36" t="str">
        <x:v>REINE_WIEDERERKENNUNG</x:v>
      </x:c>
      <x:c r="P184" s="36" t="str">
        <x:v>PERSON_AUSSAGE</x:v>
      </x:c>
      <x:c r="Q184" s="36" t="str">
        <x:v>Was ruft der Vater des besessenen Jungen Jesus zu?</x:v>
      </x:c>
      <x:c r="R184" s="36" t="str">
        <x:v>Ich werde erst morgen glauben.</x:v>
      </x:c>
      <x:c r="S184" s="36" t="str">
        <x:v>Die Jünger haben alles richtig gemacht.</x:v>
      </x:c>
      <x:c r="T184" s="36" t="str">
        <x:v>Ich glaube; hilf meinem Unglauben.</x:v>
      </x:c>
      <x:c r="U184" s="36" t="str">
        <x:v>Lass meinen Sohn allein.</x:v>
      </x:c>
      <x:c r="V184" s="36" t="n">
        <x:v>2</x:v>
      </x:c>
      <x:c r="W184" s="36" t="str">
        <x:v>Ich glaube; hilf meinem Unglauben.</x:v>
      </x:c>
      <x:c r="X184" s="36" t="str">
        <x:v>Markus 9,24</x:v>
      </x:c>
      <x:c r="Y184" s="36" t="str">
        <x:v>Der Vater verbindet sein Bekenntnis zum Glauben mit der Bitte um Hilfe für seinen Unglauben.</x:v>
      </x:c>
      <x:c r="Z184" s="36" t="str">
        <x:v>JA</x:v>
      </x:c>
      <x:c r="AA184" s="36" t="str">
        <x:v>JA</x:v>
      </x:c>
      <x:c r="AB184" s="36" t="str">
        <x:v>JA</x:v>
      </x:c>
      <x:c r="AC184" s="36" t="str">
        <x:v>JA</x:v>
      </x:c>
      <x:c r="AD184" s="36" t="str">
        <x:v>JA</x:v>
      </x:c>
      <x:c r="AE184" s="36" t="str">
        <x:v>JA</x:v>
      </x:c>
      <x:c r="AF184" s="36" t="str">
        <x:v>JA</x:v>
      </x:c>
      <x:c r="AG184" s="36" t="str">
        <x:v>FREIGEGEBEN</x:v>
      </x:c>
      <x:c r="AH184" s="36" t="str">
        <x:v>GPT-5.6 Sol · Buchprüfung Markus · L1912/OTB</x:v>
      </x:c>
      <x:c r="AI184" s="36" t="str">
        <x:v>FREIGEGEBEN</x:v>
      </x:c>
      <x:c r="AJ184" s="36" t="str">
        <x:v>Markus 9: repetitive Wiedererkennungsfrage durch PERSON_AUSSAGE-Frage ersetzt.</x:v>
      </x:c>
      <x:c r="AK184" s="36" t="str">
        <x:v>FaithPath repo develop/v4 · data/bibles/l1912/MRK.json · data/bibles/otb/MRK.json</x:v>
      </x:c>
      <x:c r="AL184" t="str">
        <x:v>JA</x:v>
      </x:c>
    </x:row>
    <x:row r="185">
      <x:c r="A185" t="str">
        <x:v>FP-0444</x:v>
      </x:c>
      <x:c r="B185" t="str">
        <x:v>MRK</x:v>
      </x:c>
      <x:c r="C185" t="str">
        <x:v>Markus</x:v>
      </x:c>
      <x:c r="D185" t="n">
        <x:v>9</x:v>
      </x:c>
      <x:c r="E185" t="n">
        <x:v>4</x:v>
      </x:c>
      <x:c r="F185" t="str">
        <x:v>MRK-009</x:v>
      </x:c>
      <x:c r="G185" t="n">
        <x:v>37</x:v>
      </x:c>
      <x:c r="H185" t="str">
        <x:v>CQ-A02</x:v>
      </x:c>
      <x:c r="I185" s="36" t="str">
        <x:v>Welche dieser Aussagen stammt aus Markus 9?</x:v>
      </x:c>
      <x:c r="J185" s="36" t="str"/>
      <x:c r="K185" s="36" t="str"/>
      <x:c r="L185" s="36" t="str">
        <x:v>REPO_VERIFIZIERT_FRAGEFORM</x:v>
      </x:c>
      <x:c r="M185" s="36" t="str">
        <x:v>ERSETZEN</x:v>
      </x:c>
      <x:c r="N185" s="36" t="str">
        <x:v>REPETITIVE_FRAGEFORM</x:v>
      </x:c>
      <x:c r="O185" s="36" t="str">
        <x:v>REINE_WIEDERERKENNUNG</x:v>
      </x:c>
      <x:c r="P185" s="36" t="str">
        <x:v>KERNAUSSAGE</x:v>
      </x:c>
      <x:c r="Q185" s="36" t="str">
        <x:v>Wie beantwortet Jesus den Streit der Jünger darüber, wer der Größte sei?</x:v>
      </x:c>
      <x:c r="R185" s="36" t="str">
        <x:v>Der Älteste ist automatisch der Größte.</x:v>
      </x:c>
      <x:c r="S185" s="36" t="str">
        <x:v>Nur Petrus darf groß sein.</x:v>
      </x:c>
      <x:c r="T185" s="36" t="str">
        <x:v>Größe zeigt sich durch Besitz.</x:v>
      </x:c>
      <x:c r="U185" s="36" t="str">
        <x:v>Der Erste soll der Letzte von allen und Diener aller sein.</x:v>
      </x:c>
      <x:c r="V185" s="36" t="n">
        <x:v>3</x:v>
      </x:c>
      <x:c r="W185" s="36" t="str">
        <x:v>Der Erste soll der Letzte von allen und Diener aller sein.</x:v>
      </x:c>
      <x:c r="X185" s="36" t="str">
        <x:v>Markus 9,33–37</x:v>
      </x:c>
      <x:c r="Y185" s="36" t="str">
        <x:v>Jesus kehrt die übliche Rangordnung um: Wer der Erste sein will, soll Diener aller sein.</x:v>
      </x:c>
      <x:c r="Z185" s="36" t="str">
        <x:v>JA</x:v>
      </x:c>
      <x:c r="AA185" s="36" t="str">
        <x:v>JA</x:v>
      </x:c>
      <x:c r="AB185" s="36" t="str">
        <x:v>JA</x:v>
      </x:c>
      <x:c r="AC185" s="36" t="str">
        <x:v>JA</x:v>
      </x:c>
      <x:c r="AD185" s="36" t="str">
        <x:v>JA</x:v>
      </x:c>
      <x:c r="AE185" s="36" t="str">
        <x:v>JA</x:v>
      </x:c>
      <x:c r="AF185" s="36" t="str">
        <x:v>JA</x:v>
      </x:c>
      <x:c r="AG185" s="36" t="str">
        <x:v>FREIGEGEBEN</x:v>
      </x:c>
      <x:c r="AH185" s="36" t="str">
        <x:v>GPT-5.6 Sol · Buchprüfung Markus · L1912/OTB</x:v>
      </x:c>
      <x:c r="AI185" s="36" t="str">
        <x:v>FREIGEGEBEN</x:v>
      </x:c>
      <x:c r="AJ185" s="36" t="str">
        <x:v>Markus 9: repetitive Wiedererkennungsfrage durch KERNAUSSAGE-Frage ersetzt.</x:v>
      </x:c>
      <x:c r="AK185" s="36" t="str">
        <x:v>FaithPath repo develop/v4 · data/bibles/l1912/MRK.json · data/bibles/otb/MRK.json</x:v>
      </x:c>
      <x:c r="AL185" t="str">
        <x:v>JA</x:v>
      </x:c>
    </x:row>
    <x:row r="186">
      <x:c r="A186" t="str">
        <x:v>FP-0445</x:v>
      </x:c>
      <x:c r="B186" t="str">
        <x:v>MRK</x:v>
      </x:c>
      <x:c r="C186" t="str">
        <x:v>Markus</x:v>
      </x:c>
      <x:c r="D186" t="n">
        <x:v>9</x:v>
      </x:c>
      <x:c r="E186" t="n">
        <x:v>5</x:v>
      </x:c>
      <x:c r="F186" t="str">
        <x:v>MRK-009</x:v>
      </x:c>
      <x:c r="G186" t="n">
        <x:v>37</x:v>
      </x:c>
      <x:c r="H186" t="str">
        <x:v>CQ-A02</x:v>
      </x:c>
      <x:c r="I186" s="36" t="str">
        <x:v>Welche dieser Aussagen stammt aus Markus 9?</x:v>
      </x:c>
      <x:c r="J186" s="36" t="str"/>
      <x:c r="K186" s="36" t="str"/>
      <x:c r="L186" s="36" t="str">
        <x:v>REPO_VERIFIZIERT_FRAGEFORM</x:v>
      </x:c>
      <x:c r="M186" s="36" t="str">
        <x:v>ERSETZEN</x:v>
      </x:c>
      <x:c r="N186" s="36" t="str">
        <x:v>REPETITIVE_FRAGEFORM</x:v>
      </x:c>
      <x:c r="O186" s="36" t="str">
        <x:v>REINE_WIEDERERKENNUNG</x:v>
      </x:c>
      <x:c r="P186" s="36" t="str">
        <x:v>KERNAUSSAGE</x:v>
      </x:c>
      <x:c r="Q186" s="36" t="str">
        <x:v>Wie reagiert Jesus darauf, dass jemand in seinem Namen Dämonen austreibt, obwohl er nicht zur Jüngergruppe gehört?</x:v>
      </x:c>
      <x:c r="R186" s="36" t="str">
        <x:v>Jesus sagt: Hindert ihn nicht.</x:v>
      </x:c>
      <x:c r="S186" s="36" t="str">
        <x:v>Er soll sofort daran gehindert werden.</x:v>
      </x:c>
      <x:c r="T186" s="36" t="str">
        <x:v>Er muss zuerst einer der Zwölf werden.</x:v>
      </x:c>
      <x:c r="U186" s="36" t="str">
        <x:v>Er darf nur in Jerusalem wirken.</x:v>
      </x:c>
      <x:c r="V186" s="36" t="n">
        <x:v>0</x:v>
      </x:c>
      <x:c r="W186" s="36" t="str">
        <x:v>Jesus sagt: Hindert ihn nicht.</x:v>
      </x:c>
      <x:c r="X186" s="36" t="str">
        <x:v>Markus 9,38–40</x:v>
      </x:c>
      <x:c r="Y186" s="36" t="str">
        <x:v>Jesus weist die Jünger an, den Mann nicht zu hindern, und begründet dies mit seiner Haltung zu ihnen.</x:v>
      </x:c>
      <x:c r="Z186" s="36" t="str">
        <x:v>JA</x:v>
      </x:c>
      <x:c r="AA186" s="36" t="str">
        <x:v>JA</x:v>
      </x:c>
      <x:c r="AB186" s="36" t="str">
        <x:v>JA</x:v>
      </x:c>
      <x:c r="AC186" s="36" t="str">
        <x:v>JA</x:v>
      </x:c>
      <x:c r="AD186" s="36" t="str">
        <x:v>JA</x:v>
      </x:c>
      <x:c r="AE186" s="36" t="str">
        <x:v>JA</x:v>
      </x:c>
      <x:c r="AF186" s="36" t="str">
        <x:v>JA</x:v>
      </x:c>
      <x:c r="AG186" s="36" t="str">
        <x:v>FREIGEGEBEN</x:v>
      </x:c>
      <x:c r="AH186" s="36" t="str">
        <x:v>GPT-5.6 Sol · Buchprüfung Markus · L1912/OTB</x:v>
      </x:c>
      <x:c r="AI186" s="36" t="str">
        <x:v>FREIGEGEBEN</x:v>
      </x:c>
      <x:c r="AJ186" s="36" t="str">
        <x:v>Markus 9: repetitive Wiedererkennungsfrage durch KERNAUSSAGE-Frage ersetzt.</x:v>
      </x:c>
      <x:c r="AK186" s="36" t="str">
        <x:v>FaithPath repo develop/v4 · data/bibles/l1912/MRK.json · data/bibles/otb/MRK.json</x:v>
      </x:c>
      <x:c r="AL186" t="str">
        <x:v>JA</x:v>
      </x:c>
    </x:row>
    <x:row r="187">
      <x:c r="A187" t="str">
        <x:v>FP-0446</x:v>
      </x:c>
      <x:c r="B187" t="str">
        <x:v>MRK</x:v>
      </x:c>
      <x:c r="C187" t="str">
        <x:v>Markus</x:v>
      </x:c>
      <x:c r="D187" t="n">
        <x:v>10</x:v>
      </x:c>
      <x:c r="E187" t="n">
        <x:v>1</x:v>
      </x:c>
      <x:c r="F187" t="str">
        <x:v>MRK-010</x:v>
      </x:c>
      <x:c r="G187" t="n">
        <x:v>38</x:v>
      </x:c>
      <x:c r="H187" t="str">
        <x:v>CQ-A02</x:v>
      </x:c>
      <x:c r="I187" s="36" t="str">
        <x:v>Welche dieser Aussagen stammt aus Markus 10?</x:v>
      </x:c>
      <x:c r="J187" s="36" t="str"/>
      <x:c r="K187" s="36" t="str"/>
      <x:c r="L187" s="36" t="str">
        <x:v>REPO_VERIFIZIERT_FRAGEFORM</x:v>
      </x:c>
      <x:c r="M187" s="36" t="str">
        <x:v>ERSETZEN</x:v>
      </x:c>
      <x:c r="N187" s="36" t="str">
        <x:v>REPETITIVE_FRAGEFORM</x:v>
      </x:c>
      <x:c r="O187" s="36" t="str">
        <x:v>REINE_WIEDERERKENNUNG</x:v>
      </x:c>
      <x:c r="P187" s="36" t="str">
        <x:v>KERNAUSSAGE</x:v>
      </x:c>
      <x:c r="Q187" s="36" t="str">
        <x:v>Welche Schlussfolgerung zieht Jesus aus der Schöpfungsaussage über Mann und Frau?</x:v>
      </x:c>
      <x:c r="R187" s="36" t="str">
        <x:v>Jede Ehe endet nach sieben Jahren.</x:v>
      </x:c>
      <x:c r="S187" s="36" t="str">
        <x:v>Was Gott zusammengefügt hat, soll der Mensch nicht scheiden.</x:v>
      </x:c>
      <x:c r="T187" s="36" t="str">
        <x:v>Mose habe jede Scheidung befohlen.</x:v>
      </x:c>
      <x:c r="U187" s="36" t="str">
        <x:v>Nur Priester dürfen heiraten.</x:v>
      </x:c>
      <x:c r="V187" s="36" t="n">
        <x:v>1</x:v>
      </x:c>
      <x:c r="W187" s="36" t="str">
        <x:v>Was Gott zusammengefügt hat, soll der Mensch nicht scheiden.</x:v>
      </x:c>
      <x:c r="X187" s="36" t="str">
        <x:v>Markus 10,2–9</x:v>
      </x:c>
      <x:c r="Y187" s="36" t="str">
        <x:v>Jesus verweist auf Gottes ursprüngliche Verbindung von Mann und Frau und sagt, der Mensch solle nicht trennen, was Gott zusammengefügt hat.</x:v>
      </x:c>
      <x:c r="Z187" s="36" t="str">
        <x:v>JA</x:v>
      </x:c>
      <x:c r="AA187" s="36" t="str">
        <x:v>JA</x:v>
      </x:c>
      <x:c r="AB187" s="36" t="str">
        <x:v>JA</x:v>
      </x:c>
      <x:c r="AC187" s="36" t="str">
        <x:v>JA</x:v>
      </x:c>
      <x:c r="AD187" s="36" t="str">
        <x:v>JA</x:v>
      </x:c>
      <x:c r="AE187" s="36" t="str">
        <x:v>JA</x:v>
      </x:c>
      <x:c r="AF187" s="36" t="str">
        <x:v>JA</x:v>
      </x:c>
      <x:c r="AG187" s="36" t="str">
        <x:v>FREIGEGEBEN</x:v>
      </x:c>
      <x:c r="AH187" s="36" t="str">
        <x:v>GPT-5.6 Sol · Buchprüfung Markus · L1912/OTB</x:v>
      </x:c>
      <x:c r="AI187" s="36" t="str">
        <x:v>FREIGEGEBEN</x:v>
      </x:c>
      <x:c r="AJ187" s="36" t="str">
        <x:v>Markus 10: repetitive Wiedererkennungsfrage durch KERNAUSSAGE-Frage ersetzt.</x:v>
      </x:c>
      <x:c r="AK187" s="36" t="str">
        <x:v>FaithPath repo develop/v4 · data/bibles/l1912/MRK.json · data/bibles/otb/MRK.json</x:v>
      </x:c>
      <x:c r="AL187" t="str">
        <x:v>JA</x:v>
      </x:c>
    </x:row>
    <x:row r="188">
      <x:c r="A188" t="str">
        <x:v>FP-0447</x:v>
      </x:c>
      <x:c r="B188" t="str">
        <x:v>MRK</x:v>
      </x:c>
      <x:c r="C188" t="str">
        <x:v>Markus</x:v>
      </x:c>
      <x:c r="D188" t="n">
        <x:v>10</x:v>
      </x:c>
      <x:c r="E188" t="n">
        <x:v>2</x:v>
      </x:c>
      <x:c r="F188" t="str">
        <x:v>MRK-010</x:v>
      </x:c>
      <x:c r="G188" t="n">
        <x:v>38</x:v>
      </x:c>
      <x:c r="H188" t="str">
        <x:v>CQ-A02</x:v>
      </x:c>
      <x:c r="I188" s="36" t="str">
        <x:v>Welche dieser Aussagen stammt aus Markus 10?</x:v>
      </x:c>
      <x:c r="J188" s="36" t="str"/>
      <x:c r="K188" s="36" t="str"/>
      <x:c r="L188" s="36" t="str">
        <x:v>REPO_VERIFIZIERT_FRAGEFORM</x:v>
      </x:c>
      <x:c r="M188" s="36" t="str">
        <x:v>ERSETZEN</x:v>
      </x:c>
      <x:c r="N188" s="36" t="str">
        <x:v>REPETITIVE_FRAGEFORM</x:v>
      </x:c>
      <x:c r="O188" s="36" t="str">
        <x:v>REINE_WIEDERERKENNUNG</x:v>
      </x:c>
      <x:c r="P188" s="36" t="str">
        <x:v>GESCHEHEN</x:v>
      </x:c>
      <x:c r="Q188" s="36" t="str">
        <x:v>Wie begegnet Jesus den Kindern, die zu ihm gebracht werden?</x:v>
      </x:c>
      <x:c r="R188" s="36" t="str">
        <x:v>Er schickt sie fort.</x:v>
      </x:c>
      <x:c r="S188" s="36" t="str">
        <x:v>Er lässt nur ihre Eltern zu sich.</x:v>
      </x:c>
      <x:c r="T188" s="36" t="str">
        <x:v>Er nimmt sie in die Arme, legt ihnen die Hände auf und segnet sie.</x:v>
      </x:c>
      <x:c r="U188" s="36" t="str">
        <x:v>Er fordert zuerst eine Prüfung.</x:v>
      </x:c>
      <x:c r="V188" s="36" t="n">
        <x:v>2</x:v>
      </x:c>
      <x:c r="W188" s="36" t="str">
        <x:v>Er nimmt sie in die Arme, legt ihnen die Hände auf und segnet sie.</x:v>
      </x:c>
      <x:c r="X188" s="36" t="str">
        <x:v>Markus 10,13–16</x:v>
      </x:c>
      <x:c r="Y188" s="36" t="str">
        <x:v>Jesus weist die Abweisung der Kinder zurück, nimmt sie in die Arme und segnet sie.</x:v>
      </x:c>
      <x:c r="Z188" s="36" t="str">
        <x:v>JA</x:v>
      </x:c>
      <x:c r="AA188" s="36" t="str">
        <x:v>JA</x:v>
      </x:c>
      <x:c r="AB188" s="36" t="str">
        <x:v>JA</x:v>
      </x:c>
      <x:c r="AC188" s="36" t="str">
        <x:v>JA</x:v>
      </x:c>
      <x:c r="AD188" s="36" t="str">
        <x:v>JA</x:v>
      </x:c>
      <x:c r="AE188" s="36" t="str">
        <x:v>JA</x:v>
      </x:c>
      <x:c r="AF188" s="36" t="str">
        <x:v>JA</x:v>
      </x:c>
      <x:c r="AG188" s="36" t="str">
        <x:v>FREIGEGEBEN</x:v>
      </x:c>
      <x:c r="AH188" s="36" t="str">
        <x:v>GPT-5.6 Sol · Buchprüfung Markus · L1912/OTB</x:v>
      </x:c>
      <x:c r="AI188" s="36" t="str">
        <x:v>FREIGEGEBEN</x:v>
      </x:c>
      <x:c r="AJ188" s="36" t="str">
        <x:v>Markus 10: repetitive Wiedererkennungsfrage durch GESCHEHEN-Frage ersetzt.</x:v>
      </x:c>
      <x:c r="AK188" s="36" t="str">
        <x:v>FaithPath repo develop/v4 · data/bibles/l1912/MRK.json · data/bibles/otb/MRK.json</x:v>
      </x:c>
      <x:c r="AL188" t="str">
        <x:v>JA</x:v>
      </x:c>
    </x:row>
    <x:row r="189">
      <x:c r="A189" t="str">
        <x:v>FP-0448</x:v>
      </x:c>
      <x:c r="B189" t="str">
        <x:v>MRK</x:v>
      </x:c>
      <x:c r="C189" t="str">
        <x:v>Markus</x:v>
      </x:c>
      <x:c r="D189" t="n">
        <x:v>10</x:v>
      </x:c>
      <x:c r="E189" t="n">
        <x:v>3</x:v>
      </x:c>
      <x:c r="F189" t="str">
        <x:v>MRK-010</x:v>
      </x:c>
      <x:c r="G189" t="n">
        <x:v>38</x:v>
      </x:c>
      <x:c r="H189" t="str">
        <x:v>CQ-A02</x:v>
      </x:c>
      <x:c r="I189" s="36" t="str">
        <x:v>Welche dieser Aussagen stammt aus Markus 10?</x:v>
      </x:c>
      <x:c r="J189" s="36" t="str"/>
      <x:c r="K189" s="36" t="str"/>
      <x:c r="L189" s="36" t="str">
        <x:v>REPO_VERIFIZIERT_FRAGEFORM</x:v>
      </x:c>
      <x:c r="M189" s="36" t="str">
        <x:v>ERSETZEN</x:v>
      </x:c>
      <x:c r="N189" s="36" t="str">
        <x:v>REPETITIVE_FRAGEFORM</x:v>
      </x:c>
      <x:c r="O189" s="36" t="str">
        <x:v>REINE_WIEDERERKENNUNG</x:v>
      </x:c>
      <x:c r="P189" s="36" t="str">
        <x:v>ZUSAMMENHANG</x:v>
      </x:c>
      <x:c r="Q189" s="36" t="str">
        <x:v>Warum geht der reiche Mann traurig weg?</x:v>
      </x:c>
      <x:c r="R189" s="36" t="str">
        <x:v>Weil Jesus ihn nicht anhört.</x:v>
      </x:c>
      <x:c r="S189" s="36" t="str">
        <x:v>Weil Petrus ihn fortschickt.</x:v>
      </x:c>
      <x:c r="T189" s="36" t="str">
        <x:v>Weil er den Weg nach Jerusalem nicht kennt.</x:v>
      </x:c>
      <x:c r="U189" s="36" t="str">
        <x:v>Weil er viele Besitztümer hat und Jesu Aufforderung, alles zu verkaufen und ihm zu folgen, ihn trifft.</x:v>
      </x:c>
      <x:c r="V189" s="36" t="n">
        <x:v>3</x:v>
      </x:c>
      <x:c r="W189" s="36" t="str">
        <x:v>Weil er viele Besitztümer hat und Jesu Aufforderung, alles zu verkaufen und ihm zu folgen, ihn trifft.</x:v>
      </x:c>
      <x:c r="X189" s="36" t="str">
        <x:v>Markus 10,17–22</x:v>
      </x:c>
      <x:c r="Y189" s="36" t="str">
        <x:v>Der Mann wird traurig, weil er sehr vermögend ist und Jesus ihn auffordert, seinen Besitz loszulassen und ihm zu folgen.</x:v>
      </x:c>
      <x:c r="Z189" s="36" t="str">
        <x:v>JA</x:v>
      </x:c>
      <x:c r="AA189" s="36" t="str">
        <x:v>JA</x:v>
      </x:c>
      <x:c r="AB189" s="36" t="str">
        <x:v>JA</x:v>
      </x:c>
      <x:c r="AC189" s="36" t="str">
        <x:v>JA</x:v>
      </x:c>
      <x:c r="AD189" s="36" t="str">
        <x:v>JA</x:v>
      </x:c>
      <x:c r="AE189" s="36" t="str">
        <x:v>JA</x:v>
      </x:c>
      <x:c r="AF189" s="36" t="str">
        <x:v>JA</x:v>
      </x:c>
      <x:c r="AG189" s="36" t="str">
        <x:v>FREIGEGEBEN</x:v>
      </x:c>
      <x:c r="AH189" s="36" t="str">
        <x:v>GPT-5.6 Sol · Buchprüfung Markus · L1912/OTB</x:v>
      </x:c>
      <x:c r="AI189" s="36" t="str">
        <x:v>FREIGEGEBEN</x:v>
      </x:c>
      <x:c r="AJ189" s="36" t="str">
        <x:v>Markus 10: repetitive Wiedererkennungsfrage durch ZUSAMMENHANG-Frage ersetzt.</x:v>
      </x:c>
      <x:c r="AK189" s="36" t="str">
        <x:v>FaithPath repo develop/v4 · data/bibles/l1912/MRK.json · data/bibles/otb/MRK.json</x:v>
      </x:c>
      <x:c r="AL189" t="str">
        <x:v>JA</x:v>
      </x:c>
    </x:row>
    <x:row r="190">
      <x:c r="A190" t="str">
        <x:v>FP-0449</x:v>
      </x:c>
      <x:c r="B190" t="str">
        <x:v>MRK</x:v>
      </x:c>
      <x:c r="C190" t="str">
        <x:v>Markus</x:v>
      </x:c>
      <x:c r="D190" t="n">
        <x:v>10</x:v>
      </x:c>
      <x:c r="E190" t="n">
        <x:v>4</x:v>
      </x:c>
      <x:c r="F190" t="str">
        <x:v>MRK-010</x:v>
      </x:c>
      <x:c r="G190" t="n">
        <x:v>38</x:v>
      </x:c>
      <x:c r="H190" t="str">
        <x:v>CQ-A02</x:v>
      </x:c>
      <x:c r="I190" s="36" t="str">
        <x:v>Welche dieser Aussagen stammt aus Markus 10?</x:v>
      </x:c>
      <x:c r="J190" s="36" t="str"/>
      <x:c r="K190" s="36" t="str"/>
      <x:c r="L190" s="36" t="str">
        <x:v>REPO_VERIFIZIERT_FRAGEFORM</x:v>
      </x:c>
      <x:c r="M190" s="36" t="str">
        <x:v>ERSETZEN</x:v>
      </x:c>
      <x:c r="N190" s="36" t="str">
        <x:v>REPETITIVE_FRAGEFORM</x:v>
      </x:c>
      <x:c r="O190" s="36" t="str">
        <x:v>REINE_WIEDERERKENNUNG</x:v>
      </x:c>
      <x:c r="P190" s="36" t="str">
        <x:v>KERNAUSSAGE</x:v>
      </x:c>
      <x:c r="Q190" s="36" t="str">
        <x:v>Wie beschreibt Jesus wahre Größe unter seinen Jüngern?</x:v>
      </x:c>
      <x:c r="R190" s="36" t="str">
        <x:v>Wer groß sein will, soll Diener sein; der Menschensohn kam, um zu dienen und sein Leben zu geben.</x:v>
      </x:c>
      <x:c r="S190" s="36" t="str">
        <x:v>Wer groß sein will, soll über andere herrschen.</x:v>
      </x:c>
      <x:c r="T190" s="36" t="str">
        <x:v>Nur Reiche können dienen.</x:v>
      </x:c>
      <x:c r="U190" s="36" t="str">
        <x:v>Größe hängt vom Alter ab.</x:v>
      </x:c>
      <x:c r="V190" s="36" t="n">
        <x:v>0</x:v>
      </x:c>
      <x:c r="W190" s="36" t="str">
        <x:v>Wer groß sein will, soll Diener sein; der Menschensohn kam, um zu dienen und sein Leben zu geben.</x:v>
      </x:c>
      <x:c r="X190" s="36" t="str">
        <x:v>Markus 10,42–45</x:v>
      </x:c>
      <x:c r="Y190" s="36" t="str">
        <x:v>Jesus stellt dienende Hingabe an die Stelle von Herrschaft und verbindet dies mit seinem eigenen Auftrag.</x:v>
      </x:c>
      <x:c r="Z190" s="36" t="str">
        <x:v>JA</x:v>
      </x:c>
      <x:c r="AA190" s="36" t="str">
        <x:v>JA</x:v>
      </x:c>
      <x:c r="AB190" s="36" t="str">
        <x:v>JA</x:v>
      </x:c>
      <x:c r="AC190" s="36" t="str">
        <x:v>JA</x:v>
      </x:c>
      <x:c r="AD190" s="36" t="str">
        <x:v>JA</x:v>
      </x:c>
      <x:c r="AE190" s="36" t="str">
        <x:v>JA</x:v>
      </x:c>
      <x:c r="AF190" s="36" t="str">
        <x:v>JA</x:v>
      </x:c>
      <x:c r="AG190" s="36" t="str">
        <x:v>FREIGEGEBEN</x:v>
      </x:c>
      <x:c r="AH190" s="36" t="str">
        <x:v>GPT-5.6 Sol · Buchprüfung Markus · L1912/OTB</x:v>
      </x:c>
      <x:c r="AI190" s="36" t="str">
        <x:v>FREIGEGEBEN</x:v>
      </x:c>
      <x:c r="AJ190" s="36" t="str">
        <x:v>Markus 10: repetitive Wiedererkennungsfrage durch KERNAUSSAGE-Frage ersetzt.</x:v>
      </x:c>
      <x:c r="AK190" s="36" t="str">
        <x:v>FaithPath repo develop/v4 · data/bibles/l1912/MRK.json · data/bibles/otb/MRK.json</x:v>
      </x:c>
      <x:c r="AL190" t="str">
        <x:v>JA</x:v>
      </x:c>
    </x:row>
    <x:row r="191">
      <x:c r="A191" t="str">
        <x:v>FP-0450</x:v>
      </x:c>
      <x:c r="B191" t="str">
        <x:v>MRK</x:v>
      </x:c>
      <x:c r="C191" t="str">
        <x:v>Markus</x:v>
      </x:c>
      <x:c r="D191" t="n">
        <x:v>10</x:v>
      </x:c>
      <x:c r="E191" t="n">
        <x:v>5</x:v>
      </x:c>
      <x:c r="F191" t="str">
        <x:v>MRK-010</x:v>
      </x:c>
      <x:c r="G191" t="n">
        <x:v>38</x:v>
      </x:c>
      <x:c r="H191" t="str">
        <x:v>CQ-A02</x:v>
      </x:c>
      <x:c r="I191" s="36" t="str">
        <x:v>Welche dieser Aussagen stammt aus Markus 10?</x:v>
      </x:c>
      <x:c r="J191" s="36" t="str"/>
      <x:c r="K191" s="36" t="str"/>
      <x:c r="L191" s="36" t="str">
        <x:v>REPO_VERIFIZIERT_FRAGEFORM</x:v>
      </x:c>
      <x:c r="M191" s="36" t="str">
        <x:v>ERSETZEN</x:v>
      </x:c>
      <x:c r="N191" s="36" t="str">
        <x:v>REPETITIVE_FRAGEFORM</x:v>
      </x:c>
      <x:c r="O191" s="36" t="str">
        <x:v>REINE_WIEDERERKENNUNG</x:v>
      </x:c>
      <x:c r="P191" s="36" t="str">
        <x:v>GESCHEHEN</x:v>
      </x:c>
      <x:c r="Q191" s="36" t="str">
        <x:v>Was tut Bartimäus, nachdem Jesus ihm das Augenlicht wiedergegeben hat?</x:v>
      </x:c>
      <x:c r="R191" s="36" t="str">
        <x:v>Er kehrt nach Jericho zurück.</x:v>
      </x:c>
      <x:c r="S191" s="36" t="str">
        <x:v>Er folgt Jesus auf dem Weg.</x:v>
      </x:c>
      <x:c r="T191" s="36" t="str">
        <x:v>Er wird Priester.</x:v>
      </x:c>
      <x:c r="U191" s="36" t="str">
        <x:v>Er zieht nach Bethsaida.</x:v>
      </x:c>
      <x:c r="V191" s="36" t="n">
        <x:v>1</x:v>
      </x:c>
      <x:c r="W191" s="36" t="str">
        <x:v>Er folgt Jesus auf dem Weg.</x:v>
      </x:c>
      <x:c r="X191" s="36" t="str">
        <x:v>Markus 10,46–52</x:v>
      </x:c>
      <x:c r="Y191" s="36" t="str">
        <x:v>Nach seiner Heilung folgt Bartimäus Jesus auf dem Weg.</x:v>
      </x:c>
      <x:c r="Z191" s="36" t="str">
        <x:v>JA</x:v>
      </x:c>
      <x:c r="AA191" s="36" t="str">
        <x:v>JA</x:v>
      </x:c>
      <x:c r="AB191" s="36" t="str">
        <x:v>JA</x:v>
      </x:c>
      <x:c r="AC191" s="36" t="str">
        <x:v>JA</x:v>
      </x:c>
      <x:c r="AD191" s="36" t="str">
        <x:v>JA</x:v>
      </x:c>
      <x:c r="AE191" s="36" t="str">
        <x:v>JA</x:v>
      </x:c>
      <x:c r="AF191" s="36" t="str">
        <x:v>JA</x:v>
      </x:c>
      <x:c r="AG191" s="36" t="str">
        <x:v>FREIGEGEBEN</x:v>
      </x:c>
      <x:c r="AH191" s="36" t="str">
        <x:v>GPT-5.6 Sol · Buchprüfung Markus · L1912/OTB</x:v>
      </x:c>
      <x:c r="AI191" s="36" t="str">
        <x:v>FREIGEGEBEN</x:v>
      </x:c>
      <x:c r="AJ191" s="36" t="str">
        <x:v>Markus 10: repetitive Wiedererkennungsfrage durch GESCHEHEN-Frage ersetzt.</x:v>
      </x:c>
      <x:c r="AK191" s="36" t="str">
        <x:v>FaithPath repo develop/v4 · data/bibles/l1912/MRK.json · data/bibles/otb/MRK.json</x:v>
      </x:c>
      <x:c r="AL191" t="str">
        <x:v>JA</x:v>
      </x:c>
    </x:row>
    <x:row r="192">
      <x:c r="A192" t="str">
        <x:v>FP-0451</x:v>
      </x:c>
      <x:c r="B192" t="str">
        <x:v>MRK</x:v>
      </x:c>
      <x:c r="C192" t="str">
        <x:v>Markus</x:v>
      </x:c>
      <x:c r="D192" t="n">
        <x:v>11</x:v>
      </x:c>
      <x:c r="E192" t="n">
        <x:v>1</x:v>
      </x:c>
      <x:c r="F192" t="str">
        <x:v>MRK-011</x:v>
      </x:c>
      <x:c r="G192" t="n">
        <x:v>39</x:v>
      </x:c>
      <x:c r="H192" t="str">
        <x:v>CQ-A02</x:v>
      </x:c>
      <x:c r="I192" s="36" t="str">
        <x:v>Welche dieser Aussagen stammt aus Markus 11?</x:v>
      </x:c>
      <x:c r="J192" s="36" t="str"/>
      <x:c r="K192" s="36" t="str"/>
      <x:c r="L192" s="36" t="str">
        <x:v>REPO_VERIFIZIERT_FRAGEFORM</x:v>
      </x:c>
      <x:c r="M192" s="36" t="str">
        <x:v>ERSETZEN</x:v>
      </x:c>
      <x:c r="N192" s="36" t="str">
        <x:v>REPETITIVE_FRAGEFORM</x:v>
      </x:c>
      <x:c r="O192" s="36" t="str">
        <x:v>REINE_WIEDERERKENNUNG</x:v>
      </x:c>
      <x:c r="P192" s="36" t="str">
        <x:v>GESCHEHEN</x:v>
      </x:c>
      <x:c r="Q192" s="36" t="str">
        <x:v>Wie zieht Jesus in Jerusalem ein?</x:v>
      </x:c>
      <x:c r="R192" s="36" t="str">
        <x:v>In einem Streitwagen mit Soldaten.</x:v>
      </x:c>
      <x:c r="S192" s="36" t="str">
        <x:v>Zu Fuß und völlig unbemerkt.</x:v>
      </x:c>
      <x:c r="T192" s="36" t="str">
        <x:v>Auf einem jungen Tier, während Menschen Kleider und Zweige auf den Weg legen und „Hosanna“ rufen.</x:v>
      </x:c>
      <x:c r="U192" s="36" t="str">
        <x:v>Auf einem Schiff über den Jordan.</x:v>
      </x:c>
      <x:c r="V192" s="36" t="n">
        <x:v>2</x:v>
      </x:c>
      <x:c r="W192" s="36" t="str">
        <x:v>Auf einem jungen Tier, während Menschen Kleider und Zweige auf den Weg legen und „Hosanna“ rufen.</x:v>
      </x:c>
      <x:c r="X192" s="36" t="str">
        <x:v>Markus 11,1–10</x:v>
      </x:c>
      <x:c r="Y192" s="36" t="str">
        <x:v>Jesus zieht auf dem jungen Tier ein; Menschen breiten Kleider und Zweige aus und rufen „Hosanna“.</x:v>
      </x:c>
      <x:c r="Z192" s="36" t="str">
        <x:v>JA</x:v>
      </x:c>
      <x:c r="AA192" s="36" t="str">
        <x:v>JA</x:v>
      </x:c>
      <x:c r="AB192" s="36" t="str">
        <x:v>JA</x:v>
      </x:c>
      <x:c r="AC192" s="36" t="str">
        <x:v>JA</x:v>
      </x:c>
      <x:c r="AD192" s="36" t="str">
        <x:v>JA</x:v>
      </x:c>
      <x:c r="AE192" s="36" t="str">
        <x:v>JA</x:v>
      </x:c>
      <x:c r="AF192" s="36" t="str">
        <x:v>JA</x:v>
      </x:c>
      <x:c r="AG192" s="36" t="str">
        <x:v>FREIGEGEBEN</x:v>
      </x:c>
      <x:c r="AH192" s="36" t="str">
        <x:v>GPT-5.6 Sol · Buchprüfung Markus · L1912/OTB</x:v>
      </x:c>
      <x:c r="AI192" s="36" t="str">
        <x:v>FREIGEGEBEN</x:v>
      </x:c>
      <x:c r="AJ192" s="36" t="str">
        <x:v>Markus 11: repetitive Wiedererkennungsfrage durch GESCHEHEN-Frage ersetzt.</x:v>
      </x:c>
      <x:c r="AK192" s="36" t="str">
        <x:v>FaithPath repo develop/v4 · data/bibles/l1912/MRK.json · data/bibles/otb/MRK.json</x:v>
      </x:c>
      <x:c r="AL192" t="str">
        <x:v>JA</x:v>
      </x:c>
    </x:row>
    <x:row r="193">
      <x:c r="A193" t="str">
        <x:v>FP-0452</x:v>
      </x:c>
      <x:c r="B193" t="str">
        <x:v>MRK</x:v>
      </x:c>
      <x:c r="C193" t="str">
        <x:v>Markus</x:v>
      </x:c>
      <x:c r="D193" t="n">
        <x:v>11</x:v>
      </x:c>
      <x:c r="E193" t="n">
        <x:v>2</x:v>
      </x:c>
      <x:c r="F193" t="str">
        <x:v>MRK-011</x:v>
      </x:c>
      <x:c r="G193" t="n">
        <x:v>39</x:v>
      </x:c>
      <x:c r="H193" t="str">
        <x:v>CQ-A02</x:v>
      </x:c>
      <x:c r="I193" s="36" t="str">
        <x:v>Welche dieser Aussagen stammt aus Markus 11?</x:v>
      </x:c>
      <x:c r="J193" s="36" t="str"/>
      <x:c r="K193" s="36" t="str"/>
      <x:c r="L193" s="36" t="str">
        <x:v>REPO_VERIFIZIERT_FRAGEFORM</x:v>
      </x:c>
      <x:c r="M193" s="36" t="str">
        <x:v>ERSETZEN</x:v>
      </x:c>
      <x:c r="N193" s="36" t="str">
        <x:v>REPETITIVE_FRAGEFORM</x:v>
      </x:c>
      <x:c r="O193" s="36" t="str">
        <x:v>REINE_WIEDERERKENNUNG</x:v>
      </x:c>
      <x:c r="P193" s="36" t="str">
        <x:v>GESCHEHEN</x:v>
      </x:c>
      <x:c r="Q193" s="36" t="str">
        <x:v>Was geschieht mit dem Feigenbaum, nachdem Jesus keine Frucht an ihm findet?</x:v>
      </x:c>
      <x:c r="R193" s="36" t="str">
        <x:v>Er trägt sofort Früchte.</x:v>
      </x:c>
      <x:c r="S193" s="36" t="str">
        <x:v>Die Jünger pflanzen ihn um.</x:v>
      </x:c>
      <x:c r="T193" s="36" t="str">
        <x:v>Er wird gefällt.</x:v>
      </x:c>
      <x:c r="U193" s="36" t="str">
        <x:v>Jesus spricht ein Gerichtswort über ihn.</x:v>
      </x:c>
      <x:c r="V193" s="36" t="n">
        <x:v>3</x:v>
      </x:c>
      <x:c r="W193" s="36" t="str">
        <x:v>Jesus spricht ein Gerichtswort über ihn.</x:v>
      </x:c>
      <x:c r="X193" s="36" t="str">
        <x:v>Markus 11,12–14</x:v>
      </x:c>
      <x:c r="Y193" s="36" t="str">
        <x:v>Jesus spricht über den unfruchtbaren Feigenbaum, dass niemand mehr von ihm Frucht essen solle.</x:v>
      </x:c>
      <x:c r="Z193" s="36" t="str">
        <x:v>JA</x:v>
      </x:c>
      <x:c r="AA193" s="36" t="str">
        <x:v>JA</x:v>
      </x:c>
      <x:c r="AB193" s="36" t="str">
        <x:v>JA</x:v>
      </x:c>
      <x:c r="AC193" s="36" t="str">
        <x:v>JA</x:v>
      </x:c>
      <x:c r="AD193" s="36" t="str">
        <x:v>JA</x:v>
      </x:c>
      <x:c r="AE193" s="36" t="str">
        <x:v>JA</x:v>
      </x:c>
      <x:c r="AF193" s="36" t="str">
        <x:v>JA</x:v>
      </x:c>
      <x:c r="AG193" s="36" t="str">
        <x:v>FREIGEGEBEN</x:v>
      </x:c>
      <x:c r="AH193" s="36" t="str">
        <x:v>GPT-5.6 Sol · Buchprüfung Markus · L1912/OTB</x:v>
      </x:c>
      <x:c r="AI193" s="36" t="str">
        <x:v>FREIGEGEBEN</x:v>
      </x:c>
      <x:c r="AJ193" s="36" t="str">
        <x:v>Markus 11: repetitive Wiedererkennungsfrage durch GESCHEHEN-Frage ersetzt.</x:v>
      </x:c>
      <x:c r="AK193" s="36" t="str">
        <x:v>FaithPath repo develop/v4 · data/bibles/l1912/MRK.json · data/bibles/otb/MRK.json</x:v>
      </x:c>
      <x:c r="AL193" t="str">
        <x:v>JA</x:v>
      </x:c>
    </x:row>
    <x:row r="194">
      <x:c r="A194" t="str">
        <x:v>FP-0453</x:v>
      </x:c>
      <x:c r="B194" t="str">
        <x:v>MRK</x:v>
      </x:c>
      <x:c r="C194" t="str">
        <x:v>Markus</x:v>
      </x:c>
      <x:c r="D194" t="n">
        <x:v>11</x:v>
      </x:c>
      <x:c r="E194" t="n">
        <x:v>3</x:v>
      </x:c>
      <x:c r="F194" t="str">
        <x:v>MRK-011</x:v>
      </x:c>
      <x:c r="G194" t="n">
        <x:v>39</x:v>
      </x:c>
      <x:c r="H194" t="str">
        <x:v>CQ-A02</x:v>
      </x:c>
      <x:c r="I194" s="36" t="str">
        <x:v>Welche dieser Aussagen stammt aus Markus 11?</x:v>
      </x:c>
      <x:c r="J194" s="36" t="str"/>
      <x:c r="K194" s="36" t="str"/>
      <x:c r="L194" s="36" t="str">
        <x:v>REPO_VERIFIZIERT_FRAGEFORM</x:v>
      </x:c>
      <x:c r="M194" s="36" t="str">
        <x:v>ERSETZEN</x:v>
      </x:c>
      <x:c r="N194" s="36" t="str">
        <x:v>REPETITIVE_FRAGEFORM</x:v>
      </x:c>
      <x:c r="O194" s="36" t="str">
        <x:v>REINE_WIEDERERKENNUNG</x:v>
      </x:c>
      <x:c r="P194" s="36" t="str">
        <x:v>KERNAUSSAGE</x:v>
      </x:c>
      <x:c r="Q194" s="36" t="str">
        <x:v>Wie beschreibt Jesus die Bestimmung des Tempels, als er Verkäufer und Käufer hinaustreibt?</x:v>
      </x:c>
      <x:c r="R194" s="36" t="str">
        <x:v>Als Haus des Gebets für alle Völker.</x:v>
      </x:c>
      <x:c r="S194" s="36" t="str">
        <x:v>Als königlichen Palast.</x:v>
      </x:c>
      <x:c r="T194" s="36" t="str">
        <x:v>Als Markt für Pilger.</x:v>
      </x:c>
      <x:c r="U194" s="36" t="str">
        <x:v>Als Schule nur für Priester.</x:v>
      </x:c>
      <x:c r="V194" s="36" t="n">
        <x:v>0</x:v>
      </x:c>
      <x:c r="W194" s="36" t="str">
        <x:v>Als Haus des Gebets für alle Völker.</x:v>
      </x:c>
      <x:c r="X194" s="36" t="str">
        <x:v>Markus 11,15–17</x:v>
      </x:c>
      <x:c r="Y194" s="36" t="str">
        <x:v>Jesus zitiert die Bestimmung des Tempels als Haus des Gebets für alle Völker und kritisiert, dass er zu einer Räuberhöhle gemacht werde.</x:v>
      </x:c>
      <x:c r="Z194" s="36" t="str">
        <x:v>JA</x:v>
      </x:c>
      <x:c r="AA194" s="36" t="str">
        <x:v>JA</x:v>
      </x:c>
      <x:c r="AB194" s="36" t="str">
        <x:v>JA</x:v>
      </x:c>
      <x:c r="AC194" s="36" t="str">
        <x:v>JA</x:v>
      </x:c>
      <x:c r="AD194" s="36" t="str">
        <x:v>JA</x:v>
      </x:c>
      <x:c r="AE194" s="36" t="str">
        <x:v>JA</x:v>
      </x:c>
      <x:c r="AF194" s="36" t="str">
        <x:v>JA</x:v>
      </x:c>
      <x:c r="AG194" s="36" t="str">
        <x:v>FREIGEGEBEN</x:v>
      </x:c>
      <x:c r="AH194" s="36" t="str">
        <x:v>GPT-5.6 Sol · Buchprüfung Markus · L1912/OTB</x:v>
      </x:c>
      <x:c r="AI194" s="36" t="str">
        <x:v>FREIGEGEBEN</x:v>
      </x:c>
      <x:c r="AJ194" s="36" t="str">
        <x:v>Markus 11: repetitive Wiedererkennungsfrage durch KERNAUSSAGE-Frage ersetzt.</x:v>
      </x:c>
      <x:c r="AK194" s="36" t="str">
        <x:v>FaithPath repo develop/v4 · data/bibles/l1912/MRK.json · data/bibles/otb/MRK.json</x:v>
      </x:c>
      <x:c r="AL194" t="str">
        <x:v>JA</x:v>
      </x:c>
    </x:row>
    <x:row r="195">
      <x:c r="A195" t="str">
        <x:v>FP-0454</x:v>
      </x:c>
      <x:c r="B195" t="str">
        <x:v>MRK</x:v>
      </x:c>
      <x:c r="C195" t="str">
        <x:v>Markus</x:v>
      </x:c>
      <x:c r="D195" t="n">
        <x:v>11</x:v>
      </x:c>
      <x:c r="E195" t="n">
        <x:v>4</x:v>
      </x:c>
      <x:c r="F195" t="str">
        <x:v>MRK-011</x:v>
      </x:c>
      <x:c r="G195" t="n">
        <x:v>39</x:v>
      </x:c>
      <x:c r="H195" t="str">
        <x:v>CQ-A02</x:v>
      </x:c>
      <x:c r="I195" s="36" t="str">
        <x:v>Welche dieser Aussagen stammt aus Markus 11?</x:v>
      </x:c>
      <x:c r="J195" s="36" t="str"/>
      <x:c r="K195" s="36" t="str"/>
      <x:c r="L195" s="36" t="str">
        <x:v>REPO_VERIFIZIERT_FRAGEFORM</x:v>
      </x:c>
      <x:c r="M195" s="36" t="str">
        <x:v>ERSETZEN</x:v>
      </x:c>
      <x:c r="N195" s="36" t="str">
        <x:v>REPETITIVE_FRAGEFORM</x:v>
      </x:c>
      <x:c r="O195" s="36" t="str">
        <x:v>REINE_WIEDERERKENNUNG</x:v>
      </x:c>
      <x:c r="P195" s="36" t="str">
        <x:v>KERNAUSSAGE</x:v>
      </x:c>
      <x:c r="Q195" s="36" t="str">
        <x:v>Was sollen die Jünger tun, wenn sie beten und etwas gegen jemanden haben?</x:v>
      </x:c>
      <x:c r="R195" s="36" t="str">
        <x:v>Die Sache vergessen, ohne etwas zu tun.</x:v>
      </x:c>
      <x:c r="S195" s="36" t="str">
        <x:v>Vergeben.</x:v>
      </x:c>
      <x:c r="T195" s="36" t="str">
        <x:v>Den anderen öffentlich anklagen.</x:v>
      </x:c>
      <x:c r="U195" s="36" t="str">
        <x:v>Das Gebet abbrechen und nie wieder beten.</x:v>
      </x:c>
      <x:c r="V195" s="36" t="n">
        <x:v>1</x:v>
      </x:c>
      <x:c r="W195" s="36" t="str">
        <x:v>Vergeben.</x:v>
      </x:c>
      <x:c r="X195" s="36" t="str">
        <x:v>Markus 11,24–25</x:v>
      </x:c>
      <x:c r="Y195" s="36" t="str">
        <x:v>Jesus verbindet Gebet mit der Bereitschaft zu vergeben.</x:v>
      </x:c>
      <x:c r="Z195" s="36" t="str">
        <x:v>JA</x:v>
      </x:c>
      <x:c r="AA195" s="36" t="str">
        <x:v>JA</x:v>
      </x:c>
      <x:c r="AB195" s="36" t="str">
        <x:v>JA</x:v>
      </x:c>
      <x:c r="AC195" s="36" t="str">
        <x:v>JA</x:v>
      </x:c>
      <x:c r="AD195" s="36" t="str">
        <x:v>JA</x:v>
      </x:c>
      <x:c r="AE195" s="36" t="str">
        <x:v>JA</x:v>
      </x:c>
      <x:c r="AF195" s="36" t="str">
        <x:v>JA</x:v>
      </x:c>
      <x:c r="AG195" s="36" t="str">
        <x:v>FREIGEGEBEN</x:v>
      </x:c>
      <x:c r="AH195" s="36" t="str">
        <x:v>GPT-5.6 Sol · Buchprüfung Markus · L1912/OTB</x:v>
      </x:c>
      <x:c r="AI195" s="36" t="str">
        <x:v>FREIGEGEBEN</x:v>
      </x:c>
      <x:c r="AJ195" s="36" t="str">
        <x:v>Markus 11: repetitive Wiedererkennungsfrage durch KERNAUSSAGE-Frage ersetzt.</x:v>
      </x:c>
      <x:c r="AK195" s="36" t="str">
        <x:v>FaithPath repo develop/v4 · data/bibles/l1912/MRK.json · data/bibles/otb/MRK.json</x:v>
      </x:c>
      <x:c r="AL195" t="str">
        <x:v>JA</x:v>
      </x:c>
    </x:row>
    <x:row r="196">
      <x:c r="A196" t="str">
        <x:v>FP-0455</x:v>
      </x:c>
      <x:c r="B196" t="str">
        <x:v>MRK</x:v>
      </x:c>
      <x:c r="C196" t="str">
        <x:v>Markus</x:v>
      </x:c>
      <x:c r="D196" t="n">
        <x:v>11</x:v>
      </x:c>
      <x:c r="E196" t="n">
        <x:v>5</x:v>
      </x:c>
      <x:c r="F196" t="str">
        <x:v>MRK-011</x:v>
      </x:c>
      <x:c r="G196" t="n">
        <x:v>39</x:v>
      </x:c>
      <x:c r="H196" t="str">
        <x:v>CQ-A02</x:v>
      </x:c>
      <x:c r="I196" s="36" t="str">
        <x:v>Welche dieser Aussagen stammt aus Markus 11?</x:v>
      </x:c>
      <x:c r="J196" s="36" t="str"/>
      <x:c r="K196" s="36" t="str"/>
      <x:c r="L196" s="36" t="str">
        <x:v>REPO_VERIFIZIERT_FRAGEFORM</x:v>
      </x:c>
      <x:c r="M196" s="36" t="str">
        <x:v>ERSETZEN</x:v>
      </x:c>
      <x:c r="N196" s="36" t="str">
        <x:v>REPETITIVE_FRAGEFORM</x:v>
      </x:c>
      <x:c r="O196" s="36" t="str">
        <x:v>REINE_WIEDERERKENNUNG</x:v>
      </x:c>
      <x:c r="P196" s="36" t="str">
        <x:v>ZUSAMMENHANG</x:v>
      </x:c>
      <x:c r="Q196" s="36" t="str">
        <x:v>Wie reagiert Jesus auf die Frage der religiösen Führer, mit welcher Vollmacht er handelt?</x:v>
      </x:c>
      <x:c r="R196" s="36" t="str">
        <x:v>Er beantwortet sie sofort mit einem Titel.</x:v>
      </x:c>
      <x:c r="S196" s="36" t="str">
        <x:v>Er verlässt Jerusalem ohne ein Wort.</x:v>
      </x:c>
      <x:c r="T196" s="36" t="str">
        <x:v>Er fragt sie nach der Herkunft der Taufe des Johannes; weil sie nicht antworten, nennt auch er ihnen seine Vollmacht nicht.</x:v>
      </x:c>
      <x:c r="U196" s="36" t="str">
        <x:v>Er bittet Pilatus um eine Entscheidung.</x:v>
      </x:c>
      <x:c r="V196" s="36" t="n">
        <x:v>2</x:v>
      </x:c>
      <x:c r="W196" s="36" t="str">
        <x:v>Er fragt sie nach der Herkunft der Taufe des Johannes; weil sie nicht antworten, nennt auch er ihnen seine Vollmacht nicht.</x:v>
      </x:c>
      <x:c r="X196" s="36" t="str">
        <x:v>Markus 11,27–33</x:v>
      </x:c>
      <x:c r="Y196" s="36" t="str">
        <x:v>Jesus stellt eine Gegenfrage zur Taufe des Johannes. Da die Führer keine Antwort geben, beantwortet auch Jesus ihre Vollmachtsfrage nicht.</x:v>
      </x:c>
      <x:c r="Z196" s="36" t="str">
        <x:v>JA</x:v>
      </x:c>
      <x:c r="AA196" s="36" t="str">
        <x:v>JA</x:v>
      </x:c>
      <x:c r="AB196" s="36" t="str">
        <x:v>JA</x:v>
      </x:c>
      <x:c r="AC196" s="36" t="str">
        <x:v>JA</x:v>
      </x:c>
      <x:c r="AD196" s="36" t="str">
        <x:v>JA</x:v>
      </x:c>
      <x:c r="AE196" s="36" t="str">
        <x:v>JA</x:v>
      </x:c>
      <x:c r="AF196" s="36" t="str">
        <x:v>JA</x:v>
      </x:c>
      <x:c r="AG196" s="36" t="str">
        <x:v>FREIGEGEBEN</x:v>
      </x:c>
      <x:c r="AH196" s="36" t="str">
        <x:v>GPT-5.6 Sol · Buchprüfung Markus · L1912/OTB</x:v>
      </x:c>
      <x:c r="AI196" s="36" t="str">
        <x:v>FREIGEGEBEN</x:v>
      </x:c>
      <x:c r="AJ196" s="36" t="str">
        <x:v>Markus 11: repetitive Wiedererkennungsfrage durch ZUSAMMENHANG-Frage ersetzt.</x:v>
      </x:c>
      <x:c r="AK196" s="36" t="str">
        <x:v>FaithPath repo develop/v4 · data/bibles/l1912/MRK.json · data/bibles/otb/MRK.json</x:v>
      </x:c>
      <x:c r="AL196" t="str">
        <x:v>JA</x:v>
      </x:c>
    </x:row>
    <x:row r="197">
      <x:c r="A197" t="str">
        <x:v>FP-0456</x:v>
      </x:c>
      <x:c r="B197" t="str">
        <x:v>MRK</x:v>
      </x:c>
      <x:c r="C197" t="str">
        <x:v>Markus</x:v>
      </x:c>
      <x:c r="D197" t="n">
        <x:v>12</x:v>
      </x:c>
      <x:c r="E197" t="n">
        <x:v>1</x:v>
      </x:c>
      <x:c r="F197" t="str">
        <x:v>MRK-012</x:v>
      </x:c>
      <x:c r="G197" t="n">
        <x:v>40</x:v>
      </x:c>
      <x:c r="H197" t="str">
        <x:v>CQ-A02</x:v>
      </x:c>
      <x:c r="I197" s="36" t="str">
        <x:v>Welche dieser Aussagen stammt aus Markus 12?</x:v>
      </x:c>
      <x:c r="J197" s="36" t="str"/>
      <x:c r="K197" s="36" t="str"/>
      <x:c r="L197" s="36" t="str">
        <x:v>REPO_VERIFIZIERT_FRAGEFORM</x:v>
      </x:c>
      <x:c r="M197" s="36" t="str">
        <x:v>ERSETZEN</x:v>
      </x:c>
      <x:c r="N197" s="36" t="str">
        <x:v>REPETITIVE_FRAGEFORM</x:v>
      </x:c>
      <x:c r="O197" s="36" t="str">
        <x:v>REINE_WIEDERERKENNUNG</x:v>
      </x:c>
      <x:c r="P197" s="36" t="str">
        <x:v>GESCHEHEN</x:v>
      </x:c>
      <x:c r="Q197" s="36" t="str">
        <x:v>Was tun die bösen Weingärtner schließlich mit dem geliebten Sohn des Besitzers?</x:v>
      </x:c>
      <x:c r="R197" s="36" t="str">
        <x:v>Sie setzen ihn als Verwalter ein.</x:v>
      </x:c>
      <x:c r="S197" s="36" t="str">
        <x:v>Sie bezahlen ihm den Lohn.</x:v>
      </x:c>
      <x:c r="T197" s="36" t="str">
        <x:v>Sie schicken ihn unverletzt zurück.</x:v>
      </x:c>
      <x:c r="U197" s="36" t="str">
        <x:v>Sie töten ihn und werfen ihn aus dem Weinberg.</x:v>
      </x:c>
      <x:c r="V197" s="36" t="n">
        <x:v>3</x:v>
      </x:c>
      <x:c r="W197" s="36" t="str">
        <x:v>Sie töten ihn und werfen ihn aus dem Weinberg.</x:v>
      </x:c>
      <x:c r="X197" s="36" t="str">
        <x:v>Markus 12,1–12</x:v>
      </x:c>
      <x:c r="Y197" s="36" t="str">
        <x:v>Im Gleichnis verwerfen und töten die Weingärtner zuletzt den geliebten Sohn des Besitzers.</x:v>
      </x:c>
      <x:c r="Z197" s="36" t="str">
        <x:v>JA</x:v>
      </x:c>
      <x:c r="AA197" s="36" t="str">
        <x:v>JA</x:v>
      </x:c>
      <x:c r="AB197" s="36" t="str">
        <x:v>JA</x:v>
      </x:c>
      <x:c r="AC197" s="36" t="str">
        <x:v>JA</x:v>
      </x:c>
      <x:c r="AD197" s="36" t="str">
        <x:v>JA</x:v>
      </x:c>
      <x:c r="AE197" s="36" t="str">
        <x:v>JA</x:v>
      </x:c>
      <x:c r="AF197" s="36" t="str">
        <x:v>JA</x:v>
      </x:c>
      <x:c r="AG197" s="36" t="str">
        <x:v>FREIGEGEBEN</x:v>
      </x:c>
      <x:c r="AH197" s="36" t="str">
        <x:v>GPT-5.6 Sol · Buchprüfung Markus · L1912/OTB</x:v>
      </x:c>
      <x:c r="AI197" s="36" t="str">
        <x:v>FREIGEGEBEN</x:v>
      </x:c>
      <x:c r="AJ197" s="36" t="str">
        <x:v>Markus 12: repetitive Wiedererkennungsfrage durch GESCHEHEN-Frage ersetzt.</x:v>
      </x:c>
      <x:c r="AK197" s="36" t="str">
        <x:v>FaithPath repo develop/v4 · data/bibles/l1912/MRK.json · data/bibles/otb/MRK.json</x:v>
      </x:c>
      <x:c r="AL197" t="str">
        <x:v>JA</x:v>
      </x:c>
    </x:row>
    <x:row r="198">
      <x:c r="A198" t="str">
        <x:v>FP-0457</x:v>
      </x:c>
      <x:c r="B198" t="str">
        <x:v>MRK</x:v>
      </x:c>
      <x:c r="C198" t="str">
        <x:v>Markus</x:v>
      </x:c>
      <x:c r="D198" t="n">
        <x:v>12</x:v>
      </x:c>
      <x:c r="E198" t="n">
        <x:v>2</x:v>
      </x:c>
      <x:c r="F198" t="str">
        <x:v>MRK-012</x:v>
      </x:c>
      <x:c r="G198" t="n">
        <x:v>40</x:v>
      </x:c>
      <x:c r="H198" t="str">
        <x:v>CQ-A02</x:v>
      </x:c>
      <x:c r="I198" s="36" t="str">
        <x:v>Welche dieser Aussagen stammt aus Markus 12?</x:v>
      </x:c>
      <x:c r="J198" s="36" t="str"/>
      <x:c r="K198" s="36" t="str"/>
      <x:c r="L198" s="36" t="str">
        <x:v>REPO_VERIFIZIERT_FRAGEFORM</x:v>
      </x:c>
      <x:c r="M198" s="36" t="str">
        <x:v>ERSETZEN</x:v>
      </x:c>
      <x:c r="N198" s="36" t="str">
        <x:v>REPETITIVE_FRAGEFORM</x:v>
      </x:c>
      <x:c r="O198" s="36" t="str">
        <x:v>REINE_WIEDERERKENNUNG</x:v>
      </x:c>
      <x:c r="P198" s="36" t="str">
        <x:v>KERNAUSSAGE</x:v>
      </x:c>
      <x:c r="Q198" s="36" t="str">
        <x:v>Wie beantwortet Jesus die Frage nach der Steuer für den Kaiser?</x:v>
      </x:c>
      <x:c r="R198" s="36" t="str">
        <x:v>Gebt dem Kaiser, was des Kaisers ist, und Gott, was Gottes ist.</x:v>
      </x:c>
      <x:c r="S198" s="36" t="str">
        <x:v>Zahlt niemals Steuern.</x:v>
      </x:c>
      <x:c r="T198" s="36" t="str">
        <x:v>Gebt alles dem Kaiser.</x:v>
      </x:c>
      <x:c r="U198" s="36" t="str">
        <x:v>Nur Priester dürfen Steuern zahlen.</x:v>
      </x:c>
      <x:c r="V198" s="36" t="n">
        <x:v>0</x:v>
      </x:c>
      <x:c r="W198" s="36" t="str">
        <x:v>Gebt dem Kaiser, was des Kaisers ist, und Gott, was Gottes ist.</x:v>
      </x:c>
      <x:c r="X198" s="36" t="str">
        <x:v>Markus 12,13–17</x:v>
      </x:c>
      <x:c r="Y198" s="36" t="str">
        <x:v>Jesus unterscheidet die Verpflichtung gegenüber dem Kaiser von dem, was Gott zukommt.</x:v>
      </x:c>
      <x:c r="Z198" s="36" t="str">
        <x:v>JA</x:v>
      </x:c>
      <x:c r="AA198" s="36" t="str">
        <x:v>JA</x:v>
      </x:c>
      <x:c r="AB198" s="36" t="str">
        <x:v>JA</x:v>
      </x:c>
      <x:c r="AC198" s="36" t="str">
        <x:v>JA</x:v>
      </x:c>
      <x:c r="AD198" s="36" t="str">
        <x:v>JA</x:v>
      </x:c>
      <x:c r="AE198" s="36" t="str">
        <x:v>JA</x:v>
      </x:c>
      <x:c r="AF198" s="36" t="str">
        <x:v>JA</x:v>
      </x:c>
      <x:c r="AG198" s="36" t="str">
        <x:v>FREIGEGEBEN</x:v>
      </x:c>
      <x:c r="AH198" s="36" t="str">
        <x:v>GPT-5.6 Sol · Buchprüfung Markus · L1912/OTB</x:v>
      </x:c>
      <x:c r="AI198" s="36" t="str">
        <x:v>FREIGEGEBEN</x:v>
      </x:c>
      <x:c r="AJ198" s="36" t="str">
        <x:v>Markus 12: repetitive Wiedererkennungsfrage durch KERNAUSSAGE-Frage ersetzt.</x:v>
      </x:c>
      <x:c r="AK198" s="36" t="str">
        <x:v>FaithPath repo develop/v4 · data/bibles/l1912/MRK.json · data/bibles/otb/MRK.json</x:v>
      </x:c>
      <x:c r="AL198" t="str">
        <x:v>JA</x:v>
      </x:c>
    </x:row>
    <x:row r="199">
      <x:c r="A199" t="str">
        <x:v>FP-0458</x:v>
      </x:c>
      <x:c r="B199" t="str">
        <x:v>MRK</x:v>
      </x:c>
      <x:c r="C199" t="str">
        <x:v>Markus</x:v>
      </x:c>
      <x:c r="D199" t="n">
        <x:v>12</x:v>
      </x:c>
      <x:c r="E199" t="n">
        <x:v>3</x:v>
      </x:c>
      <x:c r="F199" t="str">
        <x:v>MRK-012</x:v>
      </x:c>
      <x:c r="G199" t="n">
        <x:v>40</x:v>
      </x:c>
      <x:c r="H199" t="str">
        <x:v>CQ-A02</x:v>
      </x:c>
      <x:c r="I199" s="36" t="str">
        <x:v>Welche dieser Aussagen stammt aus Markus 12?</x:v>
      </x:c>
      <x:c r="J199" s="36" t="str"/>
      <x:c r="K199" s="36" t="str"/>
      <x:c r="L199" s="36" t="str">
        <x:v>REPO_VERIFIZIERT_FRAGEFORM</x:v>
      </x:c>
      <x:c r="M199" s="36" t="str">
        <x:v>ERSETZEN</x:v>
      </x:c>
      <x:c r="N199" s="36" t="str">
        <x:v>REPETITIVE_FRAGEFORM</x:v>
      </x:c>
      <x:c r="O199" s="36" t="str">
        <x:v>REINE_WIEDERERKENNUNG</x:v>
      </x:c>
      <x:c r="P199" s="36" t="str">
        <x:v>KERNAUSSAGE</x:v>
      </x:c>
      <x:c r="Q199" s="36" t="str">
        <x:v>Welchen Fehler weist Jesus den Sadduzäern in ihrer Frage zur Auferstehung vor?</x:v>
      </x:c>
      <x:c r="R199" s="36" t="str">
        <x:v>Sie haben zu wenig Geld gespendet.</x:v>
      </x:c>
      <x:c r="S199" s="36" t="str">
        <x:v>Sie kennen weder die Schrift noch Gottes Kraft und verstehen die Auferstehung falsch.</x:v>
      </x:c>
      <x:c r="T199" s="36" t="str">
        <x:v>Sie halten den Sabbat zu streng.</x:v>
      </x:c>
      <x:c r="U199" s="36" t="str">
        <x:v>Sie kennen Mose nicht namentlich.</x:v>
      </x:c>
      <x:c r="V199" s="36" t="n">
        <x:v>1</x:v>
      </x:c>
      <x:c r="W199" s="36" t="str">
        <x:v>Sie kennen weder die Schrift noch Gottes Kraft und verstehen die Auferstehung falsch.</x:v>
      </x:c>
      <x:c r="X199" s="36" t="str">
        <x:v>Markus 12,18–27</x:v>
      </x:c>
      <x:c r="Y199" s="36" t="str">
        <x:v>Jesus sagt, sie irren, weil sie weder die Schriften noch die Kraft Gottes kennen; Gott ist ein Gott der Lebenden.</x:v>
      </x:c>
      <x:c r="Z199" s="36" t="str">
        <x:v>JA</x:v>
      </x:c>
      <x:c r="AA199" s="36" t="str">
        <x:v>JA</x:v>
      </x:c>
      <x:c r="AB199" s="36" t="str">
        <x:v>JA</x:v>
      </x:c>
      <x:c r="AC199" s="36" t="str">
        <x:v>JA</x:v>
      </x:c>
      <x:c r="AD199" s="36" t="str">
        <x:v>JA</x:v>
      </x:c>
      <x:c r="AE199" s="36" t="str">
        <x:v>JA</x:v>
      </x:c>
      <x:c r="AF199" s="36" t="str">
        <x:v>JA</x:v>
      </x:c>
      <x:c r="AG199" s="36" t="str">
        <x:v>FREIGEGEBEN</x:v>
      </x:c>
      <x:c r="AH199" s="36" t="str">
        <x:v>GPT-5.6 Sol · Buchprüfung Markus · L1912/OTB</x:v>
      </x:c>
      <x:c r="AI199" s="36" t="str">
        <x:v>FREIGEGEBEN</x:v>
      </x:c>
      <x:c r="AJ199" s="36" t="str">
        <x:v>Markus 12: repetitive Wiedererkennungsfrage durch KERNAUSSAGE-Frage ersetzt.</x:v>
      </x:c>
      <x:c r="AK199" s="36" t="str">
        <x:v>FaithPath repo develop/v4 · data/bibles/l1912/MRK.json · data/bibles/otb/MRK.json</x:v>
      </x:c>
      <x:c r="AL199" t="str">
        <x:v>JA</x:v>
      </x:c>
    </x:row>
    <x:row r="200">
      <x:c r="A200" t="str">
        <x:v>FP-0459</x:v>
      </x:c>
      <x:c r="B200" t="str">
        <x:v>MRK</x:v>
      </x:c>
      <x:c r="C200" t="str">
        <x:v>Markus</x:v>
      </x:c>
      <x:c r="D200" t="n">
        <x:v>12</x:v>
      </x:c>
      <x:c r="E200" t="n">
        <x:v>4</x:v>
      </x:c>
      <x:c r="F200" t="str">
        <x:v>MRK-012</x:v>
      </x:c>
      <x:c r="G200" t="n">
        <x:v>40</x:v>
      </x:c>
      <x:c r="H200" t="str">
        <x:v>CQ-A02</x:v>
      </x:c>
      <x:c r="I200" s="36" t="str">
        <x:v>Welche dieser Aussagen stammt aus Markus 12?</x:v>
      </x:c>
      <x:c r="J200" s="36" t="str"/>
      <x:c r="K200" s="36" t="str"/>
      <x:c r="L200" s="36" t="str">
        <x:v>REPO_VERIFIZIERT_FRAGEFORM</x:v>
      </x:c>
      <x:c r="M200" s="36" t="str">
        <x:v>ERSETZEN</x:v>
      </x:c>
      <x:c r="N200" s="36" t="str">
        <x:v>REPETITIVE_FRAGEFORM</x:v>
      </x:c>
      <x:c r="O200" s="36" t="str">
        <x:v>REINE_WIEDERERKENNUNG</x:v>
      </x:c>
      <x:c r="P200" s="36" t="str">
        <x:v>KERNAUSSAGE</x:v>
      </x:c>
      <x:c r="Q200" s="36" t="str">
        <x:v>Welche beiden Gebote nennt Jesus als die wichtigsten?</x:v>
      </x:c>
      <x:c r="R200" s="36" t="str">
        <x:v>Fasten und Opfer bringen.</x:v>
      </x:c>
      <x:c r="S200" s="36" t="str">
        <x:v>Den Tempel bauen und Steuern zahlen.</x:v>
      </x:c>
      <x:c r="T200" s="36" t="str">
        <x:v>Gott mit ganzem Herzen lieben und den Nächsten wie sich selbst lieben.</x:v>
      </x:c>
      <x:c r="U200" s="36" t="str">
        <x:v>Schweigen und Reisen.</x:v>
      </x:c>
      <x:c r="V200" s="36" t="n">
        <x:v>2</x:v>
      </x:c>
      <x:c r="W200" s="36" t="str">
        <x:v>Gott mit ganzem Herzen lieben und den Nächsten wie sich selbst lieben.</x:v>
      </x:c>
      <x:c r="X200" s="36" t="str">
        <x:v>Markus 12,28–34</x:v>
      </x:c>
      <x:c r="Y200" s="36" t="str">
        <x:v>Jesus verbindet die Liebe zu Gott mit der Liebe zum Nächsten als die beiden grundlegenden Gebote.</x:v>
      </x:c>
      <x:c r="Z200" s="36" t="str">
        <x:v>JA</x:v>
      </x:c>
      <x:c r="AA200" s="36" t="str">
        <x:v>JA</x:v>
      </x:c>
      <x:c r="AB200" s="36" t="str">
        <x:v>JA</x:v>
      </x:c>
      <x:c r="AC200" s="36" t="str">
        <x:v>JA</x:v>
      </x:c>
      <x:c r="AD200" s="36" t="str">
        <x:v>JA</x:v>
      </x:c>
      <x:c r="AE200" s="36" t="str">
        <x:v>JA</x:v>
      </x:c>
      <x:c r="AF200" s="36" t="str">
        <x:v>JA</x:v>
      </x:c>
      <x:c r="AG200" s="36" t="str">
        <x:v>FREIGEGEBEN</x:v>
      </x:c>
      <x:c r="AH200" s="36" t="str">
        <x:v>GPT-5.6 Sol · Buchprüfung Markus · L1912/OTB</x:v>
      </x:c>
      <x:c r="AI200" s="36" t="str">
        <x:v>FREIGEGEBEN</x:v>
      </x:c>
      <x:c r="AJ200" s="36" t="str">
        <x:v>Markus 12: repetitive Wiedererkennungsfrage durch KERNAUSSAGE-Frage ersetzt.</x:v>
      </x:c>
      <x:c r="AK200" s="36" t="str">
        <x:v>FaithPath repo develop/v4 · data/bibles/l1912/MRK.json · data/bibles/otb/MRK.json</x:v>
      </x:c>
      <x:c r="AL200" t="str">
        <x:v>JA</x:v>
      </x:c>
    </x:row>
    <x:row r="201">
      <x:c r="A201" t="str">
        <x:v>FP-0460</x:v>
      </x:c>
      <x:c r="B201" t="str">
        <x:v>MRK</x:v>
      </x:c>
      <x:c r="C201" t="str">
        <x:v>Markus</x:v>
      </x:c>
      <x:c r="D201" t="n">
        <x:v>12</x:v>
      </x:c>
      <x:c r="E201" t="n">
        <x:v>5</x:v>
      </x:c>
      <x:c r="F201" t="str">
        <x:v>MRK-012</x:v>
      </x:c>
      <x:c r="G201" t="n">
        <x:v>40</x:v>
      </x:c>
      <x:c r="H201" t="str">
        <x:v>CQ-A02</x:v>
      </x:c>
      <x:c r="I201" s="36" t="str">
        <x:v>Welche dieser Aussagen stammt aus Markus 12?</x:v>
      </x:c>
      <x:c r="J201" s="36" t="str"/>
      <x:c r="K201" s="36" t="str"/>
      <x:c r="L201" s="36" t="str">
        <x:v>REPO_VERIFIZIERT_FRAGEFORM</x:v>
      </x:c>
      <x:c r="M201" s="36" t="str">
        <x:v>ERSETZEN</x:v>
      </x:c>
      <x:c r="N201" s="36" t="str">
        <x:v>REPETITIVE_FRAGEFORM</x:v>
      </x:c>
      <x:c r="O201" s="36" t="str">
        <x:v>REINE_WIEDERERKENNUNG</x:v>
      </x:c>
      <x:c r="P201" s="36" t="str">
        <x:v>ZUSAMMENHANG</x:v>
      </x:c>
      <x:c r="Q201" s="36" t="str">
        <x:v>Warum sagt Jesus, die arme Witwe habe mehr eingelegt als alle anderen?</x:v>
      </x:c>
      <x:c r="R201" s="36" t="str">
        <x:v>Weil ihre zwei Münzen aus Gold waren.</x:v>
      </x:c>
      <x:c r="S201" s="36" t="str">
        <x:v>Weil sie als Erste spendete.</x:v>
      </x:c>
      <x:c r="T201" s="36" t="str">
        <x:v>Weil die Priester ihre Gabe verdoppelten.</x:v>
      </x:c>
      <x:c r="U201" s="36" t="str">
        <x:v>Weil sie aus ihrer Armut alles gab, was sie zum Leben hatte.</x:v>
      </x:c>
      <x:c r="V201" s="36" t="n">
        <x:v>3</x:v>
      </x:c>
      <x:c r="W201" s="36" t="str">
        <x:v>Weil sie aus ihrer Armut alles gab, was sie zum Leben hatte.</x:v>
      </x:c>
      <x:c r="X201" s="36" t="str">
        <x:v>Markus 12,41–44</x:v>
      </x:c>
      <x:c r="Y201" s="36" t="str">
        <x:v>Jesus bewertet nicht nur den Betrag: Die Witwe gibt aus ihrer Armut ihren ganzen Lebensunterhalt.</x:v>
      </x:c>
      <x:c r="Z201" s="36" t="str">
        <x:v>JA</x:v>
      </x:c>
      <x:c r="AA201" s="36" t="str">
        <x:v>JA</x:v>
      </x:c>
      <x:c r="AB201" s="36" t="str">
        <x:v>JA</x:v>
      </x:c>
      <x:c r="AC201" s="36" t="str">
        <x:v>JA</x:v>
      </x:c>
      <x:c r="AD201" s="36" t="str">
        <x:v>JA</x:v>
      </x:c>
      <x:c r="AE201" s="36" t="str">
        <x:v>JA</x:v>
      </x:c>
      <x:c r="AF201" s="36" t="str">
        <x:v>JA</x:v>
      </x:c>
      <x:c r="AG201" s="36" t="str">
        <x:v>FREIGEGEBEN</x:v>
      </x:c>
      <x:c r="AH201" s="36" t="str">
        <x:v>GPT-5.6 Sol · Buchprüfung Markus · L1912/OTB</x:v>
      </x:c>
      <x:c r="AI201" s="36" t="str">
        <x:v>FREIGEGEBEN</x:v>
      </x:c>
      <x:c r="AJ201" s="36" t="str">
        <x:v>Markus 12: repetitive Wiedererkennungsfrage durch ZUSAMMENHANG-Frage ersetzt.</x:v>
      </x:c>
      <x:c r="AK201" s="36" t="str">
        <x:v>FaithPath repo develop/v4 · data/bibles/l1912/MRK.json · data/bibles/otb/MRK.json</x:v>
      </x:c>
      <x:c r="AL201" t="str">
        <x:v>JA</x:v>
      </x:c>
    </x:row>
    <x:row r="202">
      <x:c r="A202" t="str">
        <x:v>FP-0461</x:v>
      </x:c>
      <x:c r="B202" t="str">
        <x:v>MRK</x:v>
      </x:c>
      <x:c r="C202" t="str">
        <x:v>Markus</x:v>
      </x:c>
      <x:c r="D202" t="n">
        <x:v>13</x:v>
      </x:c>
      <x:c r="E202" t="n">
        <x:v>1</x:v>
      </x:c>
      <x:c r="F202" t="str">
        <x:v>MRK-013</x:v>
      </x:c>
      <x:c r="G202" t="n">
        <x:v>41</x:v>
      </x:c>
      <x:c r="H202" t="str">
        <x:v>CQ-A03</x:v>
      </x:c>
      <x:c r="I202" s="36" t="str">
        <x:v>Welche dieser Aussagen stammt aus Markus 13?</x:v>
      </x:c>
      <x:c r="J202" s="36" t="str"/>
      <x:c r="K202" s="36" t="str"/>
      <x:c r="L202" s="36" t="str">
        <x:v>REPO_VERIFIZIERT_FRAGEFORM</x:v>
      </x:c>
      <x:c r="M202" s="36" t="str">
        <x:v>ERSETZEN</x:v>
      </x:c>
      <x:c r="N202" s="36" t="str">
        <x:v>REPETITIVE_FRAGEFORM</x:v>
      </x:c>
      <x:c r="O202" s="36" t="str">
        <x:v>REINE_WIEDERERKENNUNG</x:v>
      </x:c>
      <x:c r="P202" s="36" t="str">
        <x:v>GESCHEHEN</x:v>
      </x:c>
      <x:c r="Q202" s="36" t="str">
        <x:v>Was sagt Jesus über die großen Steine des Tempels?</x:v>
      </x:c>
      <x:c r="R202" s="36" t="str">
        <x:v>Kein Stein werde auf dem anderen bleiben.</x:v>
      </x:c>
      <x:c r="S202" s="36" t="str">
        <x:v>Sie würden für immer unverändert bleiben.</x:v>
      </x:c>
      <x:c r="T202" s="36" t="str">
        <x:v>Die Jünger sollten sie zählen.</x:v>
      </x:c>
      <x:c r="U202" s="36" t="str">
        <x:v>Sie müssten vergoldet werden.</x:v>
      </x:c>
      <x:c r="V202" s="36" t="n">
        <x:v>0</x:v>
      </x:c>
      <x:c r="W202" s="36" t="str">
        <x:v>Kein Stein werde auf dem anderen bleiben.</x:v>
      </x:c>
      <x:c r="X202" s="36" t="str">
        <x:v>Markus 13,1–2</x:v>
      </x:c>
      <x:c r="Y202" s="36" t="str">
        <x:v>Jesus kündigt die Zerstörung des Tempels so umfassend an, dass kein Stein auf dem anderen bleiben werde.</x:v>
      </x:c>
      <x:c r="Z202" s="36" t="str">
        <x:v>JA</x:v>
      </x:c>
      <x:c r="AA202" s="36" t="str">
        <x:v>JA</x:v>
      </x:c>
      <x:c r="AB202" s="36" t="str">
        <x:v>JA</x:v>
      </x:c>
      <x:c r="AC202" s="36" t="str">
        <x:v>JA</x:v>
      </x:c>
      <x:c r="AD202" s="36" t="str">
        <x:v>JA</x:v>
      </x:c>
      <x:c r="AE202" s="36" t="str">
        <x:v>JA</x:v>
      </x:c>
      <x:c r="AF202" s="36" t="str">
        <x:v>JA</x:v>
      </x:c>
      <x:c r="AG202" s="36" t="str">
        <x:v>FREIGEGEBEN</x:v>
      </x:c>
      <x:c r="AH202" s="36" t="str">
        <x:v>GPT-5.6 Sol · Buchprüfung Markus · L1912/OTB</x:v>
      </x:c>
      <x:c r="AI202" s="36" t="str">
        <x:v>FREIGEGEBEN</x:v>
      </x:c>
      <x:c r="AJ202" s="36" t="str">
        <x:v>Markus 13: repetitive Wiedererkennungsfrage durch GESCHEHEN-Frage ersetzt.</x:v>
      </x:c>
      <x:c r="AK202" s="36" t="str">
        <x:v>FaithPath repo develop/v4 · data/bibles/l1912/MRK.json · data/bibles/otb/MRK.json</x:v>
      </x:c>
      <x:c r="AL202" t="str">
        <x:v>JA</x:v>
      </x:c>
    </x:row>
    <x:row r="203">
      <x:c r="A203" t="str">
        <x:v>FP-0462</x:v>
      </x:c>
      <x:c r="B203" t="str">
        <x:v>MRK</x:v>
      </x:c>
      <x:c r="C203" t="str">
        <x:v>Markus</x:v>
      </x:c>
      <x:c r="D203" t="n">
        <x:v>13</x:v>
      </x:c>
      <x:c r="E203" t="n">
        <x:v>2</x:v>
      </x:c>
      <x:c r="F203" t="str">
        <x:v>MRK-013</x:v>
      </x:c>
      <x:c r="G203" t="n">
        <x:v>41</x:v>
      </x:c>
      <x:c r="H203" t="str">
        <x:v>CQ-A03</x:v>
      </x:c>
      <x:c r="I203" s="36" t="str">
        <x:v>Welche dieser Aussagen stammt aus Markus 13?</x:v>
      </x:c>
      <x:c r="J203" s="36" t="str"/>
      <x:c r="K203" s="36" t="str"/>
      <x:c r="L203" s="36" t="str">
        <x:v>REPO_VERIFIZIERT_FRAGEFORM</x:v>
      </x:c>
      <x:c r="M203" s="36" t="str">
        <x:v>ERSETZEN</x:v>
      </x:c>
      <x:c r="N203" s="36" t="str">
        <x:v>REPETITIVE_FRAGEFORM</x:v>
      </x:c>
      <x:c r="O203" s="36" t="str">
        <x:v>REINE_WIEDERERKENNUNG</x:v>
      </x:c>
      <x:c r="P203" s="36" t="str">
        <x:v>KERNAUSSAGE</x:v>
      </x:c>
      <x:c r="Q203" s="36" t="str">
        <x:v>Wie sollen die Jünger auf Kriege und Kriegsgerüchte reagieren?</x:v>
      </x:c>
      <x:c r="R203" s="36" t="str">
        <x:v>Sie sollen sofort einen Aufstand beginnen.</x:v>
      </x:c>
      <x:c r="S203" s="36" t="str">
        <x:v>Sie sollen sich nicht erschrecken; solche Dinge müssen geschehen, aber das Ende ist noch nicht da.</x:v>
      </x:c>
      <x:c r="T203" s="36" t="str">
        <x:v>Sie sollen jede Stadt verlassen.</x:v>
      </x:c>
      <x:c r="U203" s="36" t="str">
        <x:v>Sie sollen den Tempel schließen.</x:v>
      </x:c>
      <x:c r="V203" s="36" t="n">
        <x:v>1</x:v>
      </x:c>
      <x:c r="W203" s="36" t="str">
        <x:v>Sie sollen sich nicht erschrecken; solche Dinge müssen geschehen, aber das Ende ist noch nicht da.</x:v>
      </x:c>
      <x:c r="X203" s="36" t="str">
        <x:v>Markus 13,5–8</x:v>
      </x:c>
      <x:c r="Y203" s="36" t="str">
        <x:v>Jesus warnt vor Verführung und sagt, Kriege und Erschütterungen seien noch nicht das Ende, sondern der Anfang von Wehen.</x:v>
      </x:c>
      <x:c r="Z203" s="36" t="str">
        <x:v>JA</x:v>
      </x:c>
      <x:c r="AA203" s="36" t="str">
        <x:v>JA</x:v>
      </x:c>
      <x:c r="AB203" s="36" t="str">
        <x:v>JA</x:v>
      </x:c>
      <x:c r="AC203" s="36" t="str">
        <x:v>JA</x:v>
      </x:c>
      <x:c r="AD203" s="36" t="str">
        <x:v>JA</x:v>
      </x:c>
      <x:c r="AE203" s="36" t="str">
        <x:v>JA</x:v>
      </x:c>
      <x:c r="AF203" s="36" t="str">
        <x:v>JA</x:v>
      </x:c>
      <x:c r="AG203" s="36" t="str">
        <x:v>FREIGEGEBEN</x:v>
      </x:c>
      <x:c r="AH203" s="36" t="str">
        <x:v>GPT-5.6 Sol · Buchprüfung Markus · L1912/OTB</x:v>
      </x:c>
      <x:c r="AI203" s="36" t="str">
        <x:v>FREIGEGEBEN</x:v>
      </x:c>
      <x:c r="AJ203" s="36" t="str">
        <x:v>Markus 13: repetitive Wiedererkennungsfrage durch KERNAUSSAGE-Frage ersetzt.</x:v>
      </x:c>
      <x:c r="AK203" s="36" t="str">
        <x:v>FaithPath repo develop/v4 · data/bibles/l1912/MRK.json · data/bibles/otb/MRK.json</x:v>
      </x:c>
      <x:c r="AL203" t="str">
        <x:v>JA</x:v>
      </x:c>
    </x:row>
    <x:row r="204">
      <x:c r="A204" t="str">
        <x:v>FP-0463</x:v>
      </x:c>
      <x:c r="B204" t="str">
        <x:v>MRK</x:v>
      </x:c>
      <x:c r="C204" t="str">
        <x:v>Markus</x:v>
      </x:c>
      <x:c r="D204" t="n">
        <x:v>13</x:v>
      </x:c>
      <x:c r="E204" t="n">
        <x:v>3</x:v>
      </x:c>
      <x:c r="F204" t="str">
        <x:v>MRK-013</x:v>
      </x:c>
      <x:c r="G204" t="n">
        <x:v>41</x:v>
      </x:c>
      <x:c r="H204" t="str">
        <x:v>CQ-A03</x:v>
      </x:c>
      <x:c r="I204" s="36" t="str">
        <x:v>Welche dieser Aussagen stammt aus Markus 13?</x:v>
      </x:c>
      <x:c r="J204" s="36" t="str"/>
      <x:c r="K204" s="36" t="str"/>
      <x:c r="L204" s="36" t="str">
        <x:v>REPO_VERIFIZIERT_FRAGEFORM</x:v>
      </x:c>
      <x:c r="M204" s="36" t="str">
        <x:v>ERSETZEN</x:v>
      </x:c>
      <x:c r="N204" s="36" t="str">
        <x:v>REPETITIVE_FRAGEFORM</x:v>
      </x:c>
      <x:c r="O204" s="36" t="str">
        <x:v>REINE_WIEDERERKENNUNG</x:v>
      </x:c>
      <x:c r="P204" s="36" t="str">
        <x:v>KERNAUSSAGE</x:v>
      </x:c>
      <x:c r="Q204" s="36" t="str">
        <x:v>Was sagt Jesus über die Verkündigung des Evangeliums vor dem Ende?</x:v>
      </x:c>
      <x:c r="R204" s="36" t="str">
        <x:v>Es soll nur in Galiläa verkündigt werden.</x:v>
      </x:c>
      <x:c r="S204" s="36" t="str">
        <x:v>Es soll geheim bleiben.</x:v>
      </x:c>
      <x:c r="T204" s="36" t="str">
        <x:v>Es muss allen Völkern verkündigt werden.</x:v>
      </x:c>
      <x:c r="U204" s="36" t="str">
        <x:v>Es endet mit dem Tempeldienst.</x:v>
      </x:c>
      <x:c r="V204" s="36" t="n">
        <x:v>2</x:v>
      </x:c>
      <x:c r="W204" s="36" t="str">
        <x:v>Es muss allen Völkern verkündigt werden.</x:v>
      </x:c>
      <x:c r="X204" s="36" t="str">
        <x:v>Markus 13,9–13</x:v>
      </x:c>
      <x:c r="Y204" s="36" t="str">
        <x:v>Jesus sagt, dass das Evangelium zuvor allen Völkern verkündigt werden muss.</x:v>
      </x:c>
      <x:c r="Z204" s="36" t="str">
        <x:v>JA</x:v>
      </x:c>
      <x:c r="AA204" s="36" t="str">
        <x:v>JA</x:v>
      </x:c>
      <x:c r="AB204" s="36" t="str">
        <x:v>JA</x:v>
      </x:c>
      <x:c r="AC204" s="36" t="str">
        <x:v>JA</x:v>
      </x:c>
      <x:c r="AD204" s="36" t="str">
        <x:v>JA</x:v>
      </x:c>
      <x:c r="AE204" s="36" t="str">
        <x:v>JA</x:v>
      </x:c>
      <x:c r="AF204" s="36" t="str">
        <x:v>JA</x:v>
      </x:c>
      <x:c r="AG204" s="36" t="str">
        <x:v>FREIGEGEBEN</x:v>
      </x:c>
      <x:c r="AH204" s="36" t="str">
        <x:v>GPT-5.6 Sol · Buchprüfung Markus · L1912/OTB</x:v>
      </x:c>
      <x:c r="AI204" s="36" t="str">
        <x:v>FREIGEGEBEN</x:v>
      </x:c>
      <x:c r="AJ204" s="36" t="str">
        <x:v>Markus 13: repetitive Wiedererkennungsfrage durch KERNAUSSAGE-Frage ersetzt.</x:v>
      </x:c>
      <x:c r="AK204" s="36" t="str">
        <x:v>FaithPath repo develop/v4 · data/bibles/l1912/MRK.json · data/bibles/otb/MRK.json</x:v>
      </x:c>
      <x:c r="AL204" t="str">
        <x:v>JA</x:v>
      </x:c>
    </x:row>
    <x:row r="205">
      <x:c r="A205" t="str">
        <x:v>FP-0464</x:v>
      </x:c>
      <x:c r="B205" t="str">
        <x:v>MRK</x:v>
      </x:c>
      <x:c r="C205" t="str">
        <x:v>Markus</x:v>
      </x:c>
      <x:c r="D205" t="n">
        <x:v>13</x:v>
      </x:c>
      <x:c r="E205" t="n">
        <x:v>4</x:v>
      </x:c>
      <x:c r="F205" t="str">
        <x:v>MRK-013</x:v>
      </x:c>
      <x:c r="G205" t="n">
        <x:v>41</x:v>
      </x:c>
      <x:c r="H205" t="str">
        <x:v>CQ-A03</x:v>
      </x:c>
      <x:c r="I205" s="36" t="str">
        <x:v>Welche dieser Aussagen stammt aus Markus 13?</x:v>
      </x:c>
      <x:c r="J205" s="36" t="str"/>
      <x:c r="K205" s="36" t="str"/>
      <x:c r="L205" s="36" t="str">
        <x:v>REPO_VERIFIZIERT_FRAGEFORM</x:v>
      </x:c>
      <x:c r="M205" s="36" t="str">
        <x:v>ERSETZEN</x:v>
      </x:c>
      <x:c r="N205" s="36" t="str">
        <x:v>REPETITIVE_FRAGEFORM</x:v>
      </x:c>
      <x:c r="O205" s="36" t="str">
        <x:v>REINE_WIEDERERKENNUNG</x:v>
      </x:c>
      <x:c r="P205" s="36" t="str">
        <x:v>TEXTGENAUIGKEIT</x:v>
      </x:c>
      <x:c r="Q205" s="36" t="str">
        <x:v>Wer kennt nach Jesu Aussage den Tag oder die Stunde?</x:v>
      </x:c>
      <x:c r="R205" s="36" t="str">
        <x:v>Die Engel im Himmel.</x:v>
      </x:c>
      <x:c r="S205" s="36" t="str">
        <x:v>Der Sohn allein.</x:v>
      </x:c>
      <x:c r="T205" s="36" t="str">
        <x:v>Petrus und Johannes.</x:v>
      </x:c>
      <x:c r="U205" s="36" t="str">
        <x:v>Nur der Vater.</x:v>
      </x:c>
      <x:c r="V205" s="36" t="n">
        <x:v>3</x:v>
      </x:c>
      <x:c r="W205" s="36" t="str">
        <x:v>Nur der Vater.</x:v>
      </x:c>
      <x:c r="X205" s="36" t="str">
        <x:v>Markus 13,32</x:v>
      </x:c>
      <x:c r="Y205" s="36" t="str">
        <x:v>Jesus sagt, dass niemand den Zeitpunkt kennt – auch nicht die Engel oder der Sohn –, sondern nur der Vater.</x:v>
      </x:c>
      <x:c r="Z205" s="36" t="str">
        <x:v>JA</x:v>
      </x:c>
      <x:c r="AA205" s="36" t="str">
        <x:v>JA</x:v>
      </x:c>
      <x:c r="AB205" s="36" t="str">
        <x:v>JA</x:v>
      </x:c>
      <x:c r="AC205" s="36" t="str">
        <x:v>JA</x:v>
      </x:c>
      <x:c r="AD205" s="36" t="str">
        <x:v>JA</x:v>
      </x:c>
      <x:c r="AE205" s="36" t="str">
        <x:v>JA</x:v>
      </x:c>
      <x:c r="AF205" s="36" t="str">
        <x:v>JA</x:v>
      </x:c>
      <x:c r="AG205" s="36" t="str">
        <x:v>FREIGEGEBEN</x:v>
      </x:c>
      <x:c r="AH205" s="36" t="str">
        <x:v>GPT-5.6 Sol · Buchprüfung Markus · L1912/OTB</x:v>
      </x:c>
      <x:c r="AI205" s="36" t="str">
        <x:v>FREIGEGEBEN</x:v>
      </x:c>
      <x:c r="AJ205" s="36" t="str">
        <x:v>Markus 13: repetitive Wiedererkennungsfrage durch TEXTGENAUIGKEIT-Frage ersetzt.</x:v>
      </x:c>
      <x:c r="AK205" s="36" t="str">
        <x:v>FaithPath repo develop/v4 · data/bibles/l1912/MRK.json · data/bibles/otb/MRK.json</x:v>
      </x:c>
      <x:c r="AL205" t="str">
        <x:v>JA</x:v>
      </x:c>
    </x:row>
    <x:row r="206">
      <x:c r="A206" t="str">
        <x:v>FP-0465</x:v>
      </x:c>
      <x:c r="B206" t="str">
        <x:v>MRK</x:v>
      </x:c>
      <x:c r="C206" t="str">
        <x:v>Markus</x:v>
      </x:c>
      <x:c r="D206" t="n">
        <x:v>13</x:v>
      </x:c>
      <x:c r="E206" t="n">
        <x:v>5</x:v>
      </x:c>
      <x:c r="F206" t="str">
        <x:v>MRK-013</x:v>
      </x:c>
      <x:c r="G206" t="n">
        <x:v>41</x:v>
      </x:c>
      <x:c r="H206" t="str">
        <x:v>CQ-A03</x:v>
      </x:c>
      <x:c r="I206" s="36" t="str">
        <x:v>Welche dieser Aussagen stammt aus Markus 13?</x:v>
      </x:c>
      <x:c r="J206" s="36" t="str"/>
      <x:c r="K206" s="36" t="str"/>
      <x:c r="L206" s="36" t="str">
        <x:v>REPO_VERIFIZIERT_FRAGEFORM</x:v>
      </x:c>
      <x:c r="M206" s="36" t="str">
        <x:v>ERSETZEN</x:v>
      </x:c>
      <x:c r="N206" s="36" t="str">
        <x:v>REPETITIVE_FRAGEFORM</x:v>
      </x:c>
      <x:c r="O206" s="36" t="str">
        <x:v>REINE_WIEDERERKENNUNG</x:v>
      </x:c>
      <x:c r="P206" s="36" t="str">
        <x:v>KERNAUSSAGE</x:v>
      </x:c>
      <x:c r="Q206" s="36" t="str">
        <x:v>Welche Haltung fordert Jesus am Ende der Rede?</x:v>
      </x:c>
      <x:c r="R206" s="36" t="str">
        <x:v>Wacht, weil ihr nicht wisst, wann der Herr des Hauses kommt.</x:v>
      </x:c>
      <x:c r="S206" s="36" t="str">
        <x:v>Berechnet den genauen Tag.</x:v>
      </x:c>
      <x:c r="T206" s="36" t="str">
        <x:v>Schlaft, bis ein Zeichen erscheint.</x:v>
      </x:c>
      <x:c r="U206" s="36" t="str">
        <x:v>Verlasst alle Häuser.</x:v>
      </x:c>
      <x:c r="V206" s="36" t="n">
        <x:v>0</x:v>
      </x:c>
      <x:c r="W206" s="36" t="str">
        <x:v>Wacht, weil ihr nicht wisst, wann der Herr des Hauses kommt.</x:v>
      </x:c>
      <x:c r="X206" s="36" t="str">
        <x:v>Markus 13,33–37</x:v>
      </x:c>
      <x:c r="Y206" s="36" t="str">
        <x:v>Die Schlussaufforderung lautet, wachsam zu bleiben, weil der Zeitpunkt der Rückkehr unbekannt ist.</x:v>
      </x:c>
      <x:c r="Z206" s="36" t="str">
        <x:v>JA</x:v>
      </x:c>
      <x:c r="AA206" s="36" t="str">
        <x:v>JA</x:v>
      </x:c>
      <x:c r="AB206" s="36" t="str">
        <x:v>JA</x:v>
      </x:c>
      <x:c r="AC206" s="36" t="str">
        <x:v>JA</x:v>
      </x:c>
      <x:c r="AD206" s="36" t="str">
        <x:v>JA</x:v>
      </x:c>
      <x:c r="AE206" s="36" t="str">
        <x:v>JA</x:v>
      </x:c>
      <x:c r="AF206" s="36" t="str">
        <x:v>JA</x:v>
      </x:c>
      <x:c r="AG206" s="36" t="str">
        <x:v>FREIGEGEBEN</x:v>
      </x:c>
      <x:c r="AH206" s="36" t="str">
        <x:v>GPT-5.6 Sol · Buchprüfung Markus · L1912/OTB</x:v>
      </x:c>
      <x:c r="AI206" s="36" t="str">
        <x:v>FREIGEGEBEN</x:v>
      </x:c>
      <x:c r="AJ206" s="36" t="str">
        <x:v>Markus 13: repetitive Wiedererkennungsfrage durch KERNAUSSAGE-Frage ersetzt.</x:v>
      </x:c>
      <x:c r="AK206" s="36" t="str">
        <x:v>FaithPath repo develop/v4 · data/bibles/l1912/MRK.json · data/bibles/otb/MRK.json</x:v>
      </x:c>
      <x:c r="AL206" t="str">
        <x:v>JA</x:v>
      </x:c>
    </x:row>
    <x:row r="207">
      <x:c r="A207" t="str">
        <x:v>FP-0466</x:v>
      </x:c>
      <x:c r="B207" t="str">
        <x:v>MRK</x:v>
      </x:c>
      <x:c r="C207" t="str">
        <x:v>Markus</x:v>
      </x:c>
      <x:c r="D207" t="n">
        <x:v>14</x:v>
      </x:c>
      <x:c r="E207" t="n">
        <x:v>1</x:v>
      </x:c>
      <x:c r="F207" t="str">
        <x:v>MRK-014</x:v>
      </x:c>
      <x:c r="G207" t="n">
        <x:v>42</x:v>
      </x:c>
      <x:c r="H207" t="str">
        <x:v>CQ-A03</x:v>
      </x:c>
      <x:c r="I207" s="36" t="str">
        <x:v>Welche dieser Aussagen stammt aus Markus 14?</x:v>
      </x:c>
      <x:c r="J207" s="36" t="str"/>
      <x:c r="K207" s="36" t="str"/>
      <x:c r="L207" s="36" t="str">
        <x:v>REPO_VERIFIZIERT_FRAGEFORM</x:v>
      </x:c>
      <x:c r="M207" s="36" t="str">
        <x:v>ERSETZEN</x:v>
      </x:c>
      <x:c r="N207" s="36" t="str">
        <x:v>REPETITIVE_FRAGEFORM</x:v>
      </x:c>
      <x:c r="O207" s="36" t="str">
        <x:v>REINE_WIEDERERKENNUNG</x:v>
      </x:c>
      <x:c r="P207" s="36" t="str">
        <x:v>ZUSAMMENHANG</x:v>
      </x:c>
      <x:c r="Q207" s="36" t="str">
        <x:v>Wie deutet Jesus die Salbung mit dem kostbaren Öl in Bethanien?</x:v>
      </x:c>
      <x:c r="R207" s="36" t="str">
        <x:v>Als Zeichen für seine Königskrönung durch Rom.</x:v>
      </x:c>
      <x:c r="S207" s="36" t="str">
        <x:v>Als Vorbereitung auf sein Begräbnis.</x:v>
      </x:c>
      <x:c r="T207" s="36" t="str">
        <x:v>Als Bezahlung der Jünger.</x:v>
      </x:c>
      <x:c r="U207" s="36" t="str">
        <x:v>Als Beginn eines neuen Tempelrituals.</x:v>
      </x:c>
      <x:c r="V207" s="36" t="n">
        <x:v>1</x:v>
      </x:c>
      <x:c r="W207" s="36" t="str">
        <x:v>Als Vorbereitung auf sein Begräbnis.</x:v>
      </x:c>
      <x:c r="X207" s="36" t="str">
        <x:v>Markus 14,3–9</x:v>
      </x:c>
      <x:c r="Y207" s="36" t="str">
        <x:v>Jesus verteidigt die Frau und deutet ihre Handlung als vorweggenommene Salbung für sein Begräbnis.</x:v>
      </x:c>
      <x:c r="Z207" s="36" t="str">
        <x:v>JA</x:v>
      </x:c>
      <x:c r="AA207" s="36" t="str">
        <x:v>JA</x:v>
      </x:c>
      <x:c r="AB207" s="36" t="str">
        <x:v>JA</x:v>
      </x:c>
      <x:c r="AC207" s="36" t="str">
        <x:v>JA</x:v>
      </x:c>
      <x:c r="AD207" s="36" t="str">
        <x:v>JA</x:v>
      </x:c>
      <x:c r="AE207" s="36" t="str">
        <x:v>JA</x:v>
      </x:c>
      <x:c r="AF207" s="36" t="str">
        <x:v>JA</x:v>
      </x:c>
      <x:c r="AG207" s="36" t="str">
        <x:v>FREIGEGEBEN</x:v>
      </x:c>
      <x:c r="AH207" s="36" t="str">
        <x:v>GPT-5.6 Sol · Buchprüfung Markus · L1912/OTB</x:v>
      </x:c>
      <x:c r="AI207" s="36" t="str">
        <x:v>FREIGEGEBEN</x:v>
      </x:c>
      <x:c r="AJ207" s="36" t="str">
        <x:v>Markus 14: repetitive Wiedererkennungsfrage durch ZUSAMMENHANG-Frage ersetzt.</x:v>
      </x:c>
      <x:c r="AK207" s="36" t="str">
        <x:v>FaithPath repo develop/v4 · data/bibles/l1912/MRK.json · data/bibles/otb/MRK.json</x:v>
      </x:c>
      <x:c r="AL207" t="str">
        <x:v>JA</x:v>
      </x:c>
    </x:row>
    <x:row r="208">
      <x:c r="A208" t="str">
        <x:v>FP-0467</x:v>
      </x:c>
      <x:c r="B208" t="str">
        <x:v>MRK</x:v>
      </x:c>
      <x:c r="C208" t="str">
        <x:v>Markus</x:v>
      </x:c>
      <x:c r="D208" t="n">
        <x:v>14</x:v>
      </x:c>
      <x:c r="E208" t="n">
        <x:v>2</x:v>
      </x:c>
      <x:c r="F208" t="str">
        <x:v>MRK-014</x:v>
      </x:c>
      <x:c r="G208" t="n">
        <x:v>42</x:v>
      </x:c>
      <x:c r="H208" t="str">
        <x:v>CQ-A03</x:v>
      </x:c>
      <x:c r="I208" s="36" t="str">
        <x:v>Welche dieser Aussagen stammt aus Markus 14?</x:v>
      </x:c>
      <x:c r="J208" s="36" t="str"/>
      <x:c r="K208" s="36" t="str"/>
      <x:c r="L208" s="36" t="str">
        <x:v>REPO_VERIFIZIERT_FRAGEFORM</x:v>
      </x:c>
      <x:c r="M208" s="36" t="str">
        <x:v>ERSETZEN</x:v>
      </x:c>
      <x:c r="N208" s="36" t="str">
        <x:v>REPETITIVE_FRAGEFORM</x:v>
      </x:c>
      <x:c r="O208" s="36" t="str">
        <x:v>REINE_WIEDERERKENNUNG</x:v>
      </x:c>
      <x:c r="P208" s="36" t="str">
        <x:v>GESCHEHEN</x:v>
      </x:c>
      <x:c r="Q208" s="36" t="str">
        <x:v>Was tut Judas Iskariot nach der Salbung in Bethanien?</x:v>
      </x:c>
      <x:c r="R208" s="36" t="str">
        <x:v>Er verlässt Jerusalem dauerhaft.</x:v>
      </x:c>
      <x:c r="S208" s="36" t="str">
        <x:v>Er warnt Jesus vor der Gefangennahme.</x:v>
      </x:c>
      <x:c r="T208" s="36" t="str">
        <x:v>Er geht zu den Hohenpriestern, um Jesus zu verraten.</x:v>
      </x:c>
      <x:c r="U208" s="36" t="str">
        <x:v>Er gibt sein Geld den Armen.</x:v>
      </x:c>
      <x:c r="V208" s="36" t="n">
        <x:v>2</x:v>
      </x:c>
      <x:c r="W208" s="36" t="str">
        <x:v>Er geht zu den Hohenpriestern, um Jesus zu verraten.</x:v>
      </x:c>
      <x:c r="X208" s="36" t="str">
        <x:v>Markus 14,10–11</x:v>
      </x:c>
      <x:c r="Y208" s="36" t="str">
        <x:v>Judas sucht die Hohenpriester auf, um Jesus auszuliefern; sie freuen sich und versprechen ihm Geld.</x:v>
      </x:c>
      <x:c r="Z208" s="36" t="str">
        <x:v>JA</x:v>
      </x:c>
      <x:c r="AA208" s="36" t="str">
        <x:v>JA</x:v>
      </x:c>
      <x:c r="AB208" s="36" t="str">
        <x:v>JA</x:v>
      </x:c>
      <x:c r="AC208" s="36" t="str">
        <x:v>JA</x:v>
      </x:c>
      <x:c r="AD208" s="36" t="str">
        <x:v>JA</x:v>
      </x:c>
      <x:c r="AE208" s="36" t="str">
        <x:v>JA</x:v>
      </x:c>
      <x:c r="AF208" s="36" t="str">
        <x:v>JA</x:v>
      </x:c>
      <x:c r="AG208" s="36" t="str">
        <x:v>FREIGEGEBEN</x:v>
      </x:c>
      <x:c r="AH208" s="36" t="str">
        <x:v>GPT-5.6 Sol · Buchprüfung Markus · L1912/OTB</x:v>
      </x:c>
      <x:c r="AI208" s="36" t="str">
        <x:v>FREIGEGEBEN</x:v>
      </x:c>
      <x:c r="AJ208" s="36" t="str">
        <x:v>Markus 14: repetitive Wiedererkennungsfrage durch GESCHEHEN-Frage ersetzt.</x:v>
      </x:c>
      <x:c r="AK208" s="36" t="str">
        <x:v>FaithPath repo develop/v4 · data/bibles/l1912/MRK.json · data/bibles/otb/MRK.json</x:v>
      </x:c>
      <x:c r="AL208" t="str">
        <x:v>JA</x:v>
      </x:c>
    </x:row>
    <x:row r="209">
      <x:c r="A209" t="str">
        <x:v>FP-0468</x:v>
      </x:c>
      <x:c r="B209" t="str">
        <x:v>MRK</x:v>
      </x:c>
      <x:c r="C209" t="str">
        <x:v>Markus</x:v>
      </x:c>
      <x:c r="D209" t="n">
        <x:v>14</x:v>
      </x:c>
      <x:c r="E209" t="n">
        <x:v>3</x:v>
      </x:c>
      <x:c r="F209" t="str">
        <x:v>MRK-014</x:v>
      </x:c>
      <x:c r="G209" t="n">
        <x:v>42</x:v>
      </x:c>
      <x:c r="H209" t="str">
        <x:v>CQ-A03</x:v>
      </x:c>
      <x:c r="I209" s="36" t="str">
        <x:v>Welche dieser Aussagen stammt aus Markus 14?</x:v>
      </x:c>
      <x:c r="J209" s="36" t="str"/>
      <x:c r="K209" s="36" t="str"/>
      <x:c r="L209" s="36" t="str">
        <x:v>REPO_VERIFIZIERT_FRAGEFORM</x:v>
      </x:c>
      <x:c r="M209" s="36" t="str">
        <x:v>ERSETZEN</x:v>
      </x:c>
      <x:c r="N209" s="36" t="str">
        <x:v>REPETITIVE_FRAGEFORM</x:v>
      </x:c>
      <x:c r="O209" s="36" t="str">
        <x:v>REINE_WIEDERERKENNUNG</x:v>
      </x:c>
      <x:c r="P209" s="36" t="str">
        <x:v>KERNAUSSAGE</x:v>
      </x:c>
      <x:c r="Q209" s="36" t="str">
        <x:v>Wie deutet Jesus Brot und Kelch beim Mahl mit den Jüngern?</x:v>
      </x:c>
      <x:c r="R209" s="36" t="str">
        <x:v>Beides nur als Erinnerung an Mose.</x:v>
      </x:c>
      <x:c r="S209" s="36" t="str">
        <x:v>Das Brot als Tempel und den Kelch als Jordan.</x:v>
      </x:c>
      <x:c r="T209" s="36" t="str">
        <x:v>Beides als Zeichen für politischen Sieg.</x:v>
      </x:c>
      <x:c r="U209" s="36" t="str">
        <x:v>Das Brot als seinen Leib und den Kelch als sein Bundesblut, das für viele vergossen wird.</x:v>
      </x:c>
      <x:c r="V209" s="36" t="n">
        <x:v>3</x:v>
      </x:c>
      <x:c r="W209" s="36" t="str">
        <x:v>Das Brot als seinen Leib und den Kelch als sein Bundesblut, das für viele vergossen wird.</x:v>
      </x:c>
      <x:c r="X209" s="36" t="str">
        <x:v>Markus 14,22–25</x:v>
      </x:c>
      <x:c r="Y209" s="36" t="str">
        <x:v>Jesus verbindet Brot und Kelch mit seinem Leib und seinem für viele vergossenen Bundesblut.</x:v>
      </x:c>
      <x:c r="Z209" s="36" t="str">
        <x:v>JA</x:v>
      </x:c>
      <x:c r="AA209" s="36" t="str">
        <x:v>JA</x:v>
      </x:c>
      <x:c r="AB209" s="36" t="str">
        <x:v>JA</x:v>
      </x:c>
      <x:c r="AC209" s="36" t="str">
        <x:v>JA</x:v>
      </x:c>
      <x:c r="AD209" s="36" t="str">
        <x:v>JA</x:v>
      </x:c>
      <x:c r="AE209" s="36" t="str">
        <x:v>JA</x:v>
      </x:c>
      <x:c r="AF209" s="36" t="str">
        <x:v>JA</x:v>
      </x:c>
      <x:c r="AG209" s="36" t="str">
        <x:v>FREIGEGEBEN</x:v>
      </x:c>
      <x:c r="AH209" s="36" t="str">
        <x:v>GPT-5.6 Sol · Buchprüfung Markus · L1912/OTB</x:v>
      </x:c>
      <x:c r="AI209" s="36" t="str">
        <x:v>FREIGEGEBEN</x:v>
      </x:c>
      <x:c r="AJ209" s="36" t="str">
        <x:v>Markus 14: repetitive Wiedererkennungsfrage durch KERNAUSSAGE-Frage ersetzt.</x:v>
      </x:c>
      <x:c r="AK209" s="36" t="str">
        <x:v>FaithPath repo develop/v4 · data/bibles/l1912/MRK.json · data/bibles/otb/MRK.json</x:v>
      </x:c>
      <x:c r="AL209" t="str">
        <x:v>JA</x:v>
      </x:c>
    </x:row>
    <x:row r="210">
      <x:c r="A210" t="str">
        <x:v>FP-0469</x:v>
      </x:c>
      <x:c r="B210" t="str">
        <x:v>MRK</x:v>
      </x:c>
      <x:c r="C210" t="str">
        <x:v>Markus</x:v>
      </x:c>
      <x:c r="D210" t="n">
        <x:v>14</x:v>
      </x:c>
      <x:c r="E210" t="n">
        <x:v>4</x:v>
      </x:c>
      <x:c r="F210" t="str">
        <x:v>MRK-014</x:v>
      </x:c>
      <x:c r="G210" t="n">
        <x:v>42</x:v>
      </x:c>
      <x:c r="H210" t="str">
        <x:v>CQ-A03</x:v>
      </x:c>
      <x:c r="I210" s="36" t="str">
        <x:v>Welche dieser Aussagen stammt aus Markus 14?</x:v>
      </x:c>
      <x:c r="J210" s="36" t="str"/>
      <x:c r="K210" s="36" t="str"/>
      <x:c r="L210" s="36" t="str">
        <x:v>REPO_VERIFIZIERT_FRAGEFORM</x:v>
      </x:c>
      <x:c r="M210" s="36" t="str">
        <x:v>ERSETZEN</x:v>
      </x:c>
      <x:c r="N210" s="36" t="str">
        <x:v>REPETITIVE_FRAGEFORM</x:v>
      </x:c>
      <x:c r="O210" s="36" t="str">
        <x:v>REINE_WIEDERERKENNUNG</x:v>
      </x:c>
      <x:c r="P210" s="36" t="str">
        <x:v>PERSON_AUSSAGE</x:v>
      </x:c>
      <x:c r="Q210" s="36" t="str">
        <x:v>Wie endet Jesu Bitte im Gebet in Gethsemane?</x:v>
      </x:c>
      <x:c r="R210" s="36" t="str">
        <x:v>Nicht was ich will, sondern was du willst.</x:v>
      </x:c>
      <x:c r="S210" s="36" t="str">
        <x:v>Ich werde Jerusalem verlassen.</x:v>
      </x:c>
      <x:c r="T210" s="36" t="str">
        <x:v>Die Jünger sollen für mich entscheiden.</x:v>
      </x:c>
      <x:c r="U210" s="36" t="str">
        <x:v>Es soll nur mein Wille geschehen.</x:v>
      </x:c>
      <x:c r="V210" s="36" t="n">
        <x:v>0</x:v>
      </x:c>
      <x:c r="W210" s="36" t="str">
        <x:v>Nicht was ich will, sondern was du willst.</x:v>
      </x:c>
      <x:c r="X210" s="36" t="str">
        <x:v>Markus 14,32–36</x:v>
      </x:c>
      <x:c r="Y210" s="36" t="str">
        <x:v>Jesus bringt seinen Wunsch vor den Vater, ordnet ihn aber dem Willen des Vaters unter.</x:v>
      </x:c>
      <x:c r="Z210" s="36" t="str">
        <x:v>JA</x:v>
      </x:c>
      <x:c r="AA210" s="36" t="str">
        <x:v>JA</x:v>
      </x:c>
      <x:c r="AB210" s="36" t="str">
        <x:v>JA</x:v>
      </x:c>
      <x:c r="AC210" s="36" t="str">
        <x:v>JA</x:v>
      </x:c>
      <x:c r="AD210" s="36" t="str">
        <x:v>JA</x:v>
      </x:c>
      <x:c r="AE210" s="36" t="str">
        <x:v>JA</x:v>
      </x:c>
      <x:c r="AF210" s="36" t="str">
        <x:v>JA</x:v>
      </x:c>
      <x:c r="AG210" s="36" t="str">
        <x:v>FREIGEGEBEN</x:v>
      </x:c>
      <x:c r="AH210" s="36" t="str">
        <x:v>GPT-5.6 Sol · Buchprüfung Markus · L1912/OTB</x:v>
      </x:c>
      <x:c r="AI210" s="36" t="str">
        <x:v>FREIGEGEBEN</x:v>
      </x:c>
      <x:c r="AJ210" s="36" t="str">
        <x:v>Markus 14: repetitive Wiedererkennungsfrage durch PERSON_AUSSAGE-Frage ersetzt.</x:v>
      </x:c>
      <x:c r="AK210" s="36" t="str">
        <x:v>FaithPath repo develop/v4 · data/bibles/l1912/MRK.json · data/bibles/otb/MRK.json</x:v>
      </x:c>
      <x:c r="AL210" t="str">
        <x:v>JA</x:v>
      </x:c>
    </x:row>
    <x:row r="211">
      <x:c r="A211" t="str">
        <x:v>FP-0470</x:v>
      </x:c>
      <x:c r="B211" t="str">
        <x:v>MRK</x:v>
      </x:c>
      <x:c r="C211" t="str">
        <x:v>Markus</x:v>
      </x:c>
      <x:c r="D211" t="n">
        <x:v>14</x:v>
      </x:c>
      <x:c r="E211" t="n">
        <x:v>5</x:v>
      </x:c>
      <x:c r="F211" t="str">
        <x:v>MRK-014</x:v>
      </x:c>
      <x:c r="G211" t="n">
        <x:v>42</x:v>
      </x:c>
      <x:c r="H211" t="str">
        <x:v>CQ-A03</x:v>
      </x:c>
      <x:c r="I211" s="36" t="str">
        <x:v>Welche dieser Aussagen stammt aus Markus 14?</x:v>
      </x:c>
      <x:c r="J211" s="36" t="str"/>
      <x:c r="K211" s="36" t="str"/>
      <x:c r="L211" s="36" t="str">
        <x:v>REPO_VERIFIZIERT_FRAGEFORM</x:v>
      </x:c>
      <x:c r="M211" s="36" t="str">
        <x:v>ERSETZEN</x:v>
      </x:c>
      <x:c r="N211" s="36" t="str">
        <x:v>REPETITIVE_FRAGEFORM</x:v>
      </x:c>
      <x:c r="O211" s="36" t="str">
        <x:v>REINE_WIEDERERKENNUNG</x:v>
      </x:c>
      <x:c r="P211" s="36" t="str">
        <x:v>GESCHEHEN</x:v>
      </x:c>
      <x:c r="Q211" s="36" t="str">
        <x:v>Was geschieht, nachdem Petrus Jesus zum dritten Mal verleugnet hat?</x:v>
      </x:c>
      <x:c r="R211" s="36" t="str">
        <x:v>Petrus wird sofort verhaftet.</x:v>
      </x:c>
      <x:c r="S211" s="36" t="str">
        <x:v>Der Hahn kräht zum zweiten Mal, Petrus erinnert sich an Jesu Wort und weint.</x:v>
      </x:c>
      <x:c r="T211" s="36" t="str">
        <x:v>Jesus erscheint ihm allein.</x:v>
      </x:c>
      <x:c r="U211" s="36" t="str">
        <x:v>Petrus verlässt das Land.</x:v>
      </x:c>
      <x:c r="V211" s="36" t="n">
        <x:v>1</x:v>
      </x:c>
      <x:c r="W211" s="36" t="str">
        <x:v>Der Hahn kräht zum zweiten Mal, Petrus erinnert sich an Jesu Wort und weint.</x:v>
      </x:c>
      <x:c r="X211" s="36" t="str">
        <x:v>Markus 14,66–72</x:v>
      </x:c>
      <x:c r="Y211" s="36" t="str">
        <x:v>Nach der dritten Verleugnung kräht der Hahn zum zweiten Mal. Petrus erinnert sich an Jesu Ankündigung und bricht in Tränen aus.</x:v>
      </x:c>
      <x:c r="Z211" s="36" t="str">
        <x:v>JA</x:v>
      </x:c>
      <x:c r="AA211" s="36" t="str">
        <x:v>JA</x:v>
      </x:c>
      <x:c r="AB211" s="36" t="str">
        <x:v>JA</x:v>
      </x:c>
      <x:c r="AC211" s="36" t="str">
        <x:v>JA</x:v>
      </x:c>
      <x:c r="AD211" s="36" t="str">
        <x:v>JA</x:v>
      </x:c>
      <x:c r="AE211" s="36" t="str">
        <x:v>JA</x:v>
      </x:c>
      <x:c r="AF211" s="36" t="str">
        <x:v>JA</x:v>
      </x:c>
      <x:c r="AG211" s="36" t="str">
        <x:v>FREIGEGEBEN</x:v>
      </x:c>
      <x:c r="AH211" s="36" t="str">
        <x:v>GPT-5.6 Sol · Buchprüfung Markus · L1912/OTB</x:v>
      </x:c>
      <x:c r="AI211" s="36" t="str">
        <x:v>FREIGEGEBEN</x:v>
      </x:c>
      <x:c r="AJ211" s="36" t="str">
        <x:v>Markus 14: repetitive Wiedererkennungsfrage durch GESCHEHEN-Frage ersetzt.</x:v>
      </x:c>
      <x:c r="AK211" s="36" t="str">
        <x:v>FaithPath repo develop/v4 · data/bibles/l1912/MRK.json · data/bibles/otb/MRK.json</x:v>
      </x:c>
      <x:c r="AL211" t="str">
        <x:v>JA</x:v>
      </x:c>
    </x:row>
    <x:row r="212">
      <x:c r="A212" t="str">
        <x:v>FP-0471</x:v>
      </x:c>
      <x:c r="B212" t="str">
        <x:v>MRK</x:v>
      </x:c>
      <x:c r="C212" t="str">
        <x:v>Markus</x:v>
      </x:c>
      <x:c r="D212" t="n">
        <x:v>15</x:v>
      </x:c>
      <x:c r="E212" t="n">
        <x:v>1</x:v>
      </x:c>
      <x:c r="F212" t="str">
        <x:v>MRK-015</x:v>
      </x:c>
      <x:c r="G212" t="n">
        <x:v>43</x:v>
      </x:c>
      <x:c r="H212" t="str">
        <x:v>CQ-A03</x:v>
      </x:c>
      <x:c r="I212" s="36" t="str">
        <x:v>Welche dieser Aussagen stammt aus Markus 15?</x:v>
      </x:c>
      <x:c r="J212" s="36" t="str"/>
      <x:c r="K212" s="36" t="str"/>
      <x:c r="L212" s="36" t="str">
        <x:v>REPO_VERIFIZIERT_FRAGEFORM</x:v>
      </x:c>
      <x:c r="M212" s="36" t="str">
        <x:v>ERSETZEN</x:v>
      </x:c>
      <x:c r="N212" s="36" t="str">
        <x:v>REPETITIVE_FRAGEFORM</x:v>
      </x:c>
      <x:c r="O212" s="36" t="str">
        <x:v>REINE_WIEDERERKENNUNG</x:v>
      </x:c>
      <x:c r="P212" s="36" t="str">
        <x:v>GESCHEHEN</x:v>
      </x:c>
      <x:c r="Q212" s="36" t="str">
        <x:v>Wen lässt Pilatus frei, während Jesus zur Kreuzigung übergeben wird?</x:v>
      </x:c>
      <x:c r="R212" s="36" t="str">
        <x:v>Simon von Kyrene.</x:v>
      </x:c>
      <x:c r="S212" s="36" t="str">
        <x:v>Josef von Arimathäa.</x:v>
      </x:c>
      <x:c r="T212" s="36" t="str">
        <x:v>Barabbas.</x:v>
      </x:c>
      <x:c r="U212" s="36" t="str">
        <x:v>Bartimäus.</x:v>
      </x:c>
      <x:c r="V212" s="36" t="n">
        <x:v>2</x:v>
      </x:c>
      <x:c r="W212" s="36" t="str">
        <x:v>Barabbas.</x:v>
      </x:c>
      <x:c r="X212" s="36" t="str">
        <x:v>Markus 15,6–15</x:v>
      </x:c>
      <x:c r="Y212" s="36" t="str">
        <x:v>Pilatus lässt Barabbas frei und übergibt Jesus nach der Geißelung zur Kreuzigung.</x:v>
      </x:c>
      <x:c r="Z212" s="36" t="str">
        <x:v>JA</x:v>
      </x:c>
      <x:c r="AA212" s="36" t="str">
        <x:v>JA</x:v>
      </x:c>
      <x:c r="AB212" s="36" t="str">
        <x:v>JA</x:v>
      </x:c>
      <x:c r="AC212" s="36" t="str">
        <x:v>JA</x:v>
      </x:c>
      <x:c r="AD212" s="36" t="str">
        <x:v>JA</x:v>
      </x:c>
      <x:c r="AE212" s="36" t="str">
        <x:v>JA</x:v>
      </x:c>
      <x:c r="AF212" s="36" t="str">
        <x:v>JA</x:v>
      </x:c>
      <x:c r="AG212" s="36" t="str">
        <x:v>FREIGEGEBEN</x:v>
      </x:c>
      <x:c r="AH212" s="36" t="str">
        <x:v>GPT-5.6 Sol · Buchprüfung Markus · L1912/OTB</x:v>
      </x:c>
      <x:c r="AI212" s="36" t="str">
        <x:v>FREIGEGEBEN</x:v>
      </x:c>
      <x:c r="AJ212" s="36" t="str">
        <x:v>Markus 15: repetitive Wiedererkennungsfrage durch GESCHEHEN-Frage ersetzt.</x:v>
      </x:c>
      <x:c r="AK212" s="36" t="str">
        <x:v>FaithPath repo develop/v4 · data/bibles/l1912/MRK.json · data/bibles/otb/MRK.json</x:v>
      </x:c>
      <x:c r="AL212" t="str">
        <x:v>JA</x:v>
      </x:c>
    </x:row>
    <x:row r="213">
      <x:c r="A213" t="str">
        <x:v>FP-0472</x:v>
      </x:c>
      <x:c r="B213" t="str">
        <x:v>MRK</x:v>
      </x:c>
      <x:c r="C213" t="str">
        <x:v>Markus</x:v>
      </x:c>
      <x:c r="D213" t="n">
        <x:v>15</x:v>
      </x:c>
      <x:c r="E213" t="n">
        <x:v>2</x:v>
      </x:c>
      <x:c r="F213" t="str">
        <x:v>MRK-015</x:v>
      </x:c>
      <x:c r="G213" t="n">
        <x:v>43</x:v>
      </x:c>
      <x:c r="H213" t="str">
        <x:v>CQ-A03</x:v>
      </x:c>
      <x:c r="I213" s="36" t="str">
        <x:v>Welche dieser Aussagen stammt aus Markus 15?</x:v>
      </x:c>
      <x:c r="J213" s="36" t="str"/>
      <x:c r="K213" s="36" t="str"/>
      <x:c r="L213" s="36" t="str">
        <x:v>REPO_VERIFIZIERT_FRAGEFORM</x:v>
      </x:c>
      <x:c r="M213" s="36" t="str">
        <x:v>ERSETZEN</x:v>
      </x:c>
      <x:c r="N213" s="36" t="str">
        <x:v>REPETITIVE_FRAGEFORM</x:v>
      </x:c>
      <x:c r="O213" s="36" t="str">
        <x:v>REINE_WIEDERERKENNUNG</x:v>
      </x:c>
      <x:c r="P213" s="36" t="str">
        <x:v>GESCHEHEN</x:v>
      </x:c>
      <x:c r="Q213" s="36" t="str">
        <x:v>Wie verspotten die Soldaten Jesus als „König der Juden“?</x:v>
      </x:c>
      <x:c r="R213" s="36" t="str">
        <x:v>Sie schenken ihm einen goldenen Thron.</x:v>
      </x:c>
      <x:c r="S213" s="36" t="str">
        <x:v>Sie führen ihn in den Tempel.</x:v>
      </x:c>
      <x:c r="T213" s="36" t="str">
        <x:v>Sie geben ihm eine Krone aus Olivenzweigen.</x:v>
      </x:c>
      <x:c r="U213" s="36" t="str">
        <x:v>Sie kleiden ihn in Purpur, setzen ihm eine Dornenkrone auf und huldigen ihm spöttisch.</x:v>
      </x:c>
      <x:c r="V213" s="36" t="n">
        <x:v>3</x:v>
      </x:c>
      <x:c r="W213" s="36" t="str">
        <x:v>Sie kleiden ihn in Purpur, setzen ihm eine Dornenkrone auf und huldigen ihm spöttisch.</x:v>
      </x:c>
      <x:c r="X213" s="36" t="str">
        <x:v>Markus 15,16–20</x:v>
      </x:c>
      <x:c r="Y213" s="36" t="str">
        <x:v>Die Soldaten inszenieren eine spöttische Königshuldigung mit Purpur, Dornenkrone und Schlägen.</x:v>
      </x:c>
      <x:c r="Z213" s="36" t="str">
        <x:v>JA</x:v>
      </x:c>
      <x:c r="AA213" s="36" t="str">
        <x:v>JA</x:v>
      </x:c>
      <x:c r="AB213" s="36" t="str">
        <x:v>JA</x:v>
      </x:c>
      <x:c r="AC213" s="36" t="str">
        <x:v>JA</x:v>
      </x:c>
      <x:c r="AD213" s="36" t="str">
        <x:v>JA</x:v>
      </x:c>
      <x:c r="AE213" s="36" t="str">
        <x:v>JA</x:v>
      </x:c>
      <x:c r="AF213" s="36" t="str">
        <x:v>JA</x:v>
      </x:c>
      <x:c r="AG213" s="36" t="str">
        <x:v>FREIGEGEBEN</x:v>
      </x:c>
      <x:c r="AH213" s="36" t="str">
        <x:v>GPT-5.6 Sol · Buchprüfung Markus · L1912/OTB</x:v>
      </x:c>
      <x:c r="AI213" s="36" t="str">
        <x:v>FREIGEGEBEN</x:v>
      </x:c>
      <x:c r="AJ213" s="36" t="str">
        <x:v>Markus 15: repetitive Wiedererkennungsfrage durch GESCHEHEN-Frage ersetzt.</x:v>
      </x:c>
      <x:c r="AK213" s="36" t="str">
        <x:v>FaithPath repo develop/v4 · data/bibles/l1912/MRK.json · data/bibles/otb/MRK.json</x:v>
      </x:c>
      <x:c r="AL213" t="str">
        <x:v>JA</x:v>
      </x:c>
    </x:row>
    <x:row r="214">
      <x:c r="A214" t="str">
        <x:v>FP-0473</x:v>
      </x:c>
      <x:c r="B214" t="str">
        <x:v>MRK</x:v>
      </x:c>
      <x:c r="C214" t="str">
        <x:v>Markus</x:v>
      </x:c>
      <x:c r="D214" t="n">
        <x:v>15</x:v>
      </x:c>
      <x:c r="E214" t="n">
        <x:v>3</x:v>
      </x:c>
      <x:c r="F214" t="str">
        <x:v>MRK-015</x:v>
      </x:c>
      <x:c r="G214" t="n">
        <x:v>43</x:v>
      </x:c>
      <x:c r="H214" t="str">
        <x:v>CQ-A03</x:v>
      </x:c>
      <x:c r="I214" s="36" t="str">
        <x:v>Welche dieser Aussagen stammt aus Markus 15?</x:v>
      </x:c>
      <x:c r="J214" s="36" t="str"/>
      <x:c r="K214" s="36" t="str"/>
      <x:c r="L214" s="36" t="str">
        <x:v>REPO_VERIFIZIERT_FRAGEFORM</x:v>
      </x:c>
      <x:c r="M214" s="36" t="str">
        <x:v>ERSETZEN</x:v>
      </x:c>
      <x:c r="N214" s="36" t="str">
        <x:v>REPETITIVE_FRAGEFORM</x:v>
      </x:c>
      <x:c r="O214" s="36" t="str">
        <x:v>REINE_WIEDERERKENNUNG</x:v>
      </x:c>
      <x:c r="P214" s="36" t="str">
        <x:v>DETAIL</x:v>
      </x:c>
      <x:c r="Q214" s="36" t="str">
        <x:v>Wer wird gezwungen, Jesu Kreuz zu tragen?</x:v>
      </x:c>
      <x:c r="R214" s="36" t="str">
        <x:v>Simon von Kyrene.</x:v>
      </x:c>
      <x:c r="S214" s="36" t="str">
        <x:v>Petrus.</x:v>
      </x:c>
      <x:c r="T214" s="36" t="str">
        <x:v>Judas Iskariot.</x:v>
      </x:c>
      <x:c r="U214" s="36" t="str">
        <x:v>Josef von Arimathäa.</x:v>
      </x:c>
      <x:c r="V214" s="36" t="n">
        <x:v>0</x:v>
      </x:c>
      <x:c r="W214" s="36" t="str">
        <x:v>Simon von Kyrene.</x:v>
      </x:c>
      <x:c r="X214" s="36" t="str">
        <x:v>Markus 15,21</x:v>
      </x:c>
      <x:c r="Y214" s="36" t="str">
        <x:v>Simon von Kyrene wird von den Soldaten gezwungen, das Kreuz zu tragen.</x:v>
      </x:c>
      <x:c r="Z214" s="36" t="str">
        <x:v>JA</x:v>
      </x:c>
      <x:c r="AA214" s="36" t="str">
        <x:v>JA</x:v>
      </x:c>
      <x:c r="AB214" s="36" t="str">
        <x:v>JA</x:v>
      </x:c>
      <x:c r="AC214" s="36" t="str">
        <x:v>JA</x:v>
      </x:c>
      <x:c r="AD214" s="36" t="str">
        <x:v>JA</x:v>
      </x:c>
      <x:c r="AE214" s="36" t="str">
        <x:v>JA</x:v>
      </x:c>
      <x:c r="AF214" s="36" t="str">
        <x:v>JA</x:v>
      </x:c>
      <x:c r="AG214" s="36" t="str">
        <x:v>FREIGEGEBEN</x:v>
      </x:c>
      <x:c r="AH214" s="36" t="str">
        <x:v>GPT-5.6 Sol · Buchprüfung Markus · L1912/OTB</x:v>
      </x:c>
      <x:c r="AI214" s="36" t="str">
        <x:v>FREIGEGEBEN</x:v>
      </x:c>
      <x:c r="AJ214" s="36" t="str">
        <x:v>Markus 15: repetitive Wiedererkennungsfrage durch DETAIL-Frage ersetzt.</x:v>
      </x:c>
      <x:c r="AK214" s="36" t="str">
        <x:v>FaithPath repo develop/v4 · data/bibles/l1912/MRK.json · data/bibles/otb/MRK.json</x:v>
      </x:c>
      <x:c r="AL214" t="str">
        <x:v>JA</x:v>
      </x:c>
    </x:row>
    <x:row r="215">
      <x:c r="A215" t="str">
        <x:v>FP-0474</x:v>
      </x:c>
      <x:c r="B215" t="str">
        <x:v>MRK</x:v>
      </x:c>
      <x:c r="C215" t="str">
        <x:v>Markus</x:v>
      </x:c>
      <x:c r="D215" t="n">
        <x:v>15</x:v>
      </x:c>
      <x:c r="E215" t="n">
        <x:v>4</x:v>
      </x:c>
      <x:c r="F215" t="str">
        <x:v>MRK-015</x:v>
      </x:c>
      <x:c r="G215" t="n">
        <x:v>43</x:v>
      </x:c>
      <x:c r="H215" t="str">
        <x:v>CQ-A03</x:v>
      </x:c>
      <x:c r="I215" s="36" t="str">
        <x:v>Welche dieser Aussagen stammt aus Markus 15?</x:v>
      </x:c>
      <x:c r="J215" s="36" t="str"/>
      <x:c r="K215" s="36" t="str"/>
      <x:c r="L215" s="36" t="str">
        <x:v>REPO_VERIFIZIERT_FRAGEFORM</x:v>
      </x:c>
      <x:c r="M215" s="36" t="str">
        <x:v>ERSETZEN</x:v>
      </x:c>
      <x:c r="N215" s="36" t="str">
        <x:v>REPETITIVE_FRAGEFORM</x:v>
      </x:c>
      <x:c r="O215" s="36" t="str">
        <x:v>REINE_WIEDERERKENNUNG</x:v>
      </x:c>
      <x:c r="P215" s="36" t="str">
        <x:v>KERNAUSSAGE</x:v>
      </x:c>
      <x:c r="Q215" s="36" t="str">
        <x:v>Was sagt der Hauptmann, nachdem Jesus gestorben ist?</x:v>
      </x:c>
      <x:c r="R215" s="36" t="str">
        <x:v>Dieser Mann war ein römischer Bürger.</x:v>
      </x:c>
      <x:c r="S215" s="36" t="str">
        <x:v>Wahrlich, dieser Mensch war Gottes Sohn.</x:v>
      </x:c>
      <x:c r="T215" s="36" t="str">
        <x:v>Er war nur ein gewöhnlicher Lehrer.</x:v>
      </x:c>
      <x:c r="U215" s="36" t="str">
        <x:v>Elia ist gekommen.</x:v>
      </x:c>
      <x:c r="V215" s="36" t="n">
        <x:v>1</x:v>
      </x:c>
      <x:c r="W215" s="36" t="str">
        <x:v>Wahrlich, dieser Mensch war Gottes Sohn.</x:v>
      </x:c>
      <x:c r="X215" s="36" t="str">
        <x:v>Markus 15,33–39</x:v>
      </x:c>
      <x:c r="Y215" s="36" t="str">
        <x:v>Der Hauptmann reagiert auf Jesu Tod mit dem Bekenntnis, dass dieser Mensch Gottes Sohn war.</x:v>
      </x:c>
      <x:c r="Z215" s="36" t="str">
        <x:v>JA</x:v>
      </x:c>
      <x:c r="AA215" s="36" t="str">
        <x:v>JA</x:v>
      </x:c>
      <x:c r="AB215" s="36" t="str">
        <x:v>JA</x:v>
      </x:c>
      <x:c r="AC215" s="36" t="str">
        <x:v>JA</x:v>
      </x:c>
      <x:c r="AD215" s="36" t="str">
        <x:v>JA</x:v>
      </x:c>
      <x:c r="AE215" s="36" t="str">
        <x:v>JA</x:v>
      </x:c>
      <x:c r="AF215" s="36" t="str">
        <x:v>JA</x:v>
      </x:c>
      <x:c r="AG215" s="36" t="str">
        <x:v>FREIGEGEBEN</x:v>
      </x:c>
      <x:c r="AH215" s="36" t="str">
        <x:v>GPT-5.6 Sol · Buchprüfung Markus · L1912/OTB</x:v>
      </x:c>
      <x:c r="AI215" s="36" t="str">
        <x:v>FREIGEGEBEN</x:v>
      </x:c>
      <x:c r="AJ215" s="36" t="str">
        <x:v>Markus 15: repetitive Wiedererkennungsfrage durch KERNAUSSAGE-Frage ersetzt.</x:v>
      </x:c>
      <x:c r="AK215" s="36" t="str">
        <x:v>FaithPath repo develop/v4 · data/bibles/l1912/MRK.json · data/bibles/otb/MRK.json</x:v>
      </x:c>
      <x:c r="AL215" t="str">
        <x:v>JA</x:v>
      </x:c>
    </x:row>
    <x:row r="216">
      <x:c r="A216" t="str">
        <x:v>FP-0475</x:v>
      </x:c>
      <x:c r="B216" t="str">
        <x:v>MRK</x:v>
      </x:c>
      <x:c r="C216" t="str">
        <x:v>Markus</x:v>
      </x:c>
      <x:c r="D216" t="n">
        <x:v>15</x:v>
      </x:c>
      <x:c r="E216" t="n">
        <x:v>5</x:v>
      </x:c>
      <x:c r="F216" t="str">
        <x:v>MRK-015</x:v>
      </x:c>
      <x:c r="G216" t="n">
        <x:v>43</x:v>
      </x:c>
      <x:c r="H216" t="str">
        <x:v>CQ-A03</x:v>
      </x:c>
      <x:c r="I216" s="36" t="str">
        <x:v>Welche dieser Aussagen stammt aus Markus 15?</x:v>
      </x:c>
      <x:c r="J216" s="36" t="str"/>
      <x:c r="K216" s="36" t="str"/>
      <x:c r="L216" s="36" t="str">
        <x:v>REPO_VERIFIZIERT_FRAGEFORM</x:v>
      </x:c>
      <x:c r="M216" s="36" t="str">
        <x:v>ERSETZEN</x:v>
      </x:c>
      <x:c r="N216" s="36" t="str">
        <x:v>REPETITIVE_FRAGEFORM</x:v>
      </x:c>
      <x:c r="O216" s="36" t="str">
        <x:v>REINE_WIEDERERKENNUNG</x:v>
      </x:c>
      <x:c r="P216" s="36" t="str">
        <x:v>GESCHEHEN</x:v>
      </x:c>
      <x:c r="Q216" s="36" t="str">
        <x:v>Wer bittet Pilatus um den Leichnam Jesu und legt ihn in ein Felsengrab?</x:v>
      </x:c>
      <x:c r="R216" s="36" t="str">
        <x:v>Nikodemus.</x:v>
      </x:c>
      <x:c r="S216" s="36" t="str">
        <x:v>Petrus.</x:v>
      </x:c>
      <x:c r="T216" s="36" t="str">
        <x:v>Josef von Arimathäa.</x:v>
      </x:c>
      <x:c r="U216" s="36" t="str">
        <x:v>Simon von Kyrene.</x:v>
      </x:c>
      <x:c r="V216" s="36" t="n">
        <x:v>2</x:v>
      </x:c>
      <x:c r="W216" s="36" t="str">
        <x:v>Josef von Arimathäa.</x:v>
      </x:c>
      <x:c r="X216" s="36" t="str">
        <x:v>Markus 15,42–47</x:v>
      </x:c>
      <x:c r="Y216" s="36" t="str">
        <x:v>Josef von Arimathäa bittet mutig um Jesu Leichnam, wickelt ihn in Leinen und legt ihn in ein Felsengrab.</x:v>
      </x:c>
      <x:c r="Z216" s="36" t="str">
        <x:v>JA</x:v>
      </x:c>
      <x:c r="AA216" s="36" t="str">
        <x:v>JA</x:v>
      </x:c>
      <x:c r="AB216" s="36" t="str">
        <x:v>JA</x:v>
      </x:c>
      <x:c r="AC216" s="36" t="str">
        <x:v>JA</x:v>
      </x:c>
      <x:c r="AD216" s="36" t="str">
        <x:v>JA</x:v>
      </x:c>
      <x:c r="AE216" s="36" t="str">
        <x:v>JA</x:v>
      </x:c>
      <x:c r="AF216" s="36" t="str">
        <x:v>JA</x:v>
      </x:c>
      <x:c r="AG216" s="36" t="str">
        <x:v>FREIGEGEBEN</x:v>
      </x:c>
      <x:c r="AH216" s="36" t="str">
        <x:v>GPT-5.6 Sol · Buchprüfung Markus · L1912/OTB</x:v>
      </x:c>
      <x:c r="AI216" s="36" t="str">
        <x:v>FREIGEGEBEN</x:v>
      </x:c>
      <x:c r="AJ216" s="36" t="str">
        <x:v>Markus 15: repetitive Wiedererkennungsfrage durch GESCHEHEN-Frage ersetzt.</x:v>
      </x:c>
      <x:c r="AK216" s="36" t="str">
        <x:v>FaithPath repo develop/v4 · data/bibles/l1912/MRK.json · data/bibles/otb/MRK.json</x:v>
      </x:c>
      <x:c r="AL216" t="str">
        <x:v>JA</x:v>
      </x:c>
    </x:row>
    <x:row r="217">
      <x:c r="A217" t="str">
        <x:v>FP-0476</x:v>
      </x:c>
      <x:c r="B217" t="str">
        <x:v>MRK</x:v>
      </x:c>
      <x:c r="C217" t="str">
        <x:v>Markus</x:v>
      </x:c>
      <x:c r="D217" t="n">
        <x:v>16</x:v>
      </x:c>
      <x:c r="E217" t="n">
        <x:v>1</x:v>
      </x:c>
      <x:c r="F217" t="str">
        <x:v>MRK-016</x:v>
      </x:c>
      <x:c r="G217" t="n">
        <x:v>44</x:v>
      </x:c>
      <x:c r="H217" t="str">
        <x:v>CQ-A03</x:v>
      </x:c>
      <x:c r="I217" s="36" t="str">
        <x:v>Welche dieser Aussagen stammt aus Markus 16?</x:v>
      </x:c>
      <x:c r="J217" s="36" t="str"/>
      <x:c r="K217" s="36" t="str"/>
      <x:c r="L217" s="36" t="str">
        <x:v>REPO_VERIFIZIERT_FRAGEFORM</x:v>
      </x:c>
      <x:c r="M217" s="36" t="str">
        <x:v>ERSETZEN</x:v>
      </x:c>
      <x:c r="N217" s="36" t="str">
        <x:v>REPETITIVE_FRAGEFORM</x:v>
      </x:c>
      <x:c r="O217" s="36" t="str">
        <x:v>REINE_WIEDERERKENNUNG</x:v>
      </x:c>
      <x:c r="P217" s="36" t="str">
        <x:v>GESCHEHEN</x:v>
      </x:c>
      <x:c r="Q217" s="36" t="str">
        <x:v>Welche Frauen kommen sehr früh am ersten Tag der Woche zum Grab?</x:v>
      </x:c>
      <x:c r="R217" s="36" t="str">
        <x:v>Martha, Maria und Elisabeth.</x:v>
      </x:c>
      <x:c r="S217" s="36" t="str">
        <x:v>Nur Maria Magdalena.</x:v>
      </x:c>
      <x:c r="T217" s="36" t="str">
        <x:v>Die Frau des Pilatus und Salome.</x:v>
      </x:c>
      <x:c r="U217" s="36" t="str">
        <x:v>Maria Magdalena, Maria die Mutter des Jakobus und Salome.</x:v>
      </x:c>
      <x:c r="V217" s="36" t="n">
        <x:v>3</x:v>
      </x:c>
      <x:c r="W217" s="36" t="str">
        <x:v>Maria Magdalena, Maria die Mutter des Jakobus und Salome.</x:v>
      </x:c>
      <x:c r="X217" s="36" t="str">
        <x:v>Markus 16,1–2</x:v>
      </x:c>
      <x:c r="Y217" s="36" t="str">
        <x:v>Markus nennt Maria Magdalena, Maria die Mutter des Jakobus und Salome.</x:v>
      </x:c>
      <x:c r="Z217" s="36" t="str">
        <x:v>JA</x:v>
      </x:c>
      <x:c r="AA217" s="36" t="str">
        <x:v>JA</x:v>
      </x:c>
      <x:c r="AB217" s="36" t="str">
        <x:v>JA</x:v>
      </x:c>
      <x:c r="AC217" s="36" t="str">
        <x:v>JA</x:v>
      </x:c>
      <x:c r="AD217" s="36" t="str">
        <x:v>JA</x:v>
      </x:c>
      <x:c r="AE217" s="36" t="str">
        <x:v>JA</x:v>
      </x:c>
      <x:c r="AF217" s="36" t="str">
        <x:v>JA</x:v>
      </x:c>
      <x:c r="AG217" s="36" t="str">
        <x:v>FREIGEGEBEN</x:v>
      </x:c>
      <x:c r="AH217" s="36" t="str">
        <x:v>GPT-5.6 Sol · Buchprüfung Markus · L1912/OTB</x:v>
      </x:c>
      <x:c r="AI217" s="36" t="str">
        <x:v>FREIGEGEBEN</x:v>
      </x:c>
      <x:c r="AJ217" s="36" t="str">
        <x:v>Markus 16: repetitive Wiedererkennungsfrage durch GESCHEHEN-Frage ersetzt.</x:v>
      </x:c>
      <x:c r="AK217" s="36" t="str">
        <x:v>FaithPath repo develop/v4 · data/bibles/l1912/MRK.json · data/bibles/otb/MRK.json</x:v>
      </x:c>
      <x:c r="AL217" t="str">
        <x:v>JA</x:v>
      </x:c>
    </x:row>
    <x:row r="218">
      <x:c r="A218" t="str">
        <x:v>FP-0477</x:v>
      </x:c>
      <x:c r="B218" t="str">
        <x:v>MRK</x:v>
      </x:c>
      <x:c r="C218" t="str">
        <x:v>Markus</x:v>
      </x:c>
      <x:c r="D218" t="n">
        <x:v>16</x:v>
      </x:c>
      <x:c r="E218" t="n">
        <x:v>2</x:v>
      </x:c>
      <x:c r="F218" t="str">
        <x:v>MRK-016</x:v>
      </x:c>
      <x:c r="G218" t="n">
        <x:v>44</x:v>
      </x:c>
      <x:c r="H218" t="str">
        <x:v>CQ-A03</x:v>
      </x:c>
      <x:c r="I218" s="36" t="str">
        <x:v>Welche dieser Aussagen stammt aus Markus 16?</x:v>
      </x:c>
      <x:c r="J218" s="36" t="str"/>
      <x:c r="K218" s="36" t="str"/>
      <x:c r="L218" s="36" t="str">
        <x:v>REPO_VERIFIZIERT_FRAGEFORM</x:v>
      </x:c>
      <x:c r="M218" s="36" t="str">
        <x:v>ERSETZEN</x:v>
      </x:c>
      <x:c r="N218" s="36" t="str">
        <x:v>REPETITIVE_FRAGEFORM</x:v>
      </x:c>
      <x:c r="O218" s="36" t="str">
        <x:v>REINE_WIEDERERKENNUNG</x:v>
      </x:c>
      <x:c r="P218" s="36" t="str">
        <x:v>DETAIL</x:v>
      </x:c>
      <x:c r="Q218" s="36" t="str">
        <x:v>Welche praktische Sorge haben die Frauen auf dem Weg zum Grab?</x:v>
      </x:c>
      <x:c r="R218" s="36" t="str">
        <x:v>Wer ihnen den großen Stein vom Eingang wegrollen wird.</x:v>
      </x:c>
      <x:c r="S218" s="36" t="str">
        <x:v>Ob der Tempel geöffnet ist.</x:v>
      </x:c>
      <x:c r="T218" s="36" t="str">
        <x:v>Ob Petrus schon dort wartet.</x:v>
      </x:c>
      <x:c r="U218" s="36" t="str">
        <x:v>Wo sie Wasser finden.</x:v>
      </x:c>
      <x:c r="V218" s="36" t="n">
        <x:v>0</x:v>
      </x:c>
      <x:c r="W218" s="36" t="str">
        <x:v>Wer ihnen den großen Stein vom Eingang wegrollen wird.</x:v>
      </x:c>
      <x:c r="X218" s="36" t="str">
        <x:v>Markus 16,3–4</x:v>
      </x:c>
      <x:c r="Y218" s="36" t="str">
        <x:v>Die Frauen fragen sich, wer den großen Stein wegrollen wird; beim Ankommen sehen sie, dass er bereits weggerollt ist.</x:v>
      </x:c>
      <x:c r="Z218" s="36" t="str">
        <x:v>JA</x:v>
      </x:c>
      <x:c r="AA218" s="36" t="str">
        <x:v>JA</x:v>
      </x:c>
      <x:c r="AB218" s="36" t="str">
        <x:v>JA</x:v>
      </x:c>
      <x:c r="AC218" s="36" t="str">
        <x:v>JA</x:v>
      </x:c>
      <x:c r="AD218" s="36" t="str">
        <x:v>JA</x:v>
      </x:c>
      <x:c r="AE218" s="36" t="str">
        <x:v>JA</x:v>
      </x:c>
      <x:c r="AF218" s="36" t="str">
        <x:v>JA</x:v>
      </x:c>
      <x:c r="AG218" s="36" t="str">
        <x:v>FREIGEGEBEN</x:v>
      </x:c>
      <x:c r="AH218" s="36" t="str">
        <x:v>GPT-5.6 Sol · Buchprüfung Markus · L1912/OTB</x:v>
      </x:c>
      <x:c r="AI218" s="36" t="str">
        <x:v>FREIGEGEBEN</x:v>
      </x:c>
      <x:c r="AJ218" s="36" t="str">
        <x:v>Markus 16: repetitive Wiedererkennungsfrage durch DETAIL-Frage ersetzt.</x:v>
      </x:c>
      <x:c r="AK218" s="36" t="str">
        <x:v>FaithPath repo develop/v4 · data/bibles/l1912/MRK.json · data/bibles/otb/MRK.json</x:v>
      </x:c>
      <x:c r="AL218" t="str">
        <x:v>JA</x:v>
      </x:c>
    </x:row>
    <x:row r="219">
      <x:c r="A219" t="str">
        <x:v>FP-0478</x:v>
      </x:c>
      <x:c r="B219" t="str">
        <x:v>MRK</x:v>
      </x:c>
      <x:c r="C219" t="str">
        <x:v>Markus</x:v>
      </x:c>
      <x:c r="D219" t="n">
        <x:v>16</x:v>
      </x:c>
      <x:c r="E219" t="n">
        <x:v>3</x:v>
      </x:c>
      <x:c r="F219" t="str">
        <x:v>MRK-016</x:v>
      </x:c>
      <x:c r="G219" t="n">
        <x:v>44</x:v>
      </x:c>
      <x:c r="H219" t="str">
        <x:v>CQ-A03</x:v>
      </x:c>
      <x:c r="I219" s="36" t="str">
        <x:v>Welche dieser Aussagen stammt aus Markus 16?</x:v>
      </x:c>
      <x:c r="J219" s="36" t="str"/>
      <x:c r="K219" s="36" t="str"/>
      <x:c r="L219" s="36" t="str">
        <x:v>REPO_VERIFIZIERT_FRAGEFORM</x:v>
      </x:c>
      <x:c r="M219" s="36" t="str">
        <x:v>ERSETZEN</x:v>
      </x:c>
      <x:c r="N219" s="36" t="str">
        <x:v>REPETITIVE_FRAGEFORM</x:v>
      </x:c>
      <x:c r="O219" s="36" t="str">
        <x:v>REINE_WIEDERERKENNUNG</x:v>
      </x:c>
      <x:c r="P219" s="36" t="str">
        <x:v>PERSON_AUSSAGE</x:v>
      </x:c>
      <x:c r="Q219" s="36" t="str">
        <x:v>Welche Botschaft gibt der junge Mann im Grab über Jesus?</x:v>
      </x:c>
      <x:c r="R219" s="36" t="str">
        <x:v>Er wurde nach Jerusalem gebracht.</x:v>
      </x:c>
      <x:c r="S219" s="36" t="str">
        <x:v>Er ist auferstanden; er ist nicht hier.</x:v>
      </x:c>
      <x:c r="T219" s="36" t="str">
        <x:v>Er ruht noch im Grab.</x:v>
      </x:c>
      <x:c r="U219" s="36" t="str">
        <x:v>Die Jünger sollen ihn suchen.</x:v>
      </x:c>
      <x:c r="V219" s="36" t="n">
        <x:v>1</x:v>
      </x:c>
      <x:c r="W219" s="36" t="str">
        <x:v>Er ist auferstanden; er ist nicht hier.</x:v>
      </x:c>
      <x:c r="X219" s="36" t="str">
        <x:v>Markus 16,5–6</x:v>
      </x:c>
      <x:c r="Y219" s="36" t="str">
        <x:v>Der junge Mann sagt den Frauen, dass Jesus, der Gekreuzigte, auferstanden und nicht mehr im Grab ist.</x:v>
      </x:c>
      <x:c r="Z219" s="36" t="str">
        <x:v>JA</x:v>
      </x:c>
      <x:c r="AA219" s="36" t="str">
        <x:v>JA</x:v>
      </x:c>
      <x:c r="AB219" s="36" t="str">
        <x:v>JA</x:v>
      </x:c>
      <x:c r="AC219" s="36" t="str">
        <x:v>JA</x:v>
      </x:c>
      <x:c r="AD219" s="36" t="str">
        <x:v>JA</x:v>
      </x:c>
      <x:c r="AE219" s="36" t="str">
        <x:v>JA</x:v>
      </x:c>
      <x:c r="AF219" s="36" t="str">
        <x:v>JA</x:v>
      </x:c>
      <x:c r="AG219" s="36" t="str">
        <x:v>FREIGEGEBEN</x:v>
      </x:c>
      <x:c r="AH219" s="36" t="str">
        <x:v>GPT-5.6 Sol · Buchprüfung Markus · L1912/OTB</x:v>
      </x:c>
      <x:c r="AI219" s="36" t="str">
        <x:v>FREIGEGEBEN</x:v>
      </x:c>
      <x:c r="AJ219" s="36" t="str">
        <x:v>Markus 16: repetitive Wiedererkennungsfrage durch PERSON_AUSSAGE-Frage ersetzt.</x:v>
      </x:c>
      <x:c r="AK219" s="36" t="str">
        <x:v>FaithPath repo develop/v4 · data/bibles/l1912/MRK.json · data/bibles/otb/MRK.json</x:v>
      </x:c>
      <x:c r="AL219" t="str">
        <x:v>JA</x:v>
      </x:c>
    </x:row>
    <x:row r="220">
      <x:c r="A220" t="str">
        <x:v>FP-0479</x:v>
      </x:c>
      <x:c r="B220" t="str">
        <x:v>MRK</x:v>
      </x:c>
      <x:c r="C220" t="str">
        <x:v>Markus</x:v>
      </x:c>
      <x:c r="D220" t="n">
        <x:v>16</x:v>
      </x:c>
      <x:c r="E220" t="n">
        <x:v>4</x:v>
      </x:c>
      <x:c r="F220" t="str">
        <x:v>MRK-016</x:v>
      </x:c>
      <x:c r="G220" t="n">
        <x:v>44</x:v>
      </x:c>
      <x:c r="H220" t="str">
        <x:v>CQ-A03</x:v>
      </x:c>
      <x:c r="I220" s="36" t="str">
        <x:v>Welche dieser Aussagen stammt aus Markus 16?</x:v>
      </x:c>
      <x:c r="J220" s="36" t="str"/>
      <x:c r="K220" s="36" t="str"/>
      <x:c r="L220" s="36" t="str">
        <x:v>REPO_VERIFIZIERT_FRAGEFORM</x:v>
      </x:c>
      <x:c r="M220" s="36" t="str">
        <x:v>ERSETZEN</x:v>
      </x:c>
      <x:c r="N220" s="36" t="str">
        <x:v>REPETITIVE_FRAGEFORM</x:v>
      </x:c>
      <x:c r="O220" s="36" t="str">
        <x:v>REINE_WIEDERERKENNUNG</x:v>
      </x:c>
      <x:c r="P220" s="36" t="str">
        <x:v>GESCHEHEN</x:v>
      </x:c>
      <x:c r="Q220" s="36" t="str">
        <x:v>Was sollen die Frauen den Jüngern und besonders Petrus ausrichten?</x:v>
      </x:c>
      <x:c r="R220" s="36" t="str">
        <x:v>Sie sollten im Tempel warten.</x:v>
      </x:c>
      <x:c r="S220" s="36" t="str">
        <x:v>Sie müssten sofort nach Ägypten fliehen.</x:v>
      </x:c>
      <x:c r="T220" s="36" t="str">
        <x:v>Jesus gehe ihnen nach Galiläa voraus; dort würden sie ihn sehen.</x:v>
      </x:c>
      <x:c r="U220" s="36" t="str">
        <x:v>Jesus werde nur in Jerusalem erscheinen.</x:v>
      </x:c>
      <x:c r="V220" s="36" t="n">
        <x:v>2</x:v>
      </x:c>
      <x:c r="W220" s="36" t="str">
        <x:v>Jesus gehe ihnen nach Galiläa voraus; dort würden sie ihn sehen.</x:v>
      </x:c>
      <x:c r="X220" s="36" t="str">
        <x:v>Markus 16,7</x:v>
      </x:c>
      <x:c r="Y220" s="36" t="str">
        <x:v>Die Frauen sollen den Jüngern und Petrus sagen, dass Jesus ihnen nach Galiläa vorausgeht.</x:v>
      </x:c>
      <x:c r="Z220" s="36" t="str">
        <x:v>JA</x:v>
      </x:c>
      <x:c r="AA220" s="36" t="str">
        <x:v>JA</x:v>
      </x:c>
      <x:c r="AB220" s="36" t="str">
        <x:v>JA</x:v>
      </x:c>
      <x:c r="AC220" s="36" t="str">
        <x:v>JA</x:v>
      </x:c>
      <x:c r="AD220" s="36" t="str">
        <x:v>JA</x:v>
      </x:c>
      <x:c r="AE220" s="36" t="str">
        <x:v>JA</x:v>
      </x:c>
      <x:c r="AF220" s="36" t="str">
        <x:v>JA</x:v>
      </x:c>
      <x:c r="AG220" s="36" t="str">
        <x:v>FREIGEGEBEN</x:v>
      </x:c>
      <x:c r="AH220" s="36" t="str">
        <x:v>GPT-5.6 Sol · Buchprüfung Markus · L1912/OTB</x:v>
      </x:c>
      <x:c r="AI220" s="36" t="str">
        <x:v>FREIGEGEBEN</x:v>
      </x:c>
      <x:c r="AJ220" s="36" t="str">
        <x:v>Markus 16: repetitive Wiedererkennungsfrage durch GESCHEHEN-Frage ersetzt.</x:v>
      </x:c>
      <x:c r="AK220" s="36" t="str">
        <x:v>FaithPath repo develop/v4 · data/bibles/l1912/MRK.json · data/bibles/otb/MRK.json</x:v>
      </x:c>
      <x:c r="AL220" t="str">
        <x:v>JA</x:v>
      </x:c>
    </x:row>
    <x:row r="221">
      <x:c r="A221" t="str">
        <x:v>FP-0480</x:v>
      </x:c>
      <x:c r="B221" t="str">
        <x:v>MRK</x:v>
      </x:c>
      <x:c r="C221" t="str">
        <x:v>Markus</x:v>
      </x:c>
      <x:c r="D221" t="n">
        <x:v>16</x:v>
      </x:c>
      <x:c r="E221" t="n">
        <x:v>5</x:v>
      </x:c>
      <x:c r="F221" t="str">
        <x:v>MRK-016</x:v>
      </x:c>
      <x:c r="G221" t="n">
        <x:v>44</x:v>
      </x:c>
      <x:c r="H221" t="str">
        <x:v>CQ-A03</x:v>
      </x:c>
      <x:c r="I221" s="36" t="str">
        <x:v>Welche dieser Aussagen stammt aus Markus 16?</x:v>
      </x:c>
      <x:c r="J221" s="36" t="str"/>
      <x:c r="K221" s="36" t="str"/>
      <x:c r="L221" s="36" t="str">
        <x:v>REPO_VERIFIZIERT_FRAGEFORM</x:v>
      </x:c>
      <x:c r="M221" s="36" t="str">
        <x:v>ERSETZEN</x:v>
      </x:c>
      <x:c r="N221" s="36" t="str">
        <x:v>REPETITIVE_FRAGEFORM</x:v>
      </x:c>
      <x:c r="O221" s="36" t="str">
        <x:v>REINE_WIEDERERKENNUNG</x:v>
      </x:c>
      <x:c r="P221" s="36" t="str">
        <x:v>GESCHEHEN</x:v>
      </x:c>
      <x:c r="Q221" s="36" t="str">
        <x:v>Wie reagieren die Frauen unmittelbar, nachdem sie das Grab verlassen?</x:v>
      </x:c>
      <x:c r="R221" s="36" t="str">
        <x:v>Sie beginnen sofort auf dem Marktplatz zu predigen.</x:v>
      </x:c>
      <x:c r="S221" s="36" t="str">
        <x:v>Sie bleiben den ganzen Tag im Grab.</x:v>
      </x:c>
      <x:c r="T221" s="36" t="str">
        <x:v>Sie gehen direkt zu Pilatus.</x:v>
      </x:c>
      <x:c r="U221" s="36" t="str">
        <x:v>Sie fliehen zitternd und erschrocken und sagen aus Furcht zunächst niemandem etwas.</x:v>
      </x:c>
      <x:c r="V221" s="36" t="n">
        <x:v>3</x:v>
      </x:c>
      <x:c r="W221" s="36" t="str">
        <x:v>Sie fliehen zitternd und erschrocken und sagen aus Furcht zunächst niemandem etwas.</x:v>
      </x:c>
      <x:c r="X221" s="36" t="str">
        <x:v>Markus 16,8</x:v>
      </x:c>
      <x:c r="Y221" s="36" t="str">
        <x:v>Markus beschreibt ihre unmittelbare Reaktion mit Zittern, Entsetzen und Furcht; sie sagen zunächst niemandem etwas.</x:v>
      </x:c>
      <x:c r="Z221" s="36" t="str">
        <x:v>JA</x:v>
      </x:c>
      <x:c r="AA221" s="36" t="str">
        <x:v>JA</x:v>
      </x:c>
      <x:c r="AB221" s="36" t="str">
        <x:v>JA</x:v>
      </x:c>
      <x:c r="AC221" s="36" t="str">
        <x:v>JA</x:v>
      </x:c>
      <x:c r="AD221" s="36" t="str">
        <x:v>JA</x:v>
      </x:c>
      <x:c r="AE221" s="36" t="str">
        <x:v>JA</x:v>
      </x:c>
      <x:c r="AF221" s="36" t="str">
        <x:v>JA</x:v>
      </x:c>
      <x:c r="AG221" s="36" t="str">
        <x:v>FREIGEGEBEN</x:v>
      </x:c>
      <x:c r="AH221" s="36" t="str">
        <x:v>GPT-5.6 Sol · Buchprüfung Markus · L1912/OTB</x:v>
      </x:c>
      <x:c r="AI221" s="36" t="str">
        <x:v>FREIGEGEBEN</x:v>
      </x:c>
      <x:c r="AJ221" s="36" t="str">
        <x:v>Markus 16: repetitive Wiedererkennungsfrage durch GESCHEHEN-Frage ersetzt.</x:v>
      </x:c>
      <x:c r="AK221" s="36" t="str">
        <x:v>FaithPath repo develop/v4 · data/bibles/l1912/MRK.json · data/bibles/otb/MRK.json</x:v>
      </x:c>
      <x:c r="AL221" t="str">
        <x:v>JA</x:v>
      </x:c>
    </x:row>
    <x:row r="222">
      <x:c r="A222" t="str">
        <x:v>FP-0481</x:v>
      </x:c>
      <x:c r="B222" t="str">
        <x:v>LUK</x:v>
      </x:c>
      <x:c r="C222" t="str">
        <x:v>Lukas</x:v>
      </x:c>
      <x:c r="D222" t="n">
        <x:v>1</x:v>
      </x:c>
      <x:c r="E222" t="n">
        <x:v>1</x:v>
      </x:c>
      <x:c r="F222" t="str">
        <x:v>LUK-001</x:v>
      </x:c>
      <x:c r="G222" t="n">
        <x:v>45</x:v>
      </x:c>
      <x:c r="H222" t="str">
        <x:v>CQ-A03</x:v>
      </x:c>
      <x:c r="I222" s="36" t="str">
        <x:v>Welche dieser Aussagen stammt aus Lukas 1?</x:v>
      </x:c>
      <x:c r="J222" s="36" t="str"/>
      <x:c r="K222" s="36" t="str"/>
      <x:c r="L222" s="36" t="str">
        <x:v>REPO_VERIFIZIERT_FRAGEFORM</x:v>
      </x:c>
      <x:c r="M222" s="36" t="str">
        <x:v>ERSETZEN</x:v>
      </x:c>
      <x:c r="N222" s="36" t="str">
        <x:v>REPETITIVE_FRAGEFORM</x:v>
      </x:c>
      <x:c r="O222" s="36" t="str">
        <x:v>REINE_WIEDERERKENNUNG</x:v>
      </x:c>
      <x:c r="P222" s="36" t="str">
        <x:v>ZUSAMMENHANG</x:v>
      </x:c>
      <x:c r="Q222" s="36" t="str">
        <x:v>Welche Aufgabe kündigt der Engel für Johannes an?</x:v>
      </x:c>
      <x:c r="R222" s="36" t="str">
        <x:v>Er soll König über Israel werden.</x:v>
      </x:c>
      <x:c r="S222" s="36" t="str">
        <x:v>Er soll viele Menschen in Israel zu Gott zurückführen und dem Herrn ein vorbereitetes Volk bereiten.</x:v>
      </x:c>
      <x:c r="T222" s="36" t="str">
        <x:v>Er soll den Tempel in Jerusalem neu bauen.</x:v>
      </x:c>
      <x:c r="U222" s="36" t="str">
        <x:v>Er soll als römischer Statthalter Frieden sichern.</x:v>
      </x:c>
      <x:c r="V222" s="36" t="n">
        <x:v>1</x:v>
      </x:c>
      <x:c r="W222" s="36" t="str">
        <x:v>Er soll viele Menschen in Israel zu Gott zurückführen und dem Herrn ein vorbereitetes Volk bereiten.</x:v>
      </x:c>
      <x:c r="X222" s="36" t="str">
        <x:v>Lukas 1,13–17</x:v>
      </x:c>
      <x:c r="Y222" s="36" t="str">
        <x:v>Der Engel beschreibt Johannes als Wegbereiter: Er soll viele zu Gott zurückführen und ein vorbereitetes Volk für den Herrn schaffen.</x:v>
      </x:c>
      <x:c r="Z222" s="36" t="str">
        <x:v>JA</x:v>
      </x:c>
      <x:c r="AA222" s="36" t="str">
        <x:v>JA</x:v>
      </x:c>
      <x:c r="AB222" s="36" t="str">
        <x:v>JA</x:v>
      </x:c>
      <x:c r="AC222" s="36" t="str">
        <x:v>JA</x:v>
      </x:c>
      <x:c r="AD222" s="36" t="str">
        <x:v>JA</x:v>
      </x:c>
      <x:c r="AE222" s="36" t="str">
        <x:v>JA</x:v>
      </x:c>
      <x:c r="AF222" s="36" t="str">
        <x:v>JA</x:v>
      </x:c>
      <x:c r="AG222" s="36" t="str">
        <x:v>FREIGEGEBEN</x:v>
      </x:c>
      <x:c r="AH222" s="36" t="str">
        <x:v>GPT-5.6 Sol · Buchprüfung Lukas · L1912/OTB</x:v>
      </x:c>
      <x:c r="AI222" s="36" t="str">
        <x:v>FREIGEGEBEN</x:v>
      </x:c>
      <x:c r="AJ222" s="36" t="str">
        <x:v>Lukas 1: repetitive Wiedererkennungsfrage durch ZUSAMMENHANG-Frage ersetzt.</x:v>
      </x:c>
      <x:c r="AK222" s="36" t="str">
        <x:v>FaithPath repo develop/v4 · data/bibles/l1912/LUK.json · data/bibles/otb/LUK.json</x:v>
      </x:c>
      <x:c r="AL222" t="str">
        <x:v>JA</x:v>
      </x:c>
    </x:row>
    <x:row r="223">
      <x:c r="A223" t="str">
        <x:v>FP-0482</x:v>
      </x:c>
      <x:c r="B223" t="str">
        <x:v>LUK</x:v>
      </x:c>
      <x:c r="C223" t="str">
        <x:v>Lukas</x:v>
      </x:c>
      <x:c r="D223" t="n">
        <x:v>1</x:v>
      </x:c>
      <x:c r="E223" t="n">
        <x:v>2</x:v>
      </x:c>
      <x:c r="F223" t="str">
        <x:v>LUK-001</x:v>
      </x:c>
      <x:c r="G223" t="n">
        <x:v>45</x:v>
      </x:c>
      <x:c r="H223" t="str">
        <x:v>CQ-A03</x:v>
      </x:c>
      <x:c r="I223" s="36" t="str">
        <x:v>Welche dieser Aussagen stammt aus Lukas 1?</x:v>
      </x:c>
      <x:c r="J223" s="36" t="str"/>
      <x:c r="K223" s="36" t="str"/>
      <x:c r="L223" s="36" t="str">
        <x:v>REPO_VERIFIZIERT_FRAGEFORM</x:v>
      </x:c>
      <x:c r="M223" s="36" t="str">
        <x:v>ERSETZEN</x:v>
      </x:c>
      <x:c r="N223" s="36" t="str">
        <x:v>REPETITIVE_FRAGEFORM</x:v>
      </x:c>
      <x:c r="O223" s="36" t="str">
        <x:v>REINE_WIEDERERKENNUNG</x:v>
      </x:c>
      <x:c r="P223" s="36" t="str">
        <x:v>KERNAUSSAGE</x:v>
      </x:c>
      <x:c r="Q223" s="36" t="str">
        <x:v>Was kündigt Gabriel Maria über Jesus an?</x:v>
      </x:c>
      <x:c r="R223" s="36" t="str">
        <x:v>Er wird nur als Prophet in Nazareth wirken.</x:v>
      </x:c>
      <x:c r="S223" s="36" t="str">
        <x:v>Er wird als Priester im Tempel dienen.</x:v>
      </x:c>
      <x:c r="T223" s="36" t="str">
        <x:v>Er wird Sohn des Höchsten genannt werden und sein Reich wird kein Ende haben.</x:v>
      </x:c>
      <x:c r="U223" s="36" t="str">
        <x:v>Er wird nach seiner Geburt verborgen bleiben.</x:v>
      </x:c>
      <x:c r="V223" s="36" t="n">
        <x:v>2</x:v>
      </x:c>
      <x:c r="W223" s="36" t="str">
        <x:v>Er wird Sohn des Höchsten genannt werden und sein Reich wird kein Ende haben.</x:v>
      </x:c>
      <x:c r="X223" s="36" t="str">
        <x:v>Lukas 1,31–33</x:v>
      </x:c>
      <x:c r="Y223" s="36" t="str">
        <x:v>Gabriel verbindet Jesu Geburt mit seiner königlichen Identität: Sohn des Höchsten, Davids Thron und ein Reich ohne Ende.</x:v>
      </x:c>
      <x:c r="Z223" s="36" t="str">
        <x:v>JA</x:v>
      </x:c>
      <x:c r="AA223" s="36" t="str">
        <x:v>JA</x:v>
      </x:c>
      <x:c r="AB223" s="36" t="str">
        <x:v>JA</x:v>
      </x:c>
      <x:c r="AC223" s="36" t="str">
        <x:v>JA</x:v>
      </x:c>
      <x:c r="AD223" s="36" t="str">
        <x:v>JA</x:v>
      </x:c>
      <x:c r="AE223" s="36" t="str">
        <x:v>JA</x:v>
      </x:c>
      <x:c r="AF223" s="36" t="str">
        <x:v>JA</x:v>
      </x:c>
      <x:c r="AG223" s="36" t="str">
        <x:v>FREIGEGEBEN</x:v>
      </x:c>
      <x:c r="AH223" s="36" t="str">
        <x:v>GPT-5.6 Sol · Buchprüfung Lukas · L1912/OTB</x:v>
      </x:c>
      <x:c r="AI223" s="36" t="str">
        <x:v>FREIGEGEBEN</x:v>
      </x:c>
      <x:c r="AJ223" s="36" t="str">
        <x:v>Lukas 1: repetitive Wiedererkennungsfrage durch KERNAUSSAGE-Frage ersetzt.</x:v>
      </x:c>
      <x:c r="AK223" s="36" t="str">
        <x:v>FaithPath repo develop/v4 · data/bibles/l1912/LUK.json · data/bibles/otb/LUK.json</x:v>
      </x:c>
      <x:c r="AL223" t="str">
        <x:v>JA</x:v>
      </x:c>
    </x:row>
    <x:row r="224">
      <x:c r="A224" t="str">
        <x:v>FP-0483</x:v>
      </x:c>
      <x:c r="B224" t="str">
        <x:v>LUK</x:v>
      </x:c>
      <x:c r="C224" t="str">
        <x:v>Lukas</x:v>
      </x:c>
      <x:c r="D224" t="n">
        <x:v>1</x:v>
      </x:c>
      <x:c r="E224" t="n">
        <x:v>3</x:v>
      </x:c>
      <x:c r="F224" t="str">
        <x:v>LUK-001</x:v>
      </x:c>
      <x:c r="G224" t="n">
        <x:v>45</x:v>
      </x:c>
      <x:c r="H224" t="str">
        <x:v>CQ-A03</x:v>
      </x:c>
      <x:c r="I224" s="36" t="str">
        <x:v>Welche dieser Aussagen stammt aus Lukas 1?</x:v>
      </x:c>
      <x:c r="J224" s="36" t="str"/>
      <x:c r="K224" s="36" t="str"/>
      <x:c r="L224" s="36" t="str">
        <x:v>REPO_VERIFIZIERT_FRAGEFORM</x:v>
      </x:c>
      <x:c r="M224" s="36" t="str">
        <x:v>ERSETZEN</x:v>
      </x:c>
      <x:c r="N224" s="36" t="str">
        <x:v>REPETITIVE_FRAGEFORM</x:v>
      </x:c>
      <x:c r="O224" s="36" t="str">
        <x:v>REINE_WIEDERERKENNUNG</x:v>
      </x:c>
      <x:c r="P224" s="36" t="str">
        <x:v>PERSON_AUSSAGE</x:v>
      </x:c>
      <x:c r="Q224" s="36" t="str">
        <x:v>Wie antwortet Maria auf die Botschaft des Engels?</x:v>
      </x:c>
      <x:c r="R224" s="36" t="str">
        <x:v>„Ich werde erst zustimmen, wenn Elisabeth es bestätigt.“</x:v>
      </x:c>
      <x:c r="S224" s="36" t="str">
        <x:v>„Ich muss zuerst mit Zacharias sprechen.“</x:v>
      </x:c>
      <x:c r="T224" s="36" t="str">
        <x:v>„Ich möchte nach Jerusalem fliehen.“</x:v>
      </x:c>
      <x:c r="U224" s="36" t="str">
        <x:v>„Ich bin die Magd des Herrn; mir geschehe nach deinem Wort.“</x:v>
      </x:c>
      <x:c r="V224" s="36" t="n">
        <x:v>3</x:v>
      </x:c>
      <x:c r="W224" s="36" t="str">
        <x:v>„Ich bin die Magd des Herrn; mir geschehe nach deinem Wort.“</x:v>
      </x:c>
      <x:c r="X224" s="36" t="str">
        <x:v>Lukas 1,38</x:v>
      </x:c>
      <x:c r="Y224" s="36" t="str">
        <x:v>Maria nimmt die Botschaft im Vertrauen an und bezeichnet sich als Magd des Herrn.</x:v>
      </x:c>
      <x:c r="Z224" s="36" t="str">
        <x:v>JA</x:v>
      </x:c>
      <x:c r="AA224" s="36" t="str">
        <x:v>JA</x:v>
      </x:c>
      <x:c r="AB224" s="36" t="str">
        <x:v>JA</x:v>
      </x:c>
      <x:c r="AC224" s="36" t="str">
        <x:v>JA</x:v>
      </x:c>
      <x:c r="AD224" s="36" t="str">
        <x:v>JA</x:v>
      </x:c>
      <x:c r="AE224" s="36" t="str">
        <x:v>JA</x:v>
      </x:c>
      <x:c r="AF224" s="36" t="str">
        <x:v>JA</x:v>
      </x:c>
      <x:c r="AG224" s="36" t="str">
        <x:v>FREIGEGEBEN</x:v>
      </x:c>
      <x:c r="AH224" s="36" t="str">
        <x:v>GPT-5.6 Sol · Buchprüfung Lukas · L1912/OTB</x:v>
      </x:c>
      <x:c r="AI224" s="36" t="str">
        <x:v>FREIGEGEBEN</x:v>
      </x:c>
      <x:c r="AJ224" s="36" t="str">
        <x:v>Lukas 1: repetitive Wiedererkennungsfrage durch PERSON_AUSSAGE-Frage ersetzt.</x:v>
      </x:c>
      <x:c r="AK224" s="36" t="str">
        <x:v>FaithPath repo develop/v4 · data/bibles/l1912/LUK.json · data/bibles/otb/LUK.json</x:v>
      </x:c>
      <x:c r="AL224" t="str">
        <x:v>JA</x:v>
      </x:c>
    </x:row>
    <x:row r="225">
      <x:c r="A225" t="str">
        <x:v>FP-0484</x:v>
      </x:c>
      <x:c r="B225" t="str">
        <x:v>LUK</x:v>
      </x:c>
      <x:c r="C225" t="str">
        <x:v>Lukas</x:v>
      </x:c>
      <x:c r="D225" t="n">
        <x:v>1</x:v>
      </x:c>
      <x:c r="E225" t="n">
        <x:v>4</x:v>
      </x:c>
      <x:c r="F225" t="str">
        <x:v>LUK-001</x:v>
      </x:c>
      <x:c r="G225" t="n">
        <x:v>45</x:v>
      </x:c>
      <x:c r="H225" t="str">
        <x:v>CQ-A03</x:v>
      </x:c>
      <x:c r="I225" s="36" t="str">
        <x:v>Welche dieser Aussagen stammt aus Lukas 1?</x:v>
      </x:c>
      <x:c r="J225" s="36" t="str"/>
      <x:c r="K225" s="36" t="str"/>
      <x:c r="L225" s="36" t="str">
        <x:v>REPO_VERIFIZIERT_FRAGEFORM</x:v>
      </x:c>
      <x:c r="M225" s="36" t="str">
        <x:v>ERSETZEN</x:v>
      </x:c>
      <x:c r="N225" s="36" t="str">
        <x:v>REPETITIVE_FRAGEFORM</x:v>
      </x:c>
      <x:c r="O225" s="36" t="str">
        <x:v>REINE_WIEDERERKENNUNG</x:v>
      </x:c>
      <x:c r="P225" s="36" t="str">
        <x:v>KERNAUSSAGE</x:v>
      </x:c>
      <x:c r="Q225" s="36" t="str">
        <x:v>Wofür lobt Maria Gott zu Beginn ihres Lobgesangs besonders?</x:v>
      </x:c>
      <x:c r="R225" s="36" t="str">
        <x:v>Dass er ihre Niedrigkeit angesehen und große Dinge an ihr getan hat.</x:v>
      </x:c>
      <x:c r="S225" s="36" t="str">
        <x:v>Dass er ihr großen Reichtum gegeben hat.</x:v>
      </x:c>
      <x:c r="T225" s="36" t="str">
        <x:v>Dass er Rom besiegt hat.</x:v>
      </x:c>
      <x:c r="U225" s="36" t="str">
        <x:v>Dass er Zacharias zum König gemacht hat.</x:v>
      </x:c>
      <x:c r="V225" s="36" t="n">
        <x:v>0</x:v>
      </x:c>
      <x:c r="W225" s="36" t="str">
        <x:v>Dass er ihre Niedrigkeit angesehen und große Dinge an ihr getan hat.</x:v>
      </x:c>
      <x:c r="X225" s="36" t="str">
        <x:v>Lukas 1,46–49</x:v>
      </x:c>
      <x:c r="Y225" s="36" t="str">
        <x:v>Maria erhebt Gott, weil er ihre Niedrigkeit angesehen und als der Mächtige große Dinge an ihr getan hat.</x:v>
      </x:c>
      <x:c r="Z225" s="36" t="str">
        <x:v>JA</x:v>
      </x:c>
      <x:c r="AA225" s="36" t="str">
        <x:v>JA</x:v>
      </x:c>
      <x:c r="AB225" s="36" t="str">
        <x:v>JA</x:v>
      </x:c>
      <x:c r="AC225" s="36" t="str">
        <x:v>JA</x:v>
      </x:c>
      <x:c r="AD225" s="36" t="str">
        <x:v>JA</x:v>
      </x:c>
      <x:c r="AE225" s="36" t="str">
        <x:v>JA</x:v>
      </x:c>
      <x:c r="AF225" s="36" t="str">
        <x:v>JA</x:v>
      </x:c>
      <x:c r="AG225" s="36" t="str">
        <x:v>FREIGEGEBEN</x:v>
      </x:c>
      <x:c r="AH225" s="36" t="str">
        <x:v>GPT-5.6 Sol · Buchprüfung Lukas · L1912/OTB</x:v>
      </x:c>
      <x:c r="AI225" s="36" t="str">
        <x:v>FREIGEGEBEN</x:v>
      </x:c>
      <x:c r="AJ225" s="36" t="str">
        <x:v>Lukas 1: repetitive Wiedererkennungsfrage durch KERNAUSSAGE-Frage ersetzt.</x:v>
      </x:c>
      <x:c r="AK225" s="36" t="str">
        <x:v>FaithPath repo develop/v4 · data/bibles/l1912/LUK.json · data/bibles/otb/LUK.json</x:v>
      </x:c>
      <x:c r="AL225" t="str">
        <x:v>JA</x:v>
      </x:c>
    </x:row>
    <x:row r="226">
      <x:c r="A226" t="str">
        <x:v>FP-0485</x:v>
      </x:c>
      <x:c r="B226" t="str">
        <x:v>LUK</x:v>
      </x:c>
      <x:c r="C226" t="str">
        <x:v>Lukas</x:v>
      </x:c>
      <x:c r="D226" t="n">
        <x:v>1</x:v>
      </x:c>
      <x:c r="E226" t="n">
        <x:v>5</x:v>
      </x:c>
      <x:c r="F226" t="str">
        <x:v>LUK-001</x:v>
      </x:c>
      <x:c r="G226" t="n">
        <x:v>45</x:v>
      </x:c>
      <x:c r="H226" t="str">
        <x:v>CQ-A03</x:v>
      </x:c>
      <x:c r="I226" s="36" t="str">
        <x:v>Welche dieser Aussagen stammt aus Lukas 1?</x:v>
      </x:c>
      <x:c r="J226" s="36" t="str"/>
      <x:c r="K226" s="36" t="str"/>
      <x:c r="L226" s="36" t="str">
        <x:v>REPO_VERIFIZIERT_FRAGEFORM</x:v>
      </x:c>
      <x:c r="M226" s="36" t="str">
        <x:v>ERSETZEN</x:v>
      </x:c>
      <x:c r="N226" s="36" t="str">
        <x:v>REPETITIVE_FRAGEFORM</x:v>
      </x:c>
      <x:c r="O226" s="36" t="str">
        <x:v>REINE_WIEDERERKENNUNG</x:v>
      </x:c>
      <x:c r="P226" s="36" t="str">
        <x:v>GESCHEHEN</x:v>
      </x:c>
      <x:c r="Q226" s="36" t="str">
        <x:v>Was geschieht, nachdem Zacharias auf die Tafel schreibt: „Sein Name ist Johannes“?</x:v>
      </x:c>
      <x:c r="R226" s="36" t="str">
        <x:v>Er verliert endgültig seine Stimme.</x:v>
      </x:c>
      <x:c r="S226" s="36" t="str">
        <x:v>Sein Mund wird geöffnet, und er beginnt Gott zu loben.</x:v>
      </x:c>
      <x:c r="T226" s="36" t="str">
        <x:v>Elisabeth verlässt das Haus.</x:v>
      </x:c>
      <x:c r="U226" s="36" t="str">
        <x:v>Johannes wird sofort in den Tempel gebracht.</x:v>
      </x:c>
      <x:c r="V226" s="36" t="n">
        <x:v>1</x:v>
      </x:c>
      <x:c r="W226" s="36" t="str">
        <x:v>Sein Mund wird geöffnet, und er beginnt Gott zu loben.</x:v>
      </x:c>
      <x:c r="X226" s="36" t="str">
        <x:v>Lukas 1,63–64</x:v>
      </x:c>
      <x:c r="Y226" s="36" t="str">
        <x:v>Nachdem Zacharias den Namen Johannes bestätigt, kann er wieder sprechen und lobt Gott.</x:v>
      </x:c>
      <x:c r="Z226" s="36" t="str">
        <x:v>JA</x:v>
      </x:c>
      <x:c r="AA226" s="36" t="str">
        <x:v>JA</x:v>
      </x:c>
      <x:c r="AB226" s="36" t="str">
        <x:v>JA</x:v>
      </x:c>
      <x:c r="AC226" s="36" t="str">
        <x:v>JA</x:v>
      </x:c>
      <x:c r="AD226" s="36" t="str">
        <x:v>JA</x:v>
      </x:c>
      <x:c r="AE226" s="36" t="str">
        <x:v>JA</x:v>
      </x:c>
      <x:c r="AF226" s="36" t="str">
        <x:v>JA</x:v>
      </x:c>
      <x:c r="AG226" s="36" t="str">
        <x:v>FREIGEGEBEN</x:v>
      </x:c>
      <x:c r="AH226" s="36" t="str">
        <x:v>GPT-5.6 Sol · Buchprüfung Lukas · L1912/OTB</x:v>
      </x:c>
      <x:c r="AI226" s="36" t="str">
        <x:v>FREIGEGEBEN</x:v>
      </x:c>
      <x:c r="AJ226" s="36" t="str">
        <x:v>Lukas 1: repetitive Wiedererkennungsfrage durch GESCHEHEN-Frage ersetzt.</x:v>
      </x:c>
      <x:c r="AK226" s="36" t="str">
        <x:v>FaithPath repo develop/v4 · data/bibles/l1912/LUK.json · data/bibles/otb/LUK.json</x:v>
      </x:c>
      <x:c r="AL226" t="str">
        <x:v>JA</x:v>
      </x:c>
    </x:row>
    <x:row r="227">
      <x:c r="A227" t="str">
        <x:v>FP-0486</x:v>
      </x:c>
      <x:c r="B227" t="str">
        <x:v>LUK</x:v>
      </x:c>
      <x:c r="C227" t="str">
        <x:v>Lukas</x:v>
      </x:c>
      <x:c r="D227" t="n">
        <x:v>2</x:v>
      </x:c>
      <x:c r="E227" t="n">
        <x:v>1</x:v>
      </x:c>
      <x:c r="F227" t="str">
        <x:v>LUK-002</x:v>
      </x:c>
      <x:c r="G227" t="n">
        <x:v>46</x:v>
      </x:c>
      <x:c r="H227" t="str">
        <x:v>CQ-A03</x:v>
      </x:c>
      <x:c r="I227" s="36" t="str">
        <x:v>Welche dieser Aussagen stammt aus Lukas 2?</x:v>
      </x:c>
      <x:c r="J227" s="36" t="str"/>
      <x:c r="K227" s="36" t="str"/>
      <x:c r="L227" s="36" t="str">
        <x:v>REPO_VERIFIZIERT_FRAGEFORM</x:v>
      </x:c>
      <x:c r="M227" s="36" t="str">
        <x:v>ERSETZEN</x:v>
      </x:c>
      <x:c r="N227" s="36" t="str">
        <x:v>REPETITIVE_FRAGEFORM</x:v>
      </x:c>
      <x:c r="O227" s="36" t="str">
        <x:v>REINE_WIEDERERKENNUNG</x:v>
      </x:c>
      <x:c r="P227" s="36" t="str">
        <x:v>GESCHEHEN</x:v>
      </x:c>
      <x:c r="Q227" s="36" t="str">
        <x:v>Warum reisen Josef und Maria nach Bethlehem?</x:v>
      </x:c>
      <x:c r="R227" s="36" t="str">
        <x:v>Sie wollen dort Verwandte besuchen.</x:v>
      </x:c>
      <x:c r="S227" s="36" t="str">
        <x:v>Herodes befiehlt ihnen persönlich dorthin.</x:v>
      </x:c>
      <x:c r="T227" s="36" t="str">
        <x:v>Josef stammt aus dem Haus und Geschlecht Davids und soll sich dort eintragen lassen.</x:v>
      </x:c>
      <x:c r="U227" s="36" t="str">
        <x:v>Maria soll dort im Tempel dienen.</x:v>
      </x:c>
      <x:c r="V227" s="36" t="n">
        <x:v>2</x:v>
      </x:c>
      <x:c r="W227" s="36" t="str">
        <x:v>Josef stammt aus dem Haus und Geschlecht Davids und soll sich dort eintragen lassen.</x:v>
      </x:c>
      <x:c r="X227" s="36" t="str">
        <x:v>Lukas 2,4–7</x:v>
      </x:c>
      <x:c r="Y227" s="36" t="str">
        <x:v>Josef zieht wegen der Eintragung nach Bethlehem, weil er aus dem Haus und Geschlecht Davids stammt; dort wird Jesus geboren.</x:v>
      </x:c>
      <x:c r="Z227" s="36" t="str">
        <x:v>JA</x:v>
      </x:c>
      <x:c r="AA227" s="36" t="str">
        <x:v>JA</x:v>
      </x:c>
      <x:c r="AB227" s="36" t="str">
        <x:v>JA</x:v>
      </x:c>
      <x:c r="AC227" s="36" t="str">
        <x:v>JA</x:v>
      </x:c>
      <x:c r="AD227" s="36" t="str">
        <x:v>JA</x:v>
      </x:c>
      <x:c r="AE227" s="36" t="str">
        <x:v>JA</x:v>
      </x:c>
      <x:c r="AF227" s="36" t="str">
        <x:v>JA</x:v>
      </x:c>
      <x:c r="AG227" s="36" t="str">
        <x:v>FREIGEGEBEN</x:v>
      </x:c>
      <x:c r="AH227" s="36" t="str">
        <x:v>GPT-5.6 Sol · Buchprüfung Lukas · L1912/OTB</x:v>
      </x:c>
      <x:c r="AI227" s="36" t="str">
        <x:v>FREIGEGEBEN</x:v>
      </x:c>
      <x:c r="AJ227" s="36" t="str">
        <x:v>Lukas 2: repetitive Wiedererkennungsfrage durch GESCHEHEN-Frage ersetzt.</x:v>
      </x:c>
      <x:c r="AK227" s="36" t="str">
        <x:v>FaithPath repo develop/v4 · data/bibles/l1912/LUK.json · data/bibles/otb/LUK.json</x:v>
      </x:c>
      <x:c r="AL227" t="str">
        <x:v>JA</x:v>
      </x:c>
    </x:row>
    <x:row r="228">
      <x:c r="A228" t="str">
        <x:v>FP-0487</x:v>
      </x:c>
      <x:c r="B228" t="str">
        <x:v>LUK</x:v>
      </x:c>
      <x:c r="C228" t="str">
        <x:v>Lukas</x:v>
      </x:c>
      <x:c r="D228" t="n">
        <x:v>2</x:v>
      </x:c>
      <x:c r="E228" t="n">
        <x:v>2</x:v>
      </x:c>
      <x:c r="F228" t="str">
        <x:v>LUK-002</x:v>
      </x:c>
      <x:c r="G228" t="n">
        <x:v>46</x:v>
      </x:c>
      <x:c r="H228" t="str">
        <x:v>CQ-A03</x:v>
      </x:c>
      <x:c r="I228" s="36" t="str">
        <x:v>Welche dieser Aussagen stammt aus Lukas 2?</x:v>
      </x:c>
      <x:c r="J228" s="36" t="str"/>
      <x:c r="K228" s="36" t="str"/>
      <x:c r="L228" s="36" t="str">
        <x:v>REPO_VERIFIZIERT_FRAGEFORM</x:v>
      </x:c>
      <x:c r="M228" s="36" t="str">
        <x:v>ERSETZEN</x:v>
      </x:c>
      <x:c r="N228" s="36" t="str">
        <x:v>REPETITIVE_FRAGEFORM</x:v>
      </x:c>
      <x:c r="O228" s="36" t="str">
        <x:v>REINE_WIEDERERKENNUNG</x:v>
      </x:c>
      <x:c r="P228" s="36" t="str">
        <x:v>TEXTGENAUIGKEIT</x:v>
      </x:c>
      <x:c r="Q228" s="36" t="str">
        <x:v>Welches Zeichen nennt der Engel den Hirten für den neugeborenen Retter?</x:v>
      </x:c>
      <x:c r="R228" s="36" t="str">
        <x:v>Ein Stern direkt über dem Tempel.</x:v>
      </x:c>
      <x:c r="S228" s="36" t="str">
        <x:v>Ein Kind mit einer goldenen Krone.</x:v>
      </x:c>
      <x:c r="T228" s="36" t="str">
        <x:v>Ein Priester, der im Tempel singt.</x:v>
      </x:c>
      <x:c r="U228" s="36" t="str">
        <x:v>Ein Kind, in Windeln gewickelt und in einer Krippe liegend.</x:v>
      </x:c>
      <x:c r="V228" s="36" t="n">
        <x:v>3</x:v>
      </x:c>
      <x:c r="W228" s="36" t="str">
        <x:v>Ein Kind, in Windeln gewickelt und in einer Krippe liegend.</x:v>
      </x:c>
      <x:c r="X228" s="36" t="str">
        <x:v>Lukas 2,10–14</x:v>
      </x:c>
      <x:c r="Y228" s="36" t="str">
        <x:v>Der Engel nennt als Zeichen ein in Windeln gewickeltes Kind, das in einer Krippe liegt.</x:v>
      </x:c>
      <x:c r="Z228" s="36" t="str">
        <x:v>JA</x:v>
      </x:c>
      <x:c r="AA228" s="36" t="str">
        <x:v>JA</x:v>
      </x:c>
      <x:c r="AB228" s="36" t="str">
        <x:v>JA</x:v>
      </x:c>
      <x:c r="AC228" s="36" t="str">
        <x:v>JA</x:v>
      </x:c>
      <x:c r="AD228" s="36" t="str">
        <x:v>JA</x:v>
      </x:c>
      <x:c r="AE228" s="36" t="str">
        <x:v>JA</x:v>
      </x:c>
      <x:c r="AF228" s="36" t="str">
        <x:v>JA</x:v>
      </x:c>
      <x:c r="AG228" s="36" t="str">
        <x:v>FREIGEGEBEN</x:v>
      </x:c>
      <x:c r="AH228" s="36" t="str">
        <x:v>GPT-5.6 Sol · Buchprüfung Lukas · L1912/OTB</x:v>
      </x:c>
      <x:c r="AI228" s="36" t="str">
        <x:v>FREIGEGEBEN</x:v>
      </x:c>
      <x:c r="AJ228" s="36" t="str">
        <x:v>Lukas 2: repetitive Wiedererkennungsfrage durch TEXTGENAUIGKEIT-Frage ersetzt.</x:v>
      </x:c>
      <x:c r="AK228" s="36" t="str">
        <x:v>FaithPath repo develop/v4 · data/bibles/l1912/LUK.json · data/bibles/otb/LUK.json</x:v>
      </x:c>
      <x:c r="AL228" t="str">
        <x:v>JA</x:v>
      </x:c>
    </x:row>
    <x:row r="229">
      <x:c r="A229" t="str">
        <x:v>FP-0488</x:v>
      </x:c>
      <x:c r="B229" t="str">
        <x:v>LUK</x:v>
      </x:c>
      <x:c r="C229" t="str">
        <x:v>Lukas</x:v>
      </x:c>
      <x:c r="D229" t="n">
        <x:v>2</x:v>
      </x:c>
      <x:c r="E229" t="n">
        <x:v>3</x:v>
      </x:c>
      <x:c r="F229" t="str">
        <x:v>LUK-002</x:v>
      </x:c>
      <x:c r="G229" t="n">
        <x:v>46</x:v>
      </x:c>
      <x:c r="H229" t="str">
        <x:v>CQ-A03</x:v>
      </x:c>
      <x:c r="I229" s="36" t="str">
        <x:v>Welche dieser Aussagen stammt aus Lukas 2?</x:v>
      </x:c>
      <x:c r="J229" s="36" t="str"/>
      <x:c r="K229" s="36" t="str"/>
      <x:c r="L229" s="36" t="str">
        <x:v>REPO_VERIFIZIERT_FRAGEFORM</x:v>
      </x:c>
      <x:c r="M229" s="36" t="str">
        <x:v>ERSETZEN</x:v>
      </x:c>
      <x:c r="N229" s="36" t="str">
        <x:v>REPETITIVE_FRAGEFORM</x:v>
      </x:c>
      <x:c r="O229" s="36" t="str">
        <x:v>REINE_WIEDERERKENNUNG</x:v>
      </x:c>
      <x:c r="P229" s="36" t="str">
        <x:v>GESCHEHEN</x:v>
      </x:c>
      <x:c r="Q229" s="36" t="str">
        <x:v>Wie reagieren die Hirten, nachdem sie das Kind gesehen haben?</x:v>
      </x:c>
      <x:c r="R229" s="36" t="str">
        <x:v>Sie erzählen weiter, was ihnen über das Kind gesagt worden ist, und kehren lobend zu Gott zurück.</x:v>
      </x:c>
      <x:c r="S229" s="36" t="str">
        <x:v>Sie schweigen vollständig und kehren sofort zur Arbeit zurück.</x:v>
      </x:c>
      <x:c r="T229" s="36" t="str">
        <x:v>Sie bringen Jesus nach Jerusalem.</x:v>
      </x:c>
      <x:c r="U229" s="36" t="str">
        <x:v>Sie suchen den Kaiser auf.</x:v>
      </x:c>
      <x:c r="V229" s="36" t="n">
        <x:v>0</x:v>
      </x:c>
      <x:c r="W229" s="36" t="str">
        <x:v>Sie erzählen weiter, was ihnen über das Kind gesagt worden ist, und kehren lobend zu Gott zurück.</x:v>
      </x:c>
      <x:c r="X229" s="36" t="str">
        <x:v>Lukas 2,16–20</x:v>
      </x:c>
      <x:c r="Y229" s="36" t="str">
        <x:v>Die Hirten verbreiten die Botschaft und kehren zurück, während sie Gott für das Gehörte und Gesehene preisen.</x:v>
      </x:c>
      <x:c r="Z229" s="36" t="str">
        <x:v>JA</x:v>
      </x:c>
      <x:c r="AA229" s="36" t="str">
        <x:v>JA</x:v>
      </x:c>
      <x:c r="AB229" s="36" t="str">
        <x:v>JA</x:v>
      </x:c>
      <x:c r="AC229" s="36" t="str">
        <x:v>JA</x:v>
      </x:c>
      <x:c r="AD229" s="36" t="str">
        <x:v>JA</x:v>
      </x:c>
      <x:c r="AE229" s="36" t="str">
        <x:v>JA</x:v>
      </x:c>
      <x:c r="AF229" s="36" t="str">
        <x:v>JA</x:v>
      </x:c>
      <x:c r="AG229" s="36" t="str">
        <x:v>FREIGEGEBEN</x:v>
      </x:c>
      <x:c r="AH229" s="36" t="str">
        <x:v>GPT-5.6 Sol · Buchprüfung Lukas · L1912/OTB</x:v>
      </x:c>
      <x:c r="AI229" s="36" t="str">
        <x:v>FREIGEGEBEN</x:v>
      </x:c>
      <x:c r="AJ229" s="36" t="str">
        <x:v>Lukas 2: repetitive Wiedererkennungsfrage durch GESCHEHEN-Frage ersetzt.</x:v>
      </x:c>
      <x:c r="AK229" s="36" t="str">
        <x:v>FaithPath repo develop/v4 · data/bibles/l1912/LUK.json · data/bibles/otb/LUK.json</x:v>
      </x:c>
      <x:c r="AL229" t="str">
        <x:v>JA</x:v>
      </x:c>
    </x:row>
    <x:row r="230">
      <x:c r="A230" t="str">
        <x:v>FP-0489</x:v>
      </x:c>
      <x:c r="B230" t="str">
        <x:v>LUK</x:v>
      </x:c>
      <x:c r="C230" t="str">
        <x:v>Lukas</x:v>
      </x:c>
      <x:c r="D230" t="n">
        <x:v>2</x:v>
      </x:c>
      <x:c r="E230" t="n">
        <x:v>4</x:v>
      </x:c>
      <x:c r="F230" t="str">
        <x:v>LUK-002</x:v>
      </x:c>
      <x:c r="G230" t="n">
        <x:v>46</x:v>
      </x:c>
      <x:c r="H230" t="str">
        <x:v>CQ-A03</x:v>
      </x:c>
      <x:c r="I230" s="36" t="str">
        <x:v>Welche dieser Aussagen stammt aus Lukas 2?</x:v>
      </x:c>
      <x:c r="J230" s="36" t="str"/>
      <x:c r="K230" s="36" t="str"/>
      <x:c r="L230" s="36" t="str">
        <x:v>REPO_VERIFIZIERT_FRAGEFORM</x:v>
      </x:c>
      <x:c r="M230" s="36" t="str">
        <x:v>ERSETZEN</x:v>
      </x:c>
      <x:c r="N230" s="36" t="str">
        <x:v>REPETITIVE_FRAGEFORM</x:v>
      </x:c>
      <x:c r="O230" s="36" t="str">
        <x:v>REINE_WIEDERERKENNUNG</x:v>
      </x:c>
      <x:c r="P230" s="36" t="str">
        <x:v>KERNAUSSAGE</x:v>
      </x:c>
      <x:c r="Q230" s="36" t="str">
        <x:v>Wie beschreibt Simeon das Heil, das er in Jesus sieht?</x:v>
      </x:c>
      <x:c r="R230" s="36" t="str">
        <x:v>Als politische Macht nur für Jerusalem.</x:v>
      </x:c>
      <x:c r="S230" s="36" t="str">
        <x:v>Als Licht für die Völker und Herrlichkeit für Israel.</x:v>
      </x:c>
      <x:c r="T230" s="36" t="str">
        <x:v>Als Geheimnis, das niemand erfahren darf.</x:v>
      </x:c>
      <x:c r="U230" s="36" t="str">
        <x:v>Als Zeichen ausschließlich für die Priester.</x:v>
      </x:c>
      <x:c r="V230" s="36" t="n">
        <x:v>1</x:v>
      </x:c>
      <x:c r="W230" s="36" t="str">
        <x:v>Als Licht für die Völker und Herrlichkeit für Israel.</x:v>
      </x:c>
      <x:c r="X230" s="36" t="str">
        <x:v>Lukas 2,25–32</x:v>
      </x:c>
      <x:c r="Y230" s="36" t="str">
        <x:v>Simeon nennt Gottes Heil ein Licht zur Erleuchtung der Völker und zur Herrlichkeit Israels.</x:v>
      </x:c>
      <x:c r="Z230" s="36" t="str">
        <x:v>JA</x:v>
      </x:c>
      <x:c r="AA230" s="36" t="str">
        <x:v>JA</x:v>
      </x:c>
      <x:c r="AB230" s="36" t="str">
        <x:v>JA</x:v>
      </x:c>
      <x:c r="AC230" s="36" t="str">
        <x:v>JA</x:v>
      </x:c>
      <x:c r="AD230" s="36" t="str">
        <x:v>JA</x:v>
      </x:c>
      <x:c r="AE230" s="36" t="str">
        <x:v>JA</x:v>
      </x:c>
      <x:c r="AF230" s="36" t="str">
        <x:v>JA</x:v>
      </x:c>
      <x:c r="AG230" s="36" t="str">
        <x:v>FREIGEGEBEN</x:v>
      </x:c>
      <x:c r="AH230" s="36" t="str">
        <x:v>GPT-5.6 Sol · Buchprüfung Lukas · L1912/OTB</x:v>
      </x:c>
      <x:c r="AI230" s="36" t="str">
        <x:v>FREIGEGEBEN</x:v>
      </x:c>
      <x:c r="AJ230" s="36" t="str">
        <x:v>Lukas 2: repetitive Wiedererkennungsfrage durch KERNAUSSAGE-Frage ersetzt.</x:v>
      </x:c>
      <x:c r="AK230" s="36" t="str">
        <x:v>FaithPath repo develop/v4 · data/bibles/l1912/LUK.json · data/bibles/otb/LUK.json</x:v>
      </x:c>
      <x:c r="AL230" t="str">
        <x:v>JA</x:v>
      </x:c>
    </x:row>
    <x:row r="231">
      <x:c r="A231" t="str">
        <x:v>FP-0490</x:v>
      </x:c>
      <x:c r="B231" t="str">
        <x:v>LUK</x:v>
      </x:c>
      <x:c r="C231" t="str">
        <x:v>Lukas</x:v>
      </x:c>
      <x:c r="D231" t="n">
        <x:v>2</x:v>
      </x:c>
      <x:c r="E231" t="n">
        <x:v>5</x:v>
      </x:c>
      <x:c r="F231" t="str">
        <x:v>LUK-002</x:v>
      </x:c>
      <x:c r="G231" t="n">
        <x:v>46</x:v>
      </x:c>
      <x:c r="H231" t="str">
        <x:v>CQ-A03</x:v>
      </x:c>
      <x:c r="I231" s="36" t="str">
        <x:v>Welche dieser Aussagen stammt aus Lukas 2?</x:v>
      </x:c>
      <x:c r="J231" s="36" t="str"/>
      <x:c r="K231" s="36" t="str"/>
      <x:c r="L231" s="36" t="str">
        <x:v>REPO_VERIFIZIERT_FRAGEFORM</x:v>
      </x:c>
      <x:c r="M231" s="36" t="str">
        <x:v>ERSETZEN</x:v>
      </x:c>
      <x:c r="N231" s="36" t="str">
        <x:v>REPETITIVE_FRAGEFORM</x:v>
      </x:c>
      <x:c r="O231" s="36" t="str">
        <x:v>REINE_WIEDERERKENNUNG</x:v>
      </x:c>
      <x:c r="P231" s="36" t="str">
        <x:v>PERSON_AUSSAGE</x:v>
      </x:c>
      <x:c r="Q231" s="36" t="str">
        <x:v>Was antwortet der zwölfjährige Jesus seinen Eltern im Tempel?</x:v>
      </x:c>
      <x:c r="R231" s="36" t="str">
        <x:v>Dass er sich verirrt habe.</x:v>
      </x:c>
      <x:c r="S231" s="36" t="str">
        <x:v>Dass die Lehrer ihn festgehalten hätten.</x:v>
      </x:c>
      <x:c r="T231" s="36" t="str">
        <x:v>Dass er in dem sein müsse, was seines Vaters ist.</x:v>
      </x:c>
      <x:c r="U231" s="36" t="str">
        <x:v>Dass er sofort nach Nazareth zurückkehren wolle.</x:v>
      </x:c>
      <x:c r="V231" s="36" t="n">
        <x:v>2</x:v>
      </x:c>
      <x:c r="W231" s="36" t="str">
        <x:v>Dass er in dem sein müsse, was seines Vaters ist.</x:v>
      </x:c>
      <x:c r="X231" s="36" t="str">
        <x:v>Lukas 2,46–49</x:v>
      </x:c>
      <x:c r="Y231" s="36" t="str">
        <x:v>Jesus verweist auf seine besondere Beziehung zum Vater und darauf, dass er in dessen Angelegenheiten sein müsse.</x:v>
      </x:c>
      <x:c r="Z231" s="36" t="str">
        <x:v>JA</x:v>
      </x:c>
      <x:c r="AA231" s="36" t="str">
        <x:v>JA</x:v>
      </x:c>
      <x:c r="AB231" s="36" t="str">
        <x:v>JA</x:v>
      </x:c>
      <x:c r="AC231" s="36" t="str">
        <x:v>JA</x:v>
      </x:c>
      <x:c r="AD231" s="36" t="str">
        <x:v>JA</x:v>
      </x:c>
      <x:c r="AE231" s="36" t="str">
        <x:v>JA</x:v>
      </x:c>
      <x:c r="AF231" s="36" t="str">
        <x:v>JA</x:v>
      </x:c>
      <x:c r="AG231" s="36" t="str">
        <x:v>FREIGEGEBEN</x:v>
      </x:c>
      <x:c r="AH231" s="36" t="str">
        <x:v>GPT-5.6 Sol · Buchprüfung Lukas · L1912/OTB</x:v>
      </x:c>
      <x:c r="AI231" s="36" t="str">
        <x:v>FREIGEGEBEN</x:v>
      </x:c>
      <x:c r="AJ231" s="36" t="str">
        <x:v>Lukas 2: repetitive Wiedererkennungsfrage durch PERSON_AUSSAGE-Frage ersetzt.</x:v>
      </x:c>
      <x:c r="AK231" s="36" t="str">
        <x:v>FaithPath repo develop/v4 · data/bibles/l1912/LUK.json · data/bibles/otb/LUK.json</x:v>
      </x:c>
      <x:c r="AL231" t="str">
        <x:v>JA</x:v>
      </x:c>
    </x:row>
    <x:row r="232">
      <x:c r="A232" t="str">
        <x:v>FP-0491</x:v>
      </x:c>
      <x:c r="B232" t="str">
        <x:v>LUK</x:v>
      </x:c>
      <x:c r="C232" t="str">
        <x:v>Lukas</x:v>
      </x:c>
      <x:c r="D232" t="n">
        <x:v>3</x:v>
      </x:c>
      <x:c r="E232" t="n">
        <x:v>1</x:v>
      </x:c>
      <x:c r="F232" t="str">
        <x:v>LUK-003</x:v>
      </x:c>
      <x:c r="G232" t="n">
        <x:v>47</x:v>
      </x:c>
      <x:c r="H232" t="str">
        <x:v>CQ-A03</x:v>
      </x:c>
      <x:c r="I232" s="36" t="str">
        <x:v>Welche dieser Aussagen stammt aus Lukas 3?</x:v>
      </x:c>
      <x:c r="J232" s="36" t="str"/>
      <x:c r="K232" s="36" t="str"/>
      <x:c r="L232" s="36" t="str">
        <x:v>REPO_VERIFIZIERT_FRAGEFORM</x:v>
      </x:c>
      <x:c r="M232" s="36" t="str">
        <x:v>ERSETZEN</x:v>
      </x:c>
      <x:c r="N232" s="36" t="str">
        <x:v>REPETITIVE_FRAGEFORM</x:v>
      </x:c>
      <x:c r="O232" s="36" t="str">
        <x:v>REINE_WIEDERERKENNUNG</x:v>
      </x:c>
      <x:c r="P232" s="36" t="str">
        <x:v>KERNAUSSAGE</x:v>
      </x:c>
      <x:c r="Q232" s="36" t="str">
        <x:v>Wie soll sich Umkehr nach Johannes' Antwort praktisch zeigen?</x:v>
      </x:c>
      <x:c r="R232" s="36" t="str">
        <x:v>Jeder soll seinen Beruf aufgeben.</x:v>
      </x:c>
      <x:c r="S232" s="36" t="str">
        <x:v>Nur Priester müssen ihr Verhalten ändern.</x:v>
      </x:c>
      <x:c r="T232" s="36" t="str">
        <x:v>Man soll sich aus allen Städten zurückziehen.</x:v>
      </x:c>
      <x:c r="U232" s="36" t="str">
        <x:v>Wer genug Kleidung und Nahrung hat, soll teilen; Zöllner und Soldaten sollen gerecht handeln.</x:v>
      </x:c>
      <x:c r="V232" s="36" t="n">
        <x:v>3</x:v>
      </x:c>
      <x:c r="W232" s="36" t="str">
        <x:v>Wer genug Kleidung und Nahrung hat, soll teilen; Zöllner und Soldaten sollen gerecht handeln.</x:v>
      </x:c>
      <x:c r="X232" s="36" t="str">
        <x:v>Lukas 3,10–14</x:v>
      </x:c>
      <x:c r="Y232" s="36" t="str">
        <x:v>Johannes nennt konkrete Früchte der Umkehr: teilen, nicht mehr fordern als erlaubt, niemanden erpressen und mit dem Sold zufrieden sein.</x:v>
      </x:c>
      <x:c r="Z232" s="36" t="str">
        <x:v>JA</x:v>
      </x:c>
      <x:c r="AA232" s="36" t="str">
        <x:v>JA</x:v>
      </x:c>
      <x:c r="AB232" s="36" t="str">
        <x:v>JA</x:v>
      </x:c>
      <x:c r="AC232" s="36" t="str">
        <x:v>JA</x:v>
      </x:c>
      <x:c r="AD232" s="36" t="str">
        <x:v>JA</x:v>
      </x:c>
      <x:c r="AE232" s="36" t="str">
        <x:v>JA</x:v>
      </x:c>
      <x:c r="AF232" s="36" t="str">
        <x:v>JA</x:v>
      </x:c>
      <x:c r="AG232" s="36" t="str">
        <x:v>FREIGEGEBEN</x:v>
      </x:c>
      <x:c r="AH232" s="36" t="str">
        <x:v>GPT-5.6 Sol · Buchprüfung Lukas · L1912/OTB</x:v>
      </x:c>
      <x:c r="AI232" s="36" t="str">
        <x:v>FREIGEGEBEN</x:v>
      </x:c>
      <x:c r="AJ232" s="36" t="str">
        <x:v>Lukas 3: repetitive Wiedererkennungsfrage durch KERNAUSSAGE-Frage ersetzt.</x:v>
      </x:c>
      <x:c r="AK232" s="36" t="str">
        <x:v>FaithPath repo develop/v4 · data/bibles/l1912/LUK.json · data/bibles/otb/LUK.json</x:v>
      </x:c>
      <x:c r="AL232" t="str">
        <x:v>JA</x:v>
      </x:c>
    </x:row>
    <x:row r="233">
      <x:c r="A233" t="str">
        <x:v>FP-0492</x:v>
      </x:c>
      <x:c r="B233" t="str">
        <x:v>LUK</x:v>
      </x:c>
      <x:c r="C233" t="str">
        <x:v>Lukas</x:v>
      </x:c>
      <x:c r="D233" t="n">
        <x:v>3</x:v>
      </x:c>
      <x:c r="E233" t="n">
        <x:v>2</x:v>
      </x:c>
      <x:c r="F233" t="str">
        <x:v>LUK-003</x:v>
      </x:c>
      <x:c r="G233" t="n">
        <x:v>47</x:v>
      </x:c>
      <x:c r="H233" t="str">
        <x:v>CQ-A03</x:v>
      </x:c>
      <x:c r="I233" s="36" t="str">
        <x:v>Welche dieser Aussagen stammt aus Lukas 3?</x:v>
      </x:c>
      <x:c r="J233" s="36" t="str"/>
      <x:c r="K233" s="36" t="str"/>
      <x:c r="L233" s="36" t="str">
        <x:v>REPO_VERIFIZIERT_FRAGEFORM</x:v>
      </x:c>
      <x:c r="M233" s="36" t="str">
        <x:v>ERSETZEN</x:v>
      </x:c>
      <x:c r="N233" s="36" t="str">
        <x:v>REPETITIVE_FRAGEFORM</x:v>
      </x:c>
      <x:c r="O233" s="36" t="str">
        <x:v>REINE_WIEDERERKENNUNG</x:v>
      </x:c>
      <x:c r="P233" s="36" t="str">
        <x:v>PERSON_AUSSAGE</x:v>
      </x:c>
      <x:c r="Q233" s="36" t="str">
        <x:v>Wie beschreibt Johannes den, der nach ihm kommt?</x:v>
      </x:c>
      <x:c r="R233" s="36" t="str">
        <x:v>Er ist stärker als Johannes und wird mit Heiligem Geist und Feuer taufen.</x:v>
      </x:c>
      <x:c r="S233" s="36" t="str">
        <x:v>Er wird nur mit Wasser taufen.</x:v>
      </x:c>
      <x:c r="T233" s="36" t="str">
        <x:v>Er wird Johannes als Schüler nachfolgen.</x:v>
      </x:c>
      <x:c r="U233" s="36" t="str">
        <x:v>Er wird als römischer Heerführer auftreten.</x:v>
      </x:c>
      <x:c r="V233" s="36" t="n">
        <x:v>0</x:v>
      </x:c>
      <x:c r="W233" s="36" t="str">
        <x:v>Er ist stärker als Johannes und wird mit Heiligem Geist und Feuer taufen.</x:v>
      </x:c>
      <x:c r="X233" s="36" t="str">
        <x:v>Lukas 3,15–17</x:v>
      </x:c>
      <x:c r="Y233" s="36" t="str">
        <x:v>Johannes weist von sich weg auf den Stärkeren, der mit Heiligem Geist und Feuer taufen wird.</x:v>
      </x:c>
      <x:c r="Z233" s="36" t="str">
        <x:v>JA</x:v>
      </x:c>
      <x:c r="AA233" s="36" t="str">
        <x:v>JA</x:v>
      </x:c>
      <x:c r="AB233" s="36" t="str">
        <x:v>JA</x:v>
      </x:c>
      <x:c r="AC233" s="36" t="str">
        <x:v>JA</x:v>
      </x:c>
      <x:c r="AD233" s="36" t="str">
        <x:v>JA</x:v>
      </x:c>
      <x:c r="AE233" s="36" t="str">
        <x:v>JA</x:v>
      </x:c>
      <x:c r="AF233" s="36" t="str">
        <x:v>JA</x:v>
      </x:c>
      <x:c r="AG233" s="36" t="str">
        <x:v>FREIGEGEBEN</x:v>
      </x:c>
      <x:c r="AH233" s="36" t="str">
        <x:v>GPT-5.6 Sol · Buchprüfung Lukas · L1912/OTB</x:v>
      </x:c>
      <x:c r="AI233" s="36" t="str">
        <x:v>FREIGEGEBEN</x:v>
      </x:c>
      <x:c r="AJ233" s="36" t="str">
        <x:v>Lukas 3: repetitive Wiedererkennungsfrage durch PERSON_AUSSAGE-Frage ersetzt.</x:v>
      </x:c>
      <x:c r="AK233" s="36" t="str">
        <x:v>FaithPath repo develop/v4 · data/bibles/l1912/LUK.json · data/bibles/otb/LUK.json</x:v>
      </x:c>
      <x:c r="AL233" t="str">
        <x:v>JA</x:v>
      </x:c>
    </x:row>
    <x:row r="234">
      <x:c r="A234" t="str">
        <x:v>FP-0493</x:v>
      </x:c>
      <x:c r="B234" t="str">
        <x:v>LUK</x:v>
      </x:c>
      <x:c r="C234" t="str">
        <x:v>Lukas</x:v>
      </x:c>
      <x:c r="D234" t="n">
        <x:v>3</x:v>
      </x:c>
      <x:c r="E234" t="n">
        <x:v>3</x:v>
      </x:c>
      <x:c r="F234" t="str">
        <x:v>LUK-003</x:v>
      </x:c>
      <x:c r="G234" t="n">
        <x:v>47</x:v>
      </x:c>
      <x:c r="H234" t="str">
        <x:v>CQ-A03</x:v>
      </x:c>
      <x:c r="I234" s="36" t="str">
        <x:v>Welche dieser Aussagen stammt aus Lukas 3?</x:v>
      </x:c>
      <x:c r="J234" s="36" t="str"/>
      <x:c r="K234" s="36" t="str"/>
      <x:c r="L234" s="36" t="str">
        <x:v>REPO_VERIFIZIERT_FRAGEFORM</x:v>
      </x:c>
      <x:c r="M234" s="36" t="str">
        <x:v>ERSETZEN</x:v>
      </x:c>
      <x:c r="N234" s="36" t="str">
        <x:v>REPETITIVE_FRAGEFORM</x:v>
      </x:c>
      <x:c r="O234" s="36" t="str">
        <x:v>REINE_WIEDERERKENNUNG</x:v>
      </x:c>
      <x:c r="P234" s="36" t="str">
        <x:v>GESCHEHEN</x:v>
      </x:c>
      <x:c r="Q234" s="36" t="str">
        <x:v>Was geschieht bei Jesu Taufe, während er betet?</x:v>
      </x:c>
      <x:c r="R234" s="36" t="str">
        <x:v>Der Tempelvorhang zerreißt.</x:v>
      </x:c>
      <x:c r="S234" s="36" t="str">
        <x:v>Der Heilige Geist kommt wie eine Taube auf ihn, und eine Stimme nennt ihn den geliebten Sohn.</x:v>
      </x:c>
      <x:c r="T234" s="36" t="str">
        <x:v>Johannes wird unsichtbar.</x:v>
      </x:c>
      <x:c r="U234" s="36" t="str">
        <x:v>Die Menge verlässt den Jordan.</x:v>
      </x:c>
      <x:c r="V234" s="36" t="n">
        <x:v>1</x:v>
      </x:c>
      <x:c r="W234" s="36" t="str">
        <x:v>Der Heilige Geist kommt wie eine Taube auf ihn, und eine Stimme nennt ihn den geliebten Sohn.</x:v>
      </x:c>
      <x:c r="X234" s="36" t="str">
        <x:v>Lukas 3,21–22</x:v>
      </x:c>
      <x:c r="Y234" s="36" t="str">
        <x:v>Bei Jesu Taufe öffnet sich der Himmel, der Geist kommt in leiblicher Gestalt wie eine Taube herab, und die Stimme aus dem Himmel spricht.</x:v>
      </x:c>
      <x:c r="Z234" s="36" t="str">
        <x:v>JA</x:v>
      </x:c>
      <x:c r="AA234" s="36" t="str">
        <x:v>JA</x:v>
      </x:c>
      <x:c r="AB234" s="36" t="str">
        <x:v>JA</x:v>
      </x:c>
      <x:c r="AC234" s="36" t="str">
        <x:v>JA</x:v>
      </x:c>
      <x:c r="AD234" s="36" t="str">
        <x:v>JA</x:v>
      </x:c>
      <x:c r="AE234" s="36" t="str">
        <x:v>JA</x:v>
      </x:c>
      <x:c r="AF234" s="36" t="str">
        <x:v>JA</x:v>
      </x:c>
      <x:c r="AG234" s="36" t="str">
        <x:v>FREIGEGEBEN</x:v>
      </x:c>
      <x:c r="AH234" s="36" t="str">
        <x:v>GPT-5.6 Sol · Buchprüfung Lukas · L1912/OTB</x:v>
      </x:c>
      <x:c r="AI234" s="36" t="str">
        <x:v>FREIGEGEBEN</x:v>
      </x:c>
      <x:c r="AJ234" s="36" t="str">
        <x:v>Lukas 3: repetitive Wiedererkennungsfrage durch GESCHEHEN-Frage ersetzt.</x:v>
      </x:c>
      <x:c r="AK234" s="36" t="str">
        <x:v>FaithPath repo develop/v4 · data/bibles/l1912/LUK.json · data/bibles/otb/LUK.json</x:v>
      </x:c>
      <x:c r="AL234" t="str">
        <x:v>JA</x:v>
      </x:c>
    </x:row>
    <x:row r="235">
      <x:c r="A235" t="str">
        <x:v>FP-0494</x:v>
      </x:c>
      <x:c r="B235" t="str">
        <x:v>LUK</x:v>
      </x:c>
      <x:c r="C235" t="str">
        <x:v>Lukas</x:v>
      </x:c>
      <x:c r="D235" t="n">
        <x:v>3</x:v>
      </x:c>
      <x:c r="E235" t="n">
        <x:v>4</x:v>
      </x:c>
      <x:c r="F235" t="str">
        <x:v>LUK-003</x:v>
      </x:c>
      <x:c r="G235" t="n">
        <x:v>47</x:v>
      </x:c>
      <x:c r="H235" t="str">
        <x:v>CQ-A03</x:v>
      </x:c>
      <x:c r="I235" s="36" t="str">
        <x:v>Welche dieser Aussagen stammt aus Lukas 3?</x:v>
      </x:c>
      <x:c r="J235" s="36" t="str"/>
      <x:c r="K235" s="36" t="str"/>
      <x:c r="L235" s="36" t="str">
        <x:v>REPO_VERIFIZIERT_FRAGEFORM</x:v>
      </x:c>
      <x:c r="M235" s="36" t="str">
        <x:v>ERSETZEN</x:v>
      </x:c>
      <x:c r="N235" s="36" t="str">
        <x:v>REPETITIVE_FRAGEFORM</x:v>
      </x:c>
      <x:c r="O235" s="36" t="str">
        <x:v>REINE_WIEDERERKENNUNG</x:v>
      </x:c>
      <x:c r="P235" s="36" t="str">
        <x:v>DETAIL</x:v>
      </x:c>
      <x:c r="Q235" s="36" t="str">
        <x:v>Wie alt ist Jesus ungefähr, als er seinen Dienst beginnt?</x:v>
      </x:c>
      <x:c r="R235" s="36" t="str">
        <x:v>Etwa zwölf Jahre.</x:v>
      </x:c>
      <x:c r="S235" s="36" t="str">
        <x:v>Etwa vierzig Jahre.</x:v>
      </x:c>
      <x:c r="T235" s="36" t="str">
        <x:v>Etwa dreißig Jahre.</x:v>
      </x:c>
      <x:c r="U235" s="36" t="str">
        <x:v>Etwa fünfzig Jahre.</x:v>
      </x:c>
      <x:c r="V235" s="36" t="n">
        <x:v>2</x:v>
      </x:c>
      <x:c r="W235" s="36" t="str">
        <x:v>Etwa dreißig Jahre.</x:v>
      </x:c>
      <x:c r="X235" s="36" t="str">
        <x:v>Lukas 3,23</x:v>
      </x:c>
      <x:c r="Y235" s="36" t="str">
        <x:v>Lukas nennt Jesus zu Beginn seines Wirkens ungefähr dreißig Jahre alt.</x:v>
      </x:c>
      <x:c r="Z235" s="36" t="str">
        <x:v>JA</x:v>
      </x:c>
      <x:c r="AA235" s="36" t="str">
        <x:v>JA</x:v>
      </x:c>
      <x:c r="AB235" s="36" t="str">
        <x:v>JA</x:v>
      </x:c>
      <x:c r="AC235" s="36" t="str">
        <x:v>JA</x:v>
      </x:c>
      <x:c r="AD235" s="36" t="str">
        <x:v>JA</x:v>
      </x:c>
      <x:c r="AE235" s="36" t="str">
        <x:v>JA</x:v>
      </x:c>
      <x:c r="AF235" s="36" t="str">
        <x:v>JA</x:v>
      </x:c>
      <x:c r="AG235" s="36" t="str">
        <x:v>FREIGEGEBEN</x:v>
      </x:c>
      <x:c r="AH235" s="36" t="str">
        <x:v>GPT-5.6 Sol · Buchprüfung Lukas · L1912/OTB</x:v>
      </x:c>
      <x:c r="AI235" s="36" t="str">
        <x:v>FREIGEGEBEN</x:v>
      </x:c>
      <x:c r="AJ235" s="36" t="str">
        <x:v>Lukas 3: repetitive Wiedererkennungsfrage durch DETAIL-Frage ersetzt.</x:v>
      </x:c>
      <x:c r="AK235" s="36" t="str">
        <x:v>FaithPath repo develop/v4 · data/bibles/l1912/LUK.json · data/bibles/otb/LUK.json</x:v>
      </x:c>
      <x:c r="AL235" t="str">
        <x:v>JA</x:v>
      </x:c>
    </x:row>
    <x:row r="236">
      <x:c r="A236" t="str">
        <x:v>FP-0495</x:v>
      </x:c>
      <x:c r="B236" t="str">
        <x:v>LUK</x:v>
      </x:c>
      <x:c r="C236" t="str">
        <x:v>Lukas</x:v>
      </x:c>
      <x:c r="D236" t="n">
        <x:v>3</x:v>
      </x:c>
      <x:c r="E236" t="n">
        <x:v>5</x:v>
      </x:c>
      <x:c r="F236" t="str">
        <x:v>LUK-003</x:v>
      </x:c>
      <x:c r="G236" t="n">
        <x:v>47</x:v>
      </x:c>
      <x:c r="H236" t="str">
        <x:v>CQ-A03</x:v>
      </x:c>
      <x:c r="I236" s="36" t="str">
        <x:v>Welche dieser Aussagen stammt aus Lukas 3?</x:v>
      </x:c>
      <x:c r="J236" s="36" t="str"/>
      <x:c r="K236" s="36" t="str"/>
      <x:c r="L236" s="36" t="str">
        <x:v>REPO_VERIFIZIERT_FRAGEFORM</x:v>
      </x:c>
      <x:c r="M236" s="36" t="str">
        <x:v>ERSETZEN</x:v>
      </x:c>
      <x:c r="N236" s="36" t="str">
        <x:v>REPETITIVE_FRAGEFORM</x:v>
      </x:c>
      <x:c r="O236" s="36" t="str">
        <x:v>REINE_WIEDERERKENNUNG</x:v>
      </x:c>
      <x:c r="P236" s="36" t="str">
        <x:v>TEXTGENAUIGKEIT</x:v>
      </x:c>
      <x:c r="Q236" s="36" t="str">
        <x:v>Bei wem endet die Genealogie Jesu in Lukas 3?</x:v>
      </x:c>
      <x:c r="R236" s="36" t="str">
        <x:v>Bei Mose.</x:v>
      </x:c>
      <x:c r="S236" s="36" t="str">
        <x:v>Bei David.</x:v>
      </x:c>
      <x:c r="T236" s="36" t="str">
        <x:v>Bei Abraham.</x:v>
      </x:c>
      <x:c r="U236" s="36" t="str">
        <x:v>Bei Adam, der als Sohn Gottes bezeichnet wird.</x:v>
      </x:c>
      <x:c r="V236" s="36" t="n">
        <x:v>3</x:v>
      </x:c>
      <x:c r="W236" s="36" t="str">
        <x:v>Bei Adam, der als Sohn Gottes bezeichnet wird.</x:v>
      </x:c>
      <x:c r="X236" s="36" t="str">
        <x:v>Lukas 3,38</x:v>
      </x:c>
      <x:c r="Y236" s="36" t="str">
        <x:v>Die lukanische Genealogie führt bis zu Adam zurück und nennt ihn „Sohn Gottes“.</x:v>
      </x:c>
      <x:c r="Z236" s="36" t="str">
        <x:v>JA</x:v>
      </x:c>
      <x:c r="AA236" s="36" t="str">
        <x:v>JA</x:v>
      </x:c>
      <x:c r="AB236" s="36" t="str">
        <x:v>JA</x:v>
      </x:c>
      <x:c r="AC236" s="36" t="str">
        <x:v>JA</x:v>
      </x:c>
      <x:c r="AD236" s="36" t="str">
        <x:v>JA</x:v>
      </x:c>
      <x:c r="AE236" s="36" t="str">
        <x:v>JA</x:v>
      </x:c>
      <x:c r="AF236" s="36" t="str">
        <x:v>JA</x:v>
      </x:c>
      <x:c r="AG236" s="36" t="str">
        <x:v>FREIGEGEBEN</x:v>
      </x:c>
      <x:c r="AH236" s="36" t="str">
        <x:v>GPT-5.6 Sol · Buchprüfung Lukas · L1912/OTB</x:v>
      </x:c>
      <x:c r="AI236" s="36" t="str">
        <x:v>FREIGEGEBEN</x:v>
      </x:c>
      <x:c r="AJ236" s="36" t="str">
        <x:v>Lukas 3: repetitive Wiedererkennungsfrage durch TEXTGENAUIGKEIT-Frage ersetzt.</x:v>
      </x:c>
      <x:c r="AK236" s="36" t="str">
        <x:v>FaithPath repo develop/v4 · data/bibles/l1912/LUK.json · data/bibles/otb/LUK.json</x:v>
      </x:c>
      <x:c r="AL236" t="str">
        <x:v>JA</x:v>
      </x:c>
    </x:row>
    <x:row r="237">
      <x:c r="A237" t="str">
        <x:v>FP-0496</x:v>
      </x:c>
      <x:c r="B237" t="str">
        <x:v>LUK</x:v>
      </x:c>
      <x:c r="C237" t="str">
        <x:v>Lukas</x:v>
      </x:c>
      <x:c r="D237" t="n">
        <x:v>4</x:v>
      </x:c>
      <x:c r="E237" t="n">
        <x:v>1</x:v>
      </x:c>
      <x:c r="F237" t="str">
        <x:v>LUK-004</x:v>
      </x:c>
      <x:c r="G237" t="n">
        <x:v>48</x:v>
      </x:c>
      <x:c r="H237" t="str">
        <x:v>CQ-A03</x:v>
      </x:c>
      <x:c r="I237" s="36" t="str">
        <x:v>Welche dieser Aussagen stammt aus Lukas 4?</x:v>
      </x:c>
      <x:c r="J237" s="36" t="str"/>
      <x:c r="K237" s="36" t="str"/>
      <x:c r="L237" s="36" t="str">
        <x:v>REPO_VERIFIZIERT_FRAGEFORM</x:v>
      </x:c>
      <x:c r="M237" s="36" t="str">
        <x:v>ERSETZEN</x:v>
      </x:c>
      <x:c r="N237" s="36" t="str">
        <x:v>REPETITIVE_FRAGEFORM</x:v>
      </x:c>
      <x:c r="O237" s="36" t="str">
        <x:v>REINE_WIEDERERKENNUNG</x:v>
      </x:c>
      <x:c r="P237" s="36" t="str">
        <x:v>PERSON_AUSSAGE</x:v>
      </x:c>
      <x:c r="Q237" s="36" t="str">
        <x:v>Wie antwortet Jesus auf die Aufforderung, einen Stein zu Brot zu machen?</x:v>
      </x:c>
      <x:c r="R237" s="36" t="str">
        <x:v>Der Mensch lebt nicht vom Brot allein.</x:v>
      </x:c>
      <x:c r="S237" s="36" t="str">
        <x:v>Jeder Stein soll zu Brot werden.</x:v>
      </x:c>
      <x:c r="T237" s="36" t="str">
        <x:v>Nur Priester dürfen Brot machen.</x:v>
      </x:c>
      <x:c r="U237" s="36" t="str">
        <x:v>Fasten ist immer verboten.</x:v>
      </x:c>
      <x:c r="V237" s="36" t="n">
        <x:v>0</x:v>
      </x:c>
      <x:c r="W237" s="36" t="str">
        <x:v>Der Mensch lebt nicht vom Brot allein.</x:v>
      </x:c>
      <x:c r="X237" s="36" t="str">
        <x:v>Lukas 4,3–4</x:v>
      </x:c>
      <x:c r="Y237" s="36" t="str">
        <x:v>Jesus weist die Versuchung mit dem Schriftwort zurück, dass der Mensch nicht vom Brot allein lebt.</x:v>
      </x:c>
      <x:c r="Z237" s="36" t="str">
        <x:v>JA</x:v>
      </x:c>
      <x:c r="AA237" s="36" t="str">
        <x:v>JA</x:v>
      </x:c>
      <x:c r="AB237" s="36" t="str">
        <x:v>JA</x:v>
      </x:c>
      <x:c r="AC237" s="36" t="str">
        <x:v>JA</x:v>
      </x:c>
      <x:c r="AD237" s="36" t="str">
        <x:v>JA</x:v>
      </x:c>
      <x:c r="AE237" s="36" t="str">
        <x:v>JA</x:v>
      </x:c>
      <x:c r="AF237" s="36" t="str">
        <x:v>JA</x:v>
      </x:c>
      <x:c r="AG237" s="36" t="str">
        <x:v>FREIGEGEBEN</x:v>
      </x:c>
      <x:c r="AH237" s="36" t="str">
        <x:v>GPT-5.6 Sol · Buchprüfung Lukas · L1912/OTB</x:v>
      </x:c>
      <x:c r="AI237" s="36" t="str">
        <x:v>FREIGEGEBEN</x:v>
      </x:c>
      <x:c r="AJ237" s="36" t="str">
        <x:v>Lukas 4: repetitive Wiedererkennungsfrage durch PERSON_AUSSAGE-Frage ersetzt.</x:v>
      </x:c>
      <x:c r="AK237" s="36" t="str">
        <x:v>FaithPath repo develop/v4 · data/bibles/l1912/LUK.json · data/bibles/otb/LUK.json</x:v>
      </x:c>
      <x:c r="AL237" t="str">
        <x:v>JA</x:v>
      </x:c>
    </x:row>
    <x:row r="238">
      <x:c r="A238" t="str">
        <x:v>FP-0497</x:v>
      </x:c>
      <x:c r="B238" t="str">
        <x:v>LUK</x:v>
      </x:c>
      <x:c r="C238" t="str">
        <x:v>Lukas</x:v>
      </x:c>
      <x:c r="D238" t="n">
        <x:v>4</x:v>
      </x:c>
      <x:c r="E238" t="n">
        <x:v>2</x:v>
      </x:c>
      <x:c r="F238" t="str">
        <x:v>LUK-004</x:v>
      </x:c>
      <x:c r="G238" t="n">
        <x:v>48</x:v>
      </x:c>
      <x:c r="H238" t="str">
        <x:v>CQ-A03</x:v>
      </x:c>
      <x:c r="I238" s="36" t="str">
        <x:v>Welche dieser Aussagen stammt aus Lukas 4?</x:v>
      </x:c>
      <x:c r="J238" s="36" t="str"/>
      <x:c r="K238" s="36" t="str"/>
      <x:c r="L238" s="36" t="str">
        <x:v>REPO_VERIFIZIERT_FRAGEFORM</x:v>
      </x:c>
      <x:c r="M238" s="36" t="str">
        <x:v>ERSETZEN</x:v>
      </x:c>
      <x:c r="N238" s="36" t="str">
        <x:v>REPETITIVE_FRAGEFORM</x:v>
      </x:c>
      <x:c r="O238" s="36" t="str">
        <x:v>REINE_WIEDERERKENNUNG</x:v>
      </x:c>
      <x:c r="P238" s="36" t="str">
        <x:v>KERNAUSSAGE</x:v>
      </x:c>
      <x:c r="Q238" s="36" t="str">
        <x:v>Was sagt Jesus nach dem Lesen aus Jesaja in der Synagoge von Nazareth?</x:v>
      </x:c>
      <x:c r="R238" s="36" t="str">
        <x:v>Diese Schrift gilt erst in ferner Zukunft.</x:v>
      </x:c>
      <x:c r="S238" s="36" t="str">
        <x:v>Heute ist dieses Schriftwort erfüllt, während ihr zuhört.</x:v>
      </x:c>
      <x:c r="T238" s="36" t="str">
        <x:v>Jesaja habe sich geirrt.</x:v>
      </x:c>
      <x:c r="U238" s="36" t="str">
        <x:v>Nur die Priester dürften diese Stelle erklären.</x:v>
      </x:c>
      <x:c r="V238" s="36" t="n">
        <x:v>1</x:v>
      </x:c>
      <x:c r="W238" s="36" t="str">
        <x:v>Heute ist dieses Schriftwort erfüllt, während ihr zuhört.</x:v>
      </x:c>
      <x:c r="X238" s="36" t="str">
        <x:v>Lukas 4,16–21</x:v>
      </x:c>
      <x:c r="Y238" s="36" t="str">
        <x:v>Jesus bezieht die gelesene Verheißung ausdrücklich auf die Gegenwart: Heute ist sie erfüllt.</x:v>
      </x:c>
      <x:c r="Z238" s="36" t="str">
        <x:v>JA</x:v>
      </x:c>
      <x:c r="AA238" s="36" t="str">
        <x:v>JA</x:v>
      </x:c>
      <x:c r="AB238" s="36" t="str">
        <x:v>JA</x:v>
      </x:c>
      <x:c r="AC238" s="36" t="str">
        <x:v>JA</x:v>
      </x:c>
      <x:c r="AD238" s="36" t="str">
        <x:v>JA</x:v>
      </x:c>
      <x:c r="AE238" s="36" t="str">
        <x:v>JA</x:v>
      </x:c>
      <x:c r="AF238" s="36" t="str">
        <x:v>JA</x:v>
      </x:c>
      <x:c r="AG238" s="36" t="str">
        <x:v>FREIGEGEBEN</x:v>
      </x:c>
      <x:c r="AH238" s="36" t="str">
        <x:v>GPT-5.6 Sol · Buchprüfung Lukas · L1912/OTB</x:v>
      </x:c>
      <x:c r="AI238" s="36" t="str">
        <x:v>FREIGEGEBEN</x:v>
      </x:c>
      <x:c r="AJ238" s="36" t="str">
        <x:v>Lukas 4: repetitive Wiedererkennungsfrage durch KERNAUSSAGE-Frage ersetzt.</x:v>
      </x:c>
      <x:c r="AK238" s="36" t="str">
        <x:v>FaithPath repo develop/v4 · data/bibles/l1912/LUK.json · data/bibles/otb/LUK.json</x:v>
      </x:c>
      <x:c r="AL238" t="str">
        <x:v>JA</x:v>
      </x:c>
    </x:row>
    <x:row r="239">
      <x:c r="A239" t="str">
        <x:v>FP-0498</x:v>
      </x:c>
      <x:c r="B239" t="str">
        <x:v>LUK</x:v>
      </x:c>
      <x:c r="C239" t="str">
        <x:v>Lukas</x:v>
      </x:c>
      <x:c r="D239" t="n">
        <x:v>4</x:v>
      </x:c>
      <x:c r="E239" t="n">
        <x:v>3</x:v>
      </x:c>
      <x:c r="F239" t="str">
        <x:v>LUK-004</x:v>
      </x:c>
      <x:c r="G239" t="n">
        <x:v>48</x:v>
      </x:c>
      <x:c r="H239" t="str">
        <x:v>CQ-A03</x:v>
      </x:c>
      <x:c r="I239" s="36" t="str">
        <x:v>Welche dieser Aussagen stammt aus Lukas 4?</x:v>
      </x:c>
      <x:c r="J239" s="36" t="str"/>
      <x:c r="K239" s="36" t="str"/>
      <x:c r="L239" s="36" t="str">
        <x:v>REPO_VERIFIZIERT_FRAGEFORM</x:v>
      </x:c>
      <x:c r="M239" s="36" t="str">
        <x:v>ERSETZEN</x:v>
      </x:c>
      <x:c r="N239" s="36" t="str">
        <x:v>REPETITIVE_FRAGEFORM</x:v>
      </x:c>
      <x:c r="O239" s="36" t="str">
        <x:v>REINE_WIEDERERKENNUNG</x:v>
      </x:c>
      <x:c r="P239" s="36" t="str">
        <x:v>ZUSAMMENHANG</x:v>
      </x:c>
      <x:c r="Q239" s="36" t="str">
        <x:v>Warum werden die Menschen in der Synagoge schließlich wütend auf Jesus?</x:v>
      </x:c>
      <x:c r="R239" s="36" t="str">
        <x:v>Er weigert sich, aus Jesaja zu lesen.</x:v>
      </x:c>
      <x:c r="S239" s="36" t="str">
        <x:v>Er kündigt eine Steuererhöhung an.</x:v>
      </x:c>
      <x:c r="T239" s="36" t="str">
        <x:v>Er erinnert daran, dass Elia und Elisa Gottes Hilfe auch zu Menschen außerhalb Israels brachten.</x:v>
      </x:c>
      <x:c r="U239" s="36" t="str">
        <x:v>Er erklärt Nazareth zur neuen Hauptstadt.</x:v>
      </x:c>
      <x:c r="V239" s="36" t="n">
        <x:v>2</x:v>
      </x:c>
      <x:c r="W239" s="36" t="str">
        <x:v>Er erinnert daran, dass Elia und Elisa Gottes Hilfe auch zu Menschen außerhalb Israels brachten.</x:v>
      </x:c>
      <x:c r="X239" s="36" t="str">
        <x:v>Lukas 4,24–30</x:v>
      </x:c>
      <x:c r="Y239" s="36" t="str">
        <x:v>Jesu Beispiele von der Witwe in Sarepta und Naaman zeigen Gottes Handeln über Israel hinaus und führen zum Zorn der Zuhörer.</x:v>
      </x:c>
      <x:c r="Z239" s="36" t="str">
        <x:v>JA</x:v>
      </x:c>
      <x:c r="AA239" s="36" t="str">
        <x:v>JA</x:v>
      </x:c>
      <x:c r="AB239" s="36" t="str">
        <x:v>JA</x:v>
      </x:c>
      <x:c r="AC239" s="36" t="str">
        <x:v>JA</x:v>
      </x:c>
      <x:c r="AD239" s="36" t="str">
        <x:v>JA</x:v>
      </x:c>
      <x:c r="AE239" s="36" t="str">
        <x:v>JA</x:v>
      </x:c>
      <x:c r="AF239" s="36" t="str">
        <x:v>JA</x:v>
      </x:c>
      <x:c r="AG239" s="36" t="str">
        <x:v>FREIGEGEBEN</x:v>
      </x:c>
      <x:c r="AH239" s="36" t="str">
        <x:v>GPT-5.6 Sol · Buchprüfung Lukas · L1912/OTB</x:v>
      </x:c>
      <x:c r="AI239" s="36" t="str">
        <x:v>FREIGEGEBEN</x:v>
      </x:c>
      <x:c r="AJ239" s="36" t="str">
        <x:v>Lukas 4: repetitive Wiedererkennungsfrage durch ZUSAMMENHANG-Frage ersetzt.</x:v>
      </x:c>
      <x:c r="AK239" s="36" t="str">
        <x:v>FaithPath repo develop/v4 · data/bibles/l1912/LUK.json · data/bibles/otb/LUK.json</x:v>
      </x:c>
      <x:c r="AL239" t="str">
        <x:v>JA</x:v>
      </x:c>
    </x:row>
    <x:row r="240">
      <x:c r="A240" t="str">
        <x:v>FP-0499</x:v>
      </x:c>
      <x:c r="B240" t="str">
        <x:v>LUK</x:v>
      </x:c>
      <x:c r="C240" t="str">
        <x:v>Lukas</x:v>
      </x:c>
      <x:c r="D240" t="n">
        <x:v>4</x:v>
      </x:c>
      <x:c r="E240" t="n">
        <x:v>4</x:v>
      </x:c>
      <x:c r="F240" t="str">
        <x:v>LUK-004</x:v>
      </x:c>
      <x:c r="G240" t="n">
        <x:v>48</x:v>
      </x:c>
      <x:c r="H240" t="str">
        <x:v>CQ-A03</x:v>
      </x:c>
      <x:c r="I240" s="36" t="str">
        <x:v>Welche dieser Aussagen stammt aus Lukas 4?</x:v>
      </x:c>
      <x:c r="J240" s="36" t="str"/>
      <x:c r="K240" s="36" t="str"/>
      <x:c r="L240" s="36" t="str">
        <x:v>REPO_VERIFIZIERT_FRAGEFORM</x:v>
      </x:c>
      <x:c r="M240" s="36" t="str">
        <x:v>ERSETZEN</x:v>
      </x:c>
      <x:c r="N240" s="36" t="str">
        <x:v>REPETITIVE_FRAGEFORM</x:v>
      </x:c>
      <x:c r="O240" s="36" t="str">
        <x:v>REINE_WIEDERERKENNUNG</x:v>
      </x:c>
      <x:c r="P240" s="36" t="str">
        <x:v>GESCHEHEN</x:v>
      </x:c>
      <x:c r="Q240" s="36" t="str">
        <x:v>Was zeigt die Begegnung mit dem unreinen Geist in Kapernaum?</x:v>
      </x:c>
      <x:c r="R240" s="36" t="str">
        <x:v>Der Geist vertreibt Jesus aus der Synagoge.</x:v>
      </x:c>
      <x:c r="S240" s="36" t="str">
        <x:v>Die Jünger müssen den Mann heilen.</x:v>
      </x:c>
      <x:c r="T240" s="36" t="str">
        <x:v>Der Mann bleibt unverändert.</x:v>
      </x:c>
      <x:c r="U240" s="36" t="str">
        <x:v>Jesus gebietet ihm mit Vollmacht, und der Geist fährt aus, ohne dem Mann zu schaden.</x:v>
      </x:c>
      <x:c r="V240" s="36" t="n">
        <x:v>3</x:v>
      </x:c>
      <x:c r="W240" s="36" t="str">
        <x:v>Jesus gebietet ihm mit Vollmacht, und der Geist fährt aus, ohne dem Mann zu schaden.</x:v>
      </x:c>
      <x:c r="X240" s="36" t="str">
        <x:v>Lukas 4,31–36</x:v>
      </x:c>
      <x:c r="Y240" s="36" t="str">
        <x:v>Die Menschen staunen darüber, dass Jesus unreinen Geistern mit Vollmacht befiehlt und sie gehorchen.</x:v>
      </x:c>
      <x:c r="Z240" s="36" t="str">
        <x:v>JA</x:v>
      </x:c>
      <x:c r="AA240" s="36" t="str">
        <x:v>JA</x:v>
      </x:c>
      <x:c r="AB240" s="36" t="str">
        <x:v>JA</x:v>
      </x:c>
      <x:c r="AC240" s="36" t="str">
        <x:v>JA</x:v>
      </x:c>
      <x:c r="AD240" s="36" t="str">
        <x:v>JA</x:v>
      </x:c>
      <x:c r="AE240" s="36" t="str">
        <x:v>JA</x:v>
      </x:c>
      <x:c r="AF240" s="36" t="str">
        <x:v>JA</x:v>
      </x:c>
      <x:c r="AG240" s="36" t="str">
        <x:v>FREIGEGEBEN</x:v>
      </x:c>
      <x:c r="AH240" s="36" t="str">
        <x:v>GPT-5.6 Sol · Buchprüfung Lukas · L1912/OTB</x:v>
      </x:c>
      <x:c r="AI240" s="36" t="str">
        <x:v>FREIGEGEBEN</x:v>
      </x:c>
      <x:c r="AJ240" s="36" t="str">
        <x:v>Lukas 4: repetitive Wiedererkennungsfrage durch GESCHEHEN-Frage ersetzt.</x:v>
      </x:c>
      <x:c r="AK240" s="36" t="str">
        <x:v>FaithPath repo develop/v4 · data/bibles/l1912/LUK.json · data/bibles/otb/LUK.json</x:v>
      </x:c>
      <x:c r="AL240" t="str">
        <x:v>JA</x:v>
      </x:c>
    </x:row>
    <x:row r="241">
      <x:c r="A241" t="str">
        <x:v>FP-0500</x:v>
      </x:c>
      <x:c r="B241" t="str">
        <x:v>LUK</x:v>
      </x:c>
      <x:c r="C241" t="str">
        <x:v>Lukas</x:v>
      </x:c>
      <x:c r="D241" t="n">
        <x:v>4</x:v>
      </x:c>
      <x:c r="E241" t="n">
        <x:v>5</x:v>
      </x:c>
      <x:c r="F241" t="str">
        <x:v>LUK-004</x:v>
      </x:c>
      <x:c r="G241" t="n">
        <x:v>48</x:v>
      </x:c>
      <x:c r="H241" t="str">
        <x:v>CQ-A03</x:v>
      </x:c>
      <x:c r="I241" s="36" t="str">
        <x:v>Welche dieser Aussagen stammt aus Lukas 4?</x:v>
      </x:c>
      <x:c r="J241" s="36" t="str"/>
      <x:c r="K241" s="36" t="str"/>
      <x:c r="L241" s="36" t="str">
        <x:v>REPO_VERIFIZIERT_FRAGEFORM</x:v>
      </x:c>
      <x:c r="M241" s="36" t="str">
        <x:v>ERSETZEN</x:v>
      </x:c>
      <x:c r="N241" s="36" t="str">
        <x:v>REPETITIVE_FRAGEFORM</x:v>
      </x:c>
      <x:c r="O241" s="36" t="str">
        <x:v>REINE_WIEDERERKENNUNG</x:v>
      </x:c>
      <x:c r="P241" s="36" t="str">
        <x:v>GESCHEHEN</x:v>
      </x:c>
      <x:c r="Q241" s="36" t="str">
        <x:v>Was tut Simons Schwiegermutter unmittelbar nach ihrer Heilung?</x:v>
      </x:c>
      <x:c r="R241" s="36" t="str">
        <x:v>Sie steht auf und dient ihnen.</x:v>
      </x:c>
      <x:c r="S241" s="36" t="str">
        <x:v>Sie reist nach Jerusalem.</x:v>
      </x:c>
      <x:c r="T241" s="36" t="str">
        <x:v>Sie bleibt mehrere Tage im Bett.</x:v>
      </x:c>
      <x:c r="U241" s="36" t="str">
        <x:v>Sie geht in die Synagoge, um zu predigen.</x:v>
      </x:c>
      <x:c r="V241" s="36" t="n">
        <x:v>0</x:v>
      </x:c>
      <x:c r="W241" s="36" t="str">
        <x:v>Sie steht auf und dient ihnen.</x:v>
      </x:c>
      <x:c r="X241" s="36" t="str">
        <x:v>Lukas 4,38–39</x:v>
      </x:c>
      <x:c r="Y241" s="36" t="str">
        <x:v>Nachdem Jesus das Fieber zurechtgewiesen hat, steht sie sofort auf und dient den Anwesenden.</x:v>
      </x:c>
      <x:c r="Z241" s="36" t="str">
        <x:v>JA</x:v>
      </x:c>
      <x:c r="AA241" s="36" t="str">
        <x:v>JA</x:v>
      </x:c>
      <x:c r="AB241" s="36" t="str">
        <x:v>JA</x:v>
      </x:c>
      <x:c r="AC241" s="36" t="str">
        <x:v>JA</x:v>
      </x:c>
      <x:c r="AD241" s="36" t="str">
        <x:v>JA</x:v>
      </x:c>
      <x:c r="AE241" s="36" t="str">
        <x:v>JA</x:v>
      </x:c>
      <x:c r="AF241" s="36" t="str">
        <x:v>JA</x:v>
      </x:c>
      <x:c r="AG241" s="36" t="str">
        <x:v>FREIGEGEBEN</x:v>
      </x:c>
      <x:c r="AH241" s="36" t="str">
        <x:v>GPT-5.6 Sol · Buchprüfung Lukas · L1912/OTB</x:v>
      </x:c>
      <x:c r="AI241" s="36" t="str">
        <x:v>FREIGEGEBEN</x:v>
      </x:c>
      <x:c r="AJ241" s="36" t="str">
        <x:v>Lukas 4: repetitive Wiedererkennungsfrage durch GESCHEHEN-Frage ersetzt.</x:v>
      </x:c>
      <x:c r="AK241" s="36" t="str">
        <x:v>FaithPath repo develop/v4 · data/bibles/l1912/LUK.json · data/bibles/otb/LUK.json</x:v>
      </x:c>
      <x:c r="AL241" t="str">
        <x:v>JA</x:v>
      </x:c>
    </x:row>
    <x:row r="242">
      <x:c r="A242" t="str">
        <x:v>FP-0501</x:v>
      </x:c>
      <x:c r="B242" t="str">
        <x:v>LUK</x:v>
      </x:c>
      <x:c r="C242" t="str">
        <x:v>Lukas</x:v>
      </x:c>
      <x:c r="D242" t="n">
        <x:v>5</x:v>
      </x:c>
      <x:c r="E242" t="n">
        <x:v>1</x:v>
      </x:c>
      <x:c r="F242" t="str">
        <x:v>LUK-005</x:v>
      </x:c>
      <x:c r="G242" t="n">
        <x:v>49</x:v>
      </x:c>
      <x:c r="H242" t="str">
        <x:v>CQ-A03</x:v>
      </x:c>
      <x:c r="I242" s="36" t="str">
        <x:v>Welche dieser Aussagen stammt aus Lukas 5?</x:v>
      </x:c>
      <x:c r="J242" s="36" t="str"/>
      <x:c r="K242" s="36" t="str"/>
      <x:c r="L242" s="36" t="str">
        <x:v>REPO_VERIFIZIERT_FRAGEFORM</x:v>
      </x:c>
      <x:c r="M242" s="36" t="str">
        <x:v>ERSETZEN</x:v>
      </x:c>
      <x:c r="N242" s="36" t="str">
        <x:v>REPETITIVE_FRAGEFORM</x:v>
      </x:c>
      <x:c r="O242" s="36" t="str">
        <x:v>REINE_WIEDERERKENNUNG</x:v>
      </x:c>
      <x:c r="P242" s="36" t="str">
        <x:v>ZUSAMMENHANG</x:v>
      </x:c>
      <x:c r="Q242" s="36" t="str">
        <x:v>Wie reagiert Simon Petrus auf den außergewöhnlichen Fischfang?</x:v>
      </x:c>
      <x:c r="R242" s="36" t="str">
        <x:v>Er verkauft sofort alle Fische und geht nach Hause.</x:v>
      </x:c>
      <x:c r="S242" s="36" t="str">
        <x:v>Er erkennt seine Sündhaftigkeit, während Jesus ihn zum Menschenfischer beruft.</x:v>
      </x:c>
      <x:c r="T242" s="36" t="str">
        <x:v>Er fordert von Jesus eine Bezahlung.</x:v>
      </x:c>
      <x:c r="U242" s="36" t="str">
        <x:v>Er weigert sich, noch einmal zu fischen.</x:v>
      </x:c>
      <x:c r="V242" s="36" t="n">
        <x:v>1</x:v>
      </x:c>
      <x:c r="W242" s="36" t="str">
        <x:v>Er erkennt seine Sündhaftigkeit, während Jesus ihn zum Menschenfischer beruft.</x:v>
      </x:c>
      <x:c r="X242" s="36" t="str">
        <x:v>Lukas 5,1–11</x:v>
      </x:c>
      <x:c r="Y242" s="36" t="str">
        <x:v>Petrus fällt vor Jesus nieder und bekennt sich als sündigen Menschen; Jesus nimmt ihm die Furcht und beruft ihn.</x:v>
      </x:c>
      <x:c r="Z242" s="36" t="str">
        <x:v>JA</x:v>
      </x:c>
      <x:c r="AA242" s="36" t="str">
        <x:v>JA</x:v>
      </x:c>
      <x:c r="AB242" s="36" t="str">
        <x:v>JA</x:v>
      </x:c>
      <x:c r="AC242" s="36" t="str">
        <x:v>JA</x:v>
      </x:c>
      <x:c r="AD242" s="36" t="str">
        <x:v>JA</x:v>
      </x:c>
      <x:c r="AE242" s="36" t="str">
        <x:v>JA</x:v>
      </x:c>
      <x:c r="AF242" s="36" t="str">
        <x:v>JA</x:v>
      </x:c>
      <x:c r="AG242" s="36" t="str">
        <x:v>FREIGEGEBEN</x:v>
      </x:c>
      <x:c r="AH242" s="36" t="str">
        <x:v>GPT-5.6 Sol · Buchprüfung Lukas · L1912/OTB</x:v>
      </x:c>
      <x:c r="AI242" s="36" t="str">
        <x:v>FREIGEGEBEN</x:v>
      </x:c>
      <x:c r="AJ242" s="36" t="str">
        <x:v>Lukas 5: repetitive Wiedererkennungsfrage durch ZUSAMMENHANG-Frage ersetzt.</x:v>
      </x:c>
      <x:c r="AK242" s="36" t="str">
        <x:v>FaithPath repo develop/v4 · data/bibles/l1912/LUK.json · data/bibles/otb/LUK.json</x:v>
      </x:c>
      <x:c r="AL242" t="str">
        <x:v>JA</x:v>
      </x:c>
    </x:row>
    <x:row r="243">
      <x:c r="A243" t="str">
        <x:v>FP-0502</x:v>
      </x:c>
      <x:c r="B243" t="str">
        <x:v>LUK</x:v>
      </x:c>
      <x:c r="C243" t="str">
        <x:v>Lukas</x:v>
      </x:c>
      <x:c r="D243" t="n">
        <x:v>5</x:v>
      </x:c>
      <x:c r="E243" t="n">
        <x:v>2</x:v>
      </x:c>
      <x:c r="F243" t="str">
        <x:v>LUK-005</x:v>
      </x:c>
      <x:c r="G243" t="n">
        <x:v>49</x:v>
      </x:c>
      <x:c r="H243" t="str">
        <x:v>CQ-A03</x:v>
      </x:c>
      <x:c r="I243" s="36" t="str">
        <x:v>Welche dieser Aussagen stammt aus Lukas 5?</x:v>
      </x:c>
      <x:c r="J243" s="36" t="str"/>
      <x:c r="K243" s="36" t="str"/>
      <x:c r="L243" s="36" t="str">
        <x:v>REPO_VERIFIZIERT_FRAGEFORM</x:v>
      </x:c>
      <x:c r="M243" s="36" t="str">
        <x:v>ERSETZEN</x:v>
      </x:c>
      <x:c r="N243" s="36" t="str">
        <x:v>REPETITIVE_FRAGEFORM</x:v>
      </x:c>
      <x:c r="O243" s="36" t="str">
        <x:v>REINE_WIEDERERKENNUNG</x:v>
      </x:c>
      <x:c r="P243" s="36" t="str">
        <x:v>GESCHEHEN</x:v>
      </x:c>
      <x:c r="Q243" s="36" t="str">
        <x:v>Wie reagiert Jesus auf die Bitte des Aussätzigen: „Wenn du willst, kannst du mich reinigen“?</x:v>
      </x:c>
      <x:c r="R243" s="36" t="str">
        <x:v>Er weist ihn fort.</x:v>
      </x:c>
      <x:c r="S243" s="36" t="str">
        <x:v>Er verlangt zuerst Geld.</x:v>
      </x:c>
      <x:c r="T243" s="36" t="str">
        <x:v>Er berührt ihn, sagt „Ich will; sei rein“ und schickt ihn anschließend zum Priester.</x:v>
      </x:c>
      <x:c r="U243" s="36" t="str">
        <x:v>Er sagt, Heilung sei am selben Tag unmöglich.</x:v>
      </x:c>
      <x:c r="V243" s="36" t="n">
        <x:v>2</x:v>
      </x:c>
      <x:c r="W243" s="36" t="str">
        <x:v>Er berührt ihn, sagt „Ich will; sei rein“ und schickt ihn anschließend zum Priester.</x:v>
      </x:c>
      <x:c r="X243" s="36" t="str">
        <x:v>Lukas 5,12–14</x:v>
      </x:c>
      <x:c r="Y243" s="36" t="str">
        <x:v>Jesus berührt den Mann, reinigt ihn und weist ihn an, sich dem Priester zu zeigen.</x:v>
      </x:c>
      <x:c r="Z243" s="36" t="str">
        <x:v>JA</x:v>
      </x:c>
      <x:c r="AA243" s="36" t="str">
        <x:v>JA</x:v>
      </x:c>
      <x:c r="AB243" s="36" t="str">
        <x:v>JA</x:v>
      </x:c>
      <x:c r="AC243" s="36" t="str">
        <x:v>JA</x:v>
      </x:c>
      <x:c r="AD243" s="36" t="str">
        <x:v>JA</x:v>
      </x:c>
      <x:c r="AE243" s="36" t="str">
        <x:v>JA</x:v>
      </x:c>
      <x:c r="AF243" s="36" t="str">
        <x:v>JA</x:v>
      </x:c>
      <x:c r="AG243" s="36" t="str">
        <x:v>FREIGEGEBEN</x:v>
      </x:c>
      <x:c r="AH243" s="36" t="str">
        <x:v>GPT-5.6 Sol · Buchprüfung Lukas · L1912/OTB</x:v>
      </x:c>
      <x:c r="AI243" s="36" t="str">
        <x:v>FREIGEGEBEN</x:v>
      </x:c>
      <x:c r="AJ243" s="36" t="str">
        <x:v>Lukas 5: repetitive Wiedererkennungsfrage durch GESCHEHEN-Frage ersetzt.</x:v>
      </x:c>
      <x:c r="AK243" s="36" t="str">
        <x:v>FaithPath repo develop/v4 · data/bibles/l1912/LUK.json · data/bibles/otb/LUK.json</x:v>
      </x:c>
      <x:c r="AL243" t="str">
        <x:v>JA</x:v>
      </x:c>
    </x:row>
    <x:row r="244">
      <x:c r="A244" t="str">
        <x:v>FP-0503</x:v>
      </x:c>
      <x:c r="B244" t="str">
        <x:v>LUK</x:v>
      </x:c>
      <x:c r="C244" t="str">
        <x:v>Lukas</x:v>
      </x:c>
      <x:c r="D244" t="n">
        <x:v>5</x:v>
      </x:c>
      <x:c r="E244" t="n">
        <x:v>3</x:v>
      </x:c>
      <x:c r="F244" t="str">
        <x:v>LUK-005</x:v>
      </x:c>
      <x:c r="G244" t="n">
        <x:v>49</x:v>
      </x:c>
      <x:c r="H244" t="str">
        <x:v>CQ-A03</x:v>
      </x:c>
      <x:c r="I244" s="36" t="str">
        <x:v>Welche dieser Aussagen stammt aus Lukas 5?</x:v>
      </x:c>
      <x:c r="J244" s="36" t="str"/>
      <x:c r="K244" s="36" t="str"/>
      <x:c r="L244" s="36" t="str">
        <x:v>REPO_VERIFIZIERT_FRAGEFORM</x:v>
      </x:c>
      <x:c r="M244" s="36" t="str">
        <x:v>ERSETZEN</x:v>
      </x:c>
      <x:c r="N244" s="36" t="str">
        <x:v>REPETITIVE_FRAGEFORM</x:v>
      </x:c>
      <x:c r="O244" s="36" t="str">
        <x:v>REINE_WIEDERERKENNUNG</x:v>
      </x:c>
      <x:c r="P244" s="36" t="str">
        <x:v>KERNAUSSAGE</x:v>
      </x:c>
      <x:c r="Q244" s="36" t="str">
        <x:v>Was soll die Heilung des Gelähmten deutlich machen?</x:v>
      </x:c>
      <x:c r="R244" s="36" t="str">
        <x:v>Dass nur Freunde heilen können.</x:v>
      </x:c>
      <x:c r="S244" s="36" t="str">
        <x:v>Dass Dächer heilig sind.</x:v>
      </x:c>
      <x:c r="T244" s="36" t="str">
        <x:v>Dass Krankheit immer aus persönlicher Schuld entsteht.</x:v>
      </x:c>
      <x:c r="U244" s="36" t="str">
        <x:v>Dass der Menschensohn Vollmacht hat, auf Erden Sünden zu vergeben.</x:v>
      </x:c>
      <x:c r="V244" s="36" t="n">
        <x:v>3</x:v>
      </x:c>
      <x:c r="W244" s="36" t="str">
        <x:v>Dass der Menschensohn Vollmacht hat, auf Erden Sünden zu vergeben.</x:v>
      </x:c>
      <x:c r="X244" s="36" t="str">
        <x:v>Lukas 5,18–26</x:v>
      </x:c>
      <x:c r="Y244" s="36" t="str">
        <x:v>Jesus verbindet die sichtbare Heilung mit seiner Vollmacht, Sünden zu vergeben.</x:v>
      </x:c>
      <x:c r="Z244" s="36" t="str">
        <x:v>JA</x:v>
      </x:c>
      <x:c r="AA244" s="36" t="str">
        <x:v>JA</x:v>
      </x:c>
      <x:c r="AB244" s="36" t="str">
        <x:v>JA</x:v>
      </x:c>
      <x:c r="AC244" s="36" t="str">
        <x:v>JA</x:v>
      </x:c>
      <x:c r="AD244" s="36" t="str">
        <x:v>JA</x:v>
      </x:c>
      <x:c r="AE244" s="36" t="str">
        <x:v>JA</x:v>
      </x:c>
      <x:c r="AF244" s="36" t="str">
        <x:v>JA</x:v>
      </x:c>
      <x:c r="AG244" s="36" t="str">
        <x:v>FREIGEGEBEN</x:v>
      </x:c>
      <x:c r="AH244" s="36" t="str">
        <x:v>GPT-5.6 Sol · Buchprüfung Lukas · L1912/OTB</x:v>
      </x:c>
      <x:c r="AI244" s="36" t="str">
        <x:v>FREIGEGEBEN</x:v>
      </x:c>
      <x:c r="AJ244" s="36" t="str">
        <x:v>Lukas 5: repetitive Wiedererkennungsfrage durch KERNAUSSAGE-Frage ersetzt.</x:v>
      </x:c>
      <x:c r="AK244" s="36" t="str">
        <x:v>FaithPath repo develop/v4 · data/bibles/l1912/LUK.json · data/bibles/otb/LUK.json</x:v>
      </x:c>
      <x:c r="AL244" t="str">
        <x:v>JA</x:v>
      </x:c>
    </x:row>
    <x:row r="245">
      <x:c r="A245" t="str">
        <x:v>FP-0504</x:v>
      </x:c>
      <x:c r="B245" t="str">
        <x:v>LUK</x:v>
      </x:c>
      <x:c r="C245" t="str">
        <x:v>Lukas</x:v>
      </x:c>
      <x:c r="D245" t="n">
        <x:v>5</x:v>
      </x:c>
      <x:c r="E245" t="n">
        <x:v>4</x:v>
      </x:c>
      <x:c r="F245" t="str">
        <x:v>LUK-005</x:v>
      </x:c>
      <x:c r="G245" t="n">
        <x:v>49</x:v>
      </x:c>
      <x:c r="H245" t="str">
        <x:v>CQ-A03</x:v>
      </x:c>
      <x:c r="I245" s="36" t="str">
        <x:v>Welche dieser Aussagen stammt aus Lukas 5?</x:v>
      </x:c>
      <x:c r="J245" s="36" t="str"/>
      <x:c r="K245" s="36" t="str"/>
      <x:c r="L245" s="36" t="str">
        <x:v>REPO_VERIFIZIERT_FRAGEFORM</x:v>
      </x:c>
      <x:c r="M245" s="36" t="str">
        <x:v>ERSETZEN</x:v>
      </x:c>
      <x:c r="N245" s="36" t="str">
        <x:v>REPETITIVE_FRAGEFORM</x:v>
      </x:c>
      <x:c r="O245" s="36" t="str">
        <x:v>REINE_WIEDERERKENNUNG</x:v>
      </x:c>
      <x:c r="P245" s="36" t="str">
        <x:v>ZUSAMMENHANG</x:v>
      </x:c>
      <x:c r="Q245" s="36" t="str">
        <x:v>Wie begründet Jesus sein Essen mit Zöllnern und Sündern?</x:v>
      </x:c>
      <x:c r="R245" s="36" t="str">
        <x:v>Nicht die Gesunden brauchen einen Arzt, sondern die Kranken; er ist gekommen, Sünder zur Umkehr zu rufen.</x:v>
      </x:c>
      <x:c r="S245" s="36" t="str">
        <x:v>Zöllner seien grundsätzlich gerechter.</x:v>
      </x:c>
      <x:c r="T245" s="36" t="str">
        <x:v>Er wolle nur große Feste besuchen.</x:v>
      </x:c>
      <x:c r="U245" s="36" t="str">
        <x:v>Die Pharisäer hätten ihn darum gebeten.</x:v>
      </x:c>
      <x:c r="V245" s="36" t="n">
        <x:v>0</x:v>
      </x:c>
      <x:c r="W245" s="36" t="str">
        <x:v>Nicht die Gesunden brauchen einen Arzt, sondern die Kranken; er ist gekommen, Sünder zur Umkehr zu rufen.</x:v>
      </x:c>
      <x:c r="X245" s="36" t="str">
        <x:v>Lukas 5,27–32</x:v>
      </x:c>
      <x:c r="Y245" s="36" t="str">
        <x:v>Jesus beschreibt seinen Auftrag mit dem Bild des Arztes und richtet seinen Ruf ausdrücklich an Sünder.</x:v>
      </x:c>
      <x:c r="Z245" s="36" t="str">
        <x:v>JA</x:v>
      </x:c>
      <x:c r="AA245" s="36" t="str">
        <x:v>JA</x:v>
      </x:c>
      <x:c r="AB245" s="36" t="str">
        <x:v>JA</x:v>
      </x:c>
      <x:c r="AC245" s="36" t="str">
        <x:v>JA</x:v>
      </x:c>
      <x:c r="AD245" s="36" t="str">
        <x:v>JA</x:v>
      </x:c>
      <x:c r="AE245" s="36" t="str">
        <x:v>JA</x:v>
      </x:c>
      <x:c r="AF245" s="36" t="str">
        <x:v>JA</x:v>
      </x:c>
      <x:c r="AG245" s="36" t="str">
        <x:v>FREIGEGEBEN</x:v>
      </x:c>
      <x:c r="AH245" s="36" t="str">
        <x:v>GPT-5.6 Sol · Buchprüfung Lukas · L1912/OTB</x:v>
      </x:c>
      <x:c r="AI245" s="36" t="str">
        <x:v>FREIGEGEBEN</x:v>
      </x:c>
      <x:c r="AJ245" s="36" t="str">
        <x:v>Lukas 5: repetitive Wiedererkennungsfrage durch ZUSAMMENHANG-Frage ersetzt.</x:v>
      </x:c>
      <x:c r="AK245" s="36" t="str">
        <x:v>FaithPath repo develop/v4 · data/bibles/l1912/LUK.json · data/bibles/otb/LUK.json</x:v>
      </x:c>
      <x:c r="AL245" t="str">
        <x:v>JA</x:v>
      </x:c>
    </x:row>
    <x:row r="246">
      <x:c r="A246" t="str">
        <x:v>FP-0505</x:v>
      </x:c>
      <x:c r="B246" t="str">
        <x:v>LUK</x:v>
      </x:c>
      <x:c r="C246" t="str">
        <x:v>Lukas</x:v>
      </x:c>
      <x:c r="D246" t="n">
        <x:v>5</x:v>
      </x:c>
      <x:c r="E246" t="n">
        <x:v>5</x:v>
      </x:c>
      <x:c r="F246" t="str">
        <x:v>LUK-005</x:v>
      </x:c>
      <x:c r="G246" t="n">
        <x:v>49</x:v>
      </x:c>
      <x:c r="H246" t="str">
        <x:v>CQ-A03</x:v>
      </x:c>
      <x:c r="I246" s="36" t="str">
        <x:v>Welche dieser Aussagen stammt aus Lukas 5?</x:v>
      </x:c>
      <x:c r="J246" s="36" t="str"/>
      <x:c r="K246" s="36" t="str"/>
      <x:c r="L246" s="36" t="str">
        <x:v>REPO_VERIFIZIERT_FRAGEFORM</x:v>
      </x:c>
      <x:c r="M246" s="36" t="str">
        <x:v>ERSETZEN</x:v>
      </x:c>
      <x:c r="N246" s="36" t="str">
        <x:v>REPETITIVE_FRAGEFORM</x:v>
      </x:c>
      <x:c r="O246" s="36" t="str">
        <x:v>REINE_WIEDERERKENNUNG</x:v>
      </x:c>
      <x:c r="P246" s="36" t="str">
        <x:v>KERNAUSSAGE</x:v>
      </x:c>
      <x:c r="Q246" s="36" t="str">
        <x:v>Welches Bild verwendet Jesus für die Unvereinbarkeit von Neuem und Altem?</x:v>
      </x:c>
      <x:c r="R246" s="36" t="str">
        <x:v>Neues Brot gehört in alte Körbe.</x:v>
      </x:c>
      <x:c r="S246" s="36" t="str">
        <x:v>Neuer Wein gehört in neue Schläuche.</x:v>
      </x:c>
      <x:c r="T246" s="36" t="str">
        <x:v>Neue Lampen brauchen alte Dochte.</x:v>
      </x:c>
      <x:c r="U246" s="36" t="str">
        <x:v>Neue Saat gehört auf steinigen Boden.</x:v>
      </x:c>
      <x:c r="V246" s="36" t="n">
        <x:v>1</x:v>
      </x:c>
      <x:c r="W246" s="36" t="str">
        <x:v>Neuer Wein gehört in neue Schläuche.</x:v>
      </x:c>
      <x:c r="X246" s="36" t="str">
        <x:v>Lukas 5,33–39</x:v>
      </x:c>
      <x:c r="Y246" s="36" t="str">
        <x:v>Jesus nutzt unter anderem das Bild vom neuen Wein, der in frische Schläuche gehört.</x:v>
      </x:c>
      <x:c r="Z246" s="36" t="str">
        <x:v>JA</x:v>
      </x:c>
      <x:c r="AA246" s="36" t="str">
        <x:v>JA</x:v>
      </x:c>
      <x:c r="AB246" s="36" t="str">
        <x:v>JA</x:v>
      </x:c>
      <x:c r="AC246" s="36" t="str">
        <x:v>JA</x:v>
      </x:c>
      <x:c r="AD246" s="36" t="str">
        <x:v>JA</x:v>
      </x:c>
      <x:c r="AE246" s="36" t="str">
        <x:v>JA</x:v>
      </x:c>
      <x:c r="AF246" s="36" t="str">
        <x:v>JA</x:v>
      </x:c>
      <x:c r="AG246" s="36" t="str">
        <x:v>FREIGEGEBEN</x:v>
      </x:c>
      <x:c r="AH246" s="36" t="str">
        <x:v>GPT-5.6 Sol · Buchprüfung Lukas · L1912/OTB</x:v>
      </x:c>
      <x:c r="AI246" s="36" t="str">
        <x:v>FREIGEGEBEN</x:v>
      </x:c>
      <x:c r="AJ246" s="36" t="str">
        <x:v>Lukas 5: repetitive Wiedererkennungsfrage durch KERNAUSSAGE-Frage ersetzt.</x:v>
      </x:c>
      <x:c r="AK246" s="36" t="str">
        <x:v>FaithPath repo develop/v4 · data/bibles/l1912/LUK.json · data/bibles/otb/LUK.json</x:v>
      </x:c>
      <x:c r="AL246" t="str">
        <x:v>JA</x:v>
      </x:c>
    </x:row>
    <x:row r="247">
      <x:c r="A247" t="str">
        <x:v>FP-0506</x:v>
      </x:c>
      <x:c r="B247" t="str">
        <x:v>LUK</x:v>
      </x:c>
      <x:c r="C247" t="str">
        <x:v>Lukas</x:v>
      </x:c>
      <x:c r="D247" t="n">
        <x:v>6</x:v>
      </x:c>
      <x:c r="E247" t="n">
        <x:v>1</x:v>
      </x:c>
      <x:c r="F247" t="str">
        <x:v>LUK-006</x:v>
      </x:c>
      <x:c r="G247" t="n">
        <x:v>50</x:v>
      </x:c>
      <x:c r="H247" t="str">
        <x:v>CQ-A03</x:v>
      </x:c>
      <x:c r="I247" s="36" t="str">
        <x:v>Welche dieser Aussagen stammt aus Lukas 6?</x:v>
      </x:c>
      <x:c r="J247" s="36" t="str"/>
      <x:c r="K247" s="36" t="str"/>
      <x:c r="L247" s="36" t="str">
        <x:v>REPO_VERIFIZIERT_FRAGEFORM</x:v>
      </x:c>
      <x:c r="M247" s="36" t="str">
        <x:v>ERSETZEN</x:v>
      </x:c>
      <x:c r="N247" s="36" t="str">
        <x:v>REPETITIVE_FRAGEFORM</x:v>
      </x:c>
      <x:c r="O247" s="36" t="str">
        <x:v>REINE_WIEDERERKENNUNG</x:v>
      </x:c>
      <x:c r="P247" s="36" t="str">
        <x:v>KERNAUSSAGE</x:v>
      </x:c>
      <x:c r="Q247" s="36" t="str">
        <x:v>Welche Aussage macht Jesus im Streit über das Ährenpflücken am Sabbat?</x:v>
      </x:c>
      <x:c r="R247" s="36" t="str">
        <x:v>Am Sabbat darf niemand essen.</x:v>
      </x:c>
      <x:c r="S247" s="36" t="str">
        <x:v>David habe gegen Gottes Wort verstoßen.</x:v>
      </x:c>
      <x:c r="T247" s="36" t="str">
        <x:v>Der Menschensohn ist Herr über den Sabbat.</x:v>
      </x:c>
      <x:c r="U247" s="36" t="str">
        <x:v>Nur Priester dürfen durch Felder gehen.</x:v>
      </x:c>
      <x:c r="V247" s="36" t="n">
        <x:v>2</x:v>
      </x:c>
      <x:c r="W247" s="36" t="str">
        <x:v>Der Menschensohn ist Herr über den Sabbat.</x:v>
      </x:c>
      <x:c r="X247" s="36" t="str">
        <x:v>Lukas 6,1–5</x:v>
      </x:c>
      <x:c r="Y247" s="36" t="str">
        <x:v>Jesus verweist auf David und schließt mit der Aussage, dass der Menschensohn Herr über den Sabbat ist.</x:v>
      </x:c>
      <x:c r="Z247" s="36" t="str">
        <x:v>JA</x:v>
      </x:c>
      <x:c r="AA247" s="36" t="str">
        <x:v>JA</x:v>
      </x:c>
      <x:c r="AB247" s="36" t="str">
        <x:v>JA</x:v>
      </x:c>
      <x:c r="AC247" s="36" t="str">
        <x:v>JA</x:v>
      </x:c>
      <x:c r="AD247" s="36" t="str">
        <x:v>JA</x:v>
      </x:c>
      <x:c r="AE247" s="36" t="str">
        <x:v>JA</x:v>
      </x:c>
      <x:c r="AF247" s="36" t="str">
        <x:v>JA</x:v>
      </x:c>
      <x:c r="AG247" s="36" t="str">
        <x:v>FREIGEGEBEN</x:v>
      </x:c>
      <x:c r="AH247" s="36" t="str">
        <x:v>GPT-5.6 Sol · Buchprüfung Lukas · L1912/OTB</x:v>
      </x:c>
      <x:c r="AI247" s="36" t="str">
        <x:v>FREIGEGEBEN</x:v>
      </x:c>
      <x:c r="AJ247" s="36" t="str">
        <x:v>Lukas 6: repetitive Wiedererkennungsfrage durch KERNAUSSAGE-Frage ersetzt.</x:v>
      </x:c>
      <x:c r="AK247" s="36" t="str">
        <x:v>FaithPath repo develop/v4 · data/bibles/l1912/LUK.json · data/bibles/otb/LUK.json</x:v>
      </x:c>
      <x:c r="AL247" t="str">
        <x:v>JA</x:v>
      </x:c>
    </x:row>
    <x:row r="248">
      <x:c r="A248" t="str">
        <x:v>FP-0507</x:v>
      </x:c>
      <x:c r="B248" t="str">
        <x:v>LUK</x:v>
      </x:c>
      <x:c r="C248" t="str">
        <x:v>Lukas</x:v>
      </x:c>
      <x:c r="D248" t="n">
        <x:v>6</x:v>
      </x:c>
      <x:c r="E248" t="n">
        <x:v>2</x:v>
      </x:c>
      <x:c r="F248" t="str">
        <x:v>LUK-006</x:v>
      </x:c>
      <x:c r="G248" t="n">
        <x:v>50</x:v>
      </x:c>
      <x:c r="H248" t="str">
        <x:v>CQ-A03</x:v>
      </x:c>
      <x:c r="I248" s="36" t="str">
        <x:v>Welche dieser Aussagen stammt aus Lukas 6?</x:v>
      </x:c>
      <x:c r="J248" s="36" t="str"/>
      <x:c r="K248" s="36" t="str"/>
      <x:c r="L248" s="36" t="str">
        <x:v>REPO_VERIFIZIERT_FRAGEFORM</x:v>
      </x:c>
      <x:c r="M248" s="36" t="str">
        <x:v>ERSETZEN</x:v>
      </x:c>
      <x:c r="N248" s="36" t="str">
        <x:v>REPETITIVE_FRAGEFORM</x:v>
      </x:c>
      <x:c r="O248" s="36" t="str">
        <x:v>REINE_WIEDERERKENNUNG</x:v>
      </x:c>
      <x:c r="P248" s="36" t="str">
        <x:v>KERNAUSSAGE</x:v>
      </x:c>
      <x:c r="Q248" s="36" t="str">
        <x:v>Welche Frage stellt Jesus vor der Heilung der verdorrten Hand?</x:v>
      </x:c>
      <x:c r="R248" s="36" t="str">
        <x:v>Ob der Mann genug Glauben hat.</x:v>
      </x:c>
      <x:c r="S248" s="36" t="str">
        <x:v>Ob die Synagoge geöffnet bleiben soll.</x:v>
      </x:c>
      <x:c r="T248" s="36" t="str">
        <x:v>Ob man am Sabbat sprechen darf.</x:v>
      </x:c>
      <x:c r="U248" s="36" t="str">
        <x:v>Ob es am Sabbat erlaubt ist, Gutes zu tun oder Böses zu tun, Leben zu retten oder zu zerstören.</x:v>
      </x:c>
      <x:c r="V248" s="36" t="n">
        <x:v>3</x:v>
      </x:c>
      <x:c r="W248" s="36" t="str">
        <x:v>Ob es am Sabbat erlaubt ist, Gutes zu tun oder Böses zu tun, Leben zu retten oder zu zerstören.</x:v>
      </x:c>
      <x:c r="X248" s="36" t="str">
        <x:v>Lukas 6,6–11</x:v>
      </x:c>
      <x:c r="Y248" s="36" t="str">
        <x:v>Jesus stellt die Frage nach Gutem und Bösem sowie Retten und Zerstören in den Mittelpunkt.</x:v>
      </x:c>
      <x:c r="Z248" s="36" t="str">
        <x:v>JA</x:v>
      </x:c>
      <x:c r="AA248" s="36" t="str">
        <x:v>JA</x:v>
      </x:c>
      <x:c r="AB248" s="36" t="str">
        <x:v>JA</x:v>
      </x:c>
      <x:c r="AC248" s="36" t="str">
        <x:v>JA</x:v>
      </x:c>
      <x:c r="AD248" s="36" t="str">
        <x:v>JA</x:v>
      </x:c>
      <x:c r="AE248" s="36" t="str">
        <x:v>JA</x:v>
      </x:c>
      <x:c r="AF248" s="36" t="str">
        <x:v>JA</x:v>
      </x:c>
      <x:c r="AG248" s="36" t="str">
        <x:v>FREIGEGEBEN</x:v>
      </x:c>
      <x:c r="AH248" s="36" t="str">
        <x:v>GPT-5.6 Sol · Buchprüfung Lukas · L1912/OTB</x:v>
      </x:c>
      <x:c r="AI248" s="36" t="str">
        <x:v>FREIGEGEBEN</x:v>
      </x:c>
      <x:c r="AJ248" s="36" t="str">
        <x:v>Lukas 6: repetitive Wiedererkennungsfrage durch KERNAUSSAGE-Frage ersetzt.</x:v>
      </x:c>
      <x:c r="AK248" s="36" t="str">
        <x:v>FaithPath repo develop/v4 · data/bibles/l1912/LUK.json · data/bibles/otb/LUK.json</x:v>
      </x:c>
      <x:c r="AL248" t="str">
        <x:v>JA</x:v>
      </x:c>
    </x:row>
    <x:row r="249">
      <x:c r="A249" t="str">
        <x:v>FP-0508</x:v>
      </x:c>
      <x:c r="B249" t="str">
        <x:v>LUK</x:v>
      </x:c>
      <x:c r="C249" t="str">
        <x:v>Lukas</x:v>
      </x:c>
      <x:c r="D249" t="n">
        <x:v>6</x:v>
      </x:c>
      <x:c r="E249" t="n">
        <x:v>3</x:v>
      </x:c>
      <x:c r="F249" t="str">
        <x:v>LUK-006</x:v>
      </x:c>
      <x:c r="G249" t="n">
        <x:v>50</x:v>
      </x:c>
      <x:c r="H249" t="str">
        <x:v>CQ-A03</x:v>
      </x:c>
      <x:c r="I249" s="36" t="str">
        <x:v>Welche dieser Aussagen stammt aus Lukas 6?</x:v>
      </x:c>
      <x:c r="J249" s="36" t="str"/>
      <x:c r="K249" s="36" t="str"/>
      <x:c r="L249" s="36" t="str">
        <x:v>REPO_VERIFIZIERT_FRAGEFORM</x:v>
      </x:c>
      <x:c r="M249" s="36" t="str">
        <x:v>ERSETZEN</x:v>
      </x:c>
      <x:c r="N249" s="36" t="str">
        <x:v>REPETITIVE_FRAGEFORM</x:v>
      </x:c>
      <x:c r="O249" s="36" t="str">
        <x:v>REINE_WIEDERERKENNUNG</x:v>
      </x:c>
      <x:c r="P249" s="36" t="str">
        <x:v>TEXTGENAUIGKEIT</x:v>
      </x:c>
      <x:c r="Q249" s="36" t="str">
        <x:v>Welche Zusage gibt Jesus den Armen in den Seligpreisungen?</x:v>
      </x:c>
      <x:c r="R249" s="36" t="str">
        <x:v>Euch gehört das Reich Gottes.</x:v>
      </x:c>
      <x:c r="S249" s="36" t="str">
        <x:v>Ihr werdet alle reich werden.</x:v>
      </x:c>
      <x:c r="T249" s="36" t="str">
        <x:v>Ihr müsst Jerusalem verlassen.</x:v>
      </x:c>
      <x:c r="U249" s="36" t="str">
        <x:v>Ihr werdet nie wieder leiden.</x:v>
      </x:c>
      <x:c r="V249" s="36" t="n">
        <x:v>0</x:v>
      </x:c>
      <x:c r="W249" s="36" t="str">
        <x:v>Euch gehört das Reich Gottes.</x:v>
      </x:c>
      <x:c r="X249" s="36" t="str">
        <x:v>Lukas 6,20–23</x:v>
      </x:c>
      <x:c r="Y249" s="36" t="str">
        <x:v>Jesus spricht den Armen das Reich Gottes zu.</x:v>
      </x:c>
      <x:c r="Z249" s="36" t="str">
        <x:v>JA</x:v>
      </x:c>
      <x:c r="AA249" s="36" t="str">
        <x:v>JA</x:v>
      </x:c>
      <x:c r="AB249" s="36" t="str">
        <x:v>JA</x:v>
      </x:c>
      <x:c r="AC249" s="36" t="str">
        <x:v>JA</x:v>
      </x:c>
      <x:c r="AD249" s="36" t="str">
        <x:v>JA</x:v>
      </x:c>
      <x:c r="AE249" s="36" t="str">
        <x:v>JA</x:v>
      </x:c>
      <x:c r="AF249" s="36" t="str">
        <x:v>JA</x:v>
      </x:c>
      <x:c r="AG249" s="36" t="str">
        <x:v>FREIGEGEBEN</x:v>
      </x:c>
      <x:c r="AH249" s="36" t="str">
        <x:v>GPT-5.6 Sol · Buchprüfung Lukas · L1912/OTB</x:v>
      </x:c>
      <x:c r="AI249" s="36" t="str">
        <x:v>FREIGEGEBEN</x:v>
      </x:c>
      <x:c r="AJ249" s="36" t="str">
        <x:v>Lukas 6: repetitive Wiedererkennungsfrage durch TEXTGENAUIGKEIT-Frage ersetzt.</x:v>
      </x:c>
      <x:c r="AK249" s="36" t="str">
        <x:v>FaithPath repo develop/v4 · data/bibles/l1912/LUK.json · data/bibles/otb/LUK.json</x:v>
      </x:c>
      <x:c r="AL249" t="str">
        <x:v>JA</x:v>
      </x:c>
    </x:row>
    <x:row r="250">
      <x:c r="A250" t="str">
        <x:v>FP-0509</x:v>
      </x:c>
      <x:c r="B250" t="str">
        <x:v>LUK</x:v>
      </x:c>
      <x:c r="C250" t="str">
        <x:v>Lukas</x:v>
      </x:c>
      <x:c r="D250" t="n">
        <x:v>6</x:v>
      </x:c>
      <x:c r="E250" t="n">
        <x:v>4</x:v>
      </x:c>
      <x:c r="F250" t="str">
        <x:v>LUK-006</x:v>
      </x:c>
      <x:c r="G250" t="n">
        <x:v>50</x:v>
      </x:c>
      <x:c r="H250" t="str">
        <x:v>CQ-A03</x:v>
      </x:c>
      <x:c r="I250" s="36" t="str">
        <x:v>Welche dieser Aussagen stammt aus Lukas 6?</x:v>
      </x:c>
      <x:c r="J250" s="36" t="str"/>
      <x:c r="K250" s="36" t="str"/>
      <x:c r="L250" s="36" t="str">
        <x:v>REPO_VERIFIZIERT_FRAGEFORM</x:v>
      </x:c>
      <x:c r="M250" s="36" t="str">
        <x:v>ERSETZEN</x:v>
      </x:c>
      <x:c r="N250" s="36" t="str">
        <x:v>REPETITIVE_FRAGEFORM</x:v>
      </x:c>
      <x:c r="O250" s="36" t="str">
        <x:v>REINE_WIEDERERKENNUNG</x:v>
      </x:c>
      <x:c r="P250" s="36" t="str">
        <x:v>KERNAUSSAGE</x:v>
      </x:c>
      <x:c r="Q250" s="36" t="str">
        <x:v>Wie sollen Jesu Jünger mit ihren Feinden umgehen?</x:v>
      </x:c>
      <x:c r="R250" s="36" t="str">
        <x:v>Sie vollständig ignorieren.</x:v>
      </x:c>
      <x:c r="S250" s="36" t="str">
        <x:v>Sie lieben, ihnen Gutes tun, für sie beten und barmherzig sein.</x:v>
      </x:c>
      <x:c r="T250" s="36" t="str">
        <x:v>Sie öffentlich beschämen.</x:v>
      </x:c>
      <x:c r="U250" s="36" t="str">
        <x:v>Sie nur lieben, wenn sie sich zuerst entschuldigen.</x:v>
      </x:c>
      <x:c r="V250" s="36" t="n">
        <x:v>1</x:v>
      </x:c>
      <x:c r="W250" s="36" t="str">
        <x:v>Sie lieben, ihnen Gutes tun, für sie beten und barmherzig sein.</x:v>
      </x:c>
      <x:c r="X250" s="36" t="str">
        <x:v>Lukas 6,27–36</x:v>
      </x:c>
      <x:c r="Y250" s="36" t="str">
        <x:v>Jesus fordert Feindesliebe, Gebet für Misshandelnde und Barmherzigkeit nach dem Vorbild des Vaters.</x:v>
      </x:c>
      <x:c r="Z250" s="36" t="str">
        <x:v>JA</x:v>
      </x:c>
      <x:c r="AA250" s="36" t="str">
        <x:v>JA</x:v>
      </x:c>
      <x:c r="AB250" s="36" t="str">
        <x:v>JA</x:v>
      </x:c>
      <x:c r="AC250" s="36" t="str">
        <x:v>JA</x:v>
      </x:c>
      <x:c r="AD250" s="36" t="str">
        <x:v>JA</x:v>
      </x:c>
      <x:c r="AE250" s="36" t="str">
        <x:v>JA</x:v>
      </x:c>
      <x:c r="AF250" s="36" t="str">
        <x:v>JA</x:v>
      </x:c>
      <x:c r="AG250" s="36" t="str">
        <x:v>FREIGEGEBEN</x:v>
      </x:c>
      <x:c r="AH250" s="36" t="str">
        <x:v>GPT-5.6 Sol · Buchprüfung Lukas · L1912/OTB</x:v>
      </x:c>
      <x:c r="AI250" s="36" t="str">
        <x:v>FREIGEGEBEN</x:v>
      </x:c>
      <x:c r="AJ250" s="36" t="str">
        <x:v>Lukas 6: repetitive Wiedererkennungsfrage durch KERNAUSSAGE-Frage ersetzt.</x:v>
      </x:c>
      <x:c r="AK250" s="36" t="str">
        <x:v>FaithPath repo develop/v4 · data/bibles/l1912/LUK.json · data/bibles/otb/LUK.json</x:v>
      </x:c>
      <x:c r="AL250" t="str">
        <x:v>JA</x:v>
      </x:c>
    </x:row>
    <x:row r="251">
      <x:c r="A251" t="str">
        <x:v>FP-0510</x:v>
      </x:c>
      <x:c r="B251" t="str">
        <x:v>LUK</x:v>
      </x:c>
      <x:c r="C251" t="str">
        <x:v>Lukas</x:v>
      </x:c>
      <x:c r="D251" t="n">
        <x:v>6</x:v>
      </x:c>
      <x:c r="E251" t="n">
        <x:v>5</x:v>
      </x:c>
      <x:c r="F251" t="str">
        <x:v>LUK-006</x:v>
      </x:c>
      <x:c r="G251" t="n">
        <x:v>50</x:v>
      </x:c>
      <x:c r="H251" t="str">
        <x:v>CQ-A03</x:v>
      </x:c>
      <x:c r="I251" s="36" t="str">
        <x:v>Welche dieser Aussagen stammt aus Lukas 6?</x:v>
      </x:c>
      <x:c r="J251" s="36" t="str"/>
      <x:c r="K251" s="36" t="str"/>
      <x:c r="L251" s="36" t="str">
        <x:v>REPO_VERIFIZIERT_FRAGEFORM</x:v>
      </x:c>
      <x:c r="M251" s="36" t="str">
        <x:v>ERSETZEN</x:v>
      </x:c>
      <x:c r="N251" s="36" t="str">
        <x:v>REPETITIVE_FRAGEFORM</x:v>
      </x:c>
      <x:c r="O251" s="36" t="str">
        <x:v>REINE_WIEDERERKENNUNG</x:v>
      </x:c>
      <x:c r="P251" s="36" t="str">
        <x:v>ZUSAMMENHANG</x:v>
      </x:c>
      <x:c r="Q251" s="36" t="str">
        <x:v>Womit vergleicht Jesus einen Menschen, der seine Worte hört und danach handelt?</x:v>
      </x:c>
      <x:c r="R251" s="36" t="str">
        <x:v>Mit einem Baum ohne Wurzeln.</x:v>
      </x:c>
      <x:c r="S251" s="36" t="str">
        <x:v>Mit einem Schiff ohne Segel.</x:v>
      </x:c>
      <x:c r="T251" s="36" t="str">
        <x:v>Mit einem Haus, dessen Fundament tief auf Fels gelegt ist.</x:v>
      </x:c>
      <x:c r="U251" s="36" t="str">
        <x:v>Mit einem Haus auf Sand ohne Fundament.</x:v>
      </x:c>
      <x:c r="V251" s="36" t="n">
        <x:v>2</x:v>
      </x:c>
      <x:c r="W251" s="36" t="str">
        <x:v>Mit einem Haus, dessen Fundament tief auf Fels gelegt ist.</x:v>
      </x:c>
      <x:c r="X251" s="36" t="str">
        <x:v>Lukas 6,43–49</x:v>
      </x:c>
      <x:c r="Y251" s="36" t="str">
        <x:v>Wer Jesu Worte hört und tut, gleicht einem stabil gebauten Haus mit Fundament auf Fels.</x:v>
      </x:c>
      <x:c r="Z251" s="36" t="str">
        <x:v>JA</x:v>
      </x:c>
      <x:c r="AA251" s="36" t="str">
        <x:v>JA</x:v>
      </x:c>
      <x:c r="AB251" s="36" t="str">
        <x:v>JA</x:v>
      </x:c>
      <x:c r="AC251" s="36" t="str">
        <x:v>JA</x:v>
      </x:c>
      <x:c r="AD251" s="36" t="str">
        <x:v>JA</x:v>
      </x:c>
      <x:c r="AE251" s="36" t="str">
        <x:v>JA</x:v>
      </x:c>
      <x:c r="AF251" s="36" t="str">
        <x:v>JA</x:v>
      </x:c>
      <x:c r="AG251" s="36" t="str">
        <x:v>FREIGEGEBEN</x:v>
      </x:c>
      <x:c r="AH251" s="36" t="str">
        <x:v>GPT-5.6 Sol · Buchprüfung Lukas · L1912/OTB</x:v>
      </x:c>
      <x:c r="AI251" s="36" t="str">
        <x:v>FREIGEGEBEN</x:v>
      </x:c>
      <x:c r="AJ251" s="36" t="str">
        <x:v>Lukas 6: repetitive Wiedererkennungsfrage durch ZUSAMMENHANG-Frage ersetzt.</x:v>
      </x:c>
      <x:c r="AK251" s="36" t="str">
        <x:v>FaithPath repo develop/v4 · data/bibles/l1912/LUK.json · data/bibles/otb/LUK.json</x:v>
      </x:c>
      <x:c r="AL251" t="str">
        <x:v>JA</x:v>
      </x:c>
    </x:row>
    <x:row r="252">
      <x:c r="A252" t="str">
        <x:v>FP-0511</x:v>
      </x:c>
      <x:c r="B252" t="str">
        <x:v>LUK</x:v>
      </x:c>
      <x:c r="C252" t="str">
        <x:v>Lukas</x:v>
      </x:c>
      <x:c r="D252" t="n">
        <x:v>7</x:v>
      </x:c>
      <x:c r="E252" t="n">
        <x:v>1</x:v>
      </x:c>
      <x:c r="F252" t="str">
        <x:v>LUK-007</x:v>
      </x:c>
      <x:c r="G252" t="n">
        <x:v>51</x:v>
      </x:c>
      <x:c r="H252" t="str">
        <x:v>CQ-A03</x:v>
      </x:c>
      <x:c r="I252" s="36" t="str">
        <x:v>Welche dieser Aussagen stammt aus Lukas 7?</x:v>
      </x:c>
      <x:c r="J252" s="36" t="str"/>
      <x:c r="K252" s="36" t="str"/>
      <x:c r="L252" s="36" t="str">
        <x:v>REPO_VERIFIZIERT_FRAGEFORM</x:v>
      </x:c>
      <x:c r="M252" s="36" t="str">
        <x:v>ERSETZEN</x:v>
      </x:c>
      <x:c r="N252" s="36" t="str">
        <x:v>REPETITIVE_FRAGEFORM</x:v>
      </x:c>
      <x:c r="O252" s="36" t="str">
        <x:v>REINE_WIEDERERKENNUNG</x:v>
      </x:c>
      <x:c r="P252" s="36" t="str">
        <x:v>ZUSAMMENHANG</x:v>
      </x:c>
      <x:c r="Q252" s="36" t="str">
        <x:v>Warum staunt Jesus über den Glauben des Hauptmanns?</x:v>
      </x:c>
      <x:c r="R252" s="36" t="str">
        <x:v>Der Hauptmann verspricht eine große Geldsumme.</x:v>
      </x:c>
      <x:c r="S252" s="36" t="str">
        <x:v>Der Hauptmann ist selbst Priester.</x:v>
      </x:c>
      <x:c r="T252" s="36" t="str">
        <x:v>Der Hauptmann hat Jesus schon jahrelang begleitet.</x:v>
      </x:c>
      <x:c r="U252" s="36" t="str">
        <x:v>Der Hauptmann vertraut darauf, dass Jesu Wort genügt, obwohl Jesus nicht in sein Haus kommen muss.</x:v>
      </x:c>
      <x:c r="V252" s="36" t="n">
        <x:v>3</x:v>
      </x:c>
      <x:c r="W252" s="36" t="str">
        <x:v>Der Hauptmann vertraut darauf, dass Jesu Wort genügt, obwohl Jesus nicht in sein Haus kommen muss.</x:v>
      </x:c>
      <x:c r="X252" s="36" t="str">
        <x:v>Lukas 7,1–10</x:v>
      </x:c>
      <x:c r="Y252" s="36" t="str">
        <x:v>Der Hauptmann hält sich nicht für würdig, Jesus zu empfangen, vertraut aber vollständig auf die Wirksamkeit seines Wortes.</x:v>
      </x:c>
      <x:c r="Z252" s="36" t="str">
        <x:v>JA</x:v>
      </x:c>
      <x:c r="AA252" s="36" t="str">
        <x:v>JA</x:v>
      </x:c>
      <x:c r="AB252" s="36" t="str">
        <x:v>JA</x:v>
      </x:c>
      <x:c r="AC252" s="36" t="str">
        <x:v>JA</x:v>
      </x:c>
      <x:c r="AD252" s="36" t="str">
        <x:v>JA</x:v>
      </x:c>
      <x:c r="AE252" s="36" t="str">
        <x:v>JA</x:v>
      </x:c>
      <x:c r="AF252" s="36" t="str">
        <x:v>JA</x:v>
      </x:c>
      <x:c r="AG252" s="36" t="str">
        <x:v>FREIGEGEBEN</x:v>
      </x:c>
      <x:c r="AH252" s="36" t="str">
        <x:v>GPT-5.6 Sol · Buchprüfung Lukas · L1912/OTB</x:v>
      </x:c>
      <x:c r="AI252" s="36" t="str">
        <x:v>FREIGEGEBEN</x:v>
      </x:c>
      <x:c r="AJ252" s="36" t="str">
        <x:v>Lukas 7: repetitive Wiedererkennungsfrage durch ZUSAMMENHANG-Frage ersetzt.</x:v>
      </x:c>
      <x:c r="AK252" s="36" t="str">
        <x:v>FaithPath repo develop/v4 · data/bibles/l1912/LUK.json · data/bibles/otb/LUK.json</x:v>
      </x:c>
      <x:c r="AL252" t="str">
        <x:v>JA</x:v>
      </x:c>
    </x:row>
    <x:row r="253">
      <x:c r="A253" t="str">
        <x:v>FP-0512</x:v>
      </x:c>
      <x:c r="B253" t="str">
        <x:v>LUK</x:v>
      </x:c>
      <x:c r="C253" t="str">
        <x:v>Lukas</x:v>
      </x:c>
      <x:c r="D253" t="n">
        <x:v>7</x:v>
      </x:c>
      <x:c r="E253" t="n">
        <x:v>2</x:v>
      </x:c>
      <x:c r="F253" t="str">
        <x:v>LUK-007</x:v>
      </x:c>
      <x:c r="G253" t="n">
        <x:v>51</x:v>
      </x:c>
      <x:c r="H253" t="str">
        <x:v>CQ-A03</x:v>
      </x:c>
      <x:c r="I253" s="36" t="str">
        <x:v>Welche dieser Aussagen stammt aus Lukas 7?</x:v>
      </x:c>
      <x:c r="J253" s="36" t="str"/>
      <x:c r="K253" s="36" t="str"/>
      <x:c r="L253" s="36" t="str">
        <x:v>REPO_VERIFIZIERT_FRAGEFORM</x:v>
      </x:c>
      <x:c r="M253" s="36" t="str">
        <x:v>ERSETZEN</x:v>
      </x:c>
      <x:c r="N253" s="36" t="str">
        <x:v>REPETITIVE_FRAGEFORM</x:v>
      </x:c>
      <x:c r="O253" s="36" t="str">
        <x:v>REINE_WIEDERERKENNUNG</x:v>
      </x:c>
      <x:c r="P253" s="36" t="str">
        <x:v>GESCHEHEN</x:v>
      </x:c>
      <x:c r="Q253" s="36" t="str">
        <x:v>Was tut Jesus mit dem einzigen Sohn der Witwe von Nain?</x:v>
      </x:c>
      <x:c r="R253" s="36" t="str">
        <x:v>Er ruft den jungen Mann ins Leben zurück und gibt ihn seiner Mutter.</x:v>
      </x:c>
      <x:c r="S253" s="36" t="str">
        <x:v>Er schickt ihn in den Tempel.</x:v>
      </x:c>
      <x:c r="T253" s="36" t="str">
        <x:v>Er bittet die Jünger, ihn zu begraben.</x:v>
      </x:c>
      <x:c r="U253" s="36" t="str">
        <x:v>Er bringt die Witwe nach Kapernaum.</x:v>
      </x:c>
      <x:c r="V253" s="36" t="n">
        <x:v>0</x:v>
      </x:c>
      <x:c r="W253" s="36" t="str">
        <x:v>Er ruft den jungen Mann ins Leben zurück und gibt ihn seiner Mutter.</x:v>
      </x:c>
      <x:c r="X253" s="36" t="str">
        <x:v>Lukas 7,11–17</x:v>
      </x:c>
      <x:c r="Y253" s="36" t="str">
        <x:v>Jesus hat Mitleid mit der Witwe, spricht den Toten an, und der junge Mann richtet sich auf.</x:v>
      </x:c>
      <x:c r="Z253" s="36" t="str">
        <x:v>JA</x:v>
      </x:c>
      <x:c r="AA253" s="36" t="str">
        <x:v>JA</x:v>
      </x:c>
      <x:c r="AB253" s="36" t="str">
        <x:v>JA</x:v>
      </x:c>
      <x:c r="AC253" s="36" t="str">
        <x:v>JA</x:v>
      </x:c>
      <x:c r="AD253" s="36" t="str">
        <x:v>JA</x:v>
      </x:c>
      <x:c r="AE253" s="36" t="str">
        <x:v>JA</x:v>
      </x:c>
      <x:c r="AF253" s="36" t="str">
        <x:v>JA</x:v>
      </x:c>
      <x:c r="AG253" s="36" t="str">
        <x:v>FREIGEGEBEN</x:v>
      </x:c>
      <x:c r="AH253" s="36" t="str">
        <x:v>GPT-5.6 Sol · Buchprüfung Lukas · L1912/OTB</x:v>
      </x:c>
      <x:c r="AI253" s="36" t="str">
        <x:v>FREIGEGEBEN</x:v>
      </x:c>
      <x:c r="AJ253" s="36" t="str">
        <x:v>Lukas 7: repetitive Wiedererkennungsfrage durch GESCHEHEN-Frage ersetzt.</x:v>
      </x:c>
      <x:c r="AK253" s="36" t="str">
        <x:v>FaithPath repo develop/v4 · data/bibles/l1912/LUK.json · data/bibles/otb/LUK.json</x:v>
      </x:c>
      <x:c r="AL253" t="str">
        <x:v>JA</x:v>
      </x:c>
    </x:row>
    <x:row r="254">
      <x:c r="A254" t="str">
        <x:v>FP-0513</x:v>
      </x:c>
      <x:c r="B254" t="str">
        <x:v>LUK</x:v>
      </x:c>
      <x:c r="C254" t="str">
        <x:v>Lukas</x:v>
      </x:c>
      <x:c r="D254" t="n">
        <x:v>7</x:v>
      </x:c>
      <x:c r="E254" t="n">
        <x:v>3</x:v>
      </x:c>
      <x:c r="F254" t="str">
        <x:v>LUK-007</x:v>
      </x:c>
      <x:c r="G254" t="n">
        <x:v>51</x:v>
      </x:c>
      <x:c r="H254" t="str">
        <x:v>CQ-A03</x:v>
      </x:c>
      <x:c r="I254" s="36" t="str">
        <x:v>Welche dieser Aussagen stammt aus Lukas 7?</x:v>
      </x:c>
      <x:c r="J254" s="36" t="str"/>
      <x:c r="K254" s="36" t="str"/>
      <x:c r="L254" s="36" t="str">
        <x:v>REPO_VERIFIZIERT_FRAGEFORM</x:v>
      </x:c>
      <x:c r="M254" s="36" t="str">
        <x:v>ERSETZEN</x:v>
      </x:c>
      <x:c r="N254" s="36" t="str">
        <x:v>REPETITIVE_FRAGEFORM</x:v>
      </x:c>
      <x:c r="O254" s="36" t="str">
        <x:v>REINE_WIEDERERKENNUNG</x:v>
      </x:c>
      <x:c r="P254" s="36" t="str">
        <x:v>ZUSAMMENHANG</x:v>
      </x:c>
      <x:c r="Q254" s="36" t="str">
        <x:v>Wie beantwortet Jesus die Frage Johannes' des Täufers, ob er der Kommende sei?</x:v>
      </x:c>
      <x:c r="R254" s="36" t="str">
        <x:v>Er nennt nur seinen Stammbaum.</x:v>
      </x:c>
      <x:c r="S254" s="36" t="str">
        <x:v>Er verweist auf das, was seine Boten sehen und hören: Heilungen, Auferweckung und Evangelium für die Armen.</x:v>
      </x:c>
      <x:c r="T254" s="36" t="str">
        <x:v>Er gibt ihnen ein geheimes Zeichen.</x:v>
      </x:c>
      <x:c r="U254" s="36" t="str">
        <x:v>Er schickt sie ohne Antwort zurück.</x:v>
      </x:c>
      <x:c r="V254" s="36" t="n">
        <x:v>1</x:v>
      </x:c>
      <x:c r="W254" s="36" t="str">
        <x:v>Er verweist auf das, was seine Boten sehen und hören: Heilungen, Auferweckung und Evangelium für die Armen.</x:v>
      </x:c>
      <x:c r="X254" s="36" t="str">
        <x:v>Lukas 7,18–23</x:v>
      </x:c>
      <x:c r="Y254" s="36" t="str">
        <x:v>Jesus verweist auf konkrete Zeichen seines Wirkens, die die Boten Johannes berichten sollen.</x:v>
      </x:c>
      <x:c r="Z254" s="36" t="str">
        <x:v>JA</x:v>
      </x:c>
      <x:c r="AA254" s="36" t="str">
        <x:v>JA</x:v>
      </x:c>
      <x:c r="AB254" s="36" t="str">
        <x:v>JA</x:v>
      </x:c>
      <x:c r="AC254" s="36" t="str">
        <x:v>JA</x:v>
      </x:c>
      <x:c r="AD254" s="36" t="str">
        <x:v>JA</x:v>
      </x:c>
      <x:c r="AE254" s="36" t="str">
        <x:v>JA</x:v>
      </x:c>
      <x:c r="AF254" s="36" t="str">
        <x:v>JA</x:v>
      </x:c>
      <x:c r="AG254" s="36" t="str">
        <x:v>FREIGEGEBEN</x:v>
      </x:c>
      <x:c r="AH254" s="36" t="str">
        <x:v>GPT-5.6 Sol · Buchprüfung Lukas · L1912/OTB</x:v>
      </x:c>
      <x:c r="AI254" s="36" t="str">
        <x:v>FREIGEGEBEN</x:v>
      </x:c>
      <x:c r="AJ254" s="36" t="str">
        <x:v>Lukas 7: repetitive Wiedererkennungsfrage durch ZUSAMMENHANG-Frage ersetzt.</x:v>
      </x:c>
      <x:c r="AK254" s="36" t="str">
        <x:v>FaithPath repo develop/v4 · data/bibles/l1912/LUK.json · data/bibles/otb/LUK.json</x:v>
      </x:c>
      <x:c r="AL254" t="str">
        <x:v>JA</x:v>
      </x:c>
    </x:row>
    <x:row r="255">
      <x:c r="A255" t="str">
        <x:v>FP-0514</x:v>
      </x:c>
      <x:c r="B255" t="str">
        <x:v>LUK</x:v>
      </x:c>
      <x:c r="C255" t="str">
        <x:v>Lukas</x:v>
      </x:c>
      <x:c r="D255" t="n">
        <x:v>7</x:v>
      </x:c>
      <x:c r="E255" t="n">
        <x:v>4</x:v>
      </x:c>
      <x:c r="F255" t="str">
        <x:v>LUK-007</x:v>
      </x:c>
      <x:c r="G255" t="n">
        <x:v>51</x:v>
      </x:c>
      <x:c r="H255" t="str">
        <x:v>CQ-A03</x:v>
      </x:c>
      <x:c r="I255" s="36" t="str">
        <x:v>Welche dieser Aussagen stammt aus Lukas 7?</x:v>
      </x:c>
      <x:c r="J255" s="36" t="str"/>
      <x:c r="K255" s="36" t="str"/>
      <x:c r="L255" s="36" t="str">
        <x:v>REPO_VERIFIZIERT_FRAGEFORM</x:v>
      </x:c>
      <x:c r="M255" s="36" t="str">
        <x:v>ERSETZEN</x:v>
      </x:c>
      <x:c r="N255" s="36" t="str">
        <x:v>REPETITIVE_FRAGEFORM</x:v>
      </x:c>
      <x:c r="O255" s="36" t="str">
        <x:v>REINE_WIEDERERKENNUNG</x:v>
      </x:c>
      <x:c r="P255" s="36" t="str">
        <x:v>KERNAUSSAGE</x:v>
      </x:c>
      <x:c r="Q255" s="36" t="str">
        <x:v>Wie beschreibt Jesus Johannes den Täufer?</x:v>
      </x:c>
      <x:c r="R255" s="36" t="str">
        <x:v>Als einen König von Israel.</x:v>
      </x:c>
      <x:c r="S255" s="36" t="str">
        <x:v>Als den letzten Hohepriester.</x:v>
      </x:c>
      <x:c r="T255" s="36" t="str">
        <x:v>Als mehr als einen Propheten und als den angekündigten Boten, der den Weg bereitet.</x:v>
      </x:c>
      <x:c r="U255" s="36" t="str">
        <x:v>Als einen seiner zwölf Apostel.</x:v>
      </x:c>
      <x:c r="V255" s="36" t="n">
        <x:v>2</x:v>
      </x:c>
      <x:c r="W255" s="36" t="str">
        <x:v>Als mehr als einen Propheten und als den angekündigten Boten, der den Weg bereitet.</x:v>
      </x:c>
      <x:c r="X255" s="36" t="str">
        <x:v>Lukas 7,24–28</x:v>
      </x:c>
      <x:c r="Y255" s="36" t="str">
        <x:v>Jesus bezeichnet Johannes als mehr als einen Propheten und verbindet ihn mit dem angekündigten Wegbereiter.</x:v>
      </x:c>
      <x:c r="Z255" s="36" t="str">
        <x:v>JA</x:v>
      </x:c>
      <x:c r="AA255" s="36" t="str">
        <x:v>JA</x:v>
      </x:c>
      <x:c r="AB255" s="36" t="str">
        <x:v>JA</x:v>
      </x:c>
      <x:c r="AC255" s="36" t="str">
        <x:v>JA</x:v>
      </x:c>
      <x:c r="AD255" s="36" t="str">
        <x:v>JA</x:v>
      </x:c>
      <x:c r="AE255" s="36" t="str">
        <x:v>JA</x:v>
      </x:c>
      <x:c r="AF255" s="36" t="str">
        <x:v>JA</x:v>
      </x:c>
      <x:c r="AG255" s="36" t="str">
        <x:v>FREIGEGEBEN</x:v>
      </x:c>
      <x:c r="AH255" s="36" t="str">
        <x:v>GPT-5.6 Sol · Buchprüfung Lukas · L1912/OTB</x:v>
      </x:c>
      <x:c r="AI255" s="36" t="str">
        <x:v>FREIGEGEBEN</x:v>
      </x:c>
      <x:c r="AJ255" s="36" t="str">
        <x:v>Lukas 7: repetitive Wiedererkennungsfrage durch KERNAUSSAGE-Frage ersetzt.</x:v>
      </x:c>
      <x:c r="AK255" s="36" t="str">
        <x:v>FaithPath repo develop/v4 · data/bibles/l1912/LUK.json · data/bibles/otb/LUK.json</x:v>
      </x:c>
      <x:c r="AL255" t="str">
        <x:v>JA</x:v>
      </x:c>
    </x:row>
    <x:row r="256">
      <x:c r="A256" t="str">
        <x:v>FP-0515</x:v>
      </x:c>
      <x:c r="B256" t="str">
        <x:v>LUK</x:v>
      </x:c>
      <x:c r="C256" t="str">
        <x:v>Lukas</x:v>
      </x:c>
      <x:c r="D256" t="n">
        <x:v>7</x:v>
      </x:c>
      <x:c r="E256" t="n">
        <x:v>5</x:v>
      </x:c>
      <x:c r="F256" t="str">
        <x:v>LUK-007</x:v>
      </x:c>
      <x:c r="G256" t="n">
        <x:v>51</x:v>
      </x:c>
      <x:c r="H256" t="str">
        <x:v>CQ-A03</x:v>
      </x:c>
      <x:c r="I256" s="36" t="str">
        <x:v>Welche dieser Aussagen stammt aus Lukas 7?</x:v>
      </x:c>
      <x:c r="J256" s="36" t="str"/>
      <x:c r="K256" s="36" t="str"/>
      <x:c r="L256" s="36" t="str">
        <x:v>REPO_VERIFIZIERT_FRAGEFORM</x:v>
      </x:c>
      <x:c r="M256" s="36" t="str">
        <x:v>ERSETZEN</x:v>
      </x:c>
      <x:c r="N256" s="36" t="str">
        <x:v>REPETITIVE_FRAGEFORM</x:v>
      </x:c>
      <x:c r="O256" s="36" t="str">
        <x:v>REINE_WIEDERERKENNUNG</x:v>
      </x:c>
      <x:c r="P256" s="36" t="str">
        <x:v>KERNAUSSAGE</x:v>
      </x:c>
      <x:c r="Q256" s="36" t="str">
        <x:v>Welche Verbindung stellt Jesus im Haus des Pharisäers zwischen Vergebung und Liebe her?</x:v>
      </x:c>
      <x:c r="R256" s="36" t="str">
        <x:v>Liebe macht Vergebung unnötig.</x:v>
      </x:c>
      <x:c r="S256" s="36" t="str">
        <x:v>Nur der Gastgeber kann vergeben.</x:v>
      </x:c>
      <x:c r="T256" s="36" t="str">
        <x:v>Vergebung hängt von Reichtum ab.</x:v>
      </x:c>
      <x:c r="U256" s="36" t="str">
        <x:v>Wem viel vergeben ist, dessen große Liebe wird sichtbar; der Frau sagt er, ihr Glaube habe sie gerettet.</x:v>
      </x:c>
      <x:c r="V256" s="36" t="n">
        <x:v>3</x:v>
      </x:c>
      <x:c r="W256" s="36" t="str">
        <x:v>Wem viel vergeben ist, dessen große Liebe wird sichtbar; der Frau sagt er, ihr Glaube habe sie gerettet.</x:v>
      </x:c>
      <x:c r="X256" s="36" t="str">
        <x:v>Lukas 7,36–50</x:v>
      </x:c>
      <x:c r="Y256" s="36" t="str">
        <x:v>Jesu Gleichnis von zwei Schuldnern erklärt, warum die große Liebe der Frau mit erfahrene Vergebung zusammenhängt.</x:v>
      </x:c>
      <x:c r="Z256" s="36" t="str">
        <x:v>JA</x:v>
      </x:c>
      <x:c r="AA256" s="36" t="str">
        <x:v>JA</x:v>
      </x:c>
      <x:c r="AB256" s="36" t="str">
        <x:v>JA</x:v>
      </x:c>
      <x:c r="AC256" s="36" t="str">
        <x:v>JA</x:v>
      </x:c>
      <x:c r="AD256" s="36" t="str">
        <x:v>JA</x:v>
      </x:c>
      <x:c r="AE256" s="36" t="str">
        <x:v>JA</x:v>
      </x:c>
      <x:c r="AF256" s="36" t="str">
        <x:v>JA</x:v>
      </x:c>
      <x:c r="AG256" s="36" t="str">
        <x:v>FREIGEGEBEN</x:v>
      </x:c>
      <x:c r="AH256" s="36" t="str">
        <x:v>GPT-5.6 Sol · Buchprüfung Lukas · L1912/OTB</x:v>
      </x:c>
      <x:c r="AI256" s="36" t="str">
        <x:v>FREIGEGEBEN</x:v>
      </x:c>
      <x:c r="AJ256" s="36" t="str">
        <x:v>Lukas 7: repetitive Wiedererkennungsfrage durch KERNAUSSAGE-Frage ersetzt.</x:v>
      </x:c>
      <x:c r="AK256" s="36" t="str">
        <x:v>FaithPath repo develop/v4 · data/bibles/l1912/LUK.json · data/bibles/otb/LUK.json</x:v>
      </x:c>
      <x:c r="AL256" t="str">
        <x:v>JA</x:v>
      </x:c>
    </x:row>
    <x:row r="257">
      <x:c r="A257" t="str">
        <x:v>FP-0516</x:v>
      </x:c>
      <x:c r="B257" t="str">
        <x:v>LUK</x:v>
      </x:c>
      <x:c r="C257" t="str">
        <x:v>Lukas</x:v>
      </x:c>
      <x:c r="D257" t="n">
        <x:v>8</x:v>
      </x:c>
      <x:c r="E257" t="n">
        <x:v>1</x:v>
      </x:c>
      <x:c r="F257" t="str">
        <x:v>LUK-008</x:v>
      </x:c>
      <x:c r="G257" t="n">
        <x:v>52</x:v>
      </x:c>
      <x:c r="H257" t="str">
        <x:v>CQ-A03</x:v>
      </x:c>
      <x:c r="I257" s="36" t="str">
        <x:v>Welche dieser Aussagen stammt aus Lukas 8?</x:v>
      </x:c>
      <x:c r="J257" s="36" t="str"/>
      <x:c r="K257" s="36" t="str"/>
      <x:c r="L257" s="36" t="str">
        <x:v>REPO_VERIFIZIERT_FRAGEFORM</x:v>
      </x:c>
      <x:c r="M257" s="36" t="str">
        <x:v>ERSETZEN</x:v>
      </x:c>
      <x:c r="N257" s="36" t="str">
        <x:v>REPETITIVE_FRAGEFORM</x:v>
      </x:c>
      <x:c r="O257" s="36" t="str">
        <x:v>REINE_WIEDERERKENNUNG</x:v>
      </x:c>
      <x:c r="P257" s="36" t="str">
        <x:v>DETAIL</x:v>
      </x:c>
      <x:c r="Q257" s="36" t="str">
        <x:v>Wie unterstützen einige Frauen Jesus und die Zwölf auf ihren Reisen?</x:v>
      </x:c>
      <x:c r="R257" s="36" t="str">
        <x:v>Sie dienen ihnen aus ihrem eigenen Besitz.</x:v>
      </x:c>
      <x:c r="S257" s="36" t="str">
        <x:v>Sie führen römische Soldaten mit.</x:v>
      </x:c>
      <x:c r="T257" s="36" t="str">
        <x:v>Sie bauen Synagogen für sie.</x:v>
      </x:c>
      <x:c r="U257" s="36" t="str">
        <x:v>Sie schreiben alle Gleichnisse auf.</x:v>
      </x:c>
      <x:c r="V257" s="36" t="n">
        <x:v>0</x:v>
      </x:c>
      <x:c r="W257" s="36" t="str">
        <x:v>Sie dienen ihnen aus ihrem eigenen Besitz.</x:v>
      </x:c>
      <x:c r="X257" s="36" t="str">
        <x:v>Lukas 8,1–3</x:v>
      </x:c>
      <x:c r="Y257" s="36" t="str">
        <x:v>Lukas nennt mehrere Frauen, die Jesus begleiten und die Gruppe aus ihren eigenen Mitteln unterstützen.</x:v>
      </x:c>
      <x:c r="Z257" s="36" t="str">
        <x:v>JA</x:v>
      </x:c>
      <x:c r="AA257" s="36" t="str">
        <x:v>JA</x:v>
      </x:c>
      <x:c r="AB257" s="36" t="str">
        <x:v>JA</x:v>
      </x:c>
      <x:c r="AC257" s="36" t="str">
        <x:v>JA</x:v>
      </x:c>
      <x:c r="AD257" s="36" t="str">
        <x:v>JA</x:v>
      </x:c>
      <x:c r="AE257" s="36" t="str">
        <x:v>JA</x:v>
      </x:c>
      <x:c r="AF257" s="36" t="str">
        <x:v>JA</x:v>
      </x:c>
      <x:c r="AG257" s="36" t="str">
        <x:v>FREIGEGEBEN</x:v>
      </x:c>
      <x:c r="AH257" s="36" t="str">
        <x:v>GPT-5.6 Sol · Buchprüfung Lukas · L1912/OTB</x:v>
      </x:c>
      <x:c r="AI257" s="36" t="str">
        <x:v>FREIGEGEBEN</x:v>
      </x:c>
      <x:c r="AJ257" s="36" t="str">
        <x:v>Lukas 8: repetitive Wiedererkennungsfrage durch DETAIL-Frage ersetzt.</x:v>
      </x:c>
      <x:c r="AK257" s="36" t="str">
        <x:v>FaithPath repo develop/v4 · data/bibles/l1912/LUK.json · data/bibles/otb/LUK.json</x:v>
      </x:c>
      <x:c r="AL257" t="str">
        <x:v>JA</x:v>
      </x:c>
    </x:row>
    <x:row r="258">
      <x:c r="A258" t="str">
        <x:v>FP-0517</x:v>
      </x:c>
      <x:c r="B258" t="str">
        <x:v>LUK</x:v>
      </x:c>
      <x:c r="C258" t="str">
        <x:v>Lukas</x:v>
      </x:c>
      <x:c r="D258" t="n">
        <x:v>8</x:v>
      </x:c>
      <x:c r="E258" t="n">
        <x:v>2</x:v>
      </x:c>
      <x:c r="F258" t="str">
        <x:v>LUK-008</x:v>
      </x:c>
      <x:c r="G258" t="n">
        <x:v>52</x:v>
      </x:c>
      <x:c r="H258" t="str">
        <x:v>CQ-A03</x:v>
      </x:c>
      <x:c r="I258" s="36" t="str">
        <x:v>Welche dieser Aussagen stammt aus Lukas 8?</x:v>
      </x:c>
      <x:c r="J258" s="36" t="str"/>
      <x:c r="K258" s="36" t="str"/>
      <x:c r="L258" s="36" t="str">
        <x:v>REPO_VERIFIZIERT_FRAGEFORM</x:v>
      </x:c>
      <x:c r="M258" s="36" t="str">
        <x:v>ERSETZEN</x:v>
      </x:c>
      <x:c r="N258" s="36" t="str">
        <x:v>REPETITIVE_FRAGEFORM</x:v>
      </x:c>
      <x:c r="O258" s="36" t="str">
        <x:v>REINE_WIEDERERKENNUNG</x:v>
      </x:c>
      <x:c r="P258" s="36" t="str">
        <x:v>KERNAUSSAGE</x:v>
      </x:c>
      <x:c r="Q258" s="36" t="str">
        <x:v>Wofür steht der gute Boden im Gleichnis vom Sämann?</x:v>
      </x:c>
      <x:c r="R258" s="36" t="str">
        <x:v>Für Menschen, die das Wort sofort vergessen.</x:v>
      </x:c>
      <x:c r="S258" s="36" t="str">
        <x:v>Für Menschen, die das Wort hören, bewahren und mit Ausdauer Frucht bringen.</x:v>
      </x:c>
      <x:c r="T258" s="36" t="str">
        <x:v>Für Menschen, die nur Reichtum suchen.</x:v>
      </x:c>
      <x:c r="U258" s="36" t="str">
        <x:v>Für Menschen, die nie Prüfungen erleben.</x:v>
      </x:c>
      <x:c r="V258" s="36" t="n">
        <x:v>1</x:v>
      </x:c>
      <x:c r="W258" s="36" t="str">
        <x:v>Für Menschen, die das Wort hören, bewahren und mit Ausdauer Frucht bringen.</x:v>
      </x:c>
      <x:c r="X258" s="36" t="str">
        <x:v>Lukas 8,4–15</x:v>
      </x:c>
      <x:c r="Y258" s="36" t="str">
        <x:v>Der gute Boden steht für ein gutes Herz, das das Wort hört, festhält und geduldig Frucht bringt.</x:v>
      </x:c>
      <x:c r="Z258" s="36" t="str">
        <x:v>JA</x:v>
      </x:c>
      <x:c r="AA258" s="36" t="str">
        <x:v>JA</x:v>
      </x:c>
      <x:c r="AB258" s="36" t="str">
        <x:v>JA</x:v>
      </x:c>
      <x:c r="AC258" s="36" t="str">
        <x:v>JA</x:v>
      </x:c>
      <x:c r="AD258" s="36" t="str">
        <x:v>JA</x:v>
      </x:c>
      <x:c r="AE258" s="36" t="str">
        <x:v>JA</x:v>
      </x:c>
      <x:c r="AF258" s="36" t="str">
        <x:v>JA</x:v>
      </x:c>
      <x:c r="AG258" s="36" t="str">
        <x:v>FREIGEGEBEN</x:v>
      </x:c>
      <x:c r="AH258" s="36" t="str">
        <x:v>GPT-5.6 Sol · Buchprüfung Lukas · L1912/OTB</x:v>
      </x:c>
      <x:c r="AI258" s="36" t="str">
        <x:v>FREIGEGEBEN</x:v>
      </x:c>
      <x:c r="AJ258" s="36" t="str">
        <x:v>Lukas 8: repetitive Wiedererkennungsfrage durch KERNAUSSAGE-Frage ersetzt.</x:v>
      </x:c>
      <x:c r="AK258" s="36" t="str">
        <x:v>FaithPath repo develop/v4 · data/bibles/l1912/LUK.json · data/bibles/otb/LUK.json</x:v>
      </x:c>
      <x:c r="AL258" t="str">
        <x:v>JA</x:v>
      </x:c>
    </x:row>
    <x:row r="259">
      <x:c r="A259" t="str">
        <x:v>FP-0518</x:v>
      </x:c>
      <x:c r="B259" t="str">
        <x:v>LUK</x:v>
      </x:c>
      <x:c r="C259" t="str">
        <x:v>Lukas</x:v>
      </x:c>
      <x:c r="D259" t="n">
        <x:v>8</x:v>
      </x:c>
      <x:c r="E259" t="n">
        <x:v>3</x:v>
      </x:c>
      <x:c r="F259" t="str">
        <x:v>LUK-008</x:v>
      </x:c>
      <x:c r="G259" t="n">
        <x:v>52</x:v>
      </x:c>
      <x:c r="H259" t="str">
        <x:v>CQ-A03</x:v>
      </x:c>
      <x:c r="I259" s="36" t="str">
        <x:v>Welche dieser Aussagen stammt aus Lukas 8?</x:v>
      </x:c>
      <x:c r="J259" s="36" t="str"/>
      <x:c r="K259" s="36" t="str"/>
      <x:c r="L259" s="36" t="str">
        <x:v>REPO_VERIFIZIERT_FRAGEFORM</x:v>
      </x:c>
      <x:c r="M259" s="36" t="str">
        <x:v>ERSETZEN</x:v>
      </x:c>
      <x:c r="N259" s="36" t="str">
        <x:v>REPETITIVE_FRAGEFORM</x:v>
      </x:c>
      <x:c r="O259" s="36" t="str">
        <x:v>REINE_WIEDERERKENNUNG</x:v>
      </x:c>
      <x:c r="P259" s="36" t="str">
        <x:v>KERNAUSSAGE</x:v>
      </x:c>
      <x:c r="Q259" s="36" t="str">
        <x:v>Was sagt Jesus über eine angezündete Lampe?</x:v>
      </x:c>
      <x:c r="R259" s="36" t="str">
        <x:v>Man verbirgt sie unter einem Gefäß.</x:v>
      </x:c>
      <x:c r="S259" s="36" t="str">
        <x:v>Man löscht sie sofort wieder.</x:v>
      </x:c>
      <x:c r="T259" s="36" t="str">
        <x:v>Man stellt sie auf einen Leuchter, damit die Hereinkommenden das Licht sehen.</x:v>
      </x:c>
      <x:c r="U259" s="36" t="str">
        <x:v>Man darf sie nur im Tempel anzünden.</x:v>
      </x:c>
      <x:c r="V259" s="36" t="n">
        <x:v>2</x:v>
      </x:c>
      <x:c r="W259" s="36" t="str">
        <x:v>Man stellt sie auf einen Leuchter, damit die Hereinkommenden das Licht sehen.</x:v>
      </x:c>
      <x:c r="X259" s="36" t="str">
        <x:v>Lukas 8,16–18</x:v>
      </x:c>
      <x:c r="Y259" s="36" t="str">
        <x:v>Das Licht soll sichtbar sein; Jesus verbindet das Bild mit der Aufforderung, darauf zu achten, wie man hört.</x:v>
      </x:c>
      <x:c r="Z259" s="36" t="str">
        <x:v>JA</x:v>
      </x:c>
      <x:c r="AA259" s="36" t="str">
        <x:v>JA</x:v>
      </x:c>
      <x:c r="AB259" s="36" t="str">
        <x:v>JA</x:v>
      </x:c>
      <x:c r="AC259" s="36" t="str">
        <x:v>JA</x:v>
      </x:c>
      <x:c r="AD259" s="36" t="str">
        <x:v>JA</x:v>
      </x:c>
      <x:c r="AE259" s="36" t="str">
        <x:v>JA</x:v>
      </x:c>
      <x:c r="AF259" s="36" t="str">
        <x:v>JA</x:v>
      </x:c>
      <x:c r="AG259" s="36" t="str">
        <x:v>FREIGEGEBEN</x:v>
      </x:c>
      <x:c r="AH259" s="36" t="str">
        <x:v>GPT-5.6 Sol · Buchprüfung Lukas · L1912/OTB</x:v>
      </x:c>
      <x:c r="AI259" s="36" t="str">
        <x:v>FREIGEGEBEN</x:v>
      </x:c>
      <x:c r="AJ259" s="36" t="str">
        <x:v>Lukas 8: repetitive Wiedererkennungsfrage durch KERNAUSSAGE-Frage ersetzt.</x:v>
      </x:c>
      <x:c r="AK259" s="36" t="str">
        <x:v>FaithPath repo develop/v4 · data/bibles/l1912/LUK.json · data/bibles/otb/LUK.json</x:v>
      </x:c>
      <x:c r="AL259" t="str">
        <x:v>JA</x:v>
      </x:c>
    </x:row>
    <x:row r="260">
      <x:c r="A260" t="str">
        <x:v>FP-0519</x:v>
      </x:c>
      <x:c r="B260" t="str">
        <x:v>LUK</x:v>
      </x:c>
      <x:c r="C260" t="str">
        <x:v>Lukas</x:v>
      </x:c>
      <x:c r="D260" t="n">
        <x:v>8</x:v>
      </x:c>
      <x:c r="E260" t="n">
        <x:v>4</x:v>
      </x:c>
      <x:c r="F260" t="str">
        <x:v>LUK-008</x:v>
      </x:c>
      <x:c r="G260" t="n">
        <x:v>52</x:v>
      </x:c>
      <x:c r="H260" t="str">
        <x:v>CQ-A03</x:v>
      </x:c>
      <x:c r="I260" s="36" t="str">
        <x:v>Welche dieser Aussagen stammt aus Lukas 8?</x:v>
      </x:c>
      <x:c r="J260" s="36" t="str"/>
      <x:c r="K260" s="36" t="str"/>
      <x:c r="L260" s="36" t="str">
        <x:v>REPO_VERIFIZIERT_FRAGEFORM</x:v>
      </x:c>
      <x:c r="M260" s="36" t="str">
        <x:v>ERSETZEN</x:v>
      </x:c>
      <x:c r="N260" s="36" t="str">
        <x:v>REPETITIVE_FRAGEFORM</x:v>
      </x:c>
      <x:c r="O260" s="36" t="str">
        <x:v>REINE_WIEDERERKENNUNG</x:v>
      </x:c>
      <x:c r="P260" s="36" t="str">
        <x:v>GESCHEHEN</x:v>
      </x:c>
      <x:c r="Q260" s="36" t="str">
        <x:v>Wie reagieren Wind und Wellen, als Jesus sie auf dem See bedroht?</x:v>
      </x:c>
      <x:c r="R260" s="36" t="str">
        <x:v>Der Sturm wird stärker.</x:v>
      </x:c>
      <x:c r="S260" s="36" t="str">
        <x:v>Das Boot kentert.</x:v>
      </x:c>
      <x:c r="T260" s="36" t="str">
        <x:v>Nur der Wind hört auf, die Wellen bleiben.</x:v>
      </x:c>
      <x:c r="U260" s="36" t="str">
        <x:v>Sie legen sich, und es wird still.</x:v>
      </x:c>
      <x:c r="V260" s="36" t="n">
        <x:v>3</x:v>
      </x:c>
      <x:c r="W260" s="36" t="str">
        <x:v>Sie legen sich, und es wird still.</x:v>
      </x:c>
      <x:c r="X260" s="36" t="str">
        <x:v>Lukas 8,22–25</x:v>
      </x:c>
      <x:c r="Y260" s="36" t="str">
        <x:v>Jesus stillt Wind und Wellen; die Jünger staunen darüber, dass selbst Naturgewalten ihm gehorchen.</x:v>
      </x:c>
      <x:c r="Z260" s="36" t="str">
        <x:v>JA</x:v>
      </x:c>
      <x:c r="AA260" s="36" t="str">
        <x:v>JA</x:v>
      </x:c>
      <x:c r="AB260" s="36" t="str">
        <x:v>JA</x:v>
      </x:c>
      <x:c r="AC260" s="36" t="str">
        <x:v>JA</x:v>
      </x:c>
      <x:c r="AD260" s="36" t="str">
        <x:v>JA</x:v>
      </x:c>
      <x:c r="AE260" s="36" t="str">
        <x:v>JA</x:v>
      </x:c>
      <x:c r="AF260" s="36" t="str">
        <x:v>JA</x:v>
      </x:c>
      <x:c r="AG260" s="36" t="str">
        <x:v>FREIGEGEBEN</x:v>
      </x:c>
      <x:c r="AH260" s="36" t="str">
        <x:v>GPT-5.6 Sol · Buchprüfung Lukas · L1912/OTB</x:v>
      </x:c>
      <x:c r="AI260" s="36" t="str">
        <x:v>FREIGEGEBEN</x:v>
      </x:c>
      <x:c r="AJ260" s="36" t="str">
        <x:v>Lukas 8: repetitive Wiedererkennungsfrage durch GESCHEHEN-Frage ersetzt.</x:v>
      </x:c>
      <x:c r="AK260" s="36" t="str">
        <x:v>FaithPath repo develop/v4 · data/bibles/l1912/LUK.json · data/bibles/otb/LUK.json</x:v>
      </x:c>
      <x:c r="AL260" t="str">
        <x:v>JA</x:v>
      </x:c>
    </x:row>
    <x:row r="261">
      <x:c r="A261" t="str">
        <x:v>FP-0520</x:v>
      </x:c>
      <x:c r="B261" t="str">
        <x:v>LUK</x:v>
      </x:c>
      <x:c r="C261" t="str">
        <x:v>Lukas</x:v>
      </x:c>
      <x:c r="D261" t="n">
        <x:v>8</x:v>
      </x:c>
      <x:c r="E261" t="n">
        <x:v>5</x:v>
      </x:c>
      <x:c r="F261" t="str">
        <x:v>LUK-008</x:v>
      </x:c>
      <x:c r="G261" t="n">
        <x:v>52</x:v>
      </x:c>
      <x:c r="H261" t="str">
        <x:v>CQ-A03</x:v>
      </x:c>
      <x:c r="I261" s="36" t="str">
        <x:v>Welche dieser Aussagen stammt aus Lukas 8?</x:v>
      </x:c>
      <x:c r="J261" s="36" t="str"/>
      <x:c r="K261" s="36" t="str"/>
      <x:c r="L261" s="36" t="str">
        <x:v>REPO_VERIFIZIERT_FRAGEFORM</x:v>
      </x:c>
      <x:c r="M261" s="36" t="str">
        <x:v>ERSETZEN</x:v>
      </x:c>
      <x:c r="N261" s="36" t="str">
        <x:v>REPETITIVE_FRAGEFORM</x:v>
      </x:c>
      <x:c r="O261" s="36" t="str">
        <x:v>REINE_WIEDERERKENNUNG</x:v>
      </x:c>
      <x:c r="P261" s="36" t="str">
        <x:v>PERSON_AUSSAGE</x:v>
      </x:c>
      <x:c r="Q261" s="36" t="str">
        <x:v>Was sagt Jesus zu Jairus, als die Nachricht vom Tod seiner Tochter kommt?</x:v>
      </x:c>
      <x:c r="R261" s="36" t="str">
        <x:v>Fürchte dich nicht; glaube nur, und sie wird gerettet werden.</x:v>
      </x:c>
      <x:c r="S261" s="36" t="str">
        <x:v>Es ist zu spät.</x:v>
      </x:c>
      <x:c r="T261" s="36" t="str">
        <x:v>Geh allein nach Hause.</x:v>
      </x:c>
      <x:c r="U261" s="36" t="str">
        <x:v>Suche zuerst einen Arzt.</x:v>
      </x:c>
      <x:c r="V261" s="36" t="n">
        <x:v>0</x:v>
      </x:c>
      <x:c r="W261" s="36" t="str">
        <x:v>Fürchte dich nicht; glaube nur, und sie wird gerettet werden.</x:v>
      </x:c>
      <x:c r="X261" s="36" t="str">
        <x:v>Lukas 8,40–56</x:v>
      </x:c>
      <x:c r="Y261" s="36" t="str">
        <x:v>Jesus fordert Jairus auf, nicht zu fürchten, sondern zu glauben; anschließend richtet er das Mädchen auf.</x:v>
      </x:c>
      <x:c r="Z261" s="36" t="str">
        <x:v>JA</x:v>
      </x:c>
      <x:c r="AA261" s="36" t="str">
        <x:v>JA</x:v>
      </x:c>
      <x:c r="AB261" s="36" t="str">
        <x:v>JA</x:v>
      </x:c>
      <x:c r="AC261" s="36" t="str">
        <x:v>JA</x:v>
      </x:c>
      <x:c r="AD261" s="36" t="str">
        <x:v>JA</x:v>
      </x:c>
      <x:c r="AE261" s="36" t="str">
        <x:v>JA</x:v>
      </x:c>
      <x:c r="AF261" s="36" t="str">
        <x:v>JA</x:v>
      </x:c>
      <x:c r="AG261" s="36" t="str">
        <x:v>FREIGEGEBEN</x:v>
      </x:c>
      <x:c r="AH261" s="36" t="str">
        <x:v>GPT-5.6 Sol · Buchprüfung Lukas · L1912/OTB</x:v>
      </x:c>
      <x:c r="AI261" s="36" t="str">
        <x:v>FREIGEGEBEN</x:v>
      </x:c>
      <x:c r="AJ261" s="36" t="str">
        <x:v>Lukas 8: repetitive Wiedererkennungsfrage durch PERSON_AUSSAGE-Frage ersetzt.</x:v>
      </x:c>
      <x:c r="AK261" s="36" t="str">
        <x:v>FaithPath repo develop/v4 · data/bibles/l1912/LUK.json · data/bibles/otb/LUK.json</x:v>
      </x:c>
      <x:c r="AL261" t="str">
        <x:v>JA</x:v>
      </x:c>
    </x:row>
    <x:row r="262">
      <x:c r="A262" t="str">
        <x:v>FP-0521</x:v>
      </x:c>
      <x:c r="B262" t="str">
        <x:v>LUK</x:v>
      </x:c>
      <x:c r="C262" t="str">
        <x:v>Lukas</x:v>
      </x:c>
      <x:c r="D262" t="n">
        <x:v>9</x:v>
      </x:c>
      <x:c r="E262" t="n">
        <x:v>1</x:v>
      </x:c>
      <x:c r="F262" t="str">
        <x:v>LUK-009</x:v>
      </x:c>
      <x:c r="G262" t="n">
        <x:v>53</x:v>
      </x:c>
      <x:c r="H262" t="str">
        <x:v>CQ-A03</x:v>
      </x:c>
      <x:c r="I262" s="36" t="str">
        <x:v>Welche dieser Aussagen stammt aus Lukas 9?</x:v>
      </x:c>
      <x:c r="J262" s="36" t="str"/>
      <x:c r="K262" s="36" t="str"/>
      <x:c r="L262" s="36" t="str">
        <x:v>REPO_VERIFIZIERT_FRAGEFORM</x:v>
      </x:c>
      <x:c r="M262" s="36" t="str">
        <x:v>ERSETZEN</x:v>
      </x:c>
      <x:c r="N262" s="36" t="str">
        <x:v>REPETITIVE_FRAGEFORM</x:v>
      </x:c>
      <x:c r="O262" s="36" t="str">
        <x:v>REINE_WIEDERERKENNUNG</x:v>
      </x:c>
      <x:c r="P262" s="36" t="str">
        <x:v>GESCHEHEN</x:v>
      </x:c>
      <x:c r="Q262" s="36" t="str">
        <x:v>Mit welchem Auftrag sendet Jesus die Zwölf aus?</x:v>
      </x:c>
      <x:c r="R262" s="36" t="str">
        <x:v>Steuern für den Tempel zu sammeln.</x:v>
      </x:c>
      <x:c r="S262" s="36" t="str">
        <x:v>Das Reich Gottes zu verkünden und Kranke zu heilen, mit Vollmacht über Dämonen.</x:v>
      </x:c>
      <x:c r="T262" s="36" t="str">
        <x:v>Neue Häuser zu bauen.</x:v>
      </x:c>
      <x:c r="U262" s="36" t="str">
        <x:v>Nur in Jerusalem zu bleiben.</x:v>
      </x:c>
      <x:c r="V262" s="36" t="n">
        <x:v>1</x:v>
      </x:c>
      <x:c r="W262" s="36" t="str">
        <x:v>Das Reich Gottes zu verkünden und Kranke zu heilen, mit Vollmacht über Dämonen.</x:v>
      </x:c>
      <x:c r="X262" s="36" t="str">
        <x:v>Lukas 9,1–6</x:v>
      </x:c>
      <x:c r="Y262" s="36" t="str">
        <x:v>Jesus gibt den Zwölf Kraft und Vollmacht, sendet sie zur Verkündigung des Reiches und zur Heilung.</x:v>
      </x:c>
      <x:c r="Z262" s="36" t="str">
        <x:v>JA</x:v>
      </x:c>
      <x:c r="AA262" s="36" t="str">
        <x:v>JA</x:v>
      </x:c>
      <x:c r="AB262" s="36" t="str">
        <x:v>JA</x:v>
      </x:c>
      <x:c r="AC262" s="36" t="str">
        <x:v>JA</x:v>
      </x:c>
      <x:c r="AD262" s="36" t="str">
        <x:v>JA</x:v>
      </x:c>
      <x:c r="AE262" s="36" t="str">
        <x:v>JA</x:v>
      </x:c>
      <x:c r="AF262" s="36" t="str">
        <x:v>JA</x:v>
      </x:c>
      <x:c r="AG262" s="36" t="str">
        <x:v>FREIGEGEBEN</x:v>
      </x:c>
      <x:c r="AH262" s="36" t="str">
        <x:v>GPT-5.6 Sol · Buchprüfung Lukas · L1912/OTB</x:v>
      </x:c>
      <x:c r="AI262" s="36" t="str">
        <x:v>FREIGEGEBEN</x:v>
      </x:c>
      <x:c r="AJ262" s="36" t="str">
        <x:v>Lukas 9: repetitive Wiedererkennungsfrage durch GESCHEHEN-Frage ersetzt.</x:v>
      </x:c>
      <x:c r="AK262" s="36" t="str">
        <x:v>FaithPath repo develop/v4 · data/bibles/l1912/LUK.json · data/bibles/otb/LUK.json</x:v>
      </x:c>
      <x:c r="AL262" t="str">
        <x:v>JA</x:v>
      </x:c>
    </x:row>
    <x:row r="263">
      <x:c r="A263" t="str">
        <x:v>FP-0522</x:v>
      </x:c>
      <x:c r="B263" t="str">
        <x:v>LUK</x:v>
      </x:c>
      <x:c r="C263" t="str">
        <x:v>Lukas</x:v>
      </x:c>
      <x:c r="D263" t="n">
        <x:v>9</x:v>
      </x:c>
      <x:c r="E263" t="n">
        <x:v>2</x:v>
      </x:c>
      <x:c r="F263" t="str">
        <x:v>LUK-009</x:v>
      </x:c>
      <x:c r="G263" t="n">
        <x:v>53</x:v>
      </x:c>
      <x:c r="H263" t="str">
        <x:v>CQ-A03</x:v>
      </x:c>
      <x:c r="I263" s="36" t="str">
        <x:v>Welche dieser Aussagen stammt aus Lukas 9?</x:v>
      </x:c>
      <x:c r="J263" s="36" t="str"/>
      <x:c r="K263" s="36" t="str"/>
      <x:c r="L263" s="36" t="str">
        <x:v>REPO_VERIFIZIERT_FRAGEFORM</x:v>
      </x:c>
      <x:c r="M263" s="36" t="str">
        <x:v>ERSETZEN</x:v>
      </x:c>
      <x:c r="N263" s="36" t="str">
        <x:v>REPETITIVE_FRAGEFORM</x:v>
      </x:c>
      <x:c r="O263" s="36" t="str">
        <x:v>REINE_WIEDERERKENNUNG</x:v>
      </x:c>
      <x:c r="P263" s="36" t="str">
        <x:v>TEXTGENAUIGKEIT</x:v>
      </x:c>
      <x:c r="Q263" s="36" t="str">
        <x:v>Womit werden die etwa fünftausend Menschen gespeist, und wie viel bleibt übrig?</x:v>
      </x:c>
      <x:c r="R263" s="36" t="str">
        <x:v>Mit sieben Broten; sieben Körbe bleiben.</x:v>
      </x:c>
      <x:c r="S263" s="36" t="str">
        <x:v>Mit zwölf Broten; zwei Körbe bleiben.</x:v>
      </x:c>
      <x:c r="T263" s="36" t="str">
        <x:v>Mit fünf Broten und zwei Fischen; zwölf Körbe bleiben übrig.</x:v>
      </x:c>
      <x:c r="U263" s="36" t="str">
        <x:v>Mit drei Broten und einem Fisch; fünf Körbe bleiben.</x:v>
      </x:c>
      <x:c r="V263" s="36" t="n">
        <x:v>2</x:v>
      </x:c>
      <x:c r="W263" s="36" t="str">
        <x:v>Mit fünf Broten und zwei Fischen; zwölf Körbe bleiben übrig.</x:v>
      </x:c>
      <x:c r="X263" s="36" t="str">
        <x:v>Lukas 9,10–17</x:v>
      </x:c>
      <x:c r="Y263" s="36" t="str">
        <x:v>Jesus nimmt fünf Brote und zwei Fische; nach der Speisung werden zwölf Körbe mit Resten gesammelt.</x:v>
      </x:c>
      <x:c r="Z263" s="36" t="str">
        <x:v>JA</x:v>
      </x:c>
      <x:c r="AA263" s="36" t="str">
        <x:v>JA</x:v>
      </x:c>
      <x:c r="AB263" s="36" t="str">
        <x:v>JA</x:v>
      </x:c>
      <x:c r="AC263" s="36" t="str">
        <x:v>JA</x:v>
      </x:c>
      <x:c r="AD263" s="36" t="str">
        <x:v>JA</x:v>
      </x:c>
      <x:c r="AE263" s="36" t="str">
        <x:v>JA</x:v>
      </x:c>
      <x:c r="AF263" s="36" t="str">
        <x:v>JA</x:v>
      </x:c>
      <x:c r="AG263" s="36" t="str">
        <x:v>FREIGEGEBEN</x:v>
      </x:c>
      <x:c r="AH263" s="36" t="str">
        <x:v>GPT-5.6 Sol · Buchprüfung Lukas · L1912/OTB</x:v>
      </x:c>
      <x:c r="AI263" s="36" t="str">
        <x:v>FREIGEGEBEN</x:v>
      </x:c>
      <x:c r="AJ263" s="36" t="str">
        <x:v>Lukas 9: repetitive Wiedererkennungsfrage durch TEXTGENAUIGKEIT-Frage ersetzt.</x:v>
      </x:c>
      <x:c r="AK263" s="36" t="str">
        <x:v>FaithPath repo develop/v4 · data/bibles/l1912/LUK.json · data/bibles/otb/LUK.json</x:v>
      </x:c>
      <x:c r="AL263" t="str">
        <x:v>JA</x:v>
      </x:c>
    </x:row>
    <x:row r="264">
      <x:c r="A264" t="str">
        <x:v>FP-0523</x:v>
      </x:c>
      <x:c r="B264" t="str">
        <x:v>LUK</x:v>
      </x:c>
      <x:c r="C264" t="str">
        <x:v>Lukas</x:v>
      </x:c>
      <x:c r="D264" t="n">
        <x:v>9</x:v>
      </x:c>
      <x:c r="E264" t="n">
        <x:v>3</x:v>
      </x:c>
      <x:c r="F264" t="str">
        <x:v>LUK-009</x:v>
      </x:c>
      <x:c r="G264" t="n">
        <x:v>53</x:v>
      </x:c>
      <x:c r="H264" t="str">
        <x:v>CQ-A03</x:v>
      </x:c>
      <x:c r="I264" s="36" t="str">
        <x:v>Welche dieser Aussagen stammt aus Lukas 9?</x:v>
      </x:c>
      <x:c r="J264" s="36" t="str"/>
      <x:c r="K264" s="36" t="str"/>
      <x:c r="L264" s="36" t="str">
        <x:v>REPO_VERIFIZIERT_FRAGEFORM</x:v>
      </x:c>
      <x:c r="M264" s="36" t="str">
        <x:v>ERSETZEN</x:v>
      </x:c>
      <x:c r="N264" s="36" t="str">
        <x:v>REPETITIVE_FRAGEFORM</x:v>
      </x:c>
      <x:c r="O264" s="36" t="str">
        <x:v>REINE_WIEDERERKENNUNG</x:v>
      </x:c>
      <x:c r="P264" s="36" t="str">
        <x:v>PERSON_AUSSAGE</x:v>
      </x:c>
      <x:c r="Q264" s="36" t="str">
        <x:v>Wie beantwortet Petrus Jesu Frage, wer er sei?</x:v>
      </x:c>
      <x:c r="R264" s="36" t="str">
        <x:v>Elia allein.</x:v>
      </x:c>
      <x:c r="S264" s="36" t="str">
        <x:v>Johannes der Täufer.</x:v>
      </x:c>
      <x:c r="T264" s="36" t="str">
        <x:v>Ein Schriftgelehrter aus Nazareth.</x:v>
      </x:c>
      <x:c r="U264" s="36" t="str">
        <x:v>Der Christus Gottes.</x:v>
      </x:c>
      <x:c r="V264" s="36" t="n">
        <x:v>3</x:v>
      </x:c>
      <x:c r="W264" s="36" t="str">
        <x:v>Der Christus Gottes.</x:v>
      </x:c>
      <x:c r="X264" s="36" t="str">
        <x:v>Lukas 9,18–20</x:v>
      </x:c>
      <x:c r="Y264" s="36" t="str">
        <x:v>Petrus bekennt Jesus als den Christus Gottes.</x:v>
      </x:c>
      <x:c r="Z264" s="36" t="str">
        <x:v>JA</x:v>
      </x:c>
      <x:c r="AA264" s="36" t="str">
        <x:v>JA</x:v>
      </x:c>
      <x:c r="AB264" s="36" t="str">
        <x:v>JA</x:v>
      </x:c>
      <x:c r="AC264" s="36" t="str">
        <x:v>JA</x:v>
      </x:c>
      <x:c r="AD264" s="36" t="str">
        <x:v>JA</x:v>
      </x:c>
      <x:c r="AE264" s="36" t="str">
        <x:v>JA</x:v>
      </x:c>
      <x:c r="AF264" s="36" t="str">
        <x:v>JA</x:v>
      </x:c>
      <x:c r="AG264" s="36" t="str">
        <x:v>FREIGEGEBEN</x:v>
      </x:c>
      <x:c r="AH264" s="36" t="str">
        <x:v>GPT-5.6 Sol · Buchprüfung Lukas · L1912/OTB</x:v>
      </x:c>
      <x:c r="AI264" s="36" t="str">
        <x:v>FREIGEGEBEN</x:v>
      </x:c>
      <x:c r="AJ264" s="36" t="str">
        <x:v>Lukas 9: repetitive Wiedererkennungsfrage durch PERSON_AUSSAGE-Frage ersetzt.</x:v>
      </x:c>
      <x:c r="AK264" s="36" t="str">
        <x:v>FaithPath repo develop/v4 · data/bibles/l1912/LUK.json · data/bibles/otb/LUK.json</x:v>
      </x:c>
      <x:c r="AL264" t="str">
        <x:v>JA</x:v>
      </x:c>
    </x:row>
    <x:row r="265">
      <x:c r="A265" t="str">
        <x:v>FP-0524</x:v>
      </x:c>
      <x:c r="B265" t="str">
        <x:v>LUK</x:v>
      </x:c>
      <x:c r="C265" t="str">
        <x:v>Lukas</x:v>
      </x:c>
      <x:c r="D265" t="n">
        <x:v>9</x:v>
      </x:c>
      <x:c r="E265" t="n">
        <x:v>4</x:v>
      </x:c>
      <x:c r="F265" t="str">
        <x:v>LUK-009</x:v>
      </x:c>
      <x:c r="G265" t="n">
        <x:v>53</x:v>
      </x:c>
      <x:c r="H265" t="str">
        <x:v>CQ-A03</x:v>
      </x:c>
      <x:c r="I265" s="36" t="str">
        <x:v>Welche dieser Aussagen stammt aus Lukas 9?</x:v>
      </x:c>
      <x:c r="J265" s="36" t="str"/>
      <x:c r="K265" s="36" t="str"/>
      <x:c r="L265" s="36" t="str">
        <x:v>REPO_VERIFIZIERT_FRAGEFORM</x:v>
      </x:c>
      <x:c r="M265" s="36" t="str">
        <x:v>ERSETZEN</x:v>
      </x:c>
      <x:c r="N265" s="36" t="str">
        <x:v>REPETITIVE_FRAGEFORM</x:v>
      </x:c>
      <x:c r="O265" s="36" t="str">
        <x:v>REINE_WIEDERERKENNUNG</x:v>
      </x:c>
      <x:c r="P265" s="36" t="str">
        <x:v>GESCHEHEN</x:v>
      </x:c>
      <x:c r="Q265" s="36" t="str">
        <x:v>Wer erscheint bei Jesu Verklärung, und was sagt die Stimme aus der Wolke?</x:v>
      </x:c>
      <x:c r="R265" s="36" t="str">
        <x:v>Mose und Elia; die Stimme nennt Jesus den erwählten Sohn und fordert auf, auf ihn zu hören.</x:v>
      </x:c>
      <x:c r="S265" s="36" t="str">
        <x:v>Abraham und David; die Stimme nennt Petrus zum Leiter.</x:v>
      </x:c>
      <x:c r="T265" s="36" t="str">
        <x:v>Jesaja und Jeremia; die Stimme befiehlt den Tempelbau.</x:v>
      </x:c>
      <x:c r="U265" s="36" t="str">
        <x:v>Johannes und Andreas; die Stimme fordert zur Rückkehr auf.</x:v>
      </x:c>
      <x:c r="V265" s="36" t="n">
        <x:v>0</x:v>
      </x:c>
      <x:c r="W265" s="36" t="str">
        <x:v>Mose und Elia; die Stimme nennt Jesus den erwählten Sohn und fordert auf, auf ihn zu hören.</x:v>
      </x:c>
      <x:c r="X265" s="36" t="str">
        <x:v>Lukas 9,28–36</x:v>
      </x:c>
      <x:c r="Y265" s="36" t="str">
        <x:v>Mose und Elia erscheinen; die Stimme aus der Wolke richtet die Aufmerksamkeit auf Jesus und fordert die Jünger auf, auf ihn zu hören.</x:v>
      </x:c>
      <x:c r="Z265" s="36" t="str">
        <x:v>JA</x:v>
      </x:c>
      <x:c r="AA265" s="36" t="str">
        <x:v>JA</x:v>
      </x:c>
      <x:c r="AB265" s="36" t="str">
        <x:v>JA</x:v>
      </x:c>
      <x:c r="AC265" s="36" t="str">
        <x:v>JA</x:v>
      </x:c>
      <x:c r="AD265" s="36" t="str">
        <x:v>JA</x:v>
      </x:c>
      <x:c r="AE265" s="36" t="str">
        <x:v>JA</x:v>
      </x:c>
      <x:c r="AF265" s="36" t="str">
        <x:v>JA</x:v>
      </x:c>
      <x:c r="AG265" s="36" t="str">
        <x:v>FREIGEGEBEN</x:v>
      </x:c>
      <x:c r="AH265" s="36" t="str">
        <x:v>GPT-5.6 Sol · Buchprüfung Lukas · L1912/OTB</x:v>
      </x:c>
      <x:c r="AI265" s="36" t="str">
        <x:v>FREIGEGEBEN</x:v>
      </x:c>
      <x:c r="AJ265" s="36" t="str">
        <x:v>Lukas 9: repetitive Wiedererkennungsfrage durch GESCHEHEN-Frage ersetzt.</x:v>
      </x:c>
      <x:c r="AK265" s="36" t="str">
        <x:v>FaithPath repo develop/v4 · data/bibles/l1912/LUK.json · data/bibles/otb/LUK.json</x:v>
      </x:c>
      <x:c r="AL265" t="str">
        <x:v>JA</x:v>
      </x:c>
    </x:row>
    <x:row r="266">
      <x:c r="A266" t="str">
        <x:v>FP-0525</x:v>
      </x:c>
      <x:c r="B266" t="str">
        <x:v>LUK</x:v>
      </x:c>
      <x:c r="C266" t="str">
        <x:v>Lukas</x:v>
      </x:c>
      <x:c r="D266" t="n">
        <x:v>9</x:v>
      </x:c>
      <x:c r="E266" t="n">
        <x:v>5</x:v>
      </x:c>
      <x:c r="F266" t="str">
        <x:v>LUK-009</x:v>
      </x:c>
      <x:c r="G266" t="n">
        <x:v>53</x:v>
      </x:c>
      <x:c r="H266" t="str">
        <x:v>CQ-A03</x:v>
      </x:c>
      <x:c r="I266" s="36" t="str">
        <x:v>Welche dieser Aussagen stammt aus Lukas 9?</x:v>
      </x:c>
      <x:c r="J266" s="36" t="str"/>
      <x:c r="K266" s="36" t="str"/>
      <x:c r="L266" s="36" t="str">
        <x:v>REPO_VERIFIZIERT_FRAGEFORM</x:v>
      </x:c>
      <x:c r="M266" s="36" t="str">
        <x:v>ERSETZEN</x:v>
      </x:c>
      <x:c r="N266" s="36" t="str">
        <x:v>REPETITIVE_FRAGEFORM</x:v>
      </x:c>
      <x:c r="O266" s="36" t="str">
        <x:v>REINE_WIEDERERKENNUNG</x:v>
      </x:c>
      <x:c r="P266" s="36" t="str">
        <x:v>KERNAUSSAGE</x:v>
      </x:c>
      <x:c r="Q266" s="36" t="str">
        <x:v>Was macht Jesus in den kurzen Begegnungen am Ende von Lukas 9 über Nachfolge deutlich?</x:v>
      </x:c>
      <x:c r="R266" s="36" t="str">
        <x:v>Nachfolge ist nur für Menschen ohne Familie möglich.</x:v>
      </x:c>
      <x:c r="S266" s="36" t="str">
        <x:v>Nachfolge hat Vorrang und verlangt entschlossene Hingabe ohne ständiges Zurückblicken.</x:v>
      </x:c>
      <x:c r="T266" s="36" t="str">
        <x:v>Jeder Jünger muss zuerst ein Haus besitzen.</x:v>
      </x:c>
      <x:c r="U266" s="36" t="str">
        <x:v>Nachfolge darf nur in Galiläa beginnen.</x:v>
      </x:c>
      <x:c r="V266" s="36" t="n">
        <x:v>1</x:v>
      </x:c>
      <x:c r="W266" s="36" t="str">
        <x:v>Nachfolge hat Vorrang und verlangt entschlossene Hingabe ohne ständiges Zurückblicken.</x:v>
      </x:c>
      <x:c r="X266" s="36" t="str">
        <x:v>Lukas 9,57–62</x:v>
      </x:c>
      <x:c r="Y266" s="36" t="str">
        <x:v>Jesus macht in mehreren Antworten deutlich, dass Nachfolge entschlossene Priorität und Bereitschaft zum Loslassen verlangt.</x:v>
      </x:c>
      <x:c r="Z266" s="36" t="str">
        <x:v>JA</x:v>
      </x:c>
      <x:c r="AA266" s="36" t="str">
        <x:v>JA</x:v>
      </x:c>
      <x:c r="AB266" s="36" t="str">
        <x:v>JA</x:v>
      </x:c>
      <x:c r="AC266" s="36" t="str">
        <x:v>JA</x:v>
      </x:c>
      <x:c r="AD266" s="36" t="str">
        <x:v>JA</x:v>
      </x:c>
      <x:c r="AE266" s="36" t="str">
        <x:v>JA</x:v>
      </x:c>
      <x:c r="AF266" s="36" t="str">
        <x:v>JA</x:v>
      </x:c>
      <x:c r="AG266" s="36" t="str">
        <x:v>FREIGEGEBEN</x:v>
      </x:c>
      <x:c r="AH266" s="36" t="str">
        <x:v>GPT-5.6 Sol · Buchprüfung Lukas · L1912/OTB</x:v>
      </x:c>
      <x:c r="AI266" s="36" t="str">
        <x:v>FREIGEGEBEN</x:v>
      </x:c>
      <x:c r="AJ266" s="36" t="str">
        <x:v>Lukas 9: repetitive Wiedererkennungsfrage durch KERNAUSSAGE-Frage ersetzt.</x:v>
      </x:c>
      <x:c r="AK266" s="36" t="str">
        <x:v>FaithPath repo develop/v4 · data/bibles/l1912/LUK.json · data/bibles/otb/LUK.json</x:v>
      </x:c>
      <x:c r="AL266" t="str">
        <x:v>JA</x:v>
      </x:c>
    </x:row>
    <x:row r="267">
      <x:c r="A267" t="str">
        <x:v>FP-0526</x:v>
      </x:c>
      <x:c r="B267" t="str">
        <x:v>LUK</x:v>
      </x:c>
      <x:c r="C267" t="str">
        <x:v>Lukas</x:v>
      </x:c>
      <x:c r="D267" t="n">
        <x:v>10</x:v>
      </x:c>
      <x:c r="E267" t="n">
        <x:v>1</x:v>
      </x:c>
      <x:c r="F267" t="str">
        <x:v>LUK-010</x:v>
      </x:c>
      <x:c r="G267" t="n">
        <x:v>54</x:v>
      </x:c>
      <x:c r="H267" t="str">
        <x:v>CQ-A03</x:v>
      </x:c>
      <x:c r="I267" s="36" t="str">
        <x:v>Welche dieser Aussagen stammt aus Lukas 10?</x:v>
      </x:c>
      <x:c r="J267" s="36" t="str"/>
      <x:c r="K267" s="36" t="str"/>
      <x:c r="L267" s="36" t="str">
        <x:v>REPO_VERIFIZIERT_FRAGEFORM</x:v>
      </x:c>
      <x:c r="M267" s="36" t="str">
        <x:v>ERSETZEN</x:v>
      </x:c>
      <x:c r="N267" s="36" t="str">
        <x:v>REPETITIVE_FRAGEFORM</x:v>
      </x:c>
      <x:c r="O267" s="36" t="str">
        <x:v>REINE_WIEDERERKENNUNG</x:v>
      </x:c>
      <x:c r="P267" s="36" t="str">
        <x:v>GESCHEHEN</x:v>
      </x:c>
      <x:c r="Q267" s="36" t="str">
        <x:v>Wie sendet Jesus die weiteren Jünger vor sich her?</x:v>
      </x:c>
      <x:c r="R267" s="36" t="str">
        <x:v>Immer allein.</x:v>
      </x:c>
      <x:c r="S267" s="36" t="str">
        <x:v>Nur nach Jerusalem.</x:v>
      </x:c>
      <x:c r="T267" s="36" t="str">
        <x:v>Je zwei zusammen in die Orte, in die er selbst kommen will.</x:v>
      </x:c>
      <x:c r="U267" s="36" t="str">
        <x:v>In Gruppen von zwölf mit Soldaten.</x:v>
      </x:c>
      <x:c r="V267" s="36" t="n">
        <x:v>2</x:v>
      </x:c>
      <x:c r="W267" s="36" t="str">
        <x:v>Je zwei zusammen in die Orte, in die er selbst kommen will.</x:v>
      </x:c>
      <x:c r="X267" s="36" t="str">
        <x:v>Lukas 10,1–12</x:v>
      </x:c>
      <x:c r="Y267" s="36" t="str">
        <x:v>Jesus sendet die weiteren Jünger jeweils zu zweit voraus und verbindet den Auftrag mit der Verkündigung des nahen Reiches Gottes.</x:v>
      </x:c>
      <x:c r="Z267" s="36" t="str">
        <x:v>JA</x:v>
      </x:c>
      <x:c r="AA267" s="36" t="str">
        <x:v>JA</x:v>
      </x:c>
      <x:c r="AB267" s="36" t="str">
        <x:v>JA</x:v>
      </x:c>
      <x:c r="AC267" s="36" t="str">
        <x:v>JA</x:v>
      </x:c>
      <x:c r="AD267" s="36" t="str">
        <x:v>JA</x:v>
      </x:c>
      <x:c r="AE267" s="36" t="str">
        <x:v>JA</x:v>
      </x:c>
      <x:c r="AF267" s="36" t="str">
        <x:v>JA</x:v>
      </x:c>
      <x:c r="AG267" s="36" t="str">
        <x:v>FREIGEGEBEN</x:v>
      </x:c>
      <x:c r="AH267" s="36" t="str">
        <x:v>GPT-5.6 Sol · Buchprüfung Lukas · L1912/OTB</x:v>
      </x:c>
      <x:c r="AI267" s="36" t="str">
        <x:v>FREIGEGEBEN</x:v>
      </x:c>
      <x:c r="AJ267" s="36" t="str">
        <x:v>Lukas 10: repetitive Wiedererkennungsfrage durch GESCHEHEN-Frage ersetzt.</x:v>
      </x:c>
      <x:c r="AK267" s="36" t="str">
        <x:v>FaithPath repo develop/v4 · data/bibles/l1912/LUK.json · data/bibles/otb/LUK.json</x:v>
      </x:c>
      <x:c r="AL267" t="str">
        <x:v>JA</x:v>
      </x:c>
    </x:row>
    <x:row r="268">
      <x:c r="A268" t="str">
        <x:v>FP-0527</x:v>
      </x:c>
      <x:c r="B268" t="str">
        <x:v>LUK</x:v>
      </x:c>
      <x:c r="C268" t="str">
        <x:v>Lukas</x:v>
      </x:c>
      <x:c r="D268" t="n">
        <x:v>10</x:v>
      </x:c>
      <x:c r="E268" t="n">
        <x:v>2</x:v>
      </x:c>
      <x:c r="F268" t="str">
        <x:v>LUK-010</x:v>
      </x:c>
      <x:c r="G268" t="n">
        <x:v>54</x:v>
      </x:c>
      <x:c r="H268" t="str">
        <x:v>CQ-A03</x:v>
      </x:c>
      <x:c r="I268" s="36" t="str">
        <x:v>Welche dieser Aussagen stammt aus Lukas 10?</x:v>
      </x:c>
      <x:c r="J268" s="36" t="str"/>
      <x:c r="K268" s="36" t="str"/>
      <x:c r="L268" s="36" t="str">
        <x:v>REPO_VERIFIZIERT_FRAGEFORM</x:v>
      </x:c>
      <x:c r="M268" s="36" t="str">
        <x:v>ERSETZEN</x:v>
      </x:c>
      <x:c r="N268" s="36" t="str">
        <x:v>REPETITIVE_FRAGEFORM</x:v>
      </x:c>
      <x:c r="O268" s="36" t="str">
        <x:v>REINE_WIEDERERKENNUNG</x:v>
      </x:c>
      <x:c r="P268" s="36" t="str">
        <x:v>KERNAUSSAGE</x:v>
      </x:c>
      <x:c r="Q268" s="36" t="str">
        <x:v>Worüber sollen sich die zurückkehrenden Jünger nach Jesu Worten vor allem freuen?</x:v>
      </x:c>
      <x:c r="R268" s="36" t="str">
        <x:v>Dass sie überall bekannt geworden sind.</x:v>
      </x:c>
      <x:c r="S268" s="36" t="str">
        <x:v>Dass sie Geld verdient haben.</x:v>
      </x:c>
      <x:c r="T268" s="36" t="str">
        <x:v>Dass sie niemals Widerspruch erleben.</x:v>
      </x:c>
      <x:c r="U268" s="36" t="str">
        <x:v>Dass ihre Namen im Himmel geschrieben sind.</x:v>
      </x:c>
      <x:c r="V268" s="36" t="n">
        <x:v>3</x:v>
      </x:c>
      <x:c r="W268" s="36" t="str">
        <x:v>Dass ihre Namen im Himmel geschrieben sind.</x:v>
      </x:c>
      <x:c r="X268" s="36" t="str">
        <x:v>Lukas 10,17–20</x:v>
      </x:c>
      <x:c r="Y268" s="36" t="str">
        <x:v>Obwohl die Jünger sich über die Unterordnung der Geister freuen, richtet Jesus ihre Freude auf ihre Zugehörigkeit zu Gott.</x:v>
      </x:c>
      <x:c r="Z268" s="36" t="str">
        <x:v>JA</x:v>
      </x:c>
      <x:c r="AA268" s="36" t="str">
        <x:v>JA</x:v>
      </x:c>
      <x:c r="AB268" s="36" t="str">
        <x:v>JA</x:v>
      </x:c>
      <x:c r="AC268" s="36" t="str">
        <x:v>JA</x:v>
      </x:c>
      <x:c r="AD268" s="36" t="str">
        <x:v>JA</x:v>
      </x:c>
      <x:c r="AE268" s="36" t="str">
        <x:v>JA</x:v>
      </x:c>
      <x:c r="AF268" s="36" t="str">
        <x:v>JA</x:v>
      </x:c>
      <x:c r="AG268" s="36" t="str">
        <x:v>FREIGEGEBEN</x:v>
      </x:c>
      <x:c r="AH268" s="36" t="str">
        <x:v>GPT-5.6 Sol · Buchprüfung Lukas · L1912/OTB</x:v>
      </x:c>
      <x:c r="AI268" s="36" t="str">
        <x:v>FREIGEGEBEN</x:v>
      </x:c>
      <x:c r="AJ268" s="36" t="str">
        <x:v>Lukas 10: repetitive Wiedererkennungsfrage durch KERNAUSSAGE-Frage ersetzt.</x:v>
      </x:c>
      <x:c r="AK268" s="36" t="str">
        <x:v>FaithPath repo develop/v4 · data/bibles/l1912/LUK.json · data/bibles/otb/LUK.json</x:v>
      </x:c>
      <x:c r="AL268" t="str">
        <x:v>JA</x:v>
      </x:c>
    </x:row>
    <x:row r="269">
      <x:c r="A269" t="str">
        <x:v>FP-0528</x:v>
      </x:c>
      <x:c r="B269" t="str">
        <x:v>LUK</x:v>
      </x:c>
      <x:c r="C269" t="str">
        <x:v>Lukas</x:v>
      </x:c>
      <x:c r="D269" t="n">
        <x:v>10</x:v>
      </x:c>
      <x:c r="E269" t="n">
        <x:v>3</x:v>
      </x:c>
      <x:c r="F269" t="str">
        <x:v>LUK-010</x:v>
      </x:c>
      <x:c r="G269" t="n">
        <x:v>54</x:v>
      </x:c>
      <x:c r="H269" t="str">
        <x:v>CQ-A03</x:v>
      </x:c>
      <x:c r="I269" s="36" t="str">
        <x:v>Welche dieser Aussagen stammt aus Lukas 10?</x:v>
      </x:c>
      <x:c r="J269" s="36" t="str"/>
      <x:c r="K269" s="36" t="str"/>
      <x:c r="L269" s="36" t="str">
        <x:v>REPO_VERIFIZIERT_FRAGEFORM</x:v>
      </x:c>
      <x:c r="M269" s="36" t="str">
        <x:v>ERSETZEN</x:v>
      </x:c>
      <x:c r="N269" s="36" t="str">
        <x:v>REPETITIVE_FRAGEFORM</x:v>
      </x:c>
      <x:c r="O269" s="36" t="str">
        <x:v>REINE_WIEDERERKENNUNG</x:v>
      </x:c>
      <x:c r="P269" s="36" t="str">
        <x:v>KERNAUSSAGE</x:v>
      </x:c>
      <x:c r="Q269" s="36" t="str">
        <x:v>Wie fasst der Gesetzesgelehrte das Gebot zusammen, das zum Leben führt?</x:v>
      </x:c>
      <x:c r="R269" s="36" t="str">
        <x:v>Gott mit ganzem Herzen lieben und den Nächsten wie sich selbst.</x:v>
      </x:c>
      <x:c r="S269" s="36" t="str">
        <x:v>Nur Opfer im Tempel bringen.</x:v>
      </x:c>
      <x:c r="T269" s="36" t="str">
        <x:v>Jeden Sabbat nach Jerusalem reisen.</x:v>
      </x:c>
      <x:c r="U269" s="36" t="str">
        <x:v>Sich von allen Fremden fernhalten.</x:v>
      </x:c>
      <x:c r="V269" s="36" t="n">
        <x:v>0</x:v>
      </x:c>
      <x:c r="W269" s="36" t="str">
        <x:v>Gott mit ganzem Herzen lieben und den Nächsten wie sich selbst.</x:v>
      </x:c>
      <x:c r="X269" s="36" t="str">
        <x:v>Lukas 10,25–28</x:v>
      </x:c>
      <x:c r="Y269" s="36" t="str">
        <x:v>Jesus bestätigt die Zusammenfassung aus Gottesliebe und Nächstenliebe.</x:v>
      </x:c>
      <x:c r="Z269" s="36" t="str">
        <x:v>JA</x:v>
      </x:c>
      <x:c r="AA269" s="36" t="str">
        <x:v>JA</x:v>
      </x:c>
      <x:c r="AB269" s="36" t="str">
        <x:v>JA</x:v>
      </x:c>
      <x:c r="AC269" s="36" t="str">
        <x:v>JA</x:v>
      </x:c>
      <x:c r="AD269" s="36" t="str">
        <x:v>JA</x:v>
      </x:c>
      <x:c r="AE269" s="36" t="str">
        <x:v>JA</x:v>
      </x:c>
      <x:c r="AF269" s="36" t="str">
        <x:v>JA</x:v>
      </x:c>
      <x:c r="AG269" s="36" t="str">
        <x:v>FREIGEGEBEN</x:v>
      </x:c>
      <x:c r="AH269" s="36" t="str">
        <x:v>GPT-5.6 Sol · Buchprüfung Lukas · L1912/OTB</x:v>
      </x:c>
      <x:c r="AI269" s="36" t="str">
        <x:v>FREIGEGEBEN</x:v>
      </x:c>
      <x:c r="AJ269" s="36" t="str">
        <x:v>Lukas 10: repetitive Wiedererkennungsfrage durch KERNAUSSAGE-Frage ersetzt.</x:v>
      </x:c>
      <x:c r="AK269" s="36" t="str">
        <x:v>FaithPath repo develop/v4 · data/bibles/l1912/LUK.json · data/bibles/otb/LUK.json</x:v>
      </x:c>
      <x:c r="AL269" t="str">
        <x:v>JA</x:v>
      </x:c>
    </x:row>
    <x:row r="270">
      <x:c r="A270" t="str">
        <x:v>FP-0529</x:v>
      </x:c>
      <x:c r="B270" t="str">
        <x:v>LUK</x:v>
      </x:c>
      <x:c r="C270" t="str">
        <x:v>Lukas</x:v>
      </x:c>
      <x:c r="D270" t="n">
        <x:v>10</x:v>
      </x:c>
      <x:c r="E270" t="n">
        <x:v>4</x:v>
      </x:c>
      <x:c r="F270" t="str">
        <x:v>LUK-010</x:v>
      </x:c>
      <x:c r="G270" t="n">
        <x:v>54</x:v>
      </x:c>
      <x:c r="H270" t="str">
        <x:v>CQ-A03</x:v>
      </x:c>
      <x:c r="I270" s="36" t="str">
        <x:v>Welche dieser Aussagen stammt aus Lukas 10?</x:v>
      </x:c>
      <x:c r="J270" s="36" t="str"/>
      <x:c r="K270" s="36" t="str"/>
      <x:c r="L270" s="36" t="str">
        <x:v>REPO_VERIFIZIERT_FRAGEFORM</x:v>
      </x:c>
      <x:c r="M270" s="36" t="str">
        <x:v>ERSETZEN</x:v>
      </x:c>
      <x:c r="N270" s="36" t="str">
        <x:v>REPETITIVE_FRAGEFORM</x:v>
      </x:c>
      <x:c r="O270" s="36" t="str">
        <x:v>REINE_WIEDERERKENNUNG</x:v>
      </x:c>
      <x:c r="P270" s="36" t="str">
        <x:v>ZUSAMMENHANG</x:v>
      </x:c>
      <x:c r="Q270" s="36" t="str">
        <x:v>Wer erweist sich im Gleichnis vom barmherzigen Samariter als Nächster des Überfallenen?</x:v>
      </x:c>
      <x:c r="R270" s="36" t="str">
        <x:v>Der Priester, weil er zuerst vorbeikommt.</x:v>
      </x:c>
      <x:c r="S270" s="36" t="str">
        <x:v>Derjenige, der Barmherzigkeit an ihm übt.</x:v>
      </x:c>
      <x:c r="T270" s="36" t="str">
        <x:v>Der Levit, weil er den Tempel kennt.</x:v>
      </x:c>
      <x:c r="U270" s="36" t="str">
        <x:v>Der Wirt, weil er Geld erhält.</x:v>
      </x:c>
      <x:c r="V270" s="36" t="n">
        <x:v>1</x:v>
      </x:c>
      <x:c r="W270" s="36" t="str">
        <x:v>Derjenige, der Barmherzigkeit an ihm übt.</x:v>
      </x:c>
      <x:c r="X270" s="36" t="str">
        <x:v>Lukas 10,30–37</x:v>
      </x:c>
      <x:c r="Y270" s="36" t="str">
        <x:v>Jesus lenkt die Frage darauf, selbst zum Nächsten zu werden; der Samariter handelt barmherzig und wird zum Vorbild.</x:v>
      </x:c>
      <x:c r="Z270" s="36" t="str">
        <x:v>JA</x:v>
      </x:c>
      <x:c r="AA270" s="36" t="str">
        <x:v>JA</x:v>
      </x:c>
      <x:c r="AB270" s="36" t="str">
        <x:v>JA</x:v>
      </x:c>
      <x:c r="AC270" s="36" t="str">
        <x:v>JA</x:v>
      </x:c>
      <x:c r="AD270" s="36" t="str">
        <x:v>JA</x:v>
      </x:c>
      <x:c r="AE270" s="36" t="str">
        <x:v>JA</x:v>
      </x:c>
      <x:c r="AF270" s="36" t="str">
        <x:v>JA</x:v>
      </x:c>
      <x:c r="AG270" s="36" t="str">
        <x:v>FREIGEGEBEN</x:v>
      </x:c>
      <x:c r="AH270" s="36" t="str">
        <x:v>GPT-5.6 Sol · Buchprüfung Lukas · L1912/OTB</x:v>
      </x:c>
      <x:c r="AI270" s="36" t="str">
        <x:v>FREIGEGEBEN</x:v>
      </x:c>
      <x:c r="AJ270" s="36" t="str">
        <x:v>Lukas 10: repetitive Wiedererkennungsfrage durch ZUSAMMENHANG-Frage ersetzt.</x:v>
      </x:c>
      <x:c r="AK270" s="36" t="str">
        <x:v>FaithPath repo develop/v4 · data/bibles/l1912/LUK.json · data/bibles/otb/LUK.json</x:v>
      </x:c>
      <x:c r="AL270" t="str">
        <x:v>JA</x:v>
      </x:c>
    </x:row>
    <x:row r="271">
      <x:c r="A271" t="str">
        <x:v>FP-0530</x:v>
      </x:c>
      <x:c r="B271" t="str">
        <x:v>LUK</x:v>
      </x:c>
      <x:c r="C271" t="str">
        <x:v>Lukas</x:v>
      </x:c>
      <x:c r="D271" t="n">
        <x:v>10</x:v>
      </x:c>
      <x:c r="E271" t="n">
        <x:v>5</x:v>
      </x:c>
      <x:c r="F271" t="str">
        <x:v>LUK-010</x:v>
      </x:c>
      <x:c r="G271" t="n">
        <x:v>54</x:v>
      </x:c>
      <x:c r="H271" t="str">
        <x:v>CQ-A03</x:v>
      </x:c>
      <x:c r="I271" s="36" t="str">
        <x:v>Welche dieser Aussagen stammt aus Lukas 10?</x:v>
      </x:c>
      <x:c r="J271" s="36" t="str"/>
      <x:c r="K271" s="36" t="str"/>
      <x:c r="L271" s="36" t="str">
        <x:v>REPO_VERIFIZIERT_FRAGEFORM</x:v>
      </x:c>
      <x:c r="M271" s="36" t="str">
        <x:v>ERSETZEN</x:v>
      </x:c>
      <x:c r="N271" s="36" t="str">
        <x:v>REPETITIVE_FRAGEFORM</x:v>
      </x:c>
      <x:c r="O271" s="36" t="str">
        <x:v>REINE_WIEDERERKENNUNG</x:v>
      </x:c>
      <x:c r="P271" s="36" t="str">
        <x:v>PERSON_AUSSAGE</x:v>
      </x:c>
      <x:c r="Q271" s="36" t="str">
        <x:v>Warum sagt Jesus, Maria habe das bessere Teil gewählt?</x:v>
      </x:c>
      <x:c r="R271" s="36" t="str">
        <x:v>Sie hat das Essen besser vorbereitet.</x:v>
      </x:c>
      <x:c r="S271" s="36" t="str">
        <x:v>Sie besitzt mehr als Martha.</x:v>
      </x:c>
      <x:c r="T271" s="36" t="str">
        <x:v>Sie sitzt zu seinen Füßen und hört seinem Wort zu, während Martha von vielen Aufgaben beansprucht ist.</x:v>
      </x:c>
      <x:c r="U271" s="36" t="str">
        <x:v>Sie reist mit den Zwölf.</x:v>
      </x:c>
      <x:c r="V271" s="36" t="n">
        <x:v>2</x:v>
      </x:c>
      <x:c r="W271" s="36" t="str">
        <x:v>Sie sitzt zu seinen Füßen und hört seinem Wort zu, während Martha von vielen Aufgaben beansprucht ist.</x:v>
      </x:c>
      <x:c r="X271" s="36" t="str">
        <x:v>Lukas 10,38–42</x:v>
      </x:c>
      <x:c r="Y271" s="36" t="str">
        <x:v>Jesus würdigt Marias Entscheidung, seinem Wort zuzuhören, während Martha durch viele Aufgaben beunruhigt ist.</x:v>
      </x:c>
      <x:c r="Z271" s="36" t="str">
        <x:v>JA</x:v>
      </x:c>
      <x:c r="AA271" s="36" t="str">
        <x:v>JA</x:v>
      </x:c>
      <x:c r="AB271" s="36" t="str">
        <x:v>JA</x:v>
      </x:c>
      <x:c r="AC271" s="36" t="str">
        <x:v>JA</x:v>
      </x:c>
      <x:c r="AD271" s="36" t="str">
        <x:v>JA</x:v>
      </x:c>
      <x:c r="AE271" s="36" t="str">
        <x:v>JA</x:v>
      </x:c>
      <x:c r="AF271" s="36" t="str">
        <x:v>JA</x:v>
      </x:c>
      <x:c r="AG271" s="36" t="str">
        <x:v>FREIGEGEBEN</x:v>
      </x:c>
      <x:c r="AH271" s="36" t="str">
        <x:v>GPT-5.6 Sol · Buchprüfung Lukas · L1912/OTB</x:v>
      </x:c>
      <x:c r="AI271" s="36" t="str">
        <x:v>FREIGEGEBEN</x:v>
      </x:c>
      <x:c r="AJ271" s="36" t="str">
        <x:v>Lukas 10: repetitive Wiedererkennungsfrage durch PERSON_AUSSAGE-Frage ersetzt.</x:v>
      </x:c>
      <x:c r="AK271" s="36" t="str">
        <x:v>FaithPath repo develop/v4 · data/bibles/l1912/LUK.json · data/bibles/otb/LUK.json</x:v>
      </x:c>
      <x:c r="AL271" t="str">
        <x:v>JA</x:v>
      </x:c>
    </x:row>
    <x:row r="272">
      <x:c r="A272" t="str">
        <x:v>FP-0531</x:v>
      </x:c>
      <x:c r="B272" t="str">
        <x:v>LUK</x:v>
      </x:c>
      <x:c r="C272" t="str">
        <x:v>Lukas</x:v>
      </x:c>
      <x:c r="D272" t="n">
        <x:v>11</x:v>
      </x:c>
      <x:c r="E272" t="n">
        <x:v>1</x:v>
      </x:c>
      <x:c r="F272" t="str">
        <x:v>LUK-011</x:v>
      </x:c>
      <x:c r="G272" t="n">
        <x:v>55</x:v>
      </x:c>
      <x:c r="H272" t="str">
        <x:v>CQ-A03</x:v>
      </x:c>
      <x:c r="I272" s="36" t="str">
        <x:v>Welche dieser Aussagen stammt aus Lukas 11?</x:v>
      </x:c>
      <x:c r="J272" s="36" t="str"/>
      <x:c r="K272" s="36" t="str"/>
      <x:c r="L272" s="36" t="str">
        <x:v>REPO_VERIFIZIERT_FRAGEFORM</x:v>
      </x:c>
      <x:c r="M272" s="36" t="str">
        <x:v>ERSETZEN</x:v>
      </x:c>
      <x:c r="N272" s="36" t="str">
        <x:v>REPETITIVE_FRAGEFORM</x:v>
      </x:c>
      <x:c r="O272" s="36" t="str">
        <x:v>REINE_WIEDERERKENNUNG</x:v>
      </x:c>
      <x:c r="P272" s="36" t="str">
        <x:v>KERNAUSSAGE</x:v>
      </x:c>
      <x:c r="Q272" s="36" t="str">
        <x:v>Welche Bitte gehört zu dem Gebet, das Jesus seine Jünger lehrt?</x:v>
      </x:c>
      <x:c r="R272" s="36" t="str">
        <x:v>Gib uns großen Reichtum.</x:v>
      </x:c>
      <x:c r="S272" s="36" t="str">
        <x:v>Lass uns über alle Völker herrschen.</x:v>
      </x:c>
      <x:c r="T272" s="36" t="str">
        <x:v>Bewahre uns vor jeder Arbeit.</x:v>
      </x:c>
      <x:c r="U272" s="36" t="str">
        <x:v>Vergib uns unsere Sünden, denn auch wir vergeben denen, die gegen uns sündigen.</x:v>
      </x:c>
      <x:c r="V272" s="36" t="n">
        <x:v>3</x:v>
      </x:c>
      <x:c r="W272" s="36" t="str">
        <x:v>Vergib uns unsere Sünden, denn auch wir vergeben denen, die gegen uns sündigen.</x:v>
      </x:c>
      <x:c r="X272" s="36" t="str">
        <x:v>Lukas 11,1–4</x:v>
      </x:c>
      <x:c r="Y272" s="36" t="str">
        <x:v>Jesu Gebet verbindet die Bitte um Vergebung mit der eigenen Bereitschaft zu vergeben.</x:v>
      </x:c>
      <x:c r="Z272" s="36" t="str">
        <x:v>JA</x:v>
      </x:c>
      <x:c r="AA272" s="36" t="str">
        <x:v>JA</x:v>
      </x:c>
      <x:c r="AB272" s="36" t="str">
        <x:v>JA</x:v>
      </x:c>
      <x:c r="AC272" s="36" t="str">
        <x:v>JA</x:v>
      </x:c>
      <x:c r="AD272" s="36" t="str">
        <x:v>JA</x:v>
      </x:c>
      <x:c r="AE272" s="36" t="str">
        <x:v>JA</x:v>
      </x:c>
      <x:c r="AF272" s="36" t="str">
        <x:v>JA</x:v>
      </x:c>
      <x:c r="AG272" s="36" t="str">
        <x:v>FREIGEGEBEN</x:v>
      </x:c>
      <x:c r="AH272" s="36" t="str">
        <x:v>GPT-5.6 Sol · Buchprüfung Lukas · L1912/OTB</x:v>
      </x:c>
      <x:c r="AI272" s="36" t="str">
        <x:v>FREIGEGEBEN</x:v>
      </x:c>
      <x:c r="AJ272" s="36" t="str">
        <x:v>Lukas 11: repetitive Wiedererkennungsfrage durch KERNAUSSAGE-Frage ersetzt.</x:v>
      </x:c>
      <x:c r="AK272" s="36" t="str">
        <x:v>FaithPath repo develop/v4 · data/bibles/l1912/LUK.json · data/bibles/otb/LUK.json</x:v>
      </x:c>
      <x:c r="AL272" t="str">
        <x:v>JA</x:v>
      </x:c>
    </x:row>
    <x:row r="273">
      <x:c r="A273" t="str">
        <x:v>FP-0532</x:v>
      </x:c>
      <x:c r="B273" t="str">
        <x:v>LUK</x:v>
      </x:c>
      <x:c r="C273" t="str">
        <x:v>Lukas</x:v>
      </x:c>
      <x:c r="D273" t="n">
        <x:v>11</x:v>
      </x:c>
      <x:c r="E273" t="n">
        <x:v>2</x:v>
      </x:c>
      <x:c r="F273" t="str">
        <x:v>LUK-011</x:v>
      </x:c>
      <x:c r="G273" t="n">
        <x:v>55</x:v>
      </x:c>
      <x:c r="H273" t="str">
        <x:v>CQ-A03</x:v>
      </x:c>
      <x:c r="I273" s="36" t="str">
        <x:v>Welche dieser Aussagen stammt aus Lukas 11?</x:v>
      </x:c>
      <x:c r="J273" s="36" t="str"/>
      <x:c r="K273" s="36" t="str"/>
      <x:c r="L273" s="36" t="str">
        <x:v>REPO_VERIFIZIERT_FRAGEFORM</x:v>
      </x:c>
      <x:c r="M273" s="36" t="str">
        <x:v>ERSETZEN</x:v>
      </x:c>
      <x:c r="N273" s="36" t="str">
        <x:v>REPETITIVE_FRAGEFORM</x:v>
      </x:c>
      <x:c r="O273" s="36" t="str">
        <x:v>REINE_WIEDERERKENNUNG</x:v>
      </x:c>
      <x:c r="P273" s="36" t="str">
        <x:v>KERNAUSSAGE</x:v>
      </x:c>
      <x:c r="Q273" s="36" t="str">
        <x:v>Welche Zusage verbindet Jesus mit Bitten, Suchen und Anklopfen?</x:v>
      </x:c>
      <x:c r="R273" s="36" t="str">
        <x:v>Der Vater gibt denen, die ihn bitten, den Heiligen Geist.</x:v>
      </x:c>
      <x:c r="S273" s="36" t="str">
        <x:v>Jede Bitte wird genau so erfüllt, wie man sie formuliert.</x:v>
      </x:c>
      <x:c r="T273" s="36" t="str">
        <x:v>Nur Priester dürfen bitten.</x:v>
      </x:c>
      <x:c r="U273" s="36" t="str">
        <x:v>Man soll nur einmal bitten.</x:v>
      </x:c>
      <x:c r="V273" s="36" t="n">
        <x:v>0</x:v>
      </x:c>
      <x:c r="W273" s="36" t="str">
        <x:v>Der Vater gibt denen, die ihn bitten, den Heiligen Geist.</x:v>
      </x:c>
      <x:c r="X273" s="36" t="str">
        <x:v>Lukas 11,5–13</x:v>
      </x:c>
      <x:c r="Y273" s="36" t="str">
        <x:v>Jesus ermutigt zu beharrlichem Bitten und schließt mit der Zusage, dass der himmlische Vater den Heiligen Geist gibt.</x:v>
      </x:c>
      <x:c r="Z273" s="36" t="str">
        <x:v>JA</x:v>
      </x:c>
      <x:c r="AA273" s="36" t="str">
        <x:v>JA</x:v>
      </x:c>
      <x:c r="AB273" s="36" t="str">
        <x:v>JA</x:v>
      </x:c>
      <x:c r="AC273" s="36" t="str">
        <x:v>JA</x:v>
      </x:c>
      <x:c r="AD273" s="36" t="str">
        <x:v>JA</x:v>
      </x:c>
      <x:c r="AE273" s="36" t="str">
        <x:v>JA</x:v>
      </x:c>
      <x:c r="AF273" s="36" t="str">
        <x:v>JA</x:v>
      </x:c>
      <x:c r="AG273" s="36" t="str">
        <x:v>FREIGEGEBEN</x:v>
      </x:c>
      <x:c r="AH273" s="36" t="str">
        <x:v>GPT-5.6 Sol · Buchprüfung Lukas · L1912/OTB</x:v>
      </x:c>
      <x:c r="AI273" s="36" t="str">
        <x:v>FREIGEGEBEN</x:v>
      </x:c>
      <x:c r="AJ273" s="36" t="str">
        <x:v>Lukas 11: repetitive Wiedererkennungsfrage durch KERNAUSSAGE-Frage ersetzt.</x:v>
      </x:c>
      <x:c r="AK273" s="36" t="str">
        <x:v>FaithPath repo develop/v4 · data/bibles/l1912/LUK.json · data/bibles/otb/LUK.json</x:v>
      </x:c>
      <x:c r="AL273" t="str">
        <x:v>JA</x:v>
      </x:c>
    </x:row>
    <x:row r="274">
      <x:c r="A274" t="str">
        <x:v>FP-0533</x:v>
      </x:c>
      <x:c r="B274" t="str">
        <x:v>LUK</x:v>
      </x:c>
      <x:c r="C274" t="str">
        <x:v>Lukas</x:v>
      </x:c>
      <x:c r="D274" t="n">
        <x:v>11</x:v>
      </x:c>
      <x:c r="E274" t="n">
        <x:v>3</x:v>
      </x:c>
      <x:c r="F274" t="str">
        <x:v>LUK-011</x:v>
      </x:c>
      <x:c r="G274" t="n">
        <x:v>55</x:v>
      </x:c>
      <x:c r="H274" t="str">
        <x:v>CQ-A03</x:v>
      </x:c>
      <x:c r="I274" s="36" t="str">
        <x:v>Welche dieser Aussagen stammt aus Lukas 11?</x:v>
      </x:c>
      <x:c r="J274" s="36" t="str"/>
      <x:c r="K274" s="36" t="str"/>
      <x:c r="L274" s="36" t="str">
        <x:v>REPO_VERIFIZIERT_FRAGEFORM</x:v>
      </x:c>
      <x:c r="M274" s="36" t="str">
        <x:v>ERSETZEN</x:v>
      </x:c>
      <x:c r="N274" s="36" t="str">
        <x:v>REPETITIVE_FRAGEFORM</x:v>
      </x:c>
      <x:c r="O274" s="36" t="str">
        <x:v>REINE_WIEDERERKENNUNG</x:v>
      </x:c>
      <x:c r="P274" s="36" t="str">
        <x:v>ZUSAMMENHANG</x:v>
      </x:c>
      <x:c r="Q274" s="36" t="str">
        <x:v>Wie widerlegt Jesus den Vorwurf, er treibe Dämonen durch Beelzebul aus?</x:v>
      </x:c>
      <x:c r="R274" s="36" t="str">
        <x:v>Er bestreitet, jemals Dämonen auszutreiben.</x:v>
      </x:c>
      <x:c r="S274" s="36" t="str">
        <x:v>Ein gegen sich selbst gespaltenes Reich kann nicht bestehen; treibt er Dämonen durch Gottes Macht aus, ist Gottes Reich gekommen.</x:v>
      </x:c>
      <x:c r="T274" s="36" t="str">
        <x:v>Er verweist auf den Kaiser.</x:v>
      </x:c>
      <x:c r="U274" s="36" t="str">
        <x:v>Er sagt, Beelzebul sei sein Helfer.</x:v>
      </x:c>
      <x:c r="V274" s="36" t="n">
        <x:v>1</x:v>
      </x:c>
      <x:c r="W274" s="36" t="str">
        <x:v>Ein gegen sich selbst gespaltenes Reich kann nicht bestehen; treibt er Dämonen durch Gottes Macht aus, ist Gottes Reich gekommen.</x:v>
      </x:c>
      <x:c r="X274" s="36" t="str">
        <x:v>Lukas 11,14–23</x:v>
      </x:c>
      <x:c r="Y274" s="36" t="str">
        <x:v>Jesus zeigt den Widerspruch des Vorwurfs und deutet seine Befreiungen als Zeichen des gekommenen Reiches Gottes.</x:v>
      </x:c>
      <x:c r="Z274" s="36" t="str">
        <x:v>JA</x:v>
      </x:c>
      <x:c r="AA274" s="36" t="str">
        <x:v>JA</x:v>
      </x:c>
      <x:c r="AB274" s="36" t="str">
        <x:v>JA</x:v>
      </x:c>
      <x:c r="AC274" s="36" t="str">
        <x:v>JA</x:v>
      </x:c>
      <x:c r="AD274" s="36" t="str">
        <x:v>JA</x:v>
      </x:c>
      <x:c r="AE274" s="36" t="str">
        <x:v>JA</x:v>
      </x:c>
      <x:c r="AF274" s="36" t="str">
        <x:v>JA</x:v>
      </x:c>
      <x:c r="AG274" s="36" t="str">
        <x:v>FREIGEGEBEN</x:v>
      </x:c>
      <x:c r="AH274" s="36" t="str">
        <x:v>GPT-5.6 Sol · Buchprüfung Lukas · L1912/OTB</x:v>
      </x:c>
      <x:c r="AI274" s="36" t="str">
        <x:v>FREIGEGEBEN</x:v>
      </x:c>
      <x:c r="AJ274" s="36" t="str">
        <x:v>Lukas 11: repetitive Wiedererkennungsfrage durch ZUSAMMENHANG-Frage ersetzt.</x:v>
      </x:c>
      <x:c r="AK274" s="36" t="str">
        <x:v>FaithPath repo develop/v4 · data/bibles/l1912/LUK.json · data/bibles/otb/LUK.json</x:v>
      </x:c>
      <x:c r="AL274" t="str">
        <x:v>JA</x:v>
      </x:c>
    </x:row>
    <x:row r="275">
      <x:c r="A275" t="str">
        <x:v>FP-0534</x:v>
      </x:c>
      <x:c r="B275" t="str">
        <x:v>LUK</x:v>
      </x:c>
      <x:c r="C275" t="str">
        <x:v>Lukas</x:v>
      </x:c>
      <x:c r="D275" t="n">
        <x:v>11</x:v>
      </x:c>
      <x:c r="E275" t="n">
        <x:v>4</x:v>
      </x:c>
      <x:c r="F275" t="str">
        <x:v>LUK-011</x:v>
      </x:c>
      <x:c r="G275" t="n">
        <x:v>55</x:v>
      </x:c>
      <x:c r="H275" t="str">
        <x:v>CQ-A03</x:v>
      </x:c>
      <x:c r="I275" s="36" t="str">
        <x:v>Welche dieser Aussagen stammt aus Lukas 11?</x:v>
      </x:c>
      <x:c r="J275" s="36" t="str"/>
      <x:c r="K275" s="36" t="str"/>
      <x:c r="L275" s="36" t="str">
        <x:v>REPO_VERIFIZIERT_FRAGEFORM</x:v>
      </x:c>
      <x:c r="M275" s="36" t="str">
        <x:v>ERSETZEN</x:v>
      </x:c>
      <x:c r="N275" s="36" t="str">
        <x:v>REPETITIVE_FRAGEFORM</x:v>
      </x:c>
      <x:c r="O275" s="36" t="str">
        <x:v>REINE_WIEDERERKENNUNG</x:v>
      </x:c>
      <x:c r="P275" s="36" t="str">
        <x:v>KERNAUSSAGE</x:v>
      </x:c>
      <x:c r="Q275" s="36" t="str">
        <x:v>Welches Zeichen nennt Jesus einer Generation, die ein Zeichen fordert?</x:v>
      </x:c>
      <x:c r="R275" s="36" t="str">
        <x:v>Das Zeichen des Mose am Sinai.</x:v>
      </x:c>
      <x:c r="S275" s="36" t="str">
        <x:v>Ein neues Zeichen im Tempel.</x:v>
      </x:c>
      <x:c r="T275" s="36" t="str">
        <x:v>Das Zeichen des Jona.</x:v>
      </x:c>
      <x:c r="U275" s="36" t="str">
        <x:v>Das Zeichen eines Sterns über Rom.</x:v>
      </x:c>
      <x:c r="V275" s="36" t="n">
        <x:v>2</x:v>
      </x:c>
      <x:c r="W275" s="36" t="str">
        <x:v>Das Zeichen des Jona.</x:v>
      </x:c>
      <x:c r="X275" s="36" t="str">
        <x:v>Lukas 11,29–32</x:v>
      </x:c>
      <x:c r="Y275" s="36" t="str">
        <x:v>Jesus nennt das Zeichen des Jona und verweist auf Ninive und die Königin des Südens als Zeugen gegen die unbußfertige Generation.</x:v>
      </x:c>
      <x:c r="Z275" s="36" t="str">
        <x:v>JA</x:v>
      </x:c>
      <x:c r="AA275" s="36" t="str">
        <x:v>JA</x:v>
      </x:c>
      <x:c r="AB275" s="36" t="str">
        <x:v>JA</x:v>
      </x:c>
      <x:c r="AC275" s="36" t="str">
        <x:v>JA</x:v>
      </x:c>
      <x:c r="AD275" s="36" t="str">
        <x:v>JA</x:v>
      </x:c>
      <x:c r="AE275" s="36" t="str">
        <x:v>JA</x:v>
      </x:c>
      <x:c r="AF275" s="36" t="str">
        <x:v>JA</x:v>
      </x:c>
      <x:c r="AG275" s="36" t="str">
        <x:v>FREIGEGEBEN</x:v>
      </x:c>
      <x:c r="AH275" s="36" t="str">
        <x:v>GPT-5.6 Sol · Buchprüfung Lukas · L1912/OTB</x:v>
      </x:c>
      <x:c r="AI275" s="36" t="str">
        <x:v>FREIGEGEBEN</x:v>
      </x:c>
      <x:c r="AJ275" s="36" t="str">
        <x:v>Lukas 11: repetitive Wiedererkennungsfrage durch KERNAUSSAGE-Frage ersetzt.</x:v>
      </x:c>
      <x:c r="AK275" s="36" t="str">
        <x:v>FaithPath repo develop/v4 · data/bibles/l1912/LUK.json · data/bibles/otb/LUK.json</x:v>
      </x:c>
      <x:c r="AL275" t="str">
        <x:v>JA</x:v>
      </x:c>
    </x:row>
    <x:row r="276">
      <x:c r="A276" t="str">
        <x:v>FP-0535</x:v>
      </x:c>
      <x:c r="B276" t="str">
        <x:v>LUK</x:v>
      </x:c>
      <x:c r="C276" t="str">
        <x:v>Lukas</x:v>
      </x:c>
      <x:c r="D276" t="n">
        <x:v>11</x:v>
      </x:c>
      <x:c r="E276" t="n">
        <x:v>5</x:v>
      </x:c>
      <x:c r="F276" t="str">
        <x:v>LUK-011</x:v>
      </x:c>
      <x:c r="G276" t="n">
        <x:v>55</x:v>
      </x:c>
      <x:c r="H276" t="str">
        <x:v>CQ-A03</x:v>
      </x:c>
      <x:c r="I276" s="36" t="str">
        <x:v>Welche dieser Aussagen stammt aus Lukas 11?</x:v>
      </x:c>
      <x:c r="J276" s="36" t="str"/>
      <x:c r="K276" s="36" t="str"/>
      <x:c r="L276" s="36" t="str">
        <x:v>REPO_VERIFIZIERT_FRAGEFORM</x:v>
      </x:c>
      <x:c r="M276" s="36" t="str">
        <x:v>ERSETZEN</x:v>
      </x:c>
      <x:c r="N276" s="36" t="str">
        <x:v>REPETITIVE_FRAGEFORM</x:v>
      </x:c>
      <x:c r="O276" s="36" t="str">
        <x:v>REINE_WIEDERERKENNUNG</x:v>
      </x:c>
      <x:c r="P276" s="36" t="str">
        <x:v>KERNAUSSAGE</x:v>
      </x:c>
      <x:c r="Q276" s="36" t="str">
        <x:v>Was wirft Jesus den Pharisäern trotz ihrer genauen Zehntabgaben vor?</x:v>
      </x:c>
      <x:c r="R276" s="36" t="str">
        <x:v>Sie geben überhaupt keinen Zehnten.</x:v>
      </x:c>
      <x:c r="S276" s="36" t="str">
        <x:v>Sie fasten zu selten.</x:v>
      </x:c>
      <x:c r="T276" s="36" t="str">
        <x:v>Sie lesen die Propheten nicht.</x:v>
      </x:c>
      <x:c r="U276" s="36" t="str">
        <x:v>Sie vernachlässigen Recht und die Liebe Gottes.</x:v>
      </x:c>
      <x:c r="V276" s="36" t="n">
        <x:v>3</x:v>
      </x:c>
      <x:c r="W276" s="36" t="str">
        <x:v>Sie vernachlässigen Recht und die Liebe Gottes.</x:v>
      </x:c>
      <x:c r="X276" s="36" t="str">
        <x:v>Lukas 11,37–42</x:v>
      </x:c>
      <x:c r="Y276" s="36" t="str">
        <x:v>Jesus kritisiert die Konzentration auf äußere Genauigkeit, während Recht und Liebe Gottes vernachlässigt werden.</x:v>
      </x:c>
      <x:c r="Z276" s="36" t="str">
        <x:v>JA</x:v>
      </x:c>
      <x:c r="AA276" s="36" t="str">
        <x:v>JA</x:v>
      </x:c>
      <x:c r="AB276" s="36" t="str">
        <x:v>JA</x:v>
      </x:c>
      <x:c r="AC276" s="36" t="str">
        <x:v>JA</x:v>
      </x:c>
      <x:c r="AD276" s="36" t="str">
        <x:v>JA</x:v>
      </x:c>
      <x:c r="AE276" s="36" t="str">
        <x:v>JA</x:v>
      </x:c>
      <x:c r="AF276" s="36" t="str">
        <x:v>JA</x:v>
      </x:c>
      <x:c r="AG276" s="36" t="str">
        <x:v>FREIGEGEBEN</x:v>
      </x:c>
      <x:c r="AH276" s="36" t="str">
        <x:v>GPT-5.6 Sol · Buchprüfung Lukas · L1912/OTB</x:v>
      </x:c>
      <x:c r="AI276" s="36" t="str">
        <x:v>FREIGEGEBEN</x:v>
      </x:c>
      <x:c r="AJ276" s="36" t="str">
        <x:v>Lukas 11: repetitive Wiedererkennungsfrage durch KERNAUSSAGE-Frage ersetzt.</x:v>
      </x:c>
      <x:c r="AK276" s="36" t="str">
        <x:v>FaithPath repo develop/v4 · data/bibles/l1912/LUK.json · data/bibles/otb/LUK.json</x:v>
      </x:c>
      <x:c r="AL276" t="str">
        <x:v>JA</x:v>
      </x:c>
    </x:row>
    <x:row r="277">
      <x:c r="A277" t="str">
        <x:v>FP-0536</x:v>
      </x:c>
      <x:c r="B277" t="str">
        <x:v>LUK</x:v>
      </x:c>
      <x:c r="C277" t="str">
        <x:v>Lukas</x:v>
      </x:c>
      <x:c r="D277" t="n">
        <x:v>12</x:v>
      </x:c>
      <x:c r="E277" t="n">
        <x:v>1</x:v>
      </x:c>
      <x:c r="F277" t="str">
        <x:v>LUK-012</x:v>
      </x:c>
      <x:c r="G277" t="n">
        <x:v>56</x:v>
      </x:c>
      <x:c r="H277" t="str">
        <x:v>CQ-A03</x:v>
      </x:c>
      <x:c r="I277" s="36" t="str">
        <x:v>Welche dieser Aussagen stammt aus Lukas 12?</x:v>
      </x:c>
      <x:c r="J277" s="36" t="str"/>
      <x:c r="K277" s="36" t="str"/>
      <x:c r="L277" s="36" t="str">
        <x:v>REPO_VERIFIZIERT_FRAGEFORM</x:v>
      </x:c>
      <x:c r="M277" s="36" t="str">
        <x:v>ERSETZEN</x:v>
      </x:c>
      <x:c r="N277" s="36" t="str">
        <x:v>REPETITIVE_FRAGEFORM</x:v>
      </x:c>
      <x:c r="O277" s="36" t="str">
        <x:v>REINE_WIEDERERKENNUNG</x:v>
      </x:c>
      <x:c r="P277" s="36" t="str">
        <x:v>TEXTGENAUIGKEIT</x:v>
      </x:c>
      <x:c r="Q277" s="36" t="str">
        <x:v>Was nennt Jesus den „Sauerteig der Pharisäer“?</x:v>
      </x:c>
      <x:c r="R277" s="36" t="str">
        <x:v>Heuchelei.</x:v>
      </x:c>
      <x:c r="S277" s="36" t="str">
        <x:v>Ungeduld.</x:v>
      </x:c>
      <x:c r="T277" s="36" t="str">
        <x:v>Armut.</x:v>
      </x:c>
      <x:c r="U277" s="36" t="str">
        <x:v>Unwissenheit.</x:v>
      </x:c>
      <x:c r="V277" s="36" t="n">
        <x:v>0</x:v>
      </x:c>
      <x:c r="W277" s="36" t="str">
        <x:v>Heuchelei.</x:v>
      </x:c>
      <x:c r="X277" s="36" t="str">
        <x:v>Lukas 12,1–3</x:v>
      </x:c>
      <x:c r="Y277" s="36" t="str">
        <x:v>Jesus bezeichnet den Sauerteig der Pharisäer ausdrücklich als Heuchelei.</x:v>
      </x:c>
      <x:c r="Z277" s="36" t="str">
        <x:v>JA</x:v>
      </x:c>
      <x:c r="AA277" s="36" t="str">
        <x:v>JA</x:v>
      </x:c>
      <x:c r="AB277" s="36" t="str">
        <x:v>JA</x:v>
      </x:c>
      <x:c r="AC277" s="36" t="str">
        <x:v>JA</x:v>
      </x:c>
      <x:c r="AD277" s="36" t="str">
        <x:v>JA</x:v>
      </x:c>
      <x:c r="AE277" s="36" t="str">
        <x:v>JA</x:v>
      </x:c>
      <x:c r="AF277" s="36" t="str">
        <x:v>JA</x:v>
      </x:c>
      <x:c r="AG277" s="36" t="str">
        <x:v>FREIGEGEBEN</x:v>
      </x:c>
      <x:c r="AH277" s="36" t="str">
        <x:v>GPT-5.6 Sol · Buchprüfung Lukas · L1912/OTB</x:v>
      </x:c>
      <x:c r="AI277" s="36" t="str">
        <x:v>FREIGEGEBEN</x:v>
      </x:c>
      <x:c r="AJ277" s="36" t="str">
        <x:v>Lukas 12: repetitive Wiedererkennungsfrage durch TEXTGENAUIGKEIT-Frage ersetzt.</x:v>
      </x:c>
      <x:c r="AK277" s="36" t="str">
        <x:v>FaithPath repo develop/v4 · data/bibles/l1912/LUK.json · data/bibles/otb/LUK.json</x:v>
      </x:c>
      <x:c r="AL277" t="str">
        <x:v>JA</x:v>
      </x:c>
    </x:row>
    <x:row r="278">
      <x:c r="A278" t="str">
        <x:v>FP-0537</x:v>
      </x:c>
      <x:c r="B278" t="str">
        <x:v>LUK</x:v>
      </x:c>
      <x:c r="C278" t="str">
        <x:v>Lukas</x:v>
      </x:c>
      <x:c r="D278" t="n">
        <x:v>12</x:v>
      </x:c>
      <x:c r="E278" t="n">
        <x:v>2</x:v>
      </x:c>
      <x:c r="F278" t="str">
        <x:v>LUK-012</x:v>
      </x:c>
      <x:c r="G278" t="n">
        <x:v>56</x:v>
      </x:c>
      <x:c r="H278" t="str">
        <x:v>CQ-A03</x:v>
      </x:c>
      <x:c r="I278" s="36" t="str">
        <x:v>Welche dieser Aussagen stammt aus Lukas 12?</x:v>
      </x:c>
      <x:c r="J278" s="36" t="str"/>
      <x:c r="K278" s="36" t="str"/>
      <x:c r="L278" s="36" t="str">
        <x:v>REPO_VERIFIZIERT_FRAGEFORM</x:v>
      </x:c>
      <x:c r="M278" s="36" t="str">
        <x:v>ERSETZEN</x:v>
      </x:c>
      <x:c r="N278" s="36" t="str">
        <x:v>REPETITIVE_FRAGEFORM</x:v>
      </x:c>
      <x:c r="O278" s="36" t="str">
        <x:v>REINE_WIEDERERKENNUNG</x:v>
      </x:c>
      <x:c r="P278" s="36" t="str">
        <x:v>KERNAUSSAGE</x:v>
      </x:c>
      <x:c r="Q278" s="36" t="str">
        <x:v>Warum wird der reiche Mann im Gleichnis als töricht bezeichnet?</x:v>
      </x:c>
      <x:c r="R278" s="36" t="str">
        <x:v>Er baut zu kleine Scheunen.</x:v>
      </x:c>
      <x:c r="S278" s="36" t="str">
        <x:v>Er sammelt Schätze für sich, aber ist nicht reich im Blick auf Gott, und sein Leben wird noch in derselben Nacht gefordert.</x:v>
      </x:c>
      <x:c r="T278" s="36" t="str">
        <x:v>Er verschenkt seine Ernte.</x:v>
      </x:c>
      <x:c r="U278" s="36" t="str">
        <x:v>Er lehnt jede Arbeit ab.</x:v>
      </x:c>
      <x:c r="V278" s="36" t="n">
        <x:v>1</x:v>
      </x:c>
      <x:c r="W278" s="36" t="str">
        <x:v>Er sammelt Schätze für sich, aber ist nicht reich im Blick auf Gott, und sein Leben wird noch in derselben Nacht gefordert.</x:v>
      </x:c>
      <x:c r="X278" s="36" t="str">
        <x:v>Lukas 12,13–21</x:v>
      </x:c>
      <x:c r="Y278" s="36" t="str">
        <x:v>Das Gleichnis stellt die Sicherheit durch Besitz der Unsicherheit des Lebens gegenüber und endet mit der Frage nach Reichtum vor Gott.</x:v>
      </x:c>
      <x:c r="Z278" s="36" t="str">
        <x:v>JA</x:v>
      </x:c>
      <x:c r="AA278" s="36" t="str">
        <x:v>JA</x:v>
      </x:c>
      <x:c r="AB278" s="36" t="str">
        <x:v>JA</x:v>
      </x:c>
      <x:c r="AC278" s="36" t="str">
        <x:v>JA</x:v>
      </x:c>
      <x:c r="AD278" s="36" t="str">
        <x:v>JA</x:v>
      </x:c>
      <x:c r="AE278" s="36" t="str">
        <x:v>JA</x:v>
      </x:c>
      <x:c r="AF278" s="36" t="str">
        <x:v>JA</x:v>
      </x:c>
      <x:c r="AG278" s="36" t="str">
        <x:v>FREIGEGEBEN</x:v>
      </x:c>
      <x:c r="AH278" s="36" t="str">
        <x:v>GPT-5.6 Sol · Buchprüfung Lukas · L1912/OTB</x:v>
      </x:c>
      <x:c r="AI278" s="36" t="str">
        <x:v>FREIGEGEBEN</x:v>
      </x:c>
      <x:c r="AJ278" s="36" t="str">
        <x:v>Lukas 12: repetitive Wiedererkennungsfrage durch KERNAUSSAGE-Frage ersetzt.</x:v>
      </x:c>
      <x:c r="AK278" s="36" t="str">
        <x:v>FaithPath repo develop/v4 · data/bibles/l1912/LUK.json · data/bibles/otb/LUK.json</x:v>
      </x:c>
      <x:c r="AL278" t="str">
        <x:v>JA</x:v>
      </x:c>
    </x:row>
    <x:row r="279">
      <x:c r="A279" t="str">
        <x:v>FP-0538</x:v>
      </x:c>
      <x:c r="B279" t="str">
        <x:v>LUK</x:v>
      </x:c>
      <x:c r="C279" t="str">
        <x:v>Lukas</x:v>
      </x:c>
      <x:c r="D279" t="n">
        <x:v>12</x:v>
      </x:c>
      <x:c r="E279" t="n">
        <x:v>3</x:v>
      </x:c>
      <x:c r="F279" t="str">
        <x:v>LUK-012</x:v>
      </x:c>
      <x:c r="G279" t="n">
        <x:v>56</x:v>
      </x:c>
      <x:c r="H279" t="str">
        <x:v>CQ-A03</x:v>
      </x:c>
      <x:c r="I279" s="36" t="str">
        <x:v>Welche dieser Aussagen stammt aus Lukas 12?</x:v>
      </x:c>
      <x:c r="J279" s="36" t="str"/>
      <x:c r="K279" s="36" t="str"/>
      <x:c r="L279" s="36" t="str">
        <x:v>REPO_VERIFIZIERT_FRAGEFORM</x:v>
      </x:c>
      <x:c r="M279" s="36" t="str">
        <x:v>ERSETZEN</x:v>
      </x:c>
      <x:c r="N279" s="36" t="str">
        <x:v>REPETITIVE_FRAGEFORM</x:v>
      </x:c>
      <x:c r="O279" s="36" t="str">
        <x:v>REINE_WIEDERERKENNUNG</x:v>
      </x:c>
      <x:c r="P279" s="36" t="str">
        <x:v>KERNAUSSAGE</x:v>
      </x:c>
      <x:c r="Q279" s="36" t="str">
        <x:v>Worauf sollen Jesu Jünger statt auf Sorgen um Essen und Kleidung ihr Streben richten?</x:v>
      </x:c>
      <x:c r="R279" s="36" t="str">
        <x:v>Auf größere Vorräte.</x:v>
      </x:c>
      <x:c r="S279" s="36" t="str">
        <x:v>Auf politische Macht.</x:v>
      </x:c>
      <x:c r="T279" s="36" t="str">
        <x:v>Auf Gottes Reich.</x:v>
      </x:c>
      <x:c r="U279" s="36" t="str">
        <x:v>Auf tägliche Reisen.</x:v>
      </x:c>
      <x:c r="V279" s="36" t="n">
        <x:v>2</x:v>
      </x:c>
      <x:c r="W279" s="36" t="str">
        <x:v>Auf Gottes Reich.</x:v>
      </x:c>
      <x:c r="X279" s="36" t="str">
        <x:v>Lukas 12,22–31</x:v>
      </x:c>
      <x:c r="Y279" s="36" t="str">
        <x:v>Jesus verweist auf Gottes Fürsorge und fordert dazu auf, zuerst nach seinem Reich zu streben.</x:v>
      </x:c>
      <x:c r="Z279" s="36" t="str">
        <x:v>JA</x:v>
      </x:c>
      <x:c r="AA279" s="36" t="str">
        <x:v>JA</x:v>
      </x:c>
      <x:c r="AB279" s="36" t="str">
        <x:v>JA</x:v>
      </x:c>
      <x:c r="AC279" s="36" t="str">
        <x:v>JA</x:v>
      </x:c>
      <x:c r="AD279" s="36" t="str">
        <x:v>JA</x:v>
      </x:c>
      <x:c r="AE279" s="36" t="str">
        <x:v>JA</x:v>
      </x:c>
      <x:c r="AF279" s="36" t="str">
        <x:v>JA</x:v>
      </x:c>
      <x:c r="AG279" s="36" t="str">
        <x:v>FREIGEGEBEN</x:v>
      </x:c>
      <x:c r="AH279" s="36" t="str">
        <x:v>GPT-5.6 Sol · Buchprüfung Lukas · L1912/OTB</x:v>
      </x:c>
      <x:c r="AI279" s="36" t="str">
        <x:v>FREIGEGEBEN</x:v>
      </x:c>
      <x:c r="AJ279" s="36" t="str">
        <x:v>Lukas 12: repetitive Wiedererkennungsfrage durch KERNAUSSAGE-Frage ersetzt.</x:v>
      </x:c>
      <x:c r="AK279" s="36" t="str">
        <x:v>FaithPath repo develop/v4 · data/bibles/l1912/LUK.json · data/bibles/otb/LUK.json</x:v>
      </x:c>
      <x:c r="AL279" t="str">
        <x:v>JA</x:v>
      </x:c>
    </x:row>
    <x:row r="280">
      <x:c r="A280" t="str">
        <x:v>FP-0539</x:v>
      </x:c>
      <x:c r="B280" t="str">
        <x:v>LUK</x:v>
      </x:c>
      <x:c r="C280" t="str">
        <x:v>Lukas</x:v>
      </x:c>
      <x:c r="D280" t="n">
        <x:v>12</x:v>
      </x:c>
      <x:c r="E280" t="n">
        <x:v>4</x:v>
      </x:c>
      <x:c r="F280" t="str">
        <x:v>LUK-012</x:v>
      </x:c>
      <x:c r="G280" t="n">
        <x:v>56</x:v>
      </x:c>
      <x:c r="H280" t="str">
        <x:v>CQ-A03</x:v>
      </x:c>
      <x:c r="I280" s="36" t="str">
        <x:v>Welche dieser Aussagen stammt aus Lukas 12?</x:v>
      </x:c>
      <x:c r="J280" s="36" t="str"/>
      <x:c r="K280" s="36" t="str"/>
      <x:c r="L280" s="36" t="str">
        <x:v>REPO_VERIFIZIERT_FRAGEFORM</x:v>
      </x:c>
      <x:c r="M280" s="36" t="str">
        <x:v>ERSETZEN</x:v>
      </x:c>
      <x:c r="N280" s="36" t="str">
        <x:v>REPETITIVE_FRAGEFORM</x:v>
      </x:c>
      <x:c r="O280" s="36" t="str">
        <x:v>REINE_WIEDERERKENNUNG</x:v>
      </x:c>
      <x:c r="P280" s="36" t="str">
        <x:v>KERNAUSSAGE</x:v>
      </x:c>
      <x:c r="Q280" s="36" t="str">
        <x:v>Welche Haltung beschreibt Jesus mit brennenden Lampen und wartenden Dienern?</x:v>
      </x:c>
      <x:c r="R280" s="36" t="str">
        <x:v>Angst vor jedem Besucher.</x:v>
      </x:c>
      <x:c r="S280" s="36" t="str">
        <x:v>Rückzug aus der Welt.</x:v>
      </x:c>
      <x:c r="T280" s="36" t="str">
        <x:v>Berechnung des genauen Tages.</x:v>
      </x:c>
      <x:c r="U280" s="36" t="str">
        <x:v>Bereitschaft und Wachsamkeit für das unerwartete Kommen des Menschensohnes.</x:v>
      </x:c>
      <x:c r="V280" s="36" t="n">
        <x:v>3</x:v>
      </x:c>
      <x:c r="W280" s="36" t="str">
        <x:v>Bereitschaft und Wachsamkeit für das unerwartete Kommen des Menschensohnes.</x:v>
      </x:c>
      <x:c r="X280" s="36" t="str">
        <x:v>Lukas 12,35–40</x:v>
      </x:c>
      <x:c r="Y280" s="36" t="str">
        <x:v>Die Bilder von bereiten Dienern und dem unerwarteten Dieb unterstreichen Wachsamkeit.</x:v>
      </x:c>
      <x:c r="Z280" s="36" t="str">
        <x:v>JA</x:v>
      </x:c>
      <x:c r="AA280" s="36" t="str">
        <x:v>JA</x:v>
      </x:c>
      <x:c r="AB280" s="36" t="str">
        <x:v>JA</x:v>
      </x:c>
      <x:c r="AC280" s="36" t="str">
        <x:v>JA</x:v>
      </x:c>
      <x:c r="AD280" s="36" t="str">
        <x:v>JA</x:v>
      </x:c>
      <x:c r="AE280" s="36" t="str">
        <x:v>JA</x:v>
      </x:c>
      <x:c r="AF280" s="36" t="str">
        <x:v>JA</x:v>
      </x:c>
      <x:c r="AG280" s="36" t="str">
        <x:v>FREIGEGEBEN</x:v>
      </x:c>
      <x:c r="AH280" s="36" t="str">
        <x:v>GPT-5.6 Sol · Buchprüfung Lukas · L1912/OTB</x:v>
      </x:c>
      <x:c r="AI280" s="36" t="str">
        <x:v>FREIGEGEBEN</x:v>
      </x:c>
      <x:c r="AJ280" s="36" t="str">
        <x:v>Lukas 12: repetitive Wiedererkennungsfrage durch KERNAUSSAGE-Frage ersetzt.</x:v>
      </x:c>
      <x:c r="AK280" s="36" t="str">
        <x:v>FaithPath repo develop/v4 · data/bibles/l1912/LUK.json · data/bibles/otb/LUK.json</x:v>
      </x:c>
      <x:c r="AL280" t="str">
        <x:v>JA</x:v>
      </x:c>
    </x:row>
    <x:row r="281">
      <x:c r="A281" t="str">
        <x:v>FP-0540</x:v>
      </x:c>
      <x:c r="B281" t="str">
        <x:v>LUK</x:v>
      </x:c>
      <x:c r="C281" t="str">
        <x:v>Lukas</x:v>
      </x:c>
      <x:c r="D281" t="n">
        <x:v>12</x:v>
      </x:c>
      <x:c r="E281" t="n">
        <x:v>5</x:v>
      </x:c>
      <x:c r="F281" t="str">
        <x:v>LUK-012</x:v>
      </x:c>
      <x:c r="G281" t="n">
        <x:v>56</x:v>
      </x:c>
      <x:c r="H281" t="str">
        <x:v>CQ-A03</x:v>
      </x:c>
      <x:c r="I281" s="36" t="str">
        <x:v>Welche dieser Aussagen stammt aus Lukas 12?</x:v>
      </x:c>
      <x:c r="J281" s="36" t="str"/>
      <x:c r="K281" s="36" t="str"/>
      <x:c r="L281" s="36" t="str">
        <x:v>REPO_VERIFIZIERT_FRAGEFORM</x:v>
      </x:c>
      <x:c r="M281" s="36" t="str">
        <x:v>ERSETZEN</x:v>
      </x:c>
      <x:c r="N281" s="36" t="str">
        <x:v>REPETITIVE_FRAGEFORM</x:v>
      </x:c>
      <x:c r="O281" s="36" t="str">
        <x:v>REINE_WIEDERERKENNUNG</x:v>
      </x:c>
      <x:c r="P281" s="36" t="str">
        <x:v>KERNAUSSAGE</x:v>
      </x:c>
      <x:c r="Q281" s="36" t="str">
        <x:v>Was sagt Jesus über die Wirkung seiner Sendung auf menschliche Beziehungen?</x:v>
      </x:c>
      <x:c r="R281" s="36" t="str">
        <x:v>Sie kann zu Spaltung selbst innerhalb von Familien führen.</x:v>
      </x:c>
      <x:c r="S281" s="36" t="str">
        <x:v>Sie beendet sofort jeden Konflikt.</x:v>
      </x:c>
      <x:c r="T281" s="36" t="str">
        <x:v>Sie betrifft nur politische Herrscher.</x:v>
      </x:c>
      <x:c r="U281" s="36" t="str">
        <x:v>Sie verhindert jede Entscheidung.</x:v>
      </x:c>
      <x:c r="V281" s="36" t="n">
        <x:v>0</x:v>
      </x:c>
      <x:c r="W281" s="36" t="str">
        <x:v>Sie kann zu Spaltung selbst innerhalb von Familien führen.</x:v>
      </x:c>
      <x:c r="X281" s="36" t="str">
        <x:v>Lukas 12,49–53</x:v>
      </x:c>
      <x:c r="Y281" s="36" t="str">
        <x:v>Jesus macht deutlich, dass die Entscheidung an ihm auch schmerzhafte Trennungen hervorrufen kann.</x:v>
      </x:c>
      <x:c r="Z281" s="36" t="str">
        <x:v>JA</x:v>
      </x:c>
      <x:c r="AA281" s="36" t="str">
        <x:v>JA</x:v>
      </x:c>
      <x:c r="AB281" s="36" t="str">
        <x:v>JA</x:v>
      </x:c>
      <x:c r="AC281" s="36" t="str">
        <x:v>JA</x:v>
      </x:c>
      <x:c r="AD281" s="36" t="str">
        <x:v>JA</x:v>
      </x:c>
      <x:c r="AE281" s="36" t="str">
        <x:v>JA</x:v>
      </x:c>
      <x:c r="AF281" s="36" t="str">
        <x:v>JA</x:v>
      </x:c>
      <x:c r="AG281" s="36" t="str">
        <x:v>FREIGEGEBEN</x:v>
      </x:c>
      <x:c r="AH281" s="36" t="str">
        <x:v>GPT-5.6 Sol · Buchprüfung Lukas · L1912/OTB</x:v>
      </x:c>
      <x:c r="AI281" s="36" t="str">
        <x:v>FREIGEGEBEN</x:v>
      </x:c>
      <x:c r="AJ281" s="36" t="str">
        <x:v>Lukas 12: repetitive Wiedererkennungsfrage durch KERNAUSSAGE-Frage ersetzt.</x:v>
      </x:c>
      <x:c r="AK281" s="36" t="str">
        <x:v>FaithPath repo develop/v4 · data/bibles/l1912/LUK.json · data/bibles/otb/LUK.json</x:v>
      </x:c>
      <x:c r="AL281" t="str">
        <x:v>JA</x:v>
      </x:c>
    </x:row>
    <x:row r="282">
      <x:c r="A282" t="str">
        <x:v>FP-0541</x:v>
      </x:c>
      <x:c r="B282" t="str">
        <x:v>LUK</x:v>
      </x:c>
      <x:c r="C282" t="str">
        <x:v>Lukas</x:v>
      </x:c>
      <x:c r="D282" t="n">
        <x:v>13</x:v>
      </x:c>
      <x:c r="E282" t="n">
        <x:v>1</x:v>
      </x:c>
      <x:c r="F282" t="str">
        <x:v>LUK-013</x:v>
      </x:c>
      <x:c r="G282" t="n">
        <x:v>57</x:v>
      </x:c>
      <x:c r="H282" t="str">
        <x:v>CQ-A03</x:v>
      </x:c>
      <x:c r="I282" s="36" t="str">
        <x:v>Welche dieser Aussagen stammt aus Lukas 13?</x:v>
      </x:c>
      <x:c r="J282" s="36" t="str"/>
      <x:c r="K282" s="36" t="str"/>
      <x:c r="L282" s="36" t="str">
        <x:v>REPO_VERIFIZIERT_FRAGEFORM</x:v>
      </x:c>
      <x:c r="M282" s="36" t="str">
        <x:v>ERSETZEN</x:v>
      </x:c>
      <x:c r="N282" s="36" t="str">
        <x:v>REPETITIVE_FRAGEFORM</x:v>
      </x:c>
      <x:c r="O282" s="36" t="str">
        <x:v>REINE_WIEDERERKENNUNG</x:v>
      </x:c>
      <x:c r="P282" s="36" t="str">
        <x:v>KERNAUSSAGE</x:v>
      </x:c>
      <x:c r="Q282" s="36" t="str">
        <x:v>Welche Schlussfolgerung zieht Jesus aus den Berichten über getötete Galiläer und den Turm von Siloah?</x:v>
      </x:c>
      <x:c r="R282" s="36" t="str">
        <x:v>Jedes Unglück beweist besondere Schuld.</x:v>
      </x:c>
      <x:c r="S282" s="36" t="str">
        <x:v>Die Betroffenen waren nicht größere Sünder; alle sind zur Umkehr gerufen.</x:v>
      </x:c>
      <x:c r="T282" s="36" t="str">
        <x:v>Nur Menschen in Jerusalem müssen umkehren.</x:v>
      </x:c>
      <x:c r="U282" s="36" t="str">
        <x:v>Pilatus war für jede Katastrophe verantwortlich.</x:v>
      </x:c>
      <x:c r="V282" s="36" t="n">
        <x:v>1</x:v>
      </x:c>
      <x:c r="W282" s="36" t="str">
        <x:v>Die Betroffenen waren nicht größere Sünder; alle sind zur Umkehr gerufen.</x:v>
      </x:c>
      <x:c r="X282" s="36" t="str">
        <x:v>Lukas 13,1–5</x:v>
      </x:c>
      <x:c r="Y282" s="36" t="str">
        <x:v>Jesus weist die Deutung zurück, die Opfer seien schuldiger gewesen, und richtet den Ruf zur Umkehr an alle.</x:v>
      </x:c>
      <x:c r="Z282" s="36" t="str">
        <x:v>JA</x:v>
      </x:c>
      <x:c r="AA282" s="36" t="str">
        <x:v>JA</x:v>
      </x:c>
      <x:c r="AB282" s="36" t="str">
        <x:v>JA</x:v>
      </x:c>
      <x:c r="AC282" s="36" t="str">
        <x:v>JA</x:v>
      </x:c>
      <x:c r="AD282" s="36" t="str">
        <x:v>JA</x:v>
      </x:c>
      <x:c r="AE282" s="36" t="str">
        <x:v>JA</x:v>
      </x:c>
      <x:c r="AF282" s="36" t="str">
        <x:v>JA</x:v>
      </x:c>
      <x:c r="AG282" s="36" t="str">
        <x:v>FREIGEGEBEN</x:v>
      </x:c>
      <x:c r="AH282" s="36" t="str">
        <x:v>GPT-5.6 Sol · Buchprüfung Lukas · L1912/OTB</x:v>
      </x:c>
      <x:c r="AI282" s="36" t="str">
        <x:v>FREIGEGEBEN</x:v>
      </x:c>
      <x:c r="AJ282" s="36" t="str">
        <x:v>Lukas 13: repetitive Wiedererkennungsfrage durch KERNAUSSAGE-Frage ersetzt.</x:v>
      </x:c>
      <x:c r="AK282" s="36" t="str">
        <x:v>FaithPath repo develop/v4 · data/bibles/l1912/LUK.json · data/bibles/otb/LUK.json</x:v>
      </x:c>
      <x:c r="AL282" t="str">
        <x:v>JA</x:v>
      </x:c>
    </x:row>
    <x:row r="283">
      <x:c r="A283" t="str">
        <x:v>FP-0542</x:v>
      </x:c>
      <x:c r="B283" t="str">
        <x:v>LUK</x:v>
      </x:c>
      <x:c r="C283" t="str">
        <x:v>Lukas</x:v>
      </x:c>
      <x:c r="D283" t="n">
        <x:v>13</x:v>
      </x:c>
      <x:c r="E283" t="n">
        <x:v>2</x:v>
      </x:c>
      <x:c r="F283" t="str">
        <x:v>LUK-013</x:v>
      </x:c>
      <x:c r="G283" t="n">
        <x:v>57</x:v>
      </x:c>
      <x:c r="H283" t="str">
        <x:v>CQ-A03</x:v>
      </x:c>
      <x:c r="I283" s="36" t="str">
        <x:v>Welche dieser Aussagen stammt aus Lukas 13?</x:v>
      </x:c>
      <x:c r="J283" s="36" t="str"/>
      <x:c r="K283" s="36" t="str"/>
      <x:c r="L283" s="36" t="str">
        <x:v>REPO_VERIFIZIERT_FRAGEFORM</x:v>
      </x:c>
      <x:c r="M283" s="36" t="str">
        <x:v>ERSETZEN</x:v>
      </x:c>
      <x:c r="N283" s="36" t="str">
        <x:v>REPETITIVE_FRAGEFORM</x:v>
      </x:c>
      <x:c r="O283" s="36" t="str">
        <x:v>REINE_WIEDERERKENNUNG</x:v>
      </x:c>
      <x:c r="P283" s="36" t="str">
        <x:v>ZUSAMMENHANG</x:v>
      </x:c>
      <x:c r="Q283" s="36" t="str">
        <x:v>Was bittet der Weingärtner für den unfruchtbaren Feigenbaum?</x:v>
      </x:c>
      <x:c r="R283" s="36" t="str">
        <x:v>Sofortige Fällung ohne weitere Chance.</x:v>
      </x:c>
      <x:c r="S283" s="36" t="str">
        <x:v>Den Baum in den Tempel zu bringen.</x:v>
      </x:c>
      <x:c r="T283" s="36" t="str">
        <x:v>Noch ein Jahr Zeit, damit er den Boden bearbeiten und düngen kann.</x:v>
      </x:c>
      <x:c r="U283" s="36" t="str">
        <x:v>Den Weinberg zu verkaufen.</x:v>
      </x:c>
      <x:c r="V283" s="36" t="n">
        <x:v>2</x:v>
      </x:c>
      <x:c r="W283" s="36" t="str">
        <x:v>Noch ein Jahr Zeit, damit er den Boden bearbeiten und düngen kann.</x:v>
      </x:c>
      <x:c r="X283" s="36" t="str">
        <x:v>Lukas 13,6–9</x:v>
      </x:c>
      <x:c r="Y283" s="36" t="str">
        <x:v>Der Weingärtner bittet um zusätzliche Zeit und Pflege, bevor über das endgültige Fällen entschieden wird.</x:v>
      </x:c>
      <x:c r="Z283" s="36" t="str">
        <x:v>JA</x:v>
      </x:c>
      <x:c r="AA283" s="36" t="str">
        <x:v>JA</x:v>
      </x:c>
      <x:c r="AB283" s="36" t="str">
        <x:v>JA</x:v>
      </x:c>
      <x:c r="AC283" s="36" t="str">
        <x:v>JA</x:v>
      </x:c>
      <x:c r="AD283" s="36" t="str">
        <x:v>JA</x:v>
      </x:c>
      <x:c r="AE283" s="36" t="str">
        <x:v>JA</x:v>
      </x:c>
      <x:c r="AF283" s="36" t="str">
        <x:v>JA</x:v>
      </x:c>
      <x:c r="AG283" s="36" t="str">
        <x:v>FREIGEGEBEN</x:v>
      </x:c>
      <x:c r="AH283" s="36" t="str">
        <x:v>GPT-5.6 Sol · Buchprüfung Lukas · L1912/OTB</x:v>
      </x:c>
      <x:c r="AI283" s="36" t="str">
        <x:v>FREIGEGEBEN</x:v>
      </x:c>
      <x:c r="AJ283" s="36" t="str">
        <x:v>Lukas 13: repetitive Wiedererkennungsfrage durch ZUSAMMENHANG-Frage ersetzt.</x:v>
      </x:c>
      <x:c r="AK283" s="36" t="str">
        <x:v>FaithPath repo develop/v4 · data/bibles/l1912/LUK.json · data/bibles/otb/LUK.json</x:v>
      </x:c>
      <x:c r="AL283" t="str">
        <x:v>JA</x:v>
      </x:c>
    </x:row>
    <x:row r="284">
      <x:c r="A284" t="str">
        <x:v>FP-0543</x:v>
      </x:c>
      <x:c r="B284" t="str">
        <x:v>LUK</x:v>
      </x:c>
      <x:c r="C284" t="str">
        <x:v>Lukas</x:v>
      </x:c>
      <x:c r="D284" t="n">
        <x:v>13</x:v>
      </x:c>
      <x:c r="E284" t="n">
        <x:v>3</x:v>
      </x:c>
      <x:c r="F284" t="str">
        <x:v>LUK-013</x:v>
      </x:c>
      <x:c r="G284" t="n">
        <x:v>57</x:v>
      </x:c>
      <x:c r="H284" t="str">
        <x:v>CQ-A03</x:v>
      </x:c>
      <x:c r="I284" s="36" t="str">
        <x:v>Welche dieser Aussagen stammt aus Lukas 13?</x:v>
      </x:c>
      <x:c r="J284" s="36" t="str"/>
      <x:c r="K284" s="36" t="str"/>
      <x:c r="L284" s="36" t="str">
        <x:v>REPO_VERIFIZIERT_FRAGEFORM</x:v>
      </x:c>
      <x:c r="M284" s="36" t="str">
        <x:v>ERSETZEN</x:v>
      </x:c>
      <x:c r="N284" s="36" t="str">
        <x:v>REPETITIVE_FRAGEFORM</x:v>
      </x:c>
      <x:c r="O284" s="36" t="str">
        <x:v>REINE_WIEDERERKENNUNG</x:v>
      </x:c>
      <x:c r="P284" s="36" t="str">
        <x:v>GESCHEHEN</x:v>
      </x:c>
      <x:c r="Q284" s="36" t="str">
        <x:v>Warum verteidigt Jesus die Heilung der seit achtzehn Jahren gekrümmten Frau am Sabbat?</x:v>
      </x:c>
      <x:c r="R284" s="36" t="str">
        <x:v>Am Sabbat gelten keine Gebote.</x:v>
      </x:c>
      <x:c r="S284" s="36" t="str">
        <x:v>Die Frau ist selbst Synagogenvorsteherin.</x:v>
      </x:c>
      <x:c r="T284" s="36" t="str">
        <x:v>Die Heilung sei schon am Vortag geschehen.</x:v>
      </x:c>
      <x:c r="U284" s="36" t="str">
        <x:v>Wenn Tiere am Sabbat losgebunden werden, soll auch diese Tochter Abrahams von ihrer Bindung befreit werden.</x:v>
      </x:c>
      <x:c r="V284" s="36" t="n">
        <x:v>3</x:v>
      </x:c>
      <x:c r="W284" s="36" t="str">
        <x:v>Wenn Tiere am Sabbat losgebunden werden, soll auch diese Tochter Abrahams von ihrer Bindung befreit werden.</x:v>
      </x:c>
      <x:c r="X284" s="36" t="str">
        <x:v>Lukas 13,10–17</x:v>
      </x:c>
      <x:c r="Y284" s="36" t="str">
        <x:v>Jesus argumentiert vom alltäglichen Lösen eines Tieres zur Befreiung der Frau aus langjähriger Bindung.</x:v>
      </x:c>
      <x:c r="Z284" s="36" t="str">
        <x:v>JA</x:v>
      </x:c>
      <x:c r="AA284" s="36" t="str">
        <x:v>JA</x:v>
      </x:c>
      <x:c r="AB284" s="36" t="str">
        <x:v>JA</x:v>
      </x:c>
      <x:c r="AC284" s="36" t="str">
        <x:v>JA</x:v>
      </x:c>
      <x:c r="AD284" s="36" t="str">
        <x:v>JA</x:v>
      </x:c>
      <x:c r="AE284" s="36" t="str">
        <x:v>JA</x:v>
      </x:c>
      <x:c r="AF284" s="36" t="str">
        <x:v>JA</x:v>
      </x:c>
      <x:c r="AG284" s="36" t="str">
        <x:v>FREIGEGEBEN</x:v>
      </x:c>
      <x:c r="AH284" s="36" t="str">
        <x:v>GPT-5.6 Sol · Buchprüfung Lukas · L1912/OTB</x:v>
      </x:c>
      <x:c r="AI284" s="36" t="str">
        <x:v>FREIGEGEBEN</x:v>
      </x:c>
      <x:c r="AJ284" s="36" t="str">
        <x:v>Lukas 13: repetitive Wiedererkennungsfrage durch GESCHEHEN-Frage ersetzt.</x:v>
      </x:c>
      <x:c r="AK284" s="36" t="str">
        <x:v>FaithPath repo develop/v4 · data/bibles/l1912/LUK.json · data/bibles/otb/LUK.json</x:v>
      </x:c>
      <x:c r="AL284" t="str">
        <x:v>JA</x:v>
      </x:c>
    </x:row>
    <x:row r="285">
      <x:c r="A285" t="str">
        <x:v>FP-0544</x:v>
      </x:c>
      <x:c r="B285" t="str">
        <x:v>LUK</x:v>
      </x:c>
      <x:c r="C285" t="str">
        <x:v>Lukas</x:v>
      </x:c>
      <x:c r="D285" t="n">
        <x:v>13</x:v>
      </x:c>
      <x:c r="E285" t="n">
        <x:v>4</x:v>
      </x:c>
      <x:c r="F285" t="str">
        <x:v>LUK-013</x:v>
      </x:c>
      <x:c r="G285" t="n">
        <x:v>57</x:v>
      </x:c>
      <x:c r="H285" t="str">
        <x:v>CQ-A03</x:v>
      </x:c>
      <x:c r="I285" s="36" t="str">
        <x:v>Welche dieser Aussagen stammt aus Lukas 13?</x:v>
      </x:c>
      <x:c r="J285" s="36" t="str"/>
      <x:c r="K285" s="36" t="str"/>
      <x:c r="L285" s="36" t="str">
        <x:v>REPO_VERIFIZIERT_FRAGEFORM</x:v>
      </x:c>
      <x:c r="M285" s="36" t="str">
        <x:v>ERSETZEN</x:v>
      </x:c>
      <x:c r="N285" s="36" t="str">
        <x:v>REPETITIVE_FRAGEFORM</x:v>
      </x:c>
      <x:c r="O285" s="36" t="str">
        <x:v>REINE_WIEDERERKENNUNG</x:v>
      </x:c>
      <x:c r="P285" s="36" t="str">
        <x:v>KERNAUSSAGE</x:v>
      </x:c>
      <x:c r="Q285" s="36" t="str">
        <x:v>Mit welchen zwei Bildern beschreibt Jesus das Reich Gottes in Lukas 13?</x:v>
      </x:c>
      <x:c r="R285" s="36" t="str">
        <x:v>Mit einem Senfkorn und mit Sauerteig.</x:v>
      </x:c>
      <x:c r="S285" s="36" t="str">
        <x:v>Mit einem Schiff und einem Netz.</x:v>
      </x:c>
      <x:c r="T285" s="36" t="str">
        <x:v>Mit einem Weinberg und einem Tempel.</x:v>
      </x:c>
      <x:c r="U285" s="36" t="str">
        <x:v>Mit Salz und einem Brunnen.</x:v>
      </x:c>
      <x:c r="V285" s="36" t="n">
        <x:v>0</x:v>
      </x:c>
      <x:c r="W285" s="36" t="str">
        <x:v>Mit einem Senfkorn und mit Sauerteig.</x:v>
      </x:c>
      <x:c r="X285" s="36" t="str">
        <x:v>Lukas 13,18–21</x:v>
      </x:c>
      <x:c r="Y285" s="36" t="str">
        <x:v>Jesus vergleicht Gottes Reich mit dem kleinen Senfkorn, das wächst, und mit Sauerteig, der den Teig durchdringt.</x:v>
      </x:c>
      <x:c r="Z285" s="36" t="str">
        <x:v>JA</x:v>
      </x:c>
      <x:c r="AA285" s="36" t="str">
        <x:v>JA</x:v>
      </x:c>
      <x:c r="AB285" s="36" t="str">
        <x:v>JA</x:v>
      </x:c>
      <x:c r="AC285" s="36" t="str">
        <x:v>JA</x:v>
      </x:c>
      <x:c r="AD285" s="36" t="str">
        <x:v>JA</x:v>
      </x:c>
      <x:c r="AE285" s="36" t="str">
        <x:v>JA</x:v>
      </x:c>
      <x:c r="AF285" s="36" t="str">
        <x:v>JA</x:v>
      </x:c>
      <x:c r="AG285" s="36" t="str">
        <x:v>FREIGEGEBEN</x:v>
      </x:c>
      <x:c r="AH285" s="36" t="str">
        <x:v>GPT-5.6 Sol · Buchprüfung Lukas · L1912/OTB</x:v>
      </x:c>
      <x:c r="AI285" s="36" t="str">
        <x:v>FREIGEGEBEN</x:v>
      </x:c>
      <x:c r="AJ285" s="36" t="str">
        <x:v>Lukas 13: repetitive Wiedererkennungsfrage durch KERNAUSSAGE-Frage ersetzt.</x:v>
      </x:c>
      <x:c r="AK285" s="36" t="str">
        <x:v>FaithPath repo develop/v4 · data/bibles/l1912/LUK.json · data/bibles/otb/LUK.json</x:v>
      </x:c>
      <x:c r="AL285" t="str">
        <x:v>JA</x:v>
      </x:c>
    </x:row>
    <x:row r="286">
      <x:c r="A286" t="str">
        <x:v>FP-0545</x:v>
      </x:c>
      <x:c r="B286" t="str">
        <x:v>LUK</x:v>
      </x:c>
      <x:c r="C286" t="str">
        <x:v>Lukas</x:v>
      </x:c>
      <x:c r="D286" t="n">
        <x:v>13</x:v>
      </x:c>
      <x:c r="E286" t="n">
        <x:v>5</x:v>
      </x:c>
      <x:c r="F286" t="str">
        <x:v>LUK-013</x:v>
      </x:c>
      <x:c r="G286" t="n">
        <x:v>57</x:v>
      </x:c>
      <x:c r="H286" t="str">
        <x:v>CQ-A03</x:v>
      </x:c>
      <x:c r="I286" s="36" t="str">
        <x:v>Welche dieser Aussagen stammt aus Lukas 13?</x:v>
      </x:c>
      <x:c r="J286" s="36" t="str"/>
      <x:c r="K286" s="36" t="str"/>
      <x:c r="L286" s="36" t="str">
        <x:v>REPO_VERIFIZIERT_FRAGEFORM</x:v>
      </x:c>
      <x:c r="M286" s="36" t="str">
        <x:v>ERSETZEN</x:v>
      </x:c>
      <x:c r="N286" s="36" t="str">
        <x:v>REPETITIVE_FRAGEFORM</x:v>
      </x:c>
      <x:c r="O286" s="36" t="str">
        <x:v>REINE_WIEDERERKENNUNG</x:v>
      </x:c>
      <x:c r="P286" s="36" t="str">
        <x:v>KERNAUSSAGE</x:v>
      </x:c>
      <x:c r="Q286" s="36" t="str">
        <x:v>Welche Aufforderung gibt Jesus auf die Frage, ob nur wenige gerettet werden?</x:v>
      </x:c>
      <x:c r="R286" s="36" t="str">
        <x:v>Sucht nach einer breiten Straße.</x:v>
      </x:c>
      <x:c r="S286" s="36" t="str">
        <x:v>Bemüht euch, durch die enge Tür einzutreten.</x:v>
      </x:c>
      <x:c r="T286" s="36" t="str">
        <x:v>Verlasst Jerusalem sofort.</x:v>
      </x:c>
      <x:c r="U286" s="36" t="str">
        <x:v>Wartet einfach, ohne etwas zu tun.</x:v>
      </x:c>
      <x:c r="V286" s="36" t="n">
        <x:v>1</x:v>
      </x:c>
      <x:c r="W286" s="36" t="str">
        <x:v>Bemüht euch, durch die enge Tür einzutreten.</x:v>
      </x:c>
      <x:c r="X286" s="36" t="str">
        <x:v>Lukas 13,22–30</x:v>
      </x:c>
      <x:c r="Y286" s="36" t="str">
        <x:v>Jesus antwortet nicht mit einer Zahl, sondern mit der persönlichen Aufforderung, durch die enge Tür einzutreten.</x:v>
      </x:c>
      <x:c r="Z286" s="36" t="str">
        <x:v>JA</x:v>
      </x:c>
      <x:c r="AA286" s="36" t="str">
        <x:v>JA</x:v>
      </x:c>
      <x:c r="AB286" s="36" t="str">
        <x:v>JA</x:v>
      </x:c>
      <x:c r="AC286" s="36" t="str">
        <x:v>JA</x:v>
      </x:c>
      <x:c r="AD286" s="36" t="str">
        <x:v>JA</x:v>
      </x:c>
      <x:c r="AE286" s="36" t="str">
        <x:v>JA</x:v>
      </x:c>
      <x:c r="AF286" s="36" t="str">
        <x:v>JA</x:v>
      </x:c>
      <x:c r="AG286" s="36" t="str">
        <x:v>FREIGEGEBEN</x:v>
      </x:c>
      <x:c r="AH286" s="36" t="str">
        <x:v>GPT-5.6 Sol · Buchprüfung Lukas · L1912/OTB</x:v>
      </x:c>
      <x:c r="AI286" s="36" t="str">
        <x:v>FREIGEGEBEN</x:v>
      </x:c>
      <x:c r="AJ286" s="36" t="str">
        <x:v>Lukas 13: repetitive Wiedererkennungsfrage durch KERNAUSSAGE-Frage ersetzt.</x:v>
      </x:c>
      <x:c r="AK286" s="36" t="str">
        <x:v>FaithPath repo develop/v4 · data/bibles/l1912/LUK.json · data/bibles/otb/LUK.json</x:v>
      </x:c>
      <x:c r="AL286" t="str">
        <x:v>JA</x:v>
      </x:c>
    </x:row>
    <x:row r="287">
      <x:c r="A287" t="str">
        <x:v>FP-0546</x:v>
      </x:c>
      <x:c r="B287" t="str">
        <x:v>LUK</x:v>
      </x:c>
      <x:c r="C287" t="str">
        <x:v>Lukas</x:v>
      </x:c>
      <x:c r="D287" t="n">
        <x:v>14</x:v>
      </x:c>
      <x:c r="E287" t="n">
        <x:v>1</x:v>
      </x:c>
      <x:c r="F287" t="str">
        <x:v>LUK-014</x:v>
      </x:c>
      <x:c r="G287" t="n">
        <x:v>58</x:v>
      </x:c>
      <x:c r="H287" t="str">
        <x:v>CQ-A03</x:v>
      </x:c>
      <x:c r="I287" s="36" t="str">
        <x:v>Welche dieser Aussagen stammt aus Lukas 14?</x:v>
      </x:c>
      <x:c r="J287" s="36" t="str"/>
      <x:c r="K287" s="36" t="str"/>
      <x:c r="L287" s="36" t="str">
        <x:v>REPO_VERIFIZIERT_FRAGEFORM</x:v>
      </x:c>
      <x:c r="M287" s="36" t="str">
        <x:v>ERSETZEN</x:v>
      </x:c>
      <x:c r="N287" s="36" t="str">
        <x:v>REPETITIVE_FRAGEFORM</x:v>
      </x:c>
      <x:c r="O287" s="36" t="str">
        <x:v>REINE_WIEDERERKENNUNG</x:v>
      </x:c>
      <x:c r="P287" s="36" t="str">
        <x:v>ZUSAMMENHANG</x:v>
      </x:c>
      <x:c r="Q287" s="36" t="str">
        <x:v>Wie begründet Jesus die Heilung eines kranken Mannes am Sabbat?</x:v>
      </x:c>
      <x:c r="R287" s="36" t="str">
        <x:v>Am Sabbat gebe es grundsätzlich keine Regeln.</x:v>
      </x:c>
      <x:c r="S287" s="36" t="str">
        <x:v>Der Mann sei ein Priester.</x:v>
      </x:c>
      <x:c r="T287" s="36" t="str">
        <x:v>Man würde auch am Sabbat einen Sohn oder ein Tier aus einem Brunnen ziehen.</x:v>
      </x:c>
      <x:c r="U287" s="36" t="str">
        <x:v>Der Sabbat sei schon vorbei.</x:v>
      </x:c>
      <x:c r="V287" s="36" t="n">
        <x:v>2</x:v>
      </x:c>
      <x:c r="W287" s="36" t="str">
        <x:v>Man würde auch am Sabbat einen Sohn oder ein Tier aus einem Brunnen ziehen.</x:v>
      </x:c>
      <x:c r="X287" s="36" t="str">
        <x:v>Lukas 14,1–6</x:v>
      </x:c>
      <x:c r="Y287" s="36" t="str">
        <x:v>Jesus verweist auf selbstverständliche Hilfe in einer Notlage und zeigt damit die Angemessenheit der Heilung.</x:v>
      </x:c>
      <x:c r="Z287" s="36" t="str">
        <x:v>JA</x:v>
      </x:c>
      <x:c r="AA287" s="36" t="str">
        <x:v>JA</x:v>
      </x:c>
      <x:c r="AB287" s="36" t="str">
        <x:v>JA</x:v>
      </x:c>
      <x:c r="AC287" s="36" t="str">
        <x:v>JA</x:v>
      </x:c>
      <x:c r="AD287" s="36" t="str">
        <x:v>JA</x:v>
      </x:c>
      <x:c r="AE287" s="36" t="str">
        <x:v>JA</x:v>
      </x:c>
      <x:c r="AF287" s="36" t="str">
        <x:v>JA</x:v>
      </x:c>
      <x:c r="AG287" s="36" t="str">
        <x:v>FREIGEGEBEN</x:v>
      </x:c>
      <x:c r="AH287" s="36" t="str">
        <x:v>GPT-5.6 Sol · Buchprüfung Lukas · L1912/OTB</x:v>
      </x:c>
      <x:c r="AI287" s="36" t="str">
        <x:v>FREIGEGEBEN</x:v>
      </x:c>
      <x:c r="AJ287" s="36" t="str">
        <x:v>Lukas 14: repetitive Wiedererkennungsfrage durch ZUSAMMENHANG-Frage ersetzt.</x:v>
      </x:c>
      <x:c r="AK287" s="36" t="str">
        <x:v>FaithPath repo develop/v4 · data/bibles/l1912/LUK.json · data/bibles/otb/LUK.json</x:v>
      </x:c>
      <x:c r="AL287" t="str">
        <x:v>JA</x:v>
      </x:c>
    </x:row>
    <x:row r="288">
      <x:c r="A288" t="str">
        <x:v>FP-0547</x:v>
      </x:c>
      <x:c r="B288" t="str">
        <x:v>LUK</x:v>
      </x:c>
      <x:c r="C288" t="str">
        <x:v>Lukas</x:v>
      </x:c>
      <x:c r="D288" t="n">
        <x:v>14</x:v>
      </x:c>
      <x:c r="E288" t="n">
        <x:v>2</x:v>
      </x:c>
      <x:c r="F288" t="str">
        <x:v>LUK-014</x:v>
      </x:c>
      <x:c r="G288" t="n">
        <x:v>58</x:v>
      </x:c>
      <x:c r="H288" t="str">
        <x:v>CQ-A03</x:v>
      </x:c>
      <x:c r="I288" s="36" t="str">
        <x:v>Welche dieser Aussagen stammt aus Lukas 14?</x:v>
      </x:c>
      <x:c r="J288" s="36" t="str"/>
      <x:c r="K288" s="36" t="str"/>
      <x:c r="L288" s="36" t="str">
        <x:v>REPO_VERIFIZIERT_FRAGEFORM</x:v>
      </x:c>
      <x:c r="M288" s="36" t="str">
        <x:v>ERSETZEN</x:v>
      </x:c>
      <x:c r="N288" s="36" t="str">
        <x:v>REPETITIVE_FRAGEFORM</x:v>
      </x:c>
      <x:c r="O288" s="36" t="str">
        <x:v>REINE_WIEDERERKENNUNG</x:v>
      </x:c>
      <x:c r="P288" s="36" t="str">
        <x:v>KERNAUSSAGE</x:v>
      </x:c>
      <x:c r="Q288" s="36" t="str">
        <x:v>Welche Lehre verbindet Jesus mit der Wahl der Plätze bei einem Fest?</x:v>
      </x:c>
      <x:c r="R288" s="36" t="str">
        <x:v>Der reichste Gast soll immer vorn sitzen.</x:v>
      </x:c>
      <x:c r="S288" s="36" t="str">
        <x:v>Jeder soll um den besten Platz kämpfen.</x:v>
      </x:c>
      <x:c r="T288" s="36" t="str">
        <x:v>Nur Familienmitglieder dürfen sitzen.</x:v>
      </x:c>
      <x:c r="U288" s="36" t="str">
        <x:v>Wer sich selbst erhöht, wird erniedrigt; wer sich selbst erniedrigt, wird erhöht.</x:v>
      </x:c>
      <x:c r="V288" s="36" t="n">
        <x:v>3</x:v>
      </x:c>
      <x:c r="W288" s="36" t="str">
        <x:v>Wer sich selbst erhöht, wird erniedrigt; wer sich selbst erniedrigt, wird erhöht.</x:v>
      </x:c>
      <x:c r="X288" s="36" t="str">
        <x:v>Lukas 14,7–11</x:v>
      </x:c>
      <x:c r="Y288" s="36" t="str">
        <x:v>Das Gleichnis über Sitzplätze führt zu Jesu Grundsatz über Selbsterniedrigung und Erhöhung.</x:v>
      </x:c>
      <x:c r="Z288" s="36" t="str">
        <x:v>JA</x:v>
      </x:c>
      <x:c r="AA288" s="36" t="str">
        <x:v>JA</x:v>
      </x:c>
      <x:c r="AB288" s="36" t="str">
        <x:v>JA</x:v>
      </x:c>
      <x:c r="AC288" s="36" t="str">
        <x:v>JA</x:v>
      </x:c>
      <x:c r="AD288" s="36" t="str">
        <x:v>JA</x:v>
      </x:c>
      <x:c r="AE288" s="36" t="str">
        <x:v>JA</x:v>
      </x:c>
      <x:c r="AF288" s="36" t="str">
        <x:v>JA</x:v>
      </x:c>
      <x:c r="AG288" s="36" t="str">
        <x:v>FREIGEGEBEN</x:v>
      </x:c>
      <x:c r="AH288" s="36" t="str">
        <x:v>GPT-5.6 Sol · Buchprüfung Lukas · L1912/OTB</x:v>
      </x:c>
      <x:c r="AI288" s="36" t="str">
        <x:v>FREIGEGEBEN</x:v>
      </x:c>
      <x:c r="AJ288" s="36" t="str">
        <x:v>Lukas 14: repetitive Wiedererkennungsfrage durch KERNAUSSAGE-Frage ersetzt.</x:v>
      </x:c>
      <x:c r="AK288" s="36" t="str">
        <x:v>FaithPath repo develop/v4 · data/bibles/l1912/LUK.json · data/bibles/otb/LUK.json</x:v>
      </x:c>
      <x:c r="AL288" t="str">
        <x:v>JA</x:v>
      </x:c>
    </x:row>
    <x:row r="289">
      <x:c r="A289" t="str">
        <x:v>FP-0548</x:v>
      </x:c>
      <x:c r="B289" t="str">
        <x:v>LUK</x:v>
      </x:c>
      <x:c r="C289" t="str">
        <x:v>Lukas</x:v>
      </x:c>
      <x:c r="D289" t="n">
        <x:v>14</x:v>
      </x:c>
      <x:c r="E289" t="n">
        <x:v>3</x:v>
      </x:c>
      <x:c r="F289" t="str">
        <x:v>LUK-014</x:v>
      </x:c>
      <x:c r="G289" t="n">
        <x:v>58</x:v>
      </x:c>
      <x:c r="H289" t="str">
        <x:v>CQ-A03</x:v>
      </x:c>
      <x:c r="I289" s="36" t="str">
        <x:v>Welche dieser Aussagen stammt aus Lukas 14?</x:v>
      </x:c>
      <x:c r="J289" s="36" t="str"/>
      <x:c r="K289" s="36" t="str"/>
      <x:c r="L289" s="36" t="str">
        <x:v>REPO_VERIFIZIERT_FRAGEFORM</x:v>
      </x:c>
      <x:c r="M289" s="36" t="str">
        <x:v>ERSETZEN</x:v>
      </x:c>
      <x:c r="N289" s="36" t="str">
        <x:v>REPETITIVE_FRAGEFORM</x:v>
      </x:c>
      <x:c r="O289" s="36" t="str">
        <x:v>REINE_WIEDERERKENNUNG</x:v>
      </x:c>
      <x:c r="P289" s="36" t="str">
        <x:v>KERNAUSSAGE</x:v>
      </x:c>
      <x:c r="Q289" s="36" t="str">
        <x:v>Wen soll man nach Jesu Worten besonders zu einem Fest einladen, ohne Rückzahlung zu erwarten?</x:v>
      </x:c>
      <x:c r="R289" s="36" t="str">
        <x:v>Arme, Bedürftige, Lahme und Blinde.</x:v>
      </x:c>
      <x:c r="S289" s="36" t="str">
        <x:v>Nur reiche Nachbarn.</x:v>
      </x:c>
      <x:c r="T289" s="36" t="str">
        <x:v>Nur enge Freunde.</x:v>
      </x:c>
      <x:c r="U289" s="36" t="str">
        <x:v>Ausschließlich Priester.</x:v>
      </x:c>
      <x:c r="V289" s="36" t="n">
        <x:v>0</x:v>
      </x:c>
      <x:c r="W289" s="36" t="str">
        <x:v>Arme, Bedürftige, Lahme und Blinde.</x:v>
      </x:c>
      <x:c r="X289" s="36" t="str">
        <x:v>Lukas 14,12–14</x:v>
      </x:c>
      <x:c r="Y289" s="36" t="str">
        <x:v>Jesus lenkt Gastfreundschaft zu denen, die nicht zurückzahlen können, und verweist auf Gottes zukünftige Vergeltung.</x:v>
      </x:c>
      <x:c r="Z289" s="36" t="str">
        <x:v>JA</x:v>
      </x:c>
      <x:c r="AA289" s="36" t="str">
        <x:v>JA</x:v>
      </x:c>
      <x:c r="AB289" s="36" t="str">
        <x:v>JA</x:v>
      </x:c>
      <x:c r="AC289" s="36" t="str">
        <x:v>JA</x:v>
      </x:c>
      <x:c r="AD289" s="36" t="str">
        <x:v>JA</x:v>
      </x:c>
      <x:c r="AE289" s="36" t="str">
        <x:v>JA</x:v>
      </x:c>
      <x:c r="AF289" s="36" t="str">
        <x:v>JA</x:v>
      </x:c>
      <x:c r="AG289" s="36" t="str">
        <x:v>FREIGEGEBEN</x:v>
      </x:c>
      <x:c r="AH289" s="36" t="str">
        <x:v>GPT-5.6 Sol · Buchprüfung Lukas · L1912/OTB</x:v>
      </x:c>
      <x:c r="AI289" s="36" t="str">
        <x:v>FREIGEGEBEN</x:v>
      </x:c>
      <x:c r="AJ289" s="36" t="str">
        <x:v>Lukas 14: repetitive Wiedererkennungsfrage durch KERNAUSSAGE-Frage ersetzt.</x:v>
      </x:c>
      <x:c r="AK289" s="36" t="str">
        <x:v>FaithPath repo develop/v4 · data/bibles/l1912/LUK.json · data/bibles/otb/LUK.json</x:v>
      </x:c>
      <x:c r="AL289" t="str">
        <x:v>JA</x:v>
      </x:c>
    </x:row>
    <x:row r="290">
      <x:c r="A290" t="str">
        <x:v>FP-0549</x:v>
      </x:c>
      <x:c r="B290" t="str">
        <x:v>LUK</x:v>
      </x:c>
      <x:c r="C290" t="str">
        <x:v>Lukas</x:v>
      </x:c>
      <x:c r="D290" t="n">
        <x:v>14</x:v>
      </x:c>
      <x:c r="E290" t="n">
        <x:v>4</x:v>
      </x:c>
      <x:c r="F290" t="str">
        <x:v>LUK-014</x:v>
      </x:c>
      <x:c r="G290" t="n">
        <x:v>58</x:v>
      </x:c>
      <x:c r="H290" t="str">
        <x:v>CQ-A03</x:v>
      </x:c>
      <x:c r="I290" s="36" t="str">
        <x:v>Welche dieser Aussagen stammt aus Lukas 14?</x:v>
      </x:c>
      <x:c r="J290" s="36" t="str"/>
      <x:c r="K290" s="36" t="str"/>
      <x:c r="L290" s="36" t="str">
        <x:v>REPO_VERIFIZIERT_FRAGEFORM</x:v>
      </x:c>
      <x:c r="M290" s="36" t="str">
        <x:v>ERSETZEN</x:v>
      </x:c>
      <x:c r="N290" s="36" t="str">
        <x:v>REPETITIVE_FRAGEFORM</x:v>
      </x:c>
      <x:c r="O290" s="36" t="str">
        <x:v>REINE_WIEDERERKENNUNG</x:v>
      </x:c>
      <x:c r="P290" s="36" t="str">
        <x:v>GESCHEHEN</x:v>
      </x:c>
      <x:c r="Q290" s="36" t="str">
        <x:v>Was geschieht im Gleichnis vom großen Fest, nachdem die zuerst Eingeladenen sich entschuldigen?</x:v>
      </x:c>
      <x:c r="R290" s="36" t="str">
        <x:v>Das Fest wird abgesagt.</x:v>
      </x:c>
      <x:c r="S290" s="36" t="str">
        <x:v>Der Gastgeber lässt Arme, Bedürftige, Blinde und Lahme hereinbringen und sucht weitere Gäste.</x:v>
      </x:c>
      <x:c r="T290" s="36" t="str">
        <x:v>Nur die Diener dürfen essen.</x:v>
      </x:c>
      <x:c r="U290" s="36" t="str">
        <x:v>Der Gastgeber verkauft sein Haus.</x:v>
      </x:c>
      <x:c r="V290" s="36" t="n">
        <x:v>1</x:v>
      </x:c>
      <x:c r="W290" s="36" t="str">
        <x:v>Der Gastgeber lässt Arme, Bedürftige, Blinde und Lahme hereinbringen und sucht weitere Gäste.</x:v>
      </x:c>
      <x:c r="X290" s="36" t="str">
        <x:v>Lukas 14,15–24</x:v>
      </x:c>
      <x:c r="Y290" s="36" t="str">
        <x:v>Weil die ersten Gäste absagen, öffnet der Gastgeber sein Fest für andere, bis das Haus gefüllt wird.</x:v>
      </x:c>
      <x:c r="Z290" s="36" t="str">
        <x:v>JA</x:v>
      </x:c>
      <x:c r="AA290" s="36" t="str">
        <x:v>JA</x:v>
      </x:c>
      <x:c r="AB290" s="36" t="str">
        <x:v>JA</x:v>
      </x:c>
      <x:c r="AC290" s="36" t="str">
        <x:v>JA</x:v>
      </x:c>
      <x:c r="AD290" s="36" t="str">
        <x:v>JA</x:v>
      </x:c>
      <x:c r="AE290" s="36" t="str">
        <x:v>JA</x:v>
      </x:c>
      <x:c r="AF290" s="36" t="str">
        <x:v>JA</x:v>
      </x:c>
      <x:c r="AG290" s="36" t="str">
        <x:v>FREIGEGEBEN</x:v>
      </x:c>
      <x:c r="AH290" s="36" t="str">
        <x:v>GPT-5.6 Sol · Buchprüfung Lukas · L1912/OTB</x:v>
      </x:c>
      <x:c r="AI290" s="36" t="str">
        <x:v>FREIGEGEBEN</x:v>
      </x:c>
      <x:c r="AJ290" s="36" t="str">
        <x:v>Lukas 14: repetitive Wiedererkennungsfrage durch GESCHEHEN-Frage ersetzt.</x:v>
      </x:c>
      <x:c r="AK290" s="36" t="str">
        <x:v>FaithPath repo develop/v4 · data/bibles/l1912/LUK.json · data/bibles/otb/LUK.json</x:v>
      </x:c>
      <x:c r="AL290" t="str">
        <x:v>JA</x:v>
      </x:c>
    </x:row>
    <x:row r="291">
      <x:c r="A291" t="str">
        <x:v>FP-0550</x:v>
      </x:c>
      <x:c r="B291" t="str">
        <x:v>LUK</x:v>
      </x:c>
      <x:c r="C291" t="str">
        <x:v>Lukas</x:v>
      </x:c>
      <x:c r="D291" t="n">
        <x:v>14</x:v>
      </x:c>
      <x:c r="E291" t="n">
        <x:v>5</x:v>
      </x:c>
      <x:c r="F291" t="str">
        <x:v>LUK-014</x:v>
      </x:c>
      <x:c r="G291" t="n">
        <x:v>58</x:v>
      </x:c>
      <x:c r="H291" t="str">
        <x:v>CQ-A03</x:v>
      </x:c>
      <x:c r="I291" s="36" t="str">
        <x:v>Welche dieser Aussagen stammt aus Lukas 14?</x:v>
      </x:c>
      <x:c r="J291" s="36" t="str"/>
      <x:c r="K291" s="36" t="str"/>
      <x:c r="L291" s="36" t="str">
        <x:v>REPO_VERIFIZIERT_FRAGEFORM</x:v>
      </x:c>
      <x:c r="M291" s="36" t="str">
        <x:v>ERSETZEN</x:v>
      </x:c>
      <x:c r="N291" s="36" t="str">
        <x:v>REPETITIVE_FRAGEFORM</x:v>
      </x:c>
      <x:c r="O291" s="36" t="str">
        <x:v>REINE_WIEDERERKENNUNG</x:v>
      </x:c>
      <x:c r="P291" s="36" t="str">
        <x:v>KERNAUSSAGE</x:v>
      </x:c>
      <x:c r="Q291" s="36" t="str">
        <x:v>Welche Bilder verwendet Jesus, um die Kosten der Nachfolge zu erklären?</x:v>
      </x:c>
      <x:c r="R291" s="36" t="str">
        <x:v>Eine Ernte und einen Fischfang.</x:v>
      </x:c>
      <x:c r="S291" s="36" t="str">
        <x:v>Ein verlorenes Schaf und eine Münze.</x:v>
      </x:c>
      <x:c r="T291" s="36" t="str">
        <x:v>Einen Turmbau und einen König, der vor einem Krieg seine Möglichkeiten prüft.</x:v>
      </x:c>
      <x:c r="U291" s="36" t="str">
        <x:v>Eine Hochzeit und einen Weinberg.</x:v>
      </x:c>
      <x:c r="V291" s="36" t="n">
        <x:v>2</x:v>
      </x:c>
      <x:c r="W291" s="36" t="str">
        <x:v>Einen Turmbau und einen König, der vor einem Krieg seine Möglichkeiten prüft.</x:v>
      </x:c>
      <x:c r="X291" s="36" t="str">
        <x:v>Lukas 14,25–33</x:v>
      </x:c>
      <x:c r="Y291" s="36" t="str">
        <x:v>Jesus fordert dazu auf, die Konsequenzen der Nachfolge bewusst zu bedenken und alles andere ihr unterzuordnen.</x:v>
      </x:c>
      <x:c r="Z291" s="36" t="str">
        <x:v>JA</x:v>
      </x:c>
      <x:c r="AA291" s="36" t="str">
        <x:v>JA</x:v>
      </x:c>
      <x:c r="AB291" s="36" t="str">
        <x:v>JA</x:v>
      </x:c>
      <x:c r="AC291" s="36" t="str">
        <x:v>JA</x:v>
      </x:c>
      <x:c r="AD291" s="36" t="str">
        <x:v>JA</x:v>
      </x:c>
      <x:c r="AE291" s="36" t="str">
        <x:v>JA</x:v>
      </x:c>
      <x:c r="AF291" s="36" t="str">
        <x:v>JA</x:v>
      </x:c>
      <x:c r="AG291" s="36" t="str">
        <x:v>FREIGEGEBEN</x:v>
      </x:c>
      <x:c r="AH291" s="36" t="str">
        <x:v>GPT-5.6 Sol · Buchprüfung Lukas · L1912/OTB</x:v>
      </x:c>
      <x:c r="AI291" s="36" t="str">
        <x:v>FREIGEGEBEN</x:v>
      </x:c>
      <x:c r="AJ291" s="36" t="str">
        <x:v>Lukas 14: repetitive Wiedererkennungsfrage durch KERNAUSSAGE-Frage ersetzt.</x:v>
      </x:c>
      <x:c r="AK291" s="36" t="str">
        <x:v>FaithPath repo develop/v4 · data/bibles/l1912/LUK.json · data/bibles/otb/LUK.json</x:v>
      </x:c>
      <x:c r="AL291" t="str">
        <x:v>JA</x:v>
      </x:c>
    </x:row>
    <x:row r="292">
      <x:c r="A292" t="str">
        <x:v>FP-0551</x:v>
      </x:c>
      <x:c r="B292" t="str">
        <x:v>LUK</x:v>
      </x:c>
      <x:c r="C292" t="str">
        <x:v>Lukas</x:v>
      </x:c>
      <x:c r="D292" t="n">
        <x:v>15</x:v>
      </x:c>
      <x:c r="E292" t="n">
        <x:v>1</x:v>
      </x:c>
      <x:c r="F292" t="str">
        <x:v>LUK-015</x:v>
      </x:c>
      <x:c r="G292" t="n">
        <x:v>59</x:v>
      </x:c>
      <x:c r="H292" t="str">
        <x:v>CQ-A03</x:v>
      </x:c>
      <x:c r="I292" s="36" t="str">
        <x:v>Welche dieser Aussagen stammt aus Lukas 15?</x:v>
      </x:c>
      <x:c r="J292" s="36" t="str"/>
      <x:c r="K292" s="36" t="str"/>
      <x:c r="L292" s="36" t="str">
        <x:v>REPO_VERIFIZIERT_FRAGEFORM</x:v>
      </x:c>
      <x:c r="M292" s="36" t="str">
        <x:v>ERSETZEN</x:v>
      </x:c>
      <x:c r="N292" s="36" t="str">
        <x:v>REPETITIVE_FRAGEFORM</x:v>
      </x:c>
      <x:c r="O292" s="36" t="str">
        <x:v>REINE_WIEDERERKENNUNG</x:v>
      </x:c>
      <x:c r="P292" s="36" t="str">
        <x:v>KERNAUSSAGE</x:v>
      </x:c>
      <x:c r="Q292" s="36" t="str">
        <x:v>Womit endet das Gleichnis vom verlorenen Schaf?</x:v>
      </x:c>
      <x:c r="R292" s="36" t="str">
        <x:v>Mit einer Strafe für die neunundneunzig Schafe.</x:v>
      </x:c>
      <x:c r="S292" s="36" t="str">
        <x:v>Mit dem Verkauf der Herde.</x:v>
      </x:c>
      <x:c r="T292" s="36" t="str">
        <x:v>Mit der Suche nach einem neuen Hirten.</x:v>
      </x:c>
      <x:c r="U292" s="36" t="str">
        <x:v>Mit Freude über einen Sünder, der umkehrt.</x:v>
      </x:c>
      <x:c r="V292" s="36" t="n">
        <x:v>3</x:v>
      </x:c>
      <x:c r="W292" s="36" t="str">
        <x:v>Mit Freude über einen Sünder, der umkehrt.</x:v>
      </x:c>
      <x:c r="X292" s="36" t="str">
        <x:v>Lukas 15,3–7</x:v>
      </x:c>
      <x:c r="Y292" s="36" t="str">
        <x:v>Jesus deutet die Freude über das gefundene Schaf als Bild für die Freude im Himmel über einen umkehrenden Sünder.</x:v>
      </x:c>
      <x:c r="Z292" s="36" t="str">
        <x:v>JA</x:v>
      </x:c>
      <x:c r="AA292" s="36" t="str">
        <x:v>JA</x:v>
      </x:c>
      <x:c r="AB292" s="36" t="str">
        <x:v>JA</x:v>
      </x:c>
      <x:c r="AC292" s="36" t="str">
        <x:v>JA</x:v>
      </x:c>
      <x:c r="AD292" s="36" t="str">
        <x:v>JA</x:v>
      </x:c>
      <x:c r="AE292" s="36" t="str">
        <x:v>JA</x:v>
      </x:c>
      <x:c r="AF292" s="36" t="str">
        <x:v>JA</x:v>
      </x:c>
      <x:c r="AG292" s="36" t="str">
        <x:v>FREIGEGEBEN</x:v>
      </x:c>
      <x:c r="AH292" s="36" t="str">
        <x:v>GPT-5.6 Sol · Buchprüfung Lukas · L1912/OTB</x:v>
      </x:c>
      <x:c r="AI292" s="36" t="str">
        <x:v>FREIGEGEBEN</x:v>
      </x:c>
      <x:c r="AJ292" s="36" t="str">
        <x:v>Lukas 15: repetitive Wiedererkennungsfrage durch KERNAUSSAGE-Frage ersetzt.</x:v>
      </x:c>
      <x:c r="AK292" s="36" t="str">
        <x:v>FaithPath repo develop/v4 · data/bibles/l1912/LUK.json · data/bibles/otb/LUK.json</x:v>
      </x:c>
      <x:c r="AL292" t="str">
        <x:v>JA</x:v>
      </x:c>
    </x:row>
    <x:row r="293">
      <x:c r="A293" t="str">
        <x:v>FP-0552</x:v>
      </x:c>
      <x:c r="B293" t="str">
        <x:v>LUK</x:v>
      </x:c>
      <x:c r="C293" t="str">
        <x:v>Lukas</x:v>
      </x:c>
      <x:c r="D293" t="n">
        <x:v>15</x:v>
      </x:c>
      <x:c r="E293" t="n">
        <x:v>2</x:v>
      </x:c>
      <x:c r="F293" t="str">
        <x:v>LUK-015</x:v>
      </x:c>
      <x:c r="G293" t="n">
        <x:v>59</x:v>
      </x:c>
      <x:c r="H293" t="str">
        <x:v>CQ-A03</x:v>
      </x:c>
      <x:c r="I293" s="36" t="str">
        <x:v>Welche dieser Aussagen stammt aus Lukas 15?</x:v>
      </x:c>
      <x:c r="J293" s="36" t="str"/>
      <x:c r="K293" s="36" t="str"/>
      <x:c r="L293" s="36" t="str">
        <x:v>REPO_VERIFIZIERT_FRAGEFORM</x:v>
      </x:c>
      <x:c r="M293" s="36" t="str">
        <x:v>ERSETZEN</x:v>
      </x:c>
      <x:c r="N293" s="36" t="str">
        <x:v>REPETITIVE_FRAGEFORM</x:v>
      </x:c>
      <x:c r="O293" s="36" t="str">
        <x:v>REINE_WIEDERERKENNUNG</x:v>
      </x:c>
      <x:c r="P293" s="36" t="str">
        <x:v>KERNAUSSAGE</x:v>
      </x:c>
      <x:c r="Q293" s="36" t="str">
        <x:v>Was bedeutet die Freude über die wiedergefundene Münze?</x:v>
      </x:c>
      <x:c r="R293" s="36" t="str">
        <x:v>Es gibt Freude vor den Engeln Gottes über einen Sünder, der umkehrt.</x:v>
      </x:c>
      <x:c r="S293" s="36" t="str">
        <x:v>Geld ist wichtiger als Menschen.</x:v>
      </x:c>
      <x:c r="T293" s="36" t="str">
        <x:v>Nur reiche Menschen können umkehren.</x:v>
      </x:c>
      <x:c r="U293" s="36" t="str">
        <x:v>Verlorenes soll nicht gesucht werden.</x:v>
      </x:c>
      <x:c r="V293" s="36" t="n">
        <x:v>0</x:v>
      </x:c>
      <x:c r="W293" s="36" t="str">
        <x:v>Es gibt Freude vor den Engeln Gottes über einen Sünder, der umkehrt.</x:v>
      </x:c>
      <x:c r="X293" s="36" t="str">
        <x:v>Lukas 15,8–10</x:v>
      </x:c>
      <x:c r="Y293" s="36" t="str">
        <x:v>Auch die gefundene Münze wird als Bild für Gottes Freude über Umkehr gedeutet.</x:v>
      </x:c>
      <x:c r="Z293" s="36" t="str">
        <x:v>JA</x:v>
      </x:c>
      <x:c r="AA293" s="36" t="str">
        <x:v>JA</x:v>
      </x:c>
      <x:c r="AB293" s="36" t="str">
        <x:v>JA</x:v>
      </x:c>
      <x:c r="AC293" s="36" t="str">
        <x:v>JA</x:v>
      </x:c>
      <x:c r="AD293" s="36" t="str">
        <x:v>JA</x:v>
      </x:c>
      <x:c r="AE293" s="36" t="str">
        <x:v>JA</x:v>
      </x:c>
      <x:c r="AF293" s="36" t="str">
        <x:v>JA</x:v>
      </x:c>
      <x:c r="AG293" s="36" t="str">
        <x:v>FREIGEGEBEN</x:v>
      </x:c>
      <x:c r="AH293" s="36" t="str">
        <x:v>GPT-5.6 Sol · Buchprüfung Lukas · L1912/OTB</x:v>
      </x:c>
      <x:c r="AI293" s="36" t="str">
        <x:v>FREIGEGEBEN</x:v>
      </x:c>
      <x:c r="AJ293" s="36" t="str">
        <x:v>Lukas 15: repetitive Wiedererkennungsfrage durch KERNAUSSAGE-Frage ersetzt.</x:v>
      </x:c>
      <x:c r="AK293" s="36" t="str">
        <x:v>FaithPath repo develop/v4 · data/bibles/l1912/LUK.json · data/bibles/otb/LUK.json</x:v>
      </x:c>
      <x:c r="AL293" t="str">
        <x:v>JA</x:v>
      </x:c>
    </x:row>
    <x:row r="294">
      <x:c r="A294" t="str">
        <x:v>FP-0553</x:v>
      </x:c>
      <x:c r="B294" t="str">
        <x:v>LUK</x:v>
      </x:c>
      <x:c r="C294" t="str">
        <x:v>Lukas</x:v>
      </x:c>
      <x:c r="D294" t="n">
        <x:v>15</x:v>
      </x:c>
      <x:c r="E294" t="n">
        <x:v>3</x:v>
      </x:c>
      <x:c r="F294" t="str">
        <x:v>LUK-015</x:v>
      </x:c>
      <x:c r="G294" t="n">
        <x:v>59</x:v>
      </x:c>
      <x:c r="H294" t="str">
        <x:v>CQ-A03</x:v>
      </x:c>
      <x:c r="I294" s="36" t="str">
        <x:v>Welche dieser Aussagen stammt aus Lukas 15?</x:v>
      </x:c>
      <x:c r="J294" s="36" t="str"/>
      <x:c r="K294" s="36" t="str"/>
      <x:c r="L294" s="36" t="str">
        <x:v>REPO_VERIFIZIERT_FRAGEFORM</x:v>
      </x:c>
      <x:c r="M294" s="36" t="str">
        <x:v>ERSETZEN</x:v>
      </x:c>
      <x:c r="N294" s="36" t="str">
        <x:v>REPETITIVE_FRAGEFORM</x:v>
      </x:c>
      <x:c r="O294" s="36" t="str">
        <x:v>REINE_WIEDERERKENNUNG</x:v>
      </x:c>
      <x:c r="P294" s="36" t="str">
        <x:v>GESCHEHEN</x:v>
      </x:c>
      <x:c r="Q294" s="36" t="str">
        <x:v>Wie reagiert der Vater, als der jüngere Sohn zurückkehrt?</x:v>
      </x:c>
      <x:c r="R294" s="36" t="str">
        <x:v>Er lässt ihn vor dem Haus warten.</x:v>
      </x:c>
      <x:c r="S294" s="36" t="str">
        <x:v>Er läuft ihm entgegen, umarmt ihn und lässt ein Fest feiern.</x:v>
      </x:c>
      <x:c r="T294" s="36" t="str">
        <x:v>Er schickt ihn wieder fort.</x:v>
      </x:c>
      <x:c r="U294" s="36" t="str">
        <x:v>Er fordert zuerst die vollständige Rückzahlung.</x:v>
      </x:c>
      <x:c r="V294" s="36" t="n">
        <x:v>1</x:v>
      </x:c>
      <x:c r="W294" s="36" t="str">
        <x:v>Er läuft ihm entgegen, umarmt ihn und lässt ein Fest feiern.</x:v>
      </x:c>
      <x:c r="X294" s="36" t="str">
        <x:v>Lukas 15,11–24</x:v>
      </x:c>
      <x:c r="Y294" s="36" t="str">
        <x:v>Der Vater begegnet dem heimkehrenden Sohn mit Mitleid, Annahme und einem Fest.</x:v>
      </x:c>
      <x:c r="Z294" s="36" t="str">
        <x:v>JA</x:v>
      </x:c>
      <x:c r="AA294" s="36" t="str">
        <x:v>JA</x:v>
      </x:c>
      <x:c r="AB294" s="36" t="str">
        <x:v>JA</x:v>
      </x:c>
      <x:c r="AC294" s="36" t="str">
        <x:v>JA</x:v>
      </x:c>
      <x:c r="AD294" s="36" t="str">
        <x:v>JA</x:v>
      </x:c>
      <x:c r="AE294" s="36" t="str">
        <x:v>JA</x:v>
      </x:c>
      <x:c r="AF294" s="36" t="str">
        <x:v>JA</x:v>
      </x:c>
      <x:c r="AG294" s="36" t="str">
        <x:v>FREIGEGEBEN</x:v>
      </x:c>
      <x:c r="AH294" s="36" t="str">
        <x:v>GPT-5.6 Sol · Buchprüfung Lukas · L1912/OTB</x:v>
      </x:c>
      <x:c r="AI294" s="36" t="str">
        <x:v>FREIGEGEBEN</x:v>
      </x:c>
      <x:c r="AJ294" s="36" t="str">
        <x:v>Lukas 15: repetitive Wiedererkennungsfrage durch GESCHEHEN-Frage ersetzt.</x:v>
      </x:c>
      <x:c r="AK294" s="36" t="str">
        <x:v>FaithPath repo develop/v4 · data/bibles/l1912/LUK.json · data/bibles/otb/LUK.json</x:v>
      </x:c>
      <x:c r="AL294" t="str">
        <x:v>JA</x:v>
      </x:c>
    </x:row>
    <x:row r="295">
      <x:c r="A295" t="str">
        <x:v>FP-0554</x:v>
      </x:c>
      <x:c r="B295" t="str">
        <x:v>LUK</x:v>
      </x:c>
      <x:c r="C295" t="str">
        <x:v>Lukas</x:v>
      </x:c>
      <x:c r="D295" t="n">
        <x:v>15</x:v>
      </x:c>
      <x:c r="E295" t="n">
        <x:v>4</x:v>
      </x:c>
      <x:c r="F295" t="str">
        <x:v>LUK-015</x:v>
      </x:c>
      <x:c r="G295" t="n">
        <x:v>59</x:v>
      </x:c>
      <x:c r="H295" t="str">
        <x:v>CQ-A03</x:v>
      </x:c>
      <x:c r="I295" s="36" t="str">
        <x:v>Welche dieser Aussagen stammt aus Lukas 15?</x:v>
      </x:c>
      <x:c r="J295" s="36" t="str"/>
      <x:c r="K295" s="36" t="str"/>
      <x:c r="L295" s="36" t="str">
        <x:v>REPO_VERIFIZIERT_FRAGEFORM</x:v>
      </x:c>
      <x:c r="M295" s="36" t="str">
        <x:v>ERSETZEN</x:v>
      </x:c>
      <x:c r="N295" s="36" t="str">
        <x:v>REPETITIVE_FRAGEFORM</x:v>
      </x:c>
      <x:c r="O295" s="36" t="str">
        <x:v>REINE_WIEDERERKENNUNG</x:v>
      </x:c>
      <x:c r="P295" s="36" t="str">
        <x:v>ZUSAMMENHANG</x:v>
      </x:c>
      <x:c r="Q295" s="36" t="str">
        <x:v>Warum wird der ältere Sohn zornig?</x:v>
      </x:c>
      <x:c r="R295" s="36" t="str">
        <x:v>Weil er das Haus erben soll.</x:v>
      </x:c>
      <x:c r="S295" s="36" t="str">
        <x:v>Weil der Vater ihn auf eine Reise schickt.</x:v>
      </x:c>
      <x:c r="T295" s="36" t="str">
        <x:v>Weil der Vater die Rückkehr seines Bruders mit einem Fest feiert, obwohl dieser das Vermögen vergeudet hat.</x:v>
      </x:c>
      <x:c r="U295" s="36" t="str">
        <x:v>Weil er selbst fortgehen möchte.</x:v>
      </x:c>
      <x:c r="V295" s="36" t="n">
        <x:v>2</x:v>
      </x:c>
      <x:c r="W295" s="36" t="str">
        <x:v>Weil der Vater die Rückkehr seines Bruders mit einem Fest feiert, obwohl dieser das Vermögen vergeudet hat.</x:v>
      </x:c>
      <x:c r="X295" s="36" t="str">
        <x:v>Lukas 15,25–30</x:v>
      </x:c>
      <x:c r="Y295" s="36" t="str">
        <x:v>Der ältere Sohn empfindet die festliche Aufnahme des zurückgekehrten Bruders als ungerecht.</x:v>
      </x:c>
      <x:c r="Z295" s="36" t="str">
        <x:v>JA</x:v>
      </x:c>
      <x:c r="AA295" s="36" t="str">
        <x:v>JA</x:v>
      </x:c>
      <x:c r="AB295" s="36" t="str">
        <x:v>JA</x:v>
      </x:c>
      <x:c r="AC295" s="36" t="str">
        <x:v>JA</x:v>
      </x:c>
      <x:c r="AD295" s="36" t="str">
        <x:v>JA</x:v>
      </x:c>
      <x:c r="AE295" s="36" t="str">
        <x:v>JA</x:v>
      </x:c>
      <x:c r="AF295" s="36" t="str">
        <x:v>JA</x:v>
      </x:c>
      <x:c r="AG295" s="36" t="str">
        <x:v>FREIGEGEBEN</x:v>
      </x:c>
      <x:c r="AH295" s="36" t="str">
        <x:v>GPT-5.6 Sol · Buchprüfung Lukas · L1912/OTB</x:v>
      </x:c>
      <x:c r="AI295" s="36" t="str">
        <x:v>FREIGEGEBEN</x:v>
      </x:c>
      <x:c r="AJ295" s="36" t="str">
        <x:v>Lukas 15: repetitive Wiedererkennungsfrage durch ZUSAMMENHANG-Frage ersetzt.</x:v>
      </x:c>
      <x:c r="AK295" s="36" t="str">
        <x:v>FaithPath repo develop/v4 · data/bibles/l1912/LUK.json · data/bibles/otb/LUK.json</x:v>
      </x:c>
      <x:c r="AL295" t="str">
        <x:v>JA</x:v>
      </x:c>
    </x:row>
    <x:row r="296">
      <x:c r="A296" t="str">
        <x:v>FP-0555</x:v>
      </x:c>
      <x:c r="B296" t="str">
        <x:v>LUK</x:v>
      </x:c>
      <x:c r="C296" t="str">
        <x:v>Lukas</x:v>
      </x:c>
      <x:c r="D296" t="n">
        <x:v>15</x:v>
      </x:c>
      <x:c r="E296" t="n">
        <x:v>5</x:v>
      </x:c>
      <x:c r="F296" t="str">
        <x:v>LUK-015</x:v>
      </x:c>
      <x:c r="G296" t="n">
        <x:v>59</x:v>
      </x:c>
      <x:c r="H296" t="str">
        <x:v>CQ-A03</x:v>
      </x:c>
      <x:c r="I296" s="36" t="str">
        <x:v>Welche dieser Aussagen stammt aus Lukas 15?</x:v>
      </x:c>
      <x:c r="J296" s="36" t="str"/>
      <x:c r="K296" s="36" t="str"/>
      <x:c r="L296" s="36" t="str">
        <x:v>REPO_VERIFIZIERT_FRAGEFORM</x:v>
      </x:c>
      <x:c r="M296" s="36" t="str">
        <x:v>ERSETZEN</x:v>
      </x:c>
      <x:c r="N296" s="36" t="str">
        <x:v>REPETITIVE_FRAGEFORM</x:v>
      </x:c>
      <x:c r="O296" s="36" t="str">
        <x:v>REINE_WIEDERERKENNUNG</x:v>
      </x:c>
      <x:c r="P296" s="36" t="str">
        <x:v>PERSON_AUSSAGE</x:v>
      </x:c>
      <x:c r="Q296" s="36" t="str">
        <x:v>Wie erklärt der Vater dem älteren Sohn, warum gefeiert werden musste?</x:v>
      </x:c>
      <x:c r="R296" s="36" t="str">
        <x:v>Der jüngere Sohn sei nun reicher als er.</x:v>
      </x:c>
      <x:c r="S296" s="36" t="str">
        <x:v>Das Fest sei nur für die Nachbarn.</x:v>
      </x:c>
      <x:c r="T296" s="36" t="str">
        <x:v>Der ältere Sohn müsse das Haus verlassen.</x:v>
      </x:c>
      <x:c r="U296" s="36" t="str">
        <x:v>Der Bruder war wie tot und lebt wieder; er war verloren und ist gefunden.</x:v>
      </x:c>
      <x:c r="V296" s="36" t="n">
        <x:v>3</x:v>
      </x:c>
      <x:c r="W296" s="36" t="str">
        <x:v>Der Bruder war wie tot und lebt wieder; er war verloren und ist gefunden.</x:v>
      </x:c>
      <x:c r="X296" s="36" t="str">
        <x:v>Lukas 15,31–32</x:v>
      </x:c>
      <x:c r="Y296" s="36" t="str">
        <x:v>Der Vater begründet die Freude mit Wiedergewinnung: verloren und gefunden, tot und wieder lebendig.</x:v>
      </x:c>
      <x:c r="Z296" s="36" t="str">
        <x:v>JA</x:v>
      </x:c>
      <x:c r="AA296" s="36" t="str">
        <x:v>JA</x:v>
      </x:c>
      <x:c r="AB296" s="36" t="str">
        <x:v>JA</x:v>
      </x:c>
      <x:c r="AC296" s="36" t="str">
        <x:v>JA</x:v>
      </x:c>
      <x:c r="AD296" s="36" t="str">
        <x:v>JA</x:v>
      </x:c>
      <x:c r="AE296" s="36" t="str">
        <x:v>JA</x:v>
      </x:c>
      <x:c r="AF296" s="36" t="str">
        <x:v>JA</x:v>
      </x:c>
      <x:c r="AG296" s="36" t="str">
        <x:v>FREIGEGEBEN</x:v>
      </x:c>
      <x:c r="AH296" s="36" t="str">
        <x:v>GPT-5.6 Sol · Buchprüfung Lukas · L1912/OTB</x:v>
      </x:c>
      <x:c r="AI296" s="36" t="str">
        <x:v>FREIGEGEBEN</x:v>
      </x:c>
      <x:c r="AJ296" s="36" t="str">
        <x:v>Lukas 15: repetitive Wiedererkennungsfrage durch PERSON_AUSSAGE-Frage ersetzt.</x:v>
      </x:c>
      <x:c r="AK296" s="36" t="str">
        <x:v>FaithPath repo develop/v4 · data/bibles/l1912/LUK.json · data/bibles/otb/LUK.json</x:v>
      </x:c>
      <x:c r="AL296" t="str">
        <x:v>JA</x:v>
      </x:c>
    </x:row>
    <x:row r="297">
      <x:c r="A297" t="str">
        <x:v>FP-0556</x:v>
      </x:c>
      <x:c r="B297" t="str">
        <x:v>LUK</x:v>
      </x:c>
      <x:c r="C297" t="str">
        <x:v>Lukas</x:v>
      </x:c>
      <x:c r="D297" t="n">
        <x:v>16</x:v>
      </x:c>
      <x:c r="E297" t="n">
        <x:v>1</x:v>
      </x:c>
      <x:c r="F297" t="str">
        <x:v>LUK-016</x:v>
      </x:c>
      <x:c r="G297" t="n">
        <x:v>60</x:v>
      </x:c>
      <x:c r="H297" t="str">
        <x:v>CQ-A03</x:v>
      </x:c>
      <x:c r="I297" s="36" t="str">
        <x:v>Welche dieser Aussagen stammt aus Lukas 16?</x:v>
      </x:c>
      <x:c r="J297" s="36" t="str"/>
      <x:c r="K297" s="36" t="str"/>
      <x:c r="L297" s="36" t="str">
        <x:v>REPO_VERIFIZIERT_FRAGEFORM</x:v>
      </x:c>
      <x:c r="M297" s="36" t="str">
        <x:v>ERSETZEN</x:v>
      </x:c>
      <x:c r="N297" s="36" t="str">
        <x:v>REPETITIVE_FRAGEFORM</x:v>
      </x:c>
      <x:c r="O297" s="36" t="str">
        <x:v>REINE_WIEDERERKENNUNG</x:v>
      </x:c>
      <x:c r="P297" s="36" t="str">
        <x:v>KERNAUSSAGE</x:v>
      </x:c>
      <x:c r="Q297" s="36" t="str">
        <x:v>Welche Lehre zieht Jesus aus dem Gleichnis vom ungerechten Verwalter?</x:v>
      </x:c>
      <x:c r="R297" s="36" t="str">
        <x:v>Mit vergänglichem Besitz soll man so umgehen, dass er im Blick auf bleibende Beziehungen und Gottes Zukunft sinnvoll eingesetzt wird.</x:v>
      </x:c>
      <x:c r="S297" s="36" t="str">
        <x:v>Unehrlichkeit ist immer vorbildlich.</x:v>
      </x:c>
      <x:c r="T297" s="36" t="str">
        <x:v>Geld soll niemals verwendet werden.</x:v>
      </x:c>
      <x:c r="U297" s="36" t="str">
        <x:v>Nur Verwalter dürfen Besitz haben.</x:v>
      </x:c>
      <x:c r="V297" s="36" t="n">
        <x:v>0</x:v>
      </x:c>
      <x:c r="W297" s="36" t="str">
        <x:v>Mit vergänglichem Besitz soll man so umgehen, dass er im Blick auf bleibende Beziehungen und Gottes Zukunft sinnvoll eingesetzt wird.</x:v>
      </x:c>
      <x:c r="X297" s="36" t="str">
        <x:v>Lukas 16,1–9</x:v>
      </x:c>
      <x:c r="Y297" s="36" t="str">
        <x:v>Jesus lobt nicht die Unehrlichkeit, sondern die vorausschauende Klugheit und fordert einen verantwortlichen Umgang mit vergänglichem Besitz.</x:v>
      </x:c>
      <x:c r="Z297" s="36" t="str">
        <x:v>JA</x:v>
      </x:c>
      <x:c r="AA297" s="36" t="str">
        <x:v>JA</x:v>
      </x:c>
      <x:c r="AB297" s="36" t="str">
        <x:v>JA</x:v>
      </x:c>
      <x:c r="AC297" s="36" t="str">
        <x:v>JA</x:v>
      </x:c>
      <x:c r="AD297" s="36" t="str">
        <x:v>JA</x:v>
      </x:c>
      <x:c r="AE297" s="36" t="str">
        <x:v>JA</x:v>
      </x:c>
      <x:c r="AF297" s="36" t="str">
        <x:v>JA</x:v>
      </x:c>
      <x:c r="AG297" s="36" t="str">
        <x:v>FREIGEGEBEN</x:v>
      </x:c>
      <x:c r="AH297" s="36" t="str">
        <x:v>GPT-5.6 Sol · Buchprüfung Lukas · L1912/OTB</x:v>
      </x:c>
      <x:c r="AI297" s="36" t="str">
        <x:v>FREIGEGEBEN</x:v>
      </x:c>
      <x:c r="AJ297" s="36" t="str">
        <x:v>Lukas 16: repetitive Wiedererkennungsfrage durch KERNAUSSAGE-Frage ersetzt.</x:v>
      </x:c>
      <x:c r="AK297" s="36" t="str">
        <x:v>FaithPath repo develop/v4 · data/bibles/l1912/LUK.json · data/bibles/otb/LUK.json</x:v>
      </x:c>
      <x:c r="AL297" t="str">
        <x:v>JA</x:v>
      </x:c>
    </x:row>
    <x:row r="298">
      <x:c r="A298" t="str">
        <x:v>FP-0557</x:v>
      </x:c>
      <x:c r="B298" t="str">
        <x:v>LUK</x:v>
      </x:c>
      <x:c r="C298" t="str">
        <x:v>Lukas</x:v>
      </x:c>
      <x:c r="D298" t="n">
        <x:v>16</x:v>
      </x:c>
      <x:c r="E298" t="n">
        <x:v>2</x:v>
      </x:c>
      <x:c r="F298" t="str">
        <x:v>LUK-016</x:v>
      </x:c>
      <x:c r="G298" t="n">
        <x:v>60</x:v>
      </x:c>
      <x:c r="H298" t="str">
        <x:v>CQ-A03</x:v>
      </x:c>
      <x:c r="I298" s="36" t="str">
        <x:v>Welche dieser Aussagen stammt aus Lukas 16?</x:v>
      </x:c>
      <x:c r="J298" s="36" t="str"/>
      <x:c r="K298" s="36" t="str"/>
      <x:c r="L298" s="36" t="str">
        <x:v>REPO_VERIFIZIERT_FRAGEFORM</x:v>
      </x:c>
      <x:c r="M298" s="36" t="str">
        <x:v>ERSETZEN</x:v>
      </x:c>
      <x:c r="N298" s="36" t="str">
        <x:v>REPETITIVE_FRAGEFORM</x:v>
      </x:c>
      <x:c r="O298" s="36" t="str">
        <x:v>REINE_WIEDERERKENNUNG</x:v>
      </x:c>
      <x:c r="P298" s="36" t="str">
        <x:v>KERNAUSSAGE</x:v>
      </x:c>
      <x:c r="Q298" s="36" t="str">
        <x:v>Was sagt Jesus über Treue und zwei Herren?</x:v>
      </x:c>
      <x:c r="R298" s="36" t="str">
        <x:v>Treue zählt nur bei großen Aufgaben.</x:v>
      </x:c>
      <x:c r="S298" s="36" t="str">
        <x:v>Wer im Kleinen treu ist, ist auch im Großen treu; man kann nicht Gott und dem Mammon dienen.</x:v>
      </x:c>
      <x:c r="T298" s="36" t="str">
        <x:v>Man kann problemlos zwei Herren dienen.</x:v>
      </x:c>
      <x:c r="U298" s="36" t="str">
        <x:v>Geld ist immer wichtiger als Treue.</x:v>
      </x:c>
      <x:c r="V298" s="36" t="n">
        <x:v>1</x:v>
      </x:c>
      <x:c r="W298" s="36" t="str">
        <x:v>Wer im Kleinen treu ist, ist auch im Großen treu; man kann nicht Gott und dem Mammon dienen.</x:v>
      </x:c>
      <x:c r="X298" s="36" t="str">
        <x:v>Lukas 16,10–13</x:v>
      </x:c>
      <x:c r="Y298" s="36" t="str">
        <x:v>Jesus verbindet Verlässlichkeit im Kleinen mit größerer Verantwortung und stellt den Dienst an Gott dem Dienst am Mammon gegenüber.</x:v>
      </x:c>
      <x:c r="Z298" s="36" t="str">
        <x:v>JA</x:v>
      </x:c>
      <x:c r="AA298" s="36" t="str">
        <x:v>JA</x:v>
      </x:c>
      <x:c r="AB298" s="36" t="str">
        <x:v>JA</x:v>
      </x:c>
      <x:c r="AC298" s="36" t="str">
        <x:v>JA</x:v>
      </x:c>
      <x:c r="AD298" s="36" t="str">
        <x:v>JA</x:v>
      </x:c>
      <x:c r="AE298" s="36" t="str">
        <x:v>JA</x:v>
      </x:c>
      <x:c r="AF298" s="36" t="str">
        <x:v>JA</x:v>
      </x:c>
      <x:c r="AG298" s="36" t="str">
        <x:v>FREIGEGEBEN</x:v>
      </x:c>
      <x:c r="AH298" s="36" t="str">
        <x:v>GPT-5.6 Sol · Buchprüfung Lukas · L1912/OTB</x:v>
      </x:c>
      <x:c r="AI298" s="36" t="str">
        <x:v>FREIGEGEBEN</x:v>
      </x:c>
      <x:c r="AJ298" s="36" t="str">
        <x:v>Lukas 16: repetitive Wiedererkennungsfrage durch KERNAUSSAGE-Frage ersetzt.</x:v>
      </x:c>
      <x:c r="AK298" s="36" t="str">
        <x:v>FaithPath repo develop/v4 · data/bibles/l1912/LUK.json · data/bibles/otb/LUK.json</x:v>
      </x:c>
      <x:c r="AL298" t="str">
        <x:v>JA</x:v>
      </x:c>
    </x:row>
    <x:row r="299">
      <x:c r="A299" t="str">
        <x:v>FP-0558</x:v>
      </x:c>
      <x:c r="B299" t="str">
        <x:v>LUK</x:v>
      </x:c>
      <x:c r="C299" t="str">
        <x:v>Lukas</x:v>
      </x:c>
      <x:c r="D299" t="n">
        <x:v>16</x:v>
      </x:c>
      <x:c r="E299" t="n">
        <x:v>3</x:v>
      </x:c>
      <x:c r="F299" t="str">
        <x:v>LUK-016</x:v>
      </x:c>
      <x:c r="G299" t="n">
        <x:v>60</x:v>
      </x:c>
      <x:c r="H299" t="str">
        <x:v>CQ-A03</x:v>
      </x:c>
      <x:c r="I299" s="36" t="str">
        <x:v>Welche dieser Aussagen stammt aus Lukas 16?</x:v>
      </x:c>
      <x:c r="J299" s="36" t="str"/>
      <x:c r="K299" s="36" t="str"/>
      <x:c r="L299" s="36" t="str">
        <x:v>REPO_VERIFIZIERT_FRAGEFORM</x:v>
      </x:c>
      <x:c r="M299" s="36" t="str">
        <x:v>ERSETZEN</x:v>
      </x:c>
      <x:c r="N299" s="36" t="str">
        <x:v>REPETITIVE_FRAGEFORM</x:v>
      </x:c>
      <x:c r="O299" s="36" t="str">
        <x:v>REINE_WIEDERERKENNUNG</x:v>
      </x:c>
      <x:c r="P299" s="36" t="str">
        <x:v>ZUSAMMENHANG</x:v>
      </x:c>
      <x:c r="Q299" s="36" t="str">
        <x:v>Warum kritisiert Jesus die geldliebenden Pharisäer?</x:v>
      </x:c>
      <x:c r="R299" s="36" t="str">
        <x:v>Sie besitzen überhaupt kein Geld.</x:v>
      </x:c>
      <x:c r="S299" s="36" t="str">
        <x:v>Sie zahlen keine Steuern.</x:v>
      </x:c>
      <x:c r="T299" s="36" t="str">
        <x:v>Sie rechtfertigen sich vor Menschen, aber Gott kennt ihre Herzen.</x:v>
      </x:c>
      <x:c r="U299" s="36" t="str">
        <x:v>Sie lesen nie im Gesetz.</x:v>
      </x:c>
      <x:c r="V299" s="36" t="n">
        <x:v>2</x:v>
      </x:c>
      <x:c r="W299" s="36" t="str">
        <x:v>Sie rechtfertigen sich vor Menschen, aber Gott kennt ihre Herzen.</x:v>
      </x:c>
      <x:c r="X299" s="36" t="str">
        <x:v>Lukas 16,14–15</x:v>
      </x:c>
      <x:c r="Y299" s="36" t="str">
        <x:v>Jesus stellt menschliche Selbstdarstellung Gottes Kenntnis des Herzens gegenüber.</x:v>
      </x:c>
      <x:c r="Z299" s="36" t="str">
        <x:v>JA</x:v>
      </x:c>
      <x:c r="AA299" s="36" t="str">
        <x:v>JA</x:v>
      </x:c>
      <x:c r="AB299" s="36" t="str">
        <x:v>JA</x:v>
      </x:c>
      <x:c r="AC299" s="36" t="str">
        <x:v>JA</x:v>
      </x:c>
      <x:c r="AD299" s="36" t="str">
        <x:v>JA</x:v>
      </x:c>
      <x:c r="AE299" s="36" t="str">
        <x:v>JA</x:v>
      </x:c>
      <x:c r="AF299" s="36" t="str">
        <x:v>JA</x:v>
      </x:c>
      <x:c r="AG299" s="36" t="str">
        <x:v>FREIGEGEBEN</x:v>
      </x:c>
      <x:c r="AH299" s="36" t="str">
        <x:v>GPT-5.6 Sol · Buchprüfung Lukas · L1912/OTB</x:v>
      </x:c>
      <x:c r="AI299" s="36" t="str">
        <x:v>FREIGEGEBEN</x:v>
      </x:c>
      <x:c r="AJ299" s="36" t="str">
        <x:v>Lukas 16: repetitive Wiedererkennungsfrage durch ZUSAMMENHANG-Frage ersetzt.</x:v>
      </x:c>
      <x:c r="AK299" s="36" t="str">
        <x:v>FaithPath repo develop/v4 · data/bibles/l1912/LUK.json · data/bibles/otb/LUK.json</x:v>
      </x:c>
      <x:c r="AL299" t="str">
        <x:v>JA</x:v>
      </x:c>
    </x:row>
    <x:row r="300">
      <x:c r="A300" t="str">
        <x:v>FP-0559</x:v>
      </x:c>
      <x:c r="B300" t="str">
        <x:v>LUK</x:v>
      </x:c>
      <x:c r="C300" t="str">
        <x:v>Lukas</x:v>
      </x:c>
      <x:c r="D300" t="n">
        <x:v>16</x:v>
      </x:c>
      <x:c r="E300" t="n">
        <x:v>4</x:v>
      </x:c>
      <x:c r="F300" t="str">
        <x:v>LUK-016</x:v>
      </x:c>
      <x:c r="G300" t="n">
        <x:v>60</x:v>
      </x:c>
      <x:c r="H300" t="str">
        <x:v>CQ-A03</x:v>
      </x:c>
      <x:c r="I300" s="36" t="str">
        <x:v>Welche dieser Aussagen stammt aus Lukas 16?</x:v>
      </x:c>
      <x:c r="J300" s="36" t="str"/>
      <x:c r="K300" s="36" t="str"/>
      <x:c r="L300" s="36" t="str">
        <x:v>REPO_VERIFIZIERT_FRAGEFORM</x:v>
      </x:c>
      <x:c r="M300" s="36" t="str">
        <x:v>ERSETZEN</x:v>
      </x:c>
      <x:c r="N300" s="36" t="str">
        <x:v>REPETITIVE_FRAGEFORM</x:v>
      </x:c>
      <x:c r="O300" s="36" t="str">
        <x:v>REINE_WIEDERERKENNUNG</x:v>
      </x:c>
      <x:c r="P300" s="36" t="str">
        <x:v>GESCHEHEN</x:v>
      </x:c>
      <x:c r="Q300" s="36" t="str">
        <x:v>Was verändert sich nach dem Tod des reichen Mannes und des armen Lazarus?</x:v>
      </x:c>
      <x:c r="R300" s="36" t="str">
        <x:v>Beide kehren sofort in ihr früheres Leben zurück.</x:v>
      </x:c>
      <x:c r="S300" s="36" t="str">
        <x:v>Der reiche Mann wird König.</x:v>
      </x:c>
      <x:c r="T300" s="36" t="str">
        <x:v>Lazarus wird erneut vor das Tor gelegt.</x:v>
      </x:c>
      <x:c r="U300" s="36" t="str">
        <x:v>Lazarus wird getröstet, während der reiche Mann Qual leidet, und zwischen beiden Seiten besteht eine unüberwindbare Kluft.</x:v>
      </x:c>
      <x:c r="V300" s="36" t="n">
        <x:v>3</x:v>
      </x:c>
      <x:c r="W300" s="36" t="str">
        <x:v>Lazarus wird getröstet, während der reiche Mann Qual leidet, und zwischen beiden Seiten besteht eine unüberwindbare Kluft.</x:v>
      </x:c>
      <x:c r="X300" s="36" t="str">
        <x:v>Lukas 16,19–26</x:v>
      </x:c>
      <x:c r="Y300" s="36" t="str">
        <x:v>Die Geschichte schildert eine Umkehr der Lebenslagen und eine feste Trennung, die nicht überschritten werden kann.</x:v>
      </x:c>
      <x:c r="Z300" s="36" t="str">
        <x:v>JA</x:v>
      </x:c>
      <x:c r="AA300" s="36" t="str">
        <x:v>JA</x:v>
      </x:c>
      <x:c r="AB300" s="36" t="str">
        <x:v>JA</x:v>
      </x:c>
      <x:c r="AC300" s="36" t="str">
        <x:v>JA</x:v>
      </x:c>
      <x:c r="AD300" s="36" t="str">
        <x:v>JA</x:v>
      </x:c>
      <x:c r="AE300" s="36" t="str">
        <x:v>JA</x:v>
      </x:c>
      <x:c r="AF300" s="36" t="str">
        <x:v>JA</x:v>
      </x:c>
      <x:c r="AG300" s="36" t="str">
        <x:v>FREIGEGEBEN</x:v>
      </x:c>
      <x:c r="AH300" s="36" t="str">
        <x:v>GPT-5.6 Sol · Buchprüfung Lukas · L1912/OTB</x:v>
      </x:c>
      <x:c r="AI300" s="36" t="str">
        <x:v>FREIGEGEBEN</x:v>
      </x:c>
      <x:c r="AJ300" s="36" t="str">
        <x:v>Lukas 16: repetitive Wiedererkennungsfrage durch GESCHEHEN-Frage ersetzt.</x:v>
      </x:c>
      <x:c r="AK300" s="36" t="str">
        <x:v>FaithPath repo develop/v4 · data/bibles/l1912/LUK.json · data/bibles/otb/LUK.json</x:v>
      </x:c>
      <x:c r="AL300" t="str">
        <x:v>JA</x:v>
      </x:c>
    </x:row>
    <x:row r="301">
      <x:c r="A301" t="str">
        <x:v>FP-0560</x:v>
      </x:c>
      <x:c r="B301" t="str">
        <x:v>LUK</x:v>
      </x:c>
      <x:c r="C301" t="str">
        <x:v>Lukas</x:v>
      </x:c>
      <x:c r="D301" t="n">
        <x:v>16</x:v>
      </x:c>
      <x:c r="E301" t="n">
        <x:v>5</x:v>
      </x:c>
      <x:c r="F301" t="str">
        <x:v>LUK-016</x:v>
      </x:c>
      <x:c r="G301" t="n">
        <x:v>60</x:v>
      </x:c>
      <x:c r="H301" t="str">
        <x:v>CQ-A03</x:v>
      </x:c>
      <x:c r="I301" s="36" t="str">
        <x:v>Welche dieser Aussagen stammt aus Lukas 16?</x:v>
      </x:c>
      <x:c r="J301" s="36" t="str"/>
      <x:c r="K301" s="36" t="str"/>
      <x:c r="L301" s="36" t="str">
        <x:v>REPO_VERIFIZIERT_FRAGEFORM</x:v>
      </x:c>
      <x:c r="M301" s="36" t="str">
        <x:v>ERSETZEN</x:v>
      </x:c>
      <x:c r="N301" s="36" t="str">
        <x:v>REPETITIVE_FRAGEFORM</x:v>
      </x:c>
      <x:c r="O301" s="36" t="str">
        <x:v>REINE_WIEDERERKENNUNG</x:v>
      </x:c>
      <x:c r="P301" s="36" t="str">
        <x:v>KERNAUSSAGE</x:v>
      </x:c>
      <x:c r="Q301" s="36" t="str">
        <x:v>Was antwortet Abraham auf die Bitte, Lazarus solle die Brüder des reichen Mannes warnen?</x:v>
      </x:c>
      <x:c r="R301" s="36" t="str">
        <x:v>Sie haben Mose und die Propheten; wenn sie darauf nicht hören, überzeugt sie auch eine Auferstehung nicht.</x:v>
      </x:c>
      <x:c r="S301" s="36" t="str">
        <x:v>Ein Engel wird sofort gesandt.</x:v>
      </x:c>
      <x:c r="T301" s="36" t="str">
        <x:v>Die Brüder brauchen keine Warnung.</x:v>
      </x:c>
      <x:c r="U301" s="36" t="str">
        <x:v>Nur ein Wunder im Tempel könne helfen.</x:v>
      </x:c>
      <x:c r="V301" s="36" t="n">
        <x:v>0</x:v>
      </x:c>
      <x:c r="W301" s="36" t="str">
        <x:v>Sie haben Mose und die Propheten; wenn sie darauf nicht hören, überzeugt sie auch eine Auferstehung nicht.</x:v>
      </x:c>
      <x:c r="X301" s="36" t="str">
        <x:v>Lukas 16,27–31</x:v>
      </x:c>
      <x:c r="Y301" s="36" t="str">
        <x:v>Abraham verweist auf das bereits gegebene Zeugnis der Schrift und betont die Verantwortung, darauf zu hören.</x:v>
      </x:c>
      <x:c r="Z301" s="36" t="str">
        <x:v>JA</x:v>
      </x:c>
      <x:c r="AA301" s="36" t="str">
        <x:v>JA</x:v>
      </x:c>
      <x:c r="AB301" s="36" t="str">
        <x:v>JA</x:v>
      </x:c>
      <x:c r="AC301" s="36" t="str">
        <x:v>JA</x:v>
      </x:c>
      <x:c r="AD301" s="36" t="str">
        <x:v>JA</x:v>
      </x:c>
      <x:c r="AE301" s="36" t="str">
        <x:v>JA</x:v>
      </x:c>
      <x:c r="AF301" s="36" t="str">
        <x:v>JA</x:v>
      </x:c>
      <x:c r="AG301" s="36" t="str">
        <x:v>FREIGEGEBEN</x:v>
      </x:c>
      <x:c r="AH301" s="36" t="str">
        <x:v>GPT-5.6 Sol · Buchprüfung Lukas · L1912/OTB</x:v>
      </x:c>
      <x:c r="AI301" s="36" t="str">
        <x:v>FREIGEGEBEN</x:v>
      </x:c>
      <x:c r="AJ301" s="36" t="str">
        <x:v>Lukas 16: repetitive Wiedererkennungsfrage durch KERNAUSSAGE-Frage ersetzt.</x:v>
      </x:c>
      <x:c r="AK301" s="36" t="str">
        <x:v>FaithPath repo develop/v4 · data/bibles/l1912/LUK.json · data/bibles/otb/LUK.json</x:v>
      </x:c>
      <x:c r="AL301" t="str">
        <x:v>JA</x:v>
      </x:c>
    </x:row>
    <x:row r="302">
      <x:c r="A302" t="str">
        <x:v>FP-0561</x:v>
      </x:c>
      <x:c r="B302" t="str">
        <x:v>LUK</x:v>
      </x:c>
      <x:c r="C302" t="str">
        <x:v>Lukas</x:v>
      </x:c>
      <x:c r="D302" t="n">
        <x:v>17</x:v>
      </x:c>
      <x:c r="E302" t="n">
        <x:v>1</x:v>
      </x:c>
      <x:c r="F302" t="str">
        <x:v>LUK-017</x:v>
      </x:c>
      <x:c r="G302" t="n">
        <x:v>61</x:v>
      </x:c>
      <x:c r="H302" t="str">
        <x:v>CQ-A04</x:v>
      </x:c>
      <x:c r="I302" s="36" t="str">
        <x:v>Welche dieser Aussagen stammt aus Lukas 17?</x:v>
      </x:c>
      <x:c r="J302" s="36" t="str"/>
      <x:c r="K302" s="36" t="str"/>
      <x:c r="L302" s="36" t="str">
        <x:v>REPO_VERIFIZIERT_FRAGEFORM</x:v>
      </x:c>
      <x:c r="M302" s="36" t="str">
        <x:v>ERSETZEN</x:v>
      </x:c>
      <x:c r="N302" s="36" t="str">
        <x:v>REPETITIVE_FRAGEFORM</x:v>
      </x:c>
      <x:c r="O302" s="36" t="str">
        <x:v>REINE_WIEDERERKENNUNG</x:v>
      </x:c>
      <x:c r="P302" s="36" t="str">
        <x:v>KERNAUSSAGE</x:v>
      </x:c>
      <x:c r="Q302" s="36" t="str">
        <x:v>Wie oft soll ein Bruder vergeben werden, wenn er wiederholt sündigt und umkehrt?</x:v>
      </x:c>
      <x:c r="R302" s="36" t="str">
        <x:v>Nur einmal im Jahr.</x:v>
      </x:c>
      <x:c r="S302" s="36" t="str">
        <x:v>Auch wenn es siebenmal am Tag geschieht, soll ihm vergeben werden.</x:v>
      </x:c>
      <x:c r="T302" s="36" t="str">
        <x:v>Nach dem dritten Mal nicht mehr.</x:v>
      </x:c>
      <x:c r="U302" s="36" t="str">
        <x:v>Nur wenn Zeugen anwesend sind.</x:v>
      </x:c>
      <x:c r="V302" s="36" t="n">
        <x:v>1</x:v>
      </x:c>
      <x:c r="W302" s="36" t="str">
        <x:v>Auch wenn es siebenmal am Tag geschieht, soll ihm vergeben werden.</x:v>
      </x:c>
      <x:c r="X302" s="36" t="str">
        <x:v>Lukas 17,1–4</x:v>
      </x:c>
      <x:c r="Y302" s="36" t="str">
        <x:v>Jesus fordert wiederholte Vergebungsbereitschaft, wenn der andere umkehrt.</x:v>
      </x:c>
      <x:c r="Z302" s="36" t="str">
        <x:v>JA</x:v>
      </x:c>
      <x:c r="AA302" s="36" t="str">
        <x:v>JA</x:v>
      </x:c>
      <x:c r="AB302" s="36" t="str">
        <x:v>JA</x:v>
      </x:c>
      <x:c r="AC302" s="36" t="str">
        <x:v>JA</x:v>
      </x:c>
      <x:c r="AD302" s="36" t="str">
        <x:v>JA</x:v>
      </x:c>
      <x:c r="AE302" s="36" t="str">
        <x:v>JA</x:v>
      </x:c>
      <x:c r="AF302" s="36" t="str">
        <x:v>JA</x:v>
      </x:c>
      <x:c r="AG302" s="36" t="str">
        <x:v>FREIGEGEBEN</x:v>
      </x:c>
      <x:c r="AH302" s="36" t="str">
        <x:v>GPT-5.6 Sol · Buchprüfung Lukas · L1912/OTB</x:v>
      </x:c>
      <x:c r="AI302" s="36" t="str">
        <x:v>FREIGEGEBEN</x:v>
      </x:c>
      <x:c r="AJ302" s="36" t="str">
        <x:v>Lukas 17: repetitive Wiedererkennungsfrage durch KERNAUSSAGE-Frage ersetzt.</x:v>
      </x:c>
      <x:c r="AK302" s="36" t="str">
        <x:v>FaithPath repo develop/v4 · data/bibles/l1912/LUK.json · data/bibles/otb/LUK.json</x:v>
      </x:c>
      <x:c r="AL302" t="str">
        <x:v>JA</x:v>
      </x:c>
    </x:row>
    <x:row r="303">
      <x:c r="A303" t="str">
        <x:v>FP-0562</x:v>
      </x:c>
      <x:c r="B303" t="str">
        <x:v>LUK</x:v>
      </x:c>
      <x:c r="C303" t="str">
        <x:v>Lukas</x:v>
      </x:c>
      <x:c r="D303" t="n">
        <x:v>17</x:v>
      </x:c>
      <x:c r="E303" t="n">
        <x:v>2</x:v>
      </x:c>
      <x:c r="F303" t="str">
        <x:v>LUK-017</x:v>
      </x:c>
      <x:c r="G303" t="n">
        <x:v>61</x:v>
      </x:c>
      <x:c r="H303" t="str">
        <x:v>CQ-A04</x:v>
      </x:c>
      <x:c r="I303" s="36" t="str">
        <x:v>Welche dieser Aussagen stammt aus Lukas 17?</x:v>
      </x:c>
      <x:c r="J303" s="36" t="str"/>
      <x:c r="K303" s="36" t="str"/>
      <x:c r="L303" s="36" t="str">
        <x:v>REPO_VERIFIZIERT_FRAGEFORM</x:v>
      </x:c>
      <x:c r="M303" s="36" t="str">
        <x:v>ERSETZEN</x:v>
      </x:c>
      <x:c r="N303" s="36" t="str">
        <x:v>REPETITIVE_FRAGEFORM</x:v>
      </x:c>
      <x:c r="O303" s="36" t="str">
        <x:v>REINE_WIEDERERKENNUNG</x:v>
      </x:c>
      <x:c r="P303" s="36" t="str">
        <x:v>KERNAUSSAGE</x:v>
      </x:c>
      <x:c r="Q303" s="36" t="str">
        <x:v>Mit welchem Bild antwortet Jesus auf die Bitte der Apostel: „Stärke unseren Glauben“?</x:v>
      </x:c>
      <x:c r="R303" s="36" t="str">
        <x:v>Mit einem großen Tempel.</x:v>
      </x:c>
      <x:c r="S303" s="36" t="str">
        <x:v>Mit zehn Talenten Gold.</x:v>
      </x:c>
      <x:c r="T303" s="36" t="str">
        <x:v>Mit Glauben wie einem Senfkorn, der sogar einen Maulbeerbaum versetzen könnte.</x:v>
      </x:c>
      <x:c r="U303" s="36" t="str">
        <x:v>Mit einem Schiff ohne Anker.</x:v>
      </x:c>
      <x:c r="V303" s="36" t="n">
        <x:v>2</x:v>
      </x:c>
      <x:c r="W303" s="36" t="str">
        <x:v>Mit Glauben wie einem Senfkorn, der sogar einen Maulbeerbaum versetzen könnte.</x:v>
      </x:c>
      <x:c r="X303" s="36" t="str">
        <x:v>Lukas 17,5–6</x:v>
      </x:c>
      <x:c r="Y303" s="36" t="str">
        <x:v>Jesus verwendet das Senfkorn als Bild dafür, dass selbst kleiner echter Glaube wirksam sein kann.</x:v>
      </x:c>
      <x:c r="Z303" s="36" t="str">
        <x:v>JA</x:v>
      </x:c>
      <x:c r="AA303" s="36" t="str">
        <x:v>JA</x:v>
      </x:c>
      <x:c r="AB303" s="36" t="str">
        <x:v>JA</x:v>
      </x:c>
      <x:c r="AC303" s="36" t="str">
        <x:v>JA</x:v>
      </x:c>
      <x:c r="AD303" s="36" t="str">
        <x:v>JA</x:v>
      </x:c>
      <x:c r="AE303" s="36" t="str">
        <x:v>JA</x:v>
      </x:c>
      <x:c r="AF303" s="36" t="str">
        <x:v>JA</x:v>
      </x:c>
      <x:c r="AG303" s="36" t="str">
        <x:v>FREIGEGEBEN</x:v>
      </x:c>
      <x:c r="AH303" s="36" t="str">
        <x:v>GPT-5.6 Sol · Buchprüfung Lukas · L1912/OTB</x:v>
      </x:c>
      <x:c r="AI303" s="36" t="str">
        <x:v>FREIGEGEBEN</x:v>
      </x:c>
      <x:c r="AJ303" s="36" t="str">
        <x:v>Lukas 17: repetitive Wiedererkennungsfrage durch KERNAUSSAGE-Frage ersetzt.</x:v>
      </x:c>
      <x:c r="AK303" s="36" t="str">
        <x:v>FaithPath repo develop/v4 · data/bibles/l1912/LUK.json · data/bibles/otb/LUK.json</x:v>
      </x:c>
      <x:c r="AL303" t="str">
        <x:v>JA</x:v>
      </x:c>
    </x:row>
    <x:row r="304">
      <x:c r="A304" t="str">
        <x:v>FP-0563</x:v>
      </x:c>
      <x:c r="B304" t="str">
        <x:v>LUK</x:v>
      </x:c>
      <x:c r="C304" t="str">
        <x:v>Lukas</x:v>
      </x:c>
      <x:c r="D304" t="n">
        <x:v>17</x:v>
      </x:c>
      <x:c r="E304" t="n">
        <x:v>3</x:v>
      </x:c>
      <x:c r="F304" t="str">
        <x:v>LUK-017</x:v>
      </x:c>
      <x:c r="G304" t="n">
        <x:v>61</x:v>
      </x:c>
      <x:c r="H304" t="str">
        <x:v>CQ-A04</x:v>
      </x:c>
      <x:c r="I304" s="36" t="str">
        <x:v>Welche dieser Aussagen stammt aus Lukas 17?</x:v>
      </x:c>
      <x:c r="J304" s="36" t="str"/>
      <x:c r="K304" s="36" t="str"/>
      <x:c r="L304" s="36" t="str">
        <x:v>REPO_VERIFIZIERT_FRAGEFORM</x:v>
      </x:c>
      <x:c r="M304" s="36" t="str">
        <x:v>ERSETZEN</x:v>
      </x:c>
      <x:c r="N304" s="36" t="str">
        <x:v>REPETITIVE_FRAGEFORM</x:v>
      </x:c>
      <x:c r="O304" s="36" t="str">
        <x:v>REINE_WIEDERERKENNUNG</x:v>
      </x:c>
      <x:c r="P304" s="36" t="str">
        <x:v>KERNAUSSAGE</x:v>
      </x:c>
      <x:c r="Q304" s="36" t="str">
        <x:v>Welche Haltung sollen Jünger nach erfüllter Pflicht einnehmen?</x:v>
      </x:c>
      <x:c r="R304" s="36" t="str">
        <x:v>Eine besondere Belohnung fordern.</x:v>
      </x:c>
      <x:c r="S304" s="36" t="str">
        <x:v>Sich über andere erheben.</x:v>
      </x:c>
      <x:c r="T304" s="36" t="str">
        <x:v>Ihre Aufgaben geheim halten.</x:v>
      </x:c>
      <x:c r="U304" s="36" t="str">
        <x:v>Demütig sagen, dass sie nur getan haben, was ihnen aufgetragen war.</x:v>
      </x:c>
      <x:c r="V304" s="36" t="n">
        <x:v>3</x:v>
      </x:c>
      <x:c r="W304" s="36" t="str">
        <x:v>Demütig sagen, dass sie nur getan haben, was ihnen aufgetragen war.</x:v>
      </x:c>
      <x:c r="X304" s="36" t="str">
        <x:v>Lukas 17,7–10</x:v>
      </x:c>
      <x:c r="Y304" s="36" t="str">
        <x:v>Das Gleichnis zielt auf eine nüchterne, demütige Haltung im Dienst.</x:v>
      </x:c>
      <x:c r="Z304" s="36" t="str">
        <x:v>JA</x:v>
      </x:c>
      <x:c r="AA304" s="36" t="str">
        <x:v>JA</x:v>
      </x:c>
      <x:c r="AB304" s="36" t="str">
        <x:v>JA</x:v>
      </x:c>
      <x:c r="AC304" s="36" t="str">
        <x:v>JA</x:v>
      </x:c>
      <x:c r="AD304" s="36" t="str">
        <x:v>JA</x:v>
      </x:c>
      <x:c r="AE304" s="36" t="str">
        <x:v>JA</x:v>
      </x:c>
      <x:c r="AF304" s="36" t="str">
        <x:v>JA</x:v>
      </x:c>
      <x:c r="AG304" s="36" t="str">
        <x:v>FREIGEGEBEN</x:v>
      </x:c>
      <x:c r="AH304" s="36" t="str">
        <x:v>GPT-5.6 Sol · Buchprüfung Lukas · L1912/OTB</x:v>
      </x:c>
      <x:c r="AI304" s="36" t="str">
        <x:v>FREIGEGEBEN</x:v>
      </x:c>
      <x:c r="AJ304" s="36" t="str">
        <x:v>Lukas 17: repetitive Wiedererkennungsfrage durch KERNAUSSAGE-Frage ersetzt.</x:v>
      </x:c>
      <x:c r="AK304" s="36" t="str">
        <x:v>FaithPath repo develop/v4 · data/bibles/l1912/LUK.json · data/bibles/otb/LUK.json</x:v>
      </x:c>
      <x:c r="AL304" t="str">
        <x:v>JA</x:v>
      </x:c>
    </x:row>
    <x:row r="305">
      <x:c r="A305" t="str">
        <x:v>FP-0564</x:v>
      </x:c>
      <x:c r="B305" t="str">
        <x:v>LUK</x:v>
      </x:c>
      <x:c r="C305" t="str">
        <x:v>Lukas</x:v>
      </x:c>
      <x:c r="D305" t="n">
        <x:v>17</x:v>
      </x:c>
      <x:c r="E305" t="n">
        <x:v>4</x:v>
      </x:c>
      <x:c r="F305" t="str">
        <x:v>LUK-017</x:v>
      </x:c>
      <x:c r="G305" t="n">
        <x:v>61</x:v>
      </x:c>
      <x:c r="H305" t="str">
        <x:v>CQ-A04</x:v>
      </x:c>
      <x:c r="I305" s="36" t="str">
        <x:v>Welche dieser Aussagen stammt aus Lukas 17?</x:v>
      </x:c>
      <x:c r="J305" s="36" t="str"/>
      <x:c r="K305" s="36" t="str"/>
      <x:c r="L305" s="36" t="str">
        <x:v>REPO_VERIFIZIERT_FRAGEFORM</x:v>
      </x:c>
      <x:c r="M305" s="36" t="str">
        <x:v>ERSETZEN</x:v>
      </x:c>
      <x:c r="N305" s="36" t="str">
        <x:v>REPETITIVE_FRAGEFORM</x:v>
      </x:c>
      <x:c r="O305" s="36" t="str">
        <x:v>REINE_WIEDERERKENNUNG</x:v>
      </x:c>
      <x:c r="P305" s="36" t="str">
        <x:v>GESCHEHEN</x:v>
      </x:c>
      <x:c r="Q305" s="36" t="str">
        <x:v>Was unterscheidet den einen geheilten Aussätzigen von den anderen neun?</x:v>
      </x:c>
      <x:c r="R305" s="36" t="str">
        <x:v>Er kehrt zurück, lobt Gott und dankt Jesus; er ist ein Samariter.</x:v>
      </x:c>
      <x:c r="S305" s="36" t="str">
        <x:v>Er war der einzige, der zu den Priestern ging.</x:v>
      </x:c>
      <x:c r="T305" s="36" t="str">
        <x:v>Er wird nicht geheilt.</x:v>
      </x:c>
      <x:c r="U305" s="36" t="str">
        <x:v>Er verlangt anschließend Geld.</x:v>
      </x:c>
      <x:c r="V305" s="36" t="n">
        <x:v>0</x:v>
      </x:c>
      <x:c r="W305" s="36" t="str">
        <x:v>Er kehrt zurück, lobt Gott und dankt Jesus; er ist ein Samariter.</x:v>
      </x:c>
      <x:c r="X305" s="36" t="str">
        <x:v>Lukas 17,11–19</x:v>
      </x:c>
      <x:c r="Y305" s="36" t="str">
        <x:v>Alle zehn werden gereinigt, doch nur einer kehrt dankbar zurück; Lukas betont, dass er Samariter ist.</x:v>
      </x:c>
      <x:c r="Z305" s="36" t="str">
        <x:v>JA</x:v>
      </x:c>
      <x:c r="AA305" s="36" t="str">
        <x:v>JA</x:v>
      </x:c>
      <x:c r="AB305" s="36" t="str">
        <x:v>JA</x:v>
      </x:c>
      <x:c r="AC305" s="36" t="str">
        <x:v>JA</x:v>
      </x:c>
      <x:c r="AD305" s="36" t="str">
        <x:v>JA</x:v>
      </x:c>
      <x:c r="AE305" s="36" t="str">
        <x:v>JA</x:v>
      </x:c>
      <x:c r="AF305" s="36" t="str">
        <x:v>JA</x:v>
      </x:c>
      <x:c r="AG305" s="36" t="str">
        <x:v>FREIGEGEBEN</x:v>
      </x:c>
      <x:c r="AH305" s="36" t="str">
        <x:v>GPT-5.6 Sol · Buchprüfung Lukas · L1912/OTB</x:v>
      </x:c>
      <x:c r="AI305" s="36" t="str">
        <x:v>FREIGEGEBEN</x:v>
      </x:c>
      <x:c r="AJ305" s="36" t="str">
        <x:v>Lukas 17: repetitive Wiedererkennungsfrage durch GESCHEHEN-Frage ersetzt.</x:v>
      </x:c>
      <x:c r="AK305" s="36" t="str">
        <x:v>FaithPath repo develop/v4 · data/bibles/l1912/LUK.json · data/bibles/otb/LUK.json</x:v>
      </x:c>
      <x:c r="AL305" t="str">
        <x:v>JA</x:v>
      </x:c>
    </x:row>
    <x:row r="306">
      <x:c r="A306" t="str">
        <x:v>FP-0565</x:v>
      </x:c>
      <x:c r="B306" t="str">
        <x:v>LUK</x:v>
      </x:c>
      <x:c r="C306" t="str">
        <x:v>Lukas</x:v>
      </x:c>
      <x:c r="D306" t="n">
        <x:v>17</x:v>
      </x:c>
      <x:c r="E306" t="n">
        <x:v>5</x:v>
      </x:c>
      <x:c r="F306" t="str">
        <x:v>LUK-017</x:v>
      </x:c>
      <x:c r="G306" t="n">
        <x:v>61</x:v>
      </x:c>
      <x:c r="H306" t="str">
        <x:v>CQ-A04</x:v>
      </x:c>
      <x:c r="I306" s="36" t="str">
        <x:v>Welche dieser Aussagen stammt aus Lukas 17?</x:v>
      </x:c>
      <x:c r="J306" s="36" t="str"/>
      <x:c r="K306" s="36" t="str"/>
      <x:c r="L306" s="36" t="str">
        <x:v>REPO_VERIFIZIERT_FRAGEFORM</x:v>
      </x:c>
      <x:c r="M306" s="36" t="str">
        <x:v>ERSETZEN</x:v>
      </x:c>
      <x:c r="N306" s="36" t="str">
        <x:v>REPETITIVE_FRAGEFORM</x:v>
      </x:c>
      <x:c r="O306" s="36" t="str">
        <x:v>REINE_WIEDERERKENNUNG</x:v>
      </x:c>
      <x:c r="P306" s="36" t="str">
        <x:v>KERNAUSSAGE</x:v>
      </x:c>
      <x:c r="Q306" s="36" t="str">
        <x:v>Was sagt Jesus über das Kommen des Reiches Gottes und den Menschensohn?</x:v>
      </x:c>
      <x:c r="R306" s="36" t="str">
        <x:v>Das Reich beginnt mit einem politischen Aufstand.</x:v>
      </x:c>
      <x:c r="S306" s="36" t="str">
        <x:v>Das Reich kommt nicht so, dass man einfach auf äußere Zeichen zeigen kann; der Menschensohn wird offenbar sein, muss aber zuvor leiden.</x:v>
      </x:c>
      <x:c r="T306" s="36" t="str">
        <x:v>Der Menschensohn wird nie leiden.</x:v>
      </x:c>
      <x:c r="U306" s="36" t="str">
        <x:v>Das Reich ist nur an einem Ort zu finden.</x:v>
      </x:c>
      <x:c r="V306" s="36" t="n">
        <x:v>1</x:v>
      </x:c>
      <x:c r="W306" s="36" t="str">
        <x:v>Das Reich kommt nicht so, dass man einfach auf äußere Zeichen zeigen kann; der Menschensohn wird offenbar sein, muss aber zuvor leiden.</x:v>
      </x:c>
      <x:c r="X306" s="36" t="str">
        <x:v>Lukas 17,20–25</x:v>
      </x:c>
      <x:c r="Y306" s="36" t="str">
        <x:v>Jesus warnt vor einfachen Ortsangaben zum Reich und beschreibt den Tag des Menschensohnes als unübersehbar, nach vorausgehendem Leiden.</x:v>
      </x:c>
      <x:c r="Z306" s="36" t="str">
        <x:v>JA</x:v>
      </x:c>
      <x:c r="AA306" s="36" t="str">
        <x:v>JA</x:v>
      </x:c>
      <x:c r="AB306" s="36" t="str">
        <x:v>JA</x:v>
      </x:c>
      <x:c r="AC306" s="36" t="str">
        <x:v>JA</x:v>
      </x:c>
      <x:c r="AD306" s="36" t="str">
        <x:v>JA</x:v>
      </x:c>
      <x:c r="AE306" s="36" t="str">
        <x:v>JA</x:v>
      </x:c>
      <x:c r="AF306" s="36" t="str">
        <x:v>JA</x:v>
      </x:c>
      <x:c r="AG306" s="36" t="str">
        <x:v>FREIGEGEBEN</x:v>
      </x:c>
      <x:c r="AH306" s="36" t="str">
        <x:v>GPT-5.6 Sol · Buchprüfung Lukas · L1912/OTB</x:v>
      </x:c>
      <x:c r="AI306" s="36" t="str">
        <x:v>FREIGEGEBEN</x:v>
      </x:c>
      <x:c r="AJ306" s="36" t="str">
        <x:v>Lukas 17: repetitive Wiedererkennungsfrage durch KERNAUSSAGE-Frage ersetzt.</x:v>
      </x:c>
      <x:c r="AK306" s="36" t="str">
        <x:v>FaithPath repo develop/v4 · data/bibles/l1912/LUK.json · data/bibles/otb/LUK.json</x:v>
      </x:c>
      <x:c r="AL306" t="str">
        <x:v>JA</x:v>
      </x:c>
    </x:row>
    <x:row r="307">
      <x:c r="A307" t="str">
        <x:v>FP-0566</x:v>
      </x:c>
      <x:c r="B307" t="str">
        <x:v>LUK</x:v>
      </x:c>
      <x:c r="C307" t="str">
        <x:v>Lukas</x:v>
      </x:c>
      <x:c r="D307" t="n">
        <x:v>18</x:v>
      </x:c>
      <x:c r="E307" t="n">
        <x:v>1</x:v>
      </x:c>
      <x:c r="F307" t="str">
        <x:v>LUK-018</x:v>
      </x:c>
      <x:c r="G307" t="n">
        <x:v>62</x:v>
      </x:c>
      <x:c r="H307" t="str">
        <x:v>CQ-A04</x:v>
      </x:c>
      <x:c r="I307" s="36" t="str">
        <x:v>Welche dieser Aussagen stammt aus Lukas 18?</x:v>
      </x:c>
      <x:c r="J307" s="36" t="str"/>
      <x:c r="K307" s="36" t="str"/>
      <x:c r="L307" s="36" t="str">
        <x:v>REPO_VERIFIZIERT_FRAGEFORM</x:v>
      </x:c>
      <x:c r="M307" s="36" t="str">
        <x:v>ERSETZEN</x:v>
      </x:c>
      <x:c r="N307" s="36" t="str">
        <x:v>REPETITIVE_FRAGEFORM</x:v>
      </x:c>
      <x:c r="O307" s="36" t="str">
        <x:v>REINE_WIEDERERKENNUNG</x:v>
      </x:c>
      <x:c r="P307" s="36" t="str">
        <x:v>KERNAUSSAGE</x:v>
      </x:c>
      <x:c r="Q307" s="36" t="str">
        <x:v>Warum erzählt Jesus das Gleichnis von der hartnäckigen Witwe?</x:v>
      </x:c>
      <x:c r="R307" s="36" t="str">
        <x:v>Damit sie Richter meiden.</x:v>
      </x:c>
      <x:c r="S307" s="36" t="str">
        <x:v>Damit Witwen keine Bitten mehr stellen.</x:v>
      </x:c>
      <x:c r="T307" s="36" t="str">
        <x:v>Damit die Jünger immer beten und nicht den Mut verlieren.</x:v>
      </x:c>
      <x:c r="U307" s="36" t="str">
        <x:v>Damit sie nur nachts beten.</x:v>
      </x:c>
      <x:c r="V307" s="36" t="n">
        <x:v>2</x:v>
      </x:c>
      <x:c r="W307" s="36" t="str">
        <x:v>Damit die Jünger immer beten und nicht den Mut verlieren.</x:v>
      </x:c>
      <x:c r="X307" s="36" t="str">
        <x:v>Lukas 18,1–8</x:v>
      </x:c>
      <x:c r="Y307" s="36" t="str">
        <x:v>Lukas nennt den Zweck ausdrücklich: beharrlich beten und nicht aufgeben.</x:v>
      </x:c>
      <x:c r="Z307" s="36" t="str">
        <x:v>JA</x:v>
      </x:c>
      <x:c r="AA307" s="36" t="str">
        <x:v>JA</x:v>
      </x:c>
      <x:c r="AB307" s="36" t="str">
        <x:v>JA</x:v>
      </x:c>
      <x:c r="AC307" s="36" t="str">
        <x:v>JA</x:v>
      </x:c>
      <x:c r="AD307" s="36" t="str">
        <x:v>JA</x:v>
      </x:c>
      <x:c r="AE307" s="36" t="str">
        <x:v>JA</x:v>
      </x:c>
      <x:c r="AF307" s="36" t="str">
        <x:v>JA</x:v>
      </x:c>
      <x:c r="AG307" s="36" t="str">
        <x:v>FREIGEGEBEN</x:v>
      </x:c>
      <x:c r="AH307" s="36" t="str">
        <x:v>GPT-5.6 Sol · Buchprüfung Lukas · L1912/OTB</x:v>
      </x:c>
      <x:c r="AI307" s="36" t="str">
        <x:v>FREIGEGEBEN</x:v>
      </x:c>
      <x:c r="AJ307" s="36" t="str">
        <x:v>Lukas 18: repetitive Wiedererkennungsfrage durch KERNAUSSAGE-Frage ersetzt.</x:v>
      </x:c>
      <x:c r="AK307" s="36" t="str">
        <x:v>FaithPath repo develop/v4 · data/bibles/l1912/LUK.json · data/bibles/otb/LUK.json</x:v>
      </x:c>
      <x:c r="AL307" t="str">
        <x:v>JA</x:v>
      </x:c>
    </x:row>
    <x:row r="308">
      <x:c r="A308" t="str">
        <x:v>FP-0567</x:v>
      </x:c>
      <x:c r="B308" t="str">
        <x:v>LUK</x:v>
      </x:c>
      <x:c r="C308" t="str">
        <x:v>Lukas</x:v>
      </x:c>
      <x:c r="D308" t="n">
        <x:v>18</x:v>
      </x:c>
      <x:c r="E308" t="n">
        <x:v>2</x:v>
      </x:c>
      <x:c r="F308" t="str">
        <x:v>LUK-018</x:v>
      </x:c>
      <x:c r="G308" t="n">
        <x:v>62</x:v>
      </x:c>
      <x:c r="H308" t="str">
        <x:v>CQ-A04</x:v>
      </x:c>
      <x:c r="I308" s="36" t="str">
        <x:v>Welche dieser Aussagen stammt aus Lukas 18?</x:v>
      </x:c>
      <x:c r="J308" s="36" t="str"/>
      <x:c r="K308" s="36" t="str"/>
      <x:c r="L308" s="36" t="str">
        <x:v>REPO_VERIFIZIERT_FRAGEFORM</x:v>
      </x:c>
      <x:c r="M308" s="36" t="str">
        <x:v>ERSETZEN</x:v>
      </x:c>
      <x:c r="N308" s="36" t="str">
        <x:v>REPETITIVE_FRAGEFORM</x:v>
      </x:c>
      <x:c r="O308" s="36" t="str">
        <x:v>REINE_WIEDERERKENNUNG</x:v>
      </x:c>
      <x:c r="P308" s="36" t="str">
        <x:v>KERNAUSSAGE</x:v>
      </x:c>
      <x:c r="Q308" s="36" t="str">
        <x:v>Warum geht der Zöllner im Gleichnis gerechtfertigt nach Hause?</x:v>
      </x:c>
      <x:c r="R308" s="36" t="str">
        <x:v>Er fastet häufiger.</x:v>
      </x:c>
      <x:c r="S308" s="36" t="str">
        <x:v>Er spendet mehr Geld.</x:v>
      </x:c>
      <x:c r="T308" s="36" t="str">
        <x:v>Er kennt den Hohepriester persönlich.</x:v>
      </x:c>
      <x:c r="U308" s="36" t="str">
        <x:v>Er bittet demütig um Gottes Gnade, während der Pharisäer sich selbst erhöht.</x:v>
      </x:c>
      <x:c r="V308" s="36" t="n">
        <x:v>3</x:v>
      </x:c>
      <x:c r="W308" s="36" t="str">
        <x:v>Er bittet demütig um Gottes Gnade, während der Pharisäer sich selbst erhöht.</x:v>
      </x:c>
      <x:c r="X308" s="36" t="str">
        <x:v>Lukas 18,9–14</x:v>
      </x:c>
      <x:c r="Y308" s="36" t="str">
        <x:v>Der Zöllner vertraut nicht auf eigene Leistung, sondern bittet um Erbarmen; Jesus verbindet dies mit Demut.</x:v>
      </x:c>
      <x:c r="Z308" s="36" t="str">
        <x:v>JA</x:v>
      </x:c>
      <x:c r="AA308" s="36" t="str">
        <x:v>JA</x:v>
      </x:c>
      <x:c r="AB308" s="36" t="str">
        <x:v>JA</x:v>
      </x:c>
      <x:c r="AC308" s="36" t="str">
        <x:v>JA</x:v>
      </x:c>
      <x:c r="AD308" s="36" t="str">
        <x:v>JA</x:v>
      </x:c>
      <x:c r="AE308" s="36" t="str">
        <x:v>JA</x:v>
      </x:c>
      <x:c r="AF308" s="36" t="str">
        <x:v>JA</x:v>
      </x:c>
      <x:c r="AG308" s="36" t="str">
        <x:v>FREIGEGEBEN</x:v>
      </x:c>
      <x:c r="AH308" s="36" t="str">
        <x:v>GPT-5.6 Sol · Buchprüfung Lukas · L1912/OTB</x:v>
      </x:c>
      <x:c r="AI308" s="36" t="str">
        <x:v>FREIGEGEBEN</x:v>
      </x:c>
      <x:c r="AJ308" s="36" t="str">
        <x:v>Lukas 18: repetitive Wiedererkennungsfrage durch KERNAUSSAGE-Frage ersetzt.</x:v>
      </x:c>
      <x:c r="AK308" s="36" t="str">
        <x:v>FaithPath repo develop/v4 · data/bibles/l1912/LUK.json · data/bibles/otb/LUK.json</x:v>
      </x:c>
      <x:c r="AL308" t="str">
        <x:v>JA</x:v>
      </x:c>
    </x:row>
    <x:row r="309">
      <x:c r="A309" t="str">
        <x:v>FP-0568</x:v>
      </x:c>
      <x:c r="B309" t="str">
        <x:v>LUK</x:v>
      </x:c>
      <x:c r="C309" t="str">
        <x:v>Lukas</x:v>
      </x:c>
      <x:c r="D309" t="n">
        <x:v>18</x:v>
      </x:c>
      <x:c r="E309" t="n">
        <x:v>3</x:v>
      </x:c>
      <x:c r="F309" t="str">
        <x:v>LUK-018</x:v>
      </x:c>
      <x:c r="G309" t="n">
        <x:v>62</x:v>
      </x:c>
      <x:c r="H309" t="str">
        <x:v>CQ-A04</x:v>
      </x:c>
      <x:c r="I309" s="36" t="str">
        <x:v>Welche dieser Aussagen stammt aus Lukas 18?</x:v>
      </x:c>
      <x:c r="J309" s="36" t="str"/>
      <x:c r="K309" s="36" t="str"/>
      <x:c r="L309" s="36" t="str">
        <x:v>REPO_VERIFIZIERT_FRAGEFORM</x:v>
      </x:c>
      <x:c r="M309" s="36" t="str">
        <x:v>ERSETZEN</x:v>
      </x:c>
      <x:c r="N309" s="36" t="str">
        <x:v>REPETITIVE_FRAGEFORM</x:v>
      </x:c>
      <x:c r="O309" s="36" t="str">
        <x:v>REINE_WIEDERERKENNUNG</x:v>
      </x:c>
      <x:c r="P309" s="36" t="str">
        <x:v>KERNAUSSAGE</x:v>
      </x:c>
      <x:c r="Q309" s="36" t="str">
        <x:v>Wie soll das Reich Gottes nach Jesu Worten angenommen werden?</x:v>
      </x:c>
      <x:c r="R309" s="36" t="str">
        <x:v>Wie ein Kind.</x:v>
      </x:c>
      <x:c r="S309" s="36" t="str">
        <x:v>Wie ein politisches Amt.</x:v>
      </x:c>
      <x:c r="T309" s="36" t="str">
        <x:v>Wie ein Besitz, den man kaufen kann.</x:v>
      </x:c>
      <x:c r="U309" s="36" t="str">
        <x:v>Wie eine Belohnung für Alter.</x:v>
      </x:c>
      <x:c r="V309" s="36" t="n">
        <x:v>0</x:v>
      </x:c>
      <x:c r="W309" s="36" t="str">
        <x:v>Wie ein Kind.</x:v>
      </x:c>
      <x:c r="X309" s="36" t="str">
        <x:v>Lukas 18,15–17</x:v>
      </x:c>
      <x:c r="Y309" s="36" t="str">
        <x:v>Jesus stellt die kindliche Annahme des Reiches als notwendig heraus.</x:v>
      </x:c>
      <x:c r="Z309" s="36" t="str">
        <x:v>JA</x:v>
      </x:c>
      <x:c r="AA309" s="36" t="str">
        <x:v>JA</x:v>
      </x:c>
      <x:c r="AB309" s="36" t="str">
        <x:v>JA</x:v>
      </x:c>
      <x:c r="AC309" s="36" t="str">
        <x:v>JA</x:v>
      </x:c>
      <x:c r="AD309" s="36" t="str">
        <x:v>JA</x:v>
      </x:c>
      <x:c r="AE309" s="36" t="str">
        <x:v>JA</x:v>
      </x:c>
      <x:c r="AF309" s="36" t="str">
        <x:v>JA</x:v>
      </x:c>
      <x:c r="AG309" s="36" t="str">
        <x:v>FREIGEGEBEN</x:v>
      </x:c>
      <x:c r="AH309" s="36" t="str">
        <x:v>GPT-5.6 Sol · Buchprüfung Lukas · L1912/OTB</x:v>
      </x:c>
      <x:c r="AI309" s="36" t="str">
        <x:v>FREIGEGEBEN</x:v>
      </x:c>
      <x:c r="AJ309" s="36" t="str">
        <x:v>Lukas 18: repetitive Wiedererkennungsfrage durch KERNAUSSAGE-Frage ersetzt.</x:v>
      </x:c>
      <x:c r="AK309" s="36" t="str">
        <x:v>FaithPath repo develop/v4 · data/bibles/l1912/LUK.json · data/bibles/otb/LUK.json</x:v>
      </x:c>
      <x:c r="AL309" t="str">
        <x:v>JA</x:v>
      </x:c>
    </x:row>
    <x:row r="310">
      <x:c r="A310" t="str">
        <x:v>FP-0569</x:v>
      </x:c>
      <x:c r="B310" t="str">
        <x:v>LUK</x:v>
      </x:c>
      <x:c r="C310" t="str">
        <x:v>Lukas</x:v>
      </x:c>
      <x:c r="D310" t="n">
        <x:v>18</x:v>
      </x:c>
      <x:c r="E310" t="n">
        <x:v>4</x:v>
      </x:c>
      <x:c r="F310" t="str">
        <x:v>LUK-018</x:v>
      </x:c>
      <x:c r="G310" t="n">
        <x:v>62</x:v>
      </x:c>
      <x:c r="H310" t="str">
        <x:v>CQ-A04</x:v>
      </x:c>
      <x:c r="I310" s="36" t="str">
        <x:v>Welche dieser Aussagen stammt aus Lukas 18?</x:v>
      </x:c>
      <x:c r="J310" s="36" t="str"/>
      <x:c r="K310" s="36" t="str"/>
      <x:c r="L310" s="36" t="str">
        <x:v>REPO_VERIFIZIERT_FRAGEFORM</x:v>
      </x:c>
      <x:c r="M310" s="36" t="str">
        <x:v>ERSETZEN</x:v>
      </x:c>
      <x:c r="N310" s="36" t="str">
        <x:v>REPETITIVE_FRAGEFORM</x:v>
      </x:c>
      <x:c r="O310" s="36" t="str">
        <x:v>REINE_WIEDERERKENNUNG</x:v>
      </x:c>
      <x:c r="P310" s="36" t="str">
        <x:v>ZUSAMMENHANG</x:v>
      </x:c>
      <x:c r="Q310" s="36" t="str">
        <x:v>Warum wird der reiche Oberste traurig, und was sagt Jesus anschließend über Rettung?</x:v>
      </x:c>
      <x:c r="R310" s="36" t="str">
        <x:v>Er hat die Gebote nie gehört; Rettung ist unmöglich.</x:v>
      </x:c>
      <x:c r="S310" s="36" t="str">
        <x:v>Er hängt an seinem großen Besitz; was bei Menschen unmöglich ist, ist bei Gott möglich.</x:v>
      </x:c>
      <x:c r="T310" s="36" t="str">
        <x:v>Er möchte Priester werden; nur Reiche können gerettet werden.</x:v>
      </x:c>
      <x:c r="U310" s="36" t="str">
        <x:v>Er darf nicht nach Jerusalem reisen; Rettung hängt von Herkunft ab.</x:v>
      </x:c>
      <x:c r="V310" s="36" t="n">
        <x:v>1</x:v>
      </x:c>
      <x:c r="W310" s="36" t="str">
        <x:v>Er hängt an seinem großen Besitz; was bei Menschen unmöglich ist, ist bei Gott möglich.</x:v>
      </x:c>
      <x:c r="X310" s="36" t="str">
        <x:v>Lukas 18,18–27</x:v>
      </x:c>
      <x:c r="Y310" s="36" t="str">
        <x:v>Die Forderung, den Besitz loszulassen und Jesus zu folgen, trifft den reichen Mann; Jesus richtet den Blick anschließend auf Gottes Möglichkeit.</x:v>
      </x:c>
      <x:c r="Z310" s="36" t="str">
        <x:v>JA</x:v>
      </x:c>
      <x:c r="AA310" s="36" t="str">
        <x:v>JA</x:v>
      </x:c>
      <x:c r="AB310" s="36" t="str">
        <x:v>JA</x:v>
      </x:c>
      <x:c r="AC310" s="36" t="str">
        <x:v>JA</x:v>
      </x:c>
      <x:c r="AD310" s="36" t="str">
        <x:v>JA</x:v>
      </x:c>
      <x:c r="AE310" s="36" t="str">
        <x:v>JA</x:v>
      </x:c>
      <x:c r="AF310" s="36" t="str">
        <x:v>JA</x:v>
      </x:c>
      <x:c r="AG310" s="36" t="str">
        <x:v>FREIGEGEBEN</x:v>
      </x:c>
      <x:c r="AH310" s="36" t="str">
        <x:v>GPT-5.6 Sol · Buchprüfung Lukas · L1912/OTB</x:v>
      </x:c>
      <x:c r="AI310" s="36" t="str">
        <x:v>FREIGEGEBEN</x:v>
      </x:c>
      <x:c r="AJ310" s="36" t="str">
        <x:v>Lukas 18: repetitive Wiedererkennungsfrage durch ZUSAMMENHANG-Frage ersetzt.</x:v>
      </x:c>
      <x:c r="AK310" s="36" t="str">
        <x:v>FaithPath repo develop/v4 · data/bibles/l1912/LUK.json · data/bibles/otb/LUK.json</x:v>
      </x:c>
      <x:c r="AL310" t="str">
        <x:v>JA</x:v>
      </x:c>
    </x:row>
    <x:row r="311">
      <x:c r="A311" t="str">
        <x:v>FP-0570</x:v>
      </x:c>
      <x:c r="B311" t="str">
        <x:v>LUK</x:v>
      </x:c>
      <x:c r="C311" t="str">
        <x:v>Lukas</x:v>
      </x:c>
      <x:c r="D311" t="n">
        <x:v>18</x:v>
      </x:c>
      <x:c r="E311" t="n">
        <x:v>5</x:v>
      </x:c>
      <x:c r="F311" t="str">
        <x:v>LUK-018</x:v>
      </x:c>
      <x:c r="G311" t="n">
        <x:v>62</x:v>
      </x:c>
      <x:c r="H311" t="str">
        <x:v>CQ-A04</x:v>
      </x:c>
      <x:c r="I311" s="36" t="str">
        <x:v>Welche dieser Aussagen stammt aus Lukas 18?</x:v>
      </x:c>
      <x:c r="J311" s="36" t="str"/>
      <x:c r="K311" s="36" t="str"/>
      <x:c r="L311" s="36" t="str">
        <x:v>REPO_VERIFIZIERT_FRAGEFORM</x:v>
      </x:c>
      <x:c r="M311" s="36" t="str">
        <x:v>ERSETZEN</x:v>
      </x:c>
      <x:c r="N311" s="36" t="str">
        <x:v>REPETITIVE_FRAGEFORM</x:v>
      </x:c>
      <x:c r="O311" s="36" t="str">
        <x:v>REINE_WIEDERERKENNUNG</x:v>
      </x:c>
      <x:c r="P311" s="36" t="str">
        <x:v>GESCHEHEN</x:v>
      </x:c>
      <x:c r="Q311" s="36" t="str">
        <x:v>Wie reagiert der blinde Mann bei Jericho nach seiner Heilung?</x:v>
      </x:c>
      <x:c r="R311" s="36" t="str">
        <x:v>Er geht schweigend nach Hause.</x:v>
      </x:c>
      <x:c r="S311" s="36" t="str">
        <x:v>Er wird Zöllner.</x:v>
      </x:c>
      <x:c r="T311" s="36" t="str">
        <x:v>Er folgt Jesus und verherrlicht Gott.</x:v>
      </x:c>
      <x:c r="U311" s="36" t="str">
        <x:v>Er zieht nach Nazareth.</x:v>
      </x:c>
      <x:c r="V311" s="36" t="n">
        <x:v>2</x:v>
      </x:c>
      <x:c r="W311" s="36" t="str">
        <x:v>Er folgt Jesus und verherrlicht Gott.</x:v>
      </x:c>
      <x:c r="X311" s="36" t="str">
        <x:v>Lukas 18,35–43</x:v>
      </x:c>
      <x:c r="Y311" s="36" t="str">
        <x:v>Nachdem Jesus ihm das Augenlicht gibt, folgt der Mann ihm und preist Gott.</x:v>
      </x:c>
      <x:c r="Z311" s="36" t="str">
        <x:v>JA</x:v>
      </x:c>
      <x:c r="AA311" s="36" t="str">
        <x:v>JA</x:v>
      </x:c>
      <x:c r="AB311" s="36" t="str">
        <x:v>JA</x:v>
      </x:c>
      <x:c r="AC311" s="36" t="str">
        <x:v>JA</x:v>
      </x:c>
      <x:c r="AD311" s="36" t="str">
        <x:v>JA</x:v>
      </x:c>
      <x:c r="AE311" s="36" t="str">
        <x:v>JA</x:v>
      </x:c>
      <x:c r="AF311" s="36" t="str">
        <x:v>JA</x:v>
      </x:c>
      <x:c r="AG311" s="36" t="str">
        <x:v>FREIGEGEBEN</x:v>
      </x:c>
      <x:c r="AH311" s="36" t="str">
        <x:v>GPT-5.6 Sol · Buchprüfung Lukas · L1912/OTB</x:v>
      </x:c>
      <x:c r="AI311" s="36" t="str">
        <x:v>FREIGEGEBEN</x:v>
      </x:c>
      <x:c r="AJ311" s="36" t="str">
        <x:v>Lukas 18: repetitive Wiedererkennungsfrage durch GESCHEHEN-Frage ersetzt.</x:v>
      </x:c>
      <x:c r="AK311" s="36" t="str">
        <x:v>FaithPath repo develop/v4 · data/bibles/l1912/LUK.json · data/bibles/otb/LUK.json</x:v>
      </x:c>
      <x:c r="AL311" t="str">
        <x:v>JA</x:v>
      </x:c>
    </x:row>
    <x:row r="312">
      <x:c r="A312" t="str">
        <x:v>FP-0571</x:v>
      </x:c>
      <x:c r="B312" t="str">
        <x:v>LUK</x:v>
      </x:c>
      <x:c r="C312" t="str">
        <x:v>Lukas</x:v>
      </x:c>
      <x:c r="D312" t="n">
        <x:v>19</x:v>
      </x:c>
      <x:c r="E312" t="n">
        <x:v>1</x:v>
      </x:c>
      <x:c r="F312" t="str">
        <x:v>LUK-019</x:v>
      </x:c>
      <x:c r="G312" t="n">
        <x:v>63</x:v>
      </x:c>
      <x:c r="H312" t="str">
        <x:v>CQ-A04</x:v>
      </x:c>
      <x:c r="I312" s="36" t="str">
        <x:v>Welche dieser Aussagen stammt aus Lukas 19?</x:v>
      </x:c>
      <x:c r="J312" s="36" t="str"/>
      <x:c r="K312" s="36" t="str"/>
      <x:c r="L312" s="36" t="str">
        <x:v>REPO_VERIFIZIERT_FRAGEFORM</x:v>
      </x:c>
      <x:c r="M312" s="36" t="str">
        <x:v>ERSETZEN</x:v>
      </x:c>
      <x:c r="N312" s="36" t="str">
        <x:v>REPETITIVE_FRAGEFORM</x:v>
      </x:c>
      <x:c r="O312" s="36" t="str">
        <x:v>REINE_WIEDERERKENNUNG</x:v>
      </x:c>
      <x:c r="P312" s="36" t="str">
        <x:v>ZUSAMMENHANG</x:v>
      </x:c>
      <x:c r="Q312" s="36" t="str">
        <x:v>Wie zeigt Zachäus seine veränderte Haltung nach der Begegnung mit Jesus?</x:v>
      </x:c>
      <x:c r="R312" s="36" t="str">
        <x:v>Er verlässt Jericho ohne etwas zu sagen.</x:v>
      </x:c>
      <x:c r="S312" s="36" t="str">
        <x:v>Er schenkt nur Jesus Geld.</x:v>
      </x:c>
      <x:c r="T312" s="36" t="str">
        <x:v>Er fordert höhere Zölle.</x:v>
      </x:c>
      <x:c r="U312" s="36" t="str">
        <x:v>Er gibt die Hälfte seines Besitzes den Armen und will Betrug vierfach erstatten.</x:v>
      </x:c>
      <x:c r="V312" s="36" t="n">
        <x:v>3</x:v>
      </x:c>
      <x:c r="W312" s="36" t="str">
        <x:v>Er gibt die Hälfte seines Besitzes den Armen und will Betrug vierfach erstatten.</x:v>
      </x:c>
      <x:c r="X312" s="36" t="str">
        <x:v>Lukas 19,1–10</x:v>
      </x:c>
      <x:c r="Y312" s="36" t="str">
        <x:v>Zachäus verbindet die Begegnung mit konkreter Großzügigkeit und Wiedergutmachung; Jesus spricht von Heil für sein Haus.</x:v>
      </x:c>
      <x:c r="Z312" s="36" t="str">
        <x:v>JA</x:v>
      </x:c>
      <x:c r="AA312" s="36" t="str">
        <x:v>JA</x:v>
      </x:c>
      <x:c r="AB312" s="36" t="str">
        <x:v>JA</x:v>
      </x:c>
      <x:c r="AC312" s="36" t="str">
        <x:v>JA</x:v>
      </x:c>
      <x:c r="AD312" s="36" t="str">
        <x:v>JA</x:v>
      </x:c>
      <x:c r="AE312" s="36" t="str">
        <x:v>JA</x:v>
      </x:c>
      <x:c r="AF312" s="36" t="str">
        <x:v>JA</x:v>
      </x:c>
      <x:c r="AG312" s="36" t="str">
        <x:v>FREIGEGEBEN</x:v>
      </x:c>
      <x:c r="AH312" s="36" t="str">
        <x:v>GPT-5.6 Sol · Buchprüfung Lukas · L1912/OTB</x:v>
      </x:c>
      <x:c r="AI312" s="36" t="str">
        <x:v>FREIGEGEBEN</x:v>
      </x:c>
      <x:c r="AJ312" s="36" t="str">
        <x:v>Lukas 19: repetitive Wiedererkennungsfrage durch ZUSAMMENHANG-Frage ersetzt.</x:v>
      </x:c>
      <x:c r="AK312" s="36" t="str">
        <x:v>FaithPath repo develop/v4 · data/bibles/l1912/LUK.json · data/bibles/otb/LUK.json</x:v>
      </x:c>
      <x:c r="AL312" t="str">
        <x:v>JA</x:v>
      </x:c>
    </x:row>
    <x:row r="313">
      <x:c r="A313" t="str">
        <x:v>FP-0572</x:v>
      </x:c>
      <x:c r="B313" t="str">
        <x:v>LUK</x:v>
      </x:c>
      <x:c r="C313" t="str">
        <x:v>Lukas</x:v>
      </x:c>
      <x:c r="D313" t="n">
        <x:v>19</x:v>
      </x:c>
      <x:c r="E313" t="n">
        <x:v>2</x:v>
      </x:c>
      <x:c r="F313" t="str">
        <x:v>LUK-019</x:v>
      </x:c>
      <x:c r="G313" t="n">
        <x:v>63</x:v>
      </x:c>
      <x:c r="H313" t="str">
        <x:v>CQ-A04</x:v>
      </x:c>
      <x:c r="I313" s="36" t="str">
        <x:v>Welche dieser Aussagen stammt aus Lukas 19?</x:v>
      </x:c>
      <x:c r="J313" s="36" t="str"/>
      <x:c r="K313" s="36" t="str"/>
      <x:c r="L313" s="36" t="str">
        <x:v>REPO_VERIFIZIERT_FRAGEFORM</x:v>
      </x:c>
      <x:c r="M313" s="36" t="str">
        <x:v>ERSETZEN</x:v>
      </x:c>
      <x:c r="N313" s="36" t="str">
        <x:v>REPETITIVE_FRAGEFORM</x:v>
      </x:c>
      <x:c r="O313" s="36" t="str">
        <x:v>REINE_WIEDERERKENNUNG</x:v>
      </x:c>
      <x:c r="P313" s="36" t="str">
        <x:v>ZUSAMMENHANG</x:v>
      </x:c>
      <x:c r="Q313" s="36" t="str">
        <x:v>Warum erzählt Jesus das Gleichnis von den anvertrauten Minen?</x:v>
      </x:c>
      <x:c r="R313" s="36" t="str">
        <x:v>Weil die Menschen nahe Jerusalem meinten, das Reich Gottes werde sofort sichtbar erscheinen.</x:v>
      </x:c>
      <x:c r="S313" s="36" t="str">
        <x:v>Weil seine Jünger kein Geld besaßen.</x:v>
      </x:c>
      <x:c r="T313" s="36" t="str">
        <x:v>Weil ein Bankier ihn darum bat.</x:v>
      </x:c>
      <x:c r="U313" s="36" t="str">
        <x:v>Weil Pilatus eine Steuer plante.</x:v>
      </x:c>
      <x:c r="V313" s="36" t="n">
        <x:v>0</x:v>
      </x:c>
      <x:c r="W313" s="36" t="str">
        <x:v>Weil die Menschen nahe Jerusalem meinten, das Reich Gottes werde sofort sichtbar erscheinen.</x:v>
      </x:c>
      <x:c r="X313" s="36" t="str">
        <x:v>Lukas 19,11–27</x:v>
      </x:c>
      <x:c r="Y313" s="36" t="str">
        <x:v>Lukas nennt ausdrücklich die Erwartung eines unmittelbar sichtbaren Reiches als Anlass für das Gleichnis.</x:v>
      </x:c>
      <x:c r="Z313" s="36" t="str">
        <x:v>JA</x:v>
      </x:c>
      <x:c r="AA313" s="36" t="str">
        <x:v>JA</x:v>
      </x:c>
      <x:c r="AB313" s="36" t="str">
        <x:v>JA</x:v>
      </x:c>
      <x:c r="AC313" s="36" t="str">
        <x:v>JA</x:v>
      </x:c>
      <x:c r="AD313" s="36" t="str">
        <x:v>JA</x:v>
      </x:c>
      <x:c r="AE313" s="36" t="str">
        <x:v>JA</x:v>
      </x:c>
      <x:c r="AF313" s="36" t="str">
        <x:v>JA</x:v>
      </x:c>
      <x:c r="AG313" s="36" t="str">
        <x:v>FREIGEGEBEN</x:v>
      </x:c>
      <x:c r="AH313" s="36" t="str">
        <x:v>GPT-5.6 Sol · Buchprüfung Lukas · L1912/OTB</x:v>
      </x:c>
      <x:c r="AI313" s="36" t="str">
        <x:v>FREIGEGEBEN</x:v>
      </x:c>
      <x:c r="AJ313" s="36" t="str">
        <x:v>Lukas 19: repetitive Wiedererkennungsfrage durch ZUSAMMENHANG-Frage ersetzt.</x:v>
      </x:c>
      <x:c r="AK313" s="36" t="str">
        <x:v>FaithPath repo develop/v4 · data/bibles/l1912/LUK.json · data/bibles/otb/LUK.json</x:v>
      </x:c>
      <x:c r="AL313" t="str">
        <x:v>JA</x:v>
      </x:c>
    </x:row>
    <x:row r="314">
      <x:c r="A314" t="str">
        <x:v>FP-0573</x:v>
      </x:c>
      <x:c r="B314" t="str">
        <x:v>LUK</x:v>
      </x:c>
      <x:c r="C314" t="str">
        <x:v>Lukas</x:v>
      </x:c>
      <x:c r="D314" t="n">
        <x:v>19</x:v>
      </x:c>
      <x:c r="E314" t="n">
        <x:v>3</x:v>
      </x:c>
      <x:c r="F314" t="str">
        <x:v>LUK-019</x:v>
      </x:c>
      <x:c r="G314" t="n">
        <x:v>63</x:v>
      </x:c>
      <x:c r="H314" t="str">
        <x:v>CQ-A04</x:v>
      </x:c>
      <x:c r="I314" s="36" t="str">
        <x:v>Welche dieser Aussagen stammt aus Lukas 19?</x:v>
      </x:c>
      <x:c r="J314" s="36" t="str"/>
      <x:c r="K314" s="36" t="str"/>
      <x:c r="L314" s="36" t="str">
        <x:v>REPO_VERIFIZIERT_FRAGEFORM</x:v>
      </x:c>
      <x:c r="M314" s="36" t="str">
        <x:v>ERSETZEN</x:v>
      </x:c>
      <x:c r="N314" s="36" t="str">
        <x:v>REPETITIVE_FRAGEFORM</x:v>
      </x:c>
      <x:c r="O314" s="36" t="str">
        <x:v>REINE_WIEDERERKENNUNG</x:v>
      </x:c>
      <x:c r="P314" s="36" t="str">
        <x:v>GESCHEHEN</x:v>
      </x:c>
      <x:c r="Q314" s="36" t="str">
        <x:v>Wie reagieren die Jünger beim Einzug Jesu in Jerusalem?</x:v>
      </x:c>
      <x:c r="R314" s="36" t="str">
        <x:v>Sie schweigen aus Angst.</x:v>
      </x:c>
      <x:c r="S314" s="36" t="str">
        <x:v>Sie loben Gott laut und rufen den kommenden König im Namen des Herrn willkommen.</x:v>
      </x:c>
      <x:c r="T314" s="36" t="str">
        <x:v>Sie verlassen Jesus.</x:v>
      </x:c>
      <x:c r="U314" s="36" t="str">
        <x:v>Sie gehen in den Tempel und schließen die Türen.</x:v>
      </x:c>
      <x:c r="V314" s="36" t="n">
        <x:v>1</x:v>
      </x:c>
      <x:c r="W314" s="36" t="str">
        <x:v>Sie loben Gott laut und rufen den kommenden König im Namen des Herrn willkommen.</x:v>
      </x:c>
      <x:c r="X314" s="36" t="str">
        <x:v>Lukas 19,28–40</x:v>
      </x:c>
      <x:c r="Y314" s="36" t="str">
        <x:v>Die Jüngerschar lobt Gott für die gesehenen Machttaten und begrüßt Jesus als kommenden König.</x:v>
      </x:c>
      <x:c r="Z314" s="36" t="str">
        <x:v>JA</x:v>
      </x:c>
      <x:c r="AA314" s="36" t="str">
        <x:v>JA</x:v>
      </x:c>
      <x:c r="AB314" s="36" t="str">
        <x:v>JA</x:v>
      </x:c>
      <x:c r="AC314" s="36" t="str">
        <x:v>JA</x:v>
      </x:c>
      <x:c r="AD314" s="36" t="str">
        <x:v>JA</x:v>
      </x:c>
      <x:c r="AE314" s="36" t="str">
        <x:v>JA</x:v>
      </x:c>
      <x:c r="AF314" s="36" t="str">
        <x:v>JA</x:v>
      </x:c>
      <x:c r="AG314" s="36" t="str">
        <x:v>FREIGEGEBEN</x:v>
      </x:c>
      <x:c r="AH314" s="36" t="str">
        <x:v>GPT-5.6 Sol · Buchprüfung Lukas · L1912/OTB</x:v>
      </x:c>
      <x:c r="AI314" s="36" t="str">
        <x:v>FREIGEGEBEN</x:v>
      </x:c>
      <x:c r="AJ314" s="36" t="str">
        <x:v>Lukas 19: repetitive Wiedererkennungsfrage durch GESCHEHEN-Frage ersetzt.</x:v>
      </x:c>
      <x:c r="AK314" s="36" t="str">
        <x:v>FaithPath repo develop/v4 · data/bibles/l1912/LUK.json · data/bibles/otb/LUK.json</x:v>
      </x:c>
      <x:c r="AL314" t="str">
        <x:v>JA</x:v>
      </x:c>
    </x:row>
    <x:row r="315">
      <x:c r="A315" t="str">
        <x:v>FP-0574</x:v>
      </x:c>
      <x:c r="B315" t="str">
        <x:v>LUK</x:v>
      </x:c>
      <x:c r="C315" t="str">
        <x:v>Lukas</x:v>
      </x:c>
      <x:c r="D315" t="n">
        <x:v>19</x:v>
      </x:c>
      <x:c r="E315" t="n">
        <x:v>4</x:v>
      </x:c>
      <x:c r="F315" t="str">
        <x:v>LUK-019</x:v>
      </x:c>
      <x:c r="G315" t="n">
        <x:v>63</x:v>
      </x:c>
      <x:c r="H315" t="str">
        <x:v>CQ-A04</x:v>
      </x:c>
      <x:c r="I315" s="36" t="str">
        <x:v>Welche dieser Aussagen stammt aus Lukas 19?</x:v>
      </x:c>
      <x:c r="J315" s="36" t="str"/>
      <x:c r="K315" s="36" t="str"/>
      <x:c r="L315" s="36" t="str">
        <x:v>REPO_VERIFIZIERT_FRAGEFORM</x:v>
      </x:c>
      <x:c r="M315" s="36" t="str">
        <x:v>ERSETZEN</x:v>
      </x:c>
      <x:c r="N315" s="36" t="str">
        <x:v>REPETITIVE_FRAGEFORM</x:v>
      </x:c>
      <x:c r="O315" s="36" t="str">
        <x:v>REINE_WIEDERERKENNUNG</x:v>
      </x:c>
      <x:c r="P315" s="36" t="str">
        <x:v>KERNAUSSAGE</x:v>
      </x:c>
      <x:c r="Q315" s="36" t="str">
        <x:v>Warum weint Jesus über Jerusalem?</x:v>
      </x:c>
      <x:c r="R315" s="36" t="str">
        <x:v>Weil kein Platz im Tempel ist.</x:v>
      </x:c>
      <x:c r="S315" s="36" t="str">
        <x:v>Weil die Jünger ihn verlassen haben.</x:v>
      </x:c>
      <x:c r="T315" s="36" t="str">
        <x:v>Weil die Stadt nicht erkannt hat, was ihrem Frieden dient und die Zeit ihrer Heimsuchung verkannt hat.</x:v>
      </x:c>
      <x:c r="U315" s="36" t="str">
        <x:v>Weil er nach Galiläa zurückkehren möchte.</x:v>
      </x:c>
      <x:c r="V315" s="36" t="n">
        <x:v>2</x:v>
      </x:c>
      <x:c r="W315" s="36" t="str">
        <x:v>Weil die Stadt nicht erkannt hat, was ihrem Frieden dient und die Zeit ihrer Heimsuchung verkannt hat.</x:v>
      </x:c>
      <x:c r="X315" s="36" t="str">
        <x:v>Lukas 19,41–44</x:v>
      </x:c>
      <x:c r="Y315" s="36" t="str">
        <x:v>Jesu Klage verbindet den verpassten Weg zum Frieden mit dem Nicht-Erkennen der göttlichen Heimsuchung.</x:v>
      </x:c>
      <x:c r="Z315" s="36" t="str">
        <x:v>JA</x:v>
      </x:c>
      <x:c r="AA315" s="36" t="str">
        <x:v>JA</x:v>
      </x:c>
      <x:c r="AB315" s="36" t="str">
        <x:v>JA</x:v>
      </x:c>
      <x:c r="AC315" s="36" t="str">
        <x:v>JA</x:v>
      </x:c>
      <x:c r="AD315" s="36" t="str">
        <x:v>JA</x:v>
      </x:c>
      <x:c r="AE315" s="36" t="str">
        <x:v>JA</x:v>
      </x:c>
      <x:c r="AF315" s="36" t="str">
        <x:v>JA</x:v>
      </x:c>
      <x:c r="AG315" s="36" t="str">
        <x:v>FREIGEGEBEN</x:v>
      </x:c>
      <x:c r="AH315" s="36" t="str">
        <x:v>GPT-5.6 Sol · Buchprüfung Lukas · L1912/OTB</x:v>
      </x:c>
      <x:c r="AI315" s="36" t="str">
        <x:v>FREIGEGEBEN</x:v>
      </x:c>
      <x:c r="AJ315" s="36" t="str">
        <x:v>Lukas 19: repetitive Wiedererkennungsfrage durch KERNAUSSAGE-Frage ersetzt.</x:v>
      </x:c>
      <x:c r="AK315" s="36" t="str">
        <x:v>FaithPath repo develop/v4 · data/bibles/l1912/LUK.json · data/bibles/otb/LUK.json</x:v>
      </x:c>
      <x:c r="AL315" t="str">
        <x:v>JA</x:v>
      </x:c>
    </x:row>
    <x:row r="316">
      <x:c r="A316" t="str">
        <x:v>FP-0575</x:v>
      </x:c>
      <x:c r="B316" t="str">
        <x:v>LUK</x:v>
      </x:c>
      <x:c r="C316" t="str">
        <x:v>Lukas</x:v>
      </x:c>
      <x:c r="D316" t="n">
        <x:v>19</x:v>
      </x:c>
      <x:c r="E316" t="n">
        <x:v>5</x:v>
      </x:c>
      <x:c r="F316" t="str">
        <x:v>LUK-019</x:v>
      </x:c>
      <x:c r="G316" t="n">
        <x:v>63</x:v>
      </x:c>
      <x:c r="H316" t="str">
        <x:v>CQ-A04</x:v>
      </x:c>
      <x:c r="I316" s="36" t="str">
        <x:v>Welche dieser Aussagen stammt aus Lukas 19?</x:v>
      </x:c>
      <x:c r="J316" s="36" t="str"/>
      <x:c r="K316" s="36" t="str"/>
      <x:c r="L316" s="36" t="str">
        <x:v>REPO_VERIFIZIERT_FRAGEFORM</x:v>
      </x:c>
      <x:c r="M316" s="36" t="str">
        <x:v>ERSETZEN</x:v>
      </x:c>
      <x:c r="N316" s="36" t="str">
        <x:v>REPETITIVE_FRAGEFORM</x:v>
      </x:c>
      <x:c r="O316" s="36" t="str">
        <x:v>REINE_WIEDERERKENNUNG</x:v>
      </x:c>
      <x:c r="P316" s="36" t="str">
        <x:v>KERNAUSSAGE</x:v>
      </x:c>
      <x:c r="Q316" s="36" t="str">
        <x:v>Wie begründet Jesus sein Handeln im Tempel?</x:v>
      </x:c>
      <x:c r="R316" s="36" t="str">
        <x:v>Der Tempel soll geschlossen werden.</x:v>
      </x:c>
      <x:c r="S316" s="36" t="str">
        <x:v>Nur die Jünger dürfen dort handeln.</x:v>
      </x:c>
      <x:c r="T316" s="36" t="str">
        <x:v>Opfer seien grundsätzlich verboten.</x:v>
      </x:c>
      <x:c r="U316" s="36" t="str">
        <x:v>Gottes Haus soll ein Haus des Gebets sein, nicht eine Räuberhöhle.</x:v>
      </x:c>
      <x:c r="V316" s="36" t="n">
        <x:v>3</x:v>
      </x:c>
      <x:c r="W316" s="36" t="str">
        <x:v>Gottes Haus soll ein Haus des Gebets sein, nicht eine Räuberhöhle.</x:v>
      </x:c>
      <x:c r="X316" s="36" t="str">
        <x:v>Lukas 19,45–48</x:v>
      </x:c>
      <x:c r="Y316" s="36" t="str">
        <x:v>Jesus beruft sich auf die Bestimmung des Tempels als Haus des Gebets und kritisiert dessen Missbrauch.</x:v>
      </x:c>
      <x:c r="Z316" s="36" t="str">
        <x:v>JA</x:v>
      </x:c>
      <x:c r="AA316" s="36" t="str">
        <x:v>JA</x:v>
      </x:c>
      <x:c r="AB316" s="36" t="str">
        <x:v>JA</x:v>
      </x:c>
      <x:c r="AC316" s="36" t="str">
        <x:v>JA</x:v>
      </x:c>
      <x:c r="AD316" s="36" t="str">
        <x:v>JA</x:v>
      </x:c>
      <x:c r="AE316" s="36" t="str">
        <x:v>JA</x:v>
      </x:c>
      <x:c r="AF316" s="36" t="str">
        <x:v>JA</x:v>
      </x:c>
      <x:c r="AG316" s="36" t="str">
        <x:v>FREIGEGEBEN</x:v>
      </x:c>
      <x:c r="AH316" s="36" t="str">
        <x:v>GPT-5.6 Sol · Buchprüfung Lukas · L1912/OTB</x:v>
      </x:c>
      <x:c r="AI316" s="36" t="str">
        <x:v>FREIGEGEBEN</x:v>
      </x:c>
      <x:c r="AJ316" s="36" t="str">
        <x:v>Lukas 19: repetitive Wiedererkennungsfrage durch KERNAUSSAGE-Frage ersetzt.</x:v>
      </x:c>
      <x:c r="AK316" s="36" t="str">
        <x:v>FaithPath repo develop/v4 · data/bibles/l1912/LUK.json · data/bibles/otb/LUK.json</x:v>
      </x:c>
      <x:c r="AL316" t="str">
        <x:v>JA</x:v>
      </x:c>
    </x:row>
    <x:row r="317">
      <x:c r="A317" t="str">
        <x:v>FP-0576</x:v>
      </x:c>
      <x:c r="B317" t="str">
        <x:v>LUK</x:v>
      </x:c>
      <x:c r="C317" t="str">
        <x:v>Lukas</x:v>
      </x:c>
      <x:c r="D317" t="n">
        <x:v>20</x:v>
      </x:c>
      <x:c r="E317" t="n">
        <x:v>1</x:v>
      </x:c>
      <x:c r="F317" t="str">
        <x:v>LUK-020</x:v>
      </x:c>
      <x:c r="G317" t="n">
        <x:v>64</x:v>
      </x:c>
      <x:c r="H317" t="str">
        <x:v>CQ-A04</x:v>
      </x:c>
      <x:c r="I317" s="36" t="str">
        <x:v>Welche dieser Aussagen stammt aus Lukas 20?</x:v>
      </x:c>
      <x:c r="J317" s="36" t="str"/>
      <x:c r="K317" s="36" t="str"/>
      <x:c r="L317" s="36" t="str">
        <x:v>REPO_VERIFIZIERT_FRAGEFORM</x:v>
      </x:c>
      <x:c r="M317" s="36" t="str">
        <x:v>ERSETZEN</x:v>
      </x:c>
      <x:c r="N317" s="36" t="str">
        <x:v>REPETITIVE_FRAGEFORM</x:v>
      </x:c>
      <x:c r="O317" s="36" t="str">
        <x:v>REINE_WIEDERERKENNUNG</x:v>
      </x:c>
      <x:c r="P317" s="36" t="str">
        <x:v>ZUSAMMENHANG</x:v>
      </x:c>
      <x:c r="Q317" s="36" t="str">
        <x:v>Wie reagiert Jesus auf die Frage nach seiner Vollmacht?</x:v>
      </x:c>
      <x:c r="R317" s="36" t="str">
        <x:v>Er fragt nach der Herkunft der Taufe des Johannes; weil seine Gegner nicht antworten, beantwortet auch er ihre Frage nicht.</x:v>
      </x:c>
      <x:c r="S317" s="36" t="str">
        <x:v>Er nennt sofort einen römischen Titel.</x:v>
      </x:c>
      <x:c r="T317" s="36" t="str">
        <x:v>Er verlässt den Tempel.</x:v>
      </x:c>
      <x:c r="U317" s="36" t="str">
        <x:v>Er bittet das Volk abzustimmen.</x:v>
      </x:c>
      <x:c r="V317" s="36" t="n">
        <x:v>0</x:v>
      </x:c>
      <x:c r="W317" s="36" t="str">
        <x:v>Er fragt nach der Herkunft der Taufe des Johannes; weil seine Gegner nicht antworten, beantwortet auch er ihre Frage nicht.</x:v>
      </x:c>
      <x:c r="X317" s="36" t="str">
        <x:v>Lukas 20,1–8</x:v>
      </x:c>
      <x:c r="Y317" s="36" t="str">
        <x:v>Jesu Gegenfrage legt die Unehrlichkeit seiner Gegner offen; ihre Nicht-Antwort führt dazu, dass er seine Vollmacht nicht erklärt.</x:v>
      </x:c>
      <x:c r="Z317" s="36" t="str">
        <x:v>JA</x:v>
      </x:c>
      <x:c r="AA317" s="36" t="str">
        <x:v>JA</x:v>
      </x:c>
      <x:c r="AB317" s="36" t="str">
        <x:v>JA</x:v>
      </x:c>
      <x:c r="AC317" s="36" t="str">
        <x:v>JA</x:v>
      </x:c>
      <x:c r="AD317" s="36" t="str">
        <x:v>JA</x:v>
      </x:c>
      <x:c r="AE317" s="36" t="str">
        <x:v>JA</x:v>
      </x:c>
      <x:c r="AF317" s="36" t="str">
        <x:v>JA</x:v>
      </x:c>
      <x:c r="AG317" s="36" t="str">
        <x:v>FREIGEGEBEN</x:v>
      </x:c>
      <x:c r="AH317" s="36" t="str">
        <x:v>GPT-5.6 Sol · Buchprüfung Lukas · L1912/OTB</x:v>
      </x:c>
      <x:c r="AI317" s="36" t="str">
        <x:v>FREIGEGEBEN</x:v>
      </x:c>
      <x:c r="AJ317" s="36" t="str">
        <x:v>Lukas 20: repetitive Wiedererkennungsfrage durch ZUSAMMENHANG-Frage ersetzt.</x:v>
      </x:c>
      <x:c r="AK317" s="36" t="str">
        <x:v>FaithPath repo develop/v4 · data/bibles/l1912/LUK.json · data/bibles/otb/LUK.json</x:v>
      </x:c>
      <x:c r="AL317" t="str">
        <x:v>JA</x:v>
      </x:c>
    </x:row>
    <x:row r="318">
      <x:c r="A318" t="str">
        <x:v>FP-0577</x:v>
      </x:c>
      <x:c r="B318" t="str">
        <x:v>LUK</x:v>
      </x:c>
      <x:c r="C318" t="str">
        <x:v>Lukas</x:v>
      </x:c>
      <x:c r="D318" t="n">
        <x:v>20</x:v>
      </x:c>
      <x:c r="E318" t="n">
        <x:v>2</x:v>
      </x:c>
      <x:c r="F318" t="str">
        <x:v>LUK-020</x:v>
      </x:c>
      <x:c r="G318" t="n">
        <x:v>64</x:v>
      </x:c>
      <x:c r="H318" t="str">
        <x:v>CQ-A04</x:v>
      </x:c>
      <x:c r="I318" s="36" t="str">
        <x:v>Welche dieser Aussagen stammt aus Lukas 20?</x:v>
      </x:c>
      <x:c r="J318" s="36" t="str"/>
      <x:c r="K318" s="36" t="str"/>
      <x:c r="L318" s="36" t="str">
        <x:v>REPO_VERIFIZIERT_FRAGEFORM</x:v>
      </x:c>
      <x:c r="M318" s="36" t="str">
        <x:v>ERSETZEN</x:v>
      </x:c>
      <x:c r="N318" s="36" t="str">
        <x:v>REPETITIVE_FRAGEFORM</x:v>
      </x:c>
      <x:c r="O318" s="36" t="str">
        <x:v>REINE_WIEDERERKENNUNG</x:v>
      </x:c>
      <x:c r="P318" s="36" t="str">
        <x:v>KERNAUSSAGE</x:v>
      </x:c>
      <x:c r="Q318" s="36" t="str">
        <x:v>Was geschieht im Gleichnis von den Weingärtnern mit dem geliebten Sohn des Besitzers?</x:v>
      </x:c>
      <x:c r="R318" s="36" t="str">
        <x:v>Die Pächter machen ihn zum Verwalter.</x:v>
      </x:c>
      <x:c r="S318" s="36" t="str">
        <x:v>Die Pächter töten ihn, und Jesus verbindet das Gleichnis mit dem verworfenen Stein, der zum Eckstein wird.</x:v>
      </x:c>
      <x:c r="T318" s="36" t="str">
        <x:v>Er verkauft den Weinberg.</x:v>
      </x:c>
      <x:c r="U318" s="36" t="str">
        <x:v>Er schließt Frieden mit den Pächtern.</x:v>
      </x:c>
      <x:c r="V318" s="36" t="n">
        <x:v>1</x:v>
      </x:c>
      <x:c r="W318" s="36" t="str">
        <x:v>Die Pächter töten ihn, und Jesus verbindet das Gleichnis mit dem verworfenen Stein, der zum Eckstein wird.</x:v>
      </x:c>
      <x:c r="X318" s="36" t="str">
        <x:v>Lukas 20,9–19</x:v>
      </x:c>
      <x:c r="Y318" s="36" t="str">
        <x:v>Die Tötung des Sohnes bildet den Höhepunkt des Gleichnisses; Jesus deutet die Verwerfung mit dem Bild vom Eckstein.</x:v>
      </x:c>
      <x:c r="Z318" s="36" t="str">
        <x:v>JA</x:v>
      </x:c>
      <x:c r="AA318" s="36" t="str">
        <x:v>JA</x:v>
      </x:c>
      <x:c r="AB318" s="36" t="str">
        <x:v>JA</x:v>
      </x:c>
      <x:c r="AC318" s="36" t="str">
        <x:v>JA</x:v>
      </x:c>
      <x:c r="AD318" s="36" t="str">
        <x:v>JA</x:v>
      </x:c>
      <x:c r="AE318" s="36" t="str">
        <x:v>JA</x:v>
      </x:c>
      <x:c r="AF318" s="36" t="str">
        <x:v>JA</x:v>
      </x:c>
      <x:c r="AG318" s="36" t="str">
        <x:v>FREIGEGEBEN</x:v>
      </x:c>
      <x:c r="AH318" s="36" t="str">
        <x:v>GPT-5.6 Sol · Buchprüfung Lukas · L1912/OTB</x:v>
      </x:c>
      <x:c r="AI318" s="36" t="str">
        <x:v>FREIGEGEBEN</x:v>
      </x:c>
      <x:c r="AJ318" s="36" t="str">
        <x:v>Lukas 20: repetitive Wiedererkennungsfrage durch KERNAUSSAGE-Frage ersetzt.</x:v>
      </x:c>
      <x:c r="AK318" s="36" t="str">
        <x:v>FaithPath repo develop/v4 · data/bibles/l1912/LUK.json · data/bibles/otb/LUK.json</x:v>
      </x:c>
      <x:c r="AL318" t="str">
        <x:v>JA</x:v>
      </x:c>
    </x:row>
    <x:row r="319">
      <x:c r="A319" t="str">
        <x:v>FP-0578</x:v>
      </x:c>
      <x:c r="B319" t="str">
        <x:v>LUK</x:v>
      </x:c>
      <x:c r="C319" t="str">
        <x:v>Lukas</x:v>
      </x:c>
      <x:c r="D319" t="n">
        <x:v>20</x:v>
      </x:c>
      <x:c r="E319" t="n">
        <x:v>3</x:v>
      </x:c>
      <x:c r="F319" t="str">
        <x:v>LUK-020</x:v>
      </x:c>
      <x:c r="G319" t="n">
        <x:v>64</x:v>
      </x:c>
      <x:c r="H319" t="str">
        <x:v>CQ-A04</x:v>
      </x:c>
      <x:c r="I319" s="36" t="str">
        <x:v>Welche dieser Aussagen stammt aus Lukas 20?</x:v>
      </x:c>
      <x:c r="J319" s="36" t="str"/>
      <x:c r="K319" s="36" t="str"/>
      <x:c r="L319" s="36" t="str">
        <x:v>REPO_VERIFIZIERT_FRAGEFORM</x:v>
      </x:c>
      <x:c r="M319" s="36" t="str">
        <x:v>ERSETZEN</x:v>
      </x:c>
      <x:c r="N319" s="36" t="str">
        <x:v>REPETITIVE_FRAGEFORM</x:v>
      </x:c>
      <x:c r="O319" s="36" t="str">
        <x:v>REINE_WIEDERERKENNUNG</x:v>
      </x:c>
      <x:c r="P319" s="36" t="str">
        <x:v>KERNAUSSAGE</x:v>
      </x:c>
      <x:c r="Q319" s="36" t="str">
        <x:v>Wie beantwortet Jesus die Frage nach der Steuer für den Kaiser?</x:v>
      </x:c>
      <x:c r="R319" s="36" t="str">
        <x:v>Zahlt überhaupt keine Steuern.</x:v>
      </x:c>
      <x:c r="S319" s="36" t="str">
        <x:v>Gebt alles dem Kaiser.</x:v>
      </x:c>
      <x:c r="T319" s="36" t="str">
        <x:v>Gebt dem Kaiser, was des Kaisers ist, und Gott, was Gottes ist.</x:v>
      </x:c>
      <x:c r="U319" s="36" t="str">
        <x:v>Nur Priester müssen Steuern zahlen.</x:v>
      </x:c>
      <x:c r="V319" s="36" t="n">
        <x:v>2</x:v>
      </x:c>
      <x:c r="W319" s="36" t="str">
        <x:v>Gebt dem Kaiser, was des Kaisers ist, und Gott, was Gottes ist.</x:v>
      </x:c>
      <x:c r="X319" s="36" t="str">
        <x:v>Lukas 20,20–26</x:v>
      </x:c>
      <x:c r="Y319" s="36" t="str">
        <x:v>Jesus unterscheidet die Ansprüche des Kaisers von dem, was Gott zukommt.</x:v>
      </x:c>
      <x:c r="Z319" s="36" t="str">
        <x:v>JA</x:v>
      </x:c>
      <x:c r="AA319" s="36" t="str">
        <x:v>JA</x:v>
      </x:c>
      <x:c r="AB319" s="36" t="str">
        <x:v>JA</x:v>
      </x:c>
      <x:c r="AC319" s="36" t="str">
        <x:v>JA</x:v>
      </x:c>
      <x:c r="AD319" s="36" t="str">
        <x:v>JA</x:v>
      </x:c>
      <x:c r="AE319" s="36" t="str">
        <x:v>JA</x:v>
      </x:c>
      <x:c r="AF319" s="36" t="str">
        <x:v>JA</x:v>
      </x:c>
      <x:c r="AG319" s="36" t="str">
        <x:v>FREIGEGEBEN</x:v>
      </x:c>
      <x:c r="AH319" s="36" t="str">
        <x:v>GPT-5.6 Sol · Buchprüfung Lukas · L1912/OTB</x:v>
      </x:c>
      <x:c r="AI319" s="36" t="str">
        <x:v>FREIGEGEBEN</x:v>
      </x:c>
      <x:c r="AJ319" s="36" t="str">
        <x:v>Lukas 20: repetitive Wiedererkennungsfrage durch KERNAUSSAGE-Frage ersetzt.</x:v>
      </x:c>
      <x:c r="AK319" s="36" t="str">
        <x:v>FaithPath repo develop/v4 · data/bibles/l1912/LUK.json · data/bibles/otb/LUK.json</x:v>
      </x:c>
      <x:c r="AL319" t="str">
        <x:v>JA</x:v>
      </x:c>
    </x:row>
    <x:row r="320">
      <x:c r="A320" t="str">
        <x:v>FP-0579</x:v>
      </x:c>
      <x:c r="B320" t="str">
        <x:v>LUK</x:v>
      </x:c>
      <x:c r="C320" t="str">
        <x:v>Lukas</x:v>
      </x:c>
      <x:c r="D320" t="n">
        <x:v>20</x:v>
      </x:c>
      <x:c r="E320" t="n">
        <x:v>4</x:v>
      </x:c>
      <x:c r="F320" t="str">
        <x:v>LUK-020</x:v>
      </x:c>
      <x:c r="G320" t="n">
        <x:v>64</x:v>
      </x:c>
      <x:c r="H320" t="str">
        <x:v>CQ-A04</x:v>
      </x:c>
      <x:c r="I320" s="36" t="str">
        <x:v>Welche dieser Aussagen stammt aus Lukas 20?</x:v>
      </x:c>
      <x:c r="J320" s="36" t="str"/>
      <x:c r="K320" s="36" t="str"/>
      <x:c r="L320" s="36" t="str">
        <x:v>REPO_VERIFIZIERT_FRAGEFORM</x:v>
      </x:c>
      <x:c r="M320" s="36" t="str">
        <x:v>ERSETZEN</x:v>
      </x:c>
      <x:c r="N320" s="36" t="str">
        <x:v>REPETITIVE_FRAGEFORM</x:v>
      </x:c>
      <x:c r="O320" s="36" t="str">
        <x:v>REINE_WIEDERERKENNUNG</x:v>
      </x:c>
      <x:c r="P320" s="36" t="str">
        <x:v>KERNAUSSAGE</x:v>
      </x:c>
      <x:c r="Q320" s="36" t="str">
        <x:v>Wie begründet Jesus gegenüber den Sadduzäern die Auferstehung?</x:v>
      </x:c>
      <x:c r="R320" s="36" t="str">
        <x:v>Die Auferstehung sei nur ein Gleichnis.</x:v>
      </x:c>
      <x:c r="S320" s="36" t="str">
        <x:v>Nur Engel würden auferstehen.</x:v>
      </x:c>
      <x:c r="T320" s="36" t="str">
        <x:v>Mose habe nie über Gott gesprochen.</x:v>
      </x:c>
      <x:c r="U320" s="36" t="str">
        <x:v>Gott ist nicht Gott der Toten, sondern der Lebenden; Mose nennt ihn den Gott Abrahams, Isaaks und Jakobs.</x:v>
      </x:c>
      <x:c r="V320" s="36" t="n">
        <x:v>3</x:v>
      </x:c>
      <x:c r="W320" s="36" t="str">
        <x:v>Gott ist nicht Gott der Toten, sondern der Lebenden; Mose nennt ihn den Gott Abrahams, Isaaks und Jakobs.</x:v>
      </x:c>
      <x:c r="X320" s="36" t="str">
        <x:v>Lukas 20,27–40</x:v>
      </x:c>
      <x:c r="Y320" s="36" t="str">
        <x:v>Jesus verweist auf Mose und darauf, dass Gott der Gott der Lebenden ist.</x:v>
      </x:c>
      <x:c r="Z320" s="36" t="str">
        <x:v>JA</x:v>
      </x:c>
      <x:c r="AA320" s="36" t="str">
        <x:v>JA</x:v>
      </x:c>
      <x:c r="AB320" s="36" t="str">
        <x:v>JA</x:v>
      </x:c>
      <x:c r="AC320" s="36" t="str">
        <x:v>JA</x:v>
      </x:c>
      <x:c r="AD320" s="36" t="str">
        <x:v>JA</x:v>
      </x:c>
      <x:c r="AE320" s="36" t="str">
        <x:v>JA</x:v>
      </x:c>
      <x:c r="AF320" s="36" t="str">
        <x:v>JA</x:v>
      </x:c>
      <x:c r="AG320" s="36" t="str">
        <x:v>FREIGEGEBEN</x:v>
      </x:c>
      <x:c r="AH320" s="36" t="str">
        <x:v>GPT-5.6 Sol · Buchprüfung Lukas · L1912/OTB</x:v>
      </x:c>
      <x:c r="AI320" s="36" t="str">
        <x:v>FREIGEGEBEN</x:v>
      </x:c>
      <x:c r="AJ320" s="36" t="str">
        <x:v>Lukas 20: repetitive Wiedererkennungsfrage durch KERNAUSSAGE-Frage ersetzt.</x:v>
      </x:c>
      <x:c r="AK320" s="36" t="str">
        <x:v>FaithPath repo develop/v4 · data/bibles/l1912/LUK.json · data/bibles/otb/LUK.json</x:v>
      </x:c>
      <x:c r="AL320" t="str">
        <x:v>JA</x:v>
      </x:c>
    </x:row>
    <x:row r="321">
      <x:c r="A321" t="str">
        <x:v>FP-0580</x:v>
      </x:c>
      <x:c r="B321" t="str">
        <x:v>LUK</x:v>
      </x:c>
      <x:c r="C321" t="str">
        <x:v>Lukas</x:v>
      </x:c>
      <x:c r="D321" t="n">
        <x:v>20</x:v>
      </x:c>
      <x:c r="E321" t="n">
        <x:v>5</x:v>
      </x:c>
      <x:c r="F321" t="str">
        <x:v>LUK-020</x:v>
      </x:c>
      <x:c r="G321" t="n">
        <x:v>64</x:v>
      </x:c>
      <x:c r="H321" t="str">
        <x:v>CQ-A04</x:v>
      </x:c>
      <x:c r="I321" s="36" t="str">
        <x:v>Welche dieser Aussagen stammt aus Lukas 20?</x:v>
      </x:c>
      <x:c r="J321" s="36" t="str"/>
      <x:c r="K321" s="36" t="str"/>
      <x:c r="L321" s="36" t="str">
        <x:v>REPO_VERIFIZIERT_FRAGEFORM</x:v>
      </x:c>
      <x:c r="M321" s="36" t="str">
        <x:v>ERSETZEN</x:v>
      </x:c>
      <x:c r="N321" s="36" t="str">
        <x:v>REPETITIVE_FRAGEFORM</x:v>
      </x:c>
      <x:c r="O321" s="36" t="str">
        <x:v>REINE_WIEDERERKENNUNG</x:v>
      </x:c>
      <x:c r="P321" s="36" t="str">
        <x:v>KERNAUSSAGE</x:v>
      </x:c>
      <x:c r="Q321" s="36" t="str">
        <x:v>Wovor warnt Jesus am Ende von Lukas 20 bei den Schriftgelehrten?</x:v>
      </x:c>
      <x:c r="R321" s="36" t="str">
        <x:v>Vor ihrem Streben nach Ansehen und davor, dass sie die Häuser der Witwen verschlingen.</x:v>
      </x:c>
      <x:c r="S321" s="36" t="str">
        <x:v>Vor zu wenig Bildung.</x:v>
      </x:c>
      <x:c r="T321" s="36" t="str">
        <x:v>Vor Reisen nach Jerusalem.</x:v>
      </x:c>
      <x:c r="U321" s="36" t="str">
        <x:v>Vor ihrer Weigerung, Steuern zu zahlen.</x:v>
      </x:c>
      <x:c r="V321" s="36" t="n">
        <x:v>0</x:v>
      </x:c>
      <x:c r="W321" s="36" t="str">
        <x:v>Vor ihrem Streben nach Ansehen und davor, dass sie die Häuser der Witwen verschlingen.</x:v>
      </x:c>
      <x:c r="X321" s="36" t="str">
        <x:v>Lukas 20,41–47</x:v>
      </x:c>
      <x:c r="Y321" s="36" t="str">
        <x:v>Jesus kritisiert ihre Liebe zu öffentlichem Ansehen und ihre Ausbeutung Schutzbedürftiger.</x:v>
      </x:c>
      <x:c r="Z321" s="36" t="str">
        <x:v>JA</x:v>
      </x:c>
      <x:c r="AA321" s="36" t="str">
        <x:v>JA</x:v>
      </x:c>
      <x:c r="AB321" s="36" t="str">
        <x:v>JA</x:v>
      </x:c>
      <x:c r="AC321" s="36" t="str">
        <x:v>JA</x:v>
      </x:c>
      <x:c r="AD321" s="36" t="str">
        <x:v>JA</x:v>
      </x:c>
      <x:c r="AE321" s="36" t="str">
        <x:v>JA</x:v>
      </x:c>
      <x:c r="AF321" s="36" t="str">
        <x:v>JA</x:v>
      </x:c>
      <x:c r="AG321" s="36" t="str">
        <x:v>FREIGEGEBEN</x:v>
      </x:c>
      <x:c r="AH321" s="36" t="str">
        <x:v>GPT-5.6 Sol · Buchprüfung Lukas · L1912/OTB</x:v>
      </x:c>
      <x:c r="AI321" s="36" t="str">
        <x:v>FREIGEGEBEN</x:v>
      </x:c>
      <x:c r="AJ321" s="36" t="str">
        <x:v>Lukas 20: repetitive Wiedererkennungsfrage durch KERNAUSSAGE-Frage ersetzt.</x:v>
      </x:c>
      <x:c r="AK321" s="36" t="str">
        <x:v>FaithPath repo develop/v4 · data/bibles/l1912/LUK.json · data/bibles/otb/LUK.json</x:v>
      </x:c>
      <x:c r="AL321" t="str">
        <x:v>JA</x:v>
      </x:c>
    </x:row>
    <x:row r="322">
      <x:c r="A322" t="str">
        <x:v>FP-0581</x:v>
      </x:c>
      <x:c r="B322" t="str">
        <x:v>LUK</x:v>
      </x:c>
      <x:c r="C322" t="str">
        <x:v>Lukas</x:v>
      </x:c>
      <x:c r="D322" t="n">
        <x:v>21</x:v>
      </x:c>
      <x:c r="E322" t="n">
        <x:v>1</x:v>
      </x:c>
      <x:c r="F322" t="str">
        <x:v>LUK-021</x:v>
      </x:c>
      <x:c r="G322" t="n">
        <x:v>65</x:v>
      </x:c>
      <x:c r="H322" t="str">
        <x:v>CQ-A04</x:v>
      </x:c>
      <x:c r="I322" s="36" t="str">
        <x:v>Welche dieser Aussagen stammt aus Lukas 21?</x:v>
      </x:c>
      <x:c r="J322" s="36" t="str"/>
      <x:c r="K322" s="36" t="str"/>
      <x:c r="L322" s="36" t="str">
        <x:v>REPO_VERIFIZIERT_FRAGEFORM</x:v>
      </x:c>
      <x:c r="M322" s="36" t="str">
        <x:v>ERSETZEN</x:v>
      </x:c>
      <x:c r="N322" s="36" t="str">
        <x:v>REPETITIVE_FRAGEFORM</x:v>
      </x:c>
      <x:c r="O322" s="36" t="str">
        <x:v>REINE_WIEDERERKENNUNG</x:v>
      </x:c>
      <x:c r="P322" s="36" t="str">
        <x:v>ZUSAMMENHANG</x:v>
      </x:c>
      <x:c r="Q322" s="36" t="str">
        <x:v>Warum sagt Jesus, die arme Witwe habe mehr eingelegt als alle anderen?</x:v>
      </x:c>
      <x:c r="R322" s="36" t="str">
        <x:v>Ihre Münzen waren aus Gold.</x:v>
      </x:c>
      <x:c r="S322" s="36" t="str">
        <x:v>Sie gab aus ihrer Armut ihren ganzen Lebensunterhalt.</x:v>
      </x:c>
      <x:c r="T322" s="36" t="str">
        <x:v>Sie war die erste Spenderin.</x:v>
      </x:c>
      <x:c r="U322" s="36" t="str">
        <x:v>Die Reichen gaben gar nichts.</x:v>
      </x:c>
      <x:c r="V322" s="36" t="n">
        <x:v>1</x:v>
      </x:c>
      <x:c r="W322" s="36" t="str">
        <x:v>Sie gab aus ihrer Armut ihren ganzen Lebensunterhalt.</x:v>
      </x:c>
      <x:c r="X322" s="36" t="str">
        <x:v>Lukas 21,1–4</x:v>
      </x:c>
      <x:c r="Y322" s="36" t="str">
        <x:v>Jesus bewertet die Gabe im Verhältnis zu den Möglichkeiten: Die Witwe gibt aus ihrer Armut alles, was sie hat.</x:v>
      </x:c>
      <x:c r="Z322" s="36" t="str">
        <x:v>JA</x:v>
      </x:c>
      <x:c r="AA322" s="36" t="str">
        <x:v>JA</x:v>
      </x:c>
      <x:c r="AB322" s="36" t="str">
        <x:v>JA</x:v>
      </x:c>
      <x:c r="AC322" s="36" t="str">
        <x:v>JA</x:v>
      </x:c>
      <x:c r="AD322" s="36" t="str">
        <x:v>JA</x:v>
      </x:c>
      <x:c r="AE322" s="36" t="str">
        <x:v>JA</x:v>
      </x:c>
      <x:c r="AF322" s="36" t="str">
        <x:v>JA</x:v>
      </x:c>
      <x:c r="AG322" s="36" t="str">
        <x:v>FREIGEGEBEN</x:v>
      </x:c>
      <x:c r="AH322" s="36" t="str">
        <x:v>GPT-5.6 Sol · Buchprüfung Lukas · L1912/OTB</x:v>
      </x:c>
      <x:c r="AI322" s="36" t="str">
        <x:v>FREIGEGEBEN</x:v>
      </x:c>
      <x:c r="AJ322" s="36" t="str">
        <x:v>Lukas 21: repetitive Wiedererkennungsfrage durch ZUSAMMENHANG-Frage ersetzt.</x:v>
      </x:c>
      <x:c r="AK322" s="36" t="str">
        <x:v>FaithPath repo develop/v4 · data/bibles/l1912/LUK.json · data/bibles/otb/LUK.json</x:v>
      </x:c>
      <x:c r="AL322" t="str">
        <x:v>JA</x:v>
      </x:c>
    </x:row>
    <x:row r="323">
      <x:c r="A323" t="str">
        <x:v>FP-0582</x:v>
      </x:c>
      <x:c r="B323" t="str">
        <x:v>LUK</x:v>
      </x:c>
      <x:c r="C323" t="str">
        <x:v>Lukas</x:v>
      </x:c>
      <x:c r="D323" t="n">
        <x:v>21</x:v>
      </x:c>
      <x:c r="E323" t="n">
        <x:v>2</x:v>
      </x:c>
      <x:c r="F323" t="str">
        <x:v>LUK-021</x:v>
      </x:c>
      <x:c r="G323" t="n">
        <x:v>65</x:v>
      </x:c>
      <x:c r="H323" t="str">
        <x:v>CQ-A04</x:v>
      </x:c>
      <x:c r="I323" s="36" t="str">
        <x:v>Welche dieser Aussagen stammt aus Lukas 21?</x:v>
      </x:c>
      <x:c r="J323" s="36" t="str"/>
      <x:c r="K323" s="36" t="str"/>
      <x:c r="L323" s="36" t="str">
        <x:v>REPO_VERIFIZIERT_FRAGEFORM</x:v>
      </x:c>
      <x:c r="M323" s="36" t="str">
        <x:v>ERSETZEN</x:v>
      </x:c>
      <x:c r="N323" s="36" t="str">
        <x:v>REPETITIVE_FRAGEFORM</x:v>
      </x:c>
      <x:c r="O323" s="36" t="str">
        <x:v>REINE_WIEDERERKENNUNG</x:v>
      </x:c>
      <x:c r="P323" s="36" t="str">
        <x:v>GESCHEHEN</x:v>
      </x:c>
      <x:c r="Q323" s="36" t="str">
        <x:v>Was sagt Jesus über die prächtigen Steine des Tempels?</x:v>
      </x:c>
      <x:c r="R323" s="36" t="str">
        <x:v>Sie werden für immer unverändert bleiben.</x:v>
      </x:c>
      <x:c r="S323" s="36" t="str">
        <x:v>Die Jünger sollen sie mit Gold überziehen.</x:v>
      </x:c>
      <x:c r="T323" s="36" t="str">
        <x:v>Es wird eine Zeit kommen, in der kein Stein auf dem anderen bleibt.</x:v>
      </x:c>
      <x:c r="U323" s="36" t="str">
        <x:v>Nur ein Stein wird entfernt.</x:v>
      </x:c>
      <x:c r="V323" s="36" t="n">
        <x:v>2</x:v>
      </x:c>
      <x:c r="W323" s="36" t="str">
        <x:v>Es wird eine Zeit kommen, in der kein Stein auf dem anderen bleibt.</x:v>
      </x:c>
      <x:c r="X323" s="36" t="str">
        <x:v>Lukas 21,5–6</x:v>
      </x:c>
      <x:c r="Y323" s="36" t="str">
        <x:v>Jesus kündigt die vollständige Zerstörung der sichtbaren Tempelpracht an.</x:v>
      </x:c>
      <x:c r="Z323" s="36" t="str">
        <x:v>JA</x:v>
      </x:c>
      <x:c r="AA323" s="36" t="str">
        <x:v>JA</x:v>
      </x:c>
      <x:c r="AB323" s="36" t="str">
        <x:v>JA</x:v>
      </x:c>
      <x:c r="AC323" s="36" t="str">
        <x:v>JA</x:v>
      </x:c>
      <x:c r="AD323" s="36" t="str">
        <x:v>JA</x:v>
      </x:c>
      <x:c r="AE323" s="36" t="str">
        <x:v>JA</x:v>
      </x:c>
      <x:c r="AF323" s="36" t="str">
        <x:v>JA</x:v>
      </x:c>
      <x:c r="AG323" s="36" t="str">
        <x:v>FREIGEGEBEN</x:v>
      </x:c>
      <x:c r="AH323" s="36" t="str">
        <x:v>GPT-5.6 Sol · Buchprüfung Lukas · L1912/OTB</x:v>
      </x:c>
      <x:c r="AI323" s="36" t="str">
        <x:v>FREIGEGEBEN</x:v>
      </x:c>
      <x:c r="AJ323" s="36" t="str">
        <x:v>Lukas 21: repetitive Wiedererkennungsfrage durch GESCHEHEN-Frage ersetzt.</x:v>
      </x:c>
      <x:c r="AK323" s="36" t="str">
        <x:v>FaithPath repo develop/v4 · data/bibles/l1912/LUK.json · data/bibles/otb/LUK.json</x:v>
      </x:c>
      <x:c r="AL323" t="str">
        <x:v>JA</x:v>
      </x:c>
    </x:row>
    <x:row r="324">
      <x:c r="A324" t="str">
        <x:v>FP-0583</x:v>
      </x:c>
      <x:c r="B324" t="str">
        <x:v>LUK</x:v>
      </x:c>
      <x:c r="C324" t="str">
        <x:v>Lukas</x:v>
      </x:c>
      <x:c r="D324" t="n">
        <x:v>21</x:v>
      </x:c>
      <x:c r="E324" t="n">
        <x:v>3</x:v>
      </x:c>
      <x:c r="F324" t="str">
        <x:v>LUK-021</x:v>
      </x:c>
      <x:c r="G324" t="n">
        <x:v>65</x:v>
      </x:c>
      <x:c r="H324" t="str">
        <x:v>CQ-A04</x:v>
      </x:c>
      <x:c r="I324" s="36" t="str">
        <x:v>Welche dieser Aussagen stammt aus Lukas 21?</x:v>
      </x:c>
      <x:c r="J324" s="36" t="str"/>
      <x:c r="K324" s="36" t="str"/>
      <x:c r="L324" s="36" t="str">
        <x:v>REPO_VERIFIZIERT_FRAGEFORM</x:v>
      </x:c>
      <x:c r="M324" s="36" t="str">
        <x:v>ERSETZEN</x:v>
      </x:c>
      <x:c r="N324" s="36" t="str">
        <x:v>REPETITIVE_FRAGEFORM</x:v>
      </x:c>
      <x:c r="O324" s="36" t="str">
        <x:v>REINE_WIEDERERKENNUNG</x:v>
      </x:c>
      <x:c r="P324" s="36" t="str">
        <x:v>KERNAUSSAGE</x:v>
      </x:c>
      <x:c r="Q324" s="36" t="str">
        <x:v>Wie sollen die Jünger mit Verfolgung umgehen?</x:v>
      </x:c>
      <x:c r="R324" s="36" t="str">
        <x:v>Sie sollen sich immer im Voraus perfekte Reden auswendig lernen.</x:v>
      </x:c>
      <x:c r="S324" s="36" t="str">
        <x:v>Sie sollen niemals vor Behörden sprechen.</x:v>
      </x:c>
      <x:c r="T324" s="36" t="str">
        <x:v>Sie sollen jeden Gegner angreifen.</x:v>
      </x:c>
      <x:c r="U324" s="36" t="str">
        <x:v>Sie soll ihnen Gelegenheit zum Zeugnis geben; Jesus verheißt Weisheit und Worte für ihre Verteidigung.</x:v>
      </x:c>
      <x:c r="V324" s="36" t="n">
        <x:v>3</x:v>
      </x:c>
      <x:c r="W324" s="36" t="str">
        <x:v>Sie soll ihnen Gelegenheit zum Zeugnis geben; Jesus verheißt Weisheit und Worte für ihre Verteidigung.</x:v>
      </x:c>
      <x:c r="X324" s="36" t="str">
        <x:v>Lukas 21,10–19</x:v>
      </x:c>
      <x:c r="Y324" s="36" t="str">
        <x:v>Jesus deutet Verfolgung als Zeugnisgelegenheit und verspricht seinen Jüngern Hilfe beim Reden.</x:v>
      </x:c>
      <x:c r="Z324" s="36" t="str">
        <x:v>JA</x:v>
      </x:c>
      <x:c r="AA324" s="36" t="str">
        <x:v>JA</x:v>
      </x:c>
      <x:c r="AB324" s="36" t="str">
        <x:v>JA</x:v>
      </x:c>
      <x:c r="AC324" s="36" t="str">
        <x:v>JA</x:v>
      </x:c>
      <x:c r="AD324" s="36" t="str">
        <x:v>JA</x:v>
      </x:c>
      <x:c r="AE324" s="36" t="str">
        <x:v>JA</x:v>
      </x:c>
      <x:c r="AF324" s="36" t="str">
        <x:v>JA</x:v>
      </x:c>
      <x:c r="AG324" s="36" t="str">
        <x:v>FREIGEGEBEN</x:v>
      </x:c>
      <x:c r="AH324" s="36" t="str">
        <x:v>GPT-5.6 Sol · Buchprüfung Lukas · L1912/OTB</x:v>
      </x:c>
      <x:c r="AI324" s="36" t="str">
        <x:v>FREIGEGEBEN</x:v>
      </x:c>
      <x:c r="AJ324" s="36" t="str">
        <x:v>Lukas 21: repetitive Wiedererkennungsfrage durch KERNAUSSAGE-Frage ersetzt.</x:v>
      </x:c>
      <x:c r="AK324" s="36" t="str">
        <x:v>FaithPath repo develop/v4 · data/bibles/l1912/LUK.json · data/bibles/otb/LUK.json</x:v>
      </x:c>
      <x:c r="AL324" t="str">
        <x:v>JA</x:v>
      </x:c>
    </x:row>
    <x:row r="325">
      <x:c r="A325" t="str">
        <x:v>FP-0584</x:v>
      </x:c>
      <x:c r="B325" t="str">
        <x:v>LUK</x:v>
      </x:c>
      <x:c r="C325" t="str">
        <x:v>Lukas</x:v>
      </x:c>
      <x:c r="D325" t="n">
        <x:v>21</x:v>
      </x:c>
      <x:c r="E325" t="n">
        <x:v>4</x:v>
      </x:c>
      <x:c r="F325" t="str">
        <x:v>LUK-021</x:v>
      </x:c>
      <x:c r="G325" t="n">
        <x:v>65</x:v>
      </x:c>
      <x:c r="H325" t="str">
        <x:v>CQ-A04</x:v>
      </x:c>
      <x:c r="I325" s="36" t="str">
        <x:v>Welche dieser Aussagen stammt aus Lukas 21?</x:v>
      </x:c>
      <x:c r="J325" s="36" t="str"/>
      <x:c r="K325" s="36" t="str"/>
      <x:c r="L325" s="36" t="str">
        <x:v>REPO_VERIFIZIERT_FRAGEFORM</x:v>
      </x:c>
      <x:c r="M325" s="36" t="str">
        <x:v>ERSETZEN</x:v>
      </x:c>
      <x:c r="N325" s="36" t="str">
        <x:v>REPETITIVE_FRAGEFORM</x:v>
      </x:c>
      <x:c r="O325" s="36" t="str">
        <x:v>REINE_WIEDERERKENNUNG</x:v>
      </x:c>
      <x:c r="P325" s="36" t="str">
        <x:v>ZUSAMMENHANG</x:v>
      </x:c>
      <x:c r="Q325" s="36" t="str">
        <x:v>Was sollen Jesu Jünger aus dem Bild des Feigenbaums lernen?</x:v>
      </x:c>
      <x:c r="R325" s="36" t="str">
        <x:v>Wenn die angekündigten Dinge geschehen, sollen sie erkennen, dass Gottes Reich nahe ist.</x:v>
      </x:c>
      <x:c r="S325" s="36" t="str">
        <x:v>Sie sollen genaue Jahreszahlen berechnen.</x:v>
      </x:c>
      <x:c r="T325" s="36" t="str">
        <x:v>Sie sollen Feigenbäume meiden.</x:v>
      </x:c>
      <x:c r="U325" s="36" t="str">
        <x:v>Das Reich Gottes sei bereits vollständig sichtbar.</x:v>
      </x:c>
      <x:c r="V325" s="36" t="n">
        <x:v>0</x:v>
      </x:c>
      <x:c r="W325" s="36" t="str">
        <x:v>Wenn die angekündigten Dinge geschehen, sollen sie erkennen, dass Gottes Reich nahe ist.</x:v>
      </x:c>
      <x:c r="X325" s="36" t="str">
        <x:v>Lukas 21,29–33</x:v>
      </x:c>
      <x:c r="Y325" s="36" t="str">
        <x:v>Wie das Austreiben der Bäume eine Jahreszeit ankündigt, sollen die Zeichen auf die Nähe von Gottes Reich hinweisen.</x:v>
      </x:c>
      <x:c r="Z325" s="36" t="str">
        <x:v>JA</x:v>
      </x:c>
      <x:c r="AA325" s="36" t="str">
        <x:v>JA</x:v>
      </x:c>
      <x:c r="AB325" s="36" t="str">
        <x:v>JA</x:v>
      </x:c>
      <x:c r="AC325" s="36" t="str">
        <x:v>JA</x:v>
      </x:c>
      <x:c r="AD325" s="36" t="str">
        <x:v>JA</x:v>
      </x:c>
      <x:c r="AE325" s="36" t="str">
        <x:v>JA</x:v>
      </x:c>
      <x:c r="AF325" s="36" t="str">
        <x:v>JA</x:v>
      </x:c>
      <x:c r="AG325" s="36" t="str">
        <x:v>FREIGEGEBEN</x:v>
      </x:c>
      <x:c r="AH325" s="36" t="str">
        <x:v>GPT-5.6 Sol · Buchprüfung Lukas · L1912/OTB</x:v>
      </x:c>
      <x:c r="AI325" s="36" t="str">
        <x:v>FREIGEGEBEN</x:v>
      </x:c>
      <x:c r="AJ325" s="36" t="str">
        <x:v>Lukas 21: repetitive Wiedererkennungsfrage durch ZUSAMMENHANG-Frage ersetzt.</x:v>
      </x:c>
      <x:c r="AK325" s="36" t="str">
        <x:v>FaithPath repo develop/v4 · data/bibles/l1912/LUK.json · data/bibles/otb/LUK.json</x:v>
      </x:c>
      <x:c r="AL325" t="str">
        <x:v>JA</x:v>
      </x:c>
    </x:row>
    <x:row r="326">
      <x:c r="A326" t="str">
        <x:v>FP-0585</x:v>
      </x:c>
      <x:c r="B326" t="str">
        <x:v>LUK</x:v>
      </x:c>
      <x:c r="C326" t="str">
        <x:v>Lukas</x:v>
      </x:c>
      <x:c r="D326" t="n">
        <x:v>21</x:v>
      </x:c>
      <x:c r="E326" t="n">
        <x:v>5</x:v>
      </x:c>
      <x:c r="F326" t="str">
        <x:v>LUK-021</x:v>
      </x:c>
      <x:c r="G326" t="n">
        <x:v>65</x:v>
      </x:c>
      <x:c r="H326" t="str">
        <x:v>CQ-A04</x:v>
      </x:c>
      <x:c r="I326" s="36" t="str">
        <x:v>Welche dieser Aussagen stammt aus Lukas 21?</x:v>
      </x:c>
      <x:c r="J326" s="36" t="str"/>
      <x:c r="K326" s="36" t="str"/>
      <x:c r="L326" s="36" t="str">
        <x:v>REPO_VERIFIZIERT_FRAGEFORM</x:v>
      </x:c>
      <x:c r="M326" s="36" t="str">
        <x:v>ERSETZEN</x:v>
      </x:c>
      <x:c r="N326" s="36" t="str">
        <x:v>REPETITIVE_FRAGEFORM</x:v>
      </x:c>
      <x:c r="O326" s="36" t="str">
        <x:v>REINE_WIEDERERKENNUNG</x:v>
      </x:c>
      <x:c r="P326" s="36" t="str">
        <x:v>KERNAUSSAGE</x:v>
      </x:c>
      <x:c r="Q326" s="36" t="str">
        <x:v>Welche Haltung fordert Jesus am Ende der Rede?</x:v>
      </x:c>
      <x:c r="R326" s="36" t="str">
        <x:v>Ignoriert alle kommenden Ereignisse.</x:v>
      </x:c>
      <x:c r="S326" s="36" t="str">
        <x:v>Wacht und betet, damit eure Herzen nicht durch Rausch, Sorgen und Unachtsamkeit beschwert werden.</x:v>
      </x:c>
      <x:c r="T326" s="36" t="str">
        <x:v>Berechnet den Tag exakt.</x:v>
      </x:c>
      <x:c r="U326" s="36" t="str">
        <x:v>Zieht euch völlig aus dem Alltag zurück.</x:v>
      </x:c>
      <x:c r="V326" s="36" t="n">
        <x:v>1</x:v>
      </x:c>
      <x:c r="W326" s="36" t="str">
        <x:v>Wacht und betet, damit eure Herzen nicht durch Rausch, Sorgen und Unachtsamkeit beschwert werden.</x:v>
      </x:c>
      <x:c r="X326" s="36" t="str">
        <x:v>Lukas 21,34–36</x:v>
      </x:c>
      <x:c r="Y326" s="36" t="str">
        <x:v>Jesus warnt vor einem beschwerten Herzen und fordert Wachsamkeit und Gebet.</x:v>
      </x:c>
      <x:c r="Z326" s="36" t="str">
        <x:v>JA</x:v>
      </x:c>
      <x:c r="AA326" s="36" t="str">
        <x:v>JA</x:v>
      </x:c>
      <x:c r="AB326" s="36" t="str">
        <x:v>JA</x:v>
      </x:c>
      <x:c r="AC326" s="36" t="str">
        <x:v>JA</x:v>
      </x:c>
      <x:c r="AD326" s="36" t="str">
        <x:v>JA</x:v>
      </x:c>
      <x:c r="AE326" s="36" t="str">
        <x:v>JA</x:v>
      </x:c>
      <x:c r="AF326" s="36" t="str">
        <x:v>JA</x:v>
      </x:c>
      <x:c r="AG326" s="36" t="str">
        <x:v>FREIGEGEBEN</x:v>
      </x:c>
      <x:c r="AH326" s="36" t="str">
        <x:v>GPT-5.6 Sol · Buchprüfung Lukas · L1912/OTB</x:v>
      </x:c>
      <x:c r="AI326" s="36" t="str">
        <x:v>FREIGEGEBEN</x:v>
      </x:c>
      <x:c r="AJ326" s="36" t="str">
        <x:v>Lukas 21: repetitive Wiedererkennungsfrage durch KERNAUSSAGE-Frage ersetzt.</x:v>
      </x:c>
      <x:c r="AK326" s="36" t="str">
        <x:v>FaithPath repo develop/v4 · data/bibles/l1912/LUK.json · data/bibles/otb/LUK.json</x:v>
      </x:c>
      <x:c r="AL326" t="str">
        <x:v>JA</x:v>
      </x:c>
    </x:row>
    <x:row r="327">
      <x:c r="A327" t="str">
        <x:v>FP-0586</x:v>
      </x:c>
      <x:c r="B327" t="str">
        <x:v>LUK</x:v>
      </x:c>
      <x:c r="C327" t="str">
        <x:v>Lukas</x:v>
      </x:c>
      <x:c r="D327" t="n">
        <x:v>22</x:v>
      </x:c>
      <x:c r="E327" t="n">
        <x:v>1</x:v>
      </x:c>
      <x:c r="F327" t="str">
        <x:v>LUK-022</x:v>
      </x:c>
      <x:c r="G327" t="n">
        <x:v>66</x:v>
      </x:c>
      <x:c r="H327" t="str">
        <x:v>CQ-A04</x:v>
      </x:c>
      <x:c r="I327" s="36" t="str">
        <x:v>Welche dieser Aussagen stammt aus Lukas 22?</x:v>
      </x:c>
      <x:c r="J327" s="36" t="str"/>
      <x:c r="K327" s="36" t="str"/>
      <x:c r="L327" s="36" t="str">
        <x:v>REPO_VERIFIZIERT_FRAGEFORM</x:v>
      </x:c>
      <x:c r="M327" s="36" t="str">
        <x:v>ERSETZEN</x:v>
      </x:c>
      <x:c r="N327" s="36" t="str">
        <x:v>REPETITIVE_FRAGEFORM</x:v>
      </x:c>
      <x:c r="O327" s="36" t="str">
        <x:v>REINE_WIEDERERKENNUNG</x:v>
      </x:c>
      <x:c r="P327" s="36" t="str">
        <x:v>GESCHEHEN</x:v>
      </x:c>
      <x:c r="Q327" s="36" t="str">
        <x:v>Was vereinbart Judas mit den Hohenpriestern und Hauptleuten?</x:v>
      </x:c>
      <x:c r="R327" s="36" t="str">
        <x:v>Er verspricht, Jesus zu verteidigen.</x:v>
      </x:c>
      <x:c r="S327" s="36" t="str">
        <x:v>Er will das Passahmahl vorbereiten.</x:v>
      </x:c>
      <x:c r="T327" s="36" t="str">
        <x:v>Er sucht eine Gelegenheit, Jesus gegen Geld auszuliefern.</x:v>
      </x:c>
      <x:c r="U327" s="36" t="str">
        <x:v>Er bittet sie, Jesus zum König zu machen.</x:v>
      </x:c>
      <x:c r="V327" s="36" t="n">
        <x:v>2</x:v>
      </x:c>
      <x:c r="W327" s="36" t="str">
        <x:v>Er sucht eine Gelegenheit, Jesus gegen Geld auszuliefern.</x:v>
      </x:c>
      <x:c r="X327" s="36" t="str">
        <x:v>Lukas 22,1–6</x:v>
      </x:c>
      <x:c r="Y327" s="36" t="str">
        <x:v>Judas stimmt zu, Jesus auszuliefern, und sucht nach einer passenden Gelegenheit.</x:v>
      </x:c>
      <x:c r="Z327" s="36" t="str">
        <x:v>JA</x:v>
      </x:c>
      <x:c r="AA327" s="36" t="str">
        <x:v>JA</x:v>
      </x:c>
      <x:c r="AB327" s="36" t="str">
        <x:v>JA</x:v>
      </x:c>
      <x:c r="AC327" s="36" t="str">
        <x:v>JA</x:v>
      </x:c>
      <x:c r="AD327" s="36" t="str">
        <x:v>JA</x:v>
      </x:c>
      <x:c r="AE327" s="36" t="str">
        <x:v>JA</x:v>
      </x:c>
      <x:c r="AF327" s="36" t="str">
        <x:v>JA</x:v>
      </x:c>
      <x:c r="AG327" s="36" t="str">
        <x:v>FREIGEGEBEN</x:v>
      </x:c>
      <x:c r="AH327" s="36" t="str">
        <x:v>GPT-5.6 Sol · Buchprüfung Lukas · L1912/OTB</x:v>
      </x:c>
      <x:c r="AI327" s="36" t="str">
        <x:v>FREIGEGEBEN</x:v>
      </x:c>
      <x:c r="AJ327" s="36" t="str">
        <x:v>Lukas 22: repetitive Wiedererkennungsfrage durch GESCHEHEN-Frage ersetzt.</x:v>
      </x:c>
      <x:c r="AK327" s="36" t="str">
        <x:v>FaithPath repo develop/v4 · data/bibles/l1912/LUK.json · data/bibles/otb/LUK.json</x:v>
      </x:c>
      <x:c r="AL327" t="str">
        <x:v>JA</x:v>
      </x:c>
    </x:row>
    <x:row r="328">
      <x:c r="A328" t="str">
        <x:v>FP-0587</x:v>
      </x:c>
      <x:c r="B328" t="str">
        <x:v>LUK</x:v>
      </x:c>
      <x:c r="C328" t="str">
        <x:v>Lukas</x:v>
      </x:c>
      <x:c r="D328" t="n">
        <x:v>22</x:v>
      </x:c>
      <x:c r="E328" t="n">
        <x:v>2</x:v>
      </x:c>
      <x:c r="F328" t="str">
        <x:v>LUK-022</x:v>
      </x:c>
      <x:c r="G328" t="n">
        <x:v>66</x:v>
      </x:c>
      <x:c r="H328" t="str">
        <x:v>CQ-A04</x:v>
      </x:c>
      <x:c r="I328" s="36" t="str">
        <x:v>Welche dieser Aussagen stammt aus Lukas 22?</x:v>
      </x:c>
      <x:c r="J328" s="36" t="str"/>
      <x:c r="K328" s="36" t="str"/>
      <x:c r="L328" s="36" t="str">
        <x:v>REPO_VERIFIZIERT_FRAGEFORM</x:v>
      </x:c>
      <x:c r="M328" s="36" t="str">
        <x:v>ERSETZEN</x:v>
      </x:c>
      <x:c r="N328" s="36" t="str">
        <x:v>REPETITIVE_FRAGEFORM</x:v>
      </x:c>
      <x:c r="O328" s="36" t="str">
        <x:v>REINE_WIEDERERKENNUNG</x:v>
      </x:c>
      <x:c r="P328" s="36" t="str">
        <x:v>KERNAUSSAGE</x:v>
      </x:c>
      <x:c r="Q328" s="36" t="str">
        <x:v>Wie deutet Jesus Brot und Kelch beim Passahmahl?</x:v>
      </x:c>
      <x:c r="R328" s="36" t="str">
        <x:v>Das Brot als Symbol für Mose und den Kelch für Elia.</x:v>
      </x:c>
      <x:c r="S328" s="36" t="str">
        <x:v>Beides nur als Erinnerung an Ägypten.</x:v>
      </x:c>
      <x:c r="T328" s="36" t="str">
        <x:v>Den Kelch als Zeichen römischer Herrschaft.</x:v>
      </x:c>
      <x:c r="U328" s="36" t="str">
        <x:v>Das Brot als seinen Leib und den Kelch als den neuen Bund in seinem Blut.</x:v>
      </x:c>
      <x:c r="V328" s="36" t="n">
        <x:v>3</x:v>
      </x:c>
      <x:c r="W328" s="36" t="str">
        <x:v>Das Brot als seinen Leib und den Kelch als den neuen Bund in seinem Blut.</x:v>
      </x:c>
      <x:c r="X328" s="36" t="str">
        <x:v>Lukas 22,14–20</x:v>
      </x:c>
      <x:c r="Y328" s="36" t="str">
        <x:v>Jesus verbindet Brot und Kelch mit seiner Hingabe und dem neuen Bund.</x:v>
      </x:c>
      <x:c r="Z328" s="36" t="str">
        <x:v>JA</x:v>
      </x:c>
      <x:c r="AA328" s="36" t="str">
        <x:v>JA</x:v>
      </x:c>
      <x:c r="AB328" s="36" t="str">
        <x:v>JA</x:v>
      </x:c>
      <x:c r="AC328" s="36" t="str">
        <x:v>JA</x:v>
      </x:c>
      <x:c r="AD328" s="36" t="str">
        <x:v>JA</x:v>
      </x:c>
      <x:c r="AE328" s="36" t="str">
        <x:v>JA</x:v>
      </x:c>
      <x:c r="AF328" s="36" t="str">
        <x:v>JA</x:v>
      </x:c>
      <x:c r="AG328" s="36" t="str">
        <x:v>FREIGEGEBEN</x:v>
      </x:c>
      <x:c r="AH328" s="36" t="str">
        <x:v>GPT-5.6 Sol · Buchprüfung Lukas · L1912/OTB</x:v>
      </x:c>
      <x:c r="AI328" s="36" t="str">
        <x:v>FREIGEGEBEN</x:v>
      </x:c>
      <x:c r="AJ328" s="36" t="str">
        <x:v>Lukas 22: repetitive Wiedererkennungsfrage durch KERNAUSSAGE-Frage ersetzt.</x:v>
      </x:c>
      <x:c r="AK328" s="36" t="str">
        <x:v>FaithPath repo develop/v4 · data/bibles/l1912/LUK.json · data/bibles/otb/LUK.json</x:v>
      </x:c>
      <x:c r="AL328" t="str">
        <x:v>JA</x:v>
      </x:c>
    </x:row>
    <x:row r="329">
      <x:c r="A329" t="str">
        <x:v>FP-0588</x:v>
      </x:c>
      <x:c r="B329" t="str">
        <x:v>LUK</x:v>
      </x:c>
      <x:c r="C329" t="str">
        <x:v>Lukas</x:v>
      </x:c>
      <x:c r="D329" t="n">
        <x:v>22</x:v>
      </x:c>
      <x:c r="E329" t="n">
        <x:v>3</x:v>
      </x:c>
      <x:c r="F329" t="str">
        <x:v>LUK-022</x:v>
      </x:c>
      <x:c r="G329" t="n">
        <x:v>66</x:v>
      </x:c>
      <x:c r="H329" t="str">
        <x:v>CQ-A04</x:v>
      </x:c>
      <x:c r="I329" s="36" t="str">
        <x:v>Welche dieser Aussagen stammt aus Lukas 22?</x:v>
      </x:c>
      <x:c r="J329" s="36" t="str"/>
      <x:c r="K329" s="36" t="str"/>
      <x:c r="L329" s="36" t="str">
        <x:v>REPO_VERIFIZIERT_FRAGEFORM</x:v>
      </x:c>
      <x:c r="M329" s="36" t="str">
        <x:v>ERSETZEN</x:v>
      </x:c>
      <x:c r="N329" s="36" t="str">
        <x:v>REPETITIVE_FRAGEFORM</x:v>
      </x:c>
      <x:c r="O329" s="36" t="str">
        <x:v>REINE_WIEDERERKENNUNG</x:v>
      </x:c>
      <x:c r="P329" s="36" t="str">
        <x:v>KERNAUSSAGE</x:v>
      </x:c>
      <x:c r="Q329" s="36" t="str">
        <x:v>Wie beschreibt Jesus wahre Größe unter seinen Jüngern?</x:v>
      </x:c>
      <x:c r="R329" s="36" t="str">
        <x:v>Der Größte soll wie der Jüngste und der Führende wie ein Dienender sein; Jesus selbst ist unter ihnen wie ein Diener.</x:v>
      </x:c>
      <x:c r="S329" s="36" t="str">
        <x:v>Der Größte soll über die anderen herrschen.</x:v>
      </x:c>
      <x:c r="T329" s="36" t="str">
        <x:v>Der Älteste ist automatisch der Größte.</x:v>
      </x:c>
      <x:c r="U329" s="36" t="str">
        <x:v>Größe zeigt sich an Besitz.</x:v>
      </x:c>
      <x:c r="V329" s="36" t="n">
        <x:v>0</x:v>
      </x:c>
      <x:c r="W329" s="36" t="str">
        <x:v>Der Größte soll wie der Jüngste und der Führende wie ein Dienender sein; Jesus selbst ist unter ihnen wie ein Diener.</x:v>
      </x:c>
      <x:c r="X329" s="36" t="str">
        <x:v>Lukas 22,24–27</x:v>
      </x:c>
      <x:c r="Y329" s="36" t="str">
        <x:v>Jesus stellt den Herrschaftsstil der Völker seinem eigenen Dienst gegenüber.</x:v>
      </x:c>
      <x:c r="Z329" s="36" t="str">
        <x:v>JA</x:v>
      </x:c>
      <x:c r="AA329" s="36" t="str">
        <x:v>JA</x:v>
      </x:c>
      <x:c r="AB329" s="36" t="str">
        <x:v>JA</x:v>
      </x:c>
      <x:c r="AC329" s="36" t="str">
        <x:v>JA</x:v>
      </x:c>
      <x:c r="AD329" s="36" t="str">
        <x:v>JA</x:v>
      </x:c>
      <x:c r="AE329" s="36" t="str">
        <x:v>JA</x:v>
      </x:c>
      <x:c r="AF329" s="36" t="str">
        <x:v>JA</x:v>
      </x:c>
      <x:c r="AG329" s="36" t="str">
        <x:v>FREIGEGEBEN</x:v>
      </x:c>
      <x:c r="AH329" s="36" t="str">
        <x:v>GPT-5.6 Sol · Buchprüfung Lukas · L1912/OTB</x:v>
      </x:c>
      <x:c r="AI329" s="36" t="str">
        <x:v>FREIGEGEBEN</x:v>
      </x:c>
      <x:c r="AJ329" s="36" t="str">
        <x:v>Lukas 22: repetitive Wiedererkennungsfrage durch KERNAUSSAGE-Frage ersetzt.</x:v>
      </x:c>
      <x:c r="AK329" s="36" t="str">
        <x:v>FaithPath repo develop/v4 · data/bibles/l1912/LUK.json · data/bibles/otb/LUK.json</x:v>
      </x:c>
      <x:c r="AL329" t="str">
        <x:v>JA</x:v>
      </x:c>
    </x:row>
    <x:row r="330">
      <x:c r="A330" t="str">
        <x:v>FP-0589</x:v>
      </x:c>
      <x:c r="B330" t="str">
        <x:v>LUK</x:v>
      </x:c>
      <x:c r="C330" t="str">
        <x:v>Lukas</x:v>
      </x:c>
      <x:c r="D330" t="n">
        <x:v>22</x:v>
      </x:c>
      <x:c r="E330" t="n">
        <x:v>4</x:v>
      </x:c>
      <x:c r="F330" t="str">
        <x:v>LUK-022</x:v>
      </x:c>
      <x:c r="G330" t="n">
        <x:v>66</x:v>
      </x:c>
      <x:c r="H330" t="str">
        <x:v>CQ-A04</x:v>
      </x:c>
      <x:c r="I330" s="36" t="str">
        <x:v>Welche dieser Aussagen stammt aus Lukas 22?</x:v>
      </x:c>
      <x:c r="J330" s="36" t="str"/>
      <x:c r="K330" s="36" t="str"/>
      <x:c r="L330" s="36" t="str">
        <x:v>REPO_VERIFIZIERT_FRAGEFORM</x:v>
      </x:c>
      <x:c r="M330" s="36" t="str">
        <x:v>ERSETZEN</x:v>
      </x:c>
      <x:c r="N330" s="36" t="str">
        <x:v>REPETITIVE_FRAGEFORM</x:v>
      </x:c>
      <x:c r="O330" s="36" t="str">
        <x:v>REINE_WIEDERERKENNUNG</x:v>
      </x:c>
      <x:c r="P330" s="36" t="str">
        <x:v>PERSON_AUSSAGE</x:v>
      </x:c>
      <x:c r="Q330" s="36" t="str">
        <x:v>Was kündigt Jesus Petrus trotz dessen Selbstsicherheit an?</x:v>
      </x:c>
      <x:c r="R330" s="36" t="str">
        <x:v>Petrus werde Jesus nie verlassen.</x:v>
      </x:c>
      <x:c r="S330" s="36" t="str">
        <x:v>Bevor der Hahn kräht, wird Petrus dreimal leugnen, Jesus zu kennen; Jesus hat aber für seinen Glauben gebetet.</x:v>
      </x:c>
      <x:c r="T330" s="36" t="str">
        <x:v>Petrus werde sofort König.</x:v>
      </x:c>
      <x:c r="U330" s="36" t="str">
        <x:v>Petrus müsse Jerusalem verlassen.</x:v>
      </x:c>
      <x:c r="V330" s="36" t="n">
        <x:v>1</x:v>
      </x:c>
      <x:c r="W330" s="36" t="str">
        <x:v>Bevor der Hahn kräht, wird Petrus dreimal leugnen, Jesus zu kennen; Jesus hat aber für seinen Glauben gebetet.</x:v>
      </x:c>
      <x:c r="X330" s="36" t="str">
        <x:v>Lukas 22,31–34</x:v>
      </x:c>
      <x:c r="Y330" s="36" t="str">
        <x:v>Jesus warnt Petrus vor der bevorstehenden Verleugnung und sagt zugleich, dass er für seinen Glauben gebetet hat.</x:v>
      </x:c>
      <x:c r="Z330" s="36" t="str">
        <x:v>JA</x:v>
      </x:c>
      <x:c r="AA330" s="36" t="str">
        <x:v>JA</x:v>
      </x:c>
      <x:c r="AB330" s="36" t="str">
        <x:v>JA</x:v>
      </x:c>
      <x:c r="AC330" s="36" t="str">
        <x:v>JA</x:v>
      </x:c>
      <x:c r="AD330" s="36" t="str">
        <x:v>JA</x:v>
      </x:c>
      <x:c r="AE330" s="36" t="str">
        <x:v>JA</x:v>
      </x:c>
      <x:c r="AF330" s="36" t="str">
        <x:v>JA</x:v>
      </x:c>
      <x:c r="AG330" s="36" t="str">
        <x:v>FREIGEGEBEN</x:v>
      </x:c>
      <x:c r="AH330" s="36" t="str">
        <x:v>GPT-5.6 Sol · Buchprüfung Lukas · L1912/OTB</x:v>
      </x:c>
      <x:c r="AI330" s="36" t="str">
        <x:v>FREIGEGEBEN</x:v>
      </x:c>
      <x:c r="AJ330" s="36" t="str">
        <x:v>Lukas 22: repetitive Wiedererkennungsfrage durch PERSON_AUSSAGE-Frage ersetzt.</x:v>
      </x:c>
      <x:c r="AK330" s="36" t="str">
        <x:v>FaithPath repo develop/v4 · data/bibles/l1912/LUK.json · data/bibles/otb/LUK.json</x:v>
      </x:c>
      <x:c r="AL330" t="str">
        <x:v>JA</x:v>
      </x:c>
    </x:row>
    <x:row r="331">
      <x:c r="A331" t="str">
        <x:v>FP-0590</x:v>
      </x:c>
      <x:c r="B331" t="str">
        <x:v>LUK</x:v>
      </x:c>
      <x:c r="C331" t="str">
        <x:v>Lukas</x:v>
      </x:c>
      <x:c r="D331" t="n">
        <x:v>22</x:v>
      </x:c>
      <x:c r="E331" t="n">
        <x:v>5</x:v>
      </x:c>
      <x:c r="F331" t="str">
        <x:v>LUK-022</x:v>
      </x:c>
      <x:c r="G331" t="n">
        <x:v>66</x:v>
      </x:c>
      <x:c r="H331" t="str">
        <x:v>CQ-A04</x:v>
      </x:c>
      <x:c r="I331" s="36" t="str">
        <x:v>Welche dieser Aussagen stammt aus Lukas 22?</x:v>
      </x:c>
      <x:c r="J331" s="36" t="str"/>
      <x:c r="K331" s="36" t="str"/>
      <x:c r="L331" s="36" t="str">
        <x:v>REPO_VERIFIZIERT_FRAGEFORM</x:v>
      </x:c>
      <x:c r="M331" s="36" t="str">
        <x:v>ERSETZEN</x:v>
      </x:c>
      <x:c r="N331" s="36" t="str">
        <x:v>REPETITIVE_FRAGEFORM</x:v>
      </x:c>
      <x:c r="O331" s="36" t="str">
        <x:v>REINE_WIEDERERKENNUNG</x:v>
      </x:c>
      <x:c r="P331" s="36" t="str">
        <x:v>PERSON_AUSSAGE</x:v>
      </x:c>
      <x:c r="Q331" s="36" t="str">
        <x:v>Wie formuliert Jesus im Gebet am Ölberg seine Hingabe an den Vater?</x:v>
      </x:c>
      <x:c r="R331" s="36" t="str">
        <x:v>Ich werde meinen eigenen Weg wählen.</x:v>
      </x:c>
      <x:c r="S331" s="36" t="str">
        <x:v>Die Jünger sollen entscheiden.</x:v>
      </x:c>
      <x:c r="T331" s="36" t="str">
        <x:v>Nicht mein Wille, sondern dein Wille geschehe.</x:v>
      </x:c>
      <x:c r="U331" s="36" t="str">
        <x:v>Ich möchte nicht mehr beten.</x:v>
      </x:c>
      <x:c r="V331" s="36" t="n">
        <x:v>2</x:v>
      </x:c>
      <x:c r="W331" s="36" t="str">
        <x:v>Nicht mein Wille, sondern dein Wille geschehe.</x:v>
      </x:c>
      <x:c r="X331" s="36" t="str">
        <x:v>Lukas 22,39–46</x:v>
      </x:c>
      <x:c r="Y331" s="36" t="str">
        <x:v>Jesus bringt seine Bitte vor den Vater, unterstellt sie aber ausdrücklich dem Willen des Vaters.</x:v>
      </x:c>
      <x:c r="Z331" s="36" t="str">
        <x:v>JA</x:v>
      </x:c>
      <x:c r="AA331" s="36" t="str">
        <x:v>JA</x:v>
      </x:c>
      <x:c r="AB331" s="36" t="str">
        <x:v>JA</x:v>
      </x:c>
      <x:c r="AC331" s="36" t="str">
        <x:v>JA</x:v>
      </x:c>
      <x:c r="AD331" s="36" t="str">
        <x:v>JA</x:v>
      </x:c>
      <x:c r="AE331" s="36" t="str">
        <x:v>JA</x:v>
      </x:c>
      <x:c r="AF331" s="36" t="str">
        <x:v>JA</x:v>
      </x:c>
      <x:c r="AG331" s="36" t="str">
        <x:v>FREIGEGEBEN</x:v>
      </x:c>
      <x:c r="AH331" s="36" t="str">
        <x:v>GPT-5.6 Sol · Buchprüfung Lukas · L1912/OTB</x:v>
      </x:c>
      <x:c r="AI331" s="36" t="str">
        <x:v>FREIGEGEBEN</x:v>
      </x:c>
      <x:c r="AJ331" s="36" t="str">
        <x:v>Lukas 22: repetitive Wiedererkennungsfrage durch PERSON_AUSSAGE-Frage ersetzt.</x:v>
      </x:c>
      <x:c r="AK331" s="36" t="str">
        <x:v>FaithPath repo develop/v4 · data/bibles/l1912/LUK.json · data/bibles/otb/LUK.json</x:v>
      </x:c>
      <x:c r="AL331" t="str">
        <x:v>JA</x:v>
      </x:c>
    </x:row>
    <x:row r="332">
      <x:c r="A332" t="str">
        <x:v>FP-0591</x:v>
      </x:c>
      <x:c r="B332" t="str">
        <x:v>LUK</x:v>
      </x:c>
      <x:c r="C332" t="str">
        <x:v>Lukas</x:v>
      </x:c>
      <x:c r="D332" t="n">
        <x:v>23</x:v>
      </x:c>
      <x:c r="E332" t="n">
        <x:v>1</x:v>
      </x:c>
      <x:c r="F332" t="str">
        <x:v>LUK-023</x:v>
      </x:c>
      <x:c r="G332" t="n">
        <x:v>67</x:v>
      </x:c>
      <x:c r="H332" t="str">
        <x:v>CQ-A04</x:v>
      </x:c>
      <x:c r="I332" s="36" t="str">
        <x:v>Welche dieser Aussagen stammt aus Lukas 23?</x:v>
      </x:c>
      <x:c r="J332" s="36" t="str"/>
      <x:c r="K332" s="36" t="str"/>
      <x:c r="L332" s="36" t="str">
        <x:v>REPO_VERIFIZIERT_FRAGEFORM</x:v>
      </x:c>
      <x:c r="M332" s="36" t="str">
        <x:v>ERSETZEN</x:v>
      </x:c>
      <x:c r="N332" s="36" t="str">
        <x:v>REPETITIVE_FRAGEFORM</x:v>
      </x:c>
      <x:c r="O332" s="36" t="str">
        <x:v>REINE_WIEDERERKENNUNG</x:v>
      </x:c>
      <x:c r="P332" s="36" t="str">
        <x:v>GESCHEHEN</x:v>
      </x:c>
      <x:c r="Q332" s="36" t="str">
        <x:v>Zu welchem Ergebnis kommt Pilatus nach der ersten Anklage gegen Jesus?</x:v>
      </x:c>
      <x:c r="R332" s="36" t="str">
        <x:v>Er verurteilt ihn sofort zum Tod.</x:v>
      </x:c>
      <x:c r="S332" s="36" t="str">
        <x:v>Er erklärt ihn zum römischen Bürger.</x:v>
      </x:c>
      <x:c r="T332" s="36" t="str">
        <x:v>Er schickt ihn direkt zur Kreuzigung ohne Verhör.</x:v>
      </x:c>
      <x:c r="U332" s="36" t="str">
        <x:v>Er findet keinen Grund für eine Anklage gegen ihn.</x:v>
      </x:c>
      <x:c r="V332" s="36" t="n">
        <x:v>3</x:v>
      </x:c>
      <x:c r="W332" s="36" t="str">
        <x:v>Er findet keinen Grund für eine Anklage gegen ihn.</x:v>
      </x:c>
      <x:c r="X332" s="36" t="str">
        <x:v>Lukas 23,1–5</x:v>
      </x:c>
      <x:c r="Y332" s="36" t="str">
        <x:v>Pilatus sagt nach seiner Befragung, er finde keine Schuld, die eine Anklage begründet.</x:v>
      </x:c>
      <x:c r="Z332" s="36" t="str">
        <x:v>JA</x:v>
      </x:c>
      <x:c r="AA332" s="36" t="str">
        <x:v>JA</x:v>
      </x:c>
      <x:c r="AB332" s="36" t="str">
        <x:v>JA</x:v>
      </x:c>
      <x:c r="AC332" s="36" t="str">
        <x:v>JA</x:v>
      </x:c>
      <x:c r="AD332" s="36" t="str">
        <x:v>JA</x:v>
      </x:c>
      <x:c r="AE332" s="36" t="str">
        <x:v>JA</x:v>
      </x:c>
      <x:c r="AF332" s="36" t="str">
        <x:v>JA</x:v>
      </x:c>
      <x:c r="AG332" s="36" t="str">
        <x:v>FREIGEGEBEN</x:v>
      </x:c>
      <x:c r="AH332" s="36" t="str">
        <x:v>GPT-5.6 Sol · Buchprüfung Lukas · L1912/OTB</x:v>
      </x:c>
      <x:c r="AI332" s="36" t="str">
        <x:v>FREIGEGEBEN</x:v>
      </x:c>
      <x:c r="AJ332" s="36" t="str">
        <x:v>Lukas 23: repetitive Wiedererkennungsfrage durch GESCHEHEN-Frage ersetzt.</x:v>
      </x:c>
      <x:c r="AK332" s="36" t="str">
        <x:v>FaithPath repo develop/v4 · data/bibles/l1912/LUK.json · data/bibles/otb/LUK.json</x:v>
      </x:c>
      <x:c r="AL332" t="str">
        <x:v>JA</x:v>
      </x:c>
    </x:row>
    <x:row r="333">
      <x:c r="A333" t="str">
        <x:v>FP-0592</x:v>
      </x:c>
      <x:c r="B333" t="str">
        <x:v>LUK</x:v>
      </x:c>
      <x:c r="C333" t="str">
        <x:v>Lukas</x:v>
      </x:c>
      <x:c r="D333" t="n">
        <x:v>23</x:v>
      </x:c>
      <x:c r="E333" t="n">
        <x:v>2</x:v>
      </x:c>
      <x:c r="F333" t="str">
        <x:v>LUK-023</x:v>
      </x:c>
      <x:c r="G333" t="n">
        <x:v>67</x:v>
      </x:c>
      <x:c r="H333" t="str">
        <x:v>CQ-A04</x:v>
      </x:c>
      <x:c r="I333" s="36" t="str">
        <x:v>Welche dieser Aussagen stammt aus Lukas 23?</x:v>
      </x:c>
      <x:c r="J333" s="36" t="str"/>
      <x:c r="K333" s="36" t="str"/>
      <x:c r="L333" s="36" t="str">
        <x:v>REPO_VERIFIZIERT_FRAGEFORM</x:v>
      </x:c>
      <x:c r="M333" s="36" t="str">
        <x:v>ERSETZEN</x:v>
      </x:c>
      <x:c r="N333" s="36" t="str">
        <x:v>REPETITIVE_FRAGEFORM</x:v>
      </x:c>
      <x:c r="O333" s="36" t="str">
        <x:v>REINE_WIEDERERKENNUNG</x:v>
      </x:c>
      <x:c r="P333" s="36" t="str">
        <x:v>GESCHEHEN</x:v>
      </x:c>
      <x:c r="Q333" s="36" t="str">
        <x:v>Wen fordert die Menge freizulassen, während sie für Jesus die Kreuzigung verlangt?</x:v>
      </x:c>
      <x:c r="R333" s="36" t="str">
        <x:v>Barabbas.</x:v>
      </x:c>
      <x:c r="S333" s="36" t="str">
        <x:v>Simon Petrus.</x:v>
      </x:c>
      <x:c r="T333" s="36" t="str">
        <x:v>Josef von Arimathäa.</x:v>
      </x:c>
      <x:c r="U333" s="36" t="str">
        <x:v>Herodes.</x:v>
      </x:c>
      <x:c r="V333" s="36" t="n">
        <x:v>0</x:v>
      </x:c>
      <x:c r="W333" s="36" t="str">
        <x:v>Barabbas.</x:v>
      </x:c>
      <x:c r="X333" s="36" t="str">
        <x:v>Lukas 23,13–25</x:v>
      </x:c>
      <x:c r="Y333" s="36" t="str">
        <x:v>Obwohl Pilatus wiederholt keine Todesschuld findet, setzt sich die Forderung der Menge durch; Barabbas wird freigelassen.</x:v>
      </x:c>
      <x:c r="Z333" s="36" t="str">
        <x:v>JA</x:v>
      </x:c>
      <x:c r="AA333" s="36" t="str">
        <x:v>JA</x:v>
      </x:c>
      <x:c r="AB333" s="36" t="str">
        <x:v>JA</x:v>
      </x:c>
      <x:c r="AC333" s="36" t="str">
        <x:v>JA</x:v>
      </x:c>
      <x:c r="AD333" s="36" t="str">
        <x:v>JA</x:v>
      </x:c>
      <x:c r="AE333" s="36" t="str">
        <x:v>JA</x:v>
      </x:c>
      <x:c r="AF333" s="36" t="str">
        <x:v>JA</x:v>
      </x:c>
      <x:c r="AG333" s="36" t="str">
        <x:v>FREIGEGEBEN</x:v>
      </x:c>
      <x:c r="AH333" s="36" t="str">
        <x:v>GPT-5.6 Sol · Buchprüfung Lukas · L1912/OTB</x:v>
      </x:c>
      <x:c r="AI333" s="36" t="str">
        <x:v>FREIGEGEBEN</x:v>
      </x:c>
      <x:c r="AJ333" s="36" t="str">
        <x:v>Lukas 23: repetitive Wiedererkennungsfrage durch GESCHEHEN-Frage ersetzt.</x:v>
      </x:c>
      <x:c r="AK333" s="36" t="str">
        <x:v>FaithPath repo develop/v4 · data/bibles/l1912/LUK.json · data/bibles/otb/LUK.json</x:v>
      </x:c>
      <x:c r="AL333" t="str">
        <x:v>JA</x:v>
      </x:c>
    </x:row>
    <x:row r="334">
      <x:c r="A334" t="str">
        <x:v>FP-0593</x:v>
      </x:c>
      <x:c r="B334" t="str">
        <x:v>LUK</x:v>
      </x:c>
      <x:c r="C334" t="str">
        <x:v>Lukas</x:v>
      </x:c>
      <x:c r="D334" t="n">
        <x:v>23</x:v>
      </x:c>
      <x:c r="E334" t="n">
        <x:v>3</x:v>
      </x:c>
      <x:c r="F334" t="str">
        <x:v>LUK-023</x:v>
      </x:c>
      <x:c r="G334" t="n">
        <x:v>67</x:v>
      </x:c>
      <x:c r="H334" t="str">
        <x:v>CQ-A04</x:v>
      </x:c>
      <x:c r="I334" s="36" t="str">
        <x:v>Welche dieser Aussagen stammt aus Lukas 23?</x:v>
      </x:c>
      <x:c r="J334" s="36" t="str"/>
      <x:c r="K334" s="36" t="str"/>
      <x:c r="L334" s="36" t="str">
        <x:v>REPO_VERIFIZIERT_FRAGEFORM</x:v>
      </x:c>
      <x:c r="M334" s="36" t="str">
        <x:v>ERSETZEN</x:v>
      </x:c>
      <x:c r="N334" s="36" t="str">
        <x:v>REPETITIVE_FRAGEFORM</x:v>
      </x:c>
      <x:c r="O334" s="36" t="str">
        <x:v>REINE_WIEDERERKENNUNG</x:v>
      </x:c>
      <x:c r="P334" s="36" t="str">
        <x:v>PERSON_AUSSAGE</x:v>
      </x:c>
      <x:c r="Q334" s="36" t="str">
        <x:v>Welche Zusage gibt Jesus dem Verbrecher, der ihn bittet, an ihn zu denken?</x:v>
      </x:c>
      <x:c r="R334" s="36" t="str">
        <x:v>Du wirst morgen freigelassen.</x:v>
      </x:c>
      <x:c r="S334" s="36" t="str">
        <x:v>Heute wirst du mit mir im Paradies sein.</x:v>
      </x:c>
      <x:c r="T334" s="36" t="str">
        <x:v>Du wirst nach Galiläa zurückkehren.</x:v>
      </x:c>
      <x:c r="U334" s="36" t="str">
        <x:v>Du wirst Hohepriester werden.</x:v>
      </x:c>
      <x:c r="V334" s="36" t="n">
        <x:v>1</x:v>
      </x:c>
      <x:c r="W334" s="36" t="str">
        <x:v>Heute wirst du mit mir im Paradies sein.</x:v>
      </x:c>
      <x:c r="X334" s="36" t="str">
        <x:v>Lukas 23,32–43</x:v>
      </x:c>
      <x:c r="Y334" s="36" t="str">
        <x:v>Jesus antwortet dem Mann mit der unmittelbaren Zusage, noch am selben Tag mit ihm im Paradies zu sein.</x:v>
      </x:c>
      <x:c r="Z334" s="36" t="str">
        <x:v>JA</x:v>
      </x:c>
      <x:c r="AA334" s="36" t="str">
        <x:v>JA</x:v>
      </x:c>
      <x:c r="AB334" s="36" t="str">
        <x:v>JA</x:v>
      </x:c>
      <x:c r="AC334" s="36" t="str">
        <x:v>JA</x:v>
      </x:c>
      <x:c r="AD334" s="36" t="str">
        <x:v>JA</x:v>
      </x:c>
      <x:c r="AE334" s="36" t="str">
        <x:v>JA</x:v>
      </x:c>
      <x:c r="AF334" s="36" t="str">
        <x:v>JA</x:v>
      </x:c>
      <x:c r="AG334" s="36" t="str">
        <x:v>FREIGEGEBEN</x:v>
      </x:c>
      <x:c r="AH334" s="36" t="str">
        <x:v>GPT-5.6 Sol · Buchprüfung Lukas · L1912/OTB</x:v>
      </x:c>
      <x:c r="AI334" s="36" t="str">
        <x:v>FREIGEGEBEN</x:v>
      </x:c>
      <x:c r="AJ334" s="36" t="str">
        <x:v>Lukas 23: repetitive Wiedererkennungsfrage durch PERSON_AUSSAGE-Frage ersetzt.</x:v>
      </x:c>
      <x:c r="AK334" s="36" t="str">
        <x:v>FaithPath repo develop/v4 · data/bibles/l1912/LUK.json · data/bibles/otb/LUK.json</x:v>
      </x:c>
      <x:c r="AL334" t="str">
        <x:v>JA</x:v>
      </x:c>
    </x:row>
    <x:row r="335">
      <x:c r="A335" t="str">
        <x:v>FP-0594</x:v>
      </x:c>
      <x:c r="B335" t="str">
        <x:v>LUK</x:v>
      </x:c>
      <x:c r="C335" t="str">
        <x:v>Lukas</x:v>
      </x:c>
      <x:c r="D335" t="n">
        <x:v>23</x:v>
      </x:c>
      <x:c r="E335" t="n">
        <x:v>4</x:v>
      </x:c>
      <x:c r="F335" t="str">
        <x:v>LUK-023</x:v>
      </x:c>
      <x:c r="G335" t="n">
        <x:v>67</x:v>
      </x:c>
      <x:c r="H335" t="str">
        <x:v>CQ-A04</x:v>
      </x:c>
      <x:c r="I335" s="36" t="str">
        <x:v>Welche dieser Aussagen stammt aus Lukas 23?</x:v>
      </x:c>
      <x:c r="J335" s="36" t="str"/>
      <x:c r="K335" s="36" t="str"/>
      <x:c r="L335" s="36" t="str">
        <x:v>REPO_VERIFIZIERT_FRAGEFORM</x:v>
      </x:c>
      <x:c r="M335" s="36" t="str">
        <x:v>ERSETZEN</x:v>
      </x:c>
      <x:c r="N335" s="36" t="str">
        <x:v>REPETITIVE_FRAGEFORM</x:v>
      </x:c>
      <x:c r="O335" s="36" t="str">
        <x:v>REINE_WIEDERERKENNUNG</x:v>
      </x:c>
      <x:c r="P335" s="36" t="str">
        <x:v>GESCHEHEN</x:v>
      </x:c>
      <x:c r="Q335" s="36" t="str">
        <x:v>Welche Ereignisse begleiten Jesu Tod nach Lukas 23?</x:v>
      </x:c>
      <x:c r="R335" s="36" t="str">
        <x:v>Der Tempel wird sofort vollständig zerstört.</x:v>
      </x:c>
      <x:c r="S335" s="36" t="str">
        <x:v>Die Sonne bleibt sieben Tage dunkel.</x:v>
      </x:c>
      <x:c r="T335" s="36" t="str">
        <x:v>Finsternis liegt über dem Land, der Tempelvorhang zerreißt, und der Hauptmann nennt Jesus gerecht.</x:v>
      </x:c>
      <x:c r="U335" s="36" t="str">
        <x:v>Pilatus bekennt Jesus öffentlich als König.</x:v>
      </x:c>
      <x:c r="V335" s="36" t="n">
        <x:v>2</x:v>
      </x:c>
      <x:c r="W335" s="36" t="str">
        <x:v>Finsternis liegt über dem Land, der Tempelvorhang zerreißt, und der Hauptmann nennt Jesus gerecht.</x:v>
      </x:c>
      <x:c r="X335" s="36" t="str">
        <x:v>Lukas 23,44–49</x:v>
      </x:c>
      <x:c r="Y335" s="36" t="str">
        <x:v>Lukas verbindet Jesu Tod mit Finsternis, dem zerrissenen Vorhang und der Reaktion des Hauptmanns.</x:v>
      </x:c>
      <x:c r="Z335" s="36" t="str">
        <x:v>JA</x:v>
      </x:c>
      <x:c r="AA335" s="36" t="str">
        <x:v>JA</x:v>
      </x:c>
      <x:c r="AB335" s="36" t="str">
        <x:v>JA</x:v>
      </x:c>
      <x:c r="AC335" s="36" t="str">
        <x:v>JA</x:v>
      </x:c>
      <x:c r="AD335" s="36" t="str">
        <x:v>JA</x:v>
      </x:c>
      <x:c r="AE335" s="36" t="str">
        <x:v>JA</x:v>
      </x:c>
      <x:c r="AF335" s="36" t="str">
        <x:v>JA</x:v>
      </x:c>
      <x:c r="AG335" s="36" t="str">
        <x:v>FREIGEGEBEN</x:v>
      </x:c>
      <x:c r="AH335" s="36" t="str">
        <x:v>GPT-5.6 Sol · Buchprüfung Lukas · L1912/OTB</x:v>
      </x:c>
      <x:c r="AI335" s="36" t="str">
        <x:v>FREIGEGEBEN</x:v>
      </x:c>
      <x:c r="AJ335" s="36" t="str">
        <x:v>Lukas 23: repetitive Wiedererkennungsfrage durch GESCHEHEN-Frage ersetzt.</x:v>
      </x:c>
      <x:c r="AK335" s="36" t="str">
        <x:v>FaithPath repo develop/v4 · data/bibles/l1912/LUK.json · data/bibles/otb/LUK.json</x:v>
      </x:c>
      <x:c r="AL335" t="str">
        <x:v>JA</x:v>
      </x:c>
    </x:row>
    <x:row r="336">
      <x:c r="A336" t="str">
        <x:v>FP-0595</x:v>
      </x:c>
      <x:c r="B336" t="str">
        <x:v>LUK</x:v>
      </x:c>
      <x:c r="C336" t="str">
        <x:v>Lukas</x:v>
      </x:c>
      <x:c r="D336" t="n">
        <x:v>23</x:v>
      </x:c>
      <x:c r="E336" t="n">
        <x:v>5</x:v>
      </x:c>
      <x:c r="F336" t="str">
        <x:v>LUK-023</x:v>
      </x:c>
      <x:c r="G336" t="n">
        <x:v>67</x:v>
      </x:c>
      <x:c r="H336" t="str">
        <x:v>CQ-A04</x:v>
      </x:c>
      <x:c r="I336" s="36" t="str">
        <x:v>Welche dieser Aussagen stammt aus Lukas 23?</x:v>
      </x:c>
      <x:c r="J336" s="36" t="str"/>
      <x:c r="K336" s="36" t="str"/>
      <x:c r="L336" s="36" t="str">
        <x:v>REPO_VERIFIZIERT_FRAGEFORM</x:v>
      </x:c>
      <x:c r="M336" s="36" t="str">
        <x:v>ERSETZEN</x:v>
      </x:c>
      <x:c r="N336" s="36" t="str">
        <x:v>REPETITIVE_FRAGEFORM</x:v>
      </x:c>
      <x:c r="O336" s="36" t="str">
        <x:v>REINE_WIEDERERKENNUNG</x:v>
      </x:c>
      <x:c r="P336" s="36" t="str">
        <x:v>GESCHEHEN</x:v>
      </x:c>
      <x:c r="Q336" s="36" t="str">
        <x:v>Was tut Josef von Arimathäa nach Jesu Tod?</x:v>
      </x:c>
      <x:c r="R336" s="36" t="str">
        <x:v>Er bringt Jesus nach Nazareth.</x:v>
      </x:c>
      <x:c r="S336" s="36" t="str">
        <x:v>Er verbrennt den Leichnam.</x:v>
      </x:c>
      <x:c r="T336" s="36" t="str">
        <x:v>Er verlässt Jerusalem, ohne etwas zu tun.</x:v>
      </x:c>
      <x:c r="U336" s="36" t="str">
        <x:v>Er bittet Pilatus um den Leichnam, legt Jesus in ein unbenutztes Felsengrab, während die Frauen den Ort beobachten.</x:v>
      </x:c>
      <x:c r="V336" s="36" t="n">
        <x:v>3</x:v>
      </x:c>
      <x:c r="W336" s="36" t="str">
        <x:v>Er bittet Pilatus um den Leichnam, legt Jesus in ein unbenutztes Felsengrab, während die Frauen den Ort beobachten.</x:v>
      </x:c>
      <x:c r="X336" s="36" t="str">
        <x:v>Lukas 23,50–56</x:v>
      </x:c>
      <x:c r="Y336" s="36" t="str">
        <x:v>Josef sorgt für die Bestattung; die Frauen sehen das Grab, bereiten Gewürze vor und ruhen am Sabbat.</x:v>
      </x:c>
      <x:c r="Z336" s="36" t="str">
        <x:v>JA</x:v>
      </x:c>
      <x:c r="AA336" s="36" t="str">
        <x:v>JA</x:v>
      </x:c>
      <x:c r="AB336" s="36" t="str">
        <x:v>JA</x:v>
      </x:c>
      <x:c r="AC336" s="36" t="str">
        <x:v>JA</x:v>
      </x:c>
      <x:c r="AD336" s="36" t="str">
        <x:v>JA</x:v>
      </x:c>
      <x:c r="AE336" s="36" t="str">
        <x:v>JA</x:v>
      </x:c>
      <x:c r="AF336" s="36" t="str">
        <x:v>JA</x:v>
      </x:c>
      <x:c r="AG336" s="36" t="str">
        <x:v>FREIGEGEBEN</x:v>
      </x:c>
      <x:c r="AH336" s="36" t="str">
        <x:v>GPT-5.6 Sol · Buchprüfung Lukas · L1912/OTB</x:v>
      </x:c>
      <x:c r="AI336" s="36" t="str">
        <x:v>FREIGEGEBEN</x:v>
      </x:c>
      <x:c r="AJ336" s="36" t="str">
        <x:v>Lukas 23: repetitive Wiedererkennungsfrage durch GESCHEHEN-Frage ersetzt.</x:v>
      </x:c>
      <x:c r="AK336" s="36" t="str">
        <x:v>FaithPath repo develop/v4 · data/bibles/l1912/LUK.json · data/bibles/otb/LUK.json</x:v>
      </x:c>
      <x:c r="AL336" t="str">
        <x:v>JA</x:v>
      </x:c>
    </x:row>
    <x:row r="337">
      <x:c r="A337" t="str">
        <x:v>FP-0596</x:v>
      </x:c>
      <x:c r="B337" t="str">
        <x:v>LUK</x:v>
      </x:c>
      <x:c r="C337" t="str">
        <x:v>Lukas</x:v>
      </x:c>
      <x:c r="D337" t="n">
        <x:v>24</x:v>
      </x:c>
      <x:c r="E337" t="n">
        <x:v>1</x:v>
      </x:c>
      <x:c r="F337" t="str">
        <x:v>LUK-024</x:v>
      </x:c>
      <x:c r="G337" t="n">
        <x:v>68</x:v>
      </x:c>
      <x:c r="H337" t="str">
        <x:v>CQ-A04</x:v>
      </x:c>
      <x:c r="I337" s="36" t="str">
        <x:v>Welche dieser Aussagen stammt aus Lukas 24?</x:v>
      </x:c>
      <x:c r="J337" s="36" t="str"/>
      <x:c r="K337" s="36" t="str"/>
      <x:c r="L337" s="36" t="str">
        <x:v>REPO_VERIFIZIERT_FRAGEFORM</x:v>
      </x:c>
      <x:c r="M337" s="36" t="str">
        <x:v>ERSETZEN</x:v>
      </x:c>
      <x:c r="N337" s="36" t="str">
        <x:v>REPETITIVE_FRAGEFORM</x:v>
      </x:c>
      <x:c r="O337" s="36" t="str">
        <x:v>REINE_WIEDERERKENNUNG</x:v>
      </x:c>
      <x:c r="P337" s="36" t="str">
        <x:v>GESCHEHEN</x:v>
      </x:c>
      <x:c r="Q337" s="36" t="str">
        <x:v>Welche Botschaft erhalten die Frauen am leeren Grab?</x:v>
      </x:c>
      <x:c r="R337" s="36" t="str">
        <x:v>Warum sucht ihr den Lebenden bei den Toten? Er ist auferstanden.</x:v>
      </x:c>
      <x:c r="S337" s="36" t="str">
        <x:v>Jesus wurde an einen anderen Ort gebracht.</x:v>
      </x:c>
      <x:c r="T337" s="36" t="str">
        <x:v>Sie sollen drei Tage warten.</x:v>
      </x:c>
      <x:c r="U337" s="36" t="str">
        <x:v>Die Jünger hätten den Leib genommen.</x:v>
      </x:c>
      <x:c r="V337" s="36" t="n">
        <x:v>0</x:v>
      </x:c>
      <x:c r="W337" s="36" t="str">
        <x:v>Warum sucht ihr den Lebenden bei den Toten? Er ist auferstanden.</x:v>
      </x:c>
      <x:c r="X337" s="36" t="str">
        <x:v>Lukas 24,1–8</x:v>
      </x:c>
      <x:c r="Y337" s="36" t="str">
        <x:v>Die beiden Männer erinnern die Frauen an Jesu eigene Ankündigung von Leiden, Kreuzigung und Auferstehung am dritten Tag.</x:v>
      </x:c>
      <x:c r="Z337" s="36" t="str">
        <x:v>JA</x:v>
      </x:c>
      <x:c r="AA337" s="36" t="str">
        <x:v>JA</x:v>
      </x:c>
      <x:c r="AB337" s="36" t="str">
        <x:v>JA</x:v>
      </x:c>
      <x:c r="AC337" s="36" t="str">
        <x:v>JA</x:v>
      </x:c>
      <x:c r="AD337" s="36" t="str">
        <x:v>JA</x:v>
      </x:c>
      <x:c r="AE337" s="36" t="str">
        <x:v>JA</x:v>
      </x:c>
      <x:c r="AF337" s="36" t="str">
        <x:v>JA</x:v>
      </x:c>
      <x:c r="AG337" s="36" t="str">
        <x:v>FREIGEGEBEN</x:v>
      </x:c>
      <x:c r="AH337" s="36" t="str">
        <x:v>GPT-5.6 Sol · Buchprüfung Lukas · L1912/OTB</x:v>
      </x:c>
      <x:c r="AI337" s="36" t="str">
        <x:v>FREIGEGEBEN</x:v>
      </x:c>
      <x:c r="AJ337" s="36" t="str">
        <x:v>Lukas 24: repetitive Wiedererkennungsfrage durch GESCHEHEN-Frage ersetzt.</x:v>
      </x:c>
      <x:c r="AK337" s="36" t="str">
        <x:v>FaithPath repo develop/v4 · data/bibles/l1912/LUK.json · data/bibles/otb/LUK.json</x:v>
      </x:c>
      <x:c r="AL337" t="str">
        <x:v>JA</x:v>
      </x:c>
    </x:row>
    <x:row r="338">
      <x:c r="A338" t="str">
        <x:v>FP-0597</x:v>
      </x:c>
      <x:c r="B338" t="str">
        <x:v>LUK</x:v>
      </x:c>
      <x:c r="C338" t="str">
        <x:v>Lukas</x:v>
      </x:c>
      <x:c r="D338" t="n">
        <x:v>24</x:v>
      </x:c>
      <x:c r="E338" t="n">
        <x:v>2</x:v>
      </x:c>
      <x:c r="F338" t="str">
        <x:v>LUK-024</x:v>
      </x:c>
      <x:c r="G338" t="n">
        <x:v>68</x:v>
      </x:c>
      <x:c r="H338" t="str">
        <x:v>CQ-A04</x:v>
      </x:c>
      <x:c r="I338" s="36" t="str">
        <x:v>Welche dieser Aussagen stammt aus Lukas 24?</x:v>
      </x:c>
      <x:c r="J338" s="36" t="str"/>
      <x:c r="K338" s="36" t="str"/>
      <x:c r="L338" s="36" t="str">
        <x:v>REPO_VERIFIZIERT_FRAGEFORM</x:v>
      </x:c>
      <x:c r="M338" s="36" t="str">
        <x:v>ERSETZEN</x:v>
      </x:c>
      <x:c r="N338" s="36" t="str">
        <x:v>REPETITIVE_FRAGEFORM</x:v>
      </x:c>
      <x:c r="O338" s="36" t="str">
        <x:v>REINE_WIEDERERKENNUNG</x:v>
      </x:c>
      <x:c r="P338" s="36" t="str">
        <x:v>ZUSAMMENHANG</x:v>
      </x:c>
      <x:c r="Q338" s="36" t="str">
        <x:v>Wie erklärt Jesus den beiden Jüngern auf dem Weg nach Emmaus die Ereignisse um den Christus?</x:v>
      </x:c>
      <x:c r="R338" s="36" t="str">
        <x:v>Er erklärt, die Schriften hätten nichts damit zu tun.</x:v>
      </x:c>
      <x:c r="S338" s="36" t="str">
        <x:v>Er beginnt bei Mose und den Propheten und zeigt, dass der Christus leiden und in seine Herrlichkeit eingehen musste.</x:v>
      </x:c>
      <x:c r="T338" s="36" t="str">
        <x:v>Er spricht nur über römische Politik.</x:v>
      </x:c>
      <x:c r="U338" s="36" t="str">
        <x:v>Er sagt, Leiden sei ein Zufall gewesen.</x:v>
      </x:c>
      <x:c r="V338" s="36" t="n">
        <x:v>1</x:v>
      </x:c>
      <x:c r="W338" s="36" t="str">
        <x:v>Er beginnt bei Mose und den Propheten und zeigt, dass der Christus leiden und in seine Herrlichkeit eingehen musste.</x:v>
      </x:c>
      <x:c r="X338" s="36" t="str">
        <x:v>Lukas 24,13–27</x:v>
      </x:c>
      <x:c r="Y338" s="36" t="str">
        <x:v>Jesus legt ihnen aus den Schriften dar, wie Leiden und Herrlichkeit des Christus zusammengehören.</x:v>
      </x:c>
      <x:c r="Z338" s="36" t="str">
        <x:v>JA</x:v>
      </x:c>
      <x:c r="AA338" s="36" t="str">
        <x:v>JA</x:v>
      </x:c>
      <x:c r="AB338" s="36" t="str">
        <x:v>JA</x:v>
      </x:c>
      <x:c r="AC338" s="36" t="str">
        <x:v>JA</x:v>
      </x:c>
      <x:c r="AD338" s="36" t="str">
        <x:v>JA</x:v>
      </x:c>
      <x:c r="AE338" s="36" t="str">
        <x:v>JA</x:v>
      </x:c>
      <x:c r="AF338" s="36" t="str">
        <x:v>JA</x:v>
      </x:c>
      <x:c r="AG338" s="36" t="str">
        <x:v>FREIGEGEBEN</x:v>
      </x:c>
      <x:c r="AH338" s="36" t="str">
        <x:v>GPT-5.6 Sol · Buchprüfung Lukas · L1912/OTB</x:v>
      </x:c>
      <x:c r="AI338" s="36" t="str">
        <x:v>FREIGEGEBEN</x:v>
      </x:c>
      <x:c r="AJ338" s="36" t="str">
        <x:v>Lukas 24: repetitive Wiedererkennungsfrage durch ZUSAMMENHANG-Frage ersetzt.</x:v>
      </x:c>
      <x:c r="AK338" s="36" t="str">
        <x:v>FaithPath repo develop/v4 · data/bibles/l1912/LUK.json · data/bibles/otb/LUK.json</x:v>
      </x:c>
      <x:c r="AL338" t="str">
        <x:v>JA</x:v>
      </x:c>
    </x:row>
    <x:row r="339">
      <x:c r="A339" t="str">
        <x:v>FP-0598</x:v>
      </x:c>
      <x:c r="B339" t="str">
        <x:v>LUK</x:v>
      </x:c>
      <x:c r="C339" t="str">
        <x:v>Lukas</x:v>
      </x:c>
      <x:c r="D339" t="n">
        <x:v>24</x:v>
      </x:c>
      <x:c r="E339" t="n">
        <x:v>3</x:v>
      </x:c>
      <x:c r="F339" t="str">
        <x:v>LUK-024</x:v>
      </x:c>
      <x:c r="G339" t="n">
        <x:v>68</x:v>
      </x:c>
      <x:c r="H339" t="str">
        <x:v>CQ-A04</x:v>
      </x:c>
      <x:c r="I339" s="36" t="str">
        <x:v>Welche dieser Aussagen stammt aus Lukas 24?</x:v>
      </x:c>
      <x:c r="J339" s="36" t="str"/>
      <x:c r="K339" s="36" t="str"/>
      <x:c r="L339" s="36" t="str">
        <x:v>REPO_VERIFIZIERT_FRAGEFORM</x:v>
      </x:c>
      <x:c r="M339" s="36" t="str">
        <x:v>ERSETZEN</x:v>
      </x:c>
      <x:c r="N339" s="36" t="str">
        <x:v>REPETITIVE_FRAGEFORM</x:v>
      </x:c>
      <x:c r="O339" s="36" t="str">
        <x:v>REINE_WIEDERERKENNUNG</x:v>
      </x:c>
      <x:c r="P339" s="36" t="str">
        <x:v>GESCHEHEN</x:v>
      </x:c>
      <x:c r="Q339" s="36" t="str">
        <x:v>Woran erkennen die Emmausjünger Jesus?</x:v>
      </x:c>
      <x:c r="R339" s="36" t="str">
        <x:v>An seiner Kleidung.</x:v>
      </x:c>
      <x:c r="S339" s="36" t="str">
        <x:v>An einem besonderen Ring.</x:v>
      </x:c>
      <x:c r="T339" s="36" t="str">
        <x:v>Beim Brechen des Brotes.</x:v>
      </x:c>
      <x:c r="U339" s="36" t="str">
        <x:v>Erst nachdem Petrus ihn nennt.</x:v>
      </x:c>
      <x:c r="V339" s="36" t="n">
        <x:v>2</x:v>
      </x:c>
      <x:c r="W339" s="36" t="str">
        <x:v>Beim Brechen des Brotes.</x:v>
      </x:c>
      <x:c r="X339" s="36" t="str">
        <x:v>Lukas 24,28–35</x:v>
      </x:c>
      <x:c r="Y339" s="36" t="str">
        <x:v>Beim gemeinsamen Essen werden ihre Augen geöffnet; anschließend erinnern sie sich daran, wie ihr Herz beim Öffnen der Schrift brannte.</x:v>
      </x:c>
      <x:c r="Z339" s="36" t="str">
        <x:v>JA</x:v>
      </x:c>
      <x:c r="AA339" s="36" t="str">
        <x:v>JA</x:v>
      </x:c>
      <x:c r="AB339" s="36" t="str">
        <x:v>JA</x:v>
      </x:c>
      <x:c r="AC339" s="36" t="str">
        <x:v>JA</x:v>
      </x:c>
      <x:c r="AD339" s="36" t="str">
        <x:v>JA</x:v>
      </x:c>
      <x:c r="AE339" s="36" t="str">
        <x:v>JA</x:v>
      </x:c>
      <x:c r="AF339" s="36" t="str">
        <x:v>JA</x:v>
      </x:c>
      <x:c r="AG339" s="36" t="str">
        <x:v>FREIGEGEBEN</x:v>
      </x:c>
      <x:c r="AH339" s="36" t="str">
        <x:v>GPT-5.6 Sol · Buchprüfung Lukas · L1912/OTB</x:v>
      </x:c>
      <x:c r="AI339" s="36" t="str">
        <x:v>FREIGEGEBEN</x:v>
      </x:c>
      <x:c r="AJ339" s="36" t="str">
        <x:v>Lukas 24: repetitive Wiedererkennungsfrage durch GESCHEHEN-Frage ersetzt.</x:v>
      </x:c>
      <x:c r="AK339" s="36" t="str">
        <x:v>FaithPath repo develop/v4 · data/bibles/l1912/LUK.json · data/bibles/otb/LUK.json</x:v>
      </x:c>
      <x:c r="AL339" t="str">
        <x:v>JA</x:v>
      </x:c>
    </x:row>
    <x:row r="340">
      <x:c r="A340" t="str">
        <x:v>FP-0599</x:v>
      </x:c>
      <x:c r="B340" t="str">
        <x:v>LUK</x:v>
      </x:c>
      <x:c r="C340" t="str">
        <x:v>Lukas</x:v>
      </x:c>
      <x:c r="D340" t="n">
        <x:v>24</x:v>
      </x:c>
      <x:c r="E340" t="n">
        <x:v>4</x:v>
      </x:c>
      <x:c r="F340" t="str">
        <x:v>LUK-024</x:v>
      </x:c>
      <x:c r="G340" t="n">
        <x:v>68</x:v>
      </x:c>
      <x:c r="H340" t="str">
        <x:v>CQ-A04</x:v>
      </x:c>
      <x:c r="I340" s="36" t="str">
        <x:v>Welche dieser Aussagen stammt aus Lukas 24?</x:v>
      </x:c>
      <x:c r="J340" s="36" t="str"/>
      <x:c r="K340" s="36" t="str"/>
      <x:c r="L340" s="36" t="str">
        <x:v>REPO_VERIFIZIERT_FRAGEFORM</x:v>
      </x:c>
      <x:c r="M340" s="36" t="str">
        <x:v>ERSETZEN</x:v>
      </x:c>
      <x:c r="N340" s="36" t="str">
        <x:v>REPETITIVE_FRAGEFORM</x:v>
      </x:c>
      <x:c r="O340" s="36" t="str">
        <x:v>REINE_WIEDERERKENNUNG</x:v>
      </x:c>
      <x:c r="P340" s="36" t="str">
        <x:v>KERNAUSSAGE</x:v>
      </x:c>
      <x:c r="Q340" s="36" t="str">
        <x:v>Welche Aufgabe verbindet der auferstandene Jesus mit der Öffnung der Schriften?</x:v>
      </x:c>
      <x:c r="R340" s="36" t="str">
        <x:v>Die Jünger sollen sofort Rom erobern.</x:v>
      </x:c>
      <x:c r="S340" s="36" t="str">
        <x:v>Nur Israel soll die Botschaft hören.</x:v>
      </x:c>
      <x:c r="T340" s="36" t="str">
        <x:v>Die Jünger sollen Jerusalem nie wieder betreten.</x:v>
      </x:c>
      <x:c r="U340" s="36" t="str">
        <x:v>In seinem Namen sollen Umkehr und Vergebung der Sünden unter allen Völkern verkündet werden, beginnend in Jerusalem.</x:v>
      </x:c>
      <x:c r="V340" s="36" t="n">
        <x:v>3</x:v>
      </x:c>
      <x:c r="W340" s="36" t="str">
        <x:v>In seinem Namen sollen Umkehr und Vergebung der Sünden unter allen Völkern verkündet werden, beginnend in Jerusalem.</x:v>
      </x:c>
      <x:c r="X340" s="36" t="str">
        <x:v>Lukas 24,36–49</x:v>
      </x:c>
      <x:c r="Y340" s="36" t="str">
        <x:v>Jesus verbindet Schriftverständnis mit Zeugenschaft und dem weltweiten Ruf zu Umkehr und Vergebung.</x:v>
      </x:c>
      <x:c r="Z340" s="36" t="str">
        <x:v>JA</x:v>
      </x:c>
      <x:c r="AA340" s="36" t="str">
        <x:v>JA</x:v>
      </x:c>
      <x:c r="AB340" s="36" t="str">
        <x:v>JA</x:v>
      </x:c>
      <x:c r="AC340" s="36" t="str">
        <x:v>JA</x:v>
      </x:c>
      <x:c r="AD340" s="36" t="str">
        <x:v>JA</x:v>
      </x:c>
      <x:c r="AE340" s="36" t="str">
        <x:v>JA</x:v>
      </x:c>
      <x:c r="AF340" s="36" t="str">
        <x:v>JA</x:v>
      </x:c>
      <x:c r="AG340" s="36" t="str">
        <x:v>FREIGEGEBEN</x:v>
      </x:c>
      <x:c r="AH340" s="36" t="str">
        <x:v>GPT-5.6 Sol · Buchprüfung Lukas · L1912/OTB</x:v>
      </x:c>
      <x:c r="AI340" s="36" t="str">
        <x:v>FREIGEGEBEN</x:v>
      </x:c>
      <x:c r="AJ340" s="36" t="str">
        <x:v>Lukas 24: repetitive Wiedererkennungsfrage durch KERNAUSSAGE-Frage ersetzt.</x:v>
      </x:c>
      <x:c r="AK340" s="36" t="str">
        <x:v>FaithPath repo develop/v4 · data/bibles/l1912/LUK.json · data/bibles/otb/LUK.json</x:v>
      </x:c>
      <x:c r="AL340" t="str">
        <x:v>JA</x:v>
      </x:c>
    </x:row>
    <x:row r="341">
      <x:c r="A341" t="str">
        <x:v>FP-0600</x:v>
      </x:c>
      <x:c r="B341" t="str">
        <x:v>LUK</x:v>
      </x:c>
      <x:c r="C341" t="str">
        <x:v>Lukas</x:v>
      </x:c>
      <x:c r="D341" t="n">
        <x:v>24</x:v>
      </x:c>
      <x:c r="E341" t="n">
        <x:v>5</x:v>
      </x:c>
      <x:c r="F341" t="str">
        <x:v>LUK-024</x:v>
      </x:c>
      <x:c r="G341" t="n">
        <x:v>68</x:v>
      </x:c>
      <x:c r="H341" t="str">
        <x:v>CQ-A04</x:v>
      </x:c>
      <x:c r="I341" s="36" t="str">
        <x:v>Welche dieser Aussagen stammt aus Lukas 24?</x:v>
      </x:c>
      <x:c r="J341" s="36" t="str"/>
      <x:c r="K341" s="36" t="str"/>
      <x:c r="L341" s="36" t="str">
        <x:v>REPO_VERIFIZIERT_FRAGEFORM</x:v>
      </x:c>
      <x:c r="M341" s="36" t="str">
        <x:v>ERSETZEN</x:v>
      </x:c>
      <x:c r="N341" s="36" t="str">
        <x:v>REPETITIVE_FRAGEFORM</x:v>
      </x:c>
      <x:c r="O341" s="36" t="str">
        <x:v>REINE_WIEDERERKENNUNG</x:v>
      </x:c>
      <x:c r="P341" s="36" t="str">
        <x:v>GESCHEHEN</x:v>
      </x:c>
      <x:c r="Q341" s="36" t="str">
        <x:v>Wie reagieren die Jünger nach Jesu Aufnahme in den Himmel?</x:v>
      </x:c>
      <x:c r="R341" s="36" t="str">
        <x:v>Sie kehren mit großer Freude nach Jerusalem zurück und loben Gott im Tempel.</x:v>
      </x:c>
      <x:c r="S341" s="36" t="str">
        <x:v>Sie zerstreuen sich traurig.</x:v>
      </x:c>
      <x:c r="T341" s="36" t="str">
        <x:v>Sie ziehen sofort nach Rom.</x:v>
      </x:c>
      <x:c r="U341" s="36" t="str">
        <x:v>Sie verstecken sich dauerhaft.</x:v>
      </x:c>
      <x:c r="V341" s="36" t="n">
        <x:v>0</x:v>
      </x:c>
      <x:c r="W341" s="36" t="str">
        <x:v>Sie kehren mit großer Freude nach Jerusalem zurück und loben Gott im Tempel.</x:v>
      </x:c>
      <x:c r="X341" s="36" t="str">
        <x:v>Lukas 24,50–53</x:v>
      </x:c>
      <x:c r="Y341" s="36" t="str">
        <x:v>Nach der Himmelfahrt kehren die Jünger freudig nach Jerusalem zurück und bleiben im Lob Gottes.</x:v>
      </x:c>
      <x:c r="Z341" s="36" t="str">
        <x:v>JA</x:v>
      </x:c>
      <x:c r="AA341" s="36" t="str">
        <x:v>JA</x:v>
      </x:c>
      <x:c r="AB341" s="36" t="str">
        <x:v>JA</x:v>
      </x:c>
      <x:c r="AC341" s="36" t="str">
        <x:v>JA</x:v>
      </x:c>
      <x:c r="AD341" s="36" t="str">
        <x:v>JA</x:v>
      </x:c>
      <x:c r="AE341" s="36" t="str">
        <x:v>JA</x:v>
      </x:c>
      <x:c r="AF341" s="36" t="str">
        <x:v>JA</x:v>
      </x:c>
      <x:c r="AG341" s="36" t="str">
        <x:v>FREIGEGEBEN</x:v>
      </x:c>
      <x:c r="AH341" s="36" t="str">
        <x:v>GPT-5.6 Sol · Buchprüfung Lukas · L1912/OTB</x:v>
      </x:c>
      <x:c r="AI341" s="36" t="str">
        <x:v>FREIGEGEBEN</x:v>
      </x:c>
      <x:c r="AJ341" s="36" t="str">
        <x:v>Lukas 24: repetitive Wiedererkennungsfrage durch GESCHEHEN-Frage ersetzt.</x:v>
      </x:c>
      <x:c r="AK341" s="36" t="str">
        <x:v>FaithPath repo develop/v4 · data/bibles/l1912/LUK.json · data/bibles/otb/LUK.json</x:v>
      </x:c>
      <x:c r="AL341" t="str">
        <x:v>JA</x:v>
      </x:c>
    </x:row>
    <x:row r="342">
      <x:c r="A342" t="str">
        <x:v>FP-0601</x:v>
      </x:c>
      <x:c r="B342" t="str">
        <x:v>JHN</x:v>
      </x:c>
      <x:c r="C342" t="str">
        <x:v>Johannes</x:v>
      </x:c>
      <x:c r="D342" t="n">
        <x:v>1</x:v>
      </x:c>
      <x:c r="E342" t="n">
        <x:v>1</x:v>
      </x:c>
      <x:c r="F342" t="str">
        <x:v>JHN-001</x:v>
      </x:c>
      <x:c r="G342" t="n">
        <x:v>69</x:v>
      </x:c>
      <x:c r="H342" t="str">
        <x:v>CQ-A04</x:v>
      </x:c>
      <x:c r="I342" s="36" t="str">
        <x:v>Welche dieser Aussagen stammt aus Johannes 1?</x:v>
      </x:c>
      <x:c r="J342" s="36" t="str"/>
      <x:c r="K342" s="36" t="str"/>
      <x:c r="L342" s="36" t="str">
        <x:v>REPO_VERIFIZIERT_FRAGEFORM</x:v>
      </x:c>
      <x:c r="M342" s="36" t="str">
        <x:v>ERSETZEN</x:v>
      </x:c>
      <x:c r="N342" s="36" t="str">
        <x:v>REPETITIVE_FRAGEFORM</x:v>
      </x:c>
      <x:c r="O342" s="36" t="str">
        <x:v>REINE_WIEDERERKENNUNG</x:v>
      </x:c>
      <x:c r="P342" s="36" t="str">
        <x:v>KERNAUSSAGE</x:v>
      </x:c>
      <x:c r="Q342" s="36" t="str">
        <x:v>Wie beschreibt Johannes das Wort am Anfang seines Evangeliums?</x:v>
      </x:c>
      <x:c r="R342" s="36" t="str">
        <x:v>Das Wort wurde erst bei Jesu Geburt geschaffen.</x:v>
      </x:c>
      <x:c r="S342" s="36" t="str">
        <x:v>Das Wort war nur ein anderer Name für Mose.</x:v>
      </x:c>
      <x:c r="T342" s="36" t="str">
        <x:v>Das Wort war bei Gott und das Wort war Gott.</x:v>
      </x:c>
      <x:c r="U342" s="36" t="str">
        <x:v>Das Wort gehörte ausschließlich zum Tempel.</x:v>
      </x:c>
      <x:c r="V342" s="36" t="n">
        <x:v>2</x:v>
      </x:c>
      <x:c r="W342" s="36" t="str">
        <x:v>Das Wort war bei Gott und das Wort war Gott.</x:v>
      </x:c>
      <x:c r="X342" s="36" t="str">
        <x:v>Johannes 1,1–3</x:v>
      </x:c>
      <x:c r="Y342" s="36" t="str">
        <x:v>Johannes stellt das Wort als von Anfang an bei Gott und zugleich göttlich vor; durch das Wort ist alles geworden.</x:v>
      </x:c>
      <x:c r="Z342" s="36" t="str">
        <x:v>JA</x:v>
      </x:c>
      <x:c r="AA342" s="36" t="str">
        <x:v>JA</x:v>
      </x:c>
      <x:c r="AB342" s="36" t="str">
        <x:v>JA</x:v>
      </x:c>
      <x:c r="AC342" s="36" t="str">
        <x:v>JA</x:v>
      </x:c>
      <x:c r="AD342" s="36" t="str">
        <x:v>JA</x:v>
      </x:c>
      <x:c r="AE342" s="36" t="str">
        <x:v>JA</x:v>
      </x:c>
      <x:c r="AF342" s="36" t="str">
        <x:v>JA</x:v>
      </x:c>
      <x:c r="AG342" s="36" t="str">
        <x:v>FREIGEGEBEN</x:v>
      </x:c>
      <x:c r="AH342" s="36" t="str">
        <x:v>GPT-5.6 Sol · Buchprüfung Johannes · L1912/OTB</x:v>
      </x:c>
      <x:c r="AI342" s="36" t="str">
        <x:v>FREIGEGEBEN</x:v>
      </x:c>
      <x:c r="AJ342" s="36" t="str">
        <x:v>Johannes 1: repetitive Wiedererkennungsfrage durch KERNAUSSAGE-Frage ersetzt.</x:v>
      </x:c>
      <x:c r="AK342" s="36" t="str">
        <x:v>FaithPath repo develop/v4 · data/bibles/l1912/JHN.json · data/bibles/otb/JHN.json</x:v>
      </x:c>
      <x:c r="AL342" t="str">
        <x:v>JA</x:v>
      </x:c>
    </x:row>
    <x:row r="343">
      <x:c r="A343" t="str">
        <x:v>FP-0602</x:v>
      </x:c>
      <x:c r="B343" t="str">
        <x:v>JHN</x:v>
      </x:c>
      <x:c r="C343" t="str">
        <x:v>Johannes</x:v>
      </x:c>
      <x:c r="D343" t="n">
        <x:v>1</x:v>
      </x:c>
      <x:c r="E343" t="n">
        <x:v>2</x:v>
      </x:c>
      <x:c r="F343" t="str">
        <x:v>JHN-001</x:v>
      </x:c>
      <x:c r="G343" t="n">
        <x:v>69</x:v>
      </x:c>
      <x:c r="H343" t="str">
        <x:v>CQ-A04</x:v>
      </x:c>
      <x:c r="I343" s="36" t="str">
        <x:v>Welche dieser Aussagen stammt aus Johannes 1?</x:v>
      </x:c>
      <x:c r="J343" s="36" t="str"/>
      <x:c r="K343" s="36" t="str"/>
      <x:c r="L343" s="36" t="str">
        <x:v>REPO_VERIFIZIERT_FRAGEFORM</x:v>
      </x:c>
      <x:c r="M343" s="36" t="str">
        <x:v>ERSETZEN</x:v>
      </x:c>
      <x:c r="N343" s="36" t="str">
        <x:v>REPETITIVE_FRAGEFORM</x:v>
      </x:c>
      <x:c r="O343" s="36" t="str">
        <x:v>REINE_WIEDERERKENNUNG</x:v>
      </x:c>
      <x:c r="P343" s="36" t="str">
        <x:v>KERNAUSSAGE</x:v>
      </x:c>
      <x:c r="Q343" s="36" t="str">
        <x:v>Was bedeutet Johannes' Aussage, dass das Wort Fleisch wurde?</x:v>
      </x:c>
      <x:c r="R343" s="36" t="str">
        <x:v>Das Wort wurde in eine Schriftrolle verwandelt.</x:v>
      </x:c>
      <x:c r="S343" s="36" t="str">
        <x:v>Das Wort erschien nur in einem Traum.</x:v>
      </x:c>
      <x:c r="T343" s="36" t="str">
        <x:v>Das Wort blieb für Menschen unsichtbar.</x:v>
      </x:c>
      <x:c r="U343" s="36" t="str">
        <x:v>Das Wort wurde Mensch und wohnte unter den Menschen.</x:v>
      </x:c>
      <x:c r="V343" s="36" t="n">
        <x:v>3</x:v>
      </x:c>
      <x:c r="W343" s="36" t="str">
        <x:v>Das Wort wurde Mensch und wohnte unter den Menschen.</x:v>
      </x:c>
      <x:c r="X343" s="36" t="str">
        <x:v>Johannes 1,14</x:v>
      </x:c>
      <x:c r="Y343" s="36" t="str">
        <x:v>Johannes beschreibt die Menschwerdung: Das ewige Wort wurde Fleisch und wohnte unter den Menschen.</x:v>
      </x:c>
      <x:c r="Z343" s="36" t="str">
        <x:v>JA</x:v>
      </x:c>
      <x:c r="AA343" s="36" t="str">
        <x:v>JA</x:v>
      </x:c>
      <x:c r="AB343" s="36" t="str">
        <x:v>JA</x:v>
      </x:c>
      <x:c r="AC343" s="36" t="str">
        <x:v>JA</x:v>
      </x:c>
      <x:c r="AD343" s="36" t="str">
        <x:v>JA</x:v>
      </x:c>
      <x:c r="AE343" s="36" t="str">
        <x:v>JA</x:v>
      </x:c>
      <x:c r="AF343" s="36" t="str">
        <x:v>JA</x:v>
      </x:c>
      <x:c r="AG343" s="36" t="str">
        <x:v>FREIGEGEBEN</x:v>
      </x:c>
      <x:c r="AH343" s="36" t="str">
        <x:v>GPT-5.6 Sol · Buchprüfung Johannes · L1912/OTB</x:v>
      </x:c>
      <x:c r="AI343" s="36" t="str">
        <x:v>FREIGEGEBEN</x:v>
      </x:c>
      <x:c r="AJ343" s="36" t="str">
        <x:v>Johannes 1: repetitive Wiedererkennungsfrage durch KERNAUSSAGE-Frage ersetzt.</x:v>
      </x:c>
      <x:c r="AK343" s="36" t="str">
        <x:v>FaithPath repo develop/v4 · data/bibles/l1912/JHN.json · data/bibles/otb/JHN.json</x:v>
      </x:c>
      <x:c r="AL343" t="str">
        <x:v>JA</x:v>
      </x:c>
    </x:row>
    <x:row r="344">
      <x:c r="A344" t="str">
        <x:v>FP-0603</x:v>
      </x:c>
      <x:c r="B344" t="str">
        <x:v>JHN</x:v>
      </x:c>
      <x:c r="C344" t="str">
        <x:v>Johannes</x:v>
      </x:c>
      <x:c r="D344" t="n">
        <x:v>1</x:v>
      </x:c>
      <x:c r="E344" t="n">
        <x:v>3</x:v>
      </x:c>
      <x:c r="F344" t="str">
        <x:v>JHN-001</x:v>
      </x:c>
      <x:c r="G344" t="n">
        <x:v>69</x:v>
      </x:c>
      <x:c r="H344" t="str">
        <x:v>CQ-A04</x:v>
      </x:c>
      <x:c r="I344" s="36" t="str">
        <x:v>Welche dieser Aussagen stammt aus Johannes 1?</x:v>
      </x:c>
      <x:c r="J344" s="36" t="str"/>
      <x:c r="K344" s="36" t="str"/>
      <x:c r="L344" s="36" t="str">
        <x:v>REPO_VERIFIZIERT_FRAGEFORM</x:v>
      </x:c>
      <x:c r="M344" s="36" t="str">
        <x:v>ERSETZEN</x:v>
      </x:c>
      <x:c r="N344" s="36" t="str">
        <x:v>REPETITIVE_FRAGEFORM</x:v>
      </x:c>
      <x:c r="O344" s="36" t="str">
        <x:v>REINE_WIEDERERKENNUNG</x:v>
      </x:c>
      <x:c r="P344" s="36" t="str">
        <x:v>PERSON_AUSSAGE</x:v>
      </x:c>
      <x:c r="Q344" s="36" t="str">
        <x:v>Wie bezeichnet Johannes der Täufer Jesus, als er ihn kommen sieht?</x:v>
      </x:c>
      <x:c r="R344" s="36" t="str">
        <x:v>Als das Lamm Gottes, das die Sünde der Welt trägt.</x:v>
      </x:c>
      <x:c r="S344" s="36" t="str">
        <x:v>Als den neuen Hohepriester des Tempels.</x:v>
      </x:c>
      <x:c r="T344" s="36" t="str">
        <x:v>Als den König von Rom.</x:v>
      </x:c>
      <x:c r="U344" s="36" t="str">
        <x:v>Als den Nachfolger des Mose.</x:v>
      </x:c>
      <x:c r="V344" s="36" t="n">
        <x:v>0</x:v>
      </x:c>
      <x:c r="W344" s="36" t="str">
        <x:v>Als das Lamm Gottes, das die Sünde der Welt trägt.</x:v>
      </x:c>
      <x:c r="X344" s="36" t="str">
        <x:v>Johannes 1,29</x:v>
      </x:c>
      <x:c r="Y344" s="36" t="str">
        <x:v>Johannes weist auf Jesus als das Lamm Gottes hin und verbindet ihn mit der Wegnahme der Sünde der Welt.</x:v>
      </x:c>
      <x:c r="Z344" s="36" t="str">
        <x:v>JA</x:v>
      </x:c>
      <x:c r="AA344" s="36" t="str">
        <x:v>JA</x:v>
      </x:c>
      <x:c r="AB344" s="36" t="str">
        <x:v>JA</x:v>
      </x:c>
      <x:c r="AC344" s="36" t="str">
        <x:v>JA</x:v>
      </x:c>
      <x:c r="AD344" s="36" t="str">
        <x:v>JA</x:v>
      </x:c>
      <x:c r="AE344" s="36" t="str">
        <x:v>JA</x:v>
      </x:c>
      <x:c r="AF344" s="36" t="str">
        <x:v>JA</x:v>
      </x:c>
      <x:c r="AG344" s="36" t="str">
        <x:v>FREIGEGEBEN</x:v>
      </x:c>
      <x:c r="AH344" s="36" t="str">
        <x:v>GPT-5.6 Sol · Buchprüfung Johannes · L1912/OTB</x:v>
      </x:c>
      <x:c r="AI344" s="36" t="str">
        <x:v>FREIGEGEBEN</x:v>
      </x:c>
      <x:c r="AJ344" s="36" t="str">
        <x:v>Johannes 1: repetitive Wiedererkennungsfrage durch PERSON_AUSSAGE-Frage ersetzt.</x:v>
      </x:c>
      <x:c r="AK344" s="36" t="str">
        <x:v>FaithPath repo develop/v4 · data/bibles/l1912/JHN.json · data/bibles/otb/JHN.json</x:v>
      </x:c>
      <x:c r="AL344" t="str">
        <x:v>JA</x:v>
      </x:c>
    </x:row>
    <x:row r="345">
      <x:c r="A345" t="str">
        <x:v>FP-0604</x:v>
      </x:c>
      <x:c r="B345" t="str">
        <x:v>JHN</x:v>
      </x:c>
      <x:c r="C345" t="str">
        <x:v>Johannes</x:v>
      </x:c>
      <x:c r="D345" t="n">
        <x:v>1</x:v>
      </x:c>
      <x:c r="E345" t="n">
        <x:v>4</x:v>
      </x:c>
      <x:c r="F345" t="str">
        <x:v>JHN-001</x:v>
      </x:c>
      <x:c r="G345" t="n">
        <x:v>69</x:v>
      </x:c>
      <x:c r="H345" t="str">
        <x:v>CQ-A04</x:v>
      </x:c>
      <x:c r="I345" s="36" t="str">
        <x:v>Welche dieser Aussagen stammt aus Johannes 1?</x:v>
      </x:c>
      <x:c r="J345" s="36" t="str"/>
      <x:c r="K345" s="36" t="str"/>
      <x:c r="L345" s="36" t="str">
        <x:v>REPO_VERIFIZIERT_FRAGEFORM</x:v>
      </x:c>
      <x:c r="M345" s="36" t="str">
        <x:v>ERSETZEN</x:v>
      </x:c>
      <x:c r="N345" s="36" t="str">
        <x:v>REPETITIVE_FRAGEFORM</x:v>
      </x:c>
      <x:c r="O345" s="36" t="str">
        <x:v>REINE_WIEDERERKENNUNG</x:v>
      </x:c>
      <x:c r="P345" s="36" t="str">
        <x:v>GESCHEHEN</x:v>
      </x:c>
      <x:c r="Q345" s="36" t="str">
        <x:v>Was geschieht, nachdem Andreas Jesus begegnet ist?</x:v>
      </x:c>
      <x:c r="R345" s="36" t="str">
        <x:v>Er kehrt allein nach Galiläa zurück.</x:v>
      </x:c>
      <x:c r="S345" s="36" t="str">
        <x:v>Er sucht seinen Bruder Simon und sagt ihm, sie hätten den Messias gefunden.</x:v>
      </x:c>
      <x:c r="T345" s="36" t="str">
        <x:v>Er wird sofort nach Jerusalem geschickt.</x:v>
      </x:c>
      <x:c r="U345" s="36" t="str">
        <x:v>Er verlässt Johannes und spricht mit niemandem darüber.</x:v>
      </x:c>
      <x:c r="V345" s="36" t="n">
        <x:v>1</x:v>
      </x:c>
      <x:c r="W345" s="36" t="str">
        <x:v>Er sucht seinen Bruder Simon und sagt ihm, sie hätten den Messias gefunden.</x:v>
      </x:c>
      <x:c r="X345" s="36" t="str">
        <x:v>Johannes 1,40–42</x:v>
      </x:c>
      <x:c r="Y345" s="36" t="str">
        <x:v>Andreas bringt die Begegnung direkt zu seinem Bruder Simon und führt ihn zu Jesus.</x:v>
      </x:c>
      <x:c r="Z345" s="36" t="str">
        <x:v>JA</x:v>
      </x:c>
      <x:c r="AA345" s="36" t="str">
        <x:v>JA</x:v>
      </x:c>
      <x:c r="AB345" s="36" t="str">
        <x:v>JA</x:v>
      </x:c>
      <x:c r="AC345" s="36" t="str">
        <x:v>JA</x:v>
      </x:c>
      <x:c r="AD345" s="36" t="str">
        <x:v>JA</x:v>
      </x:c>
      <x:c r="AE345" s="36" t="str">
        <x:v>JA</x:v>
      </x:c>
      <x:c r="AF345" s="36" t="str">
        <x:v>JA</x:v>
      </x:c>
      <x:c r="AG345" s="36" t="str">
        <x:v>FREIGEGEBEN</x:v>
      </x:c>
      <x:c r="AH345" s="36" t="str">
        <x:v>GPT-5.6 Sol · Buchprüfung Johannes · L1912/OTB</x:v>
      </x:c>
      <x:c r="AI345" s="36" t="str">
        <x:v>FREIGEGEBEN</x:v>
      </x:c>
      <x:c r="AJ345" s="36" t="str">
        <x:v>Johannes 1: repetitive Wiedererkennungsfrage durch GESCHEHEN-Frage ersetzt.</x:v>
      </x:c>
      <x:c r="AK345" s="36" t="str">
        <x:v>FaithPath repo develop/v4 · data/bibles/l1912/JHN.json · data/bibles/otb/JHN.json</x:v>
      </x:c>
      <x:c r="AL345" t="str">
        <x:v>JA</x:v>
      </x:c>
    </x:row>
    <x:row r="346">
      <x:c r="A346" t="str">
        <x:v>FP-0605</x:v>
      </x:c>
      <x:c r="B346" t="str">
        <x:v>JHN</x:v>
      </x:c>
      <x:c r="C346" t="str">
        <x:v>Johannes</x:v>
      </x:c>
      <x:c r="D346" t="n">
        <x:v>1</x:v>
      </x:c>
      <x:c r="E346" t="n">
        <x:v>5</x:v>
      </x:c>
      <x:c r="F346" t="str">
        <x:v>JHN-001</x:v>
      </x:c>
      <x:c r="G346" t="n">
        <x:v>69</x:v>
      </x:c>
      <x:c r="H346" t="str">
        <x:v>CQ-A04</x:v>
      </x:c>
      <x:c r="I346" s="36" t="str">
        <x:v>Welche dieser Aussagen stammt aus Johannes 1?</x:v>
      </x:c>
      <x:c r="J346" s="36" t="str"/>
      <x:c r="K346" s="36" t="str"/>
      <x:c r="L346" s="36" t="str">
        <x:v>REPO_VERIFIZIERT_FRAGEFORM</x:v>
      </x:c>
      <x:c r="M346" s="36" t="str">
        <x:v>ERSETZEN</x:v>
      </x:c>
      <x:c r="N346" s="36" t="str">
        <x:v>REPETITIVE_FRAGEFORM</x:v>
      </x:c>
      <x:c r="O346" s="36" t="str">
        <x:v>REINE_WIEDERERKENNUNG</x:v>
      </x:c>
      <x:c r="P346" s="36" t="str">
        <x:v>PERSON_AUSSAGE</x:v>
      </x:c>
      <x:c r="Q346" s="36" t="str">
        <x:v>Wie reagiert Nathanael, als Jesus zeigt, dass er ihn schon vor ihrer Begegnung kennt?</x:v>
      </x:c>
      <x:c r="R346" s="36" t="str">
        <x:v>Er fordert ein Zeichen im Tempel.</x:v>
      </x:c>
      <x:c r="S346" s="36" t="str">
        <x:v>Er geht zu Johannes dem Täufer zurück.</x:v>
      </x:c>
      <x:c r="T346" s="36" t="str">
        <x:v>Er bekennt Jesus als Sohn Gottes und König Israels.</x:v>
      </x:c>
      <x:c r="U346" s="36" t="str">
        <x:v>Er erklärt Jesus zum Priester.</x:v>
      </x:c>
      <x:c r="V346" s="36" t="n">
        <x:v>2</x:v>
      </x:c>
      <x:c r="W346" s="36" t="str">
        <x:v>Er bekennt Jesus als Sohn Gottes und König Israels.</x:v>
      </x:c>
      <x:c r="X346" s="36" t="str">
        <x:v>Johannes 1,47–49</x:v>
      </x:c>
      <x:c r="Y346" s="36" t="str">
        <x:v>Jesu Wissen über Nathanael führt bei ihm zu einem ausdrücklichen Bekenntnis zu Jesus.</x:v>
      </x:c>
      <x:c r="Z346" s="36" t="str">
        <x:v>JA</x:v>
      </x:c>
      <x:c r="AA346" s="36" t="str">
        <x:v>JA</x:v>
      </x:c>
      <x:c r="AB346" s="36" t="str">
        <x:v>JA</x:v>
      </x:c>
      <x:c r="AC346" s="36" t="str">
        <x:v>JA</x:v>
      </x:c>
      <x:c r="AD346" s="36" t="str">
        <x:v>JA</x:v>
      </x:c>
      <x:c r="AE346" s="36" t="str">
        <x:v>JA</x:v>
      </x:c>
      <x:c r="AF346" s="36" t="str">
        <x:v>JA</x:v>
      </x:c>
      <x:c r="AG346" s="36" t="str">
        <x:v>FREIGEGEBEN</x:v>
      </x:c>
      <x:c r="AH346" s="36" t="str">
        <x:v>GPT-5.6 Sol · Buchprüfung Johannes · L1912/OTB</x:v>
      </x:c>
      <x:c r="AI346" s="36" t="str">
        <x:v>FREIGEGEBEN</x:v>
      </x:c>
      <x:c r="AJ346" s="36" t="str">
        <x:v>Johannes 1: repetitive Wiedererkennungsfrage durch PERSON_AUSSAGE-Frage ersetzt.</x:v>
      </x:c>
      <x:c r="AK346" s="36" t="str">
        <x:v>FaithPath repo develop/v4 · data/bibles/l1912/JHN.json · data/bibles/otb/JHN.json</x:v>
      </x:c>
      <x:c r="AL346" t="str">
        <x:v>JA</x:v>
      </x:c>
    </x:row>
    <x:row r="347">
      <x:c r="A347" t="str">
        <x:v>FP-0606</x:v>
      </x:c>
      <x:c r="B347" t="str">
        <x:v>JHN</x:v>
      </x:c>
      <x:c r="C347" t="str">
        <x:v>Johannes</x:v>
      </x:c>
      <x:c r="D347" t="n">
        <x:v>2</x:v>
      </x:c>
      <x:c r="E347" t="n">
        <x:v>1</x:v>
      </x:c>
      <x:c r="F347" t="str">
        <x:v>JHN-002</x:v>
      </x:c>
      <x:c r="G347" t="n">
        <x:v>70</x:v>
      </x:c>
      <x:c r="H347" t="str">
        <x:v>CQ-A04</x:v>
      </x:c>
      <x:c r="I347" s="36" t="str">
        <x:v>Welche dieser Aussagen stammt aus Johannes 2?</x:v>
      </x:c>
      <x:c r="J347" s="36" t="str"/>
      <x:c r="K347" s="36" t="str"/>
      <x:c r="L347" s="36" t="str">
        <x:v>REPO_VERIFIZIERT_FRAGEFORM</x:v>
      </x:c>
      <x:c r="M347" s="36" t="str">
        <x:v>ERSETZEN</x:v>
      </x:c>
      <x:c r="N347" s="36" t="str">
        <x:v>REPETITIVE_FRAGEFORM</x:v>
      </x:c>
      <x:c r="O347" s="36" t="str">
        <x:v>REINE_WIEDERERKENNUNG</x:v>
      </x:c>
      <x:c r="P347" s="36" t="str">
        <x:v>GESCHEHEN</x:v>
      </x:c>
      <x:c r="Q347" s="36" t="str">
        <x:v>Was ist bei der Hochzeit zu Kana das Problem, auf das Maria Jesus aufmerksam macht?</x:v>
      </x:c>
      <x:c r="R347" s="36" t="str">
        <x:v>Das Brot ist verbrannt.</x:v>
      </x:c>
      <x:c r="S347" s="36" t="str">
        <x:v>Der Bräutigam ist verschwunden.</x:v>
      </x:c>
      <x:c r="T347" s="36" t="str">
        <x:v>Die Gäste finden keinen Platz.</x:v>
      </x:c>
      <x:c r="U347" s="36" t="str">
        <x:v>Der Wein ist ausgegangen.</x:v>
      </x:c>
      <x:c r="V347" s="36" t="n">
        <x:v>3</x:v>
      </x:c>
      <x:c r="W347" s="36" t="str">
        <x:v>Der Wein ist ausgegangen.</x:v>
      </x:c>
      <x:c r="X347" s="36" t="str">
        <x:v>Johannes 2,1–3</x:v>
      </x:c>
      <x:c r="Y347" s="36" t="str">
        <x:v>Maria teilt Jesus mit, dass der Wein ausgegangen ist.</x:v>
      </x:c>
      <x:c r="Z347" s="36" t="str">
        <x:v>JA</x:v>
      </x:c>
      <x:c r="AA347" s="36" t="str">
        <x:v>JA</x:v>
      </x:c>
      <x:c r="AB347" s="36" t="str">
        <x:v>JA</x:v>
      </x:c>
      <x:c r="AC347" s="36" t="str">
        <x:v>JA</x:v>
      </x:c>
      <x:c r="AD347" s="36" t="str">
        <x:v>JA</x:v>
      </x:c>
      <x:c r="AE347" s="36" t="str">
        <x:v>JA</x:v>
      </x:c>
      <x:c r="AF347" s="36" t="str">
        <x:v>JA</x:v>
      </x:c>
      <x:c r="AG347" s="36" t="str">
        <x:v>FREIGEGEBEN</x:v>
      </x:c>
      <x:c r="AH347" s="36" t="str">
        <x:v>GPT-5.6 Sol · Buchprüfung Johannes · L1912/OTB</x:v>
      </x:c>
      <x:c r="AI347" s="36" t="str">
        <x:v>FREIGEGEBEN</x:v>
      </x:c>
      <x:c r="AJ347" s="36" t="str">
        <x:v>Johannes 2: repetitive Wiedererkennungsfrage durch GESCHEHEN-Frage ersetzt.</x:v>
      </x:c>
      <x:c r="AK347" s="36" t="str">
        <x:v>FaithPath repo develop/v4 · data/bibles/l1912/JHN.json · data/bibles/otb/JHN.json</x:v>
      </x:c>
      <x:c r="AL347" t="str">
        <x:v>JA</x:v>
      </x:c>
    </x:row>
    <x:row r="348">
      <x:c r="A348" t="str">
        <x:v>FP-0607</x:v>
      </x:c>
      <x:c r="B348" t="str">
        <x:v>JHN</x:v>
      </x:c>
      <x:c r="C348" t="str">
        <x:v>Johannes</x:v>
      </x:c>
      <x:c r="D348" t="n">
        <x:v>2</x:v>
      </x:c>
      <x:c r="E348" t="n">
        <x:v>2</x:v>
      </x:c>
      <x:c r="F348" t="str">
        <x:v>JHN-002</x:v>
      </x:c>
      <x:c r="G348" t="n">
        <x:v>70</x:v>
      </x:c>
      <x:c r="H348" t="str">
        <x:v>CQ-A04</x:v>
      </x:c>
      <x:c r="I348" s="36" t="str">
        <x:v>Welche dieser Aussagen stammt aus Johannes 2?</x:v>
      </x:c>
      <x:c r="J348" s="36" t="str"/>
      <x:c r="K348" s="36" t="str"/>
      <x:c r="L348" s="36" t="str">
        <x:v>REPO_VERIFIZIERT_FRAGEFORM</x:v>
      </x:c>
      <x:c r="M348" s="36" t="str">
        <x:v>ERSETZEN</x:v>
      </x:c>
      <x:c r="N348" s="36" t="str">
        <x:v>REPETITIVE_FRAGEFORM</x:v>
      </x:c>
      <x:c r="O348" s="36" t="str">
        <x:v>REINE_WIEDERERKENNUNG</x:v>
      </x:c>
      <x:c r="P348" s="36" t="str">
        <x:v>GESCHEHEN</x:v>
      </x:c>
      <x:c r="Q348" s="36" t="str">
        <x:v>Was geschieht bei Jesu erstem Zeichen in Kana?</x:v>
      </x:c>
      <x:c r="R348" s="36" t="str">
        <x:v>Wasser wird zu Wein.</x:v>
      </x:c>
      <x:c r="S348" s="36" t="str">
        <x:v>Brot wird vermehrt.</x:v>
      </x:c>
      <x:c r="T348" s="36" t="str">
        <x:v>Ein Sturm wird gestillt.</x:v>
      </x:c>
      <x:c r="U348" s="36" t="str">
        <x:v>Ein Blinder wird geheilt.</x:v>
      </x:c>
      <x:c r="V348" s="36" t="n">
        <x:v>0</x:v>
      </x:c>
      <x:c r="W348" s="36" t="str">
        <x:v>Wasser wird zu Wein.</x:v>
      </x:c>
      <x:c r="X348" s="36" t="str">
        <x:v>Johannes 2,6–11</x:v>
      </x:c>
      <x:c r="Y348" s="36" t="str">
        <x:v>Jesus lässt Wasserkrüge füllen, und das Wasser wird zu Wein; Johannes nennt dies den Anfang seiner Zeichen.</x:v>
      </x:c>
      <x:c r="Z348" s="36" t="str">
        <x:v>JA</x:v>
      </x:c>
      <x:c r="AA348" s="36" t="str">
        <x:v>JA</x:v>
      </x:c>
      <x:c r="AB348" s="36" t="str">
        <x:v>JA</x:v>
      </x:c>
      <x:c r="AC348" s="36" t="str">
        <x:v>JA</x:v>
      </x:c>
      <x:c r="AD348" s="36" t="str">
        <x:v>JA</x:v>
      </x:c>
      <x:c r="AE348" s="36" t="str">
        <x:v>JA</x:v>
      </x:c>
      <x:c r="AF348" s="36" t="str">
        <x:v>JA</x:v>
      </x:c>
      <x:c r="AG348" s="36" t="str">
        <x:v>FREIGEGEBEN</x:v>
      </x:c>
      <x:c r="AH348" s="36" t="str">
        <x:v>GPT-5.6 Sol · Buchprüfung Johannes · L1912/OTB</x:v>
      </x:c>
      <x:c r="AI348" s="36" t="str">
        <x:v>FREIGEGEBEN</x:v>
      </x:c>
      <x:c r="AJ348" s="36" t="str">
        <x:v>Johannes 2: repetitive Wiedererkennungsfrage durch GESCHEHEN-Frage ersetzt.</x:v>
      </x:c>
      <x:c r="AK348" s="36" t="str">
        <x:v>FaithPath repo develop/v4 · data/bibles/l1912/JHN.json · data/bibles/otb/JHN.json</x:v>
      </x:c>
      <x:c r="AL348" t="str">
        <x:v>JA</x:v>
      </x:c>
    </x:row>
    <x:row r="349">
      <x:c r="A349" t="str">
        <x:v>FP-0608</x:v>
      </x:c>
      <x:c r="B349" t="str">
        <x:v>JHN</x:v>
      </x:c>
      <x:c r="C349" t="str">
        <x:v>Johannes</x:v>
      </x:c>
      <x:c r="D349" t="n">
        <x:v>2</x:v>
      </x:c>
      <x:c r="E349" t="n">
        <x:v>3</x:v>
      </x:c>
      <x:c r="F349" t="str">
        <x:v>JHN-002</x:v>
      </x:c>
      <x:c r="G349" t="n">
        <x:v>70</x:v>
      </x:c>
      <x:c r="H349" t="str">
        <x:v>CQ-A04</x:v>
      </x:c>
      <x:c r="I349" s="36" t="str">
        <x:v>Welche dieser Aussagen stammt aus Johannes 2?</x:v>
      </x:c>
      <x:c r="J349" s="36" t="str"/>
      <x:c r="K349" s="36" t="str"/>
      <x:c r="L349" s="36" t="str">
        <x:v>REPO_VERIFIZIERT_FRAGEFORM</x:v>
      </x:c>
      <x:c r="M349" s="36" t="str">
        <x:v>ERSETZEN</x:v>
      </x:c>
      <x:c r="N349" s="36" t="str">
        <x:v>REPETITIVE_FRAGEFORM</x:v>
      </x:c>
      <x:c r="O349" s="36" t="str">
        <x:v>REINE_WIEDERERKENNUNG</x:v>
      </x:c>
      <x:c r="P349" s="36" t="str">
        <x:v>ZUSAMMENHANG</x:v>
      </x:c>
      <x:c r="Q349" s="36" t="str">
        <x:v>Welche Wirkung hat das Zeichen zu Kana auf Jesu Jünger?</x:v>
      </x:c>
      <x:c r="R349" s="36" t="str">
        <x:v>Sie verlassen ihn aus Angst.</x:v>
      </x:c>
      <x:c r="S349" s="36" t="str">
        <x:v>Seine Herrlichkeit wird sichtbar, und seine Jünger glauben an ihn.</x:v>
      </x:c>
      <x:c r="T349" s="36" t="str">
        <x:v>Sie verstehen ihn als politischen König.</x:v>
      </x:c>
      <x:c r="U349" s="36" t="str">
        <x:v>Sie kehren zu Johannes dem Täufer zurück.</x:v>
      </x:c>
      <x:c r="V349" s="36" t="n">
        <x:v>1</x:v>
      </x:c>
      <x:c r="W349" s="36" t="str">
        <x:v>Seine Herrlichkeit wird sichtbar, und seine Jünger glauben an ihn.</x:v>
      </x:c>
      <x:c r="X349" s="36" t="str">
        <x:v>Johannes 2,11</x:v>
      </x:c>
      <x:c r="Y349" s="36" t="str">
        <x:v>Johannes verbindet das Zeichen ausdrücklich mit der Offenbarung von Jesu Herrlichkeit und dem Glauben seiner Jünger.</x:v>
      </x:c>
      <x:c r="Z349" s="36" t="str">
        <x:v>JA</x:v>
      </x:c>
      <x:c r="AA349" s="36" t="str">
        <x:v>JA</x:v>
      </x:c>
      <x:c r="AB349" s="36" t="str">
        <x:v>JA</x:v>
      </x:c>
      <x:c r="AC349" s="36" t="str">
        <x:v>JA</x:v>
      </x:c>
      <x:c r="AD349" s="36" t="str">
        <x:v>JA</x:v>
      </x:c>
      <x:c r="AE349" s="36" t="str">
        <x:v>JA</x:v>
      </x:c>
      <x:c r="AF349" s="36" t="str">
        <x:v>JA</x:v>
      </x:c>
      <x:c r="AG349" s="36" t="str">
        <x:v>FREIGEGEBEN</x:v>
      </x:c>
      <x:c r="AH349" s="36" t="str">
        <x:v>GPT-5.6 Sol · Buchprüfung Johannes · L1912/OTB</x:v>
      </x:c>
      <x:c r="AI349" s="36" t="str">
        <x:v>FREIGEGEBEN</x:v>
      </x:c>
      <x:c r="AJ349" s="36" t="str">
        <x:v>Johannes 2: repetitive Wiedererkennungsfrage durch ZUSAMMENHANG-Frage ersetzt.</x:v>
      </x:c>
      <x:c r="AK349" s="36" t="str">
        <x:v>FaithPath repo develop/v4 · data/bibles/l1912/JHN.json · data/bibles/otb/JHN.json</x:v>
      </x:c>
      <x:c r="AL349" t="str">
        <x:v>JA</x:v>
      </x:c>
    </x:row>
    <x:row r="350">
      <x:c r="A350" t="str">
        <x:v>FP-0609</x:v>
      </x:c>
      <x:c r="B350" t="str">
        <x:v>JHN</x:v>
      </x:c>
      <x:c r="C350" t="str">
        <x:v>Johannes</x:v>
      </x:c>
      <x:c r="D350" t="n">
        <x:v>2</x:v>
      </x:c>
      <x:c r="E350" t="n">
        <x:v>4</x:v>
      </x:c>
      <x:c r="F350" t="str">
        <x:v>JHN-002</x:v>
      </x:c>
      <x:c r="G350" t="n">
        <x:v>70</x:v>
      </x:c>
      <x:c r="H350" t="str">
        <x:v>CQ-A04</x:v>
      </x:c>
      <x:c r="I350" s="36" t="str">
        <x:v>Welche dieser Aussagen stammt aus Johannes 2?</x:v>
      </x:c>
      <x:c r="J350" s="36" t="str"/>
      <x:c r="K350" s="36" t="str"/>
      <x:c r="L350" s="36" t="str">
        <x:v>REPO_VERIFIZIERT_FRAGEFORM</x:v>
      </x:c>
      <x:c r="M350" s="36" t="str">
        <x:v>ERSETZEN</x:v>
      </x:c>
      <x:c r="N350" s="36" t="str">
        <x:v>REPETITIVE_FRAGEFORM</x:v>
      </x:c>
      <x:c r="O350" s="36" t="str">
        <x:v>REINE_WIEDERERKENNUNG</x:v>
      </x:c>
      <x:c r="P350" s="36" t="str">
        <x:v>GESCHEHEN</x:v>
      </x:c>
      <x:c r="Q350" s="36" t="str">
        <x:v>Was tut Jesus im Tempel in Jerusalem?</x:v>
      </x:c>
      <x:c r="R350" s="36" t="str">
        <x:v>Er beginnt dort einen Fischmarkt.</x:v>
      </x:c>
      <x:c r="S350" s="36" t="str">
        <x:v>Er lässt den Tempel schließen.</x:v>
      </x:c>
      <x:c r="T350" s="36" t="str">
        <x:v>Er vertreibt Händler und Geldwechsler aus dem Tempelbereich.</x:v>
      </x:c>
      <x:c r="U350" s="36" t="str">
        <x:v>Er übergibt den Tempel den Römern.</x:v>
      </x:c>
      <x:c r="V350" s="36" t="n">
        <x:v>2</x:v>
      </x:c>
      <x:c r="W350" s="36" t="str">
        <x:v>Er vertreibt Händler und Geldwechsler aus dem Tempelbereich.</x:v>
      </x:c>
      <x:c r="X350" s="36" t="str">
        <x:v>Johannes 2,13–17</x:v>
      </x:c>
      <x:c r="Y350" s="36" t="str">
        <x:v>Jesus geht gegen den Handel im Tempel vor und erinnert an den Eifer für das Haus seines Vaters.</x:v>
      </x:c>
      <x:c r="Z350" s="36" t="str">
        <x:v>JA</x:v>
      </x:c>
      <x:c r="AA350" s="36" t="str">
        <x:v>JA</x:v>
      </x:c>
      <x:c r="AB350" s="36" t="str">
        <x:v>JA</x:v>
      </x:c>
      <x:c r="AC350" s="36" t="str">
        <x:v>JA</x:v>
      </x:c>
      <x:c r="AD350" s="36" t="str">
        <x:v>JA</x:v>
      </x:c>
      <x:c r="AE350" s="36" t="str">
        <x:v>JA</x:v>
      </x:c>
      <x:c r="AF350" s="36" t="str">
        <x:v>JA</x:v>
      </x:c>
      <x:c r="AG350" s="36" t="str">
        <x:v>FREIGEGEBEN</x:v>
      </x:c>
      <x:c r="AH350" s="36" t="str">
        <x:v>GPT-5.6 Sol · Buchprüfung Johannes · L1912/OTB</x:v>
      </x:c>
      <x:c r="AI350" s="36" t="str">
        <x:v>FREIGEGEBEN</x:v>
      </x:c>
      <x:c r="AJ350" s="36" t="str">
        <x:v>Johannes 2: repetitive Wiedererkennungsfrage durch GESCHEHEN-Frage ersetzt.</x:v>
      </x:c>
      <x:c r="AK350" s="36" t="str">
        <x:v>FaithPath repo develop/v4 · data/bibles/l1912/JHN.json · data/bibles/otb/JHN.json</x:v>
      </x:c>
      <x:c r="AL350" t="str">
        <x:v>JA</x:v>
      </x:c>
    </x:row>
    <x:row r="351">
      <x:c r="A351" t="str">
        <x:v>FP-0610</x:v>
      </x:c>
      <x:c r="B351" t="str">
        <x:v>JHN</x:v>
      </x:c>
      <x:c r="C351" t="str">
        <x:v>Johannes</x:v>
      </x:c>
      <x:c r="D351" t="n">
        <x:v>2</x:v>
      </x:c>
      <x:c r="E351" t="n">
        <x:v>5</x:v>
      </x:c>
      <x:c r="F351" t="str">
        <x:v>JHN-002</x:v>
      </x:c>
      <x:c r="G351" t="n">
        <x:v>70</x:v>
      </x:c>
      <x:c r="H351" t="str">
        <x:v>CQ-A04</x:v>
      </x:c>
      <x:c r="I351" s="36" t="str">
        <x:v>Welche dieser Aussagen stammt aus Johannes 2?</x:v>
      </x:c>
      <x:c r="J351" s="36" t="str"/>
      <x:c r="K351" s="36" t="str"/>
      <x:c r="L351" s="36" t="str">
        <x:v>REPO_VERIFIZIERT_FRAGEFORM</x:v>
      </x:c>
      <x:c r="M351" s="36" t="str">
        <x:v>ERSETZEN</x:v>
      </x:c>
      <x:c r="N351" s="36" t="str">
        <x:v>REPETITIVE_FRAGEFORM</x:v>
      </x:c>
      <x:c r="O351" s="36" t="str">
        <x:v>REINE_WIEDERERKENNUNG</x:v>
      </x:c>
      <x:c r="P351" s="36" t="str">
        <x:v>KERNAUSSAGE</x:v>
      </x:c>
      <x:c r="Q351" s="36" t="str">
        <x:v>Worauf bezieht Johannes Jesu Wort: „Brecht diesen Tempel ab, und in drei Tagen will ich ihn aufrichten“?</x:v>
      </x:c>
      <x:c r="R351" s="36" t="str">
        <x:v>Auf einen Neubau des Jerusalemer Tempels.</x:v>
      </x:c>
      <x:c r="S351" s="36" t="str">
        <x:v>Auf die Synagoge in Kapernaum.</x:v>
      </x:c>
      <x:c r="T351" s="36" t="str">
        <x:v>Auf den Palast des Herodes.</x:v>
      </x:c>
      <x:c r="U351" s="36" t="str">
        <x:v>Auf den Tempel seines Leibes.</x:v>
      </x:c>
      <x:c r="V351" s="36" t="n">
        <x:v>3</x:v>
      </x:c>
      <x:c r="W351" s="36" t="str">
        <x:v>Auf den Tempel seines Leibes.</x:v>
      </x:c>
      <x:c r="X351" s="36" t="str">
        <x:v>Johannes 2,19–22</x:v>
      </x:c>
      <x:c r="Y351" s="36" t="str">
        <x:v>Johannes erklärt, dass Jesus vom Tempel seines Leibes sprach; nach seiner Auferstehung erinnern sich die Jünger daran.</x:v>
      </x:c>
      <x:c r="Z351" s="36" t="str">
        <x:v>JA</x:v>
      </x:c>
      <x:c r="AA351" s="36" t="str">
        <x:v>JA</x:v>
      </x:c>
      <x:c r="AB351" s="36" t="str">
        <x:v>JA</x:v>
      </x:c>
      <x:c r="AC351" s="36" t="str">
        <x:v>JA</x:v>
      </x:c>
      <x:c r="AD351" s="36" t="str">
        <x:v>JA</x:v>
      </x:c>
      <x:c r="AE351" s="36" t="str">
        <x:v>JA</x:v>
      </x:c>
      <x:c r="AF351" s="36" t="str">
        <x:v>JA</x:v>
      </x:c>
      <x:c r="AG351" s="36" t="str">
        <x:v>FREIGEGEBEN</x:v>
      </x:c>
      <x:c r="AH351" s="36" t="str">
        <x:v>GPT-5.6 Sol · Buchprüfung Johannes · L1912/OTB</x:v>
      </x:c>
      <x:c r="AI351" s="36" t="str">
        <x:v>FREIGEGEBEN</x:v>
      </x:c>
      <x:c r="AJ351" s="36" t="str">
        <x:v>Johannes 2: repetitive Wiedererkennungsfrage durch KERNAUSSAGE-Frage ersetzt.</x:v>
      </x:c>
      <x:c r="AK351" s="36" t="str">
        <x:v>FaithPath repo develop/v4 · data/bibles/l1912/JHN.json · data/bibles/otb/JHN.json</x:v>
      </x:c>
      <x:c r="AL351" t="str">
        <x:v>JA</x:v>
      </x:c>
    </x:row>
    <x:row r="352">
      <x:c r="A352" t="str">
        <x:v>FP-0611</x:v>
      </x:c>
      <x:c r="B352" t="str">
        <x:v>JHN</x:v>
      </x:c>
      <x:c r="C352" t="str">
        <x:v>Johannes</x:v>
      </x:c>
      <x:c r="D352" t="n">
        <x:v>3</x:v>
      </x:c>
      <x:c r="E352" t="n">
        <x:v>1</x:v>
      </x:c>
      <x:c r="F352" t="str">
        <x:v>JHN-003</x:v>
      </x:c>
      <x:c r="G352" t="n">
        <x:v>71</x:v>
      </x:c>
      <x:c r="H352" t="str">
        <x:v>CQ-A04</x:v>
      </x:c>
      <x:c r="I352" s="36" t="str">
        <x:v>Welche dieser Aussagen stammt aus Johannes 3?</x:v>
      </x:c>
      <x:c r="J352" s="36" t="str"/>
      <x:c r="K352" s="36" t="str"/>
      <x:c r="L352" s="36" t="str">
        <x:v>REPO_VERIFIZIERT_FRAGEFORM</x:v>
      </x:c>
      <x:c r="M352" s="36" t="str">
        <x:v>ERSETZEN</x:v>
      </x:c>
      <x:c r="N352" s="36" t="str">
        <x:v>REPETITIVE_FRAGEFORM</x:v>
      </x:c>
      <x:c r="O352" s="36" t="str">
        <x:v>REINE_WIEDERERKENNUNG</x:v>
      </x:c>
      <x:c r="P352" s="36" t="str">
        <x:v>ZUSAMMENHANG</x:v>
      </x:c>
      <x:c r="Q352" s="36" t="str">
        <x:v>Warum ist Nikodemus überzeugt, dass Jesus von Gott als Lehrer gekommen ist?</x:v>
      </x:c>
      <x:c r="R352" s="36" t="str">
        <x:v>Weil niemand die Zeichen tun könne, die Jesus tut, wenn Gott nicht mit ihm ist.</x:v>
      </x:c>
      <x:c r="S352" s="36" t="str">
        <x:v>Weil Jesus aus Jerusalem stammt.</x:v>
      </x:c>
      <x:c r="T352" s="36" t="str">
        <x:v>Weil Jesus Priester im Tempel ist.</x:v>
      </x:c>
      <x:c r="U352" s="36" t="str">
        <x:v>Weil Johannes der Täufer ihn zum König ernannt hat.</x:v>
      </x:c>
      <x:c r="V352" s="36" t="n">
        <x:v>0</x:v>
      </x:c>
      <x:c r="W352" s="36" t="str">
        <x:v>Weil niemand die Zeichen tun könne, die Jesus tut, wenn Gott nicht mit ihm ist.</x:v>
      </x:c>
      <x:c r="X352" s="36" t="str">
        <x:v>Johannes 3,1–2</x:v>
      </x:c>
      <x:c r="Y352" s="36" t="str">
        <x:v>Nikodemus begründet seine Einschätzung mit Jesu Zeichen und Gottes Beistand.</x:v>
      </x:c>
      <x:c r="Z352" s="36" t="str">
        <x:v>JA</x:v>
      </x:c>
      <x:c r="AA352" s="36" t="str">
        <x:v>JA</x:v>
      </x:c>
      <x:c r="AB352" s="36" t="str">
        <x:v>JA</x:v>
      </x:c>
      <x:c r="AC352" s="36" t="str">
        <x:v>JA</x:v>
      </x:c>
      <x:c r="AD352" s="36" t="str">
        <x:v>JA</x:v>
      </x:c>
      <x:c r="AE352" s="36" t="str">
        <x:v>JA</x:v>
      </x:c>
      <x:c r="AF352" s="36" t="str">
        <x:v>JA</x:v>
      </x:c>
      <x:c r="AG352" s="36" t="str">
        <x:v>FREIGEGEBEN</x:v>
      </x:c>
      <x:c r="AH352" s="36" t="str">
        <x:v>GPT-5.6 Sol · Buchprüfung Johannes · L1912/OTB</x:v>
      </x:c>
      <x:c r="AI352" s="36" t="str">
        <x:v>FREIGEGEBEN</x:v>
      </x:c>
      <x:c r="AJ352" s="36" t="str">
        <x:v>Johannes 3: repetitive Wiedererkennungsfrage durch ZUSAMMENHANG-Frage ersetzt.</x:v>
      </x:c>
      <x:c r="AK352" s="36" t="str">
        <x:v>FaithPath repo develop/v4 · data/bibles/l1912/JHN.json · data/bibles/otb/JHN.json</x:v>
      </x:c>
      <x:c r="AL352" t="str">
        <x:v>JA</x:v>
      </x:c>
    </x:row>
    <x:row r="353">
      <x:c r="A353" t="str">
        <x:v>FP-0612</x:v>
      </x:c>
      <x:c r="B353" t="str">
        <x:v>JHN</x:v>
      </x:c>
      <x:c r="C353" t="str">
        <x:v>Johannes</x:v>
      </x:c>
      <x:c r="D353" t="n">
        <x:v>3</x:v>
      </x:c>
      <x:c r="E353" t="n">
        <x:v>2</x:v>
      </x:c>
      <x:c r="F353" t="str">
        <x:v>JHN-003</x:v>
      </x:c>
      <x:c r="G353" t="n">
        <x:v>71</x:v>
      </x:c>
      <x:c r="H353" t="str">
        <x:v>CQ-A04</x:v>
      </x:c>
      <x:c r="I353" s="36" t="str">
        <x:v>Welche dieser Aussagen stammt aus Johannes 3?</x:v>
      </x:c>
      <x:c r="J353" s="36" t="str"/>
      <x:c r="K353" s="36" t="str"/>
      <x:c r="L353" s="36" t="str">
        <x:v>REPO_VERIFIZIERT_FRAGEFORM</x:v>
      </x:c>
      <x:c r="M353" s="36" t="str">
        <x:v>ERSETZEN</x:v>
      </x:c>
      <x:c r="N353" s="36" t="str">
        <x:v>REPETITIVE_FRAGEFORM</x:v>
      </x:c>
      <x:c r="O353" s="36" t="str">
        <x:v>REINE_WIEDERERKENNUNG</x:v>
      </x:c>
      <x:c r="P353" s="36" t="str">
        <x:v>KERNAUSSAGE</x:v>
      </x:c>
      <x:c r="Q353" s="36" t="str">
        <x:v>Was sagt Jesus zu Nikodemus über den Eintritt in Gottes Reich?</x:v>
      </x:c>
      <x:c r="R353" s="36" t="str">
        <x:v>Man muss zuerst nach Jerusalem ziehen.</x:v>
      </x:c>
      <x:c r="S353" s="36" t="str">
        <x:v>Man muss von neuem beziehungsweise aus Wasser und Geist geboren werden.</x:v>
      </x:c>
      <x:c r="T353" s="36" t="str">
        <x:v>Man muss aus einer Priesterfamilie stammen.</x:v>
      </x:c>
      <x:c r="U353" s="36" t="str">
        <x:v>Man muss alle Zeichen Jesu gesehen haben.</x:v>
      </x:c>
      <x:c r="V353" s="36" t="n">
        <x:v>1</x:v>
      </x:c>
      <x:c r="W353" s="36" t="str">
        <x:v>Man muss von neuem beziehungsweise aus Wasser und Geist geboren werden.</x:v>
      </x:c>
      <x:c r="X353" s="36" t="str">
        <x:v>Johannes 3,3–5</x:v>
      </x:c>
      <x:c r="Y353" s="36" t="str">
        <x:v>Jesus macht die neue Geburt beziehungsweise Geburt aus Wasser und Geist zur Voraussetzung für das Reich Gottes.</x:v>
      </x:c>
      <x:c r="Z353" s="36" t="str">
        <x:v>JA</x:v>
      </x:c>
      <x:c r="AA353" s="36" t="str">
        <x:v>JA</x:v>
      </x:c>
      <x:c r="AB353" s="36" t="str">
        <x:v>JA</x:v>
      </x:c>
      <x:c r="AC353" s="36" t="str">
        <x:v>JA</x:v>
      </x:c>
      <x:c r="AD353" s="36" t="str">
        <x:v>JA</x:v>
      </x:c>
      <x:c r="AE353" s="36" t="str">
        <x:v>JA</x:v>
      </x:c>
      <x:c r="AF353" s="36" t="str">
        <x:v>JA</x:v>
      </x:c>
      <x:c r="AG353" s="36" t="str">
        <x:v>FREIGEGEBEN</x:v>
      </x:c>
      <x:c r="AH353" s="36" t="str">
        <x:v>GPT-5.6 Sol · Buchprüfung Johannes · L1912/OTB</x:v>
      </x:c>
      <x:c r="AI353" s="36" t="str">
        <x:v>FREIGEGEBEN</x:v>
      </x:c>
      <x:c r="AJ353" s="36" t="str">
        <x:v>Johannes 3: repetitive Wiedererkennungsfrage durch KERNAUSSAGE-Frage ersetzt.</x:v>
      </x:c>
      <x:c r="AK353" s="36" t="str">
        <x:v>FaithPath repo develop/v4 · data/bibles/l1912/JHN.json · data/bibles/otb/JHN.json</x:v>
      </x:c>
      <x:c r="AL353" t="str">
        <x:v>JA</x:v>
      </x:c>
    </x:row>
    <x:row r="354">
      <x:c r="A354" t="str">
        <x:v>FP-0613</x:v>
      </x:c>
      <x:c r="B354" t="str">
        <x:v>JHN</x:v>
      </x:c>
      <x:c r="C354" t="str">
        <x:v>Johannes</x:v>
      </x:c>
      <x:c r="D354" t="n">
        <x:v>3</x:v>
      </x:c>
      <x:c r="E354" t="n">
        <x:v>3</x:v>
      </x:c>
      <x:c r="F354" t="str">
        <x:v>JHN-003</x:v>
      </x:c>
      <x:c r="G354" t="n">
        <x:v>71</x:v>
      </x:c>
      <x:c r="H354" t="str">
        <x:v>CQ-A04</x:v>
      </x:c>
      <x:c r="I354" s="36" t="str">
        <x:v>Welche dieser Aussagen stammt aus Johannes 3?</x:v>
      </x:c>
      <x:c r="J354" s="36" t="str"/>
      <x:c r="K354" s="36" t="str"/>
      <x:c r="L354" s="36" t="str">
        <x:v>REPO_VERIFIZIERT_FRAGEFORM</x:v>
      </x:c>
      <x:c r="M354" s="36" t="str">
        <x:v>ERSETZEN</x:v>
      </x:c>
      <x:c r="N354" s="36" t="str">
        <x:v>REPETITIVE_FRAGEFORM</x:v>
      </x:c>
      <x:c r="O354" s="36" t="str">
        <x:v>REINE_WIEDERERKENNUNG</x:v>
      </x:c>
      <x:c r="P354" s="36" t="str">
        <x:v>KERNAUSSAGE</x:v>
      </x:c>
      <x:c r="Q354" s="36" t="str">
        <x:v>Warum hat Gott nach Johannes 3,16 seinen Sohn gegeben?</x:v>
      </x:c>
      <x:c r="R354" s="36" t="str">
        <x:v>Damit Israel einen militärischen König erhält.</x:v>
      </x:c>
      <x:c r="S354" s="36" t="str">
        <x:v>Damit nur Schriftgelehrte gerettet werden.</x:v>
      </x:c>
      <x:c r="T354" s="36" t="str">
        <x:v>Weil er die Welt geliebt hat, damit Glaubende nicht verloren gehen, sondern ewiges Leben haben.</x:v>
      </x:c>
      <x:c r="U354" s="36" t="str">
        <x:v>Damit der Tempel größer gebaut wird.</x:v>
      </x:c>
      <x:c r="V354" s="36" t="n">
        <x:v>2</x:v>
      </x:c>
      <x:c r="W354" s="36" t="str">
        <x:v>Weil er die Welt geliebt hat, damit Glaubende nicht verloren gehen, sondern ewiges Leben haben.</x:v>
      </x:c>
      <x:c r="X354" s="36" t="str">
        <x:v>Johannes 3,16</x:v>
      </x:c>
      <x:c r="Y354" s="36" t="str">
        <x:v>Johannes 3,16 verbindet Gottes Liebe mit der Gabe des Sohnes und dem ewigen Leben für Glaubende.</x:v>
      </x:c>
      <x:c r="Z354" s="36" t="str">
        <x:v>JA</x:v>
      </x:c>
      <x:c r="AA354" s="36" t="str">
        <x:v>JA</x:v>
      </x:c>
      <x:c r="AB354" s="36" t="str">
        <x:v>JA</x:v>
      </x:c>
      <x:c r="AC354" s="36" t="str">
        <x:v>JA</x:v>
      </x:c>
      <x:c r="AD354" s="36" t="str">
        <x:v>JA</x:v>
      </x:c>
      <x:c r="AE354" s="36" t="str">
        <x:v>JA</x:v>
      </x:c>
      <x:c r="AF354" s="36" t="str">
        <x:v>JA</x:v>
      </x:c>
      <x:c r="AG354" s="36" t="str">
        <x:v>FREIGEGEBEN</x:v>
      </x:c>
      <x:c r="AH354" s="36" t="str">
        <x:v>GPT-5.6 Sol · Buchprüfung Johannes · L1912/OTB</x:v>
      </x:c>
      <x:c r="AI354" s="36" t="str">
        <x:v>FREIGEGEBEN</x:v>
      </x:c>
      <x:c r="AJ354" s="36" t="str">
        <x:v>Johannes 3: repetitive Wiedererkennungsfrage durch KERNAUSSAGE-Frage ersetzt.</x:v>
      </x:c>
      <x:c r="AK354" s="36" t="str">
        <x:v>FaithPath repo develop/v4 · data/bibles/l1912/JHN.json · data/bibles/otb/JHN.json</x:v>
      </x:c>
      <x:c r="AL354" t="str">
        <x:v>JA</x:v>
      </x:c>
    </x:row>
    <x:row r="355">
      <x:c r="A355" t="str">
        <x:v>FP-0614</x:v>
      </x:c>
      <x:c r="B355" t="str">
        <x:v>JHN</x:v>
      </x:c>
      <x:c r="C355" t="str">
        <x:v>Johannes</x:v>
      </x:c>
      <x:c r="D355" t="n">
        <x:v>3</x:v>
      </x:c>
      <x:c r="E355" t="n">
        <x:v>4</x:v>
      </x:c>
      <x:c r="F355" t="str">
        <x:v>JHN-003</x:v>
      </x:c>
      <x:c r="G355" t="n">
        <x:v>71</x:v>
      </x:c>
      <x:c r="H355" t="str">
        <x:v>CQ-A04</x:v>
      </x:c>
      <x:c r="I355" s="36" t="str">
        <x:v>Welche dieser Aussagen stammt aus Johannes 3?</x:v>
      </x:c>
      <x:c r="J355" s="36" t="str"/>
      <x:c r="K355" s="36" t="str"/>
      <x:c r="L355" s="36" t="str">
        <x:v>REPO_VERIFIZIERT_FRAGEFORM</x:v>
      </x:c>
      <x:c r="M355" s="36" t="str">
        <x:v>ERSETZEN</x:v>
      </x:c>
      <x:c r="N355" s="36" t="str">
        <x:v>REPETITIVE_FRAGEFORM</x:v>
      </x:c>
      <x:c r="O355" s="36" t="str">
        <x:v>REINE_WIEDERERKENNUNG</x:v>
      </x:c>
      <x:c r="P355" s="36" t="str">
        <x:v>KERNAUSSAGE</x:v>
      </x:c>
      <x:c r="Q355" s="36" t="str">
        <x:v>Was sagt Johannes der Täufer über sein Verhältnis zu Jesus?</x:v>
      </x:c>
      <x:c r="R355" s="36" t="str">
        <x:v>Beide sollen gleich bekannt bleiben.</x:v>
      </x:c>
      <x:c r="S355" s="36" t="str">
        <x:v>Johannes muss Jesus ablösen.</x:v>
      </x:c>
      <x:c r="T355" s="36" t="str">
        <x:v>Jesus soll Johannes folgen.</x:v>
      </x:c>
      <x:c r="U355" s="36" t="str">
        <x:v>Jesus muss wachsen, Johannes aber abnehmen.</x:v>
      </x:c>
      <x:c r="V355" s="36" t="n">
        <x:v>3</x:v>
      </x:c>
      <x:c r="W355" s="36" t="str">
        <x:v>Jesus muss wachsen, Johannes aber abnehmen.</x:v>
      </x:c>
      <x:c r="X355" s="36" t="str">
        <x:v>Johannes 3,27–30</x:v>
      </x:c>
      <x:c r="Y355" s="36" t="str">
        <x:v>Johannes versteht seine Rolle als Wegbereiter und ordnet sich der wachsenden Bedeutung Jesu unter.</x:v>
      </x:c>
      <x:c r="Z355" s="36" t="str">
        <x:v>JA</x:v>
      </x:c>
      <x:c r="AA355" s="36" t="str">
        <x:v>JA</x:v>
      </x:c>
      <x:c r="AB355" s="36" t="str">
        <x:v>JA</x:v>
      </x:c>
      <x:c r="AC355" s="36" t="str">
        <x:v>JA</x:v>
      </x:c>
      <x:c r="AD355" s="36" t="str">
        <x:v>JA</x:v>
      </x:c>
      <x:c r="AE355" s="36" t="str">
        <x:v>JA</x:v>
      </x:c>
      <x:c r="AF355" s="36" t="str">
        <x:v>JA</x:v>
      </x:c>
      <x:c r="AG355" s="36" t="str">
        <x:v>FREIGEGEBEN</x:v>
      </x:c>
      <x:c r="AH355" s="36" t="str">
        <x:v>GPT-5.6 Sol · Buchprüfung Johannes · L1912/OTB</x:v>
      </x:c>
      <x:c r="AI355" s="36" t="str">
        <x:v>FREIGEGEBEN</x:v>
      </x:c>
      <x:c r="AJ355" s="36" t="str">
        <x:v>Johannes 3: repetitive Wiedererkennungsfrage durch KERNAUSSAGE-Frage ersetzt.</x:v>
      </x:c>
      <x:c r="AK355" s="36" t="str">
        <x:v>FaithPath repo develop/v4 · data/bibles/l1912/JHN.json · data/bibles/otb/JHN.json</x:v>
      </x:c>
      <x:c r="AL355" t="str">
        <x:v>JA</x:v>
      </x:c>
    </x:row>
    <x:row r="356">
      <x:c r="A356" t="str">
        <x:v>FP-0615</x:v>
      </x:c>
      <x:c r="B356" t="str">
        <x:v>JHN</x:v>
      </x:c>
      <x:c r="C356" t="str">
        <x:v>Johannes</x:v>
      </x:c>
      <x:c r="D356" t="n">
        <x:v>3</x:v>
      </x:c>
      <x:c r="E356" t="n">
        <x:v>5</x:v>
      </x:c>
      <x:c r="F356" t="str">
        <x:v>JHN-003</x:v>
      </x:c>
      <x:c r="G356" t="n">
        <x:v>71</x:v>
      </x:c>
      <x:c r="H356" t="str">
        <x:v>CQ-A04</x:v>
      </x:c>
      <x:c r="I356" s="36" t="str">
        <x:v>Welche dieser Aussagen stammt aus Johannes 3?</x:v>
      </x:c>
      <x:c r="J356" s="36" t="str"/>
      <x:c r="K356" s="36" t="str"/>
      <x:c r="L356" s="36" t="str">
        <x:v>REPO_VERIFIZIERT_FRAGEFORM</x:v>
      </x:c>
      <x:c r="M356" s="36" t="str">
        <x:v>ERSETZEN</x:v>
      </x:c>
      <x:c r="N356" s="36" t="str">
        <x:v>REPETITIVE_FRAGEFORM</x:v>
      </x:c>
      <x:c r="O356" s="36" t="str">
        <x:v>REINE_WIEDERERKENNUNG</x:v>
      </x:c>
      <x:c r="P356" s="36" t="str">
        <x:v>KERNAUSSAGE</x:v>
      </x:c>
      <x:c r="Q356" s="36" t="str">
        <x:v>Welche Verbindung stellt Johannes 3 zwischen Glauben an den Sohn und ewigem Leben her?</x:v>
      </x:c>
      <x:c r="R356" s="36" t="str">
        <x:v>Wer an den Sohn glaubt, hat ewiges Leben.</x:v>
      </x:c>
      <x:c r="S356" s="36" t="str">
        <x:v>Ewiges Leben hängt nur von Abstammung ab.</x:v>
      </x:c>
      <x:c r="T356" s="36" t="str">
        <x:v>Nur wer Zeichen sieht, hat ewiges Leben.</x:v>
      </x:c>
      <x:c r="U356" s="36" t="str">
        <x:v>Ewiges Leben wird durch Reichtum erworben.</x:v>
      </x:c>
      <x:c r="V356" s="36" t="n">
        <x:v>0</x:v>
      </x:c>
      <x:c r="W356" s="36" t="str">
        <x:v>Wer an den Sohn glaubt, hat ewiges Leben.</x:v>
      </x:c>
      <x:c r="X356" s="36" t="str">
        <x:v>Johannes 3,36</x:v>
      </x:c>
      <x:c r="Y356" s="36" t="str">
        <x:v>Der Schluss des Kapitels verbindet den Glauben an den Sohn unmittelbar mit ewigem Leben.</x:v>
      </x:c>
      <x:c r="Z356" s="36" t="str">
        <x:v>JA</x:v>
      </x:c>
      <x:c r="AA356" s="36" t="str">
        <x:v>JA</x:v>
      </x:c>
      <x:c r="AB356" s="36" t="str">
        <x:v>JA</x:v>
      </x:c>
      <x:c r="AC356" s="36" t="str">
        <x:v>JA</x:v>
      </x:c>
      <x:c r="AD356" s="36" t="str">
        <x:v>JA</x:v>
      </x:c>
      <x:c r="AE356" s="36" t="str">
        <x:v>JA</x:v>
      </x:c>
      <x:c r="AF356" s="36" t="str">
        <x:v>JA</x:v>
      </x:c>
      <x:c r="AG356" s="36" t="str">
        <x:v>FREIGEGEBEN</x:v>
      </x:c>
      <x:c r="AH356" s="36" t="str">
        <x:v>GPT-5.6 Sol · Buchprüfung Johannes · L1912/OTB</x:v>
      </x:c>
      <x:c r="AI356" s="36" t="str">
        <x:v>FREIGEGEBEN</x:v>
      </x:c>
      <x:c r="AJ356" s="36" t="str">
        <x:v>Johannes 3: repetitive Wiedererkennungsfrage durch KERNAUSSAGE-Frage ersetzt.</x:v>
      </x:c>
      <x:c r="AK356" s="36" t="str">
        <x:v>FaithPath repo develop/v4 · data/bibles/l1912/JHN.json · data/bibles/otb/JHN.json</x:v>
      </x:c>
      <x:c r="AL356" t="str">
        <x:v>JA</x:v>
      </x:c>
    </x:row>
    <x:row r="357">
      <x:c r="A357" t="str">
        <x:v>FP-0616</x:v>
      </x:c>
      <x:c r="B357" t="str">
        <x:v>JHN</x:v>
      </x:c>
      <x:c r="C357" t="str">
        <x:v>Johannes</x:v>
      </x:c>
      <x:c r="D357" t="n">
        <x:v>4</x:v>
      </x:c>
      <x:c r="E357" t="n">
        <x:v>1</x:v>
      </x:c>
      <x:c r="F357" t="str">
        <x:v>JHN-004</x:v>
      </x:c>
      <x:c r="G357" t="n">
        <x:v>72</x:v>
      </x:c>
      <x:c r="H357" t="str">
        <x:v>CQ-A04</x:v>
      </x:c>
      <x:c r="I357" s="36" t="str">
        <x:v>Welche dieser Aussagen stammt aus Johannes 4?</x:v>
      </x:c>
      <x:c r="J357" s="36" t="str"/>
      <x:c r="K357" s="36" t="str"/>
      <x:c r="L357" s="36" t="str">
        <x:v>REPO_VERIFIZIERT_FRAGEFORM</x:v>
      </x:c>
      <x:c r="M357" s="36" t="str">
        <x:v>ERSETZEN</x:v>
      </x:c>
      <x:c r="N357" s="36" t="str">
        <x:v>REPETITIVE_FRAGEFORM</x:v>
      </x:c>
      <x:c r="O357" s="36" t="str">
        <x:v>REINE_WIEDERERKENNUNG</x:v>
      </x:c>
      <x:c r="P357" s="36" t="str">
        <x:v>GESCHEHEN</x:v>
      </x:c>
      <x:c r="Q357" s="36" t="str">
        <x:v>Worum bittet Jesus die samaritanische Frau am Brunnen zunächst?</x:v>
      </x:c>
      <x:c r="R357" s="36" t="str">
        <x:v>Um Brot.</x:v>
      </x:c>
      <x:c r="S357" s="36" t="str">
        <x:v>Um Wasser zum Trinken.</x:v>
      </x:c>
      <x:c r="T357" s="36" t="str">
        <x:v>Um eine Unterkunft.</x:v>
      </x:c>
      <x:c r="U357" s="36" t="str">
        <x:v>Um Geld für die Reise.</x:v>
      </x:c>
      <x:c r="V357" s="36" t="n">
        <x:v>1</x:v>
      </x:c>
      <x:c r="W357" s="36" t="str">
        <x:v>Um Wasser zum Trinken.</x:v>
      </x:c>
      <x:c r="X357" s="36" t="str">
        <x:v>Johannes 4,7</x:v>
      </x:c>
      <x:c r="Y357" s="36" t="str">
        <x:v>Das Gespräch beginnt mit Jesu einfacher Bitte an die Frau, ihm zu trinken zu geben.</x:v>
      </x:c>
      <x:c r="Z357" s="36" t="str">
        <x:v>JA</x:v>
      </x:c>
      <x:c r="AA357" s="36" t="str">
        <x:v>JA</x:v>
      </x:c>
      <x:c r="AB357" s="36" t="str">
        <x:v>JA</x:v>
      </x:c>
      <x:c r="AC357" s="36" t="str">
        <x:v>JA</x:v>
      </x:c>
      <x:c r="AD357" s="36" t="str">
        <x:v>JA</x:v>
      </x:c>
      <x:c r="AE357" s="36" t="str">
        <x:v>JA</x:v>
      </x:c>
      <x:c r="AF357" s="36" t="str">
        <x:v>JA</x:v>
      </x:c>
      <x:c r="AG357" s="36" t="str">
        <x:v>FREIGEGEBEN</x:v>
      </x:c>
      <x:c r="AH357" s="36" t="str">
        <x:v>GPT-5.6 Sol · Buchprüfung Johannes · L1912/OTB</x:v>
      </x:c>
      <x:c r="AI357" s="36" t="str">
        <x:v>FREIGEGEBEN</x:v>
      </x:c>
      <x:c r="AJ357" s="36" t="str">
        <x:v>Johannes 4: repetitive Wiedererkennungsfrage durch GESCHEHEN-Frage ersetzt.</x:v>
      </x:c>
      <x:c r="AK357" s="36" t="str">
        <x:v>FaithPath repo develop/v4 · data/bibles/l1912/JHN.json · data/bibles/otb/JHN.json</x:v>
      </x:c>
      <x:c r="AL357" t="str">
        <x:v>JA</x:v>
      </x:c>
    </x:row>
    <x:row r="358">
      <x:c r="A358" t="str">
        <x:v>FP-0617</x:v>
      </x:c>
      <x:c r="B358" t="str">
        <x:v>JHN</x:v>
      </x:c>
      <x:c r="C358" t="str">
        <x:v>Johannes</x:v>
      </x:c>
      <x:c r="D358" t="n">
        <x:v>4</x:v>
      </x:c>
      <x:c r="E358" t="n">
        <x:v>2</x:v>
      </x:c>
      <x:c r="F358" t="str">
        <x:v>JHN-004</x:v>
      </x:c>
      <x:c r="G358" t="n">
        <x:v>72</x:v>
      </x:c>
      <x:c r="H358" t="str">
        <x:v>CQ-A04</x:v>
      </x:c>
      <x:c r="I358" s="36" t="str">
        <x:v>Welche dieser Aussagen stammt aus Johannes 4?</x:v>
      </x:c>
      <x:c r="J358" s="36" t="str"/>
      <x:c r="K358" s="36" t="str"/>
      <x:c r="L358" s="36" t="str">
        <x:v>REPO_VERIFIZIERT_FRAGEFORM</x:v>
      </x:c>
      <x:c r="M358" s="36" t="str">
        <x:v>ERSETZEN</x:v>
      </x:c>
      <x:c r="N358" s="36" t="str">
        <x:v>REPETITIVE_FRAGEFORM</x:v>
      </x:c>
      <x:c r="O358" s="36" t="str">
        <x:v>REINE_WIEDERERKENNUNG</x:v>
      </x:c>
      <x:c r="P358" s="36" t="str">
        <x:v>KERNAUSSAGE</x:v>
      </x:c>
      <x:c r="Q358" s="36" t="str">
        <x:v>Was verspricht Jesus mit dem Bild des „lebendigen Wassers“?</x:v>
      </x:c>
      <x:c r="R358" s="36" t="str">
        <x:v>Ein neues Bewässerungssystem für Samaria.</x:v>
      </x:c>
      <x:c r="S358" s="36" t="str">
        <x:v>Wasser nur für den Tempel.</x:v>
      </x:c>
      <x:c r="T358" s="36" t="str">
        <x:v>Eine Gabe, die im Menschen zur Quelle wird und ins ewige Leben quillt.</x:v>
      </x:c>
      <x:c r="U358" s="36" t="str">
        <x:v>Eine Reise zum Jordan.</x:v>
      </x:c>
      <x:c r="V358" s="36" t="n">
        <x:v>2</x:v>
      </x:c>
      <x:c r="W358" s="36" t="str">
        <x:v>Eine Gabe, die im Menschen zur Quelle wird und ins ewige Leben quillt.</x:v>
      </x:c>
      <x:c r="X358" s="36" t="str">
        <x:v>Johannes 4,10–14</x:v>
      </x:c>
      <x:c r="Y358" s="36" t="str">
        <x:v>Jesus verwendet das lebendige Wasser als Bild für eine bleibende Gabe, die zum ewigen Leben führt.</x:v>
      </x:c>
      <x:c r="Z358" s="36" t="str">
        <x:v>JA</x:v>
      </x:c>
      <x:c r="AA358" s="36" t="str">
        <x:v>JA</x:v>
      </x:c>
      <x:c r="AB358" s="36" t="str">
        <x:v>JA</x:v>
      </x:c>
      <x:c r="AC358" s="36" t="str">
        <x:v>JA</x:v>
      </x:c>
      <x:c r="AD358" s="36" t="str">
        <x:v>JA</x:v>
      </x:c>
      <x:c r="AE358" s="36" t="str">
        <x:v>JA</x:v>
      </x:c>
      <x:c r="AF358" s="36" t="str">
        <x:v>JA</x:v>
      </x:c>
      <x:c r="AG358" s="36" t="str">
        <x:v>FREIGEGEBEN</x:v>
      </x:c>
      <x:c r="AH358" s="36" t="str">
        <x:v>GPT-5.6 Sol · Buchprüfung Johannes · L1912/OTB</x:v>
      </x:c>
      <x:c r="AI358" s="36" t="str">
        <x:v>FREIGEGEBEN</x:v>
      </x:c>
      <x:c r="AJ358" s="36" t="str">
        <x:v>Johannes 4: repetitive Wiedererkennungsfrage durch KERNAUSSAGE-Frage ersetzt.</x:v>
      </x:c>
      <x:c r="AK358" s="36" t="str">
        <x:v>FaithPath repo develop/v4 · data/bibles/l1912/JHN.json · data/bibles/otb/JHN.json</x:v>
      </x:c>
      <x:c r="AL358" t="str">
        <x:v>JA</x:v>
      </x:c>
    </x:row>
    <x:row r="359">
      <x:c r="A359" t="str">
        <x:v>FP-0618</x:v>
      </x:c>
      <x:c r="B359" t="str">
        <x:v>JHN</x:v>
      </x:c>
      <x:c r="C359" t="str">
        <x:v>Johannes</x:v>
      </x:c>
      <x:c r="D359" t="n">
        <x:v>4</x:v>
      </x:c>
      <x:c r="E359" t="n">
        <x:v>3</x:v>
      </x:c>
      <x:c r="F359" t="str">
        <x:v>JHN-004</x:v>
      </x:c>
      <x:c r="G359" t="n">
        <x:v>72</x:v>
      </x:c>
      <x:c r="H359" t="str">
        <x:v>CQ-A04</x:v>
      </x:c>
      <x:c r="I359" s="36" t="str">
        <x:v>Welche dieser Aussagen stammt aus Johannes 4?</x:v>
      </x:c>
      <x:c r="J359" s="36" t="str"/>
      <x:c r="K359" s="36" t="str"/>
      <x:c r="L359" s="36" t="str">
        <x:v>REPO_VERIFIZIERT_FRAGEFORM</x:v>
      </x:c>
      <x:c r="M359" s="36" t="str">
        <x:v>ERSETZEN</x:v>
      </x:c>
      <x:c r="N359" s="36" t="str">
        <x:v>REPETITIVE_FRAGEFORM</x:v>
      </x:c>
      <x:c r="O359" s="36" t="str">
        <x:v>REINE_WIEDERERKENNUNG</x:v>
      </x:c>
      <x:c r="P359" s="36" t="str">
        <x:v>KERNAUSSAGE</x:v>
      </x:c>
      <x:c r="Q359" s="36" t="str">
        <x:v>Wie beschreibt Jesus wahre Anbetung?</x:v>
      </x:c>
      <x:c r="R359" s="36" t="str">
        <x:v>Anbetung ist nur auf einem bestimmten Berg möglich.</x:v>
      </x:c>
      <x:c r="S359" s="36" t="str">
        <x:v>Anbetung ist nur im Tempel gültig.</x:v>
      </x:c>
      <x:c r="T359" s="36" t="str">
        <x:v>Anbetung hängt von der Volkszugehörigkeit ab.</x:v>
      </x:c>
      <x:c r="U359" s="36" t="str">
        <x:v>Die wahren Anbeter werden den Vater im Geist und in der Wahrheit anbeten.</x:v>
      </x:c>
      <x:c r="V359" s="36" t="n">
        <x:v>3</x:v>
      </x:c>
      <x:c r="W359" s="36" t="str">
        <x:v>Die wahren Anbeter werden den Vater im Geist und in der Wahrheit anbeten.</x:v>
      </x:c>
      <x:c r="X359" s="36" t="str">
        <x:v>Johannes 4,21–24</x:v>
      </x:c>
      <x:c r="Y359" s="36" t="str">
        <x:v>Jesus löst wahre Anbetung von einem einzelnen Ort und beschreibt sie als Anbetung im Geist und in der Wahrheit.</x:v>
      </x:c>
      <x:c r="Z359" s="36" t="str">
        <x:v>JA</x:v>
      </x:c>
      <x:c r="AA359" s="36" t="str">
        <x:v>JA</x:v>
      </x:c>
      <x:c r="AB359" s="36" t="str">
        <x:v>JA</x:v>
      </x:c>
      <x:c r="AC359" s="36" t="str">
        <x:v>JA</x:v>
      </x:c>
      <x:c r="AD359" s="36" t="str">
        <x:v>JA</x:v>
      </x:c>
      <x:c r="AE359" s="36" t="str">
        <x:v>JA</x:v>
      </x:c>
      <x:c r="AF359" s="36" t="str">
        <x:v>JA</x:v>
      </x:c>
      <x:c r="AG359" s="36" t="str">
        <x:v>FREIGEGEBEN</x:v>
      </x:c>
      <x:c r="AH359" s="36" t="str">
        <x:v>GPT-5.6 Sol · Buchprüfung Johannes · L1912/OTB</x:v>
      </x:c>
      <x:c r="AI359" s="36" t="str">
        <x:v>FREIGEGEBEN</x:v>
      </x:c>
      <x:c r="AJ359" s="36" t="str">
        <x:v>Johannes 4: repetitive Wiedererkennungsfrage durch KERNAUSSAGE-Frage ersetzt.</x:v>
      </x:c>
      <x:c r="AK359" s="36" t="str">
        <x:v>FaithPath repo develop/v4 · data/bibles/l1912/JHN.json · data/bibles/otb/JHN.json</x:v>
      </x:c>
      <x:c r="AL359" t="str">
        <x:v>JA</x:v>
      </x:c>
    </x:row>
    <x:row r="360">
      <x:c r="A360" t="str">
        <x:v>FP-0619</x:v>
      </x:c>
      <x:c r="B360" t="str">
        <x:v>JHN</x:v>
      </x:c>
      <x:c r="C360" t="str">
        <x:v>Johannes</x:v>
      </x:c>
      <x:c r="D360" t="n">
        <x:v>4</x:v>
      </x:c>
      <x:c r="E360" t="n">
        <x:v>4</x:v>
      </x:c>
      <x:c r="F360" t="str">
        <x:v>JHN-004</x:v>
      </x:c>
      <x:c r="G360" t="n">
        <x:v>72</x:v>
      </x:c>
      <x:c r="H360" t="str">
        <x:v>CQ-A04</x:v>
      </x:c>
      <x:c r="I360" s="36" t="str">
        <x:v>Welche dieser Aussagen stammt aus Johannes 4?</x:v>
      </x:c>
      <x:c r="J360" s="36" t="str"/>
      <x:c r="K360" s="36" t="str"/>
      <x:c r="L360" s="36" t="str">
        <x:v>REPO_VERIFIZIERT_FRAGEFORM</x:v>
      </x:c>
      <x:c r="M360" s="36" t="str">
        <x:v>ERSETZEN</x:v>
      </x:c>
      <x:c r="N360" s="36" t="str">
        <x:v>REPETITIVE_FRAGEFORM</x:v>
      </x:c>
      <x:c r="O360" s="36" t="str">
        <x:v>REINE_WIEDERERKENNUNG</x:v>
      </x:c>
      <x:c r="P360" s="36" t="str">
        <x:v>ZUSAMMENHANG</x:v>
      </x:c>
      <x:c r="Q360" s="36" t="str">
        <x:v>Warum glauben viele Samariter zunächst an Jesus?</x:v>
      </x:c>
      <x:c r="R360" s="36" t="str">
        <x:v>Wegen des Zeugnisses der Frau; später hören sie Jesus selbst.</x:v>
      </x:c>
      <x:c r="S360" s="36" t="str">
        <x:v>Weil die Jünger ihnen Geld geben.</x:v>
      </x:c>
      <x:c r="T360" s="36" t="str">
        <x:v>Weil der römische Beamte sie überzeugt.</x:v>
      </x:c>
      <x:c r="U360" s="36" t="str">
        <x:v>Weil sie ein Wunder im Tempel sehen.</x:v>
      </x:c>
      <x:c r="V360" s="36" t="n">
        <x:v>0</x:v>
      </x:c>
      <x:c r="W360" s="36" t="str">
        <x:v>Wegen des Zeugnisses der Frau; später hören sie Jesus selbst.</x:v>
      </x:c>
      <x:c r="X360" s="36" t="str">
        <x:v>Johannes 4,39–42</x:v>
      </x:c>
      <x:c r="Y360" s="36" t="str">
        <x:v>Das Zeugnis der Frau führt viele zu Jesus; nach eigener Begegnung vertieft sich ihr Glaube.</x:v>
      </x:c>
      <x:c r="Z360" s="36" t="str">
        <x:v>JA</x:v>
      </x:c>
      <x:c r="AA360" s="36" t="str">
        <x:v>JA</x:v>
      </x:c>
      <x:c r="AB360" s="36" t="str">
        <x:v>JA</x:v>
      </x:c>
      <x:c r="AC360" s="36" t="str">
        <x:v>JA</x:v>
      </x:c>
      <x:c r="AD360" s="36" t="str">
        <x:v>JA</x:v>
      </x:c>
      <x:c r="AE360" s="36" t="str">
        <x:v>JA</x:v>
      </x:c>
      <x:c r="AF360" s="36" t="str">
        <x:v>JA</x:v>
      </x:c>
      <x:c r="AG360" s="36" t="str">
        <x:v>FREIGEGEBEN</x:v>
      </x:c>
      <x:c r="AH360" s="36" t="str">
        <x:v>GPT-5.6 Sol · Buchprüfung Johannes · L1912/OTB</x:v>
      </x:c>
      <x:c r="AI360" s="36" t="str">
        <x:v>FREIGEGEBEN</x:v>
      </x:c>
      <x:c r="AJ360" s="36" t="str">
        <x:v>Johannes 4: repetitive Wiedererkennungsfrage durch ZUSAMMENHANG-Frage ersetzt.</x:v>
      </x:c>
      <x:c r="AK360" s="36" t="str">
        <x:v>FaithPath repo develop/v4 · data/bibles/l1912/JHN.json · data/bibles/otb/JHN.json</x:v>
      </x:c>
      <x:c r="AL360" t="str">
        <x:v>JA</x:v>
      </x:c>
    </x:row>
    <x:row r="361">
      <x:c r="A361" t="str">
        <x:v>FP-0620</x:v>
      </x:c>
      <x:c r="B361" t="str">
        <x:v>JHN</x:v>
      </x:c>
      <x:c r="C361" t="str">
        <x:v>Johannes</x:v>
      </x:c>
      <x:c r="D361" t="n">
        <x:v>4</x:v>
      </x:c>
      <x:c r="E361" t="n">
        <x:v>5</x:v>
      </x:c>
      <x:c r="F361" t="str">
        <x:v>JHN-004</x:v>
      </x:c>
      <x:c r="G361" t="n">
        <x:v>72</x:v>
      </x:c>
      <x:c r="H361" t="str">
        <x:v>CQ-A04</x:v>
      </x:c>
      <x:c r="I361" s="36" t="str">
        <x:v>Welche dieser Aussagen stammt aus Johannes 4?</x:v>
      </x:c>
      <x:c r="J361" s="36" t="str"/>
      <x:c r="K361" s="36" t="str"/>
      <x:c r="L361" s="36" t="str">
        <x:v>REPO_VERIFIZIERT_FRAGEFORM</x:v>
      </x:c>
      <x:c r="M361" s="36" t="str">
        <x:v>ERSETZEN</x:v>
      </x:c>
      <x:c r="N361" s="36" t="str">
        <x:v>REPETITIVE_FRAGEFORM</x:v>
      </x:c>
      <x:c r="O361" s="36" t="str">
        <x:v>REINE_WIEDERERKENNUNG</x:v>
      </x:c>
      <x:c r="P361" s="36" t="str">
        <x:v>GESCHEHEN</x:v>
      </x:c>
      <x:c r="Q361" s="36" t="str">
        <x:v>Wie wird der Sohn des königlichen Beamten geheilt?</x:v>
      </x:c>
      <x:c r="R361" s="36" t="str">
        <x:v>Jesus reist sofort mit dem Beamten nach Hause.</x:v>
      </x:c>
      <x:c r="S361" s="36" t="str">
        <x:v>Jesus spricht aus der Ferne ein Wort, und der Sohn wird in dieser Stunde gesund.</x:v>
      </x:c>
      <x:c r="T361" s="36" t="str">
        <x:v>Die Jünger behandeln den Jungen.</x:v>
      </x:c>
      <x:c r="U361" s="36" t="str">
        <x:v>Der Junge wird erst Tage später gesund.</x:v>
      </x:c>
      <x:c r="V361" s="36" t="n">
        <x:v>1</x:v>
      </x:c>
      <x:c r="W361" s="36" t="str">
        <x:v>Jesus spricht aus der Ferne ein Wort, und der Sohn wird in dieser Stunde gesund.</x:v>
      </x:c>
      <x:c r="X361" s="36" t="str">
        <x:v>Johannes 4,46–53</x:v>
      </x:c>
      <x:c r="Y361" s="36" t="str">
        <x:v>Der Beamte vertraut Jesu Wort und erfährt später, dass sein Sohn genau zu dieser Stunde gesund geworden ist.</x:v>
      </x:c>
      <x:c r="Z361" s="36" t="str">
        <x:v>JA</x:v>
      </x:c>
      <x:c r="AA361" s="36" t="str">
        <x:v>JA</x:v>
      </x:c>
      <x:c r="AB361" s="36" t="str">
        <x:v>JA</x:v>
      </x:c>
      <x:c r="AC361" s="36" t="str">
        <x:v>JA</x:v>
      </x:c>
      <x:c r="AD361" s="36" t="str">
        <x:v>JA</x:v>
      </x:c>
      <x:c r="AE361" s="36" t="str">
        <x:v>JA</x:v>
      </x:c>
      <x:c r="AF361" s="36" t="str">
        <x:v>JA</x:v>
      </x:c>
      <x:c r="AG361" s="36" t="str">
        <x:v>FREIGEGEBEN</x:v>
      </x:c>
      <x:c r="AH361" s="36" t="str">
        <x:v>GPT-5.6 Sol · Buchprüfung Johannes · L1912/OTB</x:v>
      </x:c>
      <x:c r="AI361" s="36" t="str">
        <x:v>FREIGEGEBEN</x:v>
      </x:c>
      <x:c r="AJ361" s="36" t="str">
        <x:v>Johannes 4: repetitive Wiedererkennungsfrage durch GESCHEHEN-Frage ersetzt.</x:v>
      </x:c>
      <x:c r="AK361" s="36" t="str">
        <x:v>FaithPath repo develop/v4 · data/bibles/l1912/JHN.json · data/bibles/otb/JHN.json</x:v>
      </x:c>
      <x:c r="AL361" t="str">
        <x:v>JA</x:v>
      </x:c>
    </x:row>
    <x:row r="362">
      <x:c r="A362" t="str">
        <x:v>FP-0621</x:v>
      </x:c>
      <x:c r="B362" t="str">
        <x:v>JHN</x:v>
      </x:c>
      <x:c r="C362" t="str">
        <x:v>Johannes</x:v>
      </x:c>
      <x:c r="D362" t="n">
        <x:v>5</x:v>
      </x:c>
      <x:c r="E362" t="n">
        <x:v>1</x:v>
      </x:c>
      <x:c r="F362" t="str">
        <x:v>JHN-005</x:v>
      </x:c>
      <x:c r="G362" t="n">
        <x:v>73</x:v>
      </x:c>
      <x:c r="H362" t="str">
        <x:v>CQ-A04</x:v>
      </x:c>
      <x:c r="I362" s="36" t="str">
        <x:v>Welche dieser Aussagen stammt aus Johannes 5?</x:v>
      </x:c>
      <x:c r="J362" s="36" t="str"/>
      <x:c r="K362" s="36" t="str"/>
      <x:c r="L362" s="36" t="str">
        <x:v>REPO_VERIFIZIERT_FRAGEFORM</x:v>
      </x:c>
      <x:c r="M362" s="36" t="str">
        <x:v>ERSETZEN</x:v>
      </x:c>
      <x:c r="N362" s="36" t="str">
        <x:v>REPETITIVE_FRAGEFORM</x:v>
      </x:c>
      <x:c r="O362" s="36" t="str">
        <x:v>REINE_WIEDERERKENNUNG</x:v>
      </x:c>
      <x:c r="P362" s="36" t="str">
        <x:v>GESCHEHEN</x:v>
      </x:c>
      <x:c r="Q362" s="36" t="str">
        <x:v>Was befiehlt Jesus dem Kranken am Teich Bethesda?</x:v>
      </x:c>
      <x:c r="R362" s="36" t="str">
        <x:v>Bleib am Teich liegen.</x:v>
      </x:c>
      <x:c r="S362" s="36" t="str">
        <x:v>Warte auf einen Priester.</x:v>
      </x:c>
      <x:c r="T362" s="36" t="str">
        <x:v>Steh auf, nimm dein Bett und geh.</x:v>
      </x:c>
      <x:c r="U362" s="36" t="str">
        <x:v>Geh zuerst nach Galiläa.</x:v>
      </x:c>
      <x:c r="V362" s="36" t="n">
        <x:v>2</x:v>
      </x:c>
      <x:c r="W362" s="36" t="str">
        <x:v>Steh auf, nimm dein Bett und geh.</x:v>
      </x:c>
      <x:c r="X362" s="36" t="str">
        <x:v>Johannes 5,5–9</x:v>
      </x:c>
      <x:c r="Y362" s="36" t="str">
        <x:v>Jesus heilt den Mann durch sein Wort und fordert ihn auf, aufzustehen, sein Bett zu nehmen und zu gehen.</x:v>
      </x:c>
      <x:c r="Z362" s="36" t="str">
        <x:v>JA</x:v>
      </x:c>
      <x:c r="AA362" s="36" t="str">
        <x:v>JA</x:v>
      </x:c>
      <x:c r="AB362" s="36" t="str">
        <x:v>JA</x:v>
      </x:c>
      <x:c r="AC362" s="36" t="str">
        <x:v>JA</x:v>
      </x:c>
      <x:c r="AD362" s="36" t="str">
        <x:v>JA</x:v>
      </x:c>
      <x:c r="AE362" s="36" t="str">
        <x:v>JA</x:v>
      </x:c>
      <x:c r="AF362" s="36" t="str">
        <x:v>JA</x:v>
      </x:c>
      <x:c r="AG362" s="36" t="str">
        <x:v>FREIGEGEBEN</x:v>
      </x:c>
      <x:c r="AH362" s="36" t="str">
        <x:v>GPT-5.6 Sol · Buchprüfung Johannes · L1912/OTB</x:v>
      </x:c>
      <x:c r="AI362" s="36" t="str">
        <x:v>FREIGEGEBEN</x:v>
      </x:c>
      <x:c r="AJ362" s="36" t="str">
        <x:v>Johannes 5: repetitive Wiedererkennungsfrage durch GESCHEHEN-Frage ersetzt.</x:v>
      </x:c>
      <x:c r="AK362" s="36" t="str">
        <x:v>FaithPath repo develop/v4 · data/bibles/l1912/JHN.json · data/bibles/otb/JHN.json</x:v>
      </x:c>
      <x:c r="AL362" t="str">
        <x:v>JA</x:v>
      </x:c>
    </x:row>
    <x:row r="363">
      <x:c r="A363" t="str">
        <x:v>FP-0622</x:v>
      </x:c>
      <x:c r="B363" t="str">
        <x:v>JHN</x:v>
      </x:c>
      <x:c r="C363" t="str">
        <x:v>Johannes</x:v>
      </x:c>
      <x:c r="D363" t="n">
        <x:v>5</x:v>
      </x:c>
      <x:c r="E363" t="n">
        <x:v>2</x:v>
      </x:c>
      <x:c r="F363" t="str">
        <x:v>JHN-005</x:v>
      </x:c>
      <x:c r="G363" t="n">
        <x:v>73</x:v>
      </x:c>
      <x:c r="H363" t="str">
        <x:v>CQ-A04</x:v>
      </x:c>
      <x:c r="I363" s="36" t="str">
        <x:v>Welche dieser Aussagen stammt aus Johannes 5?</x:v>
      </x:c>
      <x:c r="J363" s="36" t="str"/>
      <x:c r="K363" s="36" t="str"/>
      <x:c r="L363" s="36" t="str">
        <x:v>REPO_VERIFIZIERT_FRAGEFORM</x:v>
      </x:c>
      <x:c r="M363" s="36" t="str">
        <x:v>ERSETZEN</x:v>
      </x:c>
      <x:c r="N363" s="36" t="str">
        <x:v>REPETITIVE_FRAGEFORM</x:v>
      </x:c>
      <x:c r="O363" s="36" t="str">
        <x:v>REINE_WIEDERERKENNUNG</x:v>
      </x:c>
      <x:c r="P363" s="36" t="str">
        <x:v>ZUSAMMENHANG</x:v>
      </x:c>
      <x:c r="Q363" s="36" t="str">
        <x:v>Warum geraten die jüdischen Gegner wegen dieser Heilung mit Jesus in Konflikt?</x:v>
      </x:c>
      <x:c r="R363" s="36" t="str">
        <x:v>Weil der Mann kein Jude ist.</x:v>
      </x:c>
      <x:c r="S363" s="36" t="str">
        <x:v>Weil Jesus Geld verlangt.</x:v>
      </x:c>
      <x:c r="T363" s="36" t="str">
        <x:v>Weil die Jünger den Tempel verlassen.</x:v>
      </x:c>
      <x:c r="U363" s="36" t="str">
        <x:v>Weil die Heilung am Sabbat geschieht und Jesus zugleich von Gott als seinem Vater spricht.</x:v>
      </x:c>
      <x:c r="V363" s="36" t="n">
        <x:v>3</x:v>
      </x:c>
      <x:c r="W363" s="36" t="str">
        <x:v>Weil die Heilung am Sabbat geschieht und Jesus zugleich von Gott als seinem Vater spricht.</x:v>
      </x:c>
      <x:c r="X363" s="36" t="str">
        <x:v>Johannes 5,9–18</x:v>
      </x:c>
      <x:c r="Y363" s="36" t="str">
        <x:v>Der Konflikt verschärft sich wegen des Sabbats und Jesu besonderer Aussage über seine Beziehung zum Vater.</x:v>
      </x:c>
      <x:c r="Z363" s="36" t="str">
        <x:v>JA</x:v>
      </x:c>
      <x:c r="AA363" s="36" t="str">
        <x:v>JA</x:v>
      </x:c>
      <x:c r="AB363" s="36" t="str">
        <x:v>JA</x:v>
      </x:c>
      <x:c r="AC363" s="36" t="str">
        <x:v>JA</x:v>
      </x:c>
      <x:c r="AD363" s="36" t="str">
        <x:v>JA</x:v>
      </x:c>
      <x:c r="AE363" s="36" t="str">
        <x:v>JA</x:v>
      </x:c>
      <x:c r="AF363" s="36" t="str">
        <x:v>JA</x:v>
      </x:c>
      <x:c r="AG363" s="36" t="str">
        <x:v>FREIGEGEBEN</x:v>
      </x:c>
      <x:c r="AH363" s="36" t="str">
        <x:v>GPT-5.6 Sol · Buchprüfung Johannes · L1912/OTB</x:v>
      </x:c>
      <x:c r="AI363" s="36" t="str">
        <x:v>FREIGEGEBEN</x:v>
      </x:c>
      <x:c r="AJ363" s="36" t="str">
        <x:v>Johannes 5: repetitive Wiedererkennungsfrage durch ZUSAMMENHANG-Frage ersetzt.</x:v>
      </x:c>
      <x:c r="AK363" s="36" t="str">
        <x:v>FaithPath repo develop/v4 · data/bibles/l1912/JHN.json · data/bibles/otb/JHN.json</x:v>
      </x:c>
      <x:c r="AL363" t="str">
        <x:v>JA</x:v>
      </x:c>
    </x:row>
    <x:row r="364">
      <x:c r="A364" t="str">
        <x:v>FP-0623</x:v>
      </x:c>
      <x:c r="B364" t="str">
        <x:v>JHN</x:v>
      </x:c>
      <x:c r="C364" t="str">
        <x:v>Johannes</x:v>
      </x:c>
      <x:c r="D364" t="n">
        <x:v>5</x:v>
      </x:c>
      <x:c r="E364" t="n">
        <x:v>3</x:v>
      </x:c>
      <x:c r="F364" t="str">
        <x:v>JHN-005</x:v>
      </x:c>
      <x:c r="G364" t="n">
        <x:v>73</x:v>
      </x:c>
      <x:c r="H364" t="str">
        <x:v>CQ-A04</x:v>
      </x:c>
      <x:c r="I364" s="36" t="str">
        <x:v>Welche dieser Aussagen stammt aus Johannes 5?</x:v>
      </x:c>
      <x:c r="J364" s="36" t="str"/>
      <x:c r="K364" s="36" t="str"/>
      <x:c r="L364" s="36" t="str">
        <x:v>REPO_VERIFIZIERT_FRAGEFORM</x:v>
      </x:c>
      <x:c r="M364" s="36" t="str">
        <x:v>ERSETZEN</x:v>
      </x:c>
      <x:c r="N364" s="36" t="str">
        <x:v>REPETITIVE_FRAGEFORM</x:v>
      </x:c>
      <x:c r="O364" s="36" t="str">
        <x:v>REINE_WIEDERERKENNUNG</x:v>
      </x:c>
      <x:c r="P364" s="36" t="str">
        <x:v>KERNAUSSAGE</x:v>
      </x:c>
      <x:c r="Q364" s="36" t="str">
        <x:v>Was sagt Jesus über das Verhältnis seines Handelns zum Vater?</x:v>
      </x:c>
      <x:c r="R364" s="36" t="str">
        <x:v>Der Sohn tut, was er den Vater tun sieht.</x:v>
      </x:c>
      <x:c r="S364" s="36" t="str">
        <x:v>Der Sohn handelt unabhängig vom Vater.</x:v>
      </x:c>
      <x:c r="T364" s="36" t="str">
        <x:v>Der Vater kennt den Sohn nicht.</x:v>
      </x:c>
      <x:c r="U364" s="36" t="str">
        <x:v>Der Sohn darf nur am Sabbat handeln.</x:v>
      </x:c>
      <x:c r="V364" s="36" t="n">
        <x:v>0</x:v>
      </x:c>
      <x:c r="W364" s="36" t="str">
        <x:v>Der Sohn tut, was er den Vater tun sieht.</x:v>
      </x:c>
      <x:c r="X364" s="36" t="str">
        <x:v>Johannes 5,19–20</x:v>
      </x:c>
      <x:c r="Y364" s="36" t="str">
        <x:v>Jesus beschreibt sein Handeln als vollkommen am Handeln des Vaters orientiert.</x:v>
      </x:c>
      <x:c r="Z364" s="36" t="str">
        <x:v>JA</x:v>
      </x:c>
      <x:c r="AA364" s="36" t="str">
        <x:v>JA</x:v>
      </x:c>
      <x:c r="AB364" s="36" t="str">
        <x:v>JA</x:v>
      </x:c>
      <x:c r="AC364" s="36" t="str">
        <x:v>JA</x:v>
      </x:c>
      <x:c r="AD364" s="36" t="str">
        <x:v>JA</x:v>
      </x:c>
      <x:c r="AE364" s="36" t="str">
        <x:v>JA</x:v>
      </x:c>
      <x:c r="AF364" s="36" t="str">
        <x:v>JA</x:v>
      </x:c>
      <x:c r="AG364" s="36" t="str">
        <x:v>FREIGEGEBEN</x:v>
      </x:c>
      <x:c r="AH364" s="36" t="str">
        <x:v>GPT-5.6 Sol · Buchprüfung Johannes · L1912/OTB</x:v>
      </x:c>
      <x:c r="AI364" s="36" t="str">
        <x:v>FREIGEGEBEN</x:v>
      </x:c>
      <x:c r="AJ364" s="36" t="str">
        <x:v>Johannes 5: repetitive Wiedererkennungsfrage durch KERNAUSSAGE-Frage ersetzt.</x:v>
      </x:c>
      <x:c r="AK364" s="36" t="str">
        <x:v>FaithPath repo develop/v4 · data/bibles/l1912/JHN.json · data/bibles/otb/JHN.json</x:v>
      </x:c>
      <x:c r="AL364" t="str">
        <x:v>JA</x:v>
      </x:c>
    </x:row>
    <x:row r="365">
      <x:c r="A365" t="str">
        <x:v>FP-0624</x:v>
      </x:c>
      <x:c r="B365" t="str">
        <x:v>JHN</x:v>
      </x:c>
      <x:c r="C365" t="str">
        <x:v>Johannes</x:v>
      </x:c>
      <x:c r="D365" t="n">
        <x:v>5</x:v>
      </x:c>
      <x:c r="E365" t="n">
        <x:v>4</x:v>
      </x:c>
      <x:c r="F365" t="str">
        <x:v>JHN-005</x:v>
      </x:c>
      <x:c r="G365" t="n">
        <x:v>73</x:v>
      </x:c>
      <x:c r="H365" t="str">
        <x:v>CQ-A04</x:v>
      </x:c>
      <x:c r="I365" s="36" t="str">
        <x:v>Welche dieser Aussagen stammt aus Johannes 5?</x:v>
      </x:c>
      <x:c r="J365" s="36" t="str"/>
      <x:c r="K365" s="36" t="str"/>
      <x:c r="L365" s="36" t="str">
        <x:v>REPO_VERIFIZIERT_FRAGEFORM</x:v>
      </x:c>
      <x:c r="M365" s="36" t="str">
        <x:v>ERSETZEN</x:v>
      </x:c>
      <x:c r="N365" s="36" t="str">
        <x:v>REPETITIVE_FRAGEFORM</x:v>
      </x:c>
      <x:c r="O365" s="36" t="str">
        <x:v>REINE_WIEDERERKENNUNG</x:v>
      </x:c>
      <x:c r="P365" s="36" t="str">
        <x:v>KERNAUSSAGE</x:v>
      </x:c>
      <x:c r="Q365" s="36" t="str">
        <x:v>Welche Zusage gibt Jesus dem, der sein Wort hört und dem glaubt, der ihn gesandt hat?</x:v>
      </x:c>
      <x:c r="R365" s="36" t="str">
        <x:v>Er wird nie körperlich sterben.</x:v>
      </x:c>
      <x:c r="S365" s="36" t="str">
        <x:v>Er hat ewiges Leben und kommt nicht ins Gericht, sondern ist vom Tod zum Leben hindurchgedrungen.</x:v>
      </x:c>
      <x:c r="T365" s="36" t="str">
        <x:v>Er erhält sofort großen Besitz.</x:v>
      </x:c>
      <x:c r="U365" s="36" t="str">
        <x:v>Er muss nicht mehr auf Gottes Wort hören.</x:v>
      </x:c>
      <x:c r="V365" s="36" t="n">
        <x:v>1</x:v>
      </x:c>
      <x:c r="W365" s="36" t="str">
        <x:v>Er hat ewiges Leben und kommt nicht ins Gericht, sondern ist vom Tod zum Leben hindurchgedrungen.</x:v>
      </x:c>
      <x:c r="X365" s="36" t="str">
        <x:v>Johannes 5,24</x:v>
      </x:c>
      <x:c r="Y365" s="36" t="str">
        <x:v>Jesus verbindet Hören und Glauben mit gegenwärtigem ewigen Leben und dem Übergang vom Tod zum Leben.</x:v>
      </x:c>
      <x:c r="Z365" s="36" t="str">
        <x:v>JA</x:v>
      </x:c>
      <x:c r="AA365" s="36" t="str">
        <x:v>JA</x:v>
      </x:c>
      <x:c r="AB365" s="36" t="str">
        <x:v>JA</x:v>
      </x:c>
      <x:c r="AC365" s="36" t="str">
        <x:v>JA</x:v>
      </x:c>
      <x:c r="AD365" s="36" t="str">
        <x:v>JA</x:v>
      </x:c>
      <x:c r="AE365" s="36" t="str">
        <x:v>JA</x:v>
      </x:c>
      <x:c r="AF365" s="36" t="str">
        <x:v>JA</x:v>
      </x:c>
      <x:c r="AG365" s="36" t="str">
        <x:v>FREIGEGEBEN</x:v>
      </x:c>
      <x:c r="AH365" s="36" t="str">
        <x:v>GPT-5.6 Sol · Buchprüfung Johannes · L1912/OTB</x:v>
      </x:c>
      <x:c r="AI365" s="36" t="str">
        <x:v>FREIGEGEBEN</x:v>
      </x:c>
      <x:c r="AJ365" s="36" t="str">
        <x:v>Johannes 5: repetitive Wiedererkennungsfrage durch KERNAUSSAGE-Frage ersetzt.</x:v>
      </x:c>
      <x:c r="AK365" s="36" t="str">
        <x:v>FaithPath repo develop/v4 · data/bibles/l1912/JHN.json · data/bibles/otb/JHN.json</x:v>
      </x:c>
      <x:c r="AL365" t="str">
        <x:v>JA</x:v>
      </x:c>
    </x:row>
    <x:row r="366">
      <x:c r="A366" t="str">
        <x:v>FP-0625</x:v>
      </x:c>
      <x:c r="B366" t="str">
        <x:v>JHN</x:v>
      </x:c>
      <x:c r="C366" t="str">
        <x:v>Johannes</x:v>
      </x:c>
      <x:c r="D366" t="n">
        <x:v>5</x:v>
      </x:c>
      <x:c r="E366" t="n">
        <x:v>5</x:v>
      </x:c>
      <x:c r="F366" t="str">
        <x:v>JHN-005</x:v>
      </x:c>
      <x:c r="G366" t="n">
        <x:v>73</x:v>
      </x:c>
      <x:c r="H366" t="str">
        <x:v>CQ-A04</x:v>
      </x:c>
      <x:c r="I366" s="36" t="str">
        <x:v>Welche dieser Aussagen stammt aus Johannes 5?</x:v>
      </x:c>
      <x:c r="J366" s="36" t="str"/>
      <x:c r="K366" s="36" t="str"/>
      <x:c r="L366" s="36" t="str">
        <x:v>REPO_VERIFIZIERT_FRAGEFORM</x:v>
      </x:c>
      <x:c r="M366" s="36" t="str">
        <x:v>ERSETZEN</x:v>
      </x:c>
      <x:c r="N366" s="36" t="str">
        <x:v>REPETITIVE_FRAGEFORM</x:v>
      </x:c>
      <x:c r="O366" s="36" t="str">
        <x:v>REINE_WIEDERERKENNUNG</x:v>
      </x:c>
      <x:c r="P366" s="36" t="str">
        <x:v>ZUSAMMENHANG</x:v>
      </x:c>
      <x:c r="Q366" s="36" t="str">
        <x:v>Welche Zeugen nennt Jesus für seine Sendung?</x:v>
      </x:c>
      <x:c r="R366" s="36" t="str">
        <x:v>Nur Petrus und Andreas.</x:v>
      </x:c>
      <x:c r="S366" s="36" t="str">
        <x:v>Nur die römischen Behörden.</x:v>
      </x:c>
      <x:c r="T366" s="36" t="str">
        <x:v>Unter anderem Johannes, seine Werke, den Vater und die Schriften.</x:v>
      </x:c>
      <x:c r="U366" s="36" t="str">
        <x:v>Ausschließlich seine Mutter.</x:v>
      </x:c>
      <x:c r="V366" s="36" t="n">
        <x:v>2</x:v>
      </x:c>
      <x:c r="W366" s="36" t="str">
        <x:v>Unter anderem Johannes, seine Werke, den Vater und die Schriften.</x:v>
      </x:c>
      <x:c r="X366" s="36" t="str">
        <x:v>Johannes 5,31–39</x:v>
      </x:c>
      <x:c r="Y366" s="36" t="str">
        <x:v>Jesus verweist auf mehrere Zeugnisse, die seine Sendung bestätigen, besonders seine Werke, den Vater und die Schriften.</x:v>
      </x:c>
      <x:c r="Z366" s="36" t="str">
        <x:v>JA</x:v>
      </x:c>
      <x:c r="AA366" s="36" t="str">
        <x:v>JA</x:v>
      </x:c>
      <x:c r="AB366" s="36" t="str">
        <x:v>JA</x:v>
      </x:c>
      <x:c r="AC366" s="36" t="str">
        <x:v>JA</x:v>
      </x:c>
      <x:c r="AD366" s="36" t="str">
        <x:v>JA</x:v>
      </x:c>
      <x:c r="AE366" s="36" t="str">
        <x:v>JA</x:v>
      </x:c>
      <x:c r="AF366" s="36" t="str">
        <x:v>JA</x:v>
      </x:c>
      <x:c r="AG366" s="36" t="str">
        <x:v>FREIGEGEBEN</x:v>
      </x:c>
      <x:c r="AH366" s="36" t="str">
        <x:v>GPT-5.6 Sol · Buchprüfung Johannes · L1912/OTB</x:v>
      </x:c>
      <x:c r="AI366" s="36" t="str">
        <x:v>FREIGEGEBEN</x:v>
      </x:c>
      <x:c r="AJ366" s="36" t="str">
        <x:v>Johannes 5: repetitive Wiedererkennungsfrage durch ZUSAMMENHANG-Frage ersetzt.</x:v>
      </x:c>
      <x:c r="AK366" s="36" t="str">
        <x:v>FaithPath repo develop/v4 · data/bibles/l1912/JHN.json · data/bibles/otb/JHN.json</x:v>
      </x:c>
      <x:c r="AL366" t="str">
        <x:v>JA</x:v>
      </x:c>
    </x:row>
    <x:row r="367">
      <x:c r="A367" t="str">
        <x:v>FP-0626</x:v>
      </x:c>
      <x:c r="B367" t="str">
        <x:v>JHN</x:v>
      </x:c>
      <x:c r="C367" t="str">
        <x:v>Johannes</x:v>
      </x:c>
      <x:c r="D367" t="n">
        <x:v>6</x:v>
      </x:c>
      <x:c r="E367" t="n">
        <x:v>1</x:v>
      </x:c>
      <x:c r="F367" t="str">
        <x:v>JHN-006</x:v>
      </x:c>
      <x:c r="G367" t="n">
        <x:v>74</x:v>
      </x:c>
      <x:c r="H367" t="str">
        <x:v>CQ-A04</x:v>
      </x:c>
      <x:c r="I367" s="36" t="str">
        <x:v>Welche dieser Aussagen stammt aus Johannes 6?</x:v>
      </x:c>
      <x:c r="J367" s="36" t="str"/>
      <x:c r="K367" s="36" t="str"/>
      <x:c r="L367" s="36" t="str">
        <x:v>REPO_VERIFIZIERT_FRAGEFORM</x:v>
      </x:c>
      <x:c r="M367" s="36" t="str">
        <x:v>ERSETZEN</x:v>
      </x:c>
      <x:c r="N367" s="36" t="str">
        <x:v>REPETITIVE_FRAGEFORM</x:v>
      </x:c>
      <x:c r="O367" s="36" t="str">
        <x:v>REINE_WIEDERERKENNUNG</x:v>
      </x:c>
      <x:c r="P367" s="36" t="str">
        <x:v>GESCHEHEN</x:v>
      </x:c>
      <x:c r="Q367" s="36" t="str">
        <x:v>Mit welcher vorhandenen Nahrung beginnt die Speisung der großen Menge?</x:v>
      </x:c>
      <x:c r="R367" s="36" t="str">
        <x:v>Mit sieben Broten und einem Fisch.</x:v>
      </x:c>
      <x:c r="S367" s="36" t="str">
        <x:v>Mit zwölf Broten.</x:v>
      </x:c>
      <x:c r="T367" s="36" t="str">
        <x:v>Mit drei Broten und fünf Fischen.</x:v>
      </x:c>
      <x:c r="U367" s="36" t="str">
        <x:v>Mit fünf Gerstenbroten und zwei Fischen.</x:v>
      </x:c>
      <x:c r="V367" s="36" t="n">
        <x:v>3</x:v>
      </x:c>
      <x:c r="W367" s="36" t="str">
        <x:v>Mit fünf Gerstenbroten und zwei Fischen.</x:v>
      </x:c>
      <x:c r="X367" s="36" t="str">
        <x:v>Johannes 6,5–13</x:v>
      </x:c>
      <x:c r="Y367" s="36" t="str">
        <x:v>Ein Junge hat fünf Gerstenbrote und zwei Fische; Jesus speist damit die Menge, und zwölf Körbe bleiben übrig.</x:v>
      </x:c>
      <x:c r="Z367" s="36" t="str">
        <x:v>JA</x:v>
      </x:c>
      <x:c r="AA367" s="36" t="str">
        <x:v>JA</x:v>
      </x:c>
      <x:c r="AB367" s="36" t="str">
        <x:v>JA</x:v>
      </x:c>
      <x:c r="AC367" s="36" t="str">
        <x:v>JA</x:v>
      </x:c>
      <x:c r="AD367" s="36" t="str">
        <x:v>JA</x:v>
      </x:c>
      <x:c r="AE367" s="36" t="str">
        <x:v>JA</x:v>
      </x:c>
      <x:c r="AF367" s="36" t="str">
        <x:v>JA</x:v>
      </x:c>
      <x:c r="AG367" s="36" t="str">
        <x:v>FREIGEGEBEN</x:v>
      </x:c>
      <x:c r="AH367" s="36" t="str">
        <x:v>GPT-5.6 Sol · Buchprüfung Johannes · L1912/OTB</x:v>
      </x:c>
      <x:c r="AI367" s="36" t="str">
        <x:v>FREIGEGEBEN</x:v>
      </x:c>
      <x:c r="AJ367" s="36" t="str">
        <x:v>Johannes 6: repetitive Wiedererkennungsfrage durch GESCHEHEN-Frage ersetzt.</x:v>
      </x:c>
      <x:c r="AK367" s="36" t="str">
        <x:v>FaithPath repo develop/v4 · data/bibles/l1912/JHN.json · data/bibles/otb/JHN.json</x:v>
      </x:c>
      <x:c r="AL367" t="str">
        <x:v>JA</x:v>
      </x:c>
    </x:row>
    <x:row r="368">
      <x:c r="A368" t="str">
        <x:v>FP-0627</x:v>
      </x:c>
      <x:c r="B368" t="str">
        <x:v>JHN</x:v>
      </x:c>
      <x:c r="C368" t="str">
        <x:v>Johannes</x:v>
      </x:c>
      <x:c r="D368" t="n">
        <x:v>6</x:v>
      </x:c>
      <x:c r="E368" t="n">
        <x:v>2</x:v>
      </x:c>
      <x:c r="F368" t="str">
        <x:v>JHN-006</x:v>
      </x:c>
      <x:c r="G368" t="n">
        <x:v>74</x:v>
      </x:c>
      <x:c r="H368" t="str">
        <x:v>CQ-A04</x:v>
      </x:c>
      <x:c r="I368" s="36" t="str">
        <x:v>Welche dieser Aussagen stammt aus Johannes 6?</x:v>
      </x:c>
      <x:c r="J368" s="36" t="str"/>
      <x:c r="K368" s="36" t="str"/>
      <x:c r="L368" s="36" t="str">
        <x:v>REPO_VERIFIZIERT_FRAGEFORM</x:v>
      </x:c>
      <x:c r="M368" s="36" t="str">
        <x:v>ERSETZEN</x:v>
      </x:c>
      <x:c r="N368" s="36" t="str">
        <x:v>REPETITIVE_FRAGEFORM</x:v>
      </x:c>
      <x:c r="O368" s="36" t="str">
        <x:v>REINE_WIEDERERKENNUNG</x:v>
      </x:c>
      <x:c r="P368" s="36" t="str">
        <x:v>GESCHEHEN</x:v>
      </x:c>
      <x:c r="Q368" s="36" t="str">
        <x:v>Was geschieht auf dem See, als die Jünger Jesus auf dem Wasser sehen?</x:v>
      </x:c>
      <x:c r="R368" s="36" t="str">
        <x:v>Jesus sagt ihnen, sie sollen sich nicht fürchten, und sie nehmen ihn ins Boot.</x:v>
      </x:c>
      <x:c r="S368" s="36" t="str">
        <x:v>Jesus sinkt ins Wasser.</x:v>
      </x:c>
      <x:c r="T368" s="36" t="str">
        <x:v>Die Jünger springen alle ins Meer.</x:v>
      </x:c>
      <x:c r="U368" s="36" t="str">
        <x:v>Das Boot kehrt ohne Jesus zurück.</x:v>
      </x:c>
      <x:c r="V368" s="36" t="n">
        <x:v>0</x:v>
      </x:c>
      <x:c r="W368" s="36" t="str">
        <x:v>Jesus sagt ihnen, sie sollen sich nicht fürchten, und sie nehmen ihn ins Boot.</x:v>
      </x:c>
      <x:c r="X368" s="36" t="str">
        <x:v>Johannes 6,16–21</x:v>
      </x:c>
      <x:c r="Y368" s="36" t="str">
        <x:v>Jesus kommt auf dem Wasser zu den Jüngern und spricht ihnen Mut zu.</x:v>
      </x:c>
      <x:c r="Z368" s="36" t="str">
        <x:v>JA</x:v>
      </x:c>
      <x:c r="AA368" s="36" t="str">
        <x:v>JA</x:v>
      </x:c>
      <x:c r="AB368" s="36" t="str">
        <x:v>JA</x:v>
      </x:c>
      <x:c r="AC368" s="36" t="str">
        <x:v>JA</x:v>
      </x:c>
      <x:c r="AD368" s="36" t="str">
        <x:v>JA</x:v>
      </x:c>
      <x:c r="AE368" s="36" t="str">
        <x:v>JA</x:v>
      </x:c>
      <x:c r="AF368" s="36" t="str">
        <x:v>JA</x:v>
      </x:c>
      <x:c r="AG368" s="36" t="str">
        <x:v>FREIGEGEBEN</x:v>
      </x:c>
      <x:c r="AH368" s="36" t="str">
        <x:v>GPT-5.6 Sol · Buchprüfung Johannes · L1912/OTB</x:v>
      </x:c>
      <x:c r="AI368" s="36" t="str">
        <x:v>FREIGEGEBEN</x:v>
      </x:c>
      <x:c r="AJ368" s="36" t="str">
        <x:v>Johannes 6: repetitive Wiedererkennungsfrage durch GESCHEHEN-Frage ersetzt.</x:v>
      </x:c>
      <x:c r="AK368" s="36" t="str">
        <x:v>FaithPath repo develop/v4 · data/bibles/l1912/JHN.json · data/bibles/otb/JHN.json</x:v>
      </x:c>
      <x:c r="AL368" t="str">
        <x:v>JA</x:v>
      </x:c>
    </x:row>
    <x:row r="369">
      <x:c r="A369" t="str">
        <x:v>FP-0628</x:v>
      </x:c>
      <x:c r="B369" t="str">
        <x:v>JHN</x:v>
      </x:c>
      <x:c r="C369" t="str">
        <x:v>Johannes</x:v>
      </x:c>
      <x:c r="D369" t="n">
        <x:v>6</x:v>
      </x:c>
      <x:c r="E369" t="n">
        <x:v>3</x:v>
      </x:c>
      <x:c r="F369" t="str">
        <x:v>JHN-006</x:v>
      </x:c>
      <x:c r="G369" t="n">
        <x:v>74</x:v>
      </x:c>
      <x:c r="H369" t="str">
        <x:v>CQ-A04</x:v>
      </x:c>
      <x:c r="I369" s="36" t="str">
        <x:v>Welche dieser Aussagen stammt aus Johannes 6?</x:v>
      </x:c>
      <x:c r="J369" s="36" t="str"/>
      <x:c r="K369" s="36" t="str"/>
      <x:c r="L369" s="36" t="str">
        <x:v>REPO_VERIFIZIERT_FRAGEFORM</x:v>
      </x:c>
      <x:c r="M369" s="36" t="str">
        <x:v>ERSETZEN</x:v>
      </x:c>
      <x:c r="N369" s="36" t="str">
        <x:v>REPETITIVE_FRAGEFORM</x:v>
      </x:c>
      <x:c r="O369" s="36" t="str">
        <x:v>REINE_WIEDERERKENNUNG</x:v>
      </x:c>
      <x:c r="P369" s="36" t="str">
        <x:v>KERNAUSSAGE</x:v>
      </x:c>
      <x:c r="Q369" s="36" t="str">
        <x:v>Was sagt Jesus über das „Brot Gottes“?</x:v>
      </x:c>
      <x:c r="R369" s="36" t="str">
        <x:v>Es wird nur im Tempel gebacken.</x:v>
      </x:c>
      <x:c r="S369" s="36" t="str">
        <x:v>Es kommt vom Himmel herab und gibt der Welt Leben.</x:v>
      </x:c>
      <x:c r="T369" s="36" t="str">
        <x:v>Es ist ausschließlich für die Zwölf bestimmt.</x:v>
      </x:c>
      <x:c r="U369" s="36" t="str">
        <x:v>Es besteht aus dem Manna der Wüste.</x:v>
      </x:c>
      <x:c r="V369" s="36" t="n">
        <x:v>1</x:v>
      </x:c>
      <x:c r="W369" s="36" t="str">
        <x:v>Es kommt vom Himmel herab und gibt der Welt Leben.</x:v>
      </x:c>
      <x:c r="X369" s="36" t="str">
        <x:v>Johannes 6,32–35</x:v>
      </x:c>
      <x:c r="Y369" s="36" t="str">
        <x:v>Jesus erklärt das wahre Brot aus dem Himmel als Gottes Gabe, die der Welt Leben gibt, und bezeichnet sich als Brot des Lebens.</x:v>
      </x:c>
      <x:c r="Z369" s="36" t="str">
        <x:v>JA</x:v>
      </x:c>
      <x:c r="AA369" s="36" t="str">
        <x:v>JA</x:v>
      </x:c>
      <x:c r="AB369" s="36" t="str">
        <x:v>JA</x:v>
      </x:c>
      <x:c r="AC369" s="36" t="str">
        <x:v>JA</x:v>
      </x:c>
      <x:c r="AD369" s="36" t="str">
        <x:v>JA</x:v>
      </x:c>
      <x:c r="AE369" s="36" t="str">
        <x:v>JA</x:v>
      </x:c>
      <x:c r="AF369" s="36" t="str">
        <x:v>JA</x:v>
      </x:c>
      <x:c r="AG369" s="36" t="str">
        <x:v>FREIGEGEBEN</x:v>
      </x:c>
      <x:c r="AH369" s="36" t="str">
        <x:v>GPT-5.6 Sol · Buchprüfung Johannes · L1912/OTB</x:v>
      </x:c>
      <x:c r="AI369" s="36" t="str">
        <x:v>FREIGEGEBEN</x:v>
      </x:c>
      <x:c r="AJ369" s="36" t="str">
        <x:v>Johannes 6: repetitive Wiedererkennungsfrage durch KERNAUSSAGE-Frage ersetzt.</x:v>
      </x:c>
      <x:c r="AK369" s="36" t="str">
        <x:v>FaithPath repo develop/v4 · data/bibles/l1912/JHN.json · data/bibles/otb/JHN.json</x:v>
      </x:c>
      <x:c r="AL369" t="str">
        <x:v>JA</x:v>
      </x:c>
    </x:row>
    <x:row r="370">
      <x:c r="A370" t="str">
        <x:v>FP-0629</x:v>
      </x:c>
      <x:c r="B370" t="str">
        <x:v>JHN</x:v>
      </x:c>
      <x:c r="C370" t="str">
        <x:v>Johannes</x:v>
      </x:c>
      <x:c r="D370" t="n">
        <x:v>6</x:v>
      </x:c>
      <x:c r="E370" t="n">
        <x:v>4</x:v>
      </x:c>
      <x:c r="F370" t="str">
        <x:v>JHN-006</x:v>
      </x:c>
      <x:c r="G370" t="n">
        <x:v>74</x:v>
      </x:c>
      <x:c r="H370" t="str">
        <x:v>CQ-A04</x:v>
      </x:c>
      <x:c r="I370" s="36" t="str">
        <x:v>Welche dieser Aussagen stammt aus Johannes 6?</x:v>
      </x:c>
      <x:c r="J370" s="36" t="str"/>
      <x:c r="K370" s="36" t="str"/>
      <x:c r="L370" s="36" t="str">
        <x:v>REPO_VERIFIZIERT_FRAGEFORM</x:v>
      </x:c>
      <x:c r="M370" s="36" t="str">
        <x:v>ERSETZEN</x:v>
      </x:c>
      <x:c r="N370" s="36" t="str">
        <x:v>REPETITIVE_FRAGEFORM</x:v>
      </x:c>
      <x:c r="O370" s="36" t="str">
        <x:v>REINE_WIEDERERKENNUNG</x:v>
      </x:c>
      <x:c r="P370" s="36" t="str">
        <x:v>KERNAUSSAGE</x:v>
      </x:c>
      <x:c r="Q370" s="36" t="str">
        <x:v>Welche Verheißung verbindet Jesus mit dem, der zu ihm kommt und an ihn glaubt?</x:v>
      </x:c>
      <x:c r="R370" s="36" t="str">
        <x:v>Er wird sofort reich.</x:v>
      </x:c>
      <x:c r="S370" s="36" t="str">
        <x:v>Er muss nie wieder essen.</x:v>
      </x:c>
      <x:c r="T370" s="36" t="str">
        <x:v>Er wird nicht hungern beziehungsweise dürsten und soll nicht hinausgestoßen werden.</x:v>
      </x:c>
      <x:c r="U370" s="36" t="str">
        <x:v>Er wird König in Israel.</x:v>
      </x:c>
      <x:c r="V370" s="36" t="n">
        <x:v>2</x:v>
      </x:c>
      <x:c r="W370" s="36" t="str">
        <x:v>Er wird nicht hungern beziehungsweise dürsten und soll nicht hinausgestoßen werden.</x:v>
      </x:c>
      <x:c r="X370" s="36" t="str">
        <x:v>Johannes 6,35–40</x:v>
      </x:c>
      <x:c r="Y370" s="36" t="str">
        <x:v>Jesus spricht vom Stillen des tiefsten Hungers und davon, die zu ihm Kommenden nicht hinauszustoßen.</x:v>
      </x:c>
      <x:c r="Z370" s="36" t="str">
        <x:v>JA</x:v>
      </x:c>
      <x:c r="AA370" s="36" t="str">
        <x:v>JA</x:v>
      </x:c>
      <x:c r="AB370" s="36" t="str">
        <x:v>JA</x:v>
      </x:c>
      <x:c r="AC370" s="36" t="str">
        <x:v>JA</x:v>
      </x:c>
      <x:c r="AD370" s="36" t="str">
        <x:v>JA</x:v>
      </x:c>
      <x:c r="AE370" s="36" t="str">
        <x:v>JA</x:v>
      </x:c>
      <x:c r="AF370" s="36" t="str">
        <x:v>JA</x:v>
      </x:c>
      <x:c r="AG370" s="36" t="str">
        <x:v>FREIGEGEBEN</x:v>
      </x:c>
      <x:c r="AH370" s="36" t="str">
        <x:v>GPT-5.6 Sol · Buchprüfung Johannes · L1912/OTB</x:v>
      </x:c>
      <x:c r="AI370" s="36" t="str">
        <x:v>FREIGEGEBEN</x:v>
      </x:c>
      <x:c r="AJ370" s="36" t="str">
        <x:v>Johannes 6: repetitive Wiedererkennungsfrage durch KERNAUSSAGE-Frage ersetzt.</x:v>
      </x:c>
      <x:c r="AK370" s="36" t="str">
        <x:v>FaithPath repo develop/v4 · data/bibles/l1912/JHN.json · data/bibles/otb/JHN.json</x:v>
      </x:c>
      <x:c r="AL370" t="str">
        <x:v>JA</x:v>
      </x:c>
    </x:row>
    <x:row r="371">
      <x:c r="A371" t="str">
        <x:v>FP-0630</x:v>
      </x:c>
      <x:c r="B371" t="str">
        <x:v>JHN</x:v>
      </x:c>
      <x:c r="C371" t="str">
        <x:v>Johannes</x:v>
      </x:c>
      <x:c r="D371" t="n">
        <x:v>6</x:v>
      </x:c>
      <x:c r="E371" t="n">
        <x:v>5</x:v>
      </x:c>
      <x:c r="F371" t="str">
        <x:v>JHN-006</x:v>
      </x:c>
      <x:c r="G371" t="n">
        <x:v>74</x:v>
      </x:c>
      <x:c r="H371" t="str">
        <x:v>CQ-A04</x:v>
      </x:c>
      <x:c r="I371" s="36" t="str">
        <x:v>Welche dieser Aussagen stammt aus Johannes 6?</x:v>
      </x:c>
      <x:c r="J371" s="36" t="str"/>
      <x:c r="K371" s="36" t="str"/>
      <x:c r="L371" s="36" t="str">
        <x:v>REPO_VERIFIZIERT_FRAGEFORM</x:v>
      </x:c>
      <x:c r="M371" s="36" t="str">
        <x:v>ERSETZEN</x:v>
      </x:c>
      <x:c r="N371" s="36" t="str">
        <x:v>REPETITIVE_FRAGEFORM</x:v>
      </x:c>
      <x:c r="O371" s="36" t="str">
        <x:v>REINE_WIEDERERKENNUNG</x:v>
      </x:c>
      <x:c r="P371" s="36" t="str">
        <x:v>PERSON_AUSSAGE</x:v>
      </x:c>
      <x:c r="Q371" s="36" t="str">
        <x:v>Was antwortet Petrus, als viele Jesus verlassen und er die Zwölf fragt, ob sie auch gehen wollen?</x:v>
      </x:c>
      <x:c r="R371" s="36" t="str">
        <x:v>Wir gehen zurück zu Johannes.</x:v>
      </x:c>
      <x:c r="S371" s="36" t="str">
        <x:v>Wir brauchen noch ein Zeichen.</x:v>
      </x:c>
      <x:c r="T371" s="36" t="str">
        <x:v>Wir verstehen dich nicht und verlassen dich.</x:v>
      </x:c>
      <x:c r="U371" s="36" t="str">
        <x:v>Herr, zu wem sollen wir gehen? Du hast Worte des ewigen Lebens.</x:v>
      </x:c>
      <x:c r="V371" s="36" t="n">
        <x:v>3</x:v>
      </x:c>
      <x:c r="W371" s="36" t="str">
        <x:v>Herr, zu wem sollen wir gehen? Du hast Worte des ewigen Lebens.</x:v>
      </x:c>
      <x:c r="X371" s="36" t="str">
        <x:v>Johannes 6,66–69</x:v>
      </x:c>
      <x:c r="Y371" s="36" t="str">
        <x:v>Petrus bekennt, dass Jesus Worte des ewigen Lebens hat und dass die Jünger an ihn glauben.</x:v>
      </x:c>
      <x:c r="Z371" s="36" t="str">
        <x:v>JA</x:v>
      </x:c>
      <x:c r="AA371" s="36" t="str">
        <x:v>JA</x:v>
      </x:c>
      <x:c r="AB371" s="36" t="str">
        <x:v>JA</x:v>
      </x:c>
      <x:c r="AC371" s="36" t="str">
        <x:v>JA</x:v>
      </x:c>
      <x:c r="AD371" s="36" t="str">
        <x:v>JA</x:v>
      </x:c>
      <x:c r="AE371" s="36" t="str">
        <x:v>JA</x:v>
      </x:c>
      <x:c r="AF371" s="36" t="str">
        <x:v>JA</x:v>
      </x:c>
      <x:c r="AG371" s="36" t="str">
        <x:v>FREIGEGEBEN</x:v>
      </x:c>
      <x:c r="AH371" s="36" t="str">
        <x:v>GPT-5.6 Sol · Buchprüfung Johannes · L1912/OTB</x:v>
      </x:c>
      <x:c r="AI371" s="36" t="str">
        <x:v>FREIGEGEBEN</x:v>
      </x:c>
      <x:c r="AJ371" s="36" t="str">
        <x:v>Johannes 6: repetitive Wiedererkennungsfrage durch PERSON_AUSSAGE-Frage ersetzt.</x:v>
      </x:c>
      <x:c r="AK371" s="36" t="str">
        <x:v>FaithPath repo develop/v4 · data/bibles/l1912/JHN.json · data/bibles/otb/JHN.json</x:v>
      </x:c>
      <x:c r="AL371" t="str">
        <x:v>JA</x:v>
      </x:c>
    </x:row>
    <x:row r="372">
      <x:c r="A372" t="str">
        <x:v>FP-0631</x:v>
      </x:c>
      <x:c r="B372" t="str">
        <x:v>JHN</x:v>
      </x:c>
      <x:c r="C372" t="str">
        <x:v>Johannes</x:v>
      </x:c>
      <x:c r="D372" t="n">
        <x:v>7</x:v>
      </x:c>
      <x:c r="E372" t="n">
        <x:v>1</x:v>
      </x:c>
      <x:c r="F372" t="str">
        <x:v>JHN-007</x:v>
      </x:c>
      <x:c r="G372" t="n">
        <x:v>75</x:v>
      </x:c>
      <x:c r="H372" t="str">
        <x:v>CQ-A04</x:v>
      </x:c>
      <x:c r="I372" s="36" t="str">
        <x:v>Welche dieser Aussagen stammt aus Johannes 7?</x:v>
      </x:c>
      <x:c r="J372" s="36" t="str"/>
      <x:c r="K372" s="36" t="str"/>
      <x:c r="L372" s="36" t="str">
        <x:v>REPO_VERIFIZIERT_FRAGEFORM</x:v>
      </x:c>
      <x:c r="M372" s="36" t="str">
        <x:v>ERSETZEN</x:v>
      </x:c>
      <x:c r="N372" s="36" t="str">
        <x:v>REPETITIVE_FRAGEFORM</x:v>
      </x:c>
      <x:c r="O372" s="36" t="str">
        <x:v>REINE_WIEDERERKENNUNG</x:v>
      </x:c>
      <x:c r="P372" s="36" t="str">
        <x:v>ZUSAMMENHANG</x:v>
      </x:c>
      <x:c r="Q372" s="36" t="str">
        <x:v>Warum gehen Jesu Brüder zunächst nicht im Glauben mit ihm um?</x:v>
      </x:c>
      <x:c r="R372" s="36" t="str">
        <x:v>Sie glauben zu diesem Zeitpunkt selbst nicht an ihn.</x:v>
      </x:c>
      <x:c r="S372" s="36" t="str">
        <x:v>Sie sind bereits seine Apostel.</x:v>
      </x:c>
      <x:c r="T372" s="36" t="str">
        <x:v>Sie leben nicht in Galiläa.</x:v>
      </x:c>
      <x:c r="U372" s="36" t="str">
        <x:v>Sie sind Priester im Tempel.</x:v>
      </x:c>
      <x:c r="V372" s="36" t="n">
        <x:v>0</x:v>
      </x:c>
      <x:c r="W372" s="36" t="str">
        <x:v>Sie glauben zu diesem Zeitpunkt selbst nicht an ihn.</x:v>
      </x:c>
      <x:c r="X372" s="36" t="str">
        <x:v>Johannes 7,3–5</x:v>
      </x:c>
      <x:c r="Y372" s="36" t="str">
        <x:v>Johannes sagt ausdrücklich, dass auch Jesu Brüder damals nicht an ihn glaubten.</x:v>
      </x:c>
      <x:c r="Z372" s="36" t="str">
        <x:v>JA</x:v>
      </x:c>
      <x:c r="AA372" s="36" t="str">
        <x:v>JA</x:v>
      </x:c>
      <x:c r="AB372" s="36" t="str">
        <x:v>JA</x:v>
      </x:c>
      <x:c r="AC372" s="36" t="str">
        <x:v>JA</x:v>
      </x:c>
      <x:c r="AD372" s="36" t="str">
        <x:v>JA</x:v>
      </x:c>
      <x:c r="AE372" s="36" t="str">
        <x:v>JA</x:v>
      </x:c>
      <x:c r="AF372" s="36" t="str">
        <x:v>JA</x:v>
      </x:c>
      <x:c r="AG372" s="36" t="str">
        <x:v>FREIGEGEBEN</x:v>
      </x:c>
      <x:c r="AH372" s="36" t="str">
        <x:v>GPT-5.6 Sol · Buchprüfung Johannes · L1912/OTB</x:v>
      </x:c>
      <x:c r="AI372" s="36" t="str">
        <x:v>FREIGEGEBEN</x:v>
      </x:c>
      <x:c r="AJ372" s="36" t="str">
        <x:v>Johannes 7: repetitive Wiedererkennungsfrage durch ZUSAMMENHANG-Frage ersetzt.</x:v>
      </x:c>
      <x:c r="AK372" s="36" t="str">
        <x:v>FaithPath repo develop/v4 · data/bibles/l1912/JHN.json · data/bibles/otb/JHN.json</x:v>
      </x:c>
      <x:c r="AL372" t="str">
        <x:v>JA</x:v>
      </x:c>
    </x:row>
    <x:row r="373">
      <x:c r="A373" t="str">
        <x:v>FP-0632</x:v>
      </x:c>
      <x:c r="B373" t="str">
        <x:v>JHN</x:v>
      </x:c>
      <x:c r="C373" t="str">
        <x:v>Johannes</x:v>
      </x:c>
      <x:c r="D373" t="n">
        <x:v>7</x:v>
      </x:c>
      <x:c r="E373" t="n">
        <x:v>2</x:v>
      </x:c>
      <x:c r="F373" t="str">
        <x:v>JHN-007</x:v>
      </x:c>
      <x:c r="G373" t="n">
        <x:v>75</x:v>
      </x:c>
      <x:c r="H373" t="str">
        <x:v>CQ-A04</x:v>
      </x:c>
      <x:c r="I373" s="36" t="str">
        <x:v>Welche dieser Aussagen stammt aus Johannes 7?</x:v>
      </x:c>
      <x:c r="J373" s="36" t="str"/>
      <x:c r="K373" s="36" t="str"/>
      <x:c r="L373" s="36" t="str">
        <x:v>REPO_VERIFIZIERT_FRAGEFORM</x:v>
      </x:c>
      <x:c r="M373" s="36" t="str">
        <x:v>ERSETZEN</x:v>
      </x:c>
      <x:c r="N373" s="36" t="str">
        <x:v>REPETITIVE_FRAGEFORM</x:v>
      </x:c>
      <x:c r="O373" s="36" t="str">
        <x:v>REINE_WIEDERERKENNUNG</x:v>
      </x:c>
      <x:c r="P373" s="36" t="str">
        <x:v>KERNAUSSAGE</x:v>
      </x:c>
      <x:c r="Q373" s="36" t="str">
        <x:v>Wie erklärt Jesus, woran man die Herkunft seiner Lehre erkennen kann?</x:v>
      </x:c>
      <x:c r="R373" s="36" t="str">
        <x:v>Nur Schriftgelehrte können das prüfen.</x:v>
      </x:c>
      <x:c r="S373" s="36" t="str">
        <x:v>Wer Gottes Willen tun will, wird erkennen, ob die Lehre von Gott ist.</x:v>
      </x:c>
      <x:c r="T373" s="36" t="str">
        <x:v>Die Herkunft spielt keine Rolle.</x:v>
      </x:c>
      <x:c r="U373" s="36" t="str">
        <x:v>Man erkennt es allein an Wundern.</x:v>
      </x:c>
      <x:c r="V373" s="36" t="n">
        <x:v>1</x:v>
      </x:c>
      <x:c r="W373" s="36" t="str">
        <x:v>Wer Gottes Willen tun will, wird erkennen, ob die Lehre von Gott ist.</x:v>
      </x:c>
      <x:c r="X373" s="36" t="str">
        <x:v>Johannes 7,16–18</x:v>
      </x:c>
      <x:c r="Y373" s="36" t="str">
        <x:v>Jesus verbindet das Erkennen seiner Lehre mit der Bereitschaft, Gottes Willen zu tun, und grenzt Selbstverherrlichung davon ab.</x:v>
      </x:c>
      <x:c r="Z373" s="36" t="str">
        <x:v>JA</x:v>
      </x:c>
      <x:c r="AA373" s="36" t="str">
        <x:v>JA</x:v>
      </x:c>
      <x:c r="AB373" s="36" t="str">
        <x:v>JA</x:v>
      </x:c>
      <x:c r="AC373" s="36" t="str">
        <x:v>JA</x:v>
      </x:c>
      <x:c r="AD373" s="36" t="str">
        <x:v>JA</x:v>
      </x:c>
      <x:c r="AE373" s="36" t="str">
        <x:v>JA</x:v>
      </x:c>
      <x:c r="AF373" s="36" t="str">
        <x:v>JA</x:v>
      </x:c>
      <x:c r="AG373" s="36" t="str">
        <x:v>FREIGEGEBEN</x:v>
      </x:c>
      <x:c r="AH373" s="36" t="str">
        <x:v>GPT-5.6 Sol · Buchprüfung Johannes · L1912/OTB</x:v>
      </x:c>
      <x:c r="AI373" s="36" t="str">
        <x:v>FREIGEGEBEN</x:v>
      </x:c>
      <x:c r="AJ373" s="36" t="str">
        <x:v>Johannes 7: repetitive Wiedererkennungsfrage durch KERNAUSSAGE-Frage ersetzt.</x:v>
      </x:c>
      <x:c r="AK373" s="36" t="str">
        <x:v>FaithPath repo develop/v4 · data/bibles/l1912/JHN.json · data/bibles/otb/JHN.json</x:v>
      </x:c>
      <x:c r="AL373" t="str">
        <x:v>JA</x:v>
      </x:c>
    </x:row>
    <x:row r="374">
      <x:c r="A374" t="str">
        <x:v>FP-0633</x:v>
      </x:c>
      <x:c r="B374" t="str">
        <x:v>JHN</x:v>
      </x:c>
      <x:c r="C374" t="str">
        <x:v>Johannes</x:v>
      </x:c>
      <x:c r="D374" t="n">
        <x:v>7</x:v>
      </x:c>
      <x:c r="E374" t="n">
        <x:v>3</x:v>
      </x:c>
      <x:c r="F374" t="str">
        <x:v>JHN-007</x:v>
      </x:c>
      <x:c r="G374" t="n">
        <x:v>75</x:v>
      </x:c>
      <x:c r="H374" t="str">
        <x:v>CQ-A04</x:v>
      </x:c>
      <x:c r="I374" s="36" t="str">
        <x:v>Welche dieser Aussagen stammt aus Johannes 7?</x:v>
      </x:c>
      <x:c r="J374" s="36" t="str"/>
      <x:c r="K374" s="36" t="str"/>
      <x:c r="L374" s="36" t="str">
        <x:v>REPO_VERIFIZIERT_FRAGEFORM</x:v>
      </x:c>
      <x:c r="M374" s="36" t="str">
        <x:v>ERSETZEN</x:v>
      </x:c>
      <x:c r="N374" s="36" t="str">
        <x:v>REPETITIVE_FRAGEFORM</x:v>
      </x:c>
      <x:c r="O374" s="36" t="str">
        <x:v>REINE_WIEDERERKENNUNG</x:v>
      </x:c>
      <x:c r="P374" s="36" t="str">
        <x:v>GESCHEHEN</x:v>
      </x:c>
      <x:c r="Q374" s="36" t="str">
        <x:v>Warum entsteht während des Festes Streit über Jesus?</x:v>
      </x:c>
      <x:c r="R374" s="36" t="str">
        <x:v>Alle halten ihn sofort für den Christus.</x:v>
      </x:c>
      <x:c r="S374" s="36" t="str">
        <x:v>Niemand interessiert sich für ihn.</x:v>
      </x:c>
      <x:c r="T374" s="36" t="str">
        <x:v>Die Menschen urteilen unterschiedlich über seine Identität und Herkunft.</x:v>
      </x:c>
      <x:c r="U374" s="36" t="str">
        <x:v>Er weigert sich, im Tempel zu sprechen.</x:v>
      </x:c>
      <x:c r="V374" s="36" t="n">
        <x:v>2</x:v>
      </x:c>
      <x:c r="W374" s="36" t="str">
        <x:v>Die Menschen urteilen unterschiedlich über seine Identität und Herkunft.</x:v>
      </x:c>
      <x:c r="X374" s="36" t="str">
        <x:v>Johannes 7,25–31</x:v>
      </x:c>
      <x:c r="Y374" s="36" t="str">
        <x:v>Im Volk gibt es verschiedene Deutungen darüber, wer Jesus ist und woher er kommt.</x:v>
      </x:c>
      <x:c r="Z374" s="36" t="str">
        <x:v>JA</x:v>
      </x:c>
      <x:c r="AA374" s="36" t="str">
        <x:v>JA</x:v>
      </x:c>
      <x:c r="AB374" s="36" t="str">
        <x:v>JA</x:v>
      </x:c>
      <x:c r="AC374" s="36" t="str">
        <x:v>JA</x:v>
      </x:c>
      <x:c r="AD374" s="36" t="str">
        <x:v>JA</x:v>
      </x:c>
      <x:c r="AE374" s="36" t="str">
        <x:v>JA</x:v>
      </x:c>
      <x:c r="AF374" s="36" t="str">
        <x:v>JA</x:v>
      </x:c>
      <x:c r="AG374" s="36" t="str">
        <x:v>FREIGEGEBEN</x:v>
      </x:c>
      <x:c r="AH374" s="36" t="str">
        <x:v>GPT-5.6 Sol · Buchprüfung Johannes · L1912/OTB</x:v>
      </x:c>
      <x:c r="AI374" s="36" t="str">
        <x:v>FREIGEGEBEN</x:v>
      </x:c>
      <x:c r="AJ374" s="36" t="str">
        <x:v>Johannes 7: repetitive Wiedererkennungsfrage durch GESCHEHEN-Frage ersetzt.</x:v>
      </x:c>
      <x:c r="AK374" s="36" t="str">
        <x:v>FaithPath repo develop/v4 · data/bibles/l1912/JHN.json · data/bibles/otb/JHN.json</x:v>
      </x:c>
      <x:c r="AL374" t="str">
        <x:v>JA</x:v>
      </x:c>
    </x:row>
    <x:row r="375">
      <x:c r="A375" t="str">
        <x:v>FP-0634</x:v>
      </x:c>
      <x:c r="B375" t="str">
        <x:v>JHN</x:v>
      </x:c>
      <x:c r="C375" t="str">
        <x:v>Johannes</x:v>
      </x:c>
      <x:c r="D375" t="n">
        <x:v>7</x:v>
      </x:c>
      <x:c r="E375" t="n">
        <x:v>4</x:v>
      </x:c>
      <x:c r="F375" t="str">
        <x:v>JHN-007</x:v>
      </x:c>
      <x:c r="G375" t="n">
        <x:v>75</x:v>
      </x:c>
      <x:c r="H375" t="str">
        <x:v>CQ-A04</x:v>
      </x:c>
      <x:c r="I375" s="36" t="str">
        <x:v>Welche dieser Aussagen stammt aus Johannes 7?</x:v>
      </x:c>
      <x:c r="J375" s="36" t="str"/>
      <x:c r="K375" s="36" t="str"/>
      <x:c r="L375" s="36" t="str">
        <x:v>REPO_VERIFIZIERT_FRAGEFORM</x:v>
      </x:c>
      <x:c r="M375" s="36" t="str">
        <x:v>ERSETZEN</x:v>
      </x:c>
      <x:c r="N375" s="36" t="str">
        <x:v>REPETITIVE_FRAGEFORM</x:v>
      </x:c>
      <x:c r="O375" s="36" t="str">
        <x:v>REINE_WIEDERERKENNUNG</x:v>
      </x:c>
      <x:c r="P375" s="36" t="str">
        <x:v>KERNAUSSAGE</x:v>
      </x:c>
      <x:c r="Q375" s="36" t="str">
        <x:v>Welche Einladung spricht Jesus am letzten Tag des Festes aus?</x:v>
      </x:c>
      <x:c r="R375" s="36" t="str">
        <x:v>Wer müde ist, soll Jerusalem verlassen.</x:v>
      </x:c>
      <x:c r="S375" s="36" t="str">
        <x:v>Wer reich ist, soll den Tempel bauen.</x:v>
      </x:c>
      <x:c r="T375" s="36" t="str">
        <x:v>Wer glaubt, soll aufhören zu beten.</x:v>
      </x:c>
      <x:c r="U375" s="36" t="str">
        <x:v>Wer dürstet, soll zu ihm kommen und trinken.</x:v>
      </x:c>
      <x:c r="V375" s="36" t="n">
        <x:v>3</x:v>
      </x:c>
      <x:c r="W375" s="36" t="str">
        <x:v>Wer dürstet, soll zu ihm kommen und trinken.</x:v>
      </x:c>
      <x:c r="X375" s="36" t="str">
        <x:v>Johannes 7,37–39</x:v>
      </x:c>
      <x:c r="Y375" s="36" t="str">
        <x:v>Jesus ruft Dürstende zu sich; Johannes bezieht seine Worte auf den Geist, den Glaubende empfangen sollen.</x:v>
      </x:c>
      <x:c r="Z375" s="36" t="str">
        <x:v>JA</x:v>
      </x:c>
      <x:c r="AA375" s="36" t="str">
        <x:v>JA</x:v>
      </x:c>
      <x:c r="AB375" s="36" t="str">
        <x:v>JA</x:v>
      </x:c>
      <x:c r="AC375" s="36" t="str">
        <x:v>JA</x:v>
      </x:c>
      <x:c r="AD375" s="36" t="str">
        <x:v>JA</x:v>
      </x:c>
      <x:c r="AE375" s="36" t="str">
        <x:v>JA</x:v>
      </x:c>
      <x:c r="AF375" s="36" t="str">
        <x:v>JA</x:v>
      </x:c>
      <x:c r="AG375" s="36" t="str">
        <x:v>FREIGEGEBEN</x:v>
      </x:c>
      <x:c r="AH375" s="36" t="str">
        <x:v>GPT-5.6 Sol · Buchprüfung Johannes · L1912/OTB</x:v>
      </x:c>
      <x:c r="AI375" s="36" t="str">
        <x:v>FREIGEGEBEN</x:v>
      </x:c>
      <x:c r="AJ375" s="36" t="str">
        <x:v>Johannes 7: repetitive Wiedererkennungsfrage durch KERNAUSSAGE-Frage ersetzt.</x:v>
      </x:c>
      <x:c r="AK375" s="36" t="str">
        <x:v>FaithPath repo develop/v4 · data/bibles/l1912/JHN.json · data/bibles/otb/JHN.json</x:v>
      </x:c>
      <x:c r="AL375" t="str">
        <x:v>JA</x:v>
      </x:c>
    </x:row>
    <x:row r="376">
      <x:c r="A376" t="str">
        <x:v>FP-0635</x:v>
      </x:c>
      <x:c r="B376" t="str">
        <x:v>JHN</x:v>
      </x:c>
      <x:c r="C376" t="str">
        <x:v>Johannes</x:v>
      </x:c>
      <x:c r="D376" t="n">
        <x:v>7</x:v>
      </x:c>
      <x:c r="E376" t="n">
        <x:v>5</x:v>
      </x:c>
      <x:c r="F376" t="str">
        <x:v>JHN-007</x:v>
      </x:c>
      <x:c r="G376" t="n">
        <x:v>75</x:v>
      </x:c>
      <x:c r="H376" t="str">
        <x:v>CQ-A04</x:v>
      </x:c>
      <x:c r="I376" s="36" t="str">
        <x:v>Welche dieser Aussagen stammt aus Johannes 7?</x:v>
      </x:c>
      <x:c r="J376" s="36" t="str"/>
      <x:c r="K376" s="36" t="str"/>
      <x:c r="L376" s="36" t="str">
        <x:v>REPO_VERIFIZIERT_FRAGEFORM</x:v>
      </x:c>
      <x:c r="M376" s="36" t="str">
        <x:v>ERSETZEN</x:v>
      </x:c>
      <x:c r="N376" s="36" t="str">
        <x:v>REPETITIVE_FRAGEFORM</x:v>
      </x:c>
      <x:c r="O376" s="36" t="str">
        <x:v>REINE_WIEDERERKENNUNG</x:v>
      </x:c>
      <x:c r="P376" s="36" t="str">
        <x:v>ZUSAMMENHANG</x:v>
      </x:c>
      <x:c r="Q376" s="36" t="str">
        <x:v>Wie reagiert Nikodemus, als die Führer Jesus verurteilen wollen?</x:v>
      </x:c>
      <x:c r="R376" s="36" t="str">
        <x:v>Er erinnert daran, dass das Gesetz niemanden verurteilt, ohne ihn zuvor anzuhören.</x:v>
      </x:c>
      <x:c r="S376" s="36" t="str">
        <x:v>Er fordert sofort Jesu Hinrichtung.</x:v>
      </x:c>
      <x:c r="T376" s="36" t="str">
        <x:v>Er verlässt den Rat schweigend.</x:v>
      </x:c>
      <x:c r="U376" s="36" t="str">
        <x:v>Er behauptet, Jesus komme aus Rom.</x:v>
      </x:c>
      <x:c r="V376" s="36" t="n">
        <x:v>0</x:v>
      </x:c>
      <x:c r="W376" s="36" t="str">
        <x:v>Er erinnert daran, dass das Gesetz niemanden verurteilt, ohne ihn zuvor anzuhören.</x:v>
      </x:c>
      <x:c r="X376" s="36" t="str">
        <x:v>Johannes 7,50–52</x:v>
      </x:c>
      <x:c r="Y376" s="36" t="str">
        <x:v>Nikodemus fordert ein gerechtes Verfahren und fragt, ob das Gesetz einen Menschen richtet, bevor man ihn hört.</x:v>
      </x:c>
      <x:c r="Z376" s="36" t="str">
        <x:v>JA</x:v>
      </x:c>
      <x:c r="AA376" s="36" t="str">
        <x:v>JA</x:v>
      </x:c>
      <x:c r="AB376" s="36" t="str">
        <x:v>JA</x:v>
      </x:c>
      <x:c r="AC376" s="36" t="str">
        <x:v>JA</x:v>
      </x:c>
      <x:c r="AD376" s="36" t="str">
        <x:v>JA</x:v>
      </x:c>
      <x:c r="AE376" s="36" t="str">
        <x:v>JA</x:v>
      </x:c>
      <x:c r="AF376" s="36" t="str">
        <x:v>JA</x:v>
      </x:c>
      <x:c r="AG376" s="36" t="str">
        <x:v>FREIGEGEBEN</x:v>
      </x:c>
      <x:c r="AH376" s="36" t="str">
        <x:v>GPT-5.6 Sol · Buchprüfung Johannes · L1912/OTB</x:v>
      </x:c>
      <x:c r="AI376" s="36" t="str">
        <x:v>FREIGEGEBEN</x:v>
      </x:c>
      <x:c r="AJ376" s="36" t="str">
        <x:v>Johannes 7: repetitive Wiedererkennungsfrage durch ZUSAMMENHANG-Frage ersetzt.</x:v>
      </x:c>
      <x:c r="AK376" s="36" t="str">
        <x:v>FaithPath repo develop/v4 · data/bibles/l1912/JHN.json · data/bibles/otb/JHN.json</x:v>
      </x:c>
      <x:c r="AL376" t="str">
        <x:v>JA</x:v>
      </x:c>
    </x:row>
    <x:row r="377">
      <x:c r="A377" t="str">
        <x:v>FP-0636</x:v>
      </x:c>
      <x:c r="B377" t="str">
        <x:v>JHN</x:v>
      </x:c>
      <x:c r="C377" t="str">
        <x:v>Johannes</x:v>
      </x:c>
      <x:c r="D377" t="n">
        <x:v>8</x:v>
      </x:c>
      <x:c r="E377" t="n">
        <x:v>1</x:v>
      </x:c>
      <x:c r="F377" t="str">
        <x:v>JHN-008</x:v>
      </x:c>
      <x:c r="G377" t="n">
        <x:v>76</x:v>
      </x:c>
      <x:c r="H377" t="str">
        <x:v>CQ-A04</x:v>
      </x:c>
      <x:c r="I377" s="36" t="str">
        <x:v>Welche dieser Aussagen stammt aus Johannes 8?</x:v>
      </x:c>
      <x:c r="J377" s="36" t="str"/>
      <x:c r="K377" s="36" t="str"/>
      <x:c r="L377" s="36" t="str">
        <x:v>REPO_VERIFIZIERT_FRAGEFORM</x:v>
      </x:c>
      <x:c r="M377" s="36" t="str">
        <x:v>ERSETZEN</x:v>
      </x:c>
      <x:c r="N377" s="36" t="str">
        <x:v>REPETITIVE_FRAGEFORM</x:v>
      </x:c>
      <x:c r="O377" s="36" t="str">
        <x:v>REINE_WIEDERERKENNUNG</x:v>
      </x:c>
      <x:c r="P377" s="36" t="str">
        <x:v>KERNAUSSAGE</x:v>
      </x:c>
      <x:c r="Q377" s="36" t="str">
        <x:v>Wie bezeichnet Jesus sich selbst in Johannes 8?</x:v>
      </x:c>
      <x:c r="R377" s="36" t="str">
        <x:v>Als Brot vom Himmel.</x:v>
      </x:c>
      <x:c r="S377" s="36" t="str">
        <x:v>Als Licht der Welt.</x:v>
      </x:c>
      <x:c r="T377" s="36" t="str">
        <x:v>Als guten Hirten.</x:v>
      </x:c>
      <x:c r="U377" s="36" t="str">
        <x:v>Als wahren Weinstock.</x:v>
      </x:c>
      <x:c r="V377" s="36" t="n">
        <x:v>1</x:v>
      </x:c>
      <x:c r="W377" s="36" t="str">
        <x:v>Als Licht der Welt.</x:v>
      </x:c>
      <x:c r="X377" s="36" t="str">
        <x:v>Johannes 8,12</x:v>
      </x:c>
      <x:c r="Y377" s="36" t="str">
        <x:v>Jesus sagt, wer ihm folgt, werde nicht in der Finsternis wandeln, sondern das Licht des Lebens haben.</x:v>
      </x:c>
      <x:c r="Z377" s="36" t="str">
        <x:v>JA</x:v>
      </x:c>
      <x:c r="AA377" s="36" t="str">
        <x:v>JA</x:v>
      </x:c>
      <x:c r="AB377" s="36" t="str">
        <x:v>JA</x:v>
      </x:c>
      <x:c r="AC377" s="36" t="str">
        <x:v>JA</x:v>
      </x:c>
      <x:c r="AD377" s="36" t="str">
        <x:v>JA</x:v>
      </x:c>
      <x:c r="AE377" s="36" t="str">
        <x:v>JA</x:v>
      </x:c>
      <x:c r="AF377" s="36" t="str">
        <x:v>JA</x:v>
      </x:c>
      <x:c r="AG377" s="36" t="str">
        <x:v>FREIGEGEBEN</x:v>
      </x:c>
      <x:c r="AH377" s="36" t="str">
        <x:v>GPT-5.6 Sol · Buchprüfung Johannes · L1912/OTB</x:v>
      </x:c>
      <x:c r="AI377" s="36" t="str">
        <x:v>FREIGEGEBEN</x:v>
      </x:c>
      <x:c r="AJ377" s="36" t="str">
        <x:v>Johannes 8: repetitive Wiedererkennungsfrage durch KERNAUSSAGE-Frage ersetzt.</x:v>
      </x:c>
      <x:c r="AK377" s="36" t="str">
        <x:v>FaithPath repo develop/v4 · data/bibles/l1912/JHN.json · data/bibles/otb/JHN.json</x:v>
      </x:c>
      <x:c r="AL377" t="str">
        <x:v>JA</x:v>
      </x:c>
    </x:row>
    <x:row r="378">
      <x:c r="A378" t="str">
        <x:v>FP-0637</x:v>
      </x:c>
      <x:c r="B378" t="str">
        <x:v>JHN</x:v>
      </x:c>
      <x:c r="C378" t="str">
        <x:v>Johannes</x:v>
      </x:c>
      <x:c r="D378" t="n">
        <x:v>8</x:v>
      </x:c>
      <x:c r="E378" t="n">
        <x:v>2</x:v>
      </x:c>
      <x:c r="F378" t="str">
        <x:v>JHN-008</x:v>
      </x:c>
      <x:c r="G378" t="n">
        <x:v>76</x:v>
      </x:c>
      <x:c r="H378" t="str">
        <x:v>CQ-A04</x:v>
      </x:c>
      <x:c r="I378" s="36" t="str">
        <x:v>Welche dieser Aussagen stammt aus Johannes 8?</x:v>
      </x:c>
      <x:c r="J378" s="36" t="str"/>
      <x:c r="K378" s="36" t="str"/>
      <x:c r="L378" s="36" t="str">
        <x:v>REPO_VERIFIZIERT_FRAGEFORM</x:v>
      </x:c>
      <x:c r="M378" s="36" t="str">
        <x:v>ERSETZEN</x:v>
      </x:c>
      <x:c r="N378" s="36" t="str">
        <x:v>REPETITIVE_FRAGEFORM</x:v>
      </x:c>
      <x:c r="O378" s="36" t="str">
        <x:v>REINE_WIEDERERKENNUNG</x:v>
      </x:c>
      <x:c r="P378" s="36" t="str">
        <x:v>KERNAUSSAGE</x:v>
      </x:c>
      <x:c r="Q378" s="36" t="str">
        <x:v>Was macht nach Jesu Worten wirklich frei?</x:v>
      </x:c>
      <x:c r="R378" s="36" t="str">
        <x:v>Politische Unabhängigkeit.</x:v>
      </x:c>
      <x:c r="S378" s="36" t="str">
        <x:v>Reichtum.</x:v>
      </x:c>
      <x:c r="T378" s="36" t="str">
        <x:v>Die Wahrheit, wenn Menschen in seinem Wort bleiben und sie erkennen.</x:v>
      </x:c>
      <x:c r="U378" s="36" t="str">
        <x:v>Abstammung allein.</x:v>
      </x:c>
      <x:c r="V378" s="36" t="n">
        <x:v>2</x:v>
      </x:c>
      <x:c r="W378" s="36" t="str">
        <x:v>Die Wahrheit, wenn Menschen in seinem Wort bleiben und sie erkennen.</x:v>
      </x:c>
      <x:c r="X378" s="36" t="str">
        <x:v>Johannes 8,31–32</x:v>
      </x:c>
      <x:c r="Y378" s="36" t="str">
        <x:v>Jesus verbindet Jüngerschaft mit dem Bleiben in seinem Wort, Erkenntnis der Wahrheit und Freiheit.</x:v>
      </x:c>
      <x:c r="Z378" s="36" t="str">
        <x:v>JA</x:v>
      </x:c>
      <x:c r="AA378" s="36" t="str">
        <x:v>JA</x:v>
      </x:c>
      <x:c r="AB378" s="36" t="str">
        <x:v>JA</x:v>
      </x:c>
      <x:c r="AC378" s="36" t="str">
        <x:v>JA</x:v>
      </x:c>
      <x:c r="AD378" s="36" t="str">
        <x:v>JA</x:v>
      </x:c>
      <x:c r="AE378" s="36" t="str">
        <x:v>JA</x:v>
      </x:c>
      <x:c r="AF378" s="36" t="str">
        <x:v>JA</x:v>
      </x:c>
      <x:c r="AG378" s="36" t="str">
        <x:v>FREIGEGEBEN</x:v>
      </x:c>
      <x:c r="AH378" s="36" t="str">
        <x:v>GPT-5.6 Sol · Buchprüfung Johannes · L1912/OTB</x:v>
      </x:c>
      <x:c r="AI378" s="36" t="str">
        <x:v>FREIGEGEBEN</x:v>
      </x:c>
      <x:c r="AJ378" s="36" t="str">
        <x:v>Johannes 8: repetitive Wiedererkennungsfrage durch KERNAUSSAGE-Frage ersetzt.</x:v>
      </x:c>
      <x:c r="AK378" s="36" t="str">
        <x:v>FaithPath repo develop/v4 · data/bibles/l1912/JHN.json · data/bibles/otb/JHN.json</x:v>
      </x:c>
      <x:c r="AL378" t="str">
        <x:v>JA</x:v>
      </x:c>
    </x:row>
    <x:row r="379">
      <x:c r="A379" t="str">
        <x:v>FP-0638</x:v>
      </x:c>
      <x:c r="B379" t="str">
        <x:v>JHN</x:v>
      </x:c>
      <x:c r="C379" t="str">
        <x:v>Johannes</x:v>
      </x:c>
      <x:c r="D379" t="n">
        <x:v>8</x:v>
      </x:c>
      <x:c r="E379" t="n">
        <x:v>3</x:v>
      </x:c>
      <x:c r="F379" t="str">
        <x:v>JHN-008</x:v>
      </x:c>
      <x:c r="G379" t="n">
        <x:v>76</x:v>
      </x:c>
      <x:c r="H379" t="str">
        <x:v>CQ-A04</x:v>
      </x:c>
      <x:c r="I379" s="36" t="str">
        <x:v>Welche dieser Aussagen stammt aus Johannes 8?</x:v>
      </x:c>
      <x:c r="J379" s="36" t="str"/>
      <x:c r="K379" s="36" t="str"/>
      <x:c r="L379" s="36" t="str">
        <x:v>REPO_VERIFIZIERT_FRAGEFORM</x:v>
      </x:c>
      <x:c r="M379" s="36" t="str">
        <x:v>ERSETZEN</x:v>
      </x:c>
      <x:c r="N379" s="36" t="str">
        <x:v>REPETITIVE_FRAGEFORM</x:v>
      </x:c>
      <x:c r="O379" s="36" t="str">
        <x:v>REINE_WIEDERERKENNUNG</x:v>
      </x:c>
      <x:c r="P379" s="36" t="str">
        <x:v>ZUSAMMENHANG</x:v>
      </x:c>
      <x:c r="Q379" s="36" t="str">
        <x:v>Warum sagt Jesus, dass Abstammung von Abraham allein nicht genügt?</x:v>
      </x:c>
      <x:c r="R379" s="36" t="str">
        <x:v>Weil Abraham kein Israelit war.</x:v>
      </x:c>
      <x:c r="S379" s="36" t="str">
        <x:v>Weil Abraham nie geglaubt hat.</x:v>
      </x:c>
      <x:c r="T379" s="36" t="str">
        <x:v>Weil nur Mose wichtig ist.</x:v>
      </x:c>
      <x:c r="U379" s="36" t="str">
        <x:v>Weil echtes Handeln entsprechend Abraham fehlt und sie Jesus zu töten suchen.</x:v>
      </x:c>
      <x:c r="V379" s="36" t="n">
        <x:v>3</x:v>
      </x:c>
      <x:c r="W379" s="36" t="str">
        <x:v>Weil echtes Handeln entsprechend Abraham fehlt und sie Jesus zu töten suchen.</x:v>
      </x:c>
      <x:c r="X379" s="36" t="str">
        <x:v>Johannes 8,37–40</x:v>
      </x:c>
      <x:c r="Y379" s="36" t="str">
        <x:v>Jesus stellt biologische Abstammung dem Verhalten gegenüber: Wer wirklich zu Abraham gehört, sollte anders handeln.</x:v>
      </x:c>
      <x:c r="Z379" s="36" t="str">
        <x:v>JA</x:v>
      </x:c>
      <x:c r="AA379" s="36" t="str">
        <x:v>JA</x:v>
      </x:c>
      <x:c r="AB379" s="36" t="str">
        <x:v>JA</x:v>
      </x:c>
      <x:c r="AC379" s="36" t="str">
        <x:v>JA</x:v>
      </x:c>
      <x:c r="AD379" s="36" t="str">
        <x:v>JA</x:v>
      </x:c>
      <x:c r="AE379" s="36" t="str">
        <x:v>JA</x:v>
      </x:c>
      <x:c r="AF379" s="36" t="str">
        <x:v>JA</x:v>
      </x:c>
      <x:c r="AG379" s="36" t="str">
        <x:v>FREIGEGEBEN</x:v>
      </x:c>
      <x:c r="AH379" s="36" t="str">
        <x:v>GPT-5.6 Sol · Buchprüfung Johannes · L1912/OTB</x:v>
      </x:c>
      <x:c r="AI379" s="36" t="str">
        <x:v>FREIGEGEBEN</x:v>
      </x:c>
      <x:c r="AJ379" s="36" t="str">
        <x:v>Johannes 8: repetitive Wiedererkennungsfrage durch ZUSAMMENHANG-Frage ersetzt.</x:v>
      </x:c>
      <x:c r="AK379" s="36" t="str">
        <x:v>FaithPath repo develop/v4 · data/bibles/l1912/JHN.json · data/bibles/otb/JHN.json</x:v>
      </x:c>
      <x:c r="AL379" t="str">
        <x:v>JA</x:v>
      </x:c>
    </x:row>
    <x:row r="380">
      <x:c r="A380" t="str">
        <x:v>FP-0639</x:v>
      </x:c>
      <x:c r="B380" t="str">
        <x:v>JHN</x:v>
      </x:c>
      <x:c r="C380" t="str">
        <x:v>Johannes</x:v>
      </x:c>
      <x:c r="D380" t="n">
        <x:v>8</x:v>
      </x:c>
      <x:c r="E380" t="n">
        <x:v>4</x:v>
      </x:c>
      <x:c r="F380" t="str">
        <x:v>JHN-008</x:v>
      </x:c>
      <x:c r="G380" t="n">
        <x:v>76</x:v>
      </x:c>
      <x:c r="H380" t="str">
        <x:v>CQ-A04</x:v>
      </x:c>
      <x:c r="I380" s="36" t="str">
        <x:v>Welche dieser Aussagen stammt aus Johannes 8?</x:v>
      </x:c>
      <x:c r="J380" s="36" t="str"/>
      <x:c r="K380" s="36" t="str"/>
      <x:c r="L380" s="36" t="str">
        <x:v>REPO_VERIFIZIERT_FRAGEFORM</x:v>
      </x:c>
      <x:c r="M380" s="36" t="str">
        <x:v>ERSETZEN</x:v>
      </x:c>
      <x:c r="N380" s="36" t="str">
        <x:v>REPETITIVE_FRAGEFORM</x:v>
      </x:c>
      <x:c r="O380" s="36" t="str">
        <x:v>REINE_WIEDERERKENNUNG</x:v>
      </x:c>
      <x:c r="P380" s="36" t="str">
        <x:v>KERNAUSSAGE</x:v>
      </x:c>
      <x:c r="Q380" s="36" t="str">
        <x:v>Wie beschreibt Jesus die Menschen, die Gottes Wort nicht hören können?</x:v>
      </x:c>
      <x:c r="R380" s="36" t="str">
        <x:v>Sie hören nicht, weil sie nicht aus Gott sind.</x:v>
      </x:c>
      <x:c r="S380" s="36" t="str">
        <x:v>Sie haben zu wenig Bildung.</x:v>
      </x:c>
      <x:c r="T380" s="36" t="str">
        <x:v>Sie sprechen die falsche Sprache.</x:v>
      </x:c>
      <x:c r="U380" s="36" t="str">
        <x:v>Sie wohnen außerhalb Jerusalems.</x:v>
      </x:c>
      <x:c r="V380" s="36" t="n">
        <x:v>0</x:v>
      </x:c>
      <x:c r="W380" s="36" t="str">
        <x:v>Sie hören nicht, weil sie nicht aus Gott sind.</x:v>
      </x:c>
      <x:c r="X380" s="36" t="str">
        <x:v>Johannes 8,43–47</x:v>
      </x:c>
      <x:c r="Y380" s="36" t="str">
        <x:v>Jesus führt die Ablehnung seiner Worte auf die tiefere geistliche Zugehörigkeit seiner Gegner zurück.</x:v>
      </x:c>
      <x:c r="Z380" s="36" t="str">
        <x:v>JA</x:v>
      </x:c>
      <x:c r="AA380" s="36" t="str">
        <x:v>JA</x:v>
      </x:c>
      <x:c r="AB380" s="36" t="str">
        <x:v>JA</x:v>
      </x:c>
      <x:c r="AC380" s="36" t="str">
        <x:v>JA</x:v>
      </x:c>
      <x:c r="AD380" s="36" t="str">
        <x:v>JA</x:v>
      </x:c>
      <x:c r="AE380" s="36" t="str">
        <x:v>JA</x:v>
      </x:c>
      <x:c r="AF380" s="36" t="str">
        <x:v>JA</x:v>
      </x:c>
      <x:c r="AG380" s="36" t="str">
        <x:v>FREIGEGEBEN</x:v>
      </x:c>
      <x:c r="AH380" s="36" t="str">
        <x:v>GPT-5.6 Sol · Buchprüfung Johannes · L1912/OTB</x:v>
      </x:c>
      <x:c r="AI380" s="36" t="str">
        <x:v>FREIGEGEBEN</x:v>
      </x:c>
      <x:c r="AJ380" s="36" t="str">
        <x:v>Johannes 8: repetitive Wiedererkennungsfrage durch KERNAUSSAGE-Frage ersetzt.</x:v>
      </x:c>
      <x:c r="AK380" s="36" t="str">
        <x:v>FaithPath repo develop/v4 · data/bibles/l1912/JHN.json · data/bibles/otb/JHN.json</x:v>
      </x:c>
      <x:c r="AL380" t="str">
        <x:v>JA</x:v>
      </x:c>
    </x:row>
    <x:row r="381">
      <x:c r="A381" t="str">
        <x:v>FP-0640</x:v>
      </x:c>
      <x:c r="B381" t="str">
        <x:v>JHN</x:v>
      </x:c>
      <x:c r="C381" t="str">
        <x:v>Johannes</x:v>
      </x:c>
      <x:c r="D381" t="n">
        <x:v>8</x:v>
      </x:c>
      <x:c r="E381" t="n">
        <x:v>5</x:v>
      </x:c>
      <x:c r="F381" t="str">
        <x:v>JHN-008</x:v>
      </x:c>
      <x:c r="G381" t="n">
        <x:v>76</x:v>
      </x:c>
      <x:c r="H381" t="str">
        <x:v>CQ-A04</x:v>
      </x:c>
      <x:c r="I381" s="36" t="str">
        <x:v>Welche dieser Aussagen stammt aus Johannes 8?</x:v>
      </x:c>
      <x:c r="J381" s="36" t="str"/>
      <x:c r="K381" s="36" t="str"/>
      <x:c r="L381" s="36" t="str">
        <x:v>REPO_VERIFIZIERT_FRAGEFORM</x:v>
      </x:c>
      <x:c r="M381" s="36" t="str">
        <x:v>ERSETZEN</x:v>
      </x:c>
      <x:c r="N381" s="36" t="str">
        <x:v>REPETITIVE_FRAGEFORM</x:v>
      </x:c>
      <x:c r="O381" s="36" t="str">
        <x:v>REINE_WIEDERERKENNUNG</x:v>
      </x:c>
      <x:c r="P381" s="36" t="str">
        <x:v>PERSON_AUSSAGE</x:v>
      </x:c>
      <x:c r="Q381" s="36" t="str">
        <x:v>Was sagt Jesus über sein Verhältnis zu Abraham?</x:v>
      </x:c>
      <x:c r="R381" s="36" t="str">
        <x:v>Abraham war Jesu Lehrer.</x:v>
      </x:c>
      <x:c r="S381" s="36" t="str">
        <x:v>Bevor Abraham wurde, bin ich.</x:v>
      </x:c>
      <x:c r="T381" s="36" t="str">
        <x:v>Jesus habe Abraham nie gekannt.</x:v>
      </x:c>
      <x:c r="U381" s="36" t="str">
        <x:v>Abraham sei größer als alles, was Jesus sagt.</x:v>
      </x:c>
      <x:c r="V381" s="36" t="n">
        <x:v>1</x:v>
      </x:c>
      <x:c r="W381" s="36" t="str">
        <x:v>Bevor Abraham wurde, bin ich.</x:v>
      </x:c>
      <x:c r="X381" s="36" t="str">
        <x:v>Johannes 8,56–58</x:v>
      </x:c>
      <x:c r="Y381" s="36" t="str">
        <x:v>Jesu Aussage „ehe Abraham wurde, bin ich“ bildet den Höhepunkt der Auseinandersetzung über seine Identität.</x:v>
      </x:c>
      <x:c r="Z381" s="36" t="str">
        <x:v>JA</x:v>
      </x:c>
      <x:c r="AA381" s="36" t="str">
        <x:v>JA</x:v>
      </x:c>
      <x:c r="AB381" s="36" t="str">
        <x:v>JA</x:v>
      </x:c>
      <x:c r="AC381" s="36" t="str">
        <x:v>JA</x:v>
      </x:c>
      <x:c r="AD381" s="36" t="str">
        <x:v>JA</x:v>
      </x:c>
      <x:c r="AE381" s="36" t="str">
        <x:v>JA</x:v>
      </x:c>
      <x:c r="AF381" s="36" t="str">
        <x:v>JA</x:v>
      </x:c>
      <x:c r="AG381" s="36" t="str">
        <x:v>FREIGEGEBEN</x:v>
      </x:c>
      <x:c r="AH381" s="36" t="str">
        <x:v>GPT-5.6 Sol · Buchprüfung Johannes · L1912/OTB</x:v>
      </x:c>
      <x:c r="AI381" s="36" t="str">
        <x:v>FREIGEGEBEN</x:v>
      </x:c>
      <x:c r="AJ381" s="36" t="str">
        <x:v>Johannes 8: repetitive Wiedererkennungsfrage durch PERSON_AUSSAGE-Frage ersetzt.</x:v>
      </x:c>
      <x:c r="AK381" s="36" t="str">
        <x:v>FaithPath repo develop/v4 · data/bibles/l1912/JHN.json · data/bibles/otb/JHN.json</x:v>
      </x:c>
      <x:c r="AL381" t="str">
        <x:v>JA</x:v>
      </x:c>
    </x:row>
    <x:row r="382">
      <x:c r="A382" t="str">
        <x:v>FP-0641</x:v>
      </x:c>
      <x:c r="B382" t="str">
        <x:v>JHN</x:v>
      </x:c>
      <x:c r="C382" t="str">
        <x:v>Johannes</x:v>
      </x:c>
      <x:c r="D382" t="n">
        <x:v>9</x:v>
      </x:c>
      <x:c r="E382" t="n">
        <x:v>1</x:v>
      </x:c>
      <x:c r="F382" t="str">
        <x:v>JHN-009</x:v>
      </x:c>
      <x:c r="G382" t="n">
        <x:v>77</x:v>
      </x:c>
      <x:c r="H382" t="str">
        <x:v>CQ-A04</x:v>
      </x:c>
      <x:c r="I382" s="36" t="str">
        <x:v>Welche dieser Aussagen stammt aus Johannes 9?</x:v>
      </x:c>
      <x:c r="J382" s="36" t="str"/>
      <x:c r="K382" s="36" t="str"/>
      <x:c r="L382" s="36" t="str">
        <x:v>REPO_VERIFIZIERT_FRAGEFORM</x:v>
      </x:c>
      <x:c r="M382" s="36" t="str">
        <x:v>ERSETZEN</x:v>
      </x:c>
      <x:c r="N382" s="36" t="str">
        <x:v>REPETITIVE_FRAGEFORM</x:v>
      </x:c>
      <x:c r="O382" s="36" t="str">
        <x:v>REINE_WIEDERERKENNUNG</x:v>
      </x:c>
      <x:c r="P382" s="36" t="str">
        <x:v>KERNAUSSAGE</x:v>
      </x:c>
      <x:c r="Q382" s="36" t="str">
        <x:v>Wie beantwortet Jesus die Frage, ob der blind Geborene oder seine Eltern gesündigt hätten?</x:v>
      </x:c>
      <x:c r="R382" s="36" t="str">
        <x:v>Seine Eltern allein sind schuld.</x:v>
      </x:c>
      <x:c r="S382" s="36" t="str">
        <x:v>Der Mann selbst ist für seine Blindheit verantwortlich.</x:v>
      </x:c>
      <x:c r="T382" s="36" t="str">
        <x:v>Weder er noch seine Eltern werden als Ursache genannt; an ihm sollen Gottes Werke offenbar werden.</x:v>
      </x:c>
      <x:c r="U382" s="36" t="str">
        <x:v>Blindheit habe immer dieselbe geistliche Ursache.</x:v>
      </x:c>
      <x:c r="V382" s="36" t="n">
        <x:v>2</x:v>
      </x:c>
      <x:c r="W382" s="36" t="str">
        <x:v>Weder er noch seine Eltern werden als Ursache genannt; an ihm sollen Gottes Werke offenbar werden.</x:v>
      </x:c>
      <x:c r="X382" s="36" t="str">
        <x:v>Johannes 9,1–3</x:v>
      </x:c>
      <x:c r="Y382" s="36" t="str">
        <x:v>Jesus weist die direkte Schuldzuweisung zurück und richtet den Blick auf das offenbar werdende Wirken Gottes.</x:v>
      </x:c>
      <x:c r="Z382" s="36" t="str">
        <x:v>JA</x:v>
      </x:c>
      <x:c r="AA382" s="36" t="str">
        <x:v>JA</x:v>
      </x:c>
      <x:c r="AB382" s="36" t="str">
        <x:v>JA</x:v>
      </x:c>
      <x:c r="AC382" s="36" t="str">
        <x:v>JA</x:v>
      </x:c>
      <x:c r="AD382" s="36" t="str">
        <x:v>JA</x:v>
      </x:c>
      <x:c r="AE382" s="36" t="str">
        <x:v>JA</x:v>
      </x:c>
      <x:c r="AF382" s="36" t="str">
        <x:v>JA</x:v>
      </x:c>
      <x:c r="AG382" s="36" t="str">
        <x:v>FREIGEGEBEN</x:v>
      </x:c>
      <x:c r="AH382" s="36" t="str">
        <x:v>GPT-5.6 Sol · Buchprüfung Johannes · L1912/OTB</x:v>
      </x:c>
      <x:c r="AI382" s="36" t="str">
        <x:v>FREIGEGEBEN</x:v>
      </x:c>
      <x:c r="AJ382" s="36" t="str">
        <x:v>Johannes 9: repetitive Wiedererkennungsfrage durch KERNAUSSAGE-Frage ersetzt.</x:v>
      </x:c>
      <x:c r="AK382" s="36" t="str">
        <x:v>FaithPath repo develop/v4 · data/bibles/l1912/JHN.json · data/bibles/otb/JHN.json</x:v>
      </x:c>
      <x:c r="AL382" t="str">
        <x:v>JA</x:v>
      </x:c>
    </x:row>
    <x:row r="383">
      <x:c r="A383" t="str">
        <x:v>FP-0642</x:v>
      </x:c>
      <x:c r="B383" t="str">
        <x:v>JHN</x:v>
      </x:c>
      <x:c r="C383" t="str">
        <x:v>Johannes</x:v>
      </x:c>
      <x:c r="D383" t="n">
        <x:v>9</x:v>
      </x:c>
      <x:c r="E383" t="n">
        <x:v>2</x:v>
      </x:c>
      <x:c r="F383" t="str">
        <x:v>JHN-009</x:v>
      </x:c>
      <x:c r="G383" t="n">
        <x:v>77</x:v>
      </x:c>
      <x:c r="H383" t="str">
        <x:v>CQ-A04</x:v>
      </x:c>
      <x:c r="I383" s="36" t="str">
        <x:v>Welche dieser Aussagen stammt aus Johannes 9?</x:v>
      </x:c>
      <x:c r="J383" s="36" t="str"/>
      <x:c r="K383" s="36" t="str"/>
      <x:c r="L383" s="36" t="str">
        <x:v>REPO_VERIFIZIERT_FRAGEFORM</x:v>
      </x:c>
      <x:c r="M383" s="36" t="str">
        <x:v>ERSETZEN</x:v>
      </x:c>
      <x:c r="N383" s="36" t="str">
        <x:v>REPETITIVE_FRAGEFORM</x:v>
      </x:c>
      <x:c r="O383" s="36" t="str">
        <x:v>REINE_WIEDERERKENNUNG</x:v>
      </x:c>
      <x:c r="P383" s="36" t="str">
        <x:v>GESCHEHEN</x:v>
      </x:c>
      <x:c r="Q383" s="36" t="str">
        <x:v>Wie vollzieht Jesus die Heilung des blind Geborenen?</x:v>
      </x:c>
      <x:c r="R383" s="36" t="str">
        <x:v>Er heilt ihn nur durch eine Berührung im Tempel.</x:v>
      </x:c>
      <x:c r="S383" s="36" t="str">
        <x:v>Er schickt ihn zu einem Priester.</x:v>
      </x:c>
      <x:c r="T383" s="36" t="str">
        <x:v>Er lässt Johannes ihn taufen.</x:v>
      </x:c>
      <x:c r="U383" s="36" t="str">
        <x:v>Er macht einen Brei, streicht ihn auf die Augen und schickt den Mann zum Teich Siloah.</x:v>
      </x:c>
      <x:c r="V383" s="36" t="n">
        <x:v>3</x:v>
      </x:c>
      <x:c r="W383" s="36" t="str">
        <x:v>Er macht einen Brei, streicht ihn auf die Augen und schickt den Mann zum Teich Siloah.</x:v>
      </x:c>
      <x:c r="X383" s="36" t="str">
        <x:v>Johannes 9,6–7</x:v>
      </x:c>
      <x:c r="Y383" s="36" t="str">
        <x:v>Jesus bestreicht die Augen des Mannes und schickt ihn zum Teich Siloah; der Mann kommt sehend zurück.</x:v>
      </x:c>
      <x:c r="Z383" s="36" t="str">
        <x:v>JA</x:v>
      </x:c>
      <x:c r="AA383" s="36" t="str">
        <x:v>JA</x:v>
      </x:c>
      <x:c r="AB383" s="36" t="str">
        <x:v>JA</x:v>
      </x:c>
      <x:c r="AC383" s="36" t="str">
        <x:v>JA</x:v>
      </x:c>
      <x:c r="AD383" s="36" t="str">
        <x:v>JA</x:v>
      </x:c>
      <x:c r="AE383" s="36" t="str">
        <x:v>JA</x:v>
      </x:c>
      <x:c r="AF383" s="36" t="str">
        <x:v>JA</x:v>
      </x:c>
      <x:c r="AG383" s="36" t="str">
        <x:v>FREIGEGEBEN</x:v>
      </x:c>
      <x:c r="AH383" s="36" t="str">
        <x:v>GPT-5.6 Sol · Buchprüfung Johannes · L1912/OTB</x:v>
      </x:c>
      <x:c r="AI383" s="36" t="str">
        <x:v>FREIGEGEBEN</x:v>
      </x:c>
      <x:c r="AJ383" s="36" t="str">
        <x:v>Johannes 9: repetitive Wiedererkennungsfrage durch GESCHEHEN-Frage ersetzt.</x:v>
      </x:c>
      <x:c r="AK383" s="36" t="str">
        <x:v>FaithPath repo develop/v4 · data/bibles/l1912/JHN.json · data/bibles/otb/JHN.json</x:v>
      </x:c>
      <x:c r="AL383" t="str">
        <x:v>JA</x:v>
      </x:c>
    </x:row>
    <x:row r="384">
      <x:c r="A384" t="str">
        <x:v>FP-0643</x:v>
      </x:c>
      <x:c r="B384" t="str">
        <x:v>JHN</x:v>
      </x:c>
      <x:c r="C384" t="str">
        <x:v>Johannes</x:v>
      </x:c>
      <x:c r="D384" t="n">
        <x:v>9</x:v>
      </x:c>
      <x:c r="E384" t="n">
        <x:v>3</x:v>
      </x:c>
      <x:c r="F384" t="str">
        <x:v>JHN-009</x:v>
      </x:c>
      <x:c r="G384" t="n">
        <x:v>77</x:v>
      </x:c>
      <x:c r="H384" t="str">
        <x:v>CQ-A04</x:v>
      </x:c>
      <x:c r="I384" s="36" t="str">
        <x:v>Welche dieser Aussagen stammt aus Johannes 9?</x:v>
      </x:c>
      <x:c r="J384" s="36" t="str"/>
      <x:c r="K384" s="36" t="str"/>
      <x:c r="L384" s="36" t="str">
        <x:v>REPO_VERIFIZIERT_FRAGEFORM</x:v>
      </x:c>
      <x:c r="M384" s="36" t="str">
        <x:v>ERSETZEN</x:v>
      </x:c>
      <x:c r="N384" s="36" t="str">
        <x:v>REPETITIVE_FRAGEFORM</x:v>
      </x:c>
      <x:c r="O384" s="36" t="str">
        <x:v>REINE_WIEDERERKENNUNG</x:v>
      </x:c>
      <x:c r="P384" s="36" t="str">
        <x:v>ZUSAMMENHANG</x:v>
      </x:c>
      <x:c r="Q384" s="36" t="str">
        <x:v>Warum entsteht Streit über die Heilung?</x:v>
      </x:c>
      <x:c r="R384" s="36" t="str">
        <x:v>Sie geschieht am Sabbat, und die Pharisäer streiten darüber, was das über Jesus bedeutet.</x:v>
      </x:c>
      <x:c r="S384" s="36" t="str">
        <x:v>Der Mann weigert sich zu erzählen, was geschah.</x:v>
      </x:c>
      <x:c r="T384" s="36" t="str">
        <x:v>Jesus verlangt Geld.</x:v>
      </x:c>
      <x:c r="U384" s="36" t="str">
        <x:v>Der Teich Siloah wird geschlossen.</x:v>
      </x:c>
      <x:c r="V384" s="36" t="n">
        <x:v>0</x:v>
      </x:c>
      <x:c r="W384" s="36" t="str">
        <x:v>Sie geschieht am Sabbat, und die Pharisäer streiten darüber, was das über Jesus bedeutet.</x:v>
      </x:c>
      <x:c r="X384" s="36" t="str">
        <x:v>Johannes 9,13–16</x:v>
      </x:c>
      <x:c r="Y384" s="36" t="str">
        <x:v>Ein Teil der Pharisäer kritisiert den Sabbat, andere fragen, wie ein Sünder solche Zeichen tun könne.</x:v>
      </x:c>
      <x:c r="Z384" s="36" t="str">
        <x:v>JA</x:v>
      </x:c>
      <x:c r="AA384" s="36" t="str">
        <x:v>JA</x:v>
      </x:c>
      <x:c r="AB384" s="36" t="str">
        <x:v>JA</x:v>
      </x:c>
      <x:c r="AC384" s="36" t="str">
        <x:v>JA</x:v>
      </x:c>
      <x:c r="AD384" s="36" t="str">
        <x:v>JA</x:v>
      </x:c>
      <x:c r="AE384" s="36" t="str">
        <x:v>JA</x:v>
      </x:c>
      <x:c r="AF384" s="36" t="str">
        <x:v>JA</x:v>
      </x:c>
      <x:c r="AG384" s="36" t="str">
        <x:v>FREIGEGEBEN</x:v>
      </x:c>
      <x:c r="AH384" s="36" t="str">
        <x:v>GPT-5.6 Sol · Buchprüfung Johannes · L1912/OTB</x:v>
      </x:c>
      <x:c r="AI384" s="36" t="str">
        <x:v>FREIGEGEBEN</x:v>
      </x:c>
      <x:c r="AJ384" s="36" t="str">
        <x:v>Johannes 9: repetitive Wiedererkennungsfrage durch ZUSAMMENHANG-Frage ersetzt.</x:v>
      </x:c>
      <x:c r="AK384" s="36" t="str">
        <x:v>FaithPath repo develop/v4 · data/bibles/l1912/JHN.json · data/bibles/otb/JHN.json</x:v>
      </x:c>
      <x:c r="AL384" t="str">
        <x:v>JA</x:v>
      </x:c>
    </x:row>
    <x:row r="385">
      <x:c r="A385" t="str">
        <x:v>FP-0644</x:v>
      </x:c>
      <x:c r="B385" t="str">
        <x:v>JHN</x:v>
      </x:c>
      <x:c r="C385" t="str">
        <x:v>Johannes</x:v>
      </x:c>
      <x:c r="D385" t="n">
        <x:v>9</x:v>
      </x:c>
      <x:c r="E385" t="n">
        <x:v>4</x:v>
      </x:c>
      <x:c r="F385" t="str">
        <x:v>JHN-009</x:v>
      </x:c>
      <x:c r="G385" t="n">
        <x:v>77</x:v>
      </x:c>
      <x:c r="H385" t="str">
        <x:v>CQ-A04</x:v>
      </x:c>
      <x:c r="I385" s="36" t="str">
        <x:v>Welche dieser Aussagen stammt aus Johannes 9?</x:v>
      </x:c>
      <x:c r="J385" s="36" t="str"/>
      <x:c r="K385" s="36" t="str"/>
      <x:c r="L385" s="36" t="str">
        <x:v>REPO_VERIFIZIERT_FRAGEFORM</x:v>
      </x:c>
      <x:c r="M385" s="36" t="str">
        <x:v>ERSETZEN</x:v>
      </x:c>
      <x:c r="N385" s="36" t="str">
        <x:v>REPETITIVE_FRAGEFORM</x:v>
      </x:c>
      <x:c r="O385" s="36" t="str">
        <x:v>REINE_WIEDERERKENNUNG</x:v>
      </x:c>
      <x:c r="P385" s="36" t="str">
        <x:v>PERSON_AUSSAGE</x:v>
      </x:c>
      <x:c r="Q385" s="36" t="str">
        <x:v>Wie antwortet der geheilte Mann auf die Behauptung, Jesus sei ein Sünder?</x:v>
      </x:c>
      <x:c r="R385" s="36" t="str">
        <x:v>Ich habe Jesus nie gesehen.</x:v>
      </x:c>
      <x:c r="S385" s="36" t="str">
        <x:v>Ob er ein Sünder ist, weiß ich nicht; eines weiß ich: Ich war blind und sehe jetzt.</x:v>
      </x:c>
      <x:c r="T385" s="36" t="str">
        <x:v>Die Heilung ist nicht wirklich geschehen.</x:v>
      </x:c>
      <x:c r="U385" s="36" t="str">
        <x:v>Meine Eltern haben mich geheilt.</x:v>
      </x:c>
      <x:c r="V385" s="36" t="n">
        <x:v>1</x:v>
      </x:c>
      <x:c r="W385" s="36" t="str">
        <x:v>Ob er ein Sünder ist, weiß ich nicht; eines weiß ich: Ich war blind und sehe jetzt.</x:v>
      </x:c>
      <x:c r="X385" s="36" t="str">
        <x:v>Johannes 9,24–25</x:v>
      </x:c>
      <x:c r="Y385" s="36" t="str">
        <x:v>Der Mann hält sich an das, was er sicher weiß: Seine Blindheit ist überwunden.</x:v>
      </x:c>
      <x:c r="Z385" s="36" t="str">
        <x:v>JA</x:v>
      </x:c>
      <x:c r="AA385" s="36" t="str">
        <x:v>JA</x:v>
      </x:c>
      <x:c r="AB385" s="36" t="str">
        <x:v>JA</x:v>
      </x:c>
      <x:c r="AC385" s="36" t="str">
        <x:v>JA</x:v>
      </x:c>
      <x:c r="AD385" s="36" t="str">
        <x:v>JA</x:v>
      </x:c>
      <x:c r="AE385" s="36" t="str">
        <x:v>JA</x:v>
      </x:c>
      <x:c r="AF385" s="36" t="str">
        <x:v>JA</x:v>
      </x:c>
      <x:c r="AG385" s="36" t="str">
        <x:v>FREIGEGEBEN</x:v>
      </x:c>
      <x:c r="AH385" s="36" t="str">
        <x:v>GPT-5.6 Sol · Buchprüfung Johannes · L1912/OTB</x:v>
      </x:c>
      <x:c r="AI385" s="36" t="str">
        <x:v>FREIGEGEBEN</x:v>
      </x:c>
      <x:c r="AJ385" s="36" t="str">
        <x:v>Johannes 9: repetitive Wiedererkennungsfrage durch PERSON_AUSSAGE-Frage ersetzt.</x:v>
      </x:c>
      <x:c r="AK385" s="36" t="str">
        <x:v>FaithPath repo develop/v4 · data/bibles/l1912/JHN.json · data/bibles/otb/JHN.json</x:v>
      </x:c>
      <x:c r="AL385" t="str">
        <x:v>JA</x:v>
      </x:c>
    </x:row>
    <x:row r="386">
      <x:c r="A386" t="str">
        <x:v>FP-0645</x:v>
      </x:c>
      <x:c r="B386" t="str">
        <x:v>JHN</x:v>
      </x:c>
      <x:c r="C386" t="str">
        <x:v>Johannes</x:v>
      </x:c>
      <x:c r="D386" t="n">
        <x:v>9</x:v>
      </x:c>
      <x:c r="E386" t="n">
        <x:v>5</x:v>
      </x:c>
      <x:c r="F386" t="str">
        <x:v>JHN-009</x:v>
      </x:c>
      <x:c r="G386" t="n">
        <x:v>77</x:v>
      </x:c>
      <x:c r="H386" t="str">
        <x:v>CQ-A04</x:v>
      </x:c>
      <x:c r="I386" s="36" t="str">
        <x:v>Welche dieser Aussagen stammt aus Johannes 9?</x:v>
      </x:c>
      <x:c r="J386" s="36" t="str"/>
      <x:c r="K386" s="36" t="str"/>
      <x:c r="L386" s="36" t="str">
        <x:v>REPO_VERIFIZIERT_FRAGEFORM</x:v>
      </x:c>
      <x:c r="M386" s="36" t="str">
        <x:v>ERSETZEN</x:v>
      </x:c>
      <x:c r="N386" s="36" t="str">
        <x:v>REPETITIVE_FRAGEFORM</x:v>
      </x:c>
      <x:c r="O386" s="36" t="str">
        <x:v>REINE_WIEDERERKENNUNG</x:v>
      </x:c>
      <x:c r="P386" s="36" t="str">
        <x:v>KERNAUSSAGE</x:v>
      </x:c>
      <x:c r="Q386" s="36" t="str">
        <x:v>Wie endet die Begegnung zwischen Jesus und dem geheilten Mann?</x:v>
      </x:c>
      <x:c r="R386" s="36" t="str">
        <x:v>Der Mann lehnt Jesus ab.</x:v>
      </x:c>
      <x:c r="S386" s="36" t="str">
        <x:v>Der Mann wird wieder blind.</x:v>
      </x:c>
      <x:c r="T386" s="36" t="str">
        <x:v>Der Mann glaubt an den Menschensohn und betet Jesus an.</x:v>
      </x:c>
      <x:c r="U386" s="36" t="str">
        <x:v>Jesus schickt ihn aus Jerusalem fort.</x:v>
      </x:c>
      <x:c r="V386" s="36" t="n">
        <x:v>2</x:v>
      </x:c>
      <x:c r="W386" s="36" t="str">
        <x:v>Der Mann glaubt an den Menschensohn und betet Jesus an.</x:v>
      </x:c>
      <x:c r="X386" s="36" t="str">
        <x:v>Johannes 9,35–38</x:v>
      </x:c>
      <x:c r="Y386" s="36" t="str">
        <x:v>Nach Jesu Selbstoffenbarung bekennt der Mann seinen Glauben und betet ihn an.</x:v>
      </x:c>
      <x:c r="Z386" s="36" t="str">
        <x:v>JA</x:v>
      </x:c>
      <x:c r="AA386" s="36" t="str">
        <x:v>JA</x:v>
      </x:c>
      <x:c r="AB386" s="36" t="str">
        <x:v>JA</x:v>
      </x:c>
      <x:c r="AC386" s="36" t="str">
        <x:v>JA</x:v>
      </x:c>
      <x:c r="AD386" s="36" t="str">
        <x:v>JA</x:v>
      </x:c>
      <x:c r="AE386" s="36" t="str">
        <x:v>JA</x:v>
      </x:c>
      <x:c r="AF386" s="36" t="str">
        <x:v>JA</x:v>
      </x:c>
      <x:c r="AG386" s="36" t="str">
        <x:v>FREIGEGEBEN</x:v>
      </x:c>
      <x:c r="AH386" s="36" t="str">
        <x:v>GPT-5.6 Sol · Buchprüfung Johannes · L1912/OTB</x:v>
      </x:c>
      <x:c r="AI386" s="36" t="str">
        <x:v>FREIGEGEBEN</x:v>
      </x:c>
      <x:c r="AJ386" s="36" t="str">
        <x:v>Johannes 9: repetitive Wiedererkennungsfrage durch KERNAUSSAGE-Frage ersetzt.</x:v>
      </x:c>
      <x:c r="AK386" s="36" t="str">
        <x:v>FaithPath repo develop/v4 · data/bibles/l1912/JHN.json · data/bibles/otb/JHN.json</x:v>
      </x:c>
      <x:c r="AL386" t="str">
        <x:v>JA</x:v>
      </x:c>
    </x:row>
    <x:row r="387">
      <x:c r="A387" t="str">
        <x:v>FP-0646</x:v>
      </x:c>
      <x:c r="B387" t="str">
        <x:v>JHN</x:v>
      </x:c>
      <x:c r="C387" t="str">
        <x:v>Johannes</x:v>
      </x:c>
      <x:c r="D387" t="n">
        <x:v>10</x:v>
      </x:c>
      <x:c r="E387" t="n">
        <x:v>1</x:v>
      </x:c>
      <x:c r="F387" t="str">
        <x:v>JHN-010</x:v>
      </x:c>
      <x:c r="G387" t="n">
        <x:v>78</x:v>
      </x:c>
      <x:c r="H387" t="str">
        <x:v>CQ-A04</x:v>
      </x:c>
      <x:c r="I387" s="36" t="str">
        <x:v>Welche dieser Aussagen stammt aus Johannes 10?</x:v>
      </x:c>
      <x:c r="J387" s="36" t="str"/>
      <x:c r="K387" s="36" t="str"/>
      <x:c r="L387" s="36" t="str">
        <x:v>REPO_VERIFIZIERT_FRAGEFORM</x:v>
      </x:c>
      <x:c r="M387" s="36" t="str">
        <x:v>ERSETZEN</x:v>
      </x:c>
      <x:c r="N387" s="36" t="str">
        <x:v>REPETITIVE_FRAGEFORM</x:v>
      </x:c>
      <x:c r="O387" s="36" t="str">
        <x:v>REINE_WIEDERERKENNUNG</x:v>
      </x:c>
      <x:c r="P387" s="36" t="str">
        <x:v>KERNAUSSAGE</x:v>
      </x:c>
      <x:c r="Q387" s="36" t="str">
        <x:v>Wie beschreibt Jesus die Beziehung zwischen dem guten Hirten und den Schafen?</x:v>
      </x:c>
      <x:c r="R387" s="36" t="str">
        <x:v>Der Hirte kennt seine Schafe nicht.</x:v>
      </x:c>
      <x:c r="S387" s="36" t="str">
        <x:v>Der Hirte verlässt die Schafe bei jeder Gefahr.</x:v>
      </x:c>
      <x:c r="T387" s="36" t="str">
        <x:v>Der Hirte führt nur fremde Schafe.</x:v>
      </x:c>
      <x:c r="U387" s="36" t="str">
        <x:v>Der gute Hirte kennt die Seinen und gibt sein Leben für die Schafe.</x:v>
      </x:c>
      <x:c r="V387" s="36" t="n">
        <x:v>3</x:v>
      </x:c>
      <x:c r="W387" s="36" t="str">
        <x:v>Der gute Hirte kennt die Seinen und gibt sein Leben für die Schafe.</x:v>
      </x:c>
      <x:c r="X387" s="36" t="str">
        <x:v>Johannes 10,11–15</x:v>
      </x:c>
      <x:c r="Y387" s="36" t="str">
        <x:v>Jesus beschreibt sich als guten Hirten, der seine Schafe kennt und sein Leben für sie lässt.</x:v>
      </x:c>
      <x:c r="Z387" s="36" t="str">
        <x:v>JA</x:v>
      </x:c>
      <x:c r="AA387" s="36" t="str">
        <x:v>JA</x:v>
      </x:c>
      <x:c r="AB387" s="36" t="str">
        <x:v>JA</x:v>
      </x:c>
      <x:c r="AC387" s="36" t="str">
        <x:v>JA</x:v>
      </x:c>
      <x:c r="AD387" s="36" t="str">
        <x:v>JA</x:v>
      </x:c>
      <x:c r="AE387" s="36" t="str">
        <x:v>JA</x:v>
      </x:c>
      <x:c r="AF387" s="36" t="str">
        <x:v>JA</x:v>
      </x:c>
      <x:c r="AG387" s="36" t="str">
        <x:v>FREIGEGEBEN</x:v>
      </x:c>
      <x:c r="AH387" s="36" t="str">
        <x:v>GPT-5.6 Sol · Buchprüfung Johannes · L1912/OTB</x:v>
      </x:c>
      <x:c r="AI387" s="36" t="str">
        <x:v>FREIGEGEBEN</x:v>
      </x:c>
      <x:c r="AJ387" s="36" t="str">
        <x:v>Johannes 10: repetitive Wiedererkennungsfrage durch KERNAUSSAGE-Frage ersetzt.</x:v>
      </x:c>
      <x:c r="AK387" s="36" t="str">
        <x:v>FaithPath repo develop/v4 · data/bibles/l1912/JHN.json · data/bibles/otb/JHN.json</x:v>
      </x:c>
      <x:c r="AL387" t="str">
        <x:v>JA</x:v>
      </x:c>
    </x:row>
    <x:row r="388">
      <x:c r="A388" t="str">
        <x:v>FP-0647</x:v>
      </x:c>
      <x:c r="B388" t="str">
        <x:v>JHN</x:v>
      </x:c>
      <x:c r="C388" t="str">
        <x:v>Johannes</x:v>
      </x:c>
      <x:c r="D388" t="n">
        <x:v>10</x:v>
      </x:c>
      <x:c r="E388" t="n">
        <x:v>2</x:v>
      </x:c>
      <x:c r="F388" t="str">
        <x:v>JHN-010</x:v>
      </x:c>
      <x:c r="G388" t="n">
        <x:v>78</x:v>
      </x:c>
      <x:c r="H388" t="str">
        <x:v>CQ-A04</x:v>
      </x:c>
      <x:c r="I388" s="36" t="str">
        <x:v>Welche dieser Aussagen stammt aus Johannes 10?</x:v>
      </x:c>
      <x:c r="J388" s="36" t="str"/>
      <x:c r="K388" s="36" t="str"/>
      <x:c r="L388" s="36" t="str">
        <x:v>REPO_VERIFIZIERT_FRAGEFORM</x:v>
      </x:c>
      <x:c r="M388" s="36" t="str">
        <x:v>ERSETZEN</x:v>
      </x:c>
      <x:c r="N388" s="36" t="str">
        <x:v>REPETITIVE_FRAGEFORM</x:v>
      </x:c>
      <x:c r="O388" s="36" t="str">
        <x:v>REINE_WIEDERERKENNUNG</x:v>
      </x:c>
      <x:c r="P388" s="36" t="str">
        <x:v>KERNAUSSAGE</x:v>
      </x:c>
      <x:c r="Q388" s="36" t="str">
        <x:v>Was sagt Jesus über die „anderen Schafe“, die nicht aus diesem Hof sind?</x:v>
      </x:c>
      <x:c r="R388" s="36" t="str">
        <x:v>Auch sie muss er führen, sodass eine Herde und ein Hirte sein werden.</x:v>
      </x:c>
      <x:c r="S388" s="36" t="str">
        <x:v>Sie sollen getrennt bleiben.</x:v>
      </x:c>
      <x:c r="T388" s="36" t="str">
        <x:v>Sie gehören niemals zu ihm.</x:v>
      </x:c>
      <x:c r="U388" s="36" t="str">
        <x:v>Sie werden von den Jüngern abgewiesen.</x:v>
      </x:c>
      <x:c r="V388" s="36" t="n">
        <x:v>0</x:v>
      </x:c>
      <x:c r="W388" s="36" t="str">
        <x:v>Auch sie muss er führen, sodass eine Herde und ein Hirte sein werden.</x:v>
      </x:c>
      <x:c r="X388" s="36" t="str">
        <x:v>Johannes 10,16</x:v>
      </x:c>
      <x:c r="Y388" s="36" t="str">
        <x:v>Jesus spricht von weiteren Schafen, die er ebenfalls führen wird, mit dem Ziel einer Herde unter einem Hirten.</x:v>
      </x:c>
      <x:c r="Z388" s="36" t="str">
        <x:v>JA</x:v>
      </x:c>
      <x:c r="AA388" s="36" t="str">
        <x:v>JA</x:v>
      </x:c>
      <x:c r="AB388" s="36" t="str">
        <x:v>JA</x:v>
      </x:c>
      <x:c r="AC388" s="36" t="str">
        <x:v>JA</x:v>
      </x:c>
      <x:c r="AD388" s="36" t="str">
        <x:v>JA</x:v>
      </x:c>
      <x:c r="AE388" s="36" t="str">
        <x:v>JA</x:v>
      </x:c>
      <x:c r="AF388" s="36" t="str">
        <x:v>JA</x:v>
      </x:c>
      <x:c r="AG388" s="36" t="str">
        <x:v>FREIGEGEBEN</x:v>
      </x:c>
      <x:c r="AH388" s="36" t="str">
        <x:v>GPT-5.6 Sol · Buchprüfung Johannes · L1912/OTB</x:v>
      </x:c>
      <x:c r="AI388" s="36" t="str">
        <x:v>FREIGEGEBEN</x:v>
      </x:c>
      <x:c r="AJ388" s="36" t="str">
        <x:v>Johannes 10: repetitive Wiedererkennungsfrage durch KERNAUSSAGE-Frage ersetzt.</x:v>
      </x:c>
      <x:c r="AK388" s="36" t="str">
        <x:v>FaithPath repo develop/v4 · data/bibles/l1912/JHN.json · data/bibles/otb/JHN.json</x:v>
      </x:c>
      <x:c r="AL388" t="str">
        <x:v>JA</x:v>
      </x:c>
    </x:row>
    <x:row r="389">
      <x:c r="A389" t="str">
        <x:v>FP-0648</x:v>
      </x:c>
      <x:c r="B389" t="str">
        <x:v>JHN</x:v>
      </x:c>
      <x:c r="C389" t="str">
        <x:v>Johannes</x:v>
      </x:c>
      <x:c r="D389" t="n">
        <x:v>10</x:v>
      </x:c>
      <x:c r="E389" t="n">
        <x:v>3</x:v>
      </x:c>
      <x:c r="F389" t="str">
        <x:v>JHN-010</x:v>
      </x:c>
      <x:c r="G389" t="n">
        <x:v>78</x:v>
      </x:c>
      <x:c r="H389" t="str">
        <x:v>CQ-A04</x:v>
      </x:c>
      <x:c r="I389" s="36" t="str">
        <x:v>Welche dieser Aussagen stammt aus Johannes 10?</x:v>
      </x:c>
      <x:c r="J389" s="36" t="str"/>
      <x:c r="K389" s="36" t="str"/>
      <x:c r="L389" s="36" t="str">
        <x:v>REPO_VERIFIZIERT_FRAGEFORM</x:v>
      </x:c>
      <x:c r="M389" s="36" t="str">
        <x:v>ERSETZEN</x:v>
      </x:c>
      <x:c r="N389" s="36" t="str">
        <x:v>REPETITIVE_FRAGEFORM</x:v>
      </x:c>
      <x:c r="O389" s="36" t="str">
        <x:v>REINE_WIEDERERKENNUNG</x:v>
      </x:c>
      <x:c r="P389" s="36" t="str">
        <x:v>KERNAUSSAGE</x:v>
      </x:c>
      <x:c r="Q389" s="36" t="str">
        <x:v>Warum liebt der Vater den Sohn nach Jesu Aussage in diesem Abschnitt?</x:v>
      </x:c>
      <x:c r="R389" s="36" t="str">
        <x:v>Weil Jesus niemals leidet.</x:v>
      </x:c>
      <x:c r="S389" s="36" t="str">
        <x:v>Weil Jesus sein Leben lässt, um es wiederzunehmen.</x:v>
      </x:c>
      <x:c r="T389" s="36" t="str">
        <x:v>Weil Jesus den Tempel verwaltet.</x:v>
      </x:c>
      <x:c r="U389" s="36" t="str">
        <x:v>Weil Jesus nur zu Israel spricht.</x:v>
      </x:c>
      <x:c r="V389" s="36" t="n">
        <x:v>1</x:v>
      </x:c>
      <x:c r="W389" s="36" t="str">
        <x:v>Weil Jesus sein Leben lässt, um es wiederzunehmen.</x:v>
      </x:c>
      <x:c r="X389" s="36" t="str">
        <x:v>Johannes 10,17–18</x:v>
      </x:c>
      <x:c r="Y389" s="36" t="str">
        <x:v>Jesus verbindet die Liebe des Vaters mit seiner freiwilligen Hingabe und seiner Vollmacht, das Leben wiederzunehmen.</x:v>
      </x:c>
      <x:c r="Z389" s="36" t="str">
        <x:v>JA</x:v>
      </x:c>
      <x:c r="AA389" s="36" t="str">
        <x:v>JA</x:v>
      </x:c>
      <x:c r="AB389" s="36" t="str">
        <x:v>JA</x:v>
      </x:c>
      <x:c r="AC389" s="36" t="str">
        <x:v>JA</x:v>
      </x:c>
      <x:c r="AD389" s="36" t="str">
        <x:v>JA</x:v>
      </x:c>
      <x:c r="AE389" s="36" t="str">
        <x:v>JA</x:v>
      </x:c>
      <x:c r="AF389" s="36" t="str">
        <x:v>JA</x:v>
      </x:c>
      <x:c r="AG389" s="36" t="str">
        <x:v>FREIGEGEBEN</x:v>
      </x:c>
      <x:c r="AH389" s="36" t="str">
        <x:v>GPT-5.6 Sol · Buchprüfung Johannes · L1912/OTB</x:v>
      </x:c>
      <x:c r="AI389" s="36" t="str">
        <x:v>FREIGEGEBEN</x:v>
      </x:c>
      <x:c r="AJ389" s="36" t="str">
        <x:v>Johannes 10: repetitive Wiedererkennungsfrage durch KERNAUSSAGE-Frage ersetzt.</x:v>
      </x:c>
      <x:c r="AK389" s="36" t="str">
        <x:v>FaithPath repo develop/v4 · data/bibles/l1912/JHN.json · data/bibles/otb/JHN.json</x:v>
      </x:c>
      <x:c r="AL389" t="str">
        <x:v>JA</x:v>
      </x:c>
    </x:row>
    <x:row r="390">
      <x:c r="A390" t="str">
        <x:v>FP-0649</x:v>
      </x:c>
      <x:c r="B390" t="str">
        <x:v>JHN</x:v>
      </x:c>
      <x:c r="C390" t="str">
        <x:v>Johannes</x:v>
      </x:c>
      <x:c r="D390" t="n">
        <x:v>10</x:v>
      </x:c>
      <x:c r="E390" t="n">
        <x:v>4</x:v>
      </x:c>
      <x:c r="F390" t="str">
        <x:v>JHN-010</x:v>
      </x:c>
      <x:c r="G390" t="n">
        <x:v>78</x:v>
      </x:c>
      <x:c r="H390" t="str">
        <x:v>CQ-A04</x:v>
      </x:c>
      <x:c r="I390" s="36" t="str">
        <x:v>Welche dieser Aussagen stammt aus Johannes 10?</x:v>
      </x:c>
      <x:c r="J390" s="36" t="str"/>
      <x:c r="K390" s="36" t="str"/>
      <x:c r="L390" s="36" t="str">
        <x:v>REPO_VERIFIZIERT_FRAGEFORM</x:v>
      </x:c>
      <x:c r="M390" s="36" t="str">
        <x:v>ERSETZEN</x:v>
      </x:c>
      <x:c r="N390" s="36" t="str">
        <x:v>REPETITIVE_FRAGEFORM</x:v>
      </x:c>
      <x:c r="O390" s="36" t="str">
        <x:v>REINE_WIEDERERKENNUNG</x:v>
      </x:c>
      <x:c r="P390" s="36" t="str">
        <x:v>KERNAUSSAGE</x:v>
      </x:c>
      <x:c r="Q390" s="36" t="str">
        <x:v>Welche Sicherheit gibt Jesus über seine Schafe?</x:v>
      </x:c>
      <x:c r="R390" s="36" t="str">
        <x:v>Sie werden niemals Schwierigkeiten erleben.</x:v>
      </x:c>
      <x:c r="S390" s="36" t="str">
        <x:v>Sie müssen nicht auf seine Stimme hören.</x:v>
      </x:c>
      <x:c r="T390" s="36" t="str">
        <x:v>Niemand wird sie aus seiner Hand reißen.</x:v>
      </x:c>
      <x:c r="U390" s="36" t="str">
        <x:v>Sie können ihn nicht kennen.</x:v>
      </x:c>
      <x:c r="V390" s="36" t="n">
        <x:v>2</x:v>
      </x:c>
      <x:c r="W390" s="36" t="str">
        <x:v>Niemand wird sie aus seiner Hand reißen.</x:v>
      </x:c>
      <x:c r="X390" s="36" t="str">
        <x:v>Johannes 10,27–29</x:v>
      </x:c>
      <x:c r="Y390" s="36" t="str">
        <x:v>Jesu Schafe hören seine Stimme, folgen ihm, erhalten ewiges Leben und stehen unter seinem Schutz.</x:v>
      </x:c>
      <x:c r="Z390" s="36" t="str">
        <x:v>JA</x:v>
      </x:c>
      <x:c r="AA390" s="36" t="str">
        <x:v>JA</x:v>
      </x:c>
      <x:c r="AB390" s="36" t="str">
        <x:v>JA</x:v>
      </x:c>
      <x:c r="AC390" s="36" t="str">
        <x:v>JA</x:v>
      </x:c>
      <x:c r="AD390" s="36" t="str">
        <x:v>JA</x:v>
      </x:c>
      <x:c r="AE390" s="36" t="str">
        <x:v>JA</x:v>
      </x:c>
      <x:c r="AF390" s="36" t="str">
        <x:v>JA</x:v>
      </x:c>
      <x:c r="AG390" s="36" t="str">
        <x:v>FREIGEGEBEN</x:v>
      </x:c>
      <x:c r="AH390" s="36" t="str">
        <x:v>GPT-5.6 Sol · Buchprüfung Johannes · L1912/OTB</x:v>
      </x:c>
      <x:c r="AI390" s="36" t="str">
        <x:v>FREIGEGEBEN</x:v>
      </x:c>
      <x:c r="AJ390" s="36" t="str">
        <x:v>Johannes 10: repetitive Wiedererkennungsfrage durch KERNAUSSAGE-Frage ersetzt.</x:v>
      </x:c>
      <x:c r="AK390" s="36" t="str">
        <x:v>FaithPath repo develop/v4 · data/bibles/l1912/JHN.json · data/bibles/otb/JHN.json</x:v>
      </x:c>
      <x:c r="AL390" t="str">
        <x:v>JA</x:v>
      </x:c>
    </x:row>
    <x:row r="391">
      <x:c r="A391" t="str">
        <x:v>FP-0650</x:v>
      </x:c>
      <x:c r="B391" t="str">
        <x:v>JHN</x:v>
      </x:c>
      <x:c r="C391" t="str">
        <x:v>Johannes</x:v>
      </x:c>
      <x:c r="D391" t="n">
        <x:v>10</x:v>
      </x:c>
      <x:c r="E391" t="n">
        <x:v>5</x:v>
      </x:c>
      <x:c r="F391" t="str">
        <x:v>JHN-010</x:v>
      </x:c>
      <x:c r="G391" t="n">
        <x:v>78</x:v>
      </x:c>
      <x:c r="H391" t="str">
        <x:v>CQ-A04</x:v>
      </x:c>
      <x:c r="I391" s="36" t="str">
        <x:v>Welche dieser Aussagen stammt aus Johannes 10?</x:v>
      </x:c>
      <x:c r="J391" s="36" t="str"/>
      <x:c r="K391" s="36" t="str"/>
      <x:c r="L391" s="36" t="str">
        <x:v>REPO_VERIFIZIERT_FRAGEFORM</x:v>
      </x:c>
      <x:c r="M391" s="36" t="str">
        <x:v>ERSETZEN</x:v>
      </x:c>
      <x:c r="N391" s="36" t="str">
        <x:v>REPETITIVE_FRAGEFORM</x:v>
      </x:c>
      <x:c r="O391" s="36" t="str">
        <x:v>REINE_WIEDERERKENNUNG</x:v>
      </x:c>
      <x:c r="P391" s="36" t="str">
        <x:v>PERSON_AUSSAGE</x:v>
      </x:c>
      <x:c r="Q391" s="36" t="str">
        <x:v>Welche Aussage Jesu führt erneut zu heftigem Widerstand?</x:v>
      </x:c>
      <x:c r="R391" s="36" t="str">
        <x:v>Ich bin das Brot des Lebens.</x:v>
      </x:c>
      <x:c r="S391" s="36" t="str">
        <x:v>Ich bin der Weg.</x:v>
      </x:c>
      <x:c r="T391" s="36" t="str">
        <x:v>Ich bin der Weinstock.</x:v>
      </x:c>
      <x:c r="U391" s="36" t="str">
        <x:v>Ich und der Vater sind eins.</x:v>
      </x:c>
      <x:c r="V391" s="36" t="n">
        <x:v>3</x:v>
      </x:c>
      <x:c r="W391" s="36" t="str">
        <x:v>Ich und der Vater sind eins.</x:v>
      </x:c>
      <x:c r="X391" s="36" t="str">
        <x:v>Johannes 10,30–33</x:v>
      </x:c>
      <x:c r="Y391" s="36" t="str">
        <x:v>Die Aussage über die Einheit mit dem Vater führt dazu, dass seine Gegner erneut Steine aufnehmen.</x:v>
      </x:c>
      <x:c r="Z391" s="36" t="str">
        <x:v>JA</x:v>
      </x:c>
      <x:c r="AA391" s="36" t="str">
        <x:v>JA</x:v>
      </x:c>
      <x:c r="AB391" s="36" t="str">
        <x:v>JA</x:v>
      </x:c>
      <x:c r="AC391" s="36" t="str">
        <x:v>JA</x:v>
      </x:c>
      <x:c r="AD391" s="36" t="str">
        <x:v>JA</x:v>
      </x:c>
      <x:c r="AE391" s="36" t="str">
        <x:v>JA</x:v>
      </x:c>
      <x:c r="AF391" s="36" t="str">
        <x:v>JA</x:v>
      </x:c>
      <x:c r="AG391" s="36" t="str">
        <x:v>FREIGEGEBEN</x:v>
      </x:c>
      <x:c r="AH391" s="36" t="str">
        <x:v>GPT-5.6 Sol · Buchprüfung Johannes · L1912/OTB</x:v>
      </x:c>
      <x:c r="AI391" s="36" t="str">
        <x:v>FREIGEGEBEN</x:v>
      </x:c>
      <x:c r="AJ391" s="36" t="str">
        <x:v>Johannes 10: repetitive Wiedererkennungsfrage durch PERSON_AUSSAGE-Frage ersetzt.</x:v>
      </x:c>
      <x:c r="AK391" s="36" t="str">
        <x:v>FaithPath repo develop/v4 · data/bibles/l1912/JHN.json · data/bibles/otb/JHN.json</x:v>
      </x:c>
      <x:c r="AL391" t="str">
        <x:v>JA</x:v>
      </x:c>
    </x:row>
    <x:row r="392">
      <x:c r="A392" t="str">
        <x:v>FP-0651</x:v>
      </x:c>
      <x:c r="B392" t="str">
        <x:v>JHN</x:v>
      </x:c>
      <x:c r="C392" t="str">
        <x:v>Johannes</x:v>
      </x:c>
      <x:c r="D392" t="n">
        <x:v>11</x:v>
      </x:c>
      <x:c r="E392" t="n">
        <x:v>1</x:v>
      </x:c>
      <x:c r="F392" t="str">
        <x:v>JHN-011</x:v>
      </x:c>
      <x:c r="G392" t="n">
        <x:v>79</x:v>
      </x:c>
      <x:c r="H392" t="str">
        <x:v>CQ-A04</x:v>
      </x:c>
      <x:c r="I392" s="36" t="str">
        <x:v>Welche dieser Aussagen stammt aus Johannes 11?</x:v>
      </x:c>
      <x:c r="J392" s="36" t="str"/>
      <x:c r="K392" s="36" t="str"/>
      <x:c r="L392" s="36" t="str">
        <x:v>REPO_VERIFIZIERT_FRAGEFORM</x:v>
      </x:c>
      <x:c r="M392" s="36" t="str">
        <x:v>ERSETZEN</x:v>
      </x:c>
      <x:c r="N392" s="36" t="str">
        <x:v>REPETITIVE_FRAGEFORM</x:v>
      </x:c>
      <x:c r="O392" s="36" t="str">
        <x:v>REINE_WIEDERERKENNUNG</x:v>
      </x:c>
      <x:c r="P392" s="36" t="str">
        <x:v>GESCHEHEN</x:v>
      </x:c>
      <x:c r="Q392" s="36" t="str">
        <x:v>Wie reagiert Jesus zunächst auf die Nachricht, dass Lazarus krank ist?</x:v>
      </x:c>
      <x:c r="R392" s="36" t="str">
        <x:v>Er bleibt noch zwei Tage an dem Ort, an dem er ist.</x:v>
      </x:c>
      <x:c r="S392" s="36" t="str">
        <x:v>Er reist sofort in derselben Stunde ab.</x:v>
      </x:c>
      <x:c r="T392" s="36" t="str">
        <x:v>Er schickt Petrus allein.</x:v>
      </x:c>
      <x:c r="U392" s="36" t="str">
        <x:v>Er sagt, Lazarus sei nicht krank.</x:v>
      </x:c>
      <x:c r="V392" s="36" t="n">
        <x:v>0</x:v>
      </x:c>
      <x:c r="W392" s="36" t="str">
        <x:v>Er bleibt noch zwei Tage an dem Ort, an dem er ist.</x:v>
      </x:c>
      <x:c r="X392" s="36" t="str">
        <x:v>Johannes 11,1–6</x:v>
      </x:c>
      <x:c r="Y392" s="36" t="str">
        <x:v>Obwohl Jesus Lazarus und seine Schwestern liebt, bleibt er zunächst noch zwei Tage, bevor er nach Judäa geht.</x:v>
      </x:c>
      <x:c r="Z392" s="36" t="str">
        <x:v>JA</x:v>
      </x:c>
      <x:c r="AA392" s="36" t="str">
        <x:v>JA</x:v>
      </x:c>
      <x:c r="AB392" s="36" t="str">
        <x:v>JA</x:v>
      </x:c>
      <x:c r="AC392" s="36" t="str">
        <x:v>JA</x:v>
      </x:c>
      <x:c r="AD392" s="36" t="str">
        <x:v>JA</x:v>
      </x:c>
      <x:c r="AE392" s="36" t="str">
        <x:v>JA</x:v>
      </x:c>
      <x:c r="AF392" s="36" t="str">
        <x:v>JA</x:v>
      </x:c>
      <x:c r="AG392" s="36" t="str">
        <x:v>FREIGEGEBEN</x:v>
      </x:c>
      <x:c r="AH392" s="36" t="str">
        <x:v>GPT-5.6 Sol · Buchprüfung Johannes · L1912/OTB</x:v>
      </x:c>
      <x:c r="AI392" s="36" t="str">
        <x:v>FREIGEGEBEN</x:v>
      </x:c>
      <x:c r="AJ392" s="36" t="str">
        <x:v>Johannes 11: repetitive Wiedererkennungsfrage durch GESCHEHEN-Frage ersetzt.</x:v>
      </x:c>
      <x:c r="AK392" s="36" t="str">
        <x:v>FaithPath repo develop/v4 · data/bibles/l1912/JHN.json · data/bibles/otb/JHN.json</x:v>
      </x:c>
      <x:c r="AL392" t="str">
        <x:v>JA</x:v>
      </x:c>
    </x:row>
    <x:row r="393">
      <x:c r="A393" t="str">
        <x:v>FP-0652</x:v>
      </x:c>
      <x:c r="B393" t="str">
        <x:v>JHN</x:v>
      </x:c>
      <x:c r="C393" t="str">
        <x:v>Johannes</x:v>
      </x:c>
      <x:c r="D393" t="n">
        <x:v>11</x:v>
      </x:c>
      <x:c r="E393" t="n">
        <x:v>2</x:v>
      </x:c>
      <x:c r="F393" t="str">
        <x:v>JHN-011</x:v>
      </x:c>
      <x:c r="G393" t="n">
        <x:v>79</x:v>
      </x:c>
      <x:c r="H393" t="str">
        <x:v>CQ-A04</x:v>
      </x:c>
      <x:c r="I393" s="36" t="str">
        <x:v>Welche dieser Aussagen stammt aus Johannes 11?</x:v>
      </x:c>
      <x:c r="J393" s="36" t="str"/>
      <x:c r="K393" s="36" t="str"/>
      <x:c r="L393" s="36" t="str">
        <x:v>REPO_VERIFIZIERT_FRAGEFORM</x:v>
      </x:c>
      <x:c r="M393" s="36" t="str">
        <x:v>ERSETZEN</x:v>
      </x:c>
      <x:c r="N393" s="36" t="str">
        <x:v>REPETITIVE_FRAGEFORM</x:v>
      </x:c>
      <x:c r="O393" s="36" t="str">
        <x:v>REINE_WIEDERERKENNUNG</x:v>
      </x:c>
      <x:c r="P393" s="36" t="str">
        <x:v>KERNAUSSAGE</x:v>
      </x:c>
      <x:c r="Q393" s="36" t="str">
        <x:v>Was sagt Jesus zu Martha über sich selbst?</x:v>
      </x:c>
      <x:c r="R393" s="36" t="str">
        <x:v>Ich bin nur ein Lehrer.</x:v>
      </x:c>
      <x:c r="S393" s="36" t="str">
        <x:v>Ich bin die Auferstehung und das Leben.</x:v>
      </x:c>
      <x:c r="T393" s="36" t="str">
        <x:v>Ich bin der neue Mose.</x:v>
      </x:c>
      <x:c r="U393" s="36" t="str">
        <x:v>Ich bin der Tempelpriester.</x:v>
      </x:c>
      <x:c r="V393" s="36" t="n">
        <x:v>1</x:v>
      </x:c>
      <x:c r="W393" s="36" t="str">
        <x:v>Ich bin die Auferstehung und das Leben.</x:v>
      </x:c>
      <x:c r="X393" s="36" t="str">
        <x:v>Johannes 11,23–27</x:v>
      </x:c>
      <x:c r="Y393" s="36" t="str">
        <x:v>Jesus richtet Marthas Hoffnung nicht nur auf einen zukünftigen Tag, sondern auf seine eigene Person als Auferstehung und Leben.</x:v>
      </x:c>
      <x:c r="Z393" s="36" t="str">
        <x:v>JA</x:v>
      </x:c>
      <x:c r="AA393" s="36" t="str">
        <x:v>JA</x:v>
      </x:c>
      <x:c r="AB393" s="36" t="str">
        <x:v>JA</x:v>
      </x:c>
      <x:c r="AC393" s="36" t="str">
        <x:v>JA</x:v>
      </x:c>
      <x:c r="AD393" s="36" t="str">
        <x:v>JA</x:v>
      </x:c>
      <x:c r="AE393" s="36" t="str">
        <x:v>JA</x:v>
      </x:c>
      <x:c r="AF393" s="36" t="str">
        <x:v>JA</x:v>
      </x:c>
      <x:c r="AG393" s="36" t="str">
        <x:v>FREIGEGEBEN</x:v>
      </x:c>
      <x:c r="AH393" s="36" t="str">
        <x:v>GPT-5.6 Sol · Buchprüfung Johannes · L1912/OTB</x:v>
      </x:c>
      <x:c r="AI393" s="36" t="str">
        <x:v>FREIGEGEBEN</x:v>
      </x:c>
      <x:c r="AJ393" s="36" t="str">
        <x:v>Johannes 11: repetitive Wiedererkennungsfrage durch KERNAUSSAGE-Frage ersetzt.</x:v>
      </x:c>
      <x:c r="AK393" s="36" t="str">
        <x:v>FaithPath repo develop/v4 · data/bibles/l1912/JHN.json · data/bibles/otb/JHN.json</x:v>
      </x:c>
      <x:c r="AL393" t="str">
        <x:v>JA</x:v>
      </x:c>
    </x:row>
    <x:row r="394">
      <x:c r="A394" t="str">
        <x:v>FP-0653</x:v>
      </x:c>
      <x:c r="B394" t="str">
        <x:v>JHN</x:v>
      </x:c>
      <x:c r="C394" t="str">
        <x:v>Johannes</x:v>
      </x:c>
      <x:c r="D394" t="n">
        <x:v>11</x:v>
      </x:c>
      <x:c r="E394" t="n">
        <x:v>3</x:v>
      </x:c>
      <x:c r="F394" t="str">
        <x:v>JHN-011</x:v>
      </x:c>
      <x:c r="G394" t="n">
        <x:v>79</x:v>
      </x:c>
      <x:c r="H394" t="str">
        <x:v>CQ-A04</x:v>
      </x:c>
      <x:c r="I394" s="36" t="str">
        <x:v>Welche dieser Aussagen stammt aus Johannes 11?</x:v>
      </x:c>
      <x:c r="J394" s="36" t="str"/>
      <x:c r="K394" s="36" t="str"/>
      <x:c r="L394" s="36" t="str">
        <x:v>REPO_VERIFIZIERT_FRAGEFORM</x:v>
      </x:c>
      <x:c r="M394" s="36" t="str">
        <x:v>ERSETZEN</x:v>
      </x:c>
      <x:c r="N394" s="36" t="str">
        <x:v>REPETITIVE_FRAGEFORM</x:v>
      </x:c>
      <x:c r="O394" s="36" t="str">
        <x:v>REINE_WIEDERERKENNUNG</x:v>
      </x:c>
      <x:c r="P394" s="36" t="str">
        <x:v>GESCHEHEN</x:v>
      </x:c>
      <x:c r="Q394" s="36" t="str">
        <x:v>Wie reagiert Jesus, als er Maria weinen sieht und die Trauer der Menschen wahrnimmt?</x:v>
      </x:c>
      <x:c r="R394" s="36" t="str">
        <x:v>Er weist alle Trauer zurück.</x:v>
      </x:c>
      <x:c r="S394" s="36" t="str">
        <x:v>Er verlässt Bethanien.</x:v>
      </x:c>
      <x:c r="T394" s="36" t="str">
        <x:v>Er ist innerlich bewegt und weint.</x:v>
      </x:c>
      <x:c r="U394" s="36" t="str">
        <x:v>Er beginnt sofort eine lange Rede.</x:v>
      </x:c>
      <x:c r="V394" s="36" t="n">
        <x:v>2</x:v>
      </x:c>
      <x:c r="W394" s="36" t="str">
        <x:v>Er ist innerlich bewegt und weint.</x:v>
      </x:c>
      <x:c r="X394" s="36" t="str">
        <x:v>Johannes 11,32–35</x:v>
      </x:c>
      <x:c r="Y394" s="36" t="str">
        <x:v>Johannes beschreibt Jesu tiefe Bewegung angesichts der Trauer und hält ausdrücklich fest: Jesus weinte.</x:v>
      </x:c>
      <x:c r="Z394" s="36" t="str">
        <x:v>JA</x:v>
      </x:c>
      <x:c r="AA394" s="36" t="str">
        <x:v>JA</x:v>
      </x:c>
      <x:c r="AB394" s="36" t="str">
        <x:v>JA</x:v>
      </x:c>
      <x:c r="AC394" s="36" t="str">
        <x:v>JA</x:v>
      </x:c>
      <x:c r="AD394" s="36" t="str">
        <x:v>JA</x:v>
      </x:c>
      <x:c r="AE394" s="36" t="str">
        <x:v>JA</x:v>
      </x:c>
      <x:c r="AF394" s="36" t="str">
        <x:v>JA</x:v>
      </x:c>
      <x:c r="AG394" s="36" t="str">
        <x:v>FREIGEGEBEN</x:v>
      </x:c>
      <x:c r="AH394" s="36" t="str">
        <x:v>GPT-5.6 Sol · Buchprüfung Johannes · L1912/OTB</x:v>
      </x:c>
      <x:c r="AI394" s="36" t="str">
        <x:v>FREIGEGEBEN</x:v>
      </x:c>
      <x:c r="AJ394" s="36" t="str">
        <x:v>Johannes 11: repetitive Wiedererkennungsfrage durch GESCHEHEN-Frage ersetzt.</x:v>
      </x:c>
      <x:c r="AK394" s="36" t="str">
        <x:v>FaithPath repo develop/v4 · data/bibles/l1912/JHN.json · data/bibles/otb/JHN.json</x:v>
      </x:c>
      <x:c r="AL394" t="str">
        <x:v>JA</x:v>
      </x:c>
    </x:row>
    <x:row r="395">
      <x:c r="A395" t="str">
        <x:v>FP-0654</x:v>
      </x:c>
      <x:c r="B395" t="str">
        <x:v>JHN</x:v>
      </x:c>
      <x:c r="C395" t="str">
        <x:v>Johannes</x:v>
      </x:c>
      <x:c r="D395" t="n">
        <x:v>11</x:v>
      </x:c>
      <x:c r="E395" t="n">
        <x:v>4</x:v>
      </x:c>
      <x:c r="F395" t="str">
        <x:v>JHN-011</x:v>
      </x:c>
      <x:c r="G395" t="n">
        <x:v>79</x:v>
      </x:c>
      <x:c r="H395" t="str">
        <x:v>CQ-A04</x:v>
      </x:c>
      <x:c r="I395" s="36" t="str">
        <x:v>Welche dieser Aussagen stammt aus Johannes 11?</x:v>
      </x:c>
      <x:c r="J395" s="36" t="str"/>
      <x:c r="K395" s="36" t="str"/>
      <x:c r="L395" s="36" t="str">
        <x:v>REPO_VERIFIZIERT_FRAGEFORM</x:v>
      </x:c>
      <x:c r="M395" s="36" t="str">
        <x:v>ERSETZEN</x:v>
      </x:c>
      <x:c r="N395" s="36" t="str">
        <x:v>REPETITIVE_FRAGEFORM</x:v>
      </x:c>
      <x:c r="O395" s="36" t="str">
        <x:v>REINE_WIEDERERKENNUNG</x:v>
      </x:c>
      <x:c r="P395" s="36" t="str">
        <x:v>GESCHEHEN</x:v>
      </x:c>
      <x:c r="Q395" s="36" t="str">
        <x:v>Was ruft Jesus vor dem Grab des Lazarus?</x:v>
      </x:c>
      <x:c r="R395" s="36" t="str">
        <x:v>Martha, öffne das Grab!</x:v>
      </x:c>
      <x:c r="S395" s="36" t="str">
        <x:v>Petrus, geh hinein!</x:v>
      </x:c>
      <x:c r="T395" s="36" t="str">
        <x:v>Alle sollen das Grab verlassen!</x:v>
      </x:c>
      <x:c r="U395" s="36" t="str">
        <x:v>Lazarus, komm heraus!</x:v>
      </x:c>
      <x:c r="V395" s="36" t="n">
        <x:v>3</x:v>
      </x:c>
      <x:c r="W395" s="36" t="str">
        <x:v>Lazarus, komm heraus!</x:v>
      </x:c>
      <x:c r="X395" s="36" t="str">
        <x:v>Johannes 11,38–44</x:v>
      </x:c>
      <x:c r="Y395" s="36" t="str">
        <x:v>Jesus lässt den Stein wegnehmen und ruft Lazarus aus dem Grab; Lazarus kommt heraus.</x:v>
      </x:c>
      <x:c r="Z395" s="36" t="str">
        <x:v>JA</x:v>
      </x:c>
      <x:c r="AA395" s="36" t="str">
        <x:v>JA</x:v>
      </x:c>
      <x:c r="AB395" s="36" t="str">
        <x:v>JA</x:v>
      </x:c>
      <x:c r="AC395" s="36" t="str">
        <x:v>JA</x:v>
      </x:c>
      <x:c r="AD395" s="36" t="str">
        <x:v>JA</x:v>
      </x:c>
      <x:c r="AE395" s="36" t="str">
        <x:v>JA</x:v>
      </x:c>
      <x:c r="AF395" s="36" t="str">
        <x:v>JA</x:v>
      </x:c>
      <x:c r="AG395" s="36" t="str">
        <x:v>FREIGEGEBEN</x:v>
      </x:c>
      <x:c r="AH395" s="36" t="str">
        <x:v>GPT-5.6 Sol · Buchprüfung Johannes · L1912/OTB</x:v>
      </x:c>
      <x:c r="AI395" s="36" t="str">
        <x:v>FREIGEGEBEN</x:v>
      </x:c>
      <x:c r="AJ395" s="36" t="str">
        <x:v>Johannes 11: repetitive Wiedererkennungsfrage durch GESCHEHEN-Frage ersetzt.</x:v>
      </x:c>
      <x:c r="AK395" s="36" t="str">
        <x:v>FaithPath repo develop/v4 · data/bibles/l1912/JHN.json · data/bibles/otb/JHN.json</x:v>
      </x:c>
      <x:c r="AL395" t="str">
        <x:v>JA</x:v>
      </x:c>
    </x:row>
    <x:row r="396">
      <x:c r="A396" t="str">
        <x:v>FP-0655</x:v>
      </x:c>
      <x:c r="B396" t="str">
        <x:v>JHN</x:v>
      </x:c>
      <x:c r="C396" t="str">
        <x:v>Johannes</x:v>
      </x:c>
      <x:c r="D396" t="n">
        <x:v>11</x:v>
      </x:c>
      <x:c r="E396" t="n">
        <x:v>5</x:v>
      </x:c>
      <x:c r="F396" t="str">
        <x:v>JHN-011</x:v>
      </x:c>
      <x:c r="G396" t="n">
        <x:v>79</x:v>
      </x:c>
      <x:c r="H396" t="str">
        <x:v>CQ-A04</x:v>
      </x:c>
      <x:c r="I396" s="36" t="str">
        <x:v>Welche dieser Aussagen stammt aus Johannes 11?</x:v>
      </x:c>
      <x:c r="J396" s="36" t="str"/>
      <x:c r="K396" s="36" t="str"/>
      <x:c r="L396" s="36" t="str">
        <x:v>REPO_VERIFIZIERT_FRAGEFORM</x:v>
      </x:c>
      <x:c r="M396" s="36" t="str">
        <x:v>ERSETZEN</x:v>
      </x:c>
      <x:c r="N396" s="36" t="str">
        <x:v>REPETITIVE_FRAGEFORM</x:v>
      </x:c>
      <x:c r="O396" s="36" t="str">
        <x:v>REINE_WIEDERERKENNUNG</x:v>
      </x:c>
      <x:c r="P396" s="36" t="str">
        <x:v>ZUSAMMENHANG</x:v>
      </x:c>
      <x:c r="Q396" s="36" t="str">
        <x:v>Wie reagieren die führenden Gegner nach der Auferweckung des Lazarus?</x:v>
      </x:c>
      <x:c r="R396" s="36" t="str">
        <x:v>Sie beraten im Hohen Rat und fassen schließlich den Entschluss, Jesus zu töten.</x:v>
      </x:c>
      <x:c r="S396" s="36" t="str">
        <x:v>Sie glauben alle sofort an Jesus.</x:v>
      </x:c>
      <x:c r="T396" s="36" t="str">
        <x:v>Sie verlassen Jerusalem.</x:v>
      </x:c>
      <x:c r="U396" s="36" t="str">
        <x:v>Sie ernennen Lazarus zum Priester.</x:v>
      </x:c>
      <x:c r="V396" s="36" t="n">
        <x:v>0</x:v>
      </x:c>
      <x:c r="W396" s="36" t="str">
        <x:v>Sie beraten im Hohen Rat und fassen schließlich den Entschluss, Jesus zu töten.</x:v>
      </x:c>
      <x:c r="X396" s="36" t="str">
        <x:v>Johannes 11,45–53</x:v>
      </x:c>
      <x:c r="Y396" s="36" t="str">
        <x:v>Die Zeichen Jesu führen nicht nur zu Glauben, sondern auch zu verschärftem Widerstand; der Rat beschließt, Jesus zu töten.</x:v>
      </x:c>
      <x:c r="Z396" s="36" t="str">
        <x:v>JA</x:v>
      </x:c>
      <x:c r="AA396" s="36" t="str">
        <x:v>JA</x:v>
      </x:c>
      <x:c r="AB396" s="36" t="str">
        <x:v>JA</x:v>
      </x:c>
      <x:c r="AC396" s="36" t="str">
        <x:v>JA</x:v>
      </x:c>
      <x:c r="AD396" s="36" t="str">
        <x:v>JA</x:v>
      </x:c>
      <x:c r="AE396" s="36" t="str">
        <x:v>JA</x:v>
      </x:c>
      <x:c r="AF396" s="36" t="str">
        <x:v>JA</x:v>
      </x:c>
      <x:c r="AG396" s="36" t="str">
        <x:v>FREIGEGEBEN</x:v>
      </x:c>
      <x:c r="AH396" s="36" t="str">
        <x:v>GPT-5.6 Sol · Buchprüfung Johannes · L1912/OTB</x:v>
      </x:c>
      <x:c r="AI396" s="36" t="str">
        <x:v>FREIGEGEBEN</x:v>
      </x:c>
      <x:c r="AJ396" s="36" t="str">
        <x:v>Johannes 11: repetitive Wiedererkennungsfrage durch ZUSAMMENHANG-Frage ersetzt.</x:v>
      </x:c>
      <x:c r="AK396" s="36" t="str">
        <x:v>FaithPath repo develop/v4 · data/bibles/l1912/JHN.json · data/bibles/otb/JHN.json</x:v>
      </x:c>
      <x:c r="AL396" t="str">
        <x:v>JA</x:v>
      </x:c>
    </x:row>
    <x:row r="397">
      <x:c r="A397" t="str">
        <x:v>FP-0656</x:v>
      </x:c>
      <x:c r="B397" t="str">
        <x:v>JHN</x:v>
      </x:c>
      <x:c r="C397" t="str">
        <x:v>Johannes</x:v>
      </x:c>
      <x:c r="D397" t="n">
        <x:v>12</x:v>
      </x:c>
      <x:c r="E397" t="n">
        <x:v>1</x:v>
      </x:c>
      <x:c r="F397" t="str">
        <x:v>JHN-012</x:v>
      </x:c>
      <x:c r="G397" t="n">
        <x:v>80</x:v>
      </x:c>
      <x:c r="H397" t="str">
        <x:v>CQ-A04</x:v>
      </x:c>
      <x:c r="I397" s="36" t="str">
        <x:v>Welche dieser Aussagen stammt aus Johannes 12?</x:v>
      </x:c>
      <x:c r="J397" s="36" t="str"/>
      <x:c r="K397" s="36" t="str"/>
      <x:c r="L397" s="36" t="str">
        <x:v>REPO_VERIFIZIERT_FRAGEFORM</x:v>
      </x:c>
      <x:c r="M397" s="36" t="str">
        <x:v>ERSETZEN</x:v>
      </x:c>
      <x:c r="N397" s="36" t="str">
        <x:v>REPETITIVE_FRAGEFORM</x:v>
      </x:c>
      <x:c r="O397" s="36" t="str">
        <x:v>REINE_WIEDERERKENNUNG</x:v>
      </x:c>
      <x:c r="P397" s="36" t="str">
        <x:v>GESCHEHEN</x:v>
      </x:c>
      <x:c r="Q397" s="36" t="str">
        <x:v>Was tut Maria in Bethanien für Jesus?</x:v>
      </x:c>
      <x:c r="R397" s="36" t="str">
        <x:v>Sie schenkt ihm einen Mantel.</x:v>
      </x:c>
      <x:c r="S397" s="36" t="str">
        <x:v>Sie salbt seine Füße mit kostbarem Öl und trocknet sie mit ihrem Haar.</x:v>
      </x:c>
      <x:c r="T397" s="36" t="str">
        <x:v>Sie wäscht die Füße der Jünger.</x:v>
      </x:c>
      <x:c r="U397" s="36" t="str">
        <x:v>Sie bringt ihn zum Tempel.</x:v>
      </x:c>
      <x:c r="V397" s="36" t="n">
        <x:v>1</x:v>
      </x:c>
      <x:c r="W397" s="36" t="str">
        <x:v>Sie salbt seine Füße mit kostbarem Öl und trocknet sie mit ihrem Haar.</x:v>
      </x:c>
      <x:c r="X397" s="36" t="str">
        <x:v>Johannes 12,1–8</x:v>
      </x:c>
      <x:c r="Y397" s="36" t="str">
        <x:v>Maria salbt Jesu Füße mit kostbarer Narde; Jesus deutet dies im Blick auf sein Begräbnis.</x:v>
      </x:c>
      <x:c r="Z397" s="36" t="str">
        <x:v>JA</x:v>
      </x:c>
      <x:c r="AA397" s="36" t="str">
        <x:v>JA</x:v>
      </x:c>
      <x:c r="AB397" s="36" t="str">
        <x:v>JA</x:v>
      </x:c>
      <x:c r="AC397" s="36" t="str">
        <x:v>JA</x:v>
      </x:c>
      <x:c r="AD397" s="36" t="str">
        <x:v>JA</x:v>
      </x:c>
      <x:c r="AE397" s="36" t="str">
        <x:v>JA</x:v>
      </x:c>
      <x:c r="AF397" s="36" t="str">
        <x:v>JA</x:v>
      </x:c>
      <x:c r="AG397" s="36" t="str">
        <x:v>FREIGEGEBEN</x:v>
      </x:c>
      <x:c r="AH397" s="36" t="str">
        <x:v>GPT-5.6 Sol · Buchprüfung Johannes · L1912/OTB</x:v>
      </x:c>
      <x:c r="AI397" s="36" t="str">
        <x:v>FREIGEGEBEN</x:v>
      </x:c>
      <x:c r="AJ397" s="36" t="str">
        <x:v>Johannes 12: repetitive Wiedererkennungsfrage durch GESCHEHEN-Frage ersetzt.</x:v>
      </x:c>
      <x:c r="AK397" s="36" t="str">
        <x:v>FaithPath repo develop/v4 · data/bibles/l1912/JHN.json · data/bibles/otb/JHN.json</x:v>
      </x:c>
      <x:c r="AL397" t="str">
        <x:v>JA</x:v>
      </x:c>
    </x:row>
    <x:row r="398">
      <x:c r="A398" t="str">
        <x:v>FP-0657</x:v>
      </x:c>
      <x:c r="B398" t="str">
        <x:v>JHN</x:v>
      </x:c>
      <x:c r="C398" t="str">
        <x:v>Johannes</x:v>
      </x:c>
      <x:c r="D398" t="n">
        <x:v>12</x:v>
      </x:c>
      <x:c r="E398" t="n">
        <x:v>2</x:v>
      </x:c>
      <x:c r="F398" t="str">
        <x:v>JHN-012</x:v>
      </x:c>
      <x:c r="G398" t="n">
        <x:v>80</x:v>
      </x:c>
      <x:c r="H398" t="str">
        <x:v>CQ-A04</x:v>
      </x:c>
      <x:c r="I398" s="36" t="str">
        <x:v>Welche dieser Aussagen stammt aus Johannes 12?</x:v>
      </x:c>
      <x:c r="J398" s="36" t="str"/>
      <x:c r="K398" s="36" t="str"/>
      <x:c r="L398" s="36" t="str">
        <x:v>REPO_VERIFIZIERT_FRAGEFORM</x:v>
      </x:c>
      <x:c r="M398" s="36" t="str">
        <x:v>ERSETZEN</x:v>
      </x:c>
      <x:c r="N398" s="36" t="str">
        <x:v>REPETITIVE_FRAGEFORM</x:v>
      </x:c>
      <x:c r="O398" s="36" t="str">
        <x:v>REINE_WIEDERERKENNUNG</x:v>
      </x:c>
      <x:c r="P398" s="36" t="str">
        <x:v>GESCHEHEN</x:v>
      </x:c>
      <x:c r="Q398" s="36" t="str">
        <x:v>Wie wird Jesus bei seinem Einzug in Jerusalem empfangen?</x:v>
      </x:c>
      <x:c r="R398" s="36" t="str">
        <x:v>Die Stadt bleibt völlig still.</x:v>
      </x:c>
      <x:c r="S398" s="36" t="str">
        <x:v>Nur die Priester empfangen ihn.</x:v>
      </x:c>
      <x:c r="T398" s="36" t="str">
        <x:v>Die Menge nimmt Palmzweige und ruft ihm als König Israels zu.</x:v>
      </x:c>
      <x:c r="U398" s="36" t="str">
        <x:v>Römische Soldaten krönen ihn.</x:v>
      </x:c>
      <x:c r="V398" s="36" t="n">
        <x:v>2</x:v>
      </x:c>
      <x:c r="W398" s="36" t="str">
        <x:v>Die Menge nimmt Palmzweige und ruft ihm als König Israels zu.</x:v>
      </x:c>
      <x:c r="X398" s="36" t="str">
        <x:v>Johannes 12,12–15</x:v>
      </x:c>
      <x:c r="Y398" s="36" t="str">
        <x:v>Die Menge begrüßt Jesus mit Palmzweigen und dem Ruf nach dem kommenden König Israels.</x:v>
      </x:c>
      <x:c r="Z398" s="36" t="str">
        <x:v>JA</x:v>
      </x:c>
      <x:c r="AA398" s="36" t="str">
        <x:v>JA</x:v>
      </x:c>
      <x:c r="AB398" s="36" t="str">
        <x:v>JA</x:v>
      </x:c>
      <x:c r="AC398" s="36" t="str">
        <x:v>JA</x:v>
      </x:c>
      <x:c r="AD398" s="36" t="str">
        <x:v>JA</x:v>
      </x:c>
      <x:c r="AE398" s="36" t="str">
        <x:v>JA</x:v>
      </x:c>
      <x:c r="AF398" s="36" t="str">
        <x:v>JA</x:v>
      </x:c>
      <x:c r="AG398" s="36" t="str">
        <x:v>FREIGEGEBEN</x:v>
      </x:c>
      <x:c r="AH398" s="36" t="str">
        <x:v>GPT-5.6 Sol · Buchprüfung Johannes · L1912/OTB</x:v>
      </x:c>
      <x:c r="AI398" s="36" t="str">
        <x:v>FREIGEGEBEN</x:v>
      </x:c>
      <x:c r="AJ398" s="36" t="str">
        <x:v>Johannes 12: repetitive Wiedererkennungsfrage durch GESCHEHEN-Frage ersetzt.</x:v>
      </x:c>
      <x:c r="AK398" s="36" t="str">
        <x:v>FaithPath repo develop/v4 · data/bibles/l1912/JHN.json · data/bibles/otb/JHN.json</x:v>
      </x:c>
      <x:c r="AL398" t="str">
        <x:v>JA</x:v>
      </x:c>
    </x:row>
    <x:row r="399">
      <x:c r="A399" t="str">
        <x:v>FP-0658</x:v>
      </x:c>
      <x:c r="B399" t="str">
        <x:v>JHN</x:v>
      </x:c>
      <x:c r="C399" t="str">
        <x:v>Johannes</x:v>
      </x:c>
      <x:c r="D399" t="n">
        <x:v>12</x:v>
      </x:c>
      <x:c r="E399" t="n">
        <x:v>3</x:v>
      </x:c>
      <x:c r="F399" t="str">
        <x:v>JHN-012</x:v>
      </x:c>
      <x:c r="G399" t="n">
        <x:v>80</x:v>
      </x:c>
      <x:c r="H399" t="str">
        <x:v>CQ-A04</x:v>
      </x:c>
      <x:c r="I399" s="36" t="str">
        <x:v>Welche dieser Aussagen stammt aus Johannes 12?</x:v>
      </x:c>
      <x:c r="J399" s="36" t="str"/>
      <x:c r="K399" s="36" t="str"/>
      <x:c r="L399" s="36" t="str">
        <x:v>REPO_VERIFIZIERT_FRAGEFORM</x:v>
      </x:c>
      <x:c r="M399" s="36" t="str">
        <x:v>ERSETZEN</x:v>
      </x:c>
      <x:c r="N399" s="36" t="str">
        <x:v>REPETITIVE_FRAGEFORM</x:v>
      </x:c>
      <x:c r="O399" s="36" t="str">
        <x:v>REINE_WIEDERERKENNUNG</x:v>
      </x:c>
      <x:c r="P399" s="36" t="str">
        <x:v>KERNAUSSAGE</x:v>
      </x:c>
      <x:c r="Q399" s="36" t="str">
        <x:v>Welches Bild verwendet Jesus für seinen bevorstehenden Tod und dessen Frucht?</x:v>
      </x:c>
      <x:c r="R399" s="36" t="str">
        <x:v>Ein Licht muss ausgelöscht werden.</x:v>
      </x:c>
      <x:c r="S399" s="36" t="str">
        <x:v>Ein Hirte muss seine Herde verkaufen.</x:v>
      </x:c>
      <x:c r="T399" s="36" t="str">
        <x:v>Ein Haus muss ohne Fundament gebaut werden.</x:v>
      </x:c>
      <x:c r="U399" s="36" t="str">
        <x:v>Das Weizenkorn muss in die Erde fallen und sterben, damit es viel Frucht bringt.</x:v>
      </x:c>
      <x:c r="V399" s="36" t="n">
        <x:v>3</x:v>
      </x:c>
      <x:c r="W399" s="36" t="str">
        <x:v>Das Weizenkorn muss in die Erde fallen und sterben, damit es viel Frucht bringt.</x:v>
      </x:c>
      <x:c r="X399" s="36" t="str">
        <x:v>Johannes 12,23–24</x:v>
      </x:c>
      <x:c r="Y399" s="36" t="str">
        <x:v>Das sterbende Weizenkorn dient Jesus als Bild für den Weg durch den Tod zur Frucht.</x:v>
      </x:c>
      <x:c r="Z399" s="36" t="str">
        <x:v>JA</x:v>
      </x:c>
      <x:c r="AA399" s="36" t="str">
        <x:v>JA</x:v>
      </x:c>
      <x:c r="AB399" s="36" t="str">
        <x:v>JA</x:v>
      </x:c>
      <x:c r="AC399" s="36" t="str">
        <x:v>JA</x:v>
      </x:c>
      <x:c r="AD399" s="36" t="str">
        <x:v>JA</x:v>
      </x:c>
      <x:c r="AE399" s="36" t="str">
        <x:v>JA</x:v>
      </x:c>
      <x:c r="AF399" s="36" t="str">
        <x:v>JA</x:v>
      </x:c>
      <x:c r="AG399" s="36" t="str">
        <x:v>FREIGEGEBEN</x:v>
      </x:c>
      <x:c r="AH399" s="36" t="str">
        <x:v>GPT-5.6 Sol · Buchprüfung Johannes · L1912/OTB</x:v>
      </x:c>
      <x:c r="AI399" s="36" t="str">
        <x:v>FREIGEGEBEN</x:v>
      </x:c>
      <x:c r="AJ399" s="36" t="str">
        <x:v>Johannes 12: repetitive Wiedererkennungsfrage durch KERNAUSSAGE-Frage ersetzt.</x:v>
      </x:c>
      <x:c r="AK399" s="36" t="str">
        <x:v>FaithPath repo develop/v4 · data/bibles/l1912/JHN.json · data/bibles/otb/JHN.json</x:v>
      </x:c>
      <x:c r="AL399" t="str">
        <x:v>JA</x:v>
      </x:c>
    </x:row>
    <x:row r="400">
      <x:c r="A400" t="str">
        <x:v>FP-0659</x:v>
      </x:c>
      <x:c r="B400" t="str">
        <x:v>JHN</x:v>
      </x:c>
      <x:c r="C400" t="str">
        <x:v>Johannes</x:v>
      </x:c>
      <x:c r="D400" t="n">
        <x:v>12</x:v>
      </x:c>
      <x:c r="E400" t="n">
        <x:v>4</x:v>
      </x:c>
      <x:c r="F400" t="str">
        <x:v>JHN-012</x:v>
      </x:c>
      <x:c r="G400" t="n">
        <x:v>80</x:v>
      </x:c>
      <x:c r="H400" t="str">
        <x:v>CQ-A04</x:v>
      </x:c>
      <x:c r="I400" s="36" t="str">
        <x:v>Welche dieser Aussagen stammt aus Johannes 12?</x:v>
      </x:c>
      <x:c r="J400" s="36" t="str"/>
      <x:c r="K400" s="36" t="str"/>
      <x:c r="L400" s="36" t="str">
        <x:v>REPO_VERIFIZIERT_FRAGEFORM</x:v>
      </x:c>
      <x:c r="M400" s="36" t="str">
        <x:v>ERSETZEN</x:v>
      </x:c>
      <x:c r="N400" s="36" t="str">
        <x:v>REPETITIVE_FRAGEFORM</x:v>
      </x:c>
      <x:c r="O400" s="36" t="str">
        <x:v>REINE_WIEDERERKENNUNG</x:v>
      </x:c>
      <x:c r="P400" s="36" t="str">
        <x:v>KERNAUSSAGE</x:v>
      </x:c>
      <x:c r="Q400" s="36" t="str">
        <x:v>Was sagt Jesus über das Licht und die Menschen, die ihm glauben?</x:v>
      </x:c>
      <x:c r="R400" s="36" t="str">
        <x:v>Er ist als Licht in die Welt gekommen, damit Glaubende nicht in der Finsternis bleiben.</x:v>
      </x:c>
      <x:c r="S400" s="36" t="str">
        <x:v>Licht ist nur im Tempel zu finden.</x:v>
      </x:c>
      <x:c r="T400" s="36" t="str">
        <x:v>Nur die Jünger dürfen das Licht sehen.</x:v>
      </x:c>
      <x:c r="U400" s="36" t="str">
        <x:v>Finsternis sei für Glaubende bedeutungslos.</x:v>
      </x:c>
      <x:c r="V400" s="36" t="n">
        <x:v>0</x:v>
      </x:c>
      <x:c r="W400" s="36" t="str">
        <x:v>Er ist als Licht in die Welt gekommen, damit Glaubende nicht in der Finsternis bleiben.</x:v>
      </x:c>
      <x:c r="X400" s="36" t="str">
        <x:v>Johannes 12,35–36; 46</x:v>
      </x:c>
      <x:c r="Y400" s="36" t="str">
        <x:v>Jesus ruft zum Glauben an das Licht auf und erklärt, dass er gekommen ist, Menschen aus der Finsternis zu führen.</x:v>
      </x:c>
      <x:c r="Z400" s="36" t="str">
        <x:v>JA</x:v>
      </x:c>
      <x:c r="AA400" s="36" t="str">
        <x:v>JA</x:v>
      </x:c>
      <x:c r="AB400" s="36" t="str">
        <x:v>JA</x:v>
      </x:c>
      <x:c r="AC400" s="36" t="str">
        <x:v>JA</x:v>
      </x:c>
      <x:c r="AD400" s="36" t="str">
        <x:v>JA</x:v>
      </x:c>
      <x:c r="AE400" s="36" t="str">
        <x:v>JA</x:v>
      </x:c>
      <x:c r="AF400" s="36" t="str">
        <x:v>JA</x:v>
      </x:c>
      <x:c r="AG400" s="36" t="str">
        <x:v>FREIGEGEBEN</x:v>
      </x:c>
      <x:c r="AH400" s="36" t="str">
        <x:v>GPT-5.6 Sol · Buchprüfung Johannes · L1912/OTB</x:v>
      </x:c>
      <x:c r="AI400" s="36" t="str">
        <x:v>FREIGEGEBEN</x:v>
      </x:c>
      <x:c r="AJ400" s="36" t="str">
        <x:v>Johannes 12: repetitive Wiedererkennungsfrage durch KERNAUSSAGE-Frage ersetzt.</x:v>
      </x:c>
      <x:c r="AK400" s="36" t="str">
        <x:v>FaithPath repo develop/v4 · data/bibles/l1912/JHN.json · data/bibles/otb/JHN.json</x:v>
      </x:c>
      <x:c r="AL400" t="str">
        <x:v>JA</x:v>
      </x:c>
    </x:row>
    <x:row r="401">
      <x:c r="A401" t="str">
        <x:v>FP-0660</x:v>
      </x:c>
      <x:c r="B401" t="str">
        <x:v>JHN</x:v>
      </x:c>
      <x:c r="C401" t="str">
        <x:v>Johannes</x:v>
      </x:c>
      <x:c r="D401" t="n">
        <x:v>12</x:v>
      </x:c>
      <x:c r="E401" t="n">
        <x:v>5</x:v>
      </x:c>
      <x:c r="F401" t="str">
        <x:v>JHN-012</x:v>
      </x:c>
      <x:c r="G401" t="n">
        <x:v>80</x:v>
      </x:c>
      <x:c r="H401" t="str">
        <x:v>CQ-A04</x:v>
      </x:c>
      <x:c r="I401" s="36" t="str">
        <x:v>Welche dieser Aussagen stammt aus Johannes 12?</x:v>
      </x:c>
      <x:c r="J401" s="36" t="str"/>
      <x:c r="K401" s="36" t="str"/>
      <x:c r="L401" s="36" t="str">
        <x:v>REPO_VERIFIZIERT_FRAGEFORM</x:v>
      </x:c>
      <x:c r="M401" s="36" t="str">
        <x:v>ERSETZEN</x:v>
      </x:c>
      <x:c r="N401" s="36" t="str">
        <x:v>REPETITIVE_FRAGEFORM</x:v>
      </x:c>
      <x:c r="O401" s="36" t="str">
        <x:v>REINE_WIEDERERKENNUNG</x:v>
      </x:c>
      <x:c r="P401" s="36" t="str">
        <x:v>ZUSAMMENHANG</x:v>
      </x:c>
      <x:c r="Q401" s="36" t="str">
        <x:v>Warum bekennen manche führende Menschen ihren Glauben an Jesus nicht öffentlich?</x:v>
      </x:c>
      <x:c r="R401" s="36" t="str">
        <x:v>Sie kennen Jesus nicht.</x:v>
      </x:c>
      <x:c r="S401" s="36" t="str">
        <x:v>Sie fürchten, aus der Synagoge ausgeschlossen zu werden, und lieben menschliche Ehre.</x:v>
      </x:c>
      <x:c r="T401" s="36" t="str">
        <x:v>Sie wohnen nicht in Jerusalem.</x:v>
      </x:c>
      <x:c r="U401" s="36" t="str">
        <x:v>Sie warten auf Johannes den Täufer.</x:v>
      </x:c>
      <x:c r="V401" s="36" t="n">
        <x:v>1</x:v>
      </x:c>
      <x:c r="W401" s="36" t="str">
        <x:v>Sie fürchten, aus der Synagoge ausgeschlossen zu werden, und lieben menschliche Ehre.</x:v>
      </x:c>
      <x:c r="X401" s="36" t="str">
        <x:v>Johannes 12,42–43</x:v>
      </x:c>
      <x:c r="Y401" s="36" t="str">
        <x:v>Johannes beschreibt heimlichen Glauben, der durch Menschenfurcht und die Liebe zu menschlicher Anerkennung zurückgehalten wird.</x:v>
      </x:c>
      <x:c r="Z401" s="36" t="str">
        <x:v>JA</x:v>
      </x:c>
      <x:c r="AA401" s="36" t="str">
        <x:v>JA</x:v>
      </x:c>
      <x:c r="AB401" s="36" t="str">
        <x:v>JA</x:v>
      </x:c>
      <x:c r="AC401" s="36" t="str">
        <x:v>JA</x:v>
      </x:c>
      <x:c r="AD401" s="36" t="str">
        <x:v>JA</x:v>
      </x:c>
      <x:c r="AE401" s="36" t="str">
        <x:v>JA</x:v>
      </x:c>
      <x:c r="AF401" s="36" t="str">
        <x:v>JA</x:v>
      </x:c>
      <x:c r="AG401" s="36" t="str">
        <x:v>FREIGEGEBEN</x:v>
      </x:c>
      <x:c r="AH401" s="36" t="str">
        <x:v>GPT-5.6 Sol · Buchprüfung Johannes · L1912/OTB</x:v>
      </x:c>
      <x:c r="AI401" s="36" t="str">
        <x:v>FREIGEGEBEN</x:v>
      </x:c>
      <x:c r="AJ401" s="36" t="str">
        <x:v>Johannes 12: repetitive Wiedererkennungsfrage durch ZUSAMMENHANG-Frage ersetzt.</x:v>
      </x:c>
      <x:c r="AK401" s="36" t="str">
        <x:v>FaithPath repo develop/v4 · data/bibles/l1912/JHN.json · data/bibles/otb/JHN.json</x:v>
      </x:c>
      <x:c r="AL401" t="str">
        <x:v>JA</x:v>
      </x:c>
    </x:row>
    <x:row r="402">
      <x:c r="A402" t="str">
        <x:v>FP-0661</x:v>
      </x:c>
      <x:c r="B402" t="str">
        <x:v>JHN</x:v>
      </x:c>
      <x:c r="C402" t="str">
        <x:v>Johannes</x:v>
      </x:c>
      <x:c r="D402" t="n">
        <x:v>13</x:v>
      </x:c>
      <x:c r="E402" t="n">
        <x:v>1</x:v>
      </x:c>
      <x:c r="F402" t="str">
        <x:v>JHN-013</x:v>
      </x:c>
      <x:c r="G402" t="n">
        <x:v>81</x:v>
      </x:c>
      <x:c r="H402" t="str">
        <x:v>CQ-A05</x:v>
      </x:c>
      <x:c r="I402" s="36" t="str">
        <x:v>Welche dieser Aussagen stammt aus Johannes 13?</x:v>
      </x:c>
      <x:c r="J402" s="36" t="str"/>
      <x:c r="K402" s="36" t="str"/>
      <x:c r="L402" s="36" t="str">
        <x:v>REPO_VERIFIZIERT_FRAGEFORM</x:v>
      </x:c>
      <x:c r="M402" s="36" t="str">
        <x:v>ERSETZEN</x:v>
      </x:c>
      <x:c r="N402" s="36" t="str">
        <x:v>REPETITIVE_FRAGEFORM</x:v>
      </x:c>
      <x:c r="O402" s="36" t="str">
        <x:v>REINE_WIEDERERKENNUNG</x:v>
      </x:c>
      <x:c r="P402" s="36" t="str">
        <x:v>GESCHEHEN</x:v>
      </x:c>
      <x:c r="Q402" s="36" t="str">
        <x:v>Was tut Jesus beim letzten Mahl als Zeichen dienender Liebe?</x:v>
      </x:c>
      <x:c r="R402" s="36" t="str">
        <x:v>Er lässt die Jünger seine Füße waschen.</x:v>
      </x:c>
      <x:c r="S402" s="36" t="str">
        <x:v>Er verteilt Geld an die Menge.</x:v>
      </x:c>
      <x:c r="T402" s="36" t="str">
        <x:v>Er wäscht seinen Jüngern die Füße.</x:v>
      </x:c>
      <x:c r="U402" s="36" t="str">
        <x:v>Er verlässt das Mahl vor allen anderen.</x:v>
      </x:c>
      <x:c r="V402" s="36" t="n">
        <x:v>2</x:v>
      </x:c>
      <x:c r="W402" s="36" t="str">
        <x:v>Er wäscht seinen Jüngern die Füße.</x:v>
      </x:c>
      <x:c r="X402" s="36" t="str">
        <x:v>Johannes 13,3–5</x:v>
      </x:c>
      <x:c r="Y402" s="36" t="str">
        <x:v>Jesus übernimmt die Aufgabe eines Dieners und wäscht den Jüngern die Füße.</x:v>
      </x:c>
      <x:c r="Z402" s="36" t="str">
        <x:v>JA</x:v>
      </x:c>
      <x:c r="AA402" s="36" t="str">
        <x:v>JA</x:v>
      </x:c>
      <x:c r="AB402" s="36" t="str">
        <x:v>JA</x:v>
      </x:c>
      <x:c r="AC402" s="36" t="str">
        <x:v>JA</x:v>
      </x:c>
      <x:c r="AD402" s="36" t="str">
        <x:v>JA</x:v>
      </x:c>
      <x:c r="AE402" s="36" t="str">
        <x:v>JA</x:v>
      </x:c>
      <x:c r="AF402" s="36" t="str">
        <x:v>JA</x:v>
      </x:c>
      <x:c r="AG402" s="36" t="str">
        <x:v>FREIGEGEBEN</x:v>
      </x:c>
      <x:c r="AH402" s="36" t="str">
        <x:v>GPT-5.6 Sol · Buchprüfung Johannes · L1912/OTB</x:v>
      </x:c>
      <x:c r="AI402" s="36" t="str">
        <x:v>FREIGEGEBEN</x:v>
      </x:c>
      <x:c r="AJ402" s="36" t="str">
        <x:v>Johannes 13: repetitive Wiedererkennungsfrage durch GESCHEHEN-Frage ersetzt.</x:v>
      </x:c>
      <x:c r="AK402" s="36" t="str">
        <x:v>FaithPath repo develop/v4 · data/bibles/l1912/JHN.json · data/bibles/otb/JHN.json</x:v>
      </x:c>
      <x:c r="AL402" t="str">
        <x:v>JA</x:v>
      </x:c>
    </x:row>
    <x:row r="403">
      <x:c r="A403" t="str">
        <x:v>FP-0662</x:v>
      </x:c>
      <x:c r="B403" t="str">
        <x:v>JHN</x:v>
      </x:c>
      <x:c r="C403" t="str">
        <x:v>Johannes</x:v>
      </x:c>
      <x:c r="D403" t="n">
        <x:v>13</x:v>
      </x:c>
      <x:c r="E403" t="n">
        <x:v>2</x:v>
      </x:c>
      <x:c r="F403" t="str">
        <x:v>JHN-013</x:v>
      </x:c>
      <x:c r="G403" t="n">
        <x:v>81</x:v>
      </x:c>
      <x:c r="H403" t="str">
        <x:v>CQ-A05</x:v>
      </x:c>
      <x:c r="I403" s="36" t="str">
        <x:v>Welche dieser Aussagen stammt aus Johannes 13?</x:v>
      </x:c>
      <x:c r="J403" s="36" t="str"/>
      <x:c r="K403" s="36" t="str"/>
      <x:c r="L403" s="36" t="str">
        <x:v>REPO_VERIFIZIERT_FRAGEFORM</x:v>
      </x:c>
      <x:c r="M403" s="36" t="str">
        <x:v>ERSETZEN</x:v>
      </x:c>
      <x:c r="N403" s="36" t="str">
        <x:v>REPETITIVE_FRAGEFORM</x:v>
      </x:c>
      <x:c r="O403" s="36" t="str">
        <x:v>REINE_WIEDERERKENNUNG</x:v>
      </x:c>
      <x:c r="P403" s="36" t="str">
        <x:v>KERNAUSSAGE</x:v>
      </x:c>
      <x:c r="Q403" s="36" t="str">
        <x:v>Welche Lehre zieht Jesus aus der Fußwaschung?</x:v>
      </x:c>
      <x:c r="R403" s="36" t="str">
        <x:v>Nur Petrus soll anderen dienen.</x:v>
      </x:c>
      <x:c r="S403" s="36" t="str">
        <x:v>Die Fußwaschung ersetzt jedes andere Gebot.</x:v>
      </x:c>
      <x:c r="T403" s="36" t="str">
        <x:v>Dienst ist nur für Knechte.</x:v>
      </x:c>
      <x:c r="U403" s="36" t="str">
        <x:v>Die Jünger sollen einander dienen, wie er ihnen ein Beispiel gegeben hat.</x:v>
      </x:c>
      <x:c r="V403" s="36" t="n">
        <x:v>3</x:v>
      </x:c>
      <x:c r="W403" s="36" t="str">
        <x:v>Die Jünger sollen einander dienen, wie er ihnen ein Beispiel gegeben hat.</x:v>
      </x:c>
      <x:c r="X403" s="36" t="str">
        <x:v>Johannes 13,12–17</x:v>
      </x:c>
      <x:c r="Y403" s="36" t="str">
        <x:v>Jesus erklärt sein Handeln ausdrücklich als Beispiel für den gegenseitigen Dienst der Jünger.</x:v>
      </x:c>
      <x:c r="Z403" s="36" t="str">
        <x:v>JA</x:v>
      </x:c>
      <x:c r="AA403" s="36" t="str">
        <x:v>JA</x:v>
      </x:c>
      <x:c r="AB403" s="36" t="str">
        <x:v>JA</x:v>
      </x:c>
      <x:c r="AC403" s="36" t="str">
        <x:v>JA</x:v>
      </x:c>
      <x:c r="AD403" s="36" t="str">
        <x:v>JA</x:v>
      </x:c>
      <x:c r="AE403" s="36" t="str">
        <x:v>JA</x:v>
      </x:c>
      <x:c r="AF403" s="36" t="str">
        <x:v>JA</x:v>
      </x:c>
      <x:c r="AG403" s="36" t="str">
        <x:v>FREIGEGEBEN</x:v>
      </x:c>
      <x:c r="AH403" s="36" t="str">
        <x:v>GPT-5.6 Sol · Buchprüfung Johannes · L1912/OTB</x:v>
      </x:c>
      <x:c r="AI403" s="36" t="str">
        <x:v>FREIGEGEBEN</x:v>
      </x:c>
      <x:c r="AJ403" s="36" t="str">
        <x:v>Johannes 13: repetitive Wiedererkennungsfrage durch KERNAUSSAGE-Frage ersetzt.</x:v>
      </x:c>
      <x:c r="AK403" s="36" t="str">
        <x:v>FaithPath repo develop/v4 · data/bibles/l1912/JHN.json · data/bibles/otb/JHN.json</x:v>
      </x:c>
      <x:c r="AL403" t="str">
        <x:v>JA</x:v>
      </x:c>
    </x:row>
    <x:row r="404">
      <x:c r="A404" t="str">
        <x:v>FP-0663</x:v>
      </x:c>
      <x:c r="B404" t="str">
        <x:v>JHN</x:v>
      </x:c>
      <x:c r="C404" t="str">
        <x:v>Johannes</x:v>
      </x:c>
      <x:c r="D404" t="n">
        <x:v>13</x:v>
      </x:c>
      <x:c r="E404" t="n">
        <x:v>3</x:v>
      </x:c>
      <x:c r="F404" t="str">
        <x:v>JHN-013</x:v>
      </x:c>
      <x:c r="G404" t="n">
        <x:v>81</x:v>
      </x:c>
      <x:c r="H404" t="str">
        <x:v>CQ-A05</x:v>
      </x:c>
      <x:c r="I404" s="36" t="str">
        <x:v>Welche dieser Aussagen stammt aus Johannes 13?</x:v>
      </x:c>
      <x:c r="J404" s="36" t="str"/>
      <x:c r="K404" s="36" t="str"/>
      <x:c r="L404" s="36" t="str">
        <x:v>REPO_VERIFIZIERT_FRAGEFORM</x:v>
      </x:c>
      <x:c r="M404" s="36" t="str">
        <x:v>ERSETZEN</x:v>
      </x:c>
      <x:c r="N404" s="36" t="str">
        <x:v>REPETITIVE_FRAGEFORM</x:v>
      </x:c>
      <x:c r="O404" s="36" t="str">
        <x:v>REINE_WIEDERERKENNUNG</x:v>
      </x:c>
      <x:c r="P404" s="36" t="str">
        <x:v>GESCHEHEN</x:v>
      </x:c>
      <x:c r="Q404" s="36" t="str">
        <x:v>Wie kennzeichnet Jesus den, der ihn verraten wird?</x:v>
      </x:c>
      <x:c r="R404" s="36" t="str">
        <x:v>Er gibt Judas den eingetauchten Bissen.</x:v>
      </x:c>
      <x:c r="S404" s="36" t="str">
        <x:v>Er nennt ihn vor allen sofort beim Namen, ohne Zeichen.</x:v>
      </x:c>
      <x:c r="T404" s="36" t="str">
        <x:v>Er schickt Petrus hinaus.</x:v>
      </x:c>
      <x:c r="U404" s="36" t="str">
        <x:v>Er lässt einen Priester entscheiden.</x:v>
      </x:c>
      <x:c r="V404" s="36" t="n">
        <x:v>0</x:v>
      </x:c>
      <x:c r="W404" s="36" t="str">
        <x:v>Er gibt Judas den eingetauchten Bissen.</x:v>
      </x:c>
      <x:c r="X404" s="36" t="str">
        <x:v>Johannes 13,21–30</x:v>
      </x:c>
      <x:c r="Y404" s="36" t="str">
        <x:v>Jesus gibt Judas den Bissen; Judas geht danach hinaus.</x:v>
      </x:c>
      <x:c r="Z404" s="36" t="str">
        <x:v>JA</x:v>
      </x:c>
      <x:c r="AA404" s="36" t="str">
        <x:v>JA</x:v>
      </x:c>
      <x:c r="AB404" s="36" t="str">
        <x:v>JA</x:v>
      </x:c>
      <x:c r="AC404" s="36" t="str">
        <x:v>JA</x:v>
      </x:c>
      <x:c r="AD404" s="36" t="str">
        <x:v>JA</x:v>
      </x:c>
      <x:c r="AE404" s="36" t="str">
        <x:v>JA</x:v>
      </x:c>
      <x:c r="AF404" s="36" t="str">
        <x:v>JA</x:v>
      </x:c>
      <x:c r="AG404" s="36" t="str">
        <x:v>FREIGEGEBEN</x:v>
      </x:c>
      <x:c r="AH404" s="36" t="str">
        <x:v>GPT-5.6 Sol · Buchprüfung Johannes · L1912/OTB</x:v>
      </x:c>
      <x:c r="AI404" s="36" t="str">
        <x:v>FREIGEGEBEN</x:v>
      </x:c>
      <x:c r="AJ404" s="36" t="str">
        <x:v>Johannes 13: repetitive Wiedererkennungsfrage durch GESCHEHEN-Frage ersetzt.</x:v>
      </x:c>
      <x:c r="AK404" s="36" t="str">
        <x:v>FaithPath repo develop/v4 · data/bibles/l1912/JHN.json · data/bibles/otb/JHN.json</x:v>
      </x:c>
      <x:c r="AL404" t="str">
        <x:v>JA</x:v>
      </x:c>
    </x:row>
    <x:row r="405">
      <x:c r="A405" t="str">
        <x:v>FP-0664</x:v>
      </x:c>
      <x:c r="B405" t="str">
        <x:v>JHN</x:v>
      </x:c>
      <x:c r="C405" t="str">
        <x:v>Johannes</x:v>
      </x:c>
      <x:c r="D405" t="n">
        <x:v>13</x:v>
      </x:c>
      <x:c r="E405" t="n">
        <x:v>4</x:v>
      </x:c>
      <x:c r="F405" t="str">
        <x:v>JHN-013</x:v>
      </x:c>
      <x:c r="G405" t="n">
        <x:v>81</x:v>
      </x:c>
      <x:c r="H405" t="str">
        <x:v>CQ-A05</x:v>
      </x:c>
      <x:c r="I405" s="36" t="str">
        <x:v>Welche dieser Aussagen stammt aus Johannes 13?</x:v>
      </x:c>
      <x:c r="J405" s="36" t="str"/>
      <x:c r="K405" s="36" t="str"/>
      <x:c r="L405" s="36" t="str">
        <x:v>REPO_VERIFIZIERT_FRAGEFORM</x:v>
      </x:c>
      <x:c r="M405" s="36" t="str">
        <x:v>ERSETZEN</x:v>
      </x:c>
      <x:c r="N405" s="36" t="str">
        <x:v>REPETITIVE_FRAGEFORM</x:v>
      </x:c>
      <x:c r="O405" s="36" t="str">
        <x:v>REINE_WIEDERERKENNUNG</x:v>
      </x:c>
      <x:c r="P405" s="36" t="str">
        <x:v>KERNAUSSAGE</x:v>
      </x:c>
      <x:c r="Q405" s="36" t="str">
        <x:v>Welches neue Gebot gibt Jesus seinen Jüngern?</x:v>
      </x:c>
      <x:c r="R405" s="36" t="str">
        <x:v>Sie sollen sich voneinander absondern.</x:v>
      </x:c>
      <x:c r="S405" s="36" t="str">
        <x:v>Sie sollen einander lieben, wie er sie geliebt hat.</x:v>
      </x:c>
      <x:c r="T405" s="36" t="str">
        <x:v>Sie sollen nur ihre Familien lieben.</x:v>
      </x:c>
      <x:c r="U405" s="36" t="str">
        <x:v>Sie sollen um Rang und Einfluss kämpfen.</x:v>
      </x:c>
      <x:c r="V405" s="36" t="n">
        <x:v>1</x:v>
      </x:c>
      <x:c r="W405" s="36" t="str">
        <x:v>Sie sollen einander lieben, wie er sie geliebt hat.</x:v>
      </x:c>
      <x:c r="X405" s="36" t="str">
        <x:v>Johannes 13,34–35</x:v>
      </x:c>
      <x:c r="Y405" s="36" t="str">
        <x:v>Die gegenseitige Liebe nach Jesu Vorbild soll zum Erkennungszeichen seiner Jünger werden.</x:v>
      </x:c>
      <x:c r="Z405" s="36" t="str">
        <x:v>JA</x:v>
      </x:c>
      <x:c r="AA405" s="36" t="str">
        <x:v>JA</x:v>
      </x:c>
      <x:c r="AB405" s="36" t="str">
        <x:v>JA</x:v>
      </x:c>
      <x:c r="AC405" s="36" t="str">
        <x:v>JA</x:v>
      </x:c>
      <x:c r="AD405" s="36" t="str">
        <x:v>JA</x:v>
      </x:c>
      <x:c r="AE405" s="36" t="str">
        <x:v>JA</x:v>
      </x:c>
      <x:c r="AF405" s="36" t="str">
        <x:v>JA</x:v>
      </x:c>
      <x:c r="AG405" s="36" t="str">
        <x:v>FREIGEGEBEN</x:v>
      </x:c>
      <x:c r="AH405" s="36" t="str">
        <x:v>GPT-5.6 Sol · Buchprüfung Johannes · L1912/OTB</x:v>
      </x:c>
      <x:c r="AI405" s="36" t="str">
        <x:v>FREIGEGEBEN</x:v>
      </x:c>
      <x:c r="AJ405" s="36" t="str">
        <x:v>Johannes 13: repetitive Wiedererkennungsfrage durch KERNAUSSAGE-Frage ersetzt.</x:v>
      </x:c>
      <x:c r="AK405" s="36" t="str">
        <x:v>FaithPath repo develop/v4 · data/bibles/l1912/JHN.json · data/bibles/otb/JHN.json</x:v>
      </x:c>
      <x:c r="AL405" t="str">
        <x:v>JA</x:v>
      </x:c>
    </x:row>
    <x:row r="406">
      <x:c r="A406" t="str">
        <x:v>FP-0665</x:v>
      </x:c>
      <x:c r="B406" t="str">
        <x:v>JHN</x:v>
      </x:c>
      <x:c r="C406" t="str">
        <x:v>Johannes</x:v>
      </x:c>
      <x:c r="D406" t="n">
        <x:v>13</x:v>
      </x:c>
      <x:c r="E406" t="n">
        <x:v>5</x:v>
      </x:c>
      <x:c r="F406" t="str">
        <x:v>JHN-013</x:v>
      </x:c>
      <x:c r="G406" t="n">
        <x:v>81</x:v>
      </x:c>
      <x:c r="H406" t="str">
        <x:v>CQ-A05</x:v>
      </x:c>
      <x:c r="I406" s="36" t="str">
        <x:v>Welche dieser Aussagen stammt aus Johannes 13?</x:v>
      </x:c>
      <x:c r="J406" s="36" t="str"/>
      <x:c r="K406" s="36" t="str"/>
      <x:c r="L406" s="36" t="str">
        <x:v>REPO_VERIFIZIERT_FRAGEFORM</x:v>
      </x:c>
      <x:c r="M406" s="36" t="str">
        <x:v>ERSETZEN</x:v>
      </x:c>
      <x:c r="N406" s="36" t="str">
        <x:v>REPETITIVE_FRAGEFORM</x:v>
      </x:c>
      <x:c r="O406" s="36" t="str">
        <x:v>REINE_WIEDERERKENNUNG</x:v>
      </x:c>
      <x:c r="P406" s="36" t="str">
        <x:v>PERSON_AUSSAGE</x:v>
      </x:c>
      <x:c r="Q406" s="36" t="str">
        <x:v>Was kündigt Jesus Petrus an, nachdem dieser seine Treue beteuert?</x:v>
      </x:c>
      <x:c r="R406" s="36" t="str">
        <x:v>Petrus wird ihn nie verlassen.</x:v>
      </x:c>
      <x:c r="S406" s="36" t="str">
        <x:v>Petrus wird noch in derselben Nacht König.</x:v>
      </x:c>
      <x:c r="T406" s="36" t="str">
        <x:v>Bevor der Hahn kräht, wird Petrus ihn dreimal verleugnen.</x:v>
      </x:c>
      <x:c r="U406" s="36" t="str">
        <x:v>Petrus wird zuerst nach Galiläa geschickt.</x:v>
      </x:c>
      <x:c r="V406" s="36" t="n">
        <x:v>2</x:v>
      </x:c>
      <x:c r="W406" s="36" t="str">
        <x:v>Bevor der Hahn kräht, wird Petrus ihn dreimal verleugnen.</x:v>
      </x:c>
      <x:c r="X406" s="36" t="str">
        <x:v>Johannes 13,36–38</x:v>
      </x:c>
      <x:c r="Y406" s="36" t="str">
        <x:v>Jesu Ankündigung steht im starken Gegensatz zu Petrus' Selbstsicherheit.</x:v>
      </x:c>
      <x:c r="Z406" s="36" t="str">
        <x:v>JA</x:v>
      </x:c>
      <x:c r="AA406" s="36" t="str">
        <x:v>JA</x:v>
      </x:c>
      <x:c r="AB406" s="36" t="str">
        <x:v>JA</x:v>
      </x:c>
      <x:c r="AC406" s="36" t="str">
        <x:v>JA</x:v>
      </x:c>
      <x:c r="AD406" s="36" t="str">
        <x:v>JA</x:v>
      </x:c>
      <x:c r="AE406" s="36" t="str">
        <x:v>JA</x:v>
      </x:c>
      <x:c r="AF406" s="36" t="str">
        <x:v>JA</x:v>
      </x:c>
      <x:c r="AG406" s="36" t="str">
        <x:v>FREIGEGEBEN</x:v>
      </x:c>
      <x:c r="AH406" s="36" t="str">
        <x:v>GPT-5.6 Sol · Buchprüfung Johannes · L1912/OTB</x:v>
      </x:c>
      <x:c r="AI406" s="36" t="str">
        <x:v>FREIGEGEBEN</x:v>
      </x:c>
      <x:c r="AJ406" s="36" t="str">
        <x:v>Johannes 13: repetitive Wiedererkennungsfrage durch PERSON_AUSSAGE-Frage ersetzt.</x:v>
      </x:c>
      <x:c r="AK406" s="36" t="str">
        <x:v>FaithPath repo develop/v4 · data/bibles/l1912/JHN.json · data/bibles/otb/JHN.json</x:v>
      </x:c>
      <x:c r="AL406" t="str">
        <x:v>JA</x:v>
      </x:c>
    </x:row>
    <x:row r="407">
      <x:c r="A407" t="str">
        <x:v>FP-0666</x:v>
      </x:c>
      <x:c r="B407" t="str">
        <x:v>JHN</x:v>
      </x:c>
      <x:c r="C407" t="str">
        <x:v>Johannes</x:v>
      </x:c>
      <x:c r="D407" t="n">
        <x:v>14</x:v>
      </x:c>
      <x:c r="E407" t="n">
        <x:v>1</x:v>
      </x:c>
      <x:c r="F407" t="str">
        <x:v>JHN-014</x:v>
      </x:c>
      <x:c r="G407" t="n">
        <x:v>82</x:v>
      </x:c>
      <x:c r="H407" t="str">
        <x:v>CQ-A05</x:v>
      </x:c>
      <x:c r="I407" s="36" t="str">
        <x:v>Welche dieser Aussagen stammt aus Johannes 14?</x:v>
      </x:c>
      <x:c r="J407" s="36" t="str"/>
      <x:c r="K407" s="36" t="str"/>
      <x:c r="L407" s="36" t="str">
        <x:v>REPO_VERIFIZIERT_FRAGEFORM</x:v>
      </x:c>
      <x:c r="M407" s="36" t="str">
        <x:v>ERSETZEN</x:v>
      </x:c>
      <x:c r="N407" s="36" t="str">
        <x:v>REPETITIVE_FRAGEFORM</x:v>
      </x:c>
      <x:c r="O407" s="36" t="str">
        <x:v>REINE_WIEDERERKENNUNG</x:v>
      </x:c>
      <x:c r="P407" s="36" t="str">
        <x:v>KERNAUSSAGE</x:v>
      </x:c>
      <x:c r="Q407" s="36" t="str">
        <x:v>Wie tröstet Jesus seine Jünger zu Beginn von Johannes 14?</x:v>
      </x:c>
      <x:c r="R407" s="36" t="str">
        <x:v>Sie sollen Jerusalem sofort verlassen.</x:v>
      </x:c>
      <x:c r="S407" s="36" t="str">
        <x:v>Sie sollen auf politische Hilfe warten.</x:v>
      </x:c>
      <x:c r="T407" s="36" t="str">
        <x:v>Sie sollen nie wieder Fragen stellen.</x:v>
      </x:c>
      <x:c r="U407" s="36" t="str">
        <x:v>Sie sollen an Gott und an ihn glauben; im Haus des Vaters sind viele Wohnungen.</x:v>
      </x:c>
      <x:c r="V407" s="36" t="n">
        <x:v>3</x:v>
      </x:c>
      <x:c r="W407" s="36" t="str">
        <x:v>Sie sollen an Gott und an ihn glauben; im Haus des Vaters sind viele Wohnungen.</x:v>
      </x:c>
      <x:c r="X407" s="36" t="str">
        <x:v>Johannes 14,1–3</x:v>
      </x:c>
      <x:c r="Y407" s="36" t="str">
        <x:v>Jesus begegnet ihrer Unruhe mit Vertrauen und der Hoffnung auf einen Platz bei seinem Vater.</x:v>
      </x:c>
      <x:c r="Z407" s="36" t="str">
        <x:v>JA</x:v>
      </x:c>
      <x:c r="AA407" s="36" t="str">
        <x:v>JA</x:v>
      </x:c>
      <x:c r="AB407" s="36" t="str">
        <x:v>JA</x:v>
      </x:c>
      <x:c r="AC407" s="36" t="str">
        <x:v>JA</x:v>
      </x:c>
      <x:c r="AD407" s="36" t="str">
        <x:v>JA</x:v>
      </x:c>
      <x:c r="AE407" s="36" t="str">
        <x:v>JA</x:v>
      </x:c>
      <x:c r="AF407" s="36" t="str">
        <x:v>JA</x:v>
      </x:c>
      <x:c r="AG407" s="36" t="str">
        <x:v>FREIGEGEBEN</x:v>
      </x:c>
      <x:c r="AH407" s="36" t="str">
        <x:v>GPT-5.6 Sol · Buchprüfung Johannes · L1912/OTB</x:v>
      </x:c>
      <x:c r="AI407" s="36" t="str">
        <x:v>FREIGEGEBEN</x:v>
      </x:c>
      <x:c r="AJ407" s="36" t="str">
        <x:v>Johannes 14: repetitive Wiedererkennungsfrage durch KERNAUSSAGE-Frage ersetzt.</x:v>
      </x:c>
      <x:c r="AK407" s="36" t="str">
        <x:v>FaithPath repo develop/v4 · data/bibles/l1912/JHN.json · data/bibles/otb/JHN.json</x:v>
      </x:c>
      <x:c r="AL407" t="str">
        <x:v>JA</x:v>
      </x:c>
    </x:row>
    <x:row r="408">
      <x:c r="A408" t="str">
        <x:v>FP-0667</x:v>
      </x:c>
      <x:c r="B408" t="str">
        <x:v>JHN</x:v>
      </x:c>
      <x:c r="C408" t="str">
        <x:v>Johannes</x:v>
      </x:c>
      <x:c r="D408" t="n">
        <x:v>14</x:v>
      </x:c>
      <x:c r="E408" t="n">
        <x:v>2</x:v>
      </x:c>
      <x:c r="F408" t="str">
        <x:v>JHN-014</x:v>
      </x:c>
      <x:c r="G408" t="n">
        <x:v>82</x:v>
      </x:c>
      <x:c r="H408" t="str">
        <x:v>CQ-A05</x:v>
      </x:c>
      <x:c r="I408" s="36" t="str">
        <x:v>Welche dieser Aussagen stammt aus Johannes 14?</x:v>
      </x:c>
      <x:c r="J408" s="36" t="str"/>
      <x:c r="K408" s="36" t="str"/>
      <x:c r="L408" s="36" t="str">
        <x:v>REPO_VERIFIZIERT_FRAGEFORM</x:v>
      </x:c>
      <x:c r="M408" s="36" t="str">
        <x:v>ERSETZEN</x:v>
      </x:c>
      <x:c r="N408" s="36" t="str">
        <x:v>REPETITIVE_FRAGEFORM</x:v>
      </x:c>
      <x:c r="O408" s="36" t="str">
        <x:v>REINE_WIEDERERKENNUNG</x:v>
      </x:c>
      <x:c r="P408" s="36" t="str">
        <x:v>PERSON_AUSSAGE</x:v>
      </x:c>
      <x:c r="Q408" s="36" t="str">
        <x:v>Wie beantwortet Jesus Thomas' Frage nach dem Weg?</x:v>
      </x:c>
      <x:c r="R408" s="36" t="str">
        <x:v>Ich bin der Weg und die Wahrheit und das Leben.</x:v>
      </x:c>
      <x:c r="S408" s="36" t="str">
        <x:v>Der Tempel ist der einzige Weg.</x:v>
      </x:c>
      <x:c r="T408" s="36" t="str">
        <x:v>Mose ist der Weg.</x:v>
      </x:c>
      <x:c r="U408" s="36" t="str">
        <x:v>Jeder Weg führt in gleicher Weise zum Vater.</x:v>
      </x:c>
      <x:c r="V408" s="36" t="n">
        <x:v>0</x:v>
      </x:c>
      <x:c r="W408" s="36" t="str">
        <x:v>Ich bin der Weg und die Wahrheit und das Leben.</x:v>
      </x:c>
      <x:c r="X408" s="36" t="str">
        <x:v>Johannes 14,5–6</x:v>
      </x:c>
      <x:c r="Y408" s="36" t="str">
        <x:v>Jesus beantwortet die Frage nicht mit einer Route, sondern mit seiner eigenen Person.</x:v>
      </x:c>
      <x:c r="Z408" s="36" t="str">
        <x:v>JA</x:v>
      </x:c>
      <x:c r="AA408" s="36" t="str">
        <x:v>JA</x:v>
      </x:c>
      <x:c r="AB408" s="36" t="str">
        <x:v>JA</x:v>
      </x:c>
      <x:c r="AC408" s="36" t="str">
        <x:v>JA</x:v>
      </x:c>
      <x:c r="AD408" s="36" t="str">
        <x:v>JA</x:v>
      </x:c>
      <x:c r="AE408" s="36" t="str">
        <x:v>JA</x:v>
      </x:c>
      <x:c r="AF408" s="36" t="str">
        <x:v>JA</x:v>
      </x:c>
      <x:c r="AG408" s="36" t="str">
        <x:v>FREIGEGEBEN</x:v>
      </x:c>
      <x:c r="AH408" s="36" t="str">
        <x:v>GPT-5.6 Sol · Buchprüfung Johannes · L1912/OTB</x:v>
      </x:c>
      <x:c r="AI408" s="36" t="str">
        <x:v>FREIGEGEBEN</x:v>
      </x:c>
      <x:c r="AJ408" s="36" t="str">
        <x:v>Johannes 14: repetitive Wiedererkennungsfrage durch PERSON_AUSSAGE-Frage ersetzt.</x:v>
      </x:c>
      <x:c r="AK408" s="36" t="str">
        <x:v>FaithPath repo develop/v4 · data/bibles/l1912/JHN.json · data/bibles/otb/JHN.json</x:v>
      </x:c>
      <x:c r="AL408" t="str">
        <x:v>JA</x:v>
      </x:c>
    </x:row>
    <x:row r="409">
      <x:c r="A409" t="str">
        <x:v>FP-0668</x:v>
      </x:c>
      <x:c r="B409" t="str">
        <x:v>JHN</x:v>
      </x:c>
      <x:c r="C409" t="str">
        <x:v>Johannes</x:v>
      </x:c>
      <x:c r="D409" t="n">
        <x:v>14</x:v>
      </x:c>
      <x:c r="E409" t="n">
        <x:v>3</x:v>
      </x:c>
      <x:c r="F409" t="str">
        <x:v>JHN-014</x:v>
      </x:c>
      <x:c r="G409" t="n">
        <x:v>82</x:v>
      </x:c>
      <x:c r="H409" t="str">
        <x:v>CQ-A05</x:v>
      </x:c>
      <x:c r="I409" s="36" t="str">
        <x:v>Welche dieser Aussagen stammt aus Johannes 14?</x:v>
      </x:c>
      <x:c r="J409" s="36" t="str"/>
      <x:c r="K409" s="36" t="str"/>
      <x:c r="L409" s="36" t="str">
        <x:v>REPO_VERIFIZIERT_FRAGEFORM</x:v>
      </x:c>
      <x:c r="M409" s="36" t="str">
        <x:v>ERSETZEN</x:v>
      </x:c>
      <x:c r="N409" s="36" t="str">
        <x:v>REPETITIVE_FRAGEFORM</x:v>
      </x:c>
      <x:c r="O409" s="36" t="str">
        <x:v>REINE_WIEDERERKENNUNG</x:v>
      </x:c>
      <x:c r="P409" s="36" t="str">
        <x:v>KERNAUSSAGE</x:v>
      </x:c>
      <x:c r="Q409" s="36" t="str">
        <x:v>Wen verspricht Jesus seinen Jüngern als weiteren Beistand?</x:v>
      </x:c>
      <x:c r="R409" s="36" t="str">
        <x:v>Johannes den Täufer.</x:v>
      </x:c>
      <x:c r="S409" s="36" t="str">
        <x:v>Den Heiligen Geist, den Geist der Wahrheit.</x:v>
      </x:c>
      <x:c r="T409" s="36" t="str">
        <x:v>Einen römischen Beschützer.</x:v>
      </x:c>
      <x:c r="U409" s="36" t="str">
        <x:v>Einen neuen Hohepriester.</x:v>
      </x:c>
      <x:c r="V409" s="36" t="n">
        <x:v>1</x:v>
      </x:c>
      <x:c r="W409" s="36" t="str">
        <x:v>Den Heiligen Geist, den Geist der Wahrheit.</x:v>
      </x:c>
      <x:c r="X409" s="36" t="str">
        <x:v>Johannes 14,15–17</x:v>
      </x:c>
      <x:c r="Y409" s="36" t="str">
        <x:v>Jesus verspricht einen anderen Beistand, den Geist der Wahrheit, der bei den Jüngern bleiben wird.</x:v>
      </x:c>
      <x:c r="Z409" s="36" t="str">
        <x:v>JA</x:v>
      </x:c>
      <x:c r="AA409" s="36" t="str">
        <x:v>JA</x:v>
      </x:c>
      <x:c r="AB409" s="36" t="str">
        <x:v>JA</x:v>
      </x:c>
      <x:c r="AC409" s="36" t="str">
        <x:v>JA</x:v>
      </x:c>
      <x:c r="AD409" s="36" t="str">
        <x:v>JA</x:v>
      </x:c>
      <x:c r="AE409" s="36" t="str">
        <x:v>JA</x:v>
      </x:c>
      <x:c r="AF409" s="36" t="str">
        <x:v>JA</x:v>
      </x:c>
      <x:c r="AG409" s="36" t="str">
        <x:v>FREIGEGEBEN</x:v>
      </x:c>
      <x:c r="AH409" s="36" t="str">
        <x:v>GPT-5.6 Sol · Buchprüfung Johannes · L1912/OTB</x:v>
      </x:c>
      <x:c r="AI409" s="36" t="str">
        <x:v>FREIGEGEBEN</x:v>
      </x:c>
      <x:c r="AJ409" s="36" t="str">
        <x:v>Johannes 14: repetitive Wiedererkennungsfrage durch KERNAUSSAGE-Frage ersetzt.</x:v>
      </x:c>
      <x:c r="AK409" s="36" t="str">
        <x:v>FaithPath repo develop/v4 · data/bibles/l1912/JHN.json · data/bibles/otb/JHN.json</x:v>
      </x:c>
      <x:c r="AL409" t="str">
        <x:v>JA</x:v>
      </x:c>
    </x:row>
    <x:row r="410">
      <x:c r="A410" t="str">
        <x:v>FP-0669</x:v>
      </x:c>
      <x:c r="B410" t="str">
        <x:v>JHN</x:v>
      </x:c>
      <x:c r="C410" t="str">
        <x:v>Johannes</x:v>
      </x:c>
      <x:c r="D410" t="n">
        <x:v>14</x:v>
      </x:c>
      <x:c r="E410" t="n">
        <x:v>4</x:v>
      </x:c>
      <x:c r="F410" t="str">
        <x:v>JHN-014</x:v>
      </x:c>
      <x:c r="G410" t="n">
        <x:v>82</x:v>
      </x:c>
      <x:c r="H410" t="str">
        <x:v>CQ-A05</x:v>
      </x:c>
      <x:c r="I410" s="36" t="str">
        <x:v>Welche dieser Aussagen stammt aus Johannes 14?</x:v>
      </x:c>
      <x:c r="J410" s="36" t="str"/>
      <x:c r="K410" s="36" t="str"/>
      <x:c r="L410" s="36" t="str">
        <x:v>REPO_VERIFIZIERT_FRAGEFORM</x:v>
      </x:c>
      <x:c r="M410" s="36" t="str">
        <x:v>ERSETZEN</x:v>
      </x:c>
      <x:c r="N410" s="36" t="str">
        <x:v>REPETITIVE_FRAGEFORM</x:v>
      </x:c>
      <x:c r="O410" s="36" t="str">
        <x:v>REINE_WIEDERERKENNUNG</x:v>
      </x:c>
      <x:c r="P410" s="36" t="str">
        <x:v>KERNAUSSAGE</x:v>
      </x:c>
      <x:c r="Q410" s="36" t="str">
        <x:v>Welche Aufgabe nennt Jesus für den Heiligen Geist?</x:v>
      </x:c>
      <x:c r="R410" s="36" t="str">
        <x:v>Er wird alle politischen Gegner beseitigen.</x:v>
      </x:c>
      <x:c r="S410" s="36" t="str">
        <x:v>Er wird nur neue Sprachen lehren.</x:v>
      </x:c>
      <x:c r="T410" s="36" t="str">
        <x:v>Er wird die Jünger lehren und sie an Jesu Worte erinnern.</x:v>
      </x:c>
      <x:c r="U410" s="36" t="str">
        <x:v>Er wird den Tempel wiederaufbauen.</x:v>
      </x:c>
      <x:c r="V410" s="36" t="n">
        <x:v>2</x:v>
      </x:c>
      <x:c r="W410" s="36" t="str">
        <x:v>Er wird die Jünger lehren und sie an Jesu Worte erinnern.</x:v>
      </x:c>
      <x:c r="X410" s="36" t="str">
        <x:v>Johannes 14,25–26</x:v>
      </x:c>
      <x:c r="Y410" s="36" t="str">
        <x:v>Der Beistand soll lehren und an das erinnern, was Jesus gesagt hat.</x:v>
      </x:c>
      <x:c r="Z410" s="36" t="str">
        <x:v>JA</x:v>
      </x:c>
      <x:c r="AA410" s="36" t="str">
        <x:v>JA</x:v>
      </x:c>
      <x:c r="AB410" s="36" t="str">
        <x:v>JA</x:v>
      </x:c>
      <x:c r="AC410" s="36" t="str">
        <x:v>JA</x:v>
      </x:c>
      <x:c r="AD410" s="36" t="str">
        <x:v>JA</x:v>
      </x:c>
      <x:c r="AE410" s="36" t="str">
        <x:v>JA</x:v>
      </x:c>
      <x:c r="AF410" s="36" t="str">
        <x:v>JA</x:v>
      </x:c>
      <x:c r="AG410" s="36" t="str">
        <x:v>FREIGEGEBEN</x:v>
      </x:c>
      <x:c r="AH410" s="36" t="str">
        <x:v>GPT-5.6 Sol · Buchprüfung Johannes · L1912/OTB</x:v>
      </x:c>
      <x:c r="AI410" s="36" t="str">
        <x:v>FREIGEGEBEN</x:v>
      </x:c>
      <x:c r="AJ410" s="36" t="str">
        <x:v>Johannes 14: repetitive Wiedererkennungsfrage durch KERNAUSSAGE-Frage ersetzt.</x:v>
      </x:c>
      <x:c r="AK410" s="36" t="str">
        <x:v>FaithPath repo develop/v4 · data/bibles/l1912/JHN.json · data/bibles/otb/JHN.json</x:v>
      </x:c>
      <x:c r="AL410" t="str">
        <x:v>JA</x:v>
      </x:c>
    </x:row>
    <x:row r="411">
      <x:c r="A411" t="str">
        <x:v>FP-0670</x:v>
      </x:c>
      <x:c r="B411" t="str">
        <x:v>JHN</x:v>
      </x:c>
      <x:c r="C411" t="str">
        <x:v>Johannes</x:v>
      </x:c>
      <x:c r="D411" t="n">
        <x:v>14</x:v>
      </x:c>
      <x:c r="E411" t="n">
        <x:v>5</x:v>
      </x:c>
      <x:c r="F411" t="str">
        <x:v>JHN-014</x:v>
      </x:c>
      <x:c r="G411" t="n">
        <x:v>82</x:v>
      </x:c>
      <x:c r="H411" t="str">
        <x:v>CQ-A05</x:v>
      </x:c>
      <x:c r="I411" s="36" t="str">
        <x:v>Welche dieser Aussagen stammt aus Johannes 14?</x:v>
      </x:c>
      <x:c r="J411" s="36" t="str"/>
      <x:c r="K411" s="36" t="str"/>
      <x:c r="L411" s="36" t="str">
        <x:v>REPO_VERIFIZIERT_FRAGEFORM</x:v>
      </x:c>
      <x:c r="M411" s="36" t="str">
        <x:v>ERSETZEN</x:v>
      </x:c>
      <x:c r="N411" s="36" t="str">
        <x:v>REPETITIVE_FRAGEFORM</x:v>
      </x:c>
      <x:c r="O411" s="36" t="str">
        <x:v>REINE_WIEDERERKENNUNG</x:v>
      </x:c>
      <x:c r="P411" s="36" t="str">
        <x:v>KERNAUSSAGE</x:v>
      </x:c>
      <x:c r="Q411" s="36" t="str">
        <x:v>Welche Art von Frieden gibt Jesus seinen Jüngern?</x:v>
      </x:c>
      <x:c r="R411" s="36" t="str">
        <x:v>Einen politischen Friedensvertrag.</x:v>
      </x:c>
      <x:c r="S411" s="36" t="str">
        <x:v>Frieden nur für Jerusalem.</x:v>
      </x:c>
      <x:c r="T411" s="36" t="str">
        <x:v>Frieden ohne jede kommende Bedrängnis.</x:v>
      </x:c>
      <x:c r="U411" s="36" t="str">
        <x:v>Seinen Frieden, anders als die Welt ihn gibt.</x:v>
      </x:c>
      <x:c r="V411" s="36" t="n">
        <x:v>3</x:v>
      </x:c>
      <x:c r="W411" s="36" t="str">
        <x:v>Seinen Frieden, anders als die Welt ihn gibt.</x:v>
      </x:c>
      <x:c r="X411" s="36" t="str">
        <x:v>Johannes 14,27</x:v>
      </x:c>
      <x:c r="Y411" s="36" t="str">
        <x:v>Jesus unterscheidet seinen Frieden ausdrücklich von der Art, wie die Welt Frieden gibt.</x:v>
      </x:c>
      <x:c r="Z411" s="36" t="str">
        <x:v>JA</x:v>
      </x:c>
      <x:c r="AA411" s="36" t="str">
        <x:v>JA</x:v>
      </x:c>
      <x:c r="AB411" s="36" t="str">
        <x:v>JA</x:v>
      </x:c>
      <x:c r="AC411" s="36" t="str">
        <x:v>JA</x:v>
      </x:c>
      <x:c r="AD411" s="36" t="str">
        <x:v>JA</x:v>
      </x:c>
      <x:c r="AE411" s="36" t="str">
        <x:v>JA</x:v>
      </x:c>
      <x:c r="AF411" s="36" t="str">
        <x:v>JA</x:v>
      </x:c>
      <x:c r="AG411" s="36" t="str">
        <x:v>FREIGEGEBEN</x:v>
      </x:c>
      <x:c r="AH411" s="36" t="str">
        <x:v>GPT-5.6 Sol · Buchprüfung Johannes · L1912/OTB</x:v>
      </x:c>
      <x:c r="AI411" s="36" t="str">
        <x:v>FREIGEGEBEN</x:v>
      </x:c>
      <x:c r="AJ411" s="36" t="str">
        <x:v>Johannes 14: repetitive Wiedererkennungsfrage durch KERNAUSSAGE-Frage ersetzt.</x:v>
      </x:c>
      <x:c r="AK411" s="36" t="str">
        <x:v>FaithPath repo develop/v4 · data/bibles/l1912/JHN.json · data/bibles/otb/JHN.json</x:v>
      </x:c>
      <x:c r="AL411" t="str">
        <x:v>JA</x:v>
      </x:c>
    </x:row>
    <x:row r="412">
      <x:c r="A412" t="str">
        <x:v>FP-0671</x:v>
      </x:c>
      <x:c r="B412" t="str">
        <x:v>JHN</x:v>
      </x:c>
      <x:c r="C412" t="str">
        <x:v>Johannes</x:v>
      </x:c>
      <x:c r="D412" t="n">
        <x:v>15</x:v>
      </x:c>
      <x:c r="E412" t="n">
        <x:v>1</x:v>
      </x:c>
      <x:c r="F412" t="str">
        <x:v>JHN-015</x:v>
      </x:c>
      <x:c r="G412" t="n">
        <x:v>83</x:v>
      </x:c>
      <x:c r="H412" t="str">
        <x:v>CQ-A05</x:v>
      </x:c>
      <x:c r="I412" s="36" t="str">
        <x:v>Welche dieser Aussagen stammt aus Johannes 15?</x:v>
      </x:c>
      <x:c r="J412" s="36" t="str"/>
      <x:c r="K412" s="36" t="str"/>
      <x:c r="L412" s="36" t="str">
        <x:v>REPO_VERIFIZIERT_FRAGEFORM</x:v>
      </x:c>
      <x:c r="M412" s="36" t="str">
        <x:v>ERSETZEN</x:v>
      </x:c>
      <x:c r="N412" s="36" t="str">
        <x:v>REPETITIVE_FRAGEFORM</x:v>
      </x:c>
      <x:c r="O412" s="36" t="str">
        <x:v>REINE_WIEDERERKENNUNG</x:v>
      </x:c>
      <x:c r="P412" s="36" t="str">
        <x:v>KERNAUSSAGE</x:v>
      </x:c>
      <x:c r="Q412" s="36" t="str">
        <x:v>Mit welchem Bild beschreibt Jesus die Verbindung zwischen sich und seinen Jüngern?</x:v>
      </x:c>
      <x:c r="R412" s="36" t="str">
        <x:v>Er ist der Weinstock, sie sind die Reben.</x:v>
      </x:c>
      <x:c r="S412" s="36" t="str">
        <x:v>Er ist der Tempel, sie sind die Steine.</x:v>
      </x:c>
      <x:c r="T412" s="36" t="str">
        <x:v>Er ist der König, sie sind Soldaten.</x:v>
      </x:c>
      <x:c r="U412" s="36" t="str">
        <x:v>Er ist der Sämann, sie sind der Weg.</x:v>
      </x:c>
      <x:c r="V412" s="36" t="n">
        <x:v>0</x:v>
      </x:c>
      <x:c r="W412" s="36" t="str">
        <x:v>Er ist der Weinstock, sie sind die Reben.</x:v>
      </x:c>
      <x:c r="X412" s="36" t="str">
        <x:v>Johannes 15,1–5</x:v>
      </x:c>
      <x:c r="Y412" s="36" t="str">
        <x:v>Das Bild vom Weinstock macht deutlich, dass Frucht aus dem Bleiben in Jesus hervorgeht.</x:v>
      </x:c>
      <x:c r="Z412" s="36" t="str">
        <x:v>JA</x:v>
      </x:c>
      <x:c r="AA412" s="36" t="str">
        <x:v>JA</x:v>
      </x:c>
      <x:c r="AB412" s="36" t="str">
        <x:v>JA</x:v>
      </x:c>
      <x:c r="AC412" s="36" t="str">
        <x:v>JA</x:v>
      </x:c>
      <x:c r="AD412" s="36" t="str">
        <x:v>JA</x:v>
      </x:c>
      <x:c r="AE412" s="36" t="str">
        <x:v>JA</x:v>
      </x:c>
      <x:c r="AF412" s="36" t="str">
        <x:v>JA</x:v>
      </x:c>
      <x:c r="AG412" s="36" t="str">
        <x:v>FREIGEGEBEN</x:v>
      </x:c>
      <x:c r="AH412" s="36" t="str">
        <x:v>GPT-5.6 Sol · Buchprüfung Johannes · L1912/OTB</x:v>
      </x:c>
      <x:c r="AI412" s="36" t="str">
        <x:v>FREIGEGEBEN</x:v>
      </x:c>
      <x:c r="AJ412" s="36" t="str">
        <x:v>Johannes 15: repetitive Wiedererkennungsfrage durch KERNAUSSAGE-Frage ersetzt.</x:v>
      </x:c>
      <x:c r="AK412" s="36" t="str">
        <x:v>FaithPath repo develop/v4 · data/bibles/l1912/JHN.json · data/bibles/otb/JHN.json</x:v>
      </x:c>
      <x:c r="AL412" t="str">
        <x:v>JA</x:v>
      </x:c>
    </x:row>
    <x:row r="413">
      <x:c r="A413" t="str">
        <x:v>FP-0672</x:v>
      </x:c>
      <x:c r="B413" t="str">
        <x:v>JHN</x:v>
      </x:c>
      <x:c r="C413" t="str">
        <x:v>Johannes</x:v>
      </x:c>
      <x:c r="D413" t="n">
        <x:v>15</x:v>
      </x:c>
      <x:c r="E413" t="n">
        <x:v>2</x:v>
      </x:c>
      <x:c r="F413" t="str">
        <x:v>JHN-015</x:v>
      </x:c>
      <x:c r="G413" t="n">
        <x:v>83</x:v>
      </x:c>
      <x:c r="H413" t="str">
        <x:v>CQ-A05</x:v>
      </x:c>
      <x:c r="I413" s="36" t="str">
        <x:v>Welche dieser Aussagen stammt aus Johannes 15?</x:v>
      </x:c>
      <x:c r="J413" s="36" t="str"/>
      <x:c r="K413" s="36" t="str"/>
      <x:c r="L413" s="36" t="str">
        <x:v>REPO_VERIFIZIERT_FRAGEFORM</x:v>
      </x:c>
      <x:c r="M413" s="36" t="str">
        <x:v>ERSETZEN</x:v>
      </x:c>
      <x:c r="N413" s="36" t="str">
        <x:v>REPETITIVE_FRAGEFORM</x:v>
      </x:c>
      <x:c r="O413" s="36" t="str">
        <x:v>REINE_WIEDERERKENNUNG</x:v>
      </x:c>
      <x:c r="P413" s="36" t="str">
        <x:v>KERNAUSSAGE</x:v>
      </x:c>
      <x:c r="Q413" s="36" t="str">
        <x:v>Was ist nach Jesus notwendig, um viel Frucht zu bringen?</x:v>
      </x:c>
      <x:c r="R413" s="36" t="str">
        <x:v>Möglichst viele Regeln zu sammeln.</x:v>
      </x:c>
      <x:c r="S413" s="36" t="str">
        <x:v>In ihm zu bleiben, weil die Rebe ohne den Weinstock nichts hervorbringen kann.</x:v>
      </x:c>
      <x:c r="T413" s="36" t="str">
        <x:v>Nur öffentlich zu wirken.</x:v>
      </x:c>
      <x:c r="U413" s="36" t="str">
        <x:v>Jerusalem niemals zu verlassen.</x:v>
      </x:c>
      <x:c r="V413" s="36" t="n">
        <x:v>1</x:v>
      </x:c>
      <x:c r="W413" s="36" t="str">
        <x:v>In ihm zu bleiben, weil die Rebe ohne den Weinstock nichts hervorbringen kann.</x:v>
      </x:c>
      <x:c r="X413" s="36" t="str">
        <x:v>Johannes 15,4–5</x:v>
      </x:c>
      <x:c r="Y413" s="36" t="str">
        <x:v>Jesus macht das Bleiben in ihm zur Voraussetzung für bleibende Frucht.</x:v>
      </x:c>
      <x:c r="Z413" s="36" t="str">
        <x:v>JA</x:v>
      </x:c>
      <x:c r="AA413" s="36" t="str">
        <x:v>JA</x:v>
      </x:c>
      <x:c r="AB413" s="36" t="str">
        <x:v>JA</x:v>
      </x:c>
      <x:c r="AC413" s="36" t="str">
        <x:v>JA</x:v>
      </x:c>
      <x:c r="AD413" s="36" t="str">
        <x:v>JA</x:v>
      </x:c>
      <x:c r="AE413" s="36" t="str">
        <x:v>JA</x:v>
      </x:c>
      <x:c r="AF413" s="36" t="str">
        <x:v>JA</x:v>
      </x:c>
      <x:c r="AG413" s="36" t="str">
        <x:v>FREIGEGEBEN</x:v>
      </x:c>
      <x:c r="AH413" s="36" t="str">
        <x:v>GPT-5.6 Sol · Buchprüfung Johannes · L1912/OTB</x:v>
      </x:c>
      <x:c r="AI413" s="36" t="str">
        <x:v>FREIGEGEBEN</x:v>
      </x:c>
      <x:c r="AJ413" s="36" t="str">
        <x:v>Johannes 15: repetitive Wiedererkennungsfrage durch KERNAUSSAGE-Frage ersetzt.</x:v>
      </x:c>
      <x:c r="AK413" s="36" t="str">
        <x:v>FaithPath repo develop/v4 · data/bibles/l1912/JHN.json · data/bibles/otb/JHN.json</x:v>
      </x:c>
      <x:c r="AL413" t="str">
        <x:v>JA</x:v>
      </x:c>
    </x:row>
    <x:row r="414">
      <x:c r="A414" t="str">
        <x:v>FP-0673</x:v>
      </x:c>
      <x:c r="B414" t="str">
        <x:v>JHN</x:v>
      </x:c>
      <x:c r="C414" t="str">
        <x:v>Johannes</x:v>
      </x:c>
      <x:c r="D414" t="n">
        <x:v>15</x:v>
      </x:c>
      <x:c r="E414" t="n">
        <x:v>3</x:v>
      </x:c>
      <x:c r="F414" t="str">
        <x:v>JHN-015</x:v>
      </x:c>
      <x:c r="G414" t="n">
        <x:v>83</x:v>
      </x:c>
      <x:c r="H414" t="str">
        <x:v>CQ-A05</x:v>
      </x:c>
      <x:c r="I414" s="36" t="str">
        <x:v>Welche dieser Aussagen stammt aus Johannes 15?</x:v>
      </x:c>
      <x:c r="J414" s="36" t="str"/>
      <x:c r="K414" s="36" t="str"/>
      <x:c r="L414" s="36" t="str">
        <x:v>REPO_VERIFIZIERT_FRAGEFORM</x:v>
      </x:c>
      <x:c r="M414" s="36" t="str">
        <x:v>ERSETZEN</x:v>
      </x:c>
      <x:c r="N414" s="36" t="str">
        <x:v>REPETITIVE_FRAGEFORM</x:v>
      </x:c>
      <x:c r="O414" s="36" t="str">
        <x:v>REINE_WIEDERERKENNUNG</x:v>
      </x:c>
      <x:c r="P414" s="36" t="str">
        <x:v>KERNAUSSAGE</x:v>
      </x:c>
      <x:c r="Q414" s="36" t="str">
        <x:v>Was nennt Jesus als sein Gebot?</x:v>
      </x:c>
      <x:c r="R414" s="36" t="str">
        <x:v>Einander zu übertreffen.</x:v>
      </x:c>
      <x:c r="S414" s="36" t="str">
        <x:v>Nur Freunde zu lieben, die zustimmen.</x:v>
      </x:c>
      <x:c r="T414" s="36" t="str">
        <x:v>Einander zu lieben, wie er die Jünger geliebt hat.</x:v>
      </x:c>
      <x:c r="U414" s="36" t="str">
        <x:v>Nie wieder Fragen zu stellen.</x:v>
      </x:c>
      <x:c r="V414" s="36" t="n">
        <x:v>2</x:v>
      </x:c>
      <x:c r="W414" s="36" t="str">
        <x:v>Einander zu lieben, wie er die Jünger geliebt hat.</x:v>
      </x:c>
      <x:c r="X414" s="36" t="str">
        <x:v>Johannes 15,12–13</x:v>
      </x:c>
      <x:c r="Y414" s="36" t="str">
        <x:v>Jesus verbindet sein Gebot der Liebe mit seiner eigenen hingebenden Liebe.</x:v>
      </x:c>
      <x:c r="Z414" s="36" t="str">
        <x:v>JA</x:v>
      </x:c>
      <x:c r="AA414" s="36" t="str">
        <x:v>JA</x:v>
      </x:c>
      <x:c r="AB414" s="36" t="str">
        <x:v>JA</x:v>
      </x:c>
      <x:c r="AC414" s="36" t="str">
        <x:v>JA</x:v>
      </x:c>
      <x:c r="AD414" s="36" t="str">
        <x:v>JA</x:v>
      </x:c>
      <x:c r="AE414" s="36" t="str">
        <x:v>JA</x:v>
      </x:c>
      <x:c r="AF414" s="36" t="str">
        <x:v>JA</x:v>
      </x:c>
      <x:c r="AG414" s="36" t="str">
        <x:v>FREIGEGEBEN</x:v>
      </x:c>
      <x:c r="AH414" s="36" t="str">
        <x:v>GPT-5.6 Sol · Buchprüfung Johannes · L1912/OTB</x:v>
      </x:c>
      <x:c r="AI414" s="36" t="str">
        <x:v>FREIGEGEBEN</x:v>
      </x:c>
      <x:c r="AJ414" s="36" t="str">
        <x:v>Johannes 15: repetitive Wiedererkennungsfrage durch KERNAUSSAGE-Frage ersetzt.</x:v>
      </x:c>
      <x:c r="AK414" s="36" t="str">
        <x:v>FaithPath repo develop/v4 · data/bibles/l1912/JHN.json · data/bibles/otb/JHN.json</x:v>
      </x:c>
      <x:c r="AL414" t="str">
        <x:v>JA</x:v>
      </x:c>
    </x:row>
    <x:row r="415">
      <x:c r="A415" t="str">
        <x:v>FP-0674</x:v>
      </x:c>
      <x:c r="B415" t="str">
        <x:v>JHN</x:v>
      </x:c>
      <x:c r="C415" t="str">
        <x:v>Johannes</x:v>
      </x:c>
      <x:c r="D415" t="n">
        <x:v>15</x:v>
      </x:c>
      <x:c r="E415" t="n">
        <x:v>4</x:v>
      </x:c>
      <x:c r="F415" t="str">
        <x:v>JHN-015</x:v>
      </x:c>
      <x:c r="G415" t="n">
        <x:v>83</x:v>
      </x:c>
      <x:c r="H415" t="str">
        <x:v>CQ-A05</x:v>
      </x:c>
      <x:c r="I415" s="36" t="str">
        <x:v>Welche dieser Aussagen stammt aus Johannes 15?</x:v>
      </x:c>
      <x:c r="J415" s="36" t="str"/>
      <x:c r="K415" s="36" t="str"/>
      <x:c r="L415" s="36" t="str">
        <x:v>REPO_VERIFIZIERT_FRAGEFORM</x:v>
      </x:c>
      <x:c r="M415" s="36" t="str">
        <x:v>ERSETZEN</x:v>
      </x:c>
      <x:c r="N415" s="36" t="str">
        <x:v>REPETITIVE_FRAGEFORM</x:v>
      </x:c>
      <x:c r="O415" s="36" t="str">
        <x:v>REINE_WIEDERERKENNUNG</x:v>
      </x:c>
      <x:c r="P415" s="36" t="str">
        <x:v>ZUSAMMENHANG</x:v>
      </x:c>
      <x:c r="Q415" s="36" t="str">
        <x:v>Warum sollen die Jünger sich nicht wundern, wenn die Welt sie hasst?</x:v>
      </x:c>
      <x:c r="R415" s="36" t="str">
        <x:v>Weil jeder Mensch die Jünger hassen muss.</x:v>
      </x:c>
      <x:c r="S415" s="36" t="str">
        <x:v>Weil die Jünger keine Botschaft haben.</x:v>
      </x:c>
      <x:c r="T415" s="36" t="str">
        <x:v>Weil Jesus ihnen politische Macht gegeben hat.</x:v>
      </x:c>
      <x:c r="U415" s="36" t="str">
        <x:v>Weil die Welt Jesus zuerst gehasst hat und seine Jünger nicht zu ihr gehören.</x:v>
      </x:c>
      <x:c r="V415" s="36" t="n">
        <x:v>3</x:v>
      </x:c>
      <x:c r="W415" s="36" t="str">
        <x:v>Weil die Welt Jesus zuerst gehasst hat und seine Jünger nicht zu ihr gehören.</x:v>
      </x:c>
      <x:c r="X415" s="36" t="str">
        <x:v>Johannes 15,18–20</x:v>
      </x:c>
      <x:c r="Y415" s="36" t="str">
        <x:v>Jesus ordnet den Widerstand gegen die Jünger in den vorherigen Widerstand gegen ihn selbst ein.</x:v>
      </x:c>
      <x:c r="Z415" s="36" t="str">
        <x:v>JA</x:v>
      </x:c>
      <x:c r="AA415" s="36" t="str">
        <x:v>JA</x:v>
      </x:c>
      <x:c r="AB415" s="36" t="str">
        <x:v>JA</x:v>
      </x:c>
      <x:c r="AC415" s="36" t="str">
        <x:v>JA</x:v>
      </x:c>
      <x:c r="AD415" s="36" t="str">
        <x:v>JA</x:v>
      </x:c>
      <x:c r="AE415" s="36" t="str">
        <x:v>JA</x:v>
      </x:c>
      <x:c r="AF415" s="36" t="str">
        <x:v>JA</x:v>
      </x:c>
      <x:c r="AG415" s="36" t="str">
        <x:v>FREIGEGEBEN</x:v>
      </x:c>
      <x:c r="AH415" s="36" t="str">
        <x:v>GPT-5.6 Sol · Buchprüfung Johannes · L1912/OTB</x:v>
      </x:c>
      <x:c r="AI415" s="36" t="str">
        <x:v>FREIGEGEBEN</x:v>
      </x:c>
      <x:c r="AJ415" s="36" t="str">
        <x:v>Johannes 15: repetitive Wiedererkennungsfrage durch ZUSAMMENHANG-Frage ersetzt.</x:v>
      </x:c>
      <x:c r="AK415" s="36" t="str">
        <x:v>FaithPath repo develop/v4 · data/bibles/l1912/JHN.json · data/bibles/otb/JHN.json</x:v>
      </x:c>
      <x:c r="AL415" t="str">
        <x:v>JA</x:v>
      </x:c>
    </x:row>
    <x:row r="416">
      <x:c r="A416" t="str">
        <x:v>FP-0675</x:v>
      </x:c>
      <x:c r="B416" t="str">
        <x:v>JHN</x:v>
      </x:c>
      <x:c r="C416" t="str">
        <x:v>Johannes</x:v>
      </x:c>
      <x:c r="D416" t="n">
        <x:v>15</x:v>
      </x:c>
      <x:c r="E416" t="n">
        <x:v>5</x:v>
      </x:c>
      <x:c r="F416" t="str">
        <x:v>JHN-015</x:v>
      </x:c>
      <x:c r="G416" t="n">
        <x:v>83</x:v>
      </x:c>
      <x:c r="H416" t="str">
        <x:v>CQ-A05</x:v>
      </x:c>
      <x:c r="I416" s="36" t="str">
        <x:v>Welche dieser Aussagen stammt aus Johannes 15?</x:v>
      </x:c>
      <x:c r="J416" s="36" t="str"/>
      <x:c r="K416" s="36" t="str"/>
      <x:c r="L416" s="36" t="str">
        <x:v>REPO_VERIFIZIERT_FRAGEFORM</x:v>
      </x:c>
      <x:c r="M416" s="36" t="str">
        <x:v>ERSETZEN</x:v>
      </x:c>
      <x:c r="N416" s="36" t="str">
        <x:v>REPETITIVE_FRAGEFORM</x:v>
      </x:c>
      <x:c r="O416" s="36" t="str">
        <x:v>REINE_WIEDERERKENNUNG</x:v>
      </x:c>
      <x:c r="P416" s="36" t="str">
        <x:v>KERNAUSSAGE</x:v>
      </x:c>
      <x:c r="Q416" s="36" t="str">
        <x:v>Was wird der Geist der Wahrheit nach Jesu Worten tun?</x:v>
      </x:c>
      <x:c r="R416" s="36" t="str">
        <x:v>Er wird von Jesus Zeugnis geben, und auch die Jünger sollen Zeugnis geben.</x:v>
      </x:c>
      <x:c r="S416" s="36" t="str">
        <x:v>Er wird die Jünger von jeder Aufgabe entbinden.</x:v>
      </x:c>
      <x:c r="T416" s="36" t="str">
        <x:v>Er wird nur über Mose sprechen.</x:v>
      </x:c>
      <x:c r="U416" s="36" t="str">
        <x:v>Er wird die Welt sofort richten.</x:v>
      </x:c>
      <x:c r="V416" s="36" t="n">
        <x:v>0</x:v>
      </x:c>
      <x:c r="W416" s="36" t="str">
        <x:v>Er wird von Jesus Zeugnis geben, und auch die Jünger sollen Zeugnis geben.</x:v>
      </x:c>
      <x:c r="X416" s="36" t="str">
        <x:v>Johannes 15,26–27</x:v>
      </x:c>
      <x:c r="Y416" s="36" t="str">
        <x:v>Der Geist bezeugt Jesus; zugleich werden die Jünger als langjährige Begleiter zu Zeugen gerufen.</x:v>
      </x:c>
      <x:c r="Z416" s="36" t="str">
        <x:v>JA</x:v>
      </x:c>
      <x:c r="AA416" s="36" t="str">
        <x:v>JA</x:v>
      </x:c>
      <x:c r="AB416" s="36" t="str">
        <x:v>JA</x:v>
      </x:c>
      <x:c r="AC416" s="36" t="str">
        <x:v>JA</x:v>
      </x:c>
      <x:c r="AD416" s="36" t="str">
        <x:v>JA</x:v>
      </x:c>
      <x:c r="AE416" s="36" t="str">
        <x:v>JA</x:v>
      </x:c>
      <x:c r="AF416" s="36" t="str">
        <x:v>JA</x:v>
      </x:c>
      <x:c r="AG416" s="36" t="str">
        <x:v>FREIGEGEBEN</x:v>
      </x:c>
      <x:c r="AH416" s="36" t="str">
        <x:v>GPT-5.6 Sol · Buchprüfung Johannes · L1912/OTB</x:v>
      </x:c>
      <x:c r="AI416" s="36" t="str">
        <x:v>FREIGEGEBEN</x:v>
      </x:c>
      <x:c r="AJ416" s="36" t="str">
        <x:v>Johannes 15: repetitive Wiedererkennungsfrage durch KERNAUSSAGE-Frage ersetzt.</x:v>
      </x:c>
      <x:c r="AK416" s="36" t="str">
        <x:v>FaithPath repo develop/v4 · data/bibles/l1912/JHN.json · data/bibles/otb/JHN.json</x:v>
      </x:c>
      <x:c r="AL416" t="str">
        <x:v>JA</x:v>
      </x:c>
    </x:row>
    <x:row r="417">
      <x:c r="A417" t="str">
        <x:v>FP-0676</x:v>
      </x:c>
      <x:c r="B417" t="str">
        <x:v>JHN</x:v>
      </x:c>
      <x:c r="C417" t="str">
        <x:v>Johannes</x:v>
      </x:c>
      <x:c r="D417" t="n">
        <x:v>16</x:v>
      </x:c>
      <x:c r="E417" t="n">
        <x:v>1</x:v>
      </x:c>
      <x:c r="F417" t="str">
        <x:v>JHN-016</x:v>
      </x:c>
      <x:c r="G417" t="n">
        <x:v>84</x:v>
      </x:c>
      <x:c r="H417" t="str">
        <x:v>CQ-A05</x:v>
      </x:c>
      <x:c r="I417" s="36" t="str">
        <x:v>Welche dieser Aussagen stammt aus Johannes 16?</x:v>
      </x:c>
      <x:c r="J417" s="36" t="str"/>
      <x:c r="K417" s="36" t="str"/>
      <x:c r="L417" s="36" t="str">
        <x:v>REPO_VERIFIZIERT_FRAGEFORM</x:v>
      </x:c>
      <x:c r="M417" s="36" t="str">
        <x:v>ERSETZEN</x:v>
      </x:c>
      <x:c r="N417" s="36" t="str">
        <x:v>REPETITIVE_FRAGEFORM</x:v>
      </x:c>
      <x:c r="O417" s="36" t="str">
        <x:v>REINE_WIEDERERKENNUNG</x:v>
      </x:c>
      <x:c r="P417" s="36" t="str">
        <x:v>KERNAUSSAGE</x:v>
      </x:c>
      <x:c r="Q417" s="36" t="str">
        <x:v>Warum kündigt Jesus seinen Jüngern kommende Verfolgung im Voraus an?</x:v>
      </x:c>
      <x:c r="R417" s="36" t="str">
        <x:v>Damit sie Jerusalem sofort verlassen.</x:v>
      </x:c>
      <x:c r="S417" s="36" t="str">
        <x:v>Damit sie nicht zu Fall kommen, wenn diese Dinge geschehen.</x:v>
      </x:c>
      <x:c r="T417" s="36" t="str">
        <x:v>Damit sie keine Gemeinden gründen.</x:v>
      </x:c>
      <x:c r="U417" s="36" t="str">
        <x:v>Damit sie nie mehr öffentlich sprechen.</x:v>
      </x:c>
      <x:c r="V417" s="36" t="n">
        <x:v>1</x:v>
      </x:c>
      <x:c r="W417" s="36" t="str">
        <x:v>Damit sie nicht zu Fall kommen, wenn diese Dinge geschehen.</x:v>
      </x:c>
      <x:c r="X417" s="36" t="str">
        <x:v>Johannes 16,1–4</x:v>
      </x:c>
      <x:c r="Y417" s="36" t="str">
        <x:v>Jesus bereitet die Jünger auf Widerstand vor, damit sie sich später an seine Worte erinnern und nicht straucheln.</x:v>
      </x:c>
      <x:c r="Z417" s="36" t="str">
        <x:v>JA</x:v>
      </x:c>
      <x:c r="AA417" s="36" t="str">
        <x:v>JA</x:v>
      </x:c>
      <x:c r="AB417" s="36" t="str">
        <x:v>JA</x:v>
      </x:c>
      <x:c r="AC417" s="36" t="str">
        <x:v>JA</x:v>
      </x:c>
      <x:c r="AD417" s="36" t="str">
        <x:v>JA</x:v>
      </x:c>
      <x:c r="AE417" s="36" t="str">
        <x:v>JA</x:v>
      </x:c>
      <x:c r="AF417" s="36" t="str">
        <x:v>JA</x:v>
      </x:c>
      <x:c r="AG417" s="36" t="str">
        <x:v>FREIGEGEBEN</x:v>
      </x:c>
      <x:c r="AH417" s="36" t="str">
        <x:v>GPT-5.6 Sol · Buchprüfung Johannes · L1912/OTB</x:v>
      </x:c>
      <x:c r="AI417" s="36" t="str">
        <x:v>FREIGEGEBEN</x:v>
      </x:c>
      <x:c r="AJ417" s="36" t="str">
        <x:v>Johannes 16: repetitive Wiedererkennungsfrage durch KERNAUSSAGE-Frage ersetzt.</x:v>
      </x:c>
      <x:c r="AK417" s="36" t="str">
        <x:v>FaithPath repo develop/v4 · data/bibles/l1912/JHN.json · data/bibles/otb/JHN.json</x:v>
      </x:c>
      <x:c r="AL417" t="str">
        <x:v>JA</x:v>
      </x:c>
    </x:row>
    <x:row r="418">
      <x:c r="A418" t="str">
        <x:v>FP-0677</x:v>
      </x:c>
      <x:c r="B418" t="str">
        <x:v>JHN</x:v>
      </x:c>
      <x:c r="C418" t="str">
        <x:v>Johannes</x:v>
      </x:c>
      <x:c r="D418" t="n">
        <x:v>16</x:v>
      </x:c>
      <x:c r="E418" t="n">
        <x:v>2</x:v>
      </x:c>
      <x:c r="F418" t="str">
        <x:v>JHN-016</x:v>
      </x:c>
      <x:c r="G418" t="n">
        <x:v>84</x:v>
      </x:c>
      <x:c r="H418" t="str">
        <x:v>CQ-A05</x:v>
      </x:c>
      <x:c r="I418" s="36" t="str">
        <x:v>Welche dieser Aussagen stammt aus Johannes 16?</x:v>
      </x:c>
      <x:c r="J418" s="36" t="str"/>
      <x:c r="K418" s="36" t="str"/>
      <x:c r="L418" s="36" t="str">
        <x:v>REPO_VERIFIZIERT_FRAGEFORM</x:v>
      </x:c>
      <x:c r="M418" s="36" t="str">
        <x:v>ERSETZEN</x:v>
      </x:c>
      <x:c r="N418" s="36" t="str">
        <x:v>REPETITIVE_FRAGEFORM</x:v>
      </x:c>
      <x:c r="O418" s="36" t="str">
        <x:v>REINE_WIEDERERKENNUNG</x:v>
      </x:c>
      <x:c r="P418" s="36" t="str">
        <x:v>KERNAUSSAGE</x:v>
      </x:c>
      <x:c r="Q418" s="36" t="str">
        <x:v>Welche Wirkung schreibt Jesus dem kommenden Beistand gegenüber der Welt zu?</x:v>
      </x:c>
      <x:c r="R418" s="36" t="str">
        <x:v>Er wird nur Krankheiten heilen.</x:v>
      </x:c>
      <x:c r="S418" s="36" t="str">
        <x:v>Er wird politische Gesetze schreiben.</x:v>
      </x:c>
      <x:c r="T418" s="36" t="str">
        <x:v>Er wird die Welt von Sünde, Gerechtigkeit und Gericht überführen.</x:v>
      </x:c>
      <x:c r="U418" s="36" t="str">
        <x:v>Er wird den Tempeldienst übernehmen.</x:v>
      </x:c>
      <x:c r="V418" s="36" t="n">
        <x:v>2</x:v>
      </x:c>
      <x:c r="W418" s="36" t="str">
        <x:v>Er wird die Welt von Sünde, Gerechtigkeit und Gericht überführen.</x:v>
      </x:c>
      <x:c r="X418" s="36" t="str">
        <x:v>Johannes 16,7–11</x:v>
      </x:c>
      <x:c r="Y418" s="36" t="str">
        <x:v>Jesus beschreibt das Wirken des Geistes gegenüber der Welt in den Bereichen Sünde, Gerechtigkeit und Gericht.</x:v>
      </x:c>
      <x:c r="Z418" s="36" t="str">
        <x:v>JA</x:v>
      </x:c>
      <x:c r="AA418" s="36" t="str">
        <x:v>JA</x:v>
      </x:c>
      <x:c r="AB418" s="36" t="str">
        <x:v>JA</x:v>
      </x:c>
      <x:c r="AC418" s="36" t="str">
        <x:v>JA</x:v>
      </x:c>
      <x:c r="AD418" s="36" t="str">
        <x:v>JA</x:v>
      </x:c>
      <x:c r="AE418" s="36" t="str">
        <x:v>JA</x:v>
      </x:c>
      <x:c r="AF418" s="36" t="str">
        <x:v>JA</x:v>
      </x:c>
      <x:c r="AG418" s="36" t="str">
        <x:v>FREIGEGEBEN</x:v>
      </x:c>
      <x:c r="AH418" s="36" t="str">
        <x:v>GPT-5.6 Sol · Buchprüfung Johannes · L1912/OTB</x:v>
      </x:c>
      <x:c r="AI418" s="36" t="str">
        <x:v>FREIGEGEBEN</x:v>
      </x:c>
      <x:c r="AJ418" s="36" t="str">
        <x:v>Johannes 16: repetitive Wiedererkennungsfrage durch KERNAUSSAGE-Frage ersetzt.</x:v>
      </x:c>
      <x:c r="AK418" s="36" t="str">
        <x:v>FaithPath repo develop/v4 · data/bibles/l1912/JHN.json · data/bibles/otb/JHN.json</x:v>
      </x:c>
      <x:c r="AL418" t="str">
        <x:v>JA</x:v>
      </x:c>
    </x:row>
    <x:row r="419">
      <x:c r="A419" t="str">
        <x:v>FP-0678</x:v>
      </x:c>
      <x:c r="B419" t="str">
        <x:v>JHN</x:v>
      </x:c>
      <x:c r="C419" t="str">
        <x:v>Johannes</x:v>
      </x:c>
      <x:c r="D419" t="n">
        <x:v>16</x:v>
      </x:c>
      <x:c r="E419" t="n">
        <x:v>3</x:v>
      </x:c>
      <x:c r="F419" t="str">
        <x:v>JHN-016</x:v>
      </x:c>
      <x:c r="G419" t="n">
        <x:v>84</x:v>
      </x:c>
      <x:c r="H419" t="str">
        <x:v>CQ-A05</x:v>
      </x:c>
      <x:c r="I419" s="36" t="str">
        <x:v>Welche dieser Aussagen stammt aus Johannes 16?</x:v>
      </x:c>
      <x:c r="J419" s="36" t="str"/>
      <x:c r="K419" s="36" t="str"/>
      <x:c r="L419" s="36" t="str">
        <x:v>REPO_VERIFIZIERT_FRAGEFORM</x:v>
      </x:c>
      <x:c r="M419" s="36" t="str">
        <x:v>ERSETZEN</x:v>
      </x:c>
      <x:c r="N419" s="36" t="str">
        <x:v>REPETITIVE_FRAGEFORM</x:v>
      </x:c>
      <x:c r="O419" s="36" t="str">
        <x:v>REINE_WIEDERERKENNUNG</x:v>
      </x:c>
      <x:c r="P419" s="36" t="str">
        <x:v>KERNAUSSAGE</x:v>
      </x:c>
      <x:c r="Q419" s="36" t="str">
        <x:v>Was wird der Geist der Wahrheit mit den Jüngern tun?</x:v>
      </x:c>
      <x:c r="R419" s="36" t="str">
        <x:v>Er wird sie von Jesu Worten wegführen.</x:v>
      </x:c>
      <x:c r="S419" s="36" t="str">
        <x:v>Er wird ihnen nur Zukunftsdaten nennen.</x:v>
      </x:c>
      <x:c r="T419" s="36" t="str">
        <x:v>Er wird alle Fragen verbieten.</x:v>
      </x:c>
      <x:c r="U419" s="36" t="str">
        <x:v>Er wird sie in alle Wahrheit leiten und Jesus verherrlichen.</x:v>
      </x:c>
      <x:c r="V419" s="36" t="n">
        <x:v>3</x:v>
      </x:c>
      <x:c r="W419" s="36" t="str">
        <x:v>Er wird sie in alle Wahrheit leiten und Jesus verherrlichen.</x:v>
      </x:c>
      <x:c r="X419" s="36" t="str">
        <x:v>Johannes 16,12–15</x:v>
      </x:c>
      <x:c r="Y419" s="36" t="str">
        <x:v>Der Geist führt in die Wahrheit und verherrlicht Jesus, indem er von dem nimmt, was Jesus gehört.</x:v>
      </x:c>
      <x:c r="Z419" s="36" t="str">
        <x:v>JA</x:v>
      </x:c>
      <x:c r="AA419" s="36" t="str">
        <x:v>JA</x:v>
      </x:c>
      <x:c r="AB419" s="36" t="str">
        <x:v>JA</x:v>
      </x:c>
      <x:c r="AC419" s="36" t="str">
        <x:v>JA</x:v>
      </x:c>
      <x:c r="AD419" s="36" t="str">
        <x:v>JA</x:v>
      </x:c>
      <x:c r="AE419" s="36" t="str">
        <x:v>JA</x:v>
      </x:c>
      <x:c r="AF419" s="36" t="str">
        <x:v>JA</x:v>
      </x:c>
      <x:c r="AG419" s="36" t="str">
        <x:v>FREIGEGEBEN</x:v>
      </x:c>
      <x:c r="AH419" s="36" t="str">
        <x:v>GPT-5.6 Sol · Buchprüfung Johannes · L1912/OTB</x:v>
      </x:c>
      <x:c r="AI419" s="36" t="str">
        <x:v>FREIGEGEBEN</x:v>
      </x:c>
      <x:c r="AJ419" s="36" t="str">
        <x:v>Johannes 16: repetitive Wiedererkennungsfrage durch KERNAUSSAGE-Frage ersetzt.</x:v>
      </x:c>
      <x:c r="AK419" s="36" t="str">
        <x:v>FaithPath repo develop/v4 · data/bibles/l1912/JHN.json · data/bibles/otb/JHN.json</x:v>
      </x:c>
      <x:c r="AL419" t="str">
        <x:v>JA</x:v>
      </x:c>
    </x:row>
    <x:row r="420">
      <x:c r="A420" t="str">
        <x:v>FP-0679</x:v>
      </x:c>
      <x:c r="B420" t="str">
        <x:v>JHN</x:v>
      </x:c>
      <x:c r="C420" t="str">
        <x:v>Johannes</x:v>
      </x:c>
      <x:c r="D420" t="n">
        <x:v>16</x:v>
      </x:c>
      <x:c r="E420" t="n">
        <x:v>4</x:v>
      </x:c>
      <x:c r="F420" t="str">
        <x:v>JHN-016</x:v>
      </x:c>
      <x:c r="G420" t="n">
        <x:v>84</x:v>
      </x:c>
      <x:c r="H420" t="str">
        <x:v>CQ-A05</x:v>
      </x:c>
      <x:c r="I420" s="36" t="str">
        <x:v>Welche dieser Aussagen stammt aus Johannes 16?</x:v>
      </x:c>
      <x:c r="J420" s="36" t="str"/>
      <x:c r="K420" s="36" t="str"/>
      <x:c r="L420" s="36" t="str">
        <x:v>REPO_VERIFIZIERT_FRAGEFORM</x:v>
      </x:c>
      <x:c r="M420" s="36" t="str">
        <x:v>ERSETZEN</x:v>
      </x:c>
      <x:c r="N420" s="36" t="str">
        <x:v>REPETITIVE_FRAGEFORM</x:v>
      </x:c>
      <x:c r="O420" s="36" t="str">
        <x:v>REINE_WIEDERERKENNUNG</x:v>
      </x:c>
      <x:c r="P420" s="36" t="str">
        <x:v>ZUSAMMENHANG</x:v>
      </x:c>
      <x:c r="Q420" s="36" t="str">
        <x:v>Mit welchem Bild erklärt Jesus den Wechsel von Trauer zu Freude?</x:v>
      </x:c>
      <x:c r="R420" s="36" t="str">
        <x:v>Mit einer Frau, die bei der Geburt Schmerzen hat und sich danach über das Kind freut.</x:v>
      </x:c>
      <x:c r="S420" s="36" t="str">
        <x:v>Mit einem Bauern, der keine Ernte erhält.</x:v>
      </x:c>
      <x:c r="T420" s="36" t="str">
        <x:v>Mit einem Soldaten nach dem Krieg.</x:v>
      </x:c>
      <x:c r="U420" s="36" t="str">
        <x:v>Mit einem Händler nach einem Verlust.</x:v>
      </x:c>
      <x:c r="V420" s="36" t="n">
        <x:v>0</x:v>
      </x:c>
      <x:c r="W420" s="36" t="str">
        <x:v>Mit einer Frau, die bei der Geburt Schmerzen hat und sich danach über das Kind freut.</x:v>
      </x:c>
      <x:c r="X420" s="36" t="str">
        <x:v>Johannes 16,20–22</x:v>
      </x:c>
      <x:c r="Y420" s="36" t="str">
        <x:v>Jesu Bild von Geburtsschmerz und anschließender Freude erklärt, wie die Trauer der Jünger verwandelt werden soll.</x:v>
      </x:c>
      <x:c r="Z420" s="36" t="str">
        <x:v>JA</x:v>
      </x:c>
      <x:c r="AA420" s="36" t="str">
        <x:v>JA</x:v>
      </x:c>
      <x:c r="AB420" s="36" t="str">
        <x:v>JA</x:v>
      </x:c>
      <x:c r="AC420" s="36" t="str">
        <x:v>JA</x:v>
      </x:c>
      <x:c r="AD420" s="36" t="str">
        <x:v>JA</x:v>
      </x:c>
      <x:c r="AE420" s="36" t="str">
        <x:v>JA</x:v>
      </x:c>
      <x:c r="AF420" s="36" t="str">
        <x:v>JA</x:v>
      </x:c>
      <x:c r="AG420" s="36" t="str">
        <x:v>FREIGEGEBEN</x:v>
      </x:c>
      <x:c r="AH420" s="36" t="str">
        <x:v>GPT-5.6 Sol · Buchprüfung Johannes · L1912/OTB</x:v>
      </x:c>
      <x:c r="AI420" s="36" t="str">
        <x:v>FREIGEGEBEN</x:v>
      </x:c>
      <x:c r="AJ420" s="36" t="str">
        <x:v>Johannes 16: repetitive Wiedererkennungsfrage durch ZUSAMMENHANG-Frage ersetzt.</x:v>
      </x:c>
      <x:c r="AK420" s="36" t="str">
        <x:v>FaithPath repo develop/v4 · data/bibles/l1912/JHN.json · data/bibles/otb/JHN.json</x:v>
      </x:c>
      <x:c r="AL420" t="str">
        <x:v>JA</x:v>
      </x:c>
    </x:row>
    <x:row r="421">
      <x:c r="A421" t="str">
        <x:v>FP-0680</x:v>
      </x:c>
      <x:c r="B421" t="str">
        <x:v>JHN</x:v>
      </x:c>
      <x:c r="C421" t="str">
        <x:v>Johannes</x:v>
      </x:c>
      <x:c r="D421" t="n">
        <x:v>16</x:v>
      </x:c>
      <x:c r="E421" t="n">
        <x:v>5</x:v>
      </x:c>
      <x:c r="F421" t="str">
        <x:v>JHN-016</x:v>
      </x:c>
      <x:c r="G421" t="n">
        <x:v>84</x:v>
      </x:c>
      <x:c r="H421" t="str">
        <x:v>CQ-A05</x:v>
      </x:c>
      <x:c r="I421" s="36" t="str">
        <x:v>Welche dieser Aussagen stammt aus Johannes 16?</x:v>
      </x:c>
      <x:c r="J421" s="36" t="str"/>
      <x:c r="K421" s="36" t="str"/>
      <x:c r="L421" s="36" t="str">
        <x:v>REPO_VERIFIZIERT_FRAGEFORM</x:v>
      </x:c>
      <x:c r="M421" s="36" t="str">
        <x:v>ERSETZEN</x:v>
      </x:c>
      <x:c r="N421" s="36" t="str">
        <x:v>REPETITIVE_FRAGEFORM</x:v>
      </x:c>
      <x:c r="O421" s="36" t="str">
        <x:v>REINE_WIEDERERKENNUNG</x:v>
      </x:c>
      <x:c r="P421" s="36" t="str">
        <x:v>KERNAUSSAGE</x:v>
      </x:c>
      <x:c r="Q421" s="36" t="str">
        <x:v>Welche Ermutigung gibt Jesus am Ende des Kapitels?</x:v>
      </x:c>
      <x:c r="R421" s="36" t="str">
        <x:v>In der Welt wird es für euch keine Schwierigkeiten geben.</x:v>
      </x:c>
      <x:c r="S421" s="36" t="str">
        <x:v>In der Welt habt ihr Bedrängnis; aber seid getrost, ich habe die Welt überwunden.</x:v>
      </x:c>
      <x:c r="T421" s="36" t="str">
        <x:v>Verlasst die Welt sofort.</x:v>
      </x:c>
      <x:c r="U421" s="36" t="str">
        <x:v>Ihr müsst die Welt selbst überwinden.</x:v>
      </x:c>
      <x:c r="V421" s="36" t="n">
        <x:v>1</x:v>
      </x:c>
      <x:c r="W421" s="36" t="str">
        <x:v>In der Welt habt ihr Bedrängnis; aber seid getrost, ich habe die Welt überwunden.</x:v>
      </x:c>
      <x:c r="X421" s="36" t="str">
        <x:v>Johannes 16,33</x:v>
      </x:c>
      <x:c r="Y421" s="36" t="str">
        <x:v>Jesus verbindet realistische Erwartung von Bedrängnis mit der Ermutigung aus seinem eigenen Sieg.</x:v>
      </x:c>
      <x:c r="Z421" s="36" t="str">
        <x:v>JA</x:v>
      </x:c>
      <x:c r="AA421" s="36" t="str">
        <x:v>JA</x:v>
      </x:c>
      <x:c r="AB421" s="36" t="str">
        <x:v>JA</x:v>
      </x:c>
      <x:c r="AC421" s="36" t="str">
        <x:v>JA</x:v>
      </x:c>
      <x:c r="AD421" s="36" t="str">
        <x:v>JA</x:v>
      </x:c>
      <x:c r="AE421" s="36" t="str">
        <x:v>JA</x:v>
      </x:c>
      <x:c r="AF421" s="36" t="str">
        <x:v>JA</x:v>
      </x:c>
      <x:c r="AG421" s="36" t="str">
        <x:v>FREIGEGEBEN</x:v>
      </x:c>
      <x:c r="AH421" s="36" t="str">
        <x:v>GPT-5.6 Sol · Buchprüfung Johannes · L1912/OTB</x:v>
      </x:c>
      <x:c r="AI421" s="36" t="str">
        <x:v>FREIGEGEBEN</x:v>
      </x:c>
      <x:c r="AJ421" s="36" t="str">
        <x:v>Johannes 16: repetitive Wiedererkennungsfrage durch KERNAUSSAGE-Frage ersetzt.</x:v>
      </x:c>
      <x:c r="AK421" s="36" t="str">
        <x:v>FaithPath repo develop/v4 · data/bibles/l1912/JHN.json · data/bibles/otb/JHN.json</x:v>
      </x:c>
      <x:c r="AL421" t="str">
        <x:v>JA</x:v>
      </x:c>
    </x:row>
    <x:row r="422">
      <x:c r="A422" t="str">
        <x:v>FP-0681</x:v>
      </x:c>
      <x:c r="B422" t="str">
        <x:v>JHN</x:v>
      </x:c>
      <x:c r="C422" t="str">
        <x:v>Johannes</x:v>
      </x:c>
      <x:c r="D422" t="n">
        <x:v>17</x:v>
      </x:c>
      <x:c r="E422" t="n">
        <x:v>1</x:v>
      </x:c>
      <x:c r="F422" t="str">
        <x:v>JHN-017</x:v>
      </x:c>
      <x:c r="G422" t="n">
        <x:v>85</x:v>
      </x:c>
      <x:c r="H422" t="str">
        <x:v>CQ-A05</x:v>
      </x:c>
      <x:c r="I422" s="36" t="str">
        <x:v>Welche dieser Aussagen stammt aus Johannes 17?</x:v>
      </x:c>
      <x:c r="J422" s="36" t="str"/>
      <x:c r="K422" s="36" t="str"/>
      <x:c r="L422" s="36" t="str">
        <x:v>REPO_VERIFIZIERT_FRAGEFORM</x:v>
      </x:c>
      <x:c r="M422" s="36" t="str">
        <x:v>ERSETZEN</x:v>
      </x:c>
      <x:c r="N422" s="36" t="str">
        <x:v>REPETITIVE_FRAGEFORM</x:v>
      </x:c>
      <x:c r="O422" s="36" t="str">
        <x:v>REINE_WIEDERERKENNUNG</x:v>
      </x:c>
      <x:c r="P422" s="36" t="str">
        <x:v>KERNAUSSAGE</x:v>
      </x:c>
      <x:c r="Q422" s="36" t="str">
        <x:v>Wie definiert Jesus in seinem Gebet das ewige Leben?</x:v>
      </x:c>
      <x:c r="R422" s="36" t="str">
        <x:v>Möglichst lange auf der Erde zu leben.</x:v>
      </x:c>
      <x:c r="S422" s="36" t="str">
        <x:v>Viele Zeichen zu sehen.</x:v>
      </x:c>
      <x:c r="T422" s="36" t="str">
        <x:v>Den allein wahren Gott zu erkennen und Jesus Christus, den er gesandt hat.</x:v>
      </x:c>
      <x:c r="U422" s="36" t="str">
        <x:v>Den Tempel regelmäßig zu besuchen.</x:v>
      </x:c>
      <x:c r="V422" s="36" t="n">
        <x:v>2</x:v>
      </x:c>
      <x:c r="W422" s="36" t="str">
        <x:v>Den allein wahren Gott zu erkennen und Jesus Christus, den er gesandt hat.</x:v>
      </x:c>
      <x:c r="X422" s="36" t="str">
        <x:v>Johannes 17,1–3</x:v>
      </x:c>
      <x:c r="Y422" s="36" t="str">
        <x:v>Jesus beschreibt ewiges Leben als Beziehungserkenntnis Gottes und des gesandten Jesus Christus.</x:v>
      </x:c>
      <x:c r="Z422" s="36" t="str">
        <x:v>JA</x:v>
      </x:c>
      <x:c r="AA422" s="36" t="str">
        <x:v>JA</x:v>
      </x:c>
      <x:c r="AB422" s="36" t="str">
        <x:v>JA</x:v>
      </x:c>
      <x:c r="AC422" s="36" t="str">
        <x:v>JA</x:v>
      </x:c>
      <x:c r="AD422" s="36" t="str">
        <x:v>JA</x:v>
      </x:c>
      <x:c r="AE422" s="36" t="str">
        <x:v>JA</x:v>
      </x:c>
      <x:c r="AF422" s="36" t="str">
        <x:v>JA</x:v>
      </x:c>
      <x:c r="AG422" s="36" t="str">
        <x:v>FREIGEGEBEN</x:v>
      </x:c>
      <x:c r="AH422" s="36" t="str">
        <x:v>GPT-5.6 Sol · Buchprüfung Johannes · L1912/OTB</x:v>
      </x:c>
      <x:c r="AI422" s="36" t="str">
        <x:v>FREIGEGEBEN</x:v>
      </x:c>
      <x:c r="AJ422" s="36" t="str">
        <x:v>Johannes 17: repetitive Wiedererkennungsfrage durch KERNAUSSAGE-Frage ersetzt.</x:v>
      </x:c>
      <x:c r="AK422" s="36" t="str">
        <x:v>FaithPath repo develop/v4 · data/bibles/l1912/JHN.json · data/bibles/otb/JHN.json</x:v>
      </x:c>
      <x:c r="AL422" t="str">
        <x:v>JA</x:v>
      </x:c>
    </x:row>
    <x:row r="423">
      <x:c r="A423" t="str">
        <x:v>FP-0682</x:v>
      </x:c>
      <x:c r="B423" t="str">
        <x:v>JHN</x:v>
      </x:c>
      <x:c r="C423" t="str">
        <x:v>Johannes</x:v>
      </x:c>
      <x:c r="D423" t="n">
        <x:v>17</x:v>
      </x:c>
      <x:c r="E423" t="n">
        <x:v>2</x:v>
      </x:c>
      <x:c r="F423" t="str">
        <x:v>JHN-017</x:v>
      </x:c>
      <x:c r="G423" t="n">
        <x:v>85</x:v>
      </x:c>
      <x:c r="H423" t="str">
        <x:v>CQ-A05</x:v>
      </x:c>
      <x:c r="I423" s="36" t="str">
        <x:v>Welche dieser Aussagen stammt aus Johannes 17?</x:v>
      </x:c>
      <x:c r="J423" s="36" t="str"/>
      <x:c r="K423" s="36" t="str"/>
      <x:c r="L423" s="36" t="str">
        <x:v>REPO_VERIFIZIERT_FRAGEFORM</x:v>
      </x:c>
      <x:c r="M423" s="36" t="str">
        <x:v>ERSETZEN</x:v>
      </x:c>
      <x:c r="N423" s="36" t="str">
        <x:v>REPETITIVE_FRAGEFORM</x:v>
      </x:c>
      <x:c r="O423" s="36" t="str">
        <x:v>REINE_WIEDERERKENNUNG</x:v>
      </x:c>
      <x:c r="P423" s="36" t="str">
        <x:v>KERNAUSSAGE</x:v>
      </x:c>
      <x:c r="Q423" s="36" t="str">
        <x:v>Wofür bittet Jesus im Blick auf seine Jünger, die in der Welt bleiben?</x:v>
      </x:c>
      <x:c r="R423" s="36" t="str">
        <x:v>Sie sollen sofort aus der Welt genommen werden.</x:v>
      </x:c>
      <x:c r="S423" s="36" t="str">
        <x:v>Sie sollen reich werden.</x:v>
      </x:c>
      <x:c r="T423" s="36" t="str">
        <x:v>Sie sollen niemals verfolgt werden.</x:v>
      </x:c>
      <x:c r="U423" s="36" t="str">
        <x:v>Der Vater soll sie bewahren, damit sie eins sind.</x:v>
      </x:c>
      <x:c r="V423" s="36" t="n">
        <x:v>3</x:v>
      </x:c>
      <x:c r="W423" s="36" t="str">
        <x:v>Der Vater soll sie bewahren, damit sie eins sind.</x:v>
      </x:c>
      <x:c r="X423" s="36" t="str">
        <x:v>Johannes 17,9–11</x:v>
      </x:c>
      <x:c r="Y423" s="36" t="str">
        <x:v>Jesus bittet nicht um Herausnahme aus der Welt, sondern um Bewahrung und Einheit.</x:v>
      </x:c>
      <x:c r="Z423" s="36" t="str">
        <x:v>JA</x:v>
      </x:c>
      <x:c r="AA423" s="36" t="str">
        <x:v>JA</x:v>
      </x:c>
      <x:c r="AB423" s="36" t="str">
        <x:v>JA</x:v>
      </x:c>
      <x:c r="AC423" s="36" t="str">
        <x:v>JA</x:v>
      </x:c>
      <x:c r="AD423" s="36" t="str">
        <x:v>JA</x:v>
      </x:c>
      <x:c r="AE423" s="36" t="str">
        <x:v>JA</x:v>
      </x:c>
      <x:c r="AF423" s="36" t="str">
        <x:v>JA</x:v>
      </x:c>
      <x:c r="AG423" s="36" t="str">
        <x:v>FREIGEGEBEN</x:v>
      </x:c>
      <x:c r="AH423" s="36" t="str">
        <x:v>GPT-5.6 Sol · Buchprüfung Johannes · L1912/OTB</x:v>
      </x:c>
      <x:c r="AI423" s="36" t="str">
        <x:v>FREIGEGEBEN</x:v>
      </x:c>
      <x:c r="AJ423" s="36" t="str">
        <x:v>Johannes 17: repetitive Wiedererkennungsfrage durch KERNAUSSAGE-Frage ersetzt.</x:v>
      </x:c>
      <x:c r="AK423" s="36" t="str">
        <x:v>FaithPath repo develop/v4 · data/bibles/l1912/JHN.json · data/bibles/otb/JHN.json</x:v>
      </x:c>
      <x:c r="AL423" t="str">
        <x:v>JA</x:v>
      </x:c>
    </x:row>
    <x:row r="424">
      <x:c r="A424" t="str">
        <x:v>FP-0683</x:v>
      </x:c>
      <x:c r="B424" t="str">
        <x:v>JHN</x:v>
      </x:c>
      <x:c r="C424" t="str">
        <x:v>Johannes</x:v>
      </x:c>
      <x:c r="D424" t="n">
        <x:v>17</x:v>
      </x:c>
      <x:c r="E424" t="n">
        <x:v>3</x:v>
      </x:c>
      <x:c r="F424" t="str">
        <x:v>JHN-017</x:v>
      </x:c>
      <x:c r="G424" t="n">
        <x:v>85</x:v>
      </x:c>
      <x:c r="H424" t="str">
        <x:v>CQ-A05</x:v>
      </x:c>
      <x:c r="I424" s="36" t="str">
        <x:v>Welche dieser Aussagen stammt aus Johannes 17?</x:v>
      </x:c>
      <x:c r="J424" s="36" t="str"/>
      <x:c r="K424" s="36" t="str"/>
      <x:c r="L424" s="36" t="str">
        <x:v>REPO_VERIFIZIERT_FRAGEFORM</x:v>
      </x:c>
      <x:c r="M424" s="36" t="str">
        <x:v>ERSETZEN</x:v>
      </x:c>
      <x:c r="N424" s="36" t="str">
        <x:v>REPETITIVE_FRAGEFORM</x:v>
      </x:c>
      <x:c r="O424" s="36" t="str">
        <x:v>REINE_WIEDERERKENNUNG</x:v>
      </x:c>
      <x:c r="P424" s="36" t="str">
        <x:v>KERNAUSSAGE</x:v>
      </x:c>
      <x:c r="Q424" s="36" t="str">
        <x:v>Wie sollen die Jünger nach Jesu Gebet geheiligt werden?</x:v>
      </x:c>
      <x:c r="R424" s="36" t="str">
        <x:v>In der Wahrheit; Gottes Wort ist Wahrheit.</x:v>
      </x:c>
      <x:c r="S424" s="36" t="str">
        <x:v>Durch politische Macht.</x:v>
      </x:c>
      <x:c r="T424" s="36" t="str">
        <x:v>Durch Rückzug aus jeder Gemeinschaft.</x:v>
      </x:c>
      <x:c r="U424" s="36" t="str">
        <x:v>Durch Besitz.</x:v>
      </x:c>
      <x:c r="V424" s="36" t="n">
        <x:v>0</x:v>
      </x:c>
      <x:c r="W424" s="36" t="str">
        <x:v>In der Wahrheit; Gottes Wort ist Wahrheit.</x:v>
      </x:c>
      <x:c r="X424" s="36" t="str">
        <x:v>Johannes 17,15–19</x:v>
      </x:c>
      <x:c r="Y424" s="36" t="str">
        <x:v>Jesus bittet um Bewahrung vor dem Bösen und um Heiligung in der Wahrheit, die er mit Gottes Wort verbindet.</x:v>
      </x:c>
      <x:c r="Z424" s="36" t="str">
        <x:v>JA</x:v>
      </x:c>
      <x:c r="AA424" s="36" t="str">
        <x:v>JA</x:v>
      </x:c>
      <x:c r="AB424" s="36" t="str">
        <x:v>JA</x:v>
      </x:c>
      <x:c r="AC424" s="36" t="str">
        <x:v>JA</x:v>
      </x:c>
      <x:c r="AD424" s="36" t="str">
        <x:v>JA</x:v>
      </x:c>
      <x:c r="AE424" s="36" t="str">
        <x:v>JA</x:v>
      </x:c>
      <x:c r="AF424" s="36" t="str">
        <x:v>JA</x:v>
      </x:c>
      <x:c r="AG424" s="36" t="str">
        <x:v>FREIGEGEBEN</x:v>
      </x:c>
      <x:c r="AH424" s="36" t="str">
        <x:v>GPT-5.6 Sol · Buchprüfung Johannes · L1912/OTB</x:v>
      </x:c>
      <x:c r="AI424" s="36" t="str">
        <x:v>FREIGEGEBEN</x:v>
      </x:c>
      <x:c r="AJ424" s="36" t="str">
        <x:v>Johannes 17: repetitive Wiedererkennungsfrage durch KERNAUSSAGE-Frage ersetzt.</x:v>
      </x:c>
      <x:c r="AK424" s="36" t="str">
        <x:v>FaithPath repo develop/v4 · data/bibles/l1912/JHN.json · data/bibles/otb/JHN.json</x:v>
      </x:c>
      <x:c r="AL424" t="str">
        <x:v>JA</x:v>
      </x:c>
    </x:row>
    <x:row r="425">
      <x:c r="A425" t="str">
        <x:v>FP-0684</x:v>
      </x:c>
      <x:c r="B425" t="str">
        <x:v>JHN</x:v>
      </x:c>
      <x:c r="C425" t="str">
        <x:v>Johannes</x:v>
      </x:c>
      <x:c r="D425" t="n">
        <x:v>17</x:v>
      </x:c>
      <x:c r="E425" t="n">
        <x:v>4</x:v>
      </x:c>
      <x:c r="F425" t="str">
        <x:v>JHN-017</x:v>
      </x:c>
      <x:c r="G425" t="n">
        <x:v>85</x:v>
      </x:c>
      <x:c r="H425" t="str">
        <x:v>CQ-A05</x:v>
      </x:c>
      <x:c r="I425" s="36" t="str">
        <x:v>Welche dieser Aussagen stammt aus Johannes 17?</x:v>
      </x:c>
      <x:c r="J425" s="36" t="str"/>
      <x:c r="K425" s="36" t="str"/>
      <x:c r="L425" s="36" t="str">
        <x:v>REPO_VERIFIZIERT_FRAGEFORM</x:v>
      </x:c>
      <x:c r="M425" s="36" t="str">
        <x:v>ERSETZEN</x:v>
      </x:c>
      <x:c r="N425" s="36" t="str">
        <x:v>REPETITIVE_FRAGEFORM</x:v>
      </x:c>
      <x:c r="O425" s="36" t="str">
        <x:v>REINE_WIEDERERKENNUNG</x:v>
      </x:c>
      <x:c r="P425" s="36" t="str">
        <x:v>KERNAUSSAGE</x:v>
      </x:c>
      <x:c r="Q425" s="36" t="str">
        <x:v>Wofür betet Jesus auch im Blick auf zukünftige Glaubende?</x:v>
      </x:c>
      <x:c r="R425" s="36" t="str">
        <x:v>Dass sie alle in Jerusalem wohnen.</x:v>
      </x:c>
      <x:c r="S425" s="36" t="str">
        <x:v>Dass sie alle eins seien.</x:v>
      </x:c>
      <x:c r="T425" s="36" t="str">
        <x:v>Dass sie niemals unterschiedlicher Meinung sind.</x:v>
      </x:c>
      <x:c r="U425" s="36" t="str">
        <x:v>Dass sie keine Verfolgung erleben.</x:v>
      </x:c>
      <x:c r="V425" s="36" t="n">
        <x:v>1</x:v>
      </x:c>
      <x:c r="W425" s="36" t="str">
        <x:v>Dass sie alle eins seien.</x:v>
      </x:c>
      <x:c r="X425" s="36" t="str">
        <x:v>Johannes 17,20–23</x:v>
      </x:c>
      <x:c r="Y425" s="36" t="str">
        <x:v>Jesus schließt ausdrücklich diejenigen ein, die durch das Wort der Jünger glauben werden, und bittet um ihre Einheit.</x:v>
      </x:c>
      <x:c r="Z425" s="36" t="str">
        <x:v>JA</x:v>
      </x:c>
      <x:c r="AA425" s="36" t="str">
        <x:v>JA</x:v>
      </x:c>
      <x:c r="AB425" s="36" t="str">
        <x:v>JA</x:v>
      </x:c>
      <x:c r="AC425" s="36" t="str">
        <x:v>JA</x:v>
      </x:c>
      <x:c r="AD425" s="36" t="str">
        <x:v>JA</x:v>
      </x:c>
      <x:c r="AE425" s="36" t="str">
        <x:v>JA</x:v>
      </x:c>
      <x:c r="AF425" s="36" t="str">
        <x:v>JA</x:v>
      </x:c>
      <x:c r="AG425" s="36" t="str">
        <x:v>FREIGEGEBEN</x:v>
      </x:c>
      <x:c r="AH425" s="36" t="str">
        <x:v>GPT-5.6 Sol · Buchprüfung Johannes · L1912/OTB</x:v>
      </x:c>
      <x:c r="AI425" s="36" t="str">
        <x:v>FREIGEGEBEN</x:v>
      </x:c>
      <x:c r="AJ425" s="36" t="str">
        <x:v>Johannes 17: repetitive Wiedererkennungsfrage durch KERNAUSSAGE-Frage ersetzt.</x:v>
      </x:c>
      <x:c r="AK425" s="36" t="str">
        <x:v>FaithPath repo develop/v4 · data/bibles/l1912/JHN.json · data/bibles/otb/JHN.json</x:v>
      </x:c>
      <x:c r="AL425" t="str">
        <x:v>JA</x:v>
      </x:c>
    </x:row>
    <x:row r="426">
      <x:c r="A426" t="str">
        <x:v>FP-0685</x:v>
      </x:c>
      <x:c r="B426" t="str">
        <x:v>JHN</x:v>
      </x:c>
      <x:c r="C426" t="str">
        <x:v>Johannes</x:v>
      </x:c>
      <x:c r="D426" t="n">
        <x:v>17</x:v>
      </x:c>
      <x:c r="E426" t="n">
        <x:v>5</x:v>
      </x:c>
      <x:c r="F426" t="str">
        <x:v>JHN-017</x:v>
      </x:c>
      <x:c r="G426" t="n">
        <x:v>85</x:v>
      </x:c>
      <x:c r="H426" t="str">
        <x:v>CQ-A05</x:v>
      </x:c>
      <x:c r="I426" s="36" t="str">
        <x:v>Welche dieser Aussagen stammt aus Johannes 17?</x:v>
      </x:c>
      <x:c r="J426" s="36" t="str"/>
      <x:c r="K426" s="36" t="str"/>
      <x:c r="L426" s="36" t="str">
        <x:v>REPO_VERIFIZIERT_FRAGEFORM</x:v>
      </x:c>
      <x:c r="M426" s="36" t="str">
        <x:v>ERSETZEN</x:v>
      </x:c>
      <x:c r="N426" s="36" t="str">
        <x:v>REPETITIVE_FRAGEFORM</x:v>
      </x:c>
      <x:c r="O426" s="36" t="str">
        <x:v>REINE_WIEDERERKENNUNG</x:v>
      </x:c>
      <x:c r="P426" s="36" t="str">
        <x:v>KERNAUSSAGE</x:v>
      </x:c>
      <x:c r="Q426" s="36" t="str">
        <x:v>Welchen Wunsch äußert Jesus für die Menschen, die der Vater ihm gegeben hat?</x:v>
      </x:c>
      <x:c r="R426" s="36" t="str">
        <x:v>Dass sie ihn nie wieder sehen.</x:v>
      </x:c>
      <x:c r="S426" s="36" t="str">
        <x:v>Dass sie über andere herrschen.</x:v>
      </x:c>
      <x:c r="T426" s="36" t="str">
        <x:v>Dass sie bei ihm seien und seine Herrlichkeit sehen.</x:v>
      </x:c>
      <x:c r="U426" s="36" t="str">
        <x:v>Dass sie im Tempel wohnen.</x:v>
      </x:c>
      <x:c r="V426" s="36" t="n">
        <x:v>2</x:v>
      </x:c>
      <x:c r="W426" s="36" t="str">
        <x:v>Dass sie bei ihm seien und seine Herrlichkeit sehen.</x:v>
      </x:c>
      <x:c r="X426" s="36" t="str">
        <x:v>Johannes 17,24</x:v>
      </x:c>
      <x:c r="Y426" s="36" t="str">
        <x:v>Jesus bittet darum, dass die Seinen bei ihm sein und seine Herrlichkeit sehen sollen.</x:v>
      </x:c>
      <x:c r="Z426" s="36" t="str">
        <x:v>JA</x:v>
      </x:c>
      <x:c r="AA426" s="36" t="str">
        <x:v>JA</x:v>
      </x:c>
      <x:c r="AB426" s="36" t="str">
        <x:v>JA</x:v>
      </x:c>
      <x:c r="AC426" s="36" t="str">
        <x:v>JA</x:v>
      </x:c>
      <x:c r="AD426" s="36" t="str">
        <x:v>JA</x:v>
      </x:c>
      <x:c r="AE426" s="36" t="str">
        <x:v>JA</x:v>
      </x:c>
      <x:c r="AF426" s="36" t="str">
        <x:v>JA</x:v>
      </x:c>
      <x:c r="AG426" s="36" t="str">
        <x:v>FREIGEGEBEN</x:v>
      </x:c>
      <x:c r="AH426" s="36" t="str">
        <x:v>GPT-5.6 Sol · Buchprüfung Johannes · L1912/OTB</x:v>
      </x:c>
      <x:c r="AI426" s="36" t="str">
        <x:v>FREIGEGEBEN</x:v>
      </x:c>
      <x:c r="AJ426" s="36" t="str">
        <x:v>Johannes 17: repetitive Wiedererkennungsfrage durch KERNAUSSAGE-Frage ersetzt.</x:v>
      </x:c>
      <x:c r="AK426" s="36" t="str">
        <x:v>FaithPath repo develop/v4 · data/bibles/l1912/JHN.json · data/bibles/otb/JHN.json</x:v>
      </x:c>
      <x:c r="AL426" t="str">
        <x:v>JA</x:v>
      </x:c>
    </x:row>
    <x:row r="427">
      <x:c r="A427" t="str">
        <x:v>FP-0686</x:v>
      </x:c>
      <x:c r="B427" t="str">
        <x:v>JHN</x:v>
      </x:c>
      <x:c r="C427" t="str">
        <x:v>Johannes</x:v>
      </x:c>
      <x:c r="D427" t="n">
        <x:v>18</x:v>
      </x:c>
      <x:c r="E427" t="n">
        <x:v>1</x:v>
      </x:c>
      <x:c r="F427" t="str">
        <x:v>JHN-018</x:v>
      </x:c>
      <x:c r="G427" t="n">
        <x:v>86</x:v>
      </x:c>
      <x:c r="H427" t="str">
        <x:v>CQ-A05</x:v>
      </x:c>
      <x:c r="I427" s="36" t="str">
        <x:v>Welche dieser Aussagen stammt aus Johannes 18?</x:v>
      </x:c>
      <x:c r="J427" s="36" t="str"/>
      <x:c r="K427" s="36" t="str"/>
      <x:c r="L427" s="36" t="str">
        <x:v>REPO_VERIFIZIERT_FRAGEFORM</x:v>
      </x:c>
      <x:c r="M427" s="36" t="str">
        <x:v>ERSETZEN</x:v>
      </x:c>
      <x:c r="N427" s="36" t="str">
        <x:v>REPETITIVE_FRAGEFORM</x:v>
      </x:c>
      <x:c r="O427" s="36" t="str">
        <x:v>REINE_WIEDERERKENNUNG</x:v>
      </x:c>
      <x:c r="P427" s="36" t="str">
        <x:v>GESCHEHEN</x:v>
      </x:c>
      <x:c r="Q427" s="36" t="str">
        <x:v>Was geschieht, als Jesus bei seiner Festnahme sagt: „Ich bin's“?</x:v>
      </x:c>
      <x:c r="R427" s="36" t="str">
        <x:v>Jesus flieht sofort.</x:v>
      </x:c>
      <x:c r="S427" s="36" t="str">
        <x:v>Petrus wird festgenommen.</x:v>
      </x:c>
      <x:c r="T427" s="36" t="str">
        <x:v>Judas zieht sein Schwert.</x:v>
      </x:c>
      <x:c r="U427" s="36" t="str">
        <x:v>Die Männer weichen zurück und fallen zu Boden.</x:v>
      </x:c>
      <x:c r="V427" s="36" t="n">
        <x:v>3</x:v>
      </x:c>
      <x:c r="W427" s="36" t="str">
        <x:v>Die Männer weichen zurück und fallen zu Boden.</x:v>
      </x:c>
      <x:c r="X427" s="36" t="str">
        <x:v>Johannes 18,4–6</x:v>
      </x:c>
      <x:c r="Y427" s="36" t="str">
        <x:v>Als Jesus sich zu erkennen gibt, weichen die Festnehmenden zurück und fallen zu Boden.</x:v>
      </x:c>
      <x:c r="Z427" s="36" t="str">
        <x:v>JA</x:v>
      </x:c>
      <x:c r="AA427" s="36" t="str">
        <x:v>JA</x:v>
      </x:c>
      <x:c r="AB427" s="36" t="str">
        <x:v>JA</x:v>
      </x:c>
      <x:c r="AC427" s="36" t="str">
        <x:v>JA</x:v>
      </x:c>
      <x:c r="AD427" s="36" t="str">
        <x:v>JA</x:v>
      </x:c>
      <x:c r="AE427" s="36" t="str">
        <x:v>JA</x:v>
      </x:c>
      <x:c r="AF427" s="36" t="str">
        <x:v>JA</x:v>
      </x:c>
      <x:c r="AG427" s="36" t="str">
        <x:v>FREIGEGEBEN</x:v>
      </x:c>
      <x:c r="AH427" s="36" t="str">
        <x:v>GPT-5.6 Sol · Buchprüfung Johannes · L1912/OTB</x:v>
      </x:c>
      <x:c r="AI427" s="36" t="str">
        <x:v>FREIGEGEBEN</x:v>
      </x:c>
      <x:c r="AJ427" s="36" t="str">
        <x:v>Johannes 18: repetitive Wiedererkennungsfrage durch GESCHEHEN-Frage ersetzt.</x:v>
      </x:c>
      <x:c r="AK427" s="36" t="str">
        <x:v>FaithPath repo develop/v4 · data/bibles/l1912/JHN.json · data/bibles/otb/JHN.json</x:v>
      </x:c>
      <x:c r="AL427" t="str">
        <x:v>JA</x:v>
      </x:c>
    </x:row>
    <x:row r="428">
      <x:c r="A428" t="str">
        <x:v>FP-0687</x:v>
      </x:c>
      <x:c r="B428" t="str">
        <x:v>JHN</x:v>
      </x:c>
      <x:c r="C428" t="str">
        <x:v>Johannes</x:v>
      </x:c>
      <x:c r="D428" t="n">
        <x:v>18</x:v>
      </x:c>
      <x:c r="E428" t="n">
        <x:v>2</x:v>
      </x:c>
      <x:c r="F428" t="str">
        <x:v>JHN-018</x:v>
      </x:c>
      <x:c r="G428" t="n">
        <x:v>86</x:v>
      </x:c>
      <x:c r="H428" t="str">
        <x:v>CQ-A05</x:v>
      </x:c>
      <x:c r="I428" s="36" t="str">
        <x:v>Welche dieser Aussagen stammt aus Johannes 18?</x:v>
      </x:c>
      <x:c r="J428" s="36" t="str"/>
      <x:c r="K428" s="36" t="str"/>
      <x:c r="L428" s="36" t="str">
        <x:v>REPO_VERIFIZIERT_FRAGEFORM</x:v>
      </x:c>
      <x:c r="M428" s="36" t="str">
        <x:v>ERSETZEN</x:v>
      </x:c>
      <x:c r="N428" s="36" t="str">
        <x:v>REPETITIVE_FRAGEFORM</x:v>
      </x:c>
      <x:c r="O428" s="36" t="str">
        <x:v>REINE_WIEDERERKENNUNG</x:v>
      </x:c>
      <x:c r="P428" s="36" t="str">
        <x:v>GESCHEHEN</x:v>
      </x:c>
      <x:c r="Q428" s="36" t="str">
        <x:v>Was tut Petrus bei der Festnahme Jesu?</x:v>
      </x:c>
      <x:c r="R428" s="36" t="str">
        <x:v>Er zieht ein Schwert und schlägt dem Knecht des Hohenpriesters ein Ohr ab.</x:v>
      </x:c>
      <x:c r="S428" s="36" t="str">
        <x:v>Er läuft sofort nach Hause.</x:v>
      </x:c>
      <x:c r="T428" s="36" t="str">
        <x:v>Er verhaftet Judas.</x:v>
      </x:c>
      <x:c r="U428" s="36" t="str">
        <x:v>Er legt sein Schwert freiwillig vor die Soldaten.</x:v>
      </x:c>
      <x:c r="V428" s="36" t="n">
        <x:v>0</x:v>
      </x:c>
      <x:c r="W428" s="36" t="str">
        <x:v>Er zieht ein Schwert und schlägt dem Knecht des Hohenpriesters ein Ohr ab.</x:v>
      </x:c>
      <x:c r="X428" s="36" t="str">
        <x:v>Johannes 18,10–11</x:v>
      </x:c>
      <x:c r="Y428" s="36" t="str">
        <x:v>Petrus greift mit dem Schwert an; Jesus weist ihn zurecht und nimmt den Weg an, der vor ihm liegt.</x:v>
      </x:c>
      <x:c r="Z428" s="36" t="str">
        <x:v>JA</x:v>
      </x:c>
      <x:c r="AA428" s="36" t="str">
        <x:v>JA</x:v>
      </x:c>
      <x:c r="AB428" s="36" t="str">
        <x:v>JA</x:v>
      </x:c>
      <x:c r="AC428" s="36" t="str">
        <x:v>JA</x:v>
      </x:c>
      <x:c r="AD428" s="36" t="str">
        <x:v>JA</x:v>
      </x:c>
      <x:c r="AE428" s="36" t="str">
        <x:v>JA</x:v>
      </x:c>
      <x:c r="AF428" s="36" t="str">
        <x:v>JA</x:v>
      </x:c>
      <x:c r="AG428" s="36" t="str">
        <x:v>FREIGEGEBEN</x:v>
      </x:c>
      <x:c r="AH428" s="36" t="str">
        <x:v>GPT-5.6 Sol · Buchprüfung Johannes · L1912/OTB</x:v>
      </x:c>
      <x:c r="AI428" s="36" t="str">
        <x:v>FREIGEGEBEN</x:v>
      </x:c>
      <x:c r="AJ428" s="36" t="str">
        <x:v>Johannes 18: repetitive Wiedererkennungsfrage durch GESCHEHEN-Frage ersetzt.</x:v>
      </x:c>
      <x:c r="AK428" s="36" t="str">
        <x:v>FaithPath repo develop/v4 · data/bibles/l1912/JHN.json · data/bibles/otb/JHN.json</x:v>
      </x:c>
      <x:c r="AL428" t="str">
        <x:v>JA</x:v>
      </x:c>
    </x:row>
    <x:row r="429">
      <x:c r="A429" t="str">
        <x:v>FP-0688</x:v>
      </x:c>
      <x:c r="B429" t="str">
        <x:v>JHN</x:v>
      </x:c>
      <x:c r="C429" t="str">
        <x:v>Johannes</x:v>
      </x:c>
      <x:c r="D429" t="n">
        <x:v>18</x:v>
      </x:c>
      <x:c r="E429" t="n">
        <x:v>3</x:v>
      </x:c>
      <x:c r="F429" t="str">
        <x:v>JHN-018</x:v>
      </x:c>
      <x:c r="G429" t="n">
        <x:v>86</x:v>
      </x:c>
      <x:c r="H429" t="str">
        <x:v>CQ-A05</x:v>
      </x:c>
      <x:c r="I429" s="36" t="str">
        <x:v>Welche dieser Aussagen stammt aus Johannes 18?</x:v>
      </x:c>
      <x:c r="J429" s="36" t="str"/>
      <x:c r="K429" s="36" t="str"/>
      <x:c r="L429" s="36" t="str">
        <x:v>REPO_VERIFIZIERT_FRAGEFORM</x:v>
      </x:c>
      <x:c r="M429" s="36" t="str">
        <x:v>ERSETZEN</x:v>
      </x:c>
      <x:c r="N429" s="36" t="str">
        <x:v>REPETITIVE_FRAGEFORM</x:v>
      </x:c>
      <x:c r="O429" s="36" t="str">
        <x:v>REINE_WIEDERERKENNUNG</x:v>
      </x:c>
      <x:c r="P429" s="36" t="str">
        <x:v>GESCHEHEN</x:v>
      </x:c>
      <x:c r="Q429" s="36" t="str">
        <x:v>Wie oft verleugnet Petrus, ein Jünger Jesu zu sein?</x:v>
      </x:c>
      <x:c r="R429" s="36" t="str">
        <x:v>Einmal.</x:v>
      </x:c>
      <x:c r="S429" s="36" t="str">
        <x:v>Dreimal.</x:v>
      </x:c>
      <x:c r="T429" s="36" t="str">
        <x:v>Zweimal.</x:v>
      </x:c>
      <x:c r="U429" s="36" t="str">
        <x:v>Siebenmal.</x:v>
      </x:c>
      <x:c r="V429" s="36" t="n">
        <x:v>1</x:v>
      </x:c>
      <x:c r="W429" s="36" t="str">
        <x:v>Dreimal.</x:v>
      </x:c>
      <x:c r="X429" s="36" t="str">
        <x:v>Johannes 18,15–18; 25–27</x:v>
      </x:c>
      <x:c r="Y429" s="36" t="str">
        <x:v>Johannes schildert drei Verleugnungen; unmittelbar nach der dritten kräht der Hahn.</x:v>
      </x:c>
      <x:c r="Z429" s="36" t="str">
        <x:v>JA</x:v>
      </x:c>
      <x:c r="AA429" s="36" t="str">
        <x:v>JA</x:v>
      </x:c>
      <x:c r="AB429" s="36" t="str">
        <x:v>JA</x:v>
      </x:c>
      <x:c r="AC429" s="36" t="str">
        <x:v>JA</x:v>
      </x:c>
      <x:c r="AD429" s="36" t="str">
        <x:v>JA</x:v>
      </x:c>
      <x:c r="AE429" s="36" t="str">
        <x:v>JA</x:v>
      </x:c>
      <x:c r="AF429" s="36" t="str">
        <x:v>JA</x:v>
      </x:c>
      <x:c r="AG429" s="36" t="str">
        <x:v>FREIGEGEBEN</x:v>
      </x:c>
      <x:c r="AH429" s="36" t="str">
        <x:v>GPT-5.6 Sol · Buchprüfung Johannes · L1912/OTB</x:v>
      </x:c>
      <x:c r="AI429" s="36" t="str">
        <x:v>FREIGEGEBEN</x:v>
      </x:c>
      <x:c r="AJ429" s="36" t="str">
        <x:v>Johannes 18: repetitive Wiedererkennungsfrage durch GESCHEHEN-Frage ersetzt.</x:v>
      </x:c>
      <x:c r="AK429" s="36" t="str">
        <x:v>FaithPath repo develop/v4 · data/bibles/l1912/JHN.json · data/bibles/otb/JHN.json</x:v>
      </x:c>
      <x:c r="AL429" t="str">
        <x:v>JA</x:v>
      </x:c>
    </x:row>
    <x:row r="430">
      <x:c r="A430" t="str">
        <x:v>FP-0689</x:v>
      </x:c>
      <x:c r="B430" t="str">
        <x:v>JHN</x:v>
      </x:c>
      <x:c r="C430" t="str">
        <x:v>Johannes</x:v>
      </x:c>
      <x:c r="D430" t="n">
        <x:v>18</x:v>
      </x:c>
      <x:c r="E430" t="n">
        <x:v>4</x:v>
      </x:c>
      <x:c r="F430" t="str">
        <x:v>JHN-018</x:v>
      </x:c>
      <x:c r="G430" t="n">
        <x:v>86</x:v>
      </x:c>
      <x:c r="H430" t="str">
        <x:v>CQ-A05</x:v>
      </x:c>
      <x:c r="I430" s="36" t="str">
        <x:v>Welche dieser Aussagen stammt aus Johannes 18?</x:v>
      </x:c>
      <x:c r="J430" s="36" t="str"/>
      <x:c r="K430" s="36" t="str"/>
      <x:c r="L430" s="36" t="str">
        <x:v>REPO_VERIFIZIERT_FRAGEFORM</x:v>
      </x:c>
      <x:c r="M430" s="36" t="str">
        <x:v>ERSETZEN</x:v>
      </x:c>
      <x:c r="N430" s="36" t="str">
        <x:v>REPETITIVE_FRAGEFORM</x:v>
      </x:c>
      <x:c r="O430" s="36" t="str">
        <x:v>REINE_WIEDERERKENNUNG</x:v>
      </x:c>
      <x:c r="P430" s="36" t="str">
        <x:v>KERNAUSSAGE</x:v>
      </x:c>
      <x:c r="Q430" s="36" t="str">
        <x:v>Wie beschreibt Jesus vor Pilatus sein Königtum?</x:v>
      </x:c>
      <x:c r="R430" s="36" t="str">
        <x:v>Sein Reich ist identisch mit Rom.</x:v>
      </x:c>
      <x:c r="S430" s="36" t="str">
        <x:v>Sein Reich besteht nur aus Galiläa.</x:v>
      </x:c>
      <x:c r="T430" s="36" t="str">
        <x:v>Sein Reich ist nicht von dieser Welt.</x:v>
      </x:c>
      <x:c r="U430" s="36" t="str">
        <x:v>Er bestreitet, irgendein König zu sein.</x:v>
      </x:c>
      <x:c r="V430" s="36" t="n">
        <x:v>2</x:v>
      </x:c>
      <x:c r="W430" s="36" t="str">
        <x:v>Sein Reich ist nicht von dieser Welt.</x:v>
      </x:c>
      <x:c r="X430" s="36" t="str">
        <x:v>Johannes 18,33–37</x:v>
      </x:c>
      <x:c r="Y430" s="36" t="str">
        <x:v>Jesus bestätigt seine königliche Sendung, grenzt sein Reich aber ausdrücklich von weltlicher Herkunft und Gewalt ab.</x:v>
      </x:c>
      <x:c r="Z430" s="36" t="str">
        <x:v>JA</x:v>
      </x:c>
      <x:c r="AA430" s="36" t="str">
        <x:v>JA</x:v>
      </x:c>
      <x:c r="AB430" s="36" t="str">
        <x:v>JA</x:v>
      </x:c>
      <x:c r="AC430" s="36" t="str">
        <x:v>JA</x:v>
      </x:c>
      <x:c r="AD430" s="36" t="str">
        <x:v>JA</x:v>
      </x:c>
      <x:c r="AE430" s="36" t="str">
        <x:v>JA</x:v>
      </x:c>
      <x:c r="AF430" s="36" t="str">
        <x:v>JA</x:v>
      </x:c>
      <x:c r="AG430" s="36" t="str">
        <x:v>FREIGEGEBEN</x:v>
      </x:c>
      <x:c r="AH430" s="36" t="str">
        <x:v>GPT-5.6 Sol · Buchprüfung Johannes · L1912/OTB</x:v>
      </x:c>
      <x:c r="AI430" s="36" t="str">
        <x:v>FREIGEGEBEN</x:v>
      </x:c>
      <x:c r="AJ430" s="36" t="str">
        <x:v>Johannes 18: repetitive Wiedererkennungsfrage durch KERNAUSSAGE-Frage ersetzt.</x:v>
      </x:c>
      <x:c r="AK430" s="36" t="str">
        <x:v>FaithPath repo develop/v4 · data/bibles/l1912/JHN.json · data/bibles/otb/JHN.json</x:v>
      </x:c>
      <x:c r="AL430" t="str">
        <x:v>JA</x:v>
      </x:c>
    </x:row>
    <x:row r="431">
      <x:c r="A431" t="str">
        <x:v>FP-0690</x:v>
      </x:c>
      <x:c r="B431" t="str">
        <x:v>JHN</x:v>
      </x:c>
      <x:c r="C431" t="str">
        <x:v>Johannes</x:v>
      </x:c>
      <x:c r="D431" t="n">
        <x:v>18</x:v>
      </x:c>
      <x:c r="E431" t="n">
        <x:v>5</x:v>
      </x:c>
      <x:c r="F431" t="str">
        <x:v>JHN-018</x:v>
      </x:c>
      <x:c r="G431" t="n">
        <x:v>86</x:v>
      </x:c>
      <x:c r="H431" t="str">
        <x:v>CQ-A05</x:v>
      </x:c>
      <x:c r="I431" s="36" t="str">
        <x:v>Welche dieser Aussagen stammt aus Johannes 18?</x:v>
      </x:c>
      <x:c r="J431" s="36" t="str"/>
      <x:c r="K431" s="36" t="str"/>
      <x:c r="L431" s="36" t="str">
        <x:v>REPO_VERIFIZIERT_FRAGEFORM</x:v>
      </x:c>
      <x:c r="M431" s="36" t="str">
        <x:v>ERSETZEN</x:v>
      </x:c>
      <x:c r="N431" s="36" t="str">
        <x:v>REPETITIVE_FRAGEFORM</x:v>
      </x:c>
      <x:c r="O431" s="36" t="str">
        <x:v>REINE_WIEDERERKENNUNG</x:v>
      </x:c>
      <x:c r="P431" s="36" t="str">
        <x:v>GESCHEHEN</x:v>
      </x:c>
      <x:c r="Q431" s="36" t="str">
        <x:v>Wen fordert die Menge anstelle Jesu freizulassen?</x:v>
      </x:c>
      <x:c r="R431" s="36" t="str">
        <x:v>Petrus.</x:v>
      </x:c>
      <x:c r="S431" s="36" t="str">
        <x:v>Lazarus.</x:v>
      </x:c>
      <x:c r="T431" s="36" t="str">
        <x:v>Nikodemus.</x:v>
      </x:c>
      <x:c r="U431" s="36" t="str">
        <x:v>Barabbas.</x:v>
      </x:c>
      <x:c r="V431" s="36" t="n">
        <x:v>3</x:v>
      </x:c>
      <x:c r="W431" s="36" t="str">
        <x:v>Barabbas.</x:v>
      </x:c>
      <x:c r="X431" s="36" t="str">
        <x:v>Johannes 18,38–40</x:v>
      </x:c>
      <x:c r="Y431" s="36" t="str">
        <x:v>Pilatus bietet die Freilassung Jesu an; die Menge fordert stattdessen Barabbas.</x:v>
      </x:c>
      <x:c r="Z431" s="36" t="str">
        <x:v>JA</x:v>
      </x:c>
      <x:c r="AA431" s="36" t="str">
        <x:v>JA</x:v>
      </x:c>
      <x:c r="AB431" s="36" t="str">
        <x:v>JA</x:v>
      </x:c>
      <x:c r="AC431" s="36" t="str">
        <x:v>JA</x:v>
      </x:c>
      <x:c r="AD431" s="36" t="str">
        <x:v>JA</x:v>
      </x:c>
      <x:c r="AE431" s="36" t="str">
        <x:v>JA</x:v>
      </x:c>
      <x:c r="AF431" s="36" t="str">
        <x:v>JA</x:v>
      </x:c>
      <x:c r="AG431" s="36" t="str">
        <x:v>FREIGEGEBEN</x:v>
      </x:c>
      <x:c r="AH431" s="36" t="str">
        <x:v>GPT-5.6 Sol · Buchprüfung Johannes · L1912/OTB</x:v>
      </x:c>
      <x:c r="AI431" s="36" t="str">
        <x:v>FREIGEGEBEN</x:v>
      </x:c>
      <x:c r="AJ431" s="36" t="str">
        <x:v>Johannes 18: repetitive Wiedererkennungsfrage durch GESCHEHEN-Frage ersetzt.</x:v>
      </x:c>
      <x:c r="AK431" s="36" t="str">
        <x:v>FaithPath repo develop/v4 · data/bibles/l1912/JHN.json · data/bibles/otb/JHN.json</x:v>
      </x:c>
      <x:c r="AL431" t="str">
        <x:v>JA</x:v>
      </x:c>
    </x:row>
    <x:row r="432">
      <x:c r="A432" t="str">
        <x:v>FP-0691</x:v>
      </x:c>
      <x:c r="B432" t="str">
        <x:v>JHN</x:v>
      </x:c>
      <x:c r="C432" t="str">
        <x:v>Johannes</x:v>
      </x:c>
      <x:c r="D432" t="n">
        <x:v>19</x:v>
      </x:c>
      <x:c r="E432" t="n">
        <x:v>1</x:v>
      </x:c>
      <x:c r="F432" t="str">
        <x:v>JHN-019</x:v>
      </x:c>
      <x:c r="G432" t="n">
        <x:v>87</x:v>
      </x:c>
      <x:c r="H432" t="str">
        <x:v>CQ-A05</x:v>
      </x:c>
      <x:c r="I432" s="36" t="str">
        <x:v>Welche dieser Aussagen stammt aus Johannes 19?</x:v>
      </x:c>
      <x:c r="J432" s="36" t="str"/>
      <x:c r="K432" s="36" t="str"/>
      <x:c r="L432" s="36" t="str">
        <x:v>REPO_VERIFIZIERT_FRAGEFORM</x:v>
      </x:c>
      <x:c r="M432" s="36" t="str">
        <x:v>ERSETZEN</x:v>
      </x:c>
      <x:c r="N432" s="36" t="str">
        <x:v>REPETITIVE_FRAGEFORM</x:v>
      </x:c>
      <x:c r="O432" s="36" t="str">
        <x:v>REINE_WIEDERERKENNUNG</x:v>
      </x:c>
      <x:c r="P432" s="36" t="str">
        <x:v>GESCHEHEN</x:v>
      </x:c>
      <x:c r="Q432" s="36" t="str">
        <x:v>Wie verspotten die Soldaten Jesus nach der Geißelung?</x:v>
      </x:c>
      <x:c r="R432" s="36" t="str">
        <x:v>Sie setzen ihm eine Dornenkrone auf und legen ihm ein Purpurgewand an.</x:v>
      </x:c>
      <x:c r="S432" s="36" t="str">
        <x:v>Sie geben ihm eine goldene Krone.</x:v>
      </x:c>
      <x:c r="T432" s="36" t="str">
        <x:v>Sie kleiden ihn als Priester.</x:v>
      </x:c>
      <x:c r="U432" s="36" t="str">
        <x:v>Sie führen ihn direkt in den Tempel.</x:v>
      </x:c>
      <x:c r="V432" s="36" t="n">
        <x:v>0</x:v>
      </x:c>
      <x:c r="W432" s="36" t="str">
        <x:v>Sie setzen ihm eine Dornenkrone auf und legen ihm ein Purpurgewand an.</x:v>
      </x:c>
      <x:c r="X432" s="36" t="str">
        <x:v>Johannes 19,1–3</x:v>
      </x:c>
      <x:c r="Y432" s="36" t="str">
        <x:v>Die Soldaten inszenieren eine spöttische Königshuldigung mit Dornenkrone und Purpur.</x:v>
      </x:c>
      <x:c r="Z432" s="36" t="str">
        <x:v>JA</x:v>
      </x:c>
      <x:c r="AA432" s="36" t="str">
        <x:v>JA</x:v>
      </x:c>
      <x:c r="AB432" s="36" t="str">
        <x:v>JA</x:v>
      </x:c>
      <x:c r="AC432" s="36" t="str">
        <x:v>JA</x:v>
      </x:c>
      <x:c r="AD432" s="36" t="str">
        <x:v>JA</x:v>
      </x:c>
      <x:c r="AE432" s="36" t="str">
        <x:v>JA</x:v>
      </x:c>
      <x:c r="AF432" s="36" t="str">
        <x:v>JA</x:v>
      </x:c>
      <x:c r="AG432" s="36" t="str">
        <x:v>FREIGEGEBEN</x:v>
      </x:c>
      <x:c r="AH432" s="36" t="str">
        <x:v>GPT-5.6 Sol · Buchprüfung Johannes · L1912/OTB</x:v>
      </x:c>
      <x:c r="AI432" s="36" t="str">
        <x:v>FREIGEGEBEN</x:v>
      </x:c>
      <x:c r="AJ432" s="36" t="str">
        <x:v>Johannes 19: repetitive Wiedererkennungsfrage durch GESCHEHEN-Frage ersetzt.</x:v>
      </x:c>
      <x:c r="AK432" s="36" t="str">
        <x:v>FaithPath repo develop/v4 · data/bibles/l1912/JHN.json · data/bibles/otb/JHN.json</x:v>
      </x:c>
      <x:c r="AL432" t="str">
        <x:v>JA</x:v>
      </x:c>
    </x:row>
    <x:row r="433">
      <x:c r="A433" t="str">
        <x:v>FP-0692</x:v>
      </x:c>
      <x:c r="B433" t="str">
        <x:v>JHN</x:v>
      </x:c>
      <x:c r="C433" t="str">
        <x:v>Johannes</x:v>
      </x:c>
      <x:c r="D433" t="n">
        <x:v>19</x:v>
      </x:c>
      <x:c r="E433" t="n">
        <x:v>2</x:v>
      </x:c>
      <x:c r="F433" t="str">
        <x:v>JHN-019</x:v>
      </x:c>
      <x:c r="G433" t="n">
        <x:v>87</x:v>
      </x:c>
      <x:c r="H433" t="str">
        <x:v>CQ-A05</x:v>
      </x:c>
      <x:c r="I433" s="36" t="str">
        <x:v>Welche dieser Aussagen stammt aus Johannes 19?</x:v>
      </x:c>
      <x:c r="J433" s="36" t="str"/>
      <x:c r="K433" s="36" t="str"/>
      <x:c r="L433" s="36" t="str">
        <x:v>REPO_VERIFIZIERT_FRAGEFORM</x:v>
      </x:c>
      <x:c r="M433" s="36" t="str">
        <x:v>ERSETZEN</x:v>
      </x:c>
      <x:c r="N433" s="36" t="str">
        <x:v>REPETITIVE_FRAGEFORM</x:v>
      </x:c>
      <x:c r="O433" s="36" t="str">
        <x:v>REINE_WIEDERERKENNUNG</x:v>
      </x:c>
      <x:c r="P433" s="36" t="str">
        <x:v>GESCHEHEN</x:v>
      </x:c>
      <x:c r="Q433" s="36" t="str">
        <x:v>Welche Aufschrift lässt Pilatus am Kreuz anbringen?</x:v>
      </x:c>
      <x:c r="R433" s="36" t="str">
        <x:v>Jesus, der Sohn Josefs.</x:v>
      </x:c>
      <x:c r="S433" s="36" t="str">
        <x:v>Jesus von Nazareth, der König der Juden.</x:v>
      </x:c>
      <x:c r="T433" s="36" t="str">
        <x:v>Der Prophet aus Galiläa.</x:v>
      </x:c>
      <x:c r="U433" s="36" t="str">
        <x:v>Der Lehrer der Zwölf.</x:v>
      </x:c>
      <x:c r="V433" s="36" t="n">
        <x:v>1</x:v>
      </x:c>
      <x:c r="W433" s="36" t="str">
        <x:v>Jesus von Nazareth, der König der Juden.</x:v>
      </x:c>
      <x:c r="X433" s="36" t="str">
        <x:v>Johannes 19,19–22</x:v>
      </x:c>
      <x:c r="Y433" s="36" t="str">
        <x:v>Pilatus lässt die königliche Bezeichnung über Jesu Kreuz anbringen und weigert sich, sie zu ändern.</x:v>
      </x:c>
      <x:c r="Z433" s="36" t="str">
        <x:v>JA</x:v>
      </x:c>
      <x:c r="AA433" s="36" t="str">
        <x:v>JA</x:v>
      </x:c>
      <x:c r="AB433" s="36" t="str">
        <x:v>JA</x:v>
      </x:c>
      <x:c r="AC433" s="36" t="str">
        <x:v>JA</x:v>
      </x:c>
      <x:c r="AD433" s="36" t="str">
        <x:v>JA</x:v>
      </x:c>
      <x:c r="AE433" s="36" t="str">
        <x:v>JA</x:v>
      </x:c>
      <x:c r="AF433" s="36" t="str">
        <x:v>JA</x:v>
      </x:c>
      <x:c r="AG433" s="36" t="str">
        <x:v>FREIGEGEBEN</x:v>
      </x:c>
      <x:c r="AH433" s="36" t="str">
        <x:v>GPT-5.6 Sol · Buchprüfung Johannes · L1912/OTB</x:v>
      </x:c>
      <x:c r="AI433" s="36" t="str">
        <x:v>FREIGEGEBEN</x:v>
      </x:c>
      <x:c r="AJ433" s="36" t="str">
        <x:v>Johannes 19: repetitive Wiedererkennungsfrage durch GESCHEHEN-Frage ersetzt.</x:v>
      </x:c>
      <x:c r="AK433" s="36" t="str">
        <x:v>FaithPath repo develop/v4 · data/bibles/l1912/JHN.json · data/bibles/otb/JHN.json</x:v>
      </x:c>
      <x:c r="AL433" t="str">
        <x:v>JA</x:v>
      </x:c>
    </x:row>
    <x:row r="434">
      <x:c r="A434" t="str">
        <x:v>FP-0693</x:v>
      </x:c>
      <x:c r="B434" t="str">
        <x:v>JHN</x:v>
      </x:c>
      <x:c r="C434" t="str">
        <x:v>Johannes</x:v>
      </x:c>
      <x:c r="D434" t="n">
        <x:v>19</x:v>
      </x:c>
      <x:c r="E434" t="n">
        <x:v>3</x:v>
      </x:c>
      <x:c r="F434" t="str">
        <x:v>JHN-019</x:v>
      </x:c>
      <x:c r="G434" t="n">
        <x:v>87</x:v>
      </x:c>
      <x:c r="H434" t="str">
        <x:v>CQ-A05</x:v>
      </x:c>
      <x:c r="I434" s="36" t="str">
        <x:v>Welche dieser Aussagen stammt aus Johannes 19?</x:v>
      </x:c>
      <x:c r="J434" s="36" t="str"/>
      <x:c r="K434" s="36" t="str"/>
      <x:c r="L434" s="36" t="str">
        <x:v>REPO_VERIFIZIERT_FRAGEFORM</x:v>
      </x:c>
      <x:c r="M434" s="36" t="str">
        <x:v>ERSETZEN</x:v>
      </x:c>
      <x:c r="N434" s="36" t="str">
        <x:v>REPETITIVE_FRAGEFORM</x:v>
      </x:c>
      <x:c r="O434" s="36" t="str">
        <x:v>REINE_WIEDERERKENNUNG</x:v>
      </x:c>
      <x:c r="P434" s="36" t="str">
        <x:v>PERSON_AUSSAGE</x:v>
      </x:c>
      <x:c r="Q434" s="36" t="str">
        <x:v>Welche neue Beziehung stellt Jesus vom Kreuz aus zwischen seiner Mutter und dem geliebten Jünger her?</x:v>
      </x:c>
      <x:c r="R434" s="36" t="str">
        <x:v>Er schickt beide nach Galiläa.</x:v>
      </x:c>
      <x:c r="S434" s="36" t="str">
        <x:v>Er bittet Petrus, seine Mutter zu begleiten.</x:v>
      </x:c>
      <x:c r="T434" s="36" t="str">
        <x:v>Er sagt zu ihr: „Siehe, dein Sohn“, und zu dem Jünger: „Siehe, deine Mutter“.</x:v>
      </x:c>
      <x:c r="U434" s="36" t="str">
        <x:v>Er sagt, sie sollten den Tempel verlassen.</x:v>
      </x:c>
      <x:c r="V434" s="36" t="n">
        <x:v>2</x:v>
      </x:c>
      <x:c r="W434" s="36" t="str">
        <x:v>Er sagt zu ihr: „Siehe, dein Sohn“, und zu dem Jünger: „Siehe, deine Mutter“.</x:v>
      </x:c>
      <x:c r="X434" s="36" t="str">
        <x:v>Johannes 19,25–27</x:v>
      </x:c>
      <x:c r="Y434" s="36" t="str">
        <x:v>Jesus sorgt vom Kreuz aus für seine Mutter, indem er sie dem geliebten Jünger anvertraut.</x:v>
      </x:c>
      <x:c r="Z434" s="36" t="str">
        <x:v>JA</x:v>
      </x:c>
      <x:c r="AA434" s="36" t="str">
        <x:v>JA</x:v>
      </x:c>
      <x:c r="AB434" s="36" t="str">
        <x:v>JA</x:v>
      </x:c>
      <x:c r="AC434" s="36" t="str">
        <x:v>JA</x:v>
      </x:c>
      <x:c r="AD434" s="36" t="str">
        <x:v>JA</x:v>
      </x:c>
      <x:c r="AE434" s="36" t="str">
        <x:v>JA</x:v>
      </x:c>
      <x:c r="AF434" s="36" t="str">
        <x:v>JA</x:v>
      </x:c>
      <x:c r="AG434" s="36" t="str">
        <x:v>FREIGEGEBEN</x:v>
      </x:c>
      <x:c r="AH434" s="36" t="str">
        <x:v>GPT-5.6 Sol · Buchprüfung Johannes · L1912/OTB</x:v>
      </x:c>
      <x:c r="AI434" s="36" t="str">
        <x:v>FREIGEGEBEN</x:v>
      </x:c>
      <x:c r="AJ434" s="36" t="str">
        <x:v>Johannes 19: repetitive Wiedererkennungsfrage durch PERSON_AUSSAGE-Frage ersetzt.</x:v>
      </x:c>
      <x:c r="AK434" s="36" t="str">
        <x:v>FaithPath repo develop/v4 · data/bibles/l1912/JHN.json · data/bibles/otb/JHN.json</x:v>
      </x:c>
      <x:c r="AL434" t="str">
        <x:v>JA</x:v>
      </x:c>
    </x:row>
    <x:row r="435">
      <x:c r="A435" t="str">
        <x:v>FP-0694</x:v>
      </x:c>
      <x:c r="B435" t="str">
        <x:v>JHN</x:v>
      </x:c>
      <x:c r="C435" t="str">
        <x:v>Johannes</x:v>
      </x:c>
      <x:c r="D435" t="n">
        <x:v>19</x:v>
      </x:c>
      <x:c r="E435" t="n">
        <x:v>4</x:v>
      </x:c>
      <x:c r="F435" t="str">
        <x:v>JHN-019</x:v>
      </x:c>
      <x:c r="G435" t="n">
        <x:v>87</x:v>
      </x:c>
      <x:c r="H435" t="str">
        <x:v>CQ-A05</x:v>
      </x:c>
      <x:c r="I435" s="36" t="str">
        <x:v>Welche dieser Aussagen stammt aus Johannes 19?</x:v>
      </x:c>
      <x:c r="J435" s="36" t="str"/>
      <x:c r="K435" s="36" t="str"/>
      <x:c r="L435" s="36" t="str">
        <x:v>REPO_VERIFIZIERT_FRAGEFORM</x:v>
      </x:c>
      <x:c r="M435" s="36" t="str">
        <x:v>ERSETZEN</x:v>
      </x:c>
      <x:c r="N435" s="36" t="str">
        <x:v>REPETITIVE_FRAGEFORM</x:v>
      </x:c>
      <x:c r="O435" s="36" t="str">
        <x:v>REINE_WIEDERERKENNUNG</x:v>
      </x:c>
      <x:c r="P435" s="36" t="str">
        <x:v>PERSON_AUSSAGE</x:v>
      </x:c>
      <x:c r="Q435" s="36" t="str">
        <x:v>Was sagt Jesus unmittelbar vor seinem Tod?</x:v>
      </x:c>
      <x:c r="R435" s="36" t="str">
        <x:v>Ich werde morgen zurückkehren.</x:v>
      </x:c>
      <x:c r="S435" s="36" t="str">
        <x:v>Petrus soll kommen.</x:v>
      </x:c>
      <x:c r="T435" s="36" t="str">
        <x:v>Jerusalem wird heute fallen.</x:v>
      </x:c>
      <x:c r="U435" s="36" t="str">
        <x:v>Es ist vollbracht.</x:v>
      </x:c>
      <x:c r="V435" s="36" t="n">
        <x:v>3</x:v>
      </x:c>
      <x:c r="W435" s="36" t="str">
        <x:v>Es ist vollbracht.</x:v>
      </x:c>
      <x:c r="X435" s="36" t="str">
        <x:v>Johannes 19,28–30</x:v>
      </x:c>
      <x:c r="Y435" s="36" t="str">
        <x:v>Nach der Erfüllung dessen, was noch ausstand, sagt Jesus „Es ist vollbracht“ und gibt seinen Geist auf.</x:v>
      </x:c>
      <x:c r="Z435" s="36" t="str">
        <x:v>JA</x:v>
      </x:c>
      <x:c r="AA435" s="36" t="str">
        <x:v>JA</x:v>
      </x:c>
      <x:c r="AB435" s="36" t="str">
        <x:v>JA</x:v>
      </x:c>
      <x:c r="AC435" s="36" t="str">
        <x:v>JA</x:v>
      </x:c>
      <x:c r="AD435" s="36" t="str">
        <x:v>JA</x:v>
      </x:c>
      <x:c r="AE435" s="36" t="str">
        <x:v>JA</x:v>
      </x:c>
      <x:c r="AF435" s="36" t="str">
        <x:v>JA</x:v>
      </x:c>
      <x:c r="AG435" s="36" t="str">
        <x:v>FREIGEGEBEN</x:v>
      </x:c>
      <x:c r="AH435" s="36" t="str">
        <x:v>GPT-5.6 Sol · Buchprüfung Johannes · L1912/OTB</x:v>
      </x:c>
      <x:c r="AI435" s="36" t="str">
        <x:v>FREIGEGEBEN</x:v>
      </x:c>
      <x:c r="AJ435" s="36" t="str">
        <x:v>Johannes 19: repetitive Wiedererkennungsfrage durch PERSON_AUSSAGE-Frage ersetzt.</x:v>
      </x:c>
      <x:c r="AK435" s="36" t="str">
        <x:v>FaithPath repo develop/v4 · data/bibles/l1912/JHN.json · data/bibles/otb/JHN.json</x:v>
      </x:c>
      <x:c r="AL435" t="str">
        <x:v>JA</x:v>
      </x:c>
    </x:row>
    <x:row r="436">
      <x:c r="A436" t="str">
        <x:v>FP-0695</x:v>
      </x:c>
      <x:c r="B436" t="str">
        <x:v>JHN</x:v>
      </x:c>
      <x:c r="C436" t="str">
        <x:v>Johannes</x:v>
      </x:c>
      <x:c r="D436" t="n">
        <x:v>19</x:v>
      </x:c>
      <x:c r="E436" t="n">
        <x:v>5</x:v>
      </x:c>
      <x:c r="F436" t="str">
        <x:v>JHN-019</x:v>
      </x:c>
      <x:c r="G436" t="n">
        <x:v>87</x:v>
      </x:c>
      <x:c r="H436" t="str">
        <x:v>CQ-A05</x:v>
      </x:c>
      <x:c r="I436" s="36" t="str">
        <x:v>Welche dieser Aussagen stammt aus Johannes 19?</x:v>
      </x:c>
      <x:c r="J436" s="36" t="str"/>
      <x:c r="K436" s="36" t="str"/>
      <x:c r="L436" s="36" t="str">
        <x:v>REPO_VERIFIZIERT_FRAGEFORM</x:v>
      </x:c>
      <x:c r="M436" s="36" t="str">
        <x:v>ERSETZEN</x:v>
      </x:c>
      <x:c r="N436" s="36" t="str">
        <x:v>REPETITIVE_FRAGEFORM</x:v>
      </x:c>
      <x:c r="O436" s="36" t="str">
        <x:v>REINE_WIEDERERKENNUNG</x:v>
      </x:c>
      <x:c r="P436" s="36" t="str">
        <x:v>GESCHEHEN</x:v>
      </x:c>
      <x:c r="Q436" s="36" t="str">
        <x:v>Wer sorgt für Jesu Bestattung?</x:v>
      </x:c>
      <x:c r="R436" s="36" t="str">
        <x:v>Josef von Arimathäa und Nikodemus.</x:v>
      </x:c>
      <x:c r="S436" s="36" t="str">
        <x:v>Petrus und Andreas.</x:v>
      </x:c>
      <x:c r="T436" s="36" t="str">
        <x:v>Pilatus und Herodes.</x:v>
      </x:c>
      <x:c r="U436" s="36" t="str">
        <x:v>Maria Magdalena allein.</x:v>
      </x:c>
      <x:c r="V436" s="36" t="n">
        <x:v>0</x:v>
      </x:c>
      <x:c r="W436" s="36" t="str">
        <x:v>Josef von Arimathäa und Nikodemus.</x:v>
      </x:c>
      <x:c r="X436" s="36" t="str">
        <x:v>Johannes 19,38–42</x:v>
      </x:c>
      <x:c r="Y436" s="36" t="str">
        <x:v>Josef erhält den Leichnam Jesu, und Nikodemus bringt Gewürze; gemeinsam legen sie ihn in ein neues Grab.</x:v>
      </x:c>
      <x:c r="Z436" s="36" t="str">
        <x:v>JA</x:v>
      </x:c>
      <x:c r="AA436" s="36" t="str">
        <x:v>JA</x:v>
      </x:c>
      <x:c r="AB436" s="36" t="str">
        <x:v>JA</x:v>
      </x:c>
      <x:c r="AC436" s="36" t="str">
        <x:v>JA</x:v>
      </x:c>
      <x:c r="AD436" s="36" t="str">
        <x:v>JA</x:v>
      </x:c>
      <x:c r="AE436" s="36" t="str">
        <x:v>JA</x:v>
      </x:c>
      <x:c r="AF436" s="36" t="str">
        <x:v>JA</x:v>
      </x:c>
      <x:c r="AG436" s="36" t="str">
        <x:v>FREIGEGEBEN</x:v>
      </x:c>
      <x:c r="AH436" s="36" t="str">
        <x:v>GPT-5.6 Sol · Buchprüfung Johannes · L1912/OTB</x:v>
      </x:c>
      <x:c r="AI436" s="36" t="str">
        <x:v>FREIGEGEBEN</x:v>
      </x:c>
      <x:c r="AJ436" s="36" t="str">
        <x:v>Johannes 19: repetitive Wiedererkennungsfrage durch GESCHEHEN-Frage ersetzt.</x:v>
      </x:c>
      <x:c r="AK436" s="36" t="str">
        <x:v>FaithPath repo develop/v4 · data/bibles/l1912/JHN.json · data/bibles/otb/JHN.json</x:v>
      </x:c>
      <x:c r="AL436" t="str">
        <x:v>JA</x:v>
      </x:c>
    </x:row>
    <x:row r="437">
      <x:c r="A437" t="str">
        <x:v>FP-0696</x:v>
      </x:c>
      <x:c r="B437" t="str">
        <x:v>JHN</x:v>
      </x:c>
      <x:c r="C437" t="str">
        <x:v>Johannes</x:v>
      </x:c>
      <x:c r="D437" t="n">
        <x:v>20</x:v>
      </x:c>
      <x:c r="E437" t="n">
        <x:v>1</x:v>
      </x:c>
      <x:c r="F437" t="str">
        <x:v>JHN-020</x:v>
      </x:c>
      <x:c r="G437" t="n">
        <x:v>88</x:v>
      </x:c>
      <x:c r="H437" t="str">
        <x:v>CQ-A05</x:v>
      </x:c>
      <x:c r="I437" s="36" t="str">
        <x:v>Welche dieser Aussagen stammt aus Johannes 20?</x:v>
      </x:c>
      <x:c r="J437" s="36" t="str"/>
      <x:c r="K437" s="36" t="str"/>
      <x:c r="L437" s="36" t="str">
        <x:v>REPO_VERIFIZIERT_FRAGEFORM</x:v>
      </x:c>
      <x:c r="M437" s="36" t="str">
        <x:v>ERSETZEN</x:v>
      </x:c>
      <x:c r="N437" s="36" t="str">
        <x:v>REPETITIVE_FRAGEFORM</x:v>
      </x:c>
      <x:c r="O437" s="36" t="str">
        <x:v>REINE_WIEDERERKENNUNG</x:v>
      </x:c>
      <x:c r="P437" s="36" t="str">
        <x:v>GESCHEHEN</x:v>
      </x:c>
      <x:c r="Q437" s="36" t="str">
        <x:v>Was entdeckt Maria Magdalena am ersten Tag der Woche am Grab?</x:v>
      </x:c>
      <x:c r="R437" s="36" t="str">
        <x:v>Das Grab ist noch versiegelt.</x:v>
      </x:c>
      <x:c r="S437" s="36" t="str">
        <x:v>Der Stein ist vom Grab weggenommen.</x:v>
      </x:c>
      <x:c r="T437" s="36" t="str">
        <x:v>Petrus wartet am Eingang.</x:v>
      </x:c>
      <x:c r="U437" s="36" t="str">
        <x:v>Jesus steht sofort sichtbar vor dem Grab.</x:v>
      </x:c>
      <x:c r="V437" s="36" t="n">
        <x:v>1</x:v>
      </x:c>
      <x:c r="W437" s="36" t="str">
        <x:v>Der Stein ist vom Grab weggenommen.</x:v>
      </x:c>
      <x:c r="X437" s="36" t="str">
        <x:v>Johannes 20,1–2</x:v>
      </x:c>
      <x:c r="Y437" s="36" t="str">
        <x:v>Maria sieht den weggenommenen Stein und läuft zu Petrus und dem anderen Jünger.</x:v>
      </x:c>
      <x:c r="Z437" s="36" t="str">
        <x:v>JA</x:v>
      </x:c>
      <x:c r="AA437" s="36" t="str">
        <x:v>JA</x:v>
      </x:c>
      <x:c r="AB437" s="36" t="str">
        <x:v>JA</x:v>
      </x:c>
      <x:c r="AC437" s="36" t="str">
        <x:v>JA</x:v>
      </x:c>
      <x:c r="AD437" s="36" t="str">
        <x:v>JA</x:v>
      </x:c>
      <x:c r="AE437" s="36" t="str">
        <x:v>JA</x:v>
      </x:c>
      <x:c r="AF437" s="36" t="str">
        <x:v>JA</x:v>
      </x:c>
      <x:c r="AG437" s="36" t="str">
        <x:v>FREIGEGEBEN</x:v>
      </x:c>
      <x:c r="AH437" s="36" t="str">
        <x:v>GPT-5.6 Sol · Buchprüfung Johannes · L1912/OTB</x:v>
      </x:c>
      <x:c r="AI437" s="36" t="str">
        <x:v>FREIGEGEBEN</x:v>
      </x:c>
      <x:c r="AJ437" s="36" t="str">
        <x:v>Johannes 20: repetitive Wiedererkennungsfrage durch GESCHEHEN-Frage ersetzt.</x:v>
      </x:c>
      <x:c r="AK437" s="36" t="str">
        <x:v>FaithPath repo develop/v4 · data/bibles/l1912/JHN.json · data/bibles/otb/JHN.json</x:v>
      </x:c>
      <x:c r="AL437" t="str">
        <x:v>JA</x:v>
      </x:c>
    </x:row>
    <x:row r="438">
      <x:c r="A438" t="str">
        <x:v>FP-0697</x:v>
      </x:c>
      <x:c r="B438" t="str">
        <x:v>JHN</x:v>
      </x:c>
      <x:c r="C438" t="str">
        <x:v>Johannes</x:v>
      </x:c>
      <x:c r="D438" t="n">
        <x:v>20</x:v>
      </x:c>
      <x:c r="E438" t="n">
        <x:v>2</x:v>
      </x:c>
      <x:c r="F438" t="str">
        <x:v>JHN-020</x:v>
      </x:c>
      <x:c r="G438" t="n">
        <x:v>88</x:v>
      </x:c>
      <x:c r="H438" t="str">
        <x:v>CQ-A05</x:v>
      </x:c>
      <x:c r="I438" s="36" t="str">
        <x:v>Welche dieser Aussagen stammt aus Johannes 20?</x:v>
      </x:c>
      <x:c r="J438" s="36" t="str"/>
      <x:c r="K438" s="36" t="str"/>
      <x:c r="L438" s="36" t="str">
        <x:v>REPO_VERIFIZIERT_FRAGEFORM</x:v>
      </x:c>
      <x:c r="M438" s="36" t="str">
        <x:v>ERSETZEN</x:v>
      </x:c>
      <x:c r="N438" s="36" t="str">
        <x:v>REPETITIVE_FRAGEFORM</x:v>
      </x:c>
      <x:c r="O438" s="36" t="str">
        <x:v>REINE_WIEDERERKENNUNG</x:v>
      </x:c>
      <x:c r="P438" s="36" t="str">
        <x:v>GESCHEHEN</x:v>
      </x:c>
      <x:c r="Q438" s="36" t="str">
        <x:v>Was finden Petrus und der andere Jünger im Grab?</x:v>
      </x:c>
      <x:c r="R438" s="36" t="str">
        <x:v>Den Leib Jesu unverändert im Grab.</x:v>
      </x:c>
      <x:c r="S438" s="36" t="str">
        <x:v>Nur eine Schriftrolle.</x:v>
      </x:c>
      <x:c r="T438" s="36" t="str">
        <x:v>Die Leinentücher liegen dort, während der Leib Jesu fehlt.</x:v>
      </x:c>
      <x:c r="U438" s="36" t="str">
        <x:v>Die römischen Soldaten.</x:v>
      </x:c>
      <x:c r="V438" s="36" t="n">
        <x:v>2</x:v>
      </x:c>
      <x:c r="W438" s="36" t="str">
        <x:v>Die Leinentücher liegen dort, während der Leib Jesu fehlt.</x:v>
      </x:c>
      <x:c r="X438" s="36" t="str">
        <x:v>Johannes 20,3–10</x:v>
      </x:c>
      <x:c r="Y438" s="36" t="str">
        <x:v>Die Jünger finden die Leinentücher, aber Jesu Leib ist nicht dort.</x:v>
      </x:c>
      <x:c r="Z438" s="36" t="str">
        <x:v>JA</x:v>
      </x:c>
      <x:c r="AA438" s="36" t="str">
        <x:v>JA</x:v>
      </x:c>
      <x:c r="AB438" s="36" t="str">
        <x:v>JA</x:v>
      </x:c>
      <x:c r="AC438" s="36" t="str">
        <x:v>JA</x:v>
      </x:c>
      <x:c r="AD438" s="36" t="str">
        <x:v>JA</x:v>
      </x:c>
      <x:c r="AE438" s="36" t="str">
        <x:v>JA</x:v>
      </x:c>
      <x:c r="AF438" s="36" t="str">
        <x:v>JA</x:v>
      </x:c>
      <x:c r="AG438" s="36" t="str">
        <x:v>FREIGEGEBEN</x:v>
      </x:c>
      <x:c r="AH438" s="36" t="str">
        <x:v>GPT-5.6 Sol · Buchprüfung Johannes · L1912/OTB</x:v>
      </x:c>
      <x:c r="AI438" s="36" t="str">
        <x:v>FREIGEGEBEN</x:v>
      </x:c>
      <x:c r="AJ438" s="36" t="str">
        <x:v>Johannes 20: repetitive Wiedererkennungsfrage durch GESCHEHEN-Frage ersetzt.</x:v>
      </x:c>
      <x:c r="AK438" s="36" t="str">
        <x:v>FaithPath repo develop/v4 · data/bibles/l1912/JHN.json · data/bibles/otb/JHN.json</x:v>
      </x:c>
      <x:c r="AL438" t="str">
        <x:v>JA</x:v>
      </x:c>
    </x:row>
    <x:row r="439">
      <x:c r="A439" t="str">
        <x:v>FP-0698</x:v>
      </x:c>
      <x:c r="B439" t="str">
        <x:v>JHN</x:v>
      </x:c>
      <x:c r="C439" t="str">
        <x:v>Johannes</x:v>
      </x:c>
      <x:c r="D439" t="n">
        <x:v>20</x:v>
      </x:c>
      <x:c r="E439" t="n">
        <x:v>3</x:v>
      </x:c>
      <x:c r="F439" t="str">
        <x:v>JHN-020</x:v>
      </x:c>
      <x:c r="G439" t="n">
        <x:v>88</x:v>
      </x:c>
      <x:c r="H439" t="str">
        <x:v>CQ-A05</x:v>
      </x:c>
      <x:c r="I439" s="36" t="str">
        <x:v>Welche dieser Aussagen stammt aus Johannes 20?</x:v>
      </x:c>
      <x:c r="J439" s="36" t="str"/>
      <x:c r="K439" s="36" t="str"/>
      <x:c r="L439" s="36" t="str">
        <x:v>REPO_VERIFIZIERT_FRAGEFORM</x:v>
      </x:c>
      <x:c r="M439" s="36" t="str">
        <x:v>ERSETZEN</x:v>
      </x:c>
      <x:c r="N439" s="36" t="str">
        <x:v>REPETITIVE_FRAGEFORM</x:v>
      </x:c>
      <x:c r="O439" s="36" t="str">
        <x:v>REINE_WIEDERERKENNUNG</x:v>
      </x:c>
      <x:c r="P439" s="36" t="str">
        <x:v>GESCHEHEN</x:v>
      </x:c>
      <x:c r="Q439" s="36" t="str">
        <x:v>Woran erkennt Maria Magdalena den auferstandenen Jesus schließlich?</x:v>
      </x:c>
      <x:c r="R439" s="36" t="str">
        <x:v>An seiner Kleidung.</x:v>
      </x:c>
      <x:c r="S439" s="36" t="str">
        <x:v>Weil Petrus ihn ihr zeigt.</x:v>
      </x:c>
      <x:c r="T439" s="36" t="str">
        <x:v>An einem Zeichen am Himmel.</x:v>
      </x:c>
      <x:c r="U439" s="36" t="str">
        <x:v>Als er sie mit ihrem Namen „Maria“ anspricht.</x:v>
      </x:c>
      <x:c r="V439" s="36" t="n">
        <x:v>3</x:v>
      </x:c>
      <x:c r="W439" s="36" t="str">
        <x:v>Als er sie mit ihrem Namen „Maria“ anspricht.</x:v>
      </x:c>
      <x:c r="X439" s="36" t="str">
        <x:v>Johannes 20,11–16</x:v>
      </x:c>
      <x:c r="Y439" s="36" t="str">
        <x:v>Maria hält Jesus zunächst für den Gärtner; als er ihren Namen sagt, erkennt sie ihn.</x:v>
      </x:c>
      <x:c r="Z439" s="36" t="str">
        <x:v>JA</x:v>
      </x:c>
      <x:c r="AA439" s="36" t="str">
        <x:v>JA</x:v>
      </x:c>
      <x:c r="AB439" s="36" t="str">
        <x:v>JA</x:v>
      </x:c>
      <x:c r="AC439" s="36" t="str">
        <x:v>JA</x:v>
      </x:c>
      <x:c r="AD439" s="36" t="str">
        <x:v>JA</x:v>
      </x:c>
      <x:c r="AE439" s="36" t="str">
        <x:v>JA</x:v>
      </x:c>
      <x:c r="AF439" s="36" t="str">
        <x:v>JA</x:v>
      </x:c>
      <x:c r="AG439" s="36" t="str">
        <x:v>FREIGEGEBEN</x:v>
      </x:c>
      <x:c r="AH439" s="36" t="str">
        <x:v>GPT-5.6 Sol · Buchprüfung Johannes · L1912/OTB</x:v>
      </x:c>
      <x:c r="AI439" s="36" t="str">
        <x:v>FREIGEGEBEN</x:v>
      </x:c>
      <x:c r="AJ439" s="36" t="str">
        <x:v>Johannes 20: repetitive Wiedererkennungsfrage durch GESCHEHEN-Frage ersetzt.</x:v>
      </x:c>
      <x:c r="AK439" s="36" t="str">
        <x:v>FaithPath repo develop/v4 · data/bibles/l1912/JHN.json · data/bibles/otb/JHN.json</x:v>
      </x:c>
      <x:c r="AL439" t="str">
        <x:v>JA</x:v>
      </x:c>
    </x:row>
    <x:row r="440">
      <x:c r="A440" t="str">
        <x:v>FP-0699</x:v>
      </x:c>
      <x:c r="B440" t="str">
        <x:v>JHN</x:v>
      </x:c>
      <x:c r="C440" t="str">
        <x:v>Johannes</x:v>
      </x:c>
      <x:c r="D440" t="n">
        <x:v>20</x:v>
      </x:c>
      <x:c r="E440" t="n">
        <x:v>4</x:v>
      </x:c>
      <x:c r="F440" t="str">
        <x:v>JHN-020</x:v>
      </x:c>
      <x:c r="G440" t="n">
        <x:v>88</x:v>
      </x:c>
      <x:c r="H440" t="str">
        <x:v>CQ-A05</x:v>
      </x:c>
      <x:c r="I440" s="36" t="str">
        <x:v>Welche dieser Aussagen stammt aus Johannes 20?</x:v>
      </x:c>
      <x:c r="J440" s="36" t="str"/>
      <x:c r="K440" s="36" t="str"/>
      <x:c r="L440" s="36" t="str">
        <x:v>REPO_VERIFIZIERT_FRAGEFORM</x:v>
      </x:c>
      <x:c r="M440" s="36" t="str">
        <x:v>ERSETZEN</x:v>
      </x:c>
      <x:c r="N440" s="36" t="str">
        <x:v>REPETITIVE_FRAGEFORM</x:v>
      </x:c>
      <x:c r="O440" s="36" t="str">
        <x:v>REINE_WIEDERERKENNUNG</x:v>
      </x:c>
      <x:c r="P440" s="36" t="str">
        <x:v>KERNAUSSAGE</x:v>
      </x:c>
      <x:c r="Q440" s="36" t="str">
        <x:v>Welche Sendung verbindet Jesus bei seiner Erscheinung mit dem Heiligen Geist?</x:v>
      </x:c>
      <x:c r="R440" s="36" t="str">
        <x:v>Wie der Vater ihn gesandt hat, sendet er die Jünger und haucht sie mit dem Heiligen Geist an.</x:v>
      </x:c>
      <x:c r="S440" s="36" t="str">
        <x:v>Die Jünger sollen im Haus bleiben und schweigen.</x:v>
      </x:c>
      <x:c r="T440" s="36" t="str">
        <x:v>Nur Thomas soll gesandt werden.</x:v>
      </x:c>
      <x:c r="U440" s="36" t="str">
        <x:v>Sie sollen zuerst Priester werden.</x:v>
      </x:c>
      <x:c r="V440" s="36" t="n">
        <x:v>0</x:v>
      </x:c>
      <x:c r="W440" s="36" t="str">
        <x:v>Wie der Vater ihn gesandt hat, sendet er die Jünger und haucht sie mit dem Heiligen Geist an.</x:v>
      </x:c>
      <x:c r="X440" s="36" t="str">
        <x:v>Johannes 20,19–23</x:v>
      </x:c>
      <x:c r="Y440" s="36" t="str">
        <x:v>Jesus verbindet seine eigene Sendung mit der Sendung der Jünger und dem Empfang des Heiligen Geistes.</x:v>
      </x:c>
      <x:c r="Z440" s="36" t="str">
        <x:v>JA</x:v>
      </x:c>
      <x:c r="AA440" s="36" t="str">
        <x:v>JA</x:v>
      </x:c>
      <x:c r="AB440" s="36" t="str">
        <x:v>JA</x:v>
      </x:c>
      <x:c r="AC440" s="36" t="str">
        <x:v>JA</x:v>
      </x:c>
      <x:c r="AD440" s="36" t="str">
        <x:v>JA</x:v>
      </x:c>
      <x:c r="AE440" s="36" t="str">
        <x:v>JA</x:v>
      </x:c>
      <x:c r="AF440" s="36" t="str">
        <x:v>JA</x:v>
      </x:c>
      <x:c r="AG440" s="36" t="str">
        <x:v>FREIGEGEBEN</x:v>
      </x:c>
      <x:c r="AH440" s="36" t="str">
        <x:v>GPT-5.6 Sol · Buchprüfung Johannes · L1912/OTB</x:v>
      </x:c>
      <x:c r="AI440" s="36" t="str">
        <x:v>FREIGEGEBEN</x:v>
      </x:c>
      <x:c r="AJ440" s="36" t="str">
        <x:v>Johannes 20: repetitive Wiedererkennungsfrage durch KERNAUSSAGE-Frage ersetzt.</x:v>
      </x:c>
      <x:c r="AK440" s="36" t="str">
        <x:v>FaithPath repo develop/v4 · data/bibles/l1912/JHN.json · data/bibles/otb/JHN.json</x:v>
      </x:c>
      <x:c r="AL440" t="str">
        <x:v>JA</x:v>
      </x:c>
    </x:row>
    <x:row r="441">
      <x:c r="A441" t="str">
        <x:v>FP-0700</x:v>
      </x:c>
      <x:c r="B441" t="str">
        <x:v>JHN</x:v>
      </x:c>
      <x:c r="C441" t="str">
        <x:v>Johannes</x:v>
      </x:c>
      <x:c r="D441" t="n">
        <x:v>20</x:v>
      </x:c>
      <x:c r="E441" t="n">
        <x:v>5</x:v>
      </x:c>
      <x:c r="F441" t="str">
        <x:v>JHN-020</x:v>
      </x:c>
      <x:c r="G441" t="n">
        <x:v>88</x:v>
      </x:c>
      <x:c r="H441" t="str">
        <x:v>CQ-A05</x:v>
      </x:c>
      <x:c r="I441" s="36" t="str">
        <x:v>Welche dieser Aussagen stammt aus Johannes 20?</x:v>
      </x:c>
      <x:c r="J441" s="36" t="str"/>
      <x:c r="K441" s="36" t="str"/>
      <x:c r="L441" s="36" t="str">
        <x:v>REPO_VERIFIZIERT_FRAGEFORM</x:v>
      </x:c>
      <x:c r="M441" s="36" t="str">
        <x:v>ERSETZEN</x:v>
      </x:c>
      <x:c r="N441" s="36" t="str">
        <x:v>REPETITIVE_FRAGEFORM</x:v>
      </x:c>
      <x:c r="O441" s="36" t="str">
        <x:v>REINE_WIEDERERKENNUNG</x:v>
      </x:c>
      <x:c r="P441" s="36" t="str">
        <x:v>PERSON_AUSSAGE</x:v>
      </x:c>
      <x:c r="Q441" s="36" t="str">
        <x:v>Wie reagiert Thomas, als er den auferstandenen Jesus sieht?</x:v>
      </x:c>
      <x:c r="R441" s="36" t="str">
        <x:v>Er weigert sich weiterhin zu glauben.</x:v>
      </x:c>
      <x:c r="S441" s="36" t="str">
        <x:v>Er bekennt: „Mein Herr und mein Gott!“</x:v>
      </x:c>
      <x:c r="T441" s="36" t="str">
        <x:v>Er verlässt die Jünger.</x:v>
      </x:c>
      <x:c r="U441" s="36" t="str">
        <x:v>Er bittet nur um ein weiteres Zeichen.</x:v>
      </x:c>
      <x:c r="V441" s="36" t="n">
        <x:v>1</x:v>
      </x:c>
      <x:c r="W441" s="36" t="str">
        <x:v>Er bekennt: „Mein Herr und mein Gott!“</x:v>
      </x:c>
      <x:c r="X441" s="36" t="str">
        <x:v>Johannes 20,24–29</x:v>
      </x:c>
      <x:c r="Y441" s="36" t="str">
        <x:v>Thomas antwortet auf die Begegnung mit einem persönlichen Bekenntnis zu Jesus als Herr und Gott.</x:v>
      </x:c>
      <x:c r="Z441" s="36" t="str">
        <x:v>JA</x:v>
      </x:c>
      <x:c r="AA441" s="36" t="str">
        <x:v>JA</x:v>
      </x:c>
      <x:c r="AB441" s="36" t="str">
        <x:v>JA</x:v>
      </x:c>
      <x:c r="AC441" s="36" t="str">
        <x:v>JA</x:v>
      </x:c>
      <x:c r="AD441" s="36" t="str">
        <x:v>JA</x:v>
      </x:c>
      <x:c r="AE441" s="36" t="str">
        <x:v>JA</x:v>
      </x:c>
      <x:c r="AF441" s="36" t="str">
        <x:v>JA</x:v>
      </x:c>
      <x:c r="AG441" s="36" t="str">
        <x:v>FREIGEGEBEN</x:v>
      </x:c>
      <x:c r="AH441" s="36" t="str">
        <x:v>GPT-5.6 Sol · Buchprüfung Johannes · L1912/OTB</x:v>
      </x:c>
      <x:c r="AI441" s="36" t="str">
        <x:v>FREIGEGEBEN</x:v>
      </x:c>
      <x:c r="AJ441" s="36" t="str">
        <x:v>Johannes 20: repetitive Wiedererkennungsfrage durch PERSON_AUSSAGE-Frage ersetzt.</x:v>
      </x:c>
      <x:c r="AK441" s="36" t="str">
        <x:v>FaithPath repo develop/v4 · data/bibles/l1912/JHN.json · data/bibles/otb/JHN.json</x:v>
      </x:c>
      <x:c r="AL441" t="str">
        <x:v>JA</x:v>
      </x:c>
    </x:row>
    <x:row r="442">
      <x:c r="A442" t="str">
        <x:v>FP-0701</x:v>
      </x:c>
      <x:c r="B442" t="str">
        <x:v>JHN</x:v>
      </x:c>
      <x:c r="C442" t="str">
        <x:v>Johannes</x:v>
      </x:c>
      <x:c r="D442" t="n">
        <x:v>21</x:v>
      </x:c>
      <x:c r="E442" t="n">
        <x:v>1</x:v>
      </x:c>
      <x:c r="F442" t="str">
        <x:v>JHN-021</x:v>
      </x:c>
      <x:c r="G442" t="n">
        <x:v>89</x:v>
      </x:c>
      <x:c r="H442" t="str">
        <x:v>CQ-A05</x:v>
      </x:c>
      <x:c r="I442" s="36" t="str">
        <x:v>Welche dieser Aussagen stammt aus Johannes 21?</x:v>
      </x:c>
      <x:c r="J442" s="36" t="str"/>
      <x:c r="K442" s="36" t="str"/>
      <x:c r="L442" s="36" t="str">
        <x:v>REPO_VERIFIZIERT_FRAGEFORM</x:v>
      </x:c>
      <x:c r="M442" s="36" t="str">
        <x:v>ERSETZEN</x:v>
      </x:c>
      <x:c r="N442" s="36" t="str">
        <x:v>REPETITIVE_FRAGEFORM</x:v>
      </x:c>
      <x:c r="O442" s="36" t="str">
        <x:v>REINE_WIEDERERKENNUNG</x:v>
      </x:c>
      <x:c r="P442" s="36" t="str">
        <x:v>GESCHEHEN</x:v>
      </x:c>
      <x:c r="Q442" s="36" t="str">
        <x:v>Was geschieht, nachdem die Jünger auf Jesu Anweisung das Netz auf der rechten Seite des Bootes auswerfen?</x:v>
      </x:c>
      <x:c r="R442" s="36" t="str">
        <x:v>Sie fangen keinen einzigen Fisch.</x:v>
      </x:c>
      <x:c r="S442" s="36" t="str">
        <x:v>Das Netz reißt sofort und alle Fische entkommen.</x:v>
      </x:c>
      <x:c r="T442" s="36" t="str">
        <x:v>Sie fangen so viele Fische, dass sie das Netz kaum ziehen können.</x:v>
      </x:c>
      <x:c r="U442" s="36" t="str">
        <x:v>Das Boot fährt ans andere Ufer.</x:v>
      </x:c>
      <x:c r="V442" s="36" t="n">
        <x:v>2</x:v>
      </x:c>
      <x:c r="W442" s="36" t="str">
        <x:v>Sie fangen so viele Fische, dass sie das Netz kaum ziehen können.</x:v>
      </x:c>
      <x:c r="X442" s="36" t="str">
        <x:v>Johannes 21,4–6</x:v>
      </x:c>
      <x:c r="Y442" s="36" t="str">
        <x:v>Nach einer erfolglosen Nacht führt Jesu Anweisung zu einem außergewöhnlich großen Fang.</x:v>
      </x:c>
      <x:c r="Z442" s="36" t="str">
        <x:v>JA</x:v>
      </x:c>
      <x:c r="AA442" s="36" t="str">
        <x:v>JA</x:v>
      </x:c>
      <x:c r="AB442" s="36" t="str">
        <x:v>JA</x:v>
      </x:c>
      <x:c r="AC442" s="36" t="str">
        <x:v>JA</x:v>
      </x:c>
      <x:c r="AD442" s="36" t="str">
        <x:v>JA</x:v>
      </x:c>
      <x:c r="AE442" s="36" t="str">
        <x:v>JA</x:v>
      </x:c>
      <x:c r="AF442" s="36" t="str">
        <x:v>JA</x:v>
      </x:c>
      <x:c r="AG442" s="36" t="str">
        <x:v>FREIGEGEBEN</x:v>
      </x:c>
      <x:c r="AH442" s="36" t="str">
        <x:v>GPT-5.6 Sol · Buchprüfung Johannes · L1912/OTB</x:v>
      </x:c>
      <x:c r="AI442" s="36" t="str">
        <x:v>FREIGEGEBEN</x:v>
      </x:c>
      <x:c r="AJ442" s="36" t="str">
        <x:v>Johannes 21: repetitive Wiedererkennungsfrage durch GESCHEHEN-Frage ersetzt.</x:v>
      </x:c>
      <x:c r="AK442" s="36" t="str">
        <x:v>FaithPath repo develop/v4 · data/bibles/l1912/JHN.json · data/bibles/otb/JHN.json</x:v>
      </x:c>
      <x:c r="AL442" t="str">
        <x:v>JA</x:v>
      </x:c>
    </x:row>
    <x:row r="443">
      <x:c r="A443" t="str">
        <x:v>FP-0702</x:v>
      </x:c>
      <x:c r="B443" t="str">
        <x:v>JHN</x:v>
      </x:c>
      <x:c r="C443" t="str">
        <x:v>Johannes</x:v>
      </x:c>
      <x:c r="D443" t="n">
        <x:v>21</x:v>
      </x:c>
      <x:c r="E443" t="n">
        <x:v>2</x:v>
      </x:c>
      <x:c r="F443" t="str">
        <x:v>JHN-021</x:v>
      </x:c>
      <x:c r="G443" t="n">
        <x:v>89</x:v>
      </x:c>
      <x:c r="H443" t="str">
        <x:v>CQ-A05</x:v>
      </x:c>
      <x:c r="I443" s="36" t="str">
        <x:v>Welche dieser Aussagen stammt aus Johannes 21?</x:v>
      </x:c>
      <x:c r="J443" s="36" t="str"/>
      <x:c r="K443" s="36" t="str"/>
      <x:c r="L443" s="36" t="str">
        <x:v>REPO_VERIFIZIERT_FRAGEFORM</x:v>
      </x:c>
      <x:c r="M443" s="36" t="str">
        <x:v>ERSETZEN</x:v>
      </x:c>
      <x:c r="N443" s="36" t="str">
        <x:v>REPETITIVE_FRAGEFORM</x:v>
      </x:c>
      <x:c r="O443" s="36" t="str">
        <x:v>REINE_WIEDERERKENNUNG</x:v>
      </x:c>
      <x:c r="P443" s="36" t="str">
        <x:v>DETAIL</x:v>
      </x:c>
      <x:c r="Q443" s="36" t="str">
        <x:v>Wie viele große Fische werden nach dem Fang gezählt?</x:v>
      </x:c>
      <x:c r="R443" s="36" t="str">
        <x:v>120.</x:v>
      </x:c>
      <x:c r="S443" s="36" t="str">
        <x:v>70.</x:v>
      </x:c>
      <x:c r="T443" s="36" t="str">
        <x:v>12.</x:v>
      </x:c>
      <x:c r="U443" s="36" t="str">
        <x:v>153.</x:v>
      </x:c>
      <x:c r="V443" s="36" t="n">
        <x:v>3</x:v>
      </x:c>
      <x:c r="W443" s="36" t="str">
        <x:v>153.</x:v>
      </x:c>
      <x:c r="X443" s="36" t="str">
        <x:v>Johannes 21,11</x:v>
      </x:c>
      <x:c r="Y443" s="36" t="str">
        <x:v>Johannes nennt ausdrücklich 153 große Fische und erwähnt, dass das Netz trotz der Menge nicht riss.</x:v>
      </x:c>
      <x:c r="Z443" s="36" t="str">
        <x:v>JA</x:v>
      </x:c>
      <x:c r="AA443" s="36" t="str">
        <x:v>JA</x:v>
      </x:c>
      <x:c r="AB443" s="36" t="str">
        <x:v>JA</x:v>
      </x:c>
      <x:c r="AC443" s="36" t="str">
        <x:v>JA</x:v>
      </x:c>
      <x:c r="AD443" s="36" t="str">
        <x:v>JA</x:v>
      </x:c>
      <x:c r="AE443" s="36" t="str">
        <x:v>JA</x:v>
      </x:c>
      <x:c r="AF443" s="36" t="str">
        <x:v>JA</x:v>
      </x:c>
      <x:c r="AG443" s="36" t="str">
        <x:v>FREIGEGEBEN</x:v>
      </x:c>
      <x:c r="AH443" s="36" t="str">
        <x:v>GPT-5.6 Sol · Buchprüfung Johannes · L1912/OTB</x:v>
      </x:c>
      <x:c r="AI443" s="36" t="str">
        <x:v>FREIGEGEBEN</x:v>
      </x:c>
      <x:c r="AJ443" s="36" t="str">
        <x:v>Johannes 21: repetitive Wiedererkennungsfrage durch DETAIL-Frage ersetzt.</x:v>
      </x:c>
      <x:c r="AK443" s="36" t="str">
        <x:v>FaithPath repo develop/v4 · data/bibles/l1912/JHN.json · data/bibles/otb/JHN.json</x:v>
      </x:c>
      <x:c r="AL443" t="str">
        <x:v>JA</x:v>
      </x:c>
    </x:row>
    <x:row r="444">
      <x:c r="A444" t="str">
        <x:v>FP-0703</x:v>
      </x:c>
      <x:c r="B444" t="str">
        <x:v>JHN</x:v>
      </x:c>
      <x:c r="C444" t="str">
        <x:v>Johannes</x:v>
      </x:c>
      <x:c r="D444" t="n">
        <x:v>21</x:v>
      </x:c>
      <x:c r="E444" t="n">
        <x:v>3</x:v>
      </x:c>
      <x:c r="F444" t="str">
        <x:v>JHN-021</x:v>
      </x:c>
      <x:c r="G444" t="n">
        <x:v>89</x:v>
      </x:c>
      <x:c r="H444" t="str">
        <x:v>CQ-A05</x:v>
      </x:c>
      <x:c r="I444" s="36" t="str">
        <x:v>Welche dieser Aussagen stammt aus Johannes 21?</x:v>
      </x:c>
      <x:c r="J444" s="36" t="str"/>
      <x:c r="K444" s="36" t="str"/>
      <x:c r="L444" s="36" t="str">
        <x:v>REPO_VERIFIZIERT_FRAGEFORM</x:v>
      </x:c>
      <x:c r="M444" s="36" t="str">
        <x:v>ERSETZEN</x:v>
      </x:c>
      <x:c r="N444" s="36" t="str">
        <x:v>REPETITIVE_FRAGEFORM</x:v>
      </x:c>
      <x:c r="O444" s="36" t="str">
        <x:v>REINE_WIEDERERKENNUNG</x:v>
      </x:c>
      <x:c r="P444" s="36" t="str">
        <x:v>ZUSAMMENHANG</x:v>
      </x:c>
      <x:c r="Q444" s="36" t="str">
        <x:v>Wie oft fragt Jesus Petrus nach seiner Liebe zu ihm?</x:v>
      </x:c>
      <x:c r="R444" s="36" t="str">
        <x:v>Dreimal.</x:v>
      </x:c>
      <x:c r="S444" s="36" t="str">
        <x:v>Einmal.</x:v>
      </x:c>
      <x:c r="T444" s="36" t="str">
        <x:v>Zweimal.</x:v>
      </x:c>
      <x:c r="U444" s="36" t="str">
        <x:v>Siebenmal.</x:v>
      </x:c>
      <x:c r="V444" s="36" t="n">
        <x:v>0</x:v>
      </x:c>
      <x:c r="W444" s="36" t="str">
        <x:v>Dreimal.</x:v>
      </x:c>
      <x:c r="X444" s="36" t="str">
        <x:v>Johannes 21,15–17</x:v>
      </x:c>
      <x:c r="Y444" s="36" t="str">
        <x:v>Die dreifache Frage entspricht auffällig der dreifachen Verleugnung und wird jeweils mit einem Auftrag an Petrus verbunden.</x:v>
      </x:c>
      <x:c r="Z444" s="36" t="str">
        <x:v>JA</x:v>
      </x:c>
      <x:c r="AA444" s="36" t="str">
        <x:v>JA</x:v>
      </x:c>
      <x:c r="AB444" s="36" t="str">
        <x:v>JA</x:v>
      </x:c>
      <x:c r="AC444" s="36" t="str">
        <x:v>JA</x:v>
      </x:c>
      <x:c r="AD444" s="36" t="str">
        <x:v>JA</x:v>
      </x:c>
      <x:c r="AE444" s="36" t="str">
        <x:v>JA</x:v>
      </x:c>
      <x:c r="AF444" s="36" t="str">
        <x:v>JA</x:v>
      </x:c>
      <x:c r="AG444" s="36" t="str">
        <x:v>FREIGEGEBEN</x:v>
      </x:c>
      <x:c r="AH444" s="36" t="str">
        <x:v>GPT-5.6 Sol · Buchprüfung Johannes · L1912/OTB</x:v>
      </x:c>
      <x:c r="AI444" s="36" t="str">
        <x:v>FREIGEGEBEN</x:v>
      </x:c>
      <x:c r="AJ444" s="36" t="str">
        <x:v>Johannes 21: repetitive Wiedererkennungsfrage durch ZUSAMMENHANG-Frage ersetzt.</x:v>
      </x:c>
      <x:c r="AK444" s="36" t="str">
        <x:v>FaithPath repo develop/v4 · data/bibles/l1912/JHN.json · data/bibles/otb/JHN.json</x:v>
      </x:c>
      <x:c r="AL444" t="str">
        <x:v>JA</x:v>
      </x:c>
    </x:row>
    <x:row r="445">
      <x:c r="A445" t="str">
        <x:v>FP-0704</x:v>
      </x:c>
      <x:c r="B445" t="str">
        <x:v>JHN</x:v>
      </x:c>
      <x:c r="C445" t="str">
        <x:v>Johannes</x:v>
      </x:c>
      <x:c r="D445" t="n">
        <x:v>21</x:v>
      </x:c>
      <x:c r="E445" t="n">
        <x:v>4</x:v>
      </x:c>
      <x:c r="F445" t="str">
        <x:v>JHN-021</x:v>
      </x:c>
      <x:c r="G445" t="n">
        <x:v>89</x:v>
      </x:c>
      <x:c r="H445" t="str">
        <x:v>CQ-A05</x:v>
      </x:c>
      <x:c r="I445" s="36" t="str">
        <x:v>Welche dieser Aussagen stammt aus Johannes 21?</x:v>
      </x:c>
      <x:c r="J445" s="36" t="str"/>
      <x:c r="K445" s="36" t="str"/>
      <x:c r="L445" s="36" t="str">
        <x:v>REPO_VERIFIZIERT_FRAGEFORM</x:v>
      </x:c>
      <x:c r="M445" s="36" t="str">
        <x:v>ERSETZEN</x:v>
      </x:c>
      <x:c r="N445" s="36" t="str">
        <x:v>REPETITIVE_FRAGEFORM</x:v>
      </x:c>
      <x:c r="O445" s="36" t="str">
        <x:v>REINE_WIEDERERKENNUNG</x:v>
      </x:c>
      <x:c r="P445" s="36" t="str">
        <x:v>KERNAUSSAGE</x:v>
      </x:c>
      <x:c r="Q445" s="36" t="str">
        <x:v>Welchen Auftrag verbindet Jesus mit Petrus' Liebesbekenntnis?</x:v>
      </x:c>
      <x:c r="R445" s="36" t="str">
        <x:v>Er soll nach Rom gehen und König werden.</x:v>
      </x:c>
      <x:c r="S445" s="36" t="str">
        <x:v>Er soll Jesu Lämmer beziehungsweise Schafe weiden.</x:v>
      </x:c>
      <x:c r="T445" s="36" t="str">
        <x:v>Er soll den Tempel verwalten.</x:v>
      </x:c>
      <x:c r="U445" s="36" t="str">
        <x:v>Er soll die anderen Jünger verlassen.</x:v>
      </x:c>
      <x:c r="V445" s="36" t="n">
        <x:v>1</x:v>
      </x:c>
      <x:c r="W445" s="36" t="str">
        <x:v>Er soll Jesu Lämmer beziehungsweise Schafe weiden.</x:v>
      </x:c>
      <x:c r="X445" s="36" t="str">
        <x:v>Johannes 21,15–17</x:v>
      </x:c>
      <x:c r="Y445" s="36" t="str">
        <x:v>Jesu wiederholte Aufforderung richtet Petrus auf die Fürsorge für Jesu Herde aus.</x:v>
      </x:c>
      <x:c r="Z445" s="36" t="str">
        <x:v>JA</x:v>
      </x:c>
      <x:c r="AA445" s="36" t="str">
        <x:v>JA</x:v>
      </x:c>
      <x:c r="AB445" s="36" t="str">
        <x:v>JA</x:v>
      </x:c>
      <x:c r="AC445" s="36" t="str">
        <x:v>JA</x:v>
      </x:c>
      <x:c r="AD445" s="36" t="str">
        <x:v>JA</x:v>
      </x:c>
      <x:c r="AE445" s="36" t="str">
        <x:v>JA</x:v>
      </x:c>
      <x:c r="AF445" s="36" t="str">
        <x:v>JA</x:v>
      </x:c>
      <x:c r="AG445" s="36" t="str">
        <x:v>FREIGEGEBEN</x:v>
      </x:c>
      <x:c r="AH445" s="36" t="str">
        <x:v>GPT-5.6 Sol · Buchprüfung Johannes · L1912/OTB</x:v>
      </x:c>
      <x:c r="AI445" s="36" t="str">
        <x:v>FREIGEGEBEN</x:v>
      </x:c>
      <x:c r="AJ445" s="36" t="str">
        <x:v>Johannes 21: repetitive Wiedererkennungsfrage durch KERNAUSSAGE-Frage ersetzt.</x:v>
      </x:c>
      <x:c r="AK445" s="36" t="str">
        <x:v>FaithPath repo develop/v4 · data/bibles/l1912/JHN.json · data/bibles/otb/JHN.json</x:v>
      </x:c>
      <x:c r="AL445" t="str">
        <x:v>JA</x:v>
      </x:c>
    </x:row>
    <x:row r="446">
      <x:c r="A446" t="str">
        <x:v>FP-0705</x:v>
      </x:c>
      <x:c r="B446" t="str">
        <x:v>JHN</x:v>
      </x:c>
      <x:c r="C446" t="str">
        <x:v>Johannes</x:v>
      </x:c>
      <x:c r="D446" t="n">
        <x:v>21</x:v>
      </x:c>
      <x:c r="E446" t="n">
        <x:v>5</x:v>
      </x:c>
      <x:c r="F446" t="str">
        <x:v>JHN-021</x:v>
      </x:c>
      <x:c r="G446" t="n">
        <x:v>89</x:v>
      </x:c>
      <x:c r="H446" t="str">
        <x:v>CQ-A05</x:v>
      </x:c>
      <x:c r="I446" s="36" t="str">
        <x:v>Welche dieser Aussagen stammt aus Johannes 21?</x:v>
      </x:c>
      <x:c r="J446" s="36" t="str"/>
      <x:c r="K446" s="36" t="str"/>
      <x:c r="L446" s="36" t="str">
        <x:v>REPO_VERIFIZIERT_FRAGEFORM</x:v>
      </x:c>
      <x:c r="M446" s="36" t="str">
        <x:v>ERSETZEN</x:v>
      </x:c>
      <x:c r="N446" s="36" t="str">
        <x:v>REPETITIVE_FRAGEFORM</x:v>
      </x:c>
      <x:c r="O446" s="36" t="str">
        <x:v>REINE_WIEDERERKENNUNG</x:v>
      </x:c>
      <x:c r="P446" s="36" t="str">
        <x:v>KERNAUSSAGE</x:v>
      </x:c>
      <x:c r="Q446" s="36" t="str">
        <x:v>Wie reagiert Jesus auf Petrus' Frage nach dem Schicksal des anderen Jüngers?</x:v>
      </x:c>
      <x:c r="R446" s="36" t="str">
        <x:v>Petrus soll dessen Zukunft bestimmen.</x:v>
      </x:c>
      <x:c r="S446" s="36" t="str">
        <x:v>Der andere Jünger soll Petrus folgen.</x:v>
      </x:c>
      <x:c r="T446" s="36" t="str">
        <x:v>Petrus soll sich nicht auf dessen Weg fixieren, sondern Jesus selbst nachfolgen.</x:v>
      </x:c>
      <x:c r="U446" s="36" t="str">
        <x:v>Beide sollen ihre Nachfolge beenden.</x:v>
      </x:c>
      <x:c r="V446" s="36" t="n">
        <x:v>2</x:v>
      </x:c>
      <x:c r="W446" s="36" t="str">
        <x:v>Petrus soll sich nicht auf dessen Weg fixieren, sondern Jesus selbst nachfolgen.</x:v>
      </x:c>
      <x:c r="X446" s="36" t="str">
        <x:v>Johannes 21,20–22</x:v>
      </x:c>
      <x:c r="Y446" s="36" t="str">
        <x:v>Jesus lenkt Petrus von Spekulationen über den anderen Jünger zurück auf den eigenen Ruf: „Folge du mir nach.“</x:v>
      </x:c>
      <x:c r="Z446" s="36" t="str">
        <x:v>JA</x:v>
      </x:c>
      <x:c r="AA446" s="36" t="str">
        <x:v>JA</x:v>
      </x:c>
      <x:c r="AB446" s="36" t="str">
        <x:v>JA</x:v>
      </x:c>
      <x:c r="AC446" s="36" t="str">
        <x:v>JA</x:v>
      </x:c>
      <x:c r="AD446" s="36" t="str">
        <x:v>JA</x:v>
      </x:c>
      <x:c r="AE446" s="36" t="str">
        <x:v>JA</x:v>
      </x:c>
      <x:c r="AF446" s="36" t="str">
        <x:v>JA</x:v>
      </x:c>
      <x:c r="AG446" s="36" t="str">
        <x:v>FREIGEGEBEN</x:v>
      </x:c>
      <x:c r="AH446" s="36" t="str">
        <x:v>GPT-5.6 Sol · Buchprüfung Johannes · L1912/OTB</x:v>
      </x:c>
      <x:c r="AI446" s="36" t="str">
        <x:v>FREIGEGEBEN</x:v>
      </x:c>
      <x:c r="AJ446" s="36" t="str">
        <x:v>Johannes 21: repetitive Wiedererkennungsfrage durch KERNAUSSAGE-Frage ersetzt.</x:v>
      </x:c>
      <x:c r="AK446" s="36" t="str">
        <x:v>FaithPath repo develop/v4 · data/bibles/l1912/JHN.json · data/bibles/otb/JHN.json</x:v>
      </x:c>
      <x:c r="AL446" t="str">
        <x:v>JA</x:v>
      </x:c>
    </x:row>
    <x:row r="447">
      <x:c r="A447" t="str">
        <x:v>FP-0706</x:v>
      </x:c>
      <x:c r="B447" t="str">
        <x:v>ACT</x:v>
      </x:c>
      <x:c r="C447" t="str">
        <x:v>Apostelgeschichte</x:v>
      </x:c>
      <x:c r="D447" t="n">
        <x:v>1</x:v>
      </x:c>
      <x:c r="E447" t="n">
        <x:v>1</x:v>
      </x:c>
      <x:c r="F447" t="str">
        <x:v>ACT-001</x:v>
      </x:c>
      <x:c r="G447" t="n">
        <x:v>90</x:v>
      </x:c>
      <x:c r="H447" t="str">
        <x:v>CQ-A05</x:v>
      </x:c>
      <x:c r="I447" s="36" t="str">
        <x:v>Welche dieser Aussagen stammt aus Apostelgeschichte 1?</x:v>
      </x:c>
      <x:c r="J447" s="36" t="str"/>
      <x:c r="K447" s="36" t="str"/>
      <x:c r="L447" s="36" t="str">
        <x:v>REPO_VERIFIZIERT_FRAGEFORM</x:v>
      </x:c>
      <x:c r="M447" s="36" t="str">
        <x:v>ERSETZEN</x:v>
      </x:c>
      <x:c r="N447" s="36" t="str">
        <x:v>REPETITIVE_FRAGEFORM</x:v>
      </x:c>
      <x:c r="O447" s="36" t="str">
        <x:v>REINE_WIEDERERKENNUNG</x:v>
      </x:c>
      <x:c r="P447" s="36" t="str">
        <x:v>KERNAUSSAGE</x:v>
      </x:c>
      <x:c r="Q447" s="36" t="str">
        <x:v>Worauf sollen die Jünger nach Jesu Anweisung in Jerusalem warten?</x:v>
      </x:c>
      <x:c r="R447" s="36" t="str">
        <x:v>Auf einen neuen König Israels.</x:v>
      </x:c>
      <x:c r="S447" s="36" t="str">
        <x:v>Auf die Rückkehr Johannes des Täufers.</x:v>
      </x:c>
      <x:c r="T447" s="36" t="str">
        <x:v>Auf eine Botschaft des Hohenpriesters.</x:v>
      </x:c>
      <x:c r="U447" s="36" t="str">
        <x:v>Auf die Verheißung des Vaters, die Taufe mit dem Heiligen Geist.</x:v>
      </x:c>
      <x:c r="V447" s="36" t="n">
        <x:v>3</x:v>
      </x:c>
      <x:c r="W447" s="36" t="str">
        <x:f>CHOOSE(V447+1,R447,S447,T447,U447)</x:f>
        <x:v>Auf die Verheißung des Vaters, die Taufe mit dem Heiligen Geist.</x:v>
      </x:c>
      <x:c r="X447" s="36" t="str">
        <x:v>Apostelgeschichte 1,4–5</x:v>
      </x:c>
      <x:c r="Y447" s="36" t="str">
        <x:v>Jesus weist die Jünger an, Jerusalem nicht zu verlassen, sondern auf die verheißene Gabe des Heiligen Geistes zu warten.</x:v>
      </x:c>
      <x:c r="Z447" s="36" t="str">
        <x:v>JA</x:v>
      </x:c>
      <x:c r="AA447" s="36" t="str">
        <x:v>JA</x:v>
      </x:c>
      <x:c r="AB447" s="36" t="str">
        <x:v>JA</x:v>
      </x:c>
      <x:c r="AC447" s="36" t="str">
        <x:v>JA</x:v>
      </x:c>
      <x:c r="AD447" s="36" t="str">
        <x:v>JA</x:v>
      </x:c>
      <x:c r="AE447" s="36" t="str">
        <x:v>JA</x:v>
      </x:c>
      <x:c r="AF447" s="36" t="str">
        <x:v>JA</x:v>
      </x:c>
      <x:c r="AG447" s="36" t="str">
        <x:v>FREIGEGEBEN</x:v>
      </x:c>
      <x:c r="AH447" s="36" t="str">
        <x:v>GPT-5.6 Sol · Buchprüfung Apostelgeschichte · L1912/OTB</x:v>
      </x:c>
      <x:c r="AI447" s="36" t="str">
        <x:v>FREIGEGEBEN</x:v>
      </x:c>
      <x:c r="AJ447" s="36" t="str">
        <x:v>Apostelgeschichte 1: repetitive Wiedererkennungsfrage durch KERNAUSSAGE-Frage ersetzt.</x:v>
      </x:c>
      <x:c r="AK447" s="36" t="str">
        <x:v>FaithPath repo develop/v4 · data/stories.json · data/bibles/l1912/ACT.json · data/bibles/otb/ACT.json</x:v>
      </x:c>
      <x:c r="AL447" t="str">
        <x:f>IF(AND(AG447="FREIGEGEBEN",AI447="FREIGEGEBEN",Q447&lt;&gt;"",R447&lt;&gt;"",S447&lt;&gt;"",T447&lt;&gt;"",U447&lt;&gt;"",ISNUMBER(V447),X447&lt;&gt;"",Y447&lt;&gt;"",AA447="JA",AB447="JA",AC447="JA",AD447="JA",AE447="JA",AF447="JA"),"JA","NEIN")</x:f>
        <x:v>JA</x:v>
      </x:c>
    </x:row>
    <x:row r="448">
      <x:c r="A448" t="str">
        <x:v>FP-0707</x:v>
      </x:c>
      <x:c r="B448" t="str">
        <x:v>ACT</x:v>
      </x:c>
      <x:c r="C448" t="str">
        <x:v>Apostelgeschichte</x:v>
      </x:c>
      <x:c r="D448" t="n">
        <x:v>1</x:v>
      </x:c>
      <x:c r="E448" t="n">
        <x:v>2</x:v>
      </x:c>
      <x:c r="F448" t="str">
        <x:v>ACT-001</x:v>
      </x:c>
      <x:c r="G448" t="n">
        <x:v>90</x:v>
      </x:c>
      <x:c r="H448" t="str">
        <x:v>CQ-A05</x:v>
      </x:c>
      <x:c r="I448" s="36" t="str">
        <x:v>Welche dieser Aussagen stammt aus Apostelgeschichte 1?</x:v>
      </x:c>
      <x:c r="J448" s="36" t="str"/>
      <x:c r="K448" s="36" t="str"/>
      <x:c r="L448" s="36" t="str">
        <x:v>REPO_VERIFIZIERT_FRAGEFORM</x:v>
      </x:c>
      <x:c r="M448" s="36" t="str">
        <x:v>ERSETZEN</x:v>
      </x:c>
      <x:c r="N448" s="36" t="str">
        <x:v>REPETITIVE_FRAGEFORM</x:v>
      </x:c>
      <x:c r="O448" s="36" t="str">
        <x:v>REINE_WIEDERERKENNUNG</x:v>
      </x:c>
      <x:c r="P448" s="36" t="str">
        <x:v>KERNAUSSAGE</x:v>
      </x:c>
      <x:c r="Q448" s="36" t="str">
        <x:v>Welchen Auftrag verbindet Jesus mit dem Empfang des Heiligen Geistes?</x:v>
      </x:c>
      <x:c r="R448" s="36" t="str">
        <x:v>Die Jünger sollen seine Zeugen bis an das Ende der Erde sein.</x:v>
      </x:c>
      <x:c r="S448" s="36" t="str">
        <x:v>Sie sollen nur in Jerusalem bleiben.</x:v>
      </x:c>
      <x:c r="T448" s="36" t="str">
        <x:v>Sie sollen zuerst den Tempel übernehmen.</x:v>
      </x:c>
      <x:c r="U448" s="36" t="str">
        <x:v>Sie sollen ein politisches Reich errichten.</x:v>
      </x:c>
      <x:c r="V448" s="36" t="n">
        <x:v>0</x:v>
      </x:c>
      <x:c r="W448" s="36" t="str">
        <x:f>CHOOSE(V448+1,R448,S448,T448,U448)</x:f>
        <x:v>Die Jünger sollen seine Zeugen bis an das Ende der Erde sein.</x:v>
      </x:c>
      <x:c r="X448" s="36" t="str">
        <x:v>Apostelgeschichte 1,8</x:v>
      </x:c>
      <x:c r="Y448" s="36" t="str">
        <x:v>Die Kraft des Heiligen Geistes steht unmittelbar mit dem weltweiten Zeugnis für Jesus in Verbindung.</x:v>
      </x:c>
      <x:c r="Z448" s="36" t="str">
        <x:v>JA</x:v>
      </x:c>
      <x:c r="AA448" s="36" t="str">
        <x:v>JA</x:v>
      </x:c>
      <x:c r="AB448" s="36" t="str">
        <x:v>JA</x:v>
      </x:c>
      <x:c r="AC448" s="36" t="str">
        <x:v>JA</x:v>
      </x:c>
      <x:c r="AD448" s="36" t="str">
        <x:v>JA</x:v>
      </x:c>
      <x:c r="AE448" s="36" t="str">
        <x:v>JA</x:v>
      </x:c>
      <x:c r="AF448" s="36" t="str">
        <x:v>JA</x:v>
      </x:c>
      <x:c r="AG448" s="36" t="str">
        <x:v>FREIGEGEBEN</x:v>
      </x:c>
      <x:c r="AH448" s="36" t="str">
        <x:v>GPT-5.6 Sol · Buchprüfung Apostelgeschichte · L1912/OTB</x:v>
      </x:c>
      <x:c r="AI448" s="36" t="str">
        <x:v>FREIGEGEBEN</x:v>
      </x:c>
      <x:c r="AJ448" s="36" t="str">
        <x:v>Apostelgeschichte 1: repetitive Wiedererkennungsfrage durch KERNAUSSAGE-Frage ersetzt.</x:v>
      </x:c>
      <x:c r="AK448" s="36" t="str">
        <x:v>FaithPath repo develop/v4 · data/stories.json · data/bibles/l1912/ACT.json · data/bibles/otb/ACT.json</x:v>
      </x:c>
      <x:c r="AL448" t="str">
        <x:f>IF(AND(AG448="FREIGEGEBEN",AI448="FREIGEGEBEN",Q448&lt;&gt;"",R448&lt;&gt;"",S448&lt;&gt;"",T448&lt;&gt;"",U448&lt;&gt;"",ISNUMBER(V448),X448&lt;&gt;"",Y448&lt;&gt;"",AA448="JA",AB448="JA",AC448="JA",AD448="JA",AE448="JA",AF448="JA"),"JA","NEIN")</x:f>
        <x:v>JA</x:v>
      </x:c>
    </x:row>
    <x:row r="449">
      <x:c r="A449" t="str">
        <x:v>FP-0708</x:v>
      </x:c>
      <x:c r="B449" t="str">
        <x:v>ACT</x:v>
      </x:c>
      <x:c r="C449" t="str">
        <x:v>Apostelgeschichte</x:v>
      </x:c>
      <x:c r="D449" t="n">
        <x:v>1</x:v>
      </x:c>
      <x:c r="E449" t="n">
        <x:v>3</x:v>
      </x:c>
      <x:c r="F449" t="str">
        <x:v>ACT-001</x:v>
      </x:c>
      <x:c r="G449" t="n">
        <x:v>90</x:v>
      </x:c>
      <x:c r="H449" t="str">
        <x:v>CQ-A05</x:v>
      </x:c>
      <x:c r="I449" s="36" t="str">
        <x:v>Welche dieser Aussagen stammt aus Apostelgeschichte 1?</x:v>
      </x:c>
      <x:c r="J449" s="36" t="str"/>
      <x:c r="K449" s="36" t="str"/>
      <x:c r="L449" s="36" t="str">
        <x:v>REPO_VERIFIZIERT_FRAGEFORM</x:v>
      </x:c>
      <x:c r="M449" s="36" t="str">
        <x:v>ERSETZEN</x:v>
      </x:c>
      <x:c r="N449" s="36" t="str">
        <x:v>REPETITIVE_FRAGEFORM</x:v>
      </x:c>
      <x:c r="O449" s="36" t="str">
        <x:v>REINE_WIEDERERKENNUNG</x:v>
      </x:c>
      <x:c r="P449" s="36" t="str">
        <x:v>GESCHEHEN</x:v>
      </x:c>
      <x:c r="Q449" s="36" t="str">
        <x:v>Was geschieht, nachdem Jesus vor den Augen der Jünger emporgehoben wird?</x:v>
      </x:c>
      <x:c r="R449" s="36" t="str">
        <x:v>Er kehrt sofort auf den Ölberg zurück.</x:v>
      </x:c>
      <x:c r="S449" s="36" t="str">
        <x:v>Eine Wolke nimmt ihn auf, und zwei Männer kündigen seine Wiederkunft an.</x:v>
      </x:c>
      <x:c r="T449" s="36" t="str">
        <x:v>Die Jünger folgen ihm in den Himmel.</x:v>
      </x:c>
      <x:c r="U449" s="36" t="str">
        <x:v>Der Tempelvorhang zerreißt.</x:v>
      </x:c>
      <x:c r="V449" s="36" t="n">
        <x:v>1</x:v>
      </x:c>
      <x:c r="W449" s="36" t="str">
        <x:f>CHOOSE(V449+1,R449,S449,T449,U449)</x:f>
        <x:v>Eine Wolke nimmt ihn auf, und zwei Männer kündigen seine Wiederkunft an.</x:v>
      </x:c>
      <x:c r="X449" s="36" t="str">
        <x:v>Apostelgeschichte 1,9–11</x:v>
      </x:c>
      <x:c r="Y449" s="36" t="str">
        <x:v>Jesus wird vor ihren Augen aufgenommen; zwei Männer erklären, dass er auf entsprechende Weise wiederkommen wird.</x:v>
      </x:c>
      <x:c r="Z449" s="36" t="str">
        <x:v>JA</x:v>
      </x:c>
      <x:c r="AA449" s="36" t="str">
        <x:v>JA</x:v>
      </x:c>
      <x:c r="AB449" s="36" t="str">
        <x:v>JA</x:v>
      </x:c>
      <x:c r="AC449" s="36" t="str">
        <x:v>JA</x:v>
      </x:c>
      <x:c r="AD449" s="36" t="str">
        <x:v>JA</x:v>
      </x:c>
      <x:c r="AE449" s="36" t="str">
        <x:v>JA</x:v>
      </x:c>
      <x:c r="AF449" s="36" t="str">
        <x:v>JA</x:v>
      </x:c>
      <x:c r="AG449" s="36" t="str">
        <x:v>FREIGEGEBEN</x:v>
      </x:c>
      <x:c r="AH449" s="36" t="str">
        <x:v>GPT-5.6 Sol · Buchprüfung Apostelgeschichte · L1912/OTB</x:v>
      </x:c>
      <x:c r="AI449" s="36" t="str">
        <x:v>FREIGEGEBEN</x:v>
      </x:c>
      <x:c r="AJ449" s="36" t="str">
        <x:v>Apostelgeschichte 1: repetitive Wiedererkennungsfrage durch GESCHEHEN-Frage ersetzt.</x:v>
      </x:c>
      <x:c r="AK449" s="36" t="str">
        <x:v>FaithPath repo develop/v4 · data/stories.json · data/bibles/l1912/ACT.json · data/bibles/otb/ACT.json</x:v>
      </x:c>
      <x:c r="AL449" t="str">
        <x:f>IF(AND(AG449="FREIGEGEBEN",AI449="FREIGEGEBEN",Q449&lt;&gt;"",R449&lt;&gt;"",S449&lt;&gt;"",T449&lt;&gt;"",U449&lt;&gt;"",ISNUMBER(V449),X449&lt;&gt;"",Y449&lt;&gt;"",AA449="JA",AB449="JA",AC449="JA",AD449="JA",AE449="JA",AF449="JA"),"JA","NEIN")</x:f>
        <x:v>JA</x:v>
      </x:c>
    </x:row>
    <x:row r="450">
      <x:c r="A450" t="str">
        <x:v>FP-0709</x:v>
      </x:c>
      <x:c r="B450" t="str">
        <x:v>ACT</x:v>
      </x:c>
      <x:c r="C450" t="str">
        <x:v>Apostelgeschichte</x:v>
      </x:c>
      <x:c r="D450" t="n">
        <x:v>1</x:v>
      </x:c>
      <x:c r="E450" t="n">
        <x:v>4</x:v>
      </x:c>
      <x:c r="F450" t="str">
        <x:v>ACT-001</x:v>
      </x:c>
      <x:c r="G450" t="n">
        <x:v>90</x:v>
      </x:c>
      <x:c r="H450" t="str">
        <x:v>CQ-A05</x:v>
      </x:c>
      <x:c r="I450" s="36" t="str">
        <x:v>Welche dieser Aussagen stammt aus Apostelgeschichte 1?</x:v>
      </x:c>
      <x:c r="J450" s="36" t="str"/>
      <x:c r="K450" s="36" t="str"/>
      <x:c r="L450" s="36" t="str">
        <x:v>REPO_VERIFIZIERT_FRAGEFORM</x:v>
      </x:c>
      <x:c r="M450" s="36" t="str">
        <x:v>ERSETZEN</x:v>
      </x:c>
      <x:c r="N450" s="36" t="str">
        <x:v>REPETITIVE_FRAGEFORM</x:v>
      </x:c>
      <x:c r="O450" s="36" t="str">
        <x:v>REINE_WIEDERERKENNUNG</x:v>
      </x:c>
      <x:c r="P450" s="36" t="str">
        <x:v>ZUSAMMENHANG</x:v>
      </x:c>
      <x:c r="Q450" s="36" t="str">
        <x:v>Warum soll nach Petrus' Rede ein anderer den Platz des Judas übernehmen?</x:v>
      </x:c>
      <x:c r="R450" s="36" t="str">
        <x:v>Weil Judas nach Galiläa gezogen ist.</x:v>
      </x:c>
      <x:c r="S450" s="36" t="str">
        <x:v>Weil Petrus die Zahl der Apostel erhöhen möchte.</x:v>
      </x:c>
      <x:c r="T450" s="36" t="str">
        <x:v>Weil Judas' Verrat und Ende als Erfüllung der Schrift gedeutet werden und sein Dienstamt neu besetzt werden soll.</x:v>
      </x:c>
      <x:c r="U450" s="36" t="str">
        <x:v>Weil die Römer dies verlangen.</x:v>
      </x:c>
      <x:c r="V450" s="36" t="n">
        <x:v>2</x:v>
      </x:c>
      <x:c r="W450" s="36" t="str">
        <x:f>CHOOSE(V450+1,R450,S450,T450,U450)</x:f>
        <x:v>Weil Judas' Verrat und Ende als Erfüllung der Schrift gedeutet werden und sein Dienstamt neu besetzt werden soll.</x:v>
      </x:c>
      <x:c r="X450" s="36" t="str">
        <x:v>Apostelgeschichte 1,15–20</x:v>
      </x:c>
      <x:c r="Y450" s="36" t="str">
        <x:v>Petrus deutet die Ereignisse um Judas mit der Schrift und leitet daraus die Neubesetzung seines Dienstes ab.</x:v>
      </x:c>
      <x:c r="Z450" s="36" t="str">
        <x:v>JA</x:v>
      </x:c>
      <x:c r="AA450" s="36" t="str">
        <x:v>JA</x:v>
      </x:c>
      <x:c r="AB450" s="36" t="str">
        <x:v>JA</x:v>
      </x:c>
      <x:c r="AC450" s="36" t="str">
        <x:v>JA</x:v>
      </x:c>
      <x:c r="AD450" s="36" t="str">
        <x:v>JA</x:v>
      </x:c>
      <x:c r="AE450" s="36" t="str">
        <x:v>JA</x:v>
      </x:c>
      <x:c r="AF450" s="36" t="str">
        <x:v>JA</x:v>
      </x:c>
      <x:c r="AG450" s="36" t="str">
        <x:v>FREIGEGEBEN</x:v>
      </x:c>
      <x:c r="AH450" s="36" t="str">
        <x:v>GPT-5.6 Sol · Buchprüfung Apostelgeschichte · L1912/OTB</x:v>
      </x:c>
      <x:c r="AI450" s="36" t="str">
        <x:v>FREIGEGEBEN</x:v>
      </x:c>
      <x:c r="AJ450" s="36" t="str">
        <x:v>Apostelgeschichte 1: repetitive Wiedererkennungsfrage durch ZUSAMMENHANG-Frage ersetzt.</x:v>
      </x:c>
      <x:c r="AK450" s="36" t="str">
        <x:v>FaithPath repo develop/v4 · data/stories.json · data/bibles/l1912/ACT.json · data/bibles/otb/ACT.json</x:v>
      </x:c>
      <x:c r="AL450" t="str">
        <x:f>IF(AND(AG450="FREIGEGEBEN",AI450="FREIGEGEBEN",Q450&lt;&gt;"",R450&lt;&gt;"",S450&lt;&gt;"",T450&lt;&gt;"",U450&lt;&gt;"",ISNUMBER(V450),X450&lt;&gt;"",Y450&lt;&gt;"",AA450="JA",AB450="JA",AC450="JA",AD450="JA",AE450="JA",AF450="JA"),"JA","NEIN")</x:f>
        <x:v>JA</x:v>
      </x:c>
    </x:row>
    <x:row r="451">
      <x:c r="A451" t="str">
        <x:v>FP-0710</x:v>
      </x:c>
      <x:c r="B451" t="str">
        <x:v>ACT</x:v>
      </x:c>
      <x:c r="C451" t="str">
        <x:v>Apostelgeschichte</x:v>
      </x:c>
      <x:c r="D451" t="n">
        <x:v>1</x:v>
      </x:c>
      <x:c r="E451" t="n">
        <x:v>5</x:v>
      </x:c>
      <x:c r="F451" t="str">
        <x:v>ACT-001</x:v>
      </x:c>
      <x:c r="G451" t="n">
        <x:v>90</x:v>
      </x:c>
      <x:c r="H451" t="str">
        <x:v>CQ-A05</x:v>
      </x:c>
      <x:c r="I451" s="36" t="str">
        <x:v>Welche dieser Aussagen stammt aus Apostelgeschichte 1?</x:v>
      </x:c>
      <x:c r="J451" s="36" t="str"/>
      <x:c r="K451" s="36" t="str"/>
      <x:c r="L451" s="36" t="str">
        <x:v>REPO_VERIFIZIERT_FRAGEFORM</x:v>
      </x:c>
      <x:c r="M451" s="36" t="str">
        <x:v>ERSETZEN</x:v>
      </x:c>
      <x:c r="N451" s="36" t="str">
        <x:v>REPETITIVE_FRAGEFORM</x:v>
      </x:c>
      <x:c r="O451" s="36" t="str">
        <x:v>REINE_WIEDERERKENNUNG</x:v>
      </x:c>
      <x:c r="P451" s="36" t="str">
        <x:v>GESCHEHEN</x:v>
      </x:c>
      <x:c r="Q451" s="36" t="str">
        <x:v>Wer wird als Nachfolger des Judas zu den elf Aposteln gezählt?</x:v>
      </x:c>
      <x:c r="R451" s="36" t="str">
        <x:v>Barnabas.</x:v>
      </x:c>
      <x:c r="S451" s="36" t="str">
        <x:v>Stephanus.</x:v>
      </x:c>
      <x:c r="T451" s="36" t="str">
        <x:v>Silas.</x:v>
      </x:c>
      <x:c r="U451" s="36" t="str">
        <x:v>Matthias.</x:v>
      </x:c>
      <x:c r="V451" s="36" t="n">
        <x:v>3</x:v>
      </x:c>
      <x:c r="W451" s="36" t="str">
        <x:f>CHOOSE(V451+1,R451,S451,T451,U451)</x:f>
        <x:v>Matthias.</x:v>
      </x:c>
      <x:c r="X451" s="36" t="str">
        <x:v>Apostelgeschichte 1,21–26</x:v>
      </x:c>
      <x:c r="Y451" s="36" t="str">
        <x:v>Nach Gebet und Los fällt die Wahl auf Matthias, der zu den elf Aposteln hinzugezählt wird.</x:v>
      </x:c>
      <x:c r="Z451" s="36" t="str">
        <x:v>JA</x:v>
      </x:c>
      <x:c r="AA451" s="36" t="str">
        <x:v>JA</x:v>
      </x:c>
      <x:c r="AB451" s="36" t="str">
        <x:v>JA</x:v>
      </x:c>
      <x:c r="AC451" s="36" t="str">
        <x:v>JA</x:v>
      </x:c>
      <x:c r="AD451" s="36" t="str">
        <x:v>JA</x:v>
      </x:c>
      <x:c r="AE451" s="36" t="str">
        <x:v>JA</x:v>
      </x:c>
      <x:c r="AF451" s="36" t="str">
        <x:v>JA</x:v>
      </x:c>
      <x:c r="AG451" s="36" t="str">
        <x:v>FREIGEGEBEN</x:v>
      </x:c>
      <x:c r="AH451" s="36" t="str">
        <x:v>GPT-5.6 Sol · Buchprüfung Apostelgeschichte · L1912/OTB</x:v>
      </x:c>
      <x:c r="AI451" s="36" t="str">
        <x:v>FREIGEGEBEN</x:v>
      </x:c>
      <x:c r="AJ451" s="36" t="str">
        <x:v>Apostelgeschichte 1: repetitive Wiedererkennungsfrage durch GESCHEHEN-Frage ersetzt.</x:v>
      </x:c>
      <x:c r="AK451" s="36" t="str">
        <x:v>FaithPath repo develop/v4 · data/stories.json · data/bibles/l1912/ACT.json · data/bibles/otb/ACT.json</x:v>
      </x:c>
      <x:c r="AL451" t="str">
        <x:f>IF(AND(AG451="FREIGEGEBEN",AI451="FREIGEGEBEN",Q451&lt;&gt;"",R451&lt;&gt;"",S451&lt;&gt;"",T451&lt;&gt;"",U451&lt;&gt;"",ISNUMBER(V451),X451&lt;&gt;"",Y451&lt;&gt;"",AA451="JA",AB451="JA",AC451="JA",AD451="JA",AE451="JA",AF451="JA"),"JA","NEIN")</x:f>
        <x:v>JA</x:v>
      </x:c>
    </x:row>
    <x:row r="452">
      <x:c r="A452" t="str">
        <x:v>FP-0711</x:v>
      </x:c>
      <x:c r="B452" t="str">
        <x:v>ACT</x:v>
      </x:c>
      <x:c r="C452" t="str">
        <x:v>Apostelgeschichte</x:v>
      </x:c>
      <x:c r="D452" t="n">
        <x:v>2</x:v>
      </x:c>
      <x:c r="E452" t="n">
        <x:v>1</x:v>
      </x:c>
      <x:c r="F452" t="str">
        <x:v>ACT-002</x:v>
      </x:c>
      <x:c r="G452" t="n">
        <x:v>91</x:v>
      </x:c>
      <x:c r="H452" t="str">
        <x:v>CQ-A05</x:v>
      </x:c>
      <x:c r="I452" s="36" t="str">
        <x:v>Welche dieser Aussagen stammt aus Apostelgeschichte 2?</x:v>
      </x:c>
      <x:c r="J452" s="36" t="str"/>
      <x:c r="K452" s="36" t="str"/>
      <x:c r="L452" s="36" t="str">
        <x:v>REPO_VERIFIZIERT_FRAGEFORM</x:v>
      </x:c>
      <x:c r="M452" s="36" t="str">
        <x:v>ERSETZEN</x:v>
      </x:c>
      <x:c r="N452" s="36" t="str">
        <x:v>REPETITIVE_FRAGEFORM</x:v>
      </x:c>
      <x:c r="O452" s="36" t="str">
        <x:v>REINE_WIEDERERKENNUNG</x:v>
      </x:c>
      <x:c r="P452" s="36" t="str">
        <x:v>GESCHEHEN</x:v>
      </x:c>
      <x:c r="Q452" s="36" t="str">
        <x:v>Was geschieht am Pfingsttag mit den versammelten Jüngern?</x:v>
      </x:c>
      <x:c r="R452" s="36" t="str">
        <x:v>Sie werden mit dem Heiligen Geist erfüllt und beginnen in anderen Sprachen zu reden.</x:v>
      </x:c>
      <x:c r="S452" s="36" t="str">
        <x:v>Sie verlassen Jerusalem heimlich.</x:v>
      </x:c>
      <x:c r="T452" s="36" t="str">
        <x:v>Sie wählen einen neuen Apostel.</x:v>
      </x:c>
      <x:c r="U452" s="36" t="str">
        <x:v>Sie werden von den Römern verhaftet.</x:v>
      </x:c>
      <x:c r="V452" s="36" t="n">
        <x:v>0</x:v>
      </x:c>
      <x:c r="W452" s="36" t="str">
        <x:f>CHOOSE(V452+1,R452,S452,T452,U452)</x:f>
        <x:v>Sie werden mit dem Heiligen Geist erfüllt und beginnen in anderen Sprachen zu reden.</x:v>
      </x:c>
      <x:c r="X452" s="36" t="str">
        <x:v>Apostelgeschichte 2,1–4</x:v>
      </x:c>
      <x:c r="Y452" s="36" t="str">
        <x:v>Am Pfingsttag erfüllt der Heilige Geist die Versammelten, und sie reden in anderen Sprachen, wie der Geist es ihnen eingibt.</x:v>
      </x:c>
      <x:c r="Z452" s="36" t="str">
        <x:v>JA</x:v>
      </x:c>
      <x:c r="AA452" s="36" t="str">
        <x:v>JA</x:v>
      </x:c>
      <x:c r="AB452" s="36" t="str">
        <x:v>JA</x:v>
      </x:c>
      <x:c r="AC452" s="36" t="str">
        <x:v>JA</x:v>
      </x:c>
      <x:c r="AD452" s="36" t="str">
        <x:v>JA</x:v>
      </x:c>
      <x:c r="AE452" s="36" t="str">
        <x:v>JA</x:v>
      </x:c>
      <x:c r="AF452" s="36" t="str">
        <x:v>JA</x:v>
      </x:c>
      <x:c r="AG452" s="36" t="str">
        <x:v>FREIGEGEBEN</x:v>
      </x:c>
      <x:c r="AH452" s="36" t="str">
        <x:v>GPT-5.6 Sol · Buchprüfung Apostelgeschichte · L1912/OTB</x:v>
      </x:c>
      <x:c r="AI452" s="36" t="str">
        <x:v>FREIGEGEBEN</x:v>
      </x:c>
      <x:c r="AJ452" s="36" t="str">
        <x:v>Apostelgeschichte 2: repetitive Wiedererkennungsfrage durch GESCHEHEN-Frage ersetzt.</x:v>
      </x:c>
      <x:c r="AK452" s="36" t="str">
        <x:v>FaithPath repo develop/v4 · data/stories.json · data/bibles/l1912/ACT.json · data/bibles/otb/ACT.json</x:v>
      </x:c>
      <x:c r="AL452" t="str">
        <x:f>IF(AND(AG452="FREIGEGEBEN",AI452="FREIGEGEBEN",Q452&lt;&gt;"",R452&lt;&gt;"",S452&lt;&gt;"",T452&lt;&gt;"",U452&lt;&gt;"",ISNUMBER(V452),X452&lt;&gt;"",Y452&lt;&gt;"",AA452="JA",AB452="JA",AC452="JA",AD452="JA",AE452="JA",AF452="JA"),"JA","NEIN")</x:f>
        <x:v>JA</x:v>
      </x:c>
    </x:row>
    <x:row r="453">
      <x:c r="A453" t="str">
        <x:v>FP-0712</x:v>
      </x:c>
      <x:c r="B453" t="str">
        <x:v>ACT</x:v>
      </x:c>
      <x:c r="C453" t="str">
        <x:v>Apostelgeschichte</x:v>
      </x:c>
      <x:c r="D453" t="n">
        <x:v>2</x:v>
      </x:c>
      <x:c r="E453" t="n">
        <x:v>2</x:v>
      </x:c>
      <x:c r="F453" t="str">
        <x:v>ACT-002</x:v>
      </x:c>
      <x:c r="G453" t="n">
        <x:v>91</x:v>
      </x:c>
      <x:c r="H453" t="str">
        <x:v>CQ-A05</x:v>
      </x:c>
      <x:c r="I453" s="36" t="str">
        <x:v>Welche dieser Aussagen stammt aus Apostelgeschichte 2?</x:v>
      </x:c>
      <x:c r="J453" s="36" t="str"/>
      <x:c r="K453" s="36" t="str"/>
      <x:c r="L453" s="36" t="str">
        <x:v>REPO_VERIFIZIERT_FRAGEFORM</x:v>
      </x:c>
      <x:c r="M453" s="36" t="str">
        <x:v>ERSETZEN</x:v>
      </x:c>
      <x:c r="N453" s="36" t="str">
        <x:v>REPETITIVE_FRAGEFORM</x:v>
      </x:c>
      <x:c r="O453" s="36" t="str">
        <x:v>REINE_WIEDERERKENNUNG</x:v>
      </x:c>
      <x:c r="P453" s="36" t="str">
        <x:v>ZUSAMMENHANG</x:v>
      </x:c>
      <x:c r="Q453" s="36" t="str">
        <x:v>Mit welcher prophetischen Verheißung erklärt Petrus das Pfingstgeschehen?</x:v>
      </x:c>
      <x:c r="R453" s="36" t="str">
        <x:v>Mit der Ankündigung eines neuen Tempels.</x:v>
      </x:c>
      <x:c r="S453" s="36" t="str">
        <x:v>Mit der Verheißung, dass Gott seinen Geist über alles Fleisch ausgießen wird.</x:v>
      </x:c>
      <x:c r="T453" s="36" t="str">
        <x:v>Mit der Verheißung eines irdischen Königs aus Rom.</x:v>
      </x:c>
      <x:c r="U453" s="36" t="str">
        <x:v>Mit dem Gebot, nach Ägypten zurückzukehren.</x:v>
      </x:c>
      <x:c r="V453" s="36" t="n">
        <x:v>1</x:v>
      </x:c>
      <x:c r="W453" s="36" t="str">
        <x:f>CHOOSE(V453+1,R453,S453,T453,U453)</x:f>
        <x:v>Mit der Verheißung, dass Gott seinen Geist über alles Fleisch ausgießen wird.</x:v>
      </x:c>
      <x:c r="X453" s="36" t="str">
        <x:v>Apostelgeschichte 2,14–21</x:v>
      </x:c>
      <x:c r="Y453" s="36" t="str">
        <x:v>Petrus greift die Verheißung des Propheten Joel von der Ausgießung des Geistes auf.</x:v>
      </x:c>
      <x:c r="Z453" s="36" t="str">
        <x:v>JA</x:v>
      </x:c>
      <x:c r="AA453" s="36" t="str">
        <x:v>JA</x:v>
      </x:c>
      <x:c r="AB453" s="36" t="str">
        <x:v>JA</x:v>
      </x:c>
      <x:c r="AC453" s="36" t="str">
        <x:v>JA</x:v>
      </x:c>
      <x:c r="AD453" s="36" t="str">
        <x:v>JA</x:v>
      </x:c>
      <x:c r="AE453" s="36" t="str">
        <x:v>JA</x:v>
      </x:c>
      <x:c r="AF453" s="36" t="str">
        <x:v>JA</x:v>
      </x:c>
      <x:c r="AG453" s="36" t="str">
        <x:v>FREIGEGEBEN</x:v>
      </x:c>
      <x:c r="AH453" s="36" t="str">
        <x:v>GPT-5.6 Sol · Buchprüfung Apostelgeschichte · L1912/OTB</x:v>
      </x:c>
      <x:c r="AI453" s="36" t="str">
        <x:v>FREIGEGEBEN</x:v>
      </x:c>
      <x:c r="AJ453" s="36" t="str">
        <x:v>Apostelgeschichte 2: repetitive Wiedererkennungsfrage durch ZUSAMMENHANG-Frage ersetzt.</x:v>
      </x:c>
      <x:c r="AK453" s="36" t="str">
        <x:v>FaithPath repo develop/v4 · data/stories.json · data/bibles/l1912/ACT.json · data/bibles/otb/ACT.json</x:v>
      </x:c>
      <x:c r="AL453" t="str">
        <x:f>IF(AND(AG453="FREIGEGEBEN",AI453="FREIGEGEBEN",Q453&lt;&gt;"",R453&lt;&gt;"",S453&lt;&gt;"",T453&lt;&gt;"",U453&lt;&gt;"",ISNUMBER(V453),X453&lt;&gt;"",Y453&lt;&gt;"",AA453="JA",AB453="JA",AC453="JA",AD453="JA",AE453="JA",AF453="JA"),"JA","NEIN")</x:f>
        <x:v>JA</x:v>
      </x:c>
    </x:row>
    <x:row r="454">
      <x:c r="A454" t="str">
        <x:v>FP-0713</x:v>
      </x:c>
      <x:c r="B454" t="str">
        <x:v>ACT</x:v>
      </x:c>
      <x:c r="C454" t="str">
        <x:v>Apostelgeschichte</x:v>
      </x:c>
      <x:c r="D454" t="n">
        <x:v>2</x:v>
      </x:c>
      <x:c r="E454" t="n">
        <x:v>3</x:v>
      </x:c>
      <x:c r="F454" t="str">
        <x:v>ACT-002</x:v>
      </x:c>
      <x:c r="G454" t="n">
        <x:v>91</x:v>
      </x:c>
      <x:c r="H454" t="str">
        <x:v>CQ-A05</x:v>
      </x:c>
      <x:c r="I454" s="36" t="str">
        <x:v>Welche dieser Aussagen stammt aus Apostelgeschichte 2?</x:v>
      </x:c>
      <x:c r="J454" s="36" t="str"/>
      <x:c r="K454" s="36" t="str"/>
      <x:c r="L454" s="36" t="str">
        <x:v>REPO_VERIFIZIERT_FRAGEFORM</x:v>
      </x:c>
      <x:c r="M454" s="36" t="str">
        <x:v>ERSETZEN</x:v>
      </x:c>
      <x:c r="N454" s="36" t="str">
        <x:v>REPETITIVE_FRAGEFORM</x:v>
      </x:c>
      <x:c r="O454" s="36" t="str">
        <x:v>REINE_WIEDERERKENNUNG</x:v>
      </x:c>
      <x:c r="P454" s="36" t="str">
        <x:v>KERNAUSSAGE</x:v>
      </x:c>
      <x:c r="Q454" s="36" t="str">
        <x:v>Was sollen die Zuhörer tun, nachdem Petrus Jesus als Herrn und Christus verkündet hat?</x:v>
      </x:c>
      <x:c r="R454" s="36" t="str">
        <x:v>Jerusalem sofort verlassen.</x:v>
      </x:c>
      <x:c r="S454" s="36" t="str">
        <x:v>Nur ein Opfer im Tempel bringen.</x:v>
      </x:c>
      <x:c r="T454" s="36" t="str">
        <x:v>Umkehren und sich auf den Namen Jesu Christi taufen lassen.</x:v>
      </x:c>
      <x:c r="U454" s="36" t="str">
        <x:v>Eine neue Synagoge gründen.</x:v>
      </x:c>
      <x:c r="V454" s="36" t="n">
        <x:v>2</x:v>
      </x:c>
      <x:c r="W454" s="36" t="str">
        <x:f>CHOOSE(V454+1,R454,S454,T454,U454)</x:f>
        <x:v>Umkehren und sich auf den Namen Jesu Christi taufen lassen.</x:v>
      </x:c>
      <x:c r="X454" s="36" t="str">
        <x:v>Apostelgeschichte 2,36–41</x:v>
      </x:c>
      <x:c r="Y454" s="36" t="str">
        <x:v>Petrus ruft zur Umkehr und Taufe auf; etwa dreitausend Menschen nehmen die Botschaft an.</x:v>
      </x:c>
      <x:c r="Z454" s="36" t="str">
        <x:v>JA</x:v>
      </x:c>
      <x:c r="AA454" s="36" t="str">
        <x:v>JA</x:v>
      </x:c>
      <x:c r="AB454" s="36" t="str">
        <x:v>JA</x:v>
      </x:c>
      <x:c r="AC454" s="36" t="str">
        <x:v>JA</x:v>
      </x:c>
      <x:c r="AD454" s="36" t="str">
        <x:v>JA</x:v>
      </x:c>
      <x:c r="AE454" s="36" t="str">
        <x:v>JA</x:v>
      </x:c>
      <x:c r="AF454" s="36" t="str">
        <x:v>JA</x:v>
      </x:c>
      <x:c r="AG454" s="36" t="str">
        <x:v>FREIGEGEBEN</x:v>
      </x:c>
      <x:c r="AH454" s="36" t="str">
        <x:v>GPT-5.6 Sol · Buchprüfung Apostelgeschichte · L1912/OTB</x:v>
      </x:c>
      <x:c r="AI454" s="36" t="str">
        <x:v>FREIGEGEBEN</x:v>
      </x:c>
      <x:c r="AJ454" s="36" t="str">
        <x:v>Apostelgeschichte 2: repetitive Wiedererkennungsfrage durch KERNAUSSAGE-Frage ersetzt.</x:v>
      </x:c>
      <x:c r="AK454" s="36" t="str">
        <x:v>FaithPath repo develop/v4 · data/stories.json · data/bibles/l1912/ACT.json · data/bibles/otb/ACT.json</x:v>
      </x:c>
      <x:c r="AL454" t="str">
        <x:f>IF(AND(AG454="FREIGEGEBEN",AI454="FREIGEGEBEN",Q454&lt;&gt;"",R454&lt;&gt;"",S454&lt;&gt;"",T454&lt;&gt;"",U454&lt;&gt;"",ISNUMBER(V454),X454&lt;&gt;"",Y454&lt;&gt;"",AA454="JA",AB454="JA",AC454="JA",AD454="JA",AE454="JA",AF454="JA"),"JA","NEIN")</x:f>
        <x:v>JA</x:v>
      </x:c>
    </x:row>
    <x:row r="455">
      <x:c r="A455" t="str">
        <x:v>FP-0714</x:v>
      </x:c>
      <x:c r="B455" t="str">
        <x:v>ACT</x:v>
      </x:c>
      <x:c r="C455" t="str">
        <x:v>Apostelgeschichte</x:v>
      </x:c>
      <x:c r="D455" t="n">
        <x:v>2</x:v>
      </x:c>
      <x:c r="E455" t="n">
        <x:v>4</x:v>
      </x:c>
      <x:c r="F455" t="str">
        <x:v>ACT-002</x:v>
      </x:c>
      <x:c r="G455" t="n">
        <x:v>91</x:v>
      </x:c>
      <x:c r="H455" t="str">
        <x:v>CQ-A05</x:v>
      </x:c>
      <x:c r="I455" s="36" t="str">
        <x:v>Welche dieser Aussagen stammt aus Apostelgeschichte 2?</x:v>
      </x:c>
      <x:c r="J455" s="36" t="str"/>
      <x:c r="K455" s="36" t="str"/>
      <x:c r="L455" s="36" t="str">
        <x:v>REPO_VERIFIZIERT_FRAGEFORM</x:v>
      </x:c>
      <x:c r="M455" s="36" t="str">
        <x:v>ERSETZEN</x:v>
      </x:c>
      <x:c r="N455" s="36" t="str">
        <x:v>REPETITIVE_FRAGEFORM</x:v>
      </x:c>
      <x:c r="O455" s="36" t="str">
        <x:v>REINE_WIEDERERKENNUNG</x:v>
      </x:c>
      <x:c r="P455" s="36" t="str">
        <x:v>TEXTGENAUIGKEIT</x:v>
      </x:c>
      <x:c r="Q455" s="36" t="str">
        <x:v>Worin bleibt die junge Gemeinde nach Apostelgeschichte 2,42 beständig?</x:v>
      </x:c>
      <x:c r="R455" s="36" t="str">
        <x:v>Nur im Fasten und Schweigen.</x:v>
      </x:c>
      <x:c r="S455" s="36" t="str">
        <x:v>Nur im Tempelopfer.</x:v>
      </x:c>
      <x:c r="T455" s="36" t="str">
        <x:v>In politischen Versammlungen.</x:v>
      </x:c>
      <x:c r="U455" s="36" t="str">
        <x:v>In der Lehre der Apostel, Gemeinschaft, Brotbrechen und Gebeten.</x:v>
      </x:c>
      <x:c r="V455" s="36" t="n">
        <x:v>3</x:v>
      </x:c>
      <x:c r="W455" s="36" t="str">
        <x:f>CHOOSE(V455+1,R455,S455,T455,U455)</x:f>
        <x:v>In der Lehre der Apostel, Gemeinschaft, Brotbrechen und Gebeten.</x:v>
      </x:c>
      <x:c r="X455" s="36" t="str">
        <x:v>Apostelgeschichte 2,42</x:v>
      </x:c>
      <x:c r="Y455" s="36" t="str">
        <x:v>Lukas nennt vier prägende Elemente: apostolische Lehre, Gemeinschaft, Brotbrechen und Gebet.</x:v>
      </x:c>
      <x:c r="Z455" s="36" t="str">
        <x:v>JA</x:v>
      </x:c>
      <x:c r="AA455" s="36" t="str">
        <x:v>JA</x:v>
      </x:c>
      <x:c r="AB455" s="36" t="str">
        <x:v>JA</x:v>
      </x:c>
      <x:c r="AC455" s="36" t="str">
        <x:v>JA</x:v>
      </x:c>
      <x:c r="AD455" s="36" t="str">
        <x:v>JA</x:v>
      </x:c>
      <x:c r="AE455" s="36" t="str">
        <x:v>JA</x:v>
      </x:c>
      <x:c r="AF455" s="36" t="str">
        <x:v>JA</x:v>
      </x:c>
      <x:c r="AG455" s="36" t="str">
        <x:v>FREIGEGEBEN</x:v>
      </x:c>
      <x:c r="AH455" s="36" t="str">
        <x:v>GPT-5.6 Sol · Buchprüfung Apostelgeschichte · L1912/OTB</x:v>
      </x:c>
      <x:c r="AI455" s="36" t="str">
        <x:v>FREIGEGEBEN</x:v>
      </x:c>
      <x:c r="AJ455" s="36" t="str">
        <x:v>Apostelgeschichte 2: repetitive Wiedererkennungsfrage durch TEXTGENAUIGKEIT-Frage ersetzt.</x:v>
      </x:c>
      <x:c r="AK455" s="36" t="str">
        <x:v>FaithPath repo develop/v4 · data/stories.json · data/bibles/l1912/ACT.json · data/bibles/otb/ACT.json</x:v>
      </x:c>
      <x:c r="AL455" t="str">
        <x:f>IF(AND(AG455="FREIGEGEBEN",AI455="FREIGEGEBEN",Q455&lt;&gt;"",R455&lt;&gt;"",S455&lt;&gt;"",T455&lt;&gt;"",U455&lt;&gt;"",ISNUMBER(V455),X455&lt;&gt;"",Y455&lt;&gt;"",AA455="JA",AB455="JA",AC455="JA",AD455="JA",AE455="JA",AF455="JA"),"JA","NEIN")</x:f>
        <x:v>JA</x:v>
      </x:c>
    </x:row>
    <x:row r="456">
      <x:c r="A456" t="str">
        <x:v>FP-0715</x:v>
      </x:c>
      <x:c r="B456" t="str">
        <x:v>ACT</x:v>
      </x:c>
      <x:c r="C456" t="str">
        <x:v>Apostelgeschichte</x:v>
      </x:c>
      <x:c r="D456" t="n">
        <x:v>2</x:v>
      </x:c>
      <x:c r="E456" t="n">
        <x:v>5</x:v>
      </x:c>
      <x:c r="F456" t="str">
        <x:v>ACT-002</x:v>
      </x:c>
      <x:c r="G456" t="n">
        <x:v>91</x:v>
      </x:c>
      <x:c r="H456" t="str">
        <x:v>CQ-A05</x:v>
      </x:c>
      <x:c r="I456" s="36" t="str">
        <x:v>Welche dieser Aussagen stammt aus Apostelgeschichte 2?</x:v>
      </x:c>
      <x:c r="J456" s="36" t="str"/>
      <x:c r="K456" s="36" t="str"/>
      <x:c r="L456" s="36" t="str">
        <x:v>REPO_VERIFIZIERT_FRAGEFORM</x:v>
      </x:c>
      <x:c r="M456" s="36" t="str">
        <x:v>ERSETZEN</x:v>
      </x:c>
      <x:c r="N456" s="36" t="str">
        <x:v>REPETITIVE_FRAGEFORM</x:v>
      </x:c>
      <x:c r="O456" s="36" t="str">
        <x:v>REINE_WIEDERERKENNUNG</x:v>
      </x:c>
      <x:c r="P456" s="36" t="str">
        <x:v>KERNAUSSAGE</x:v>
      </x:c>
      <x:c r="Q456" s="36" t="str">
        <x:v>Wie wird das gemeinsame Leben der ersten Gläubigen beschrieben?</x:v>
      </x:c>
      <x:c r="R456" s="36" t="str">
        <x:v>Sie teilen Besitz nach Bedarf, treffen sich miteinander und loben Gott.</x:v>
      </x:c>
      <x:c r="S456" s="36" t="str">
        <x:v>Jeder lebt bewusst völlig isoliert.</x:v>
      </x:c>
      <x:c r="T456" s="36" t="str">
        <x:v>Niemand hilft Bedürftigen.</x:v>
      </x:c>
      <x:c r="U456" s="36" t="str">
        <x:v>Sie verlassen Jerusalem noch am selben Tag.</x:v>
      </x:c>
      <x:c r="V456" s="36" t="n">
        <x:v>0</x:v>
      </x:c>
      <x:c r="W456" s="36" t="str">
        <x:f>CHOOSE(V456+1,R456,S456,T456,U456)</x:f>
        <x:v>Sie teilen Besitz nach Bedarf, treffen sich miteinander und loben Gott.</x:v>
      </x:c>
      <x:c r="X456" s="36" t="str">
        <x:v>Apostelgeschichte 2,44–47</x:v>
      </x:c>
      <x:c r="Y456" s="36" t="str">
        <x:v>Die Gemeinde ist von Gemeinschaft, Teilen, gemeinsamen Mahlzeiten und Gotteslob geprägt.</x:v>
      </x:c>
      <x:c r="Z456" s="36" t="str">
        <x:v>JA</x:v>
      </x:c>
      <x:c r="AA456" s="36" t="str">
        <x:v>JA</x:v>
      </x:c>
      <x:c r="AB456" s="36" t="str">
        <x:v>JA</x:v>
      </x:c>
      <x:c r="AC456" s="36" t="str">
        <x:v>JA</x:v>
      </x:c>
      <x:c r="AD456" s="36" t="str">
        <x:v>JA</x:v>
      </x:c>
      <x:c r="AE456" s="36" t="str">
        <x:v>JA</x:v>
      </x:c>
      <x:c r="AF456" s="36" t="str">
        <x:v>JA</x:v>
      </x:c>
      <x:c r="AG456" s="36" t="str">
        <x:v>FREIGEGEBEN</x:v>
      </x:c>
      <x:c r="AH456" s="36" t="str">
        <x:v>GPT-5.6 Sol · Buchprüfung Apostelgeschichte · L1912/OTB</x:v>
      </x:c>
      <x:c r="AI456" s="36" t="str">
        <x:v>FREIGEGEBEN</x:v>
      </x:c>
      <x:c r="AJ456" s="36" t="str">
        <x:v>Apostelgeschichte 2: repetitive Wiedererkennungsfrage durch KERNAUSSAGE-Frage ersetzt.</x:v>
      </x:c>
      <x:c r="AK456" s="36" t="str">
        <x:v>FaithPath repo develop/v4 · data/stories.json · data/bibles/l1912/ACT.json · data/bibles/otb/ACT.json</x:v>
      </x:c>
      <x:c r="AL456" t="str">
        <x:f>IF(AND(AG456="FREIGEGEBEN",AI456="FREIGEGEBEN",Q456&lt;&gt;"",R456&lt;&gt;"",S456&lt;&gt;"",T456&lt;&gt;"",U456&lt;&gt;"",ISNUMBER(V456),X456&lt;&gt;"",Y456&lt;&gt;"",AA456="JA",AB456="JA",AC456="JA",AD456="JA",AE456="JA",AF456="JA"),"JA","NEIN")</x:f>
        <x:v>JA</x:v>
      </x:c>
    </x:row>
    <x:row r="457">
      <x:c r="A457" t="str">
        <x:v>FP-0716</x:v>
      </x:c>
      <x:c r="B457" t="str">
        <x:v>ACT</x:v>
      </x:c>
      <x:c r="C457" t="str">
        <x:v>Apostelgeschichte</x:v>
      </x:c>
      <x:c r="D457" t="n">
        <x:v>3</x:v>
      </x:c>
      <x:c r="E457" t="n">
        <x:v>1</x:v>
      </x:c>
      <x:c r="F457" t="str">
        <x:v>ACT-003</x:v>
      </x:c>
      <x:c r="G457" t="n">
        <x:v>92</x:v>
      </x:c>
      <x:c r="H457" t="str">
        <x:v>CQ-A05</x:v>
      </x:c>
      <x:c r="I457" s="36" t="str">
        <x:v>Welche dieser Aussagen stammt aus Apostelgeschichte 3?</x:v>
      </x:c>
      <x:c r="J457" s="36" t="str"/>
      <x:c r="K457" s="36" t="str"/>
      <x:c r="L457" s="36" t="str">
        <x:v>REPO_VERIFIZIERT_FRAGEFORM</x:v>
      </x:c>
      <x:c r="M457" s="36" t="str">
        <x:v>ERSETZEN</x:v>
      </x:c>
      <x:c r="N457" s="36" t="str">
        <x:v>REPETITIVE_FRAGEFORM</x:v>
      </x:c>
      <x:c r="O457" s="36" t="str">
        <x:v>REINE_WIEDERERKENNUNG</x:v>
      </x:c>
      <x:c r="P457" s="36" t="str">
        <x:v>GESCHEHEN</x:v>
      </x:c>
      <x:c r="Q457" s="36" t="str">
        <x:v>Was geschieht mit dem Mann, der seit Geburt nicht gehen kann, am Tempeltor?</x:v>
      </x:c>
      <x:c r="R457" s="36" t="str">
        <x:v>Er erhält Geld von Petrus.</x:v>
      </x:c>
      <x:c r="S457" s="36" t="str">
        <x:v>Petrus spricht im Namen Jesu zu ihm, und er kann aufstehen und gehen.</x:v>
      </x:c>
      <x:c r="T457" s="36" t="str">
        <x:v>Er wird in den Tempel getragen, bleibt aber gelähmt.</x:v>
      </x:c>
      <x:c r="U457" s="36" t="str">
        <x:v>Johannes schickt ihn zu einem Arzt.</x:v>
      </x:c>
      <x:c r="V457" s="36" t="n">
        <x:v>1</x:v>
      </x:c>
      <x:c r="W457" s="36" t="str">
        <x:f>CHOOSE(V457+1,R457,S457,T457,U457)</x:f>
        <x:v>Petrus spricht im Namen Jesu zu ihm, und er kann aufstehen und gehen.</x:v>
      </x:c>
      <x:c r="X457" s="36" t="str">
        <x:v>Apostelgeschichte 3,1–8</x:v>
      </x:c>
      <x:c r="Y457" s="36" t="str">
        <x:v>Petrus hat kein Silber oder Gold, gibt ihm aber im Namen Jesu Heilung; der Mann springt auf und geht.</x:v>
      </x:c>
      <x:c r="Z457" s="36" t="str">
        <x:v>JA</x:v>
      </x:c>
      <x:c r="AA457" s="36" t="str">
        <x:v>JA</x:v>
      </x:c>
      <x:c r="AB457" s="36" t="str">
        <x:v>JA</x:v>
      </x:c>
      <x:c r="AC457" s="36" t="str">
        <x:v>JA</x:v>
      </x:c>
      <x:c r="AD457" s="36" t="str">
        <x:v>JA</x:v>
      </x:c>
      <x:c r="AE457" s="36" t="str">
        <x:v>JA</x:v>
      </x:c>
      <x:c r="AF457" s="36" t="str">
        <x:v>JA</x:v>
      </x:c>
      <x:c r="AG457" s="36" t="str">
        <x:v>FREIGEGEBEN</x:v>
      </x:c>
      <x:c r="AH457" s="36" t="str">
        <x:v>GPT-5.6 Sol · Buchprüfung Apostelgeschichte · L1912/OTB</x:v>
      </x:c>
      <x:c r="AI457" s="36" t="str">
        <x:v>FREIGEGEBEN</x:v>
      </x:c>
      <x:c r="AJ457" s="36" t="str">
        <x:v>Apostelgeschichte 3: repetitive Wiedererkennungsfrage durch GESCHEHEN-Frage ersetzt.</x:v>
      </x:c>
      <x:c r="AK457" s="36" t="str">
        <x:v>FaithPath repo develop/v4 · data/stories.json · data/bibles/l1912/ACT.json · data/bibles/otb/ACT.json</x:v>
      </x:c>
      <x:c r="AL457" t="str">
        <x:f>IF(AND(AG457="FREIGEGEBEN",AI457="FREIGEGEBEN",Q457&lt;&gt;"",R457&lt;&gt;"",S457&lt;&gt;"",T457&lt;&gt;"",U457&lt;&gt;"",ISNUMBER(V457),X457&lt;&gt;"",Y457&lt;&gt;"",AA457="JA",AB457="JA",AC457="JA",AD457="JA",AE457="JA",AF457="JA"),"JA","NEIN")</x:f>
        <x:v>JA</x:v>
      </x:c>
    </x:row>
    <x:row r="458">
      <x:c r="A458" t="str">
        <x:v>FP-0717</x:v>
      </x:c>
      <x:c r="B458" t="str">
        <x:v>ACT</x:v>
      </x:c>
      <x:c r="C458" t="str">
        <x:v>Apostelgeschichte</x:v>
      </x:c>
      <x:c r="D458" t="n">
        <x:v>3</x:v>
      </x:c>
      <x:c r="E458" t="n">
        <x:v>2</x:v>
      </x:c>
      <x:c r="F458" t="str">
        <x:v>ACT-003</x:v>
      </x:c>
      <x:c r="G458" t="n">
        <x:v>92</x:v>
      </x:c>
      <x:c r="H458" t="str">
        <x:v>CQ-A05</x:v>
      </x:c>
      <x:c r="I458" s="36" t="str">
        <x:v>Welche dieser Aussagen stammt aus Apostelgeschichte 3?</x:v>
      </x:c>
      <x:c r="J458" s="36" t="str"/>
      <x:c r="K458" s="36" t="str"/>
      <x:c r="L458" s="36" t="str">
        <x:v>REPO_VERIFIZIERT_FRAGEFORM</x:v>
      </x:c>
      <x:c r="M458" s="36" t="str">
        <x:v>ERSETZEN</x:v>
      </x:c>
      <x:c r="N458" s="36" t="str">
        <x:v>REPETITIVE_FRAGEFORM</x:v>
      </x:c>
      <x:c r="O458" s="36" t="str">
        <x:v>REINE_WIEDERERKENNUNG</x:v>
      </x:c>
      <x:c r="P458" s="36" t="str">
        <x:v>KERNAUSSAGE</x:v>
      </x:c>
      <x:c r="Q458" s="36" t="str">
        <x:v>Wem schreibt Petrus die Heilung des Gelähmten zu?</x:v>
      </x:c>
      <x:c r="R458" s="36" t="str">
        <x:v>Seiner eigenen Frömmigkeit und Kraft.</x:v>
      </x:c>
      <x:c r="S458" s="36" t="str">
        <x:v>Der Heilkraft des Tempels.</x:v>
      </x:c>
      <x:c r="T458" s="36" t="str">
        <x:v>Dem Glauben an den Namen Jesu und Gottes Wirken durch ihn.</x:v>
      </x:c>
      <x:c r="U458" s="36" t="str">
        <x:v>Der Hilfe römischer Ärzte.</x:v>
      </x:c>
      <x:c r="V458" s="36" t="n">
        <x:v>2</x:v>
      </x:c>
      <x:c r="W458" s="36" t="str">
        <x:f>CHOOSE(V458+1,R458,S458,T458,U458)</x:f>
        <x:v>Dem Glauben an den Namen Jesu und Gottes Wirken durch ihn.</x:v>
      </x:c>
      <x:c r="X458" s="36" t="str">
        <x:v>Apostelgeschichte 3,12–16</x:v>
      </x:c>
      <x:c r="Y458" s="36" t="str">
        <x:v>Petrus weist persönliche Kraft oder Frömmigkeit als Erklärung zurück und lenkt den Blick auf Jesus.</x:v>
      </x:c>
      <x:c r="Z458" s="36" t="str">
        <x:v>JA</x:v>
      </x:c>
      <x:c r="AA458" s="36" t="str">
        <x:v>JA</x:v>
      </x:c>
      <x:c r="AB458" s="36" t="str">
        <x:v>JA</x:v>
      </x:c>
      <x:c r="AC458" s="36" t="str">
        <x:v>JA</x:v>
      </x:c>
      <x:c r="AD458" s="36" t="str">
        <x:v>JA</x:v>
      </x:c>
      <x:c r="AE458" s="36" t="str">
        <x:v>JA</x:v>
      </x:c>
      <x:c r="AF458" s="36" t="str">
        <x:v>JA</x:v>
      </x:c>
      <x:c r="AG458" s="36" t="str">
        <x:v>FREIGEGEBEN</x:v>
      </x:c>
      <x:c r="AH458" s="36" t="str">
        <x:v>GPT-5.6 Sol · Buchprüfung Apostelgeschichte · L1912/OTB</x:v>
      </x:c>
      <x:c r="AI458" s="36" t="str">
        <x:v>FREIGEGEBEN</x:v>
      </x:c>
      <x:c r="AJ458" s="36" t="str">
        <x:v>Apostelgeschichte 3: repetitive Wiedererkennungsfrage durch KERNAUSSAGE-Frage ersetzt.</x:v>
      </x:c>
      <x:c r="AK458" s="36" t="str">
        <x:v>FaithPath repo develop/v4 · data/stories.json · data/bibles/l1912/ACT.json · data/bibles/otb/ACT.json</x:v>
      </x:c>
      <x:c r="AL458" t="str">
        <x:f>IF(AND(AG458="FREIGEGEBEN",AI458="FREIGEGEBEN",Q458&lt;&gt;"",R458&lt;&gt;"",S458&lt;&gt;"",T458&lt;&gt;"",U458&lt;&gt;"",ISNUMBER(V458),X458&lt;&gt;"",Y458&lt;&gt;"",AA458="JA",AB458="JA",AC458="JA",AD458="JA",AE458="JA",AF458="JA"),"JA","NEIN")</x:f>
        <x:v>JA</x:v>
      </x:c>
    </x:row>
    <x:row r="459">
      <x:c r="A459" t="str">
        <x:v>FP-0718</x:v>
      </x:c>
      <x:c r="B459" t="str">
        <x:v>ACT</x:v>
      </x:c>
      <x:c r="C459" t="str">
        <x:v>Apostelgeschichte</x:v>
      </x:c>
      <x:c r="D459" t="n">
        <x:v>3</x:v>
      </x:c>
      <x:c r="E459" t="n">
        <x:v>3</x:v>
      </x:c>
      <x:c r="F459" t="str">
        <x:v>ACT-003</x:v>
      </x:c>
      <x:c r="G459" t="n">
        <x:v>92</x:v>
      </x:c>
      <x:c r="H459" t="str">
        <x:v>CQ-A05</x:v>
      </x:c>
      <x:c r="I459" s="36" t="str">
        <x:v>Welche dieser Aussagen stammt aus Apostelgeschichte 3?</x:v>
      </x:c>
      <x:c r="J459" s="36" t="str"/>
      <x:c r="K459" s="36" t="str"/>
      <x:c r="L459" s="36" t="str">
        <x:v>REPO_VERIFIZIERT_FRAGEFORM</x:v>
      </x:c>
      <x:c r="M459" s="36" t="str">
        <x:v>ERSETZEN</x:v>
      </x:c>
      <x:c r="N459" s="36" t="str">
        <x:v>REPETITIVE_FRAGEFORM</x:v>
      </x:c>
      <x:c r="O459" s="36" t="str">
        <x:v>REINE_WIEDERERKENNUNG</x:v>
      </x:c>
      <x:c r="P459" s="36" t="str">
        <x:v>KERNAUSSAGE</x:v>
      </x:c>
      <x:c r="Q459" s="36" t="str">
        <x:v>Wozu ruft Petrus seine Zuhörer nach der Heilung auf?</x:v>
      </x:c>
      <x:c r="R459" s="36" t="str">
        <x:v>Zum Verlassen Jerusalems.</x:v>
      </x:c>
      <x:c r="S459" s="36" t="str">
        <x:v>Zum Aufbau eines neuen Tempels.</x:v>
      </x:c>
      <x:c r="T459" s="36" t="str">
        <x:v>Zu einem politischen Aufstand.</x:v>
      </x:c>
      <x:c r="U459" s="36" t="str">
        <x:v>Zur Umkehr, damit ihre Sünden getilgt werden und Zeiten der Erquickung kommen.</x:v>
      </x:c>
      <x:c r="V459" s="36" t="n">
        <x:v>3</x:v>
      </x:c>
      <x:c r="W459" s="36" t="str">
        <x:f>CHOOSE(V459+1,R459,S459,T459,U459)</x:f>
        <x:v>Zur Umkehr, damit ihre Sünden getilgt werden und Zeiten der Erquickung kommen.</x:v>
      </x:c>
      <x:c r="X459" s="36" t="str">
        <x:v>Apostelgeschichte 3,19–21</x:v>
      </x:c>
      <x:c r="Y459" s="36" t="str">
        <x:v>Petrus ruft zur Umkehr und verbindet sie mit Vergebung und Gottes zukünftiger Erneuerung.</x:v>
      </x:c>
      <x:c r="Z459" s="36" t="str">
        <x:v>JA</x:v>
      </x:c>
      <x:c r="AA459" s="36" t="str">
        <x:v>JA</x:v>
      </x:c>
      <x:c r="AB459" s="36" t="str">
        <x:v>JA</x:v>
      </x:c>
      <x:c r="AC459" s="36" t="str">
        <x:v>JA</x:v>
      </x:c>
      <x:c r="AD459" s="36" t="str">
        <x:v>JA</x:v>
      </x:c>
      <x:c r="AE459" s="36" t="str">
        <x:v>JA</x:v>
      </x:c>
      <x:c r="AF459" s="36" t="str">
        <x:v>JA</x:v>
      </x:c>
      <x:c r="AG459" s="36" t="str">
        <x:v>FREIGEGEBEN</x:v>
      </x:c>
      <x:c r="AH459" s="36" t="str">
        <x:v>GPT-5.6 Sol · Buchprüfung Apostelgeschichte · L1912/OTB</x:v>
      </x:c>
      <x:c r="AI459" s="36" t="str">
        <x:v>FREIGEGEBEN</x:v>
      </x:c>
      <x:c r="AJ459" s="36" t="str">
        <x:v>Apostelgeschichte 3: repetitive Wiedererkennungsfrage durch KERNAUSSAGE-Frage ersetzt.</x:v>
      </x:c>
      <x:c r="AK459" s="36" t="str">
        <x:v>FaithPath repo develop/v4 · data/stories.json · data/bibles/l1912/ACT.json · data/bibles/otb/ACT.json</x:v>
      </x:c>
      <x:c r="AL459" t="str">
        <x:f>IF(AND(AG459="FREIGEGEBEN",AI459="FREIGEGEBEN",Q459&lt;&gt;"",R459&lt;&gt;"",S459&lt;&gt;"",T459&lt;&gt;"",U459&lt;&gt;"",ISNUMBER(V459),X459&lt;&gt;"",Y459&lt;&gt;"",AA459="JA",AB459="JA",AC459="JA",AD459="JA",AE459="JA",AF459="JA"),"JA","NEIN")</x:f>
        <x:v>JA</x:v>
      </x:c>
    </x:row>
    <x:row r="460">
      <x:c r="A460" t="str">
        <x:v>FP-0719</x:v>
      </x:c>
      <x:c r="B460" t="str">
        <x:v>ACT</x:v>
      </x:c>
      <x:c r="C460" t="str">
        <x:v>Apostelgeschichte</x:v>
      </x:c>
      <x:c r="D460" t="n">
        <x:v>3</x:v>
      </x:c>
      <x:c r="E460" t="n">
        <x:v>4</x:v>
      </x:c>
      <x:c r="F460" t="str">
        <x:v>ACT-003</x:v>
      </x:c>
      <x:c r="G460" t="n">
        <x:v>92</x:v>
      </x:c>
      <x:c r="H460" t="str">
        <x:v>CQ-A05</x:v>
      </x:c>
      <x:c r="I460" s="36" t="str">
        <x:v>Welche dieser Aussagen stammt aus Apostelgeschichte 3?</x:v>
      </x:c>
      <x:c r="J460" s="36" t="str"/>
      <x:c r="K460" s="36" t="str"/>
      <x:c r="L460" s="36" t="str">
        <x:v>REPO_VERIFIZIERT_FRAGEFORM</x:v>
      </x:c>
      <x:c r="M460" s="36" t="str">
        <x:v>ERSETZEN</x:v>
      </x:c>
      <x:c r="N460" s="36" t="str">
        <x:v>REPETITIVE_FRAGEFORM</x:v>
      </x:c>
      <x:c r="O460" s="36" t="str">
        <x:v>REINE_WIEDERERKENNUNG</x:v>
      </x:c>
      <x:c r="P460" s="36" t="str">
        <x:v>ZUSAMMENHANG</x:v>
      </x:c>
      <x:c r="Q460" s="36" t="str">
        <x:v>Auf wen bezieht Petrus Moses Ankündigung eines kommenden Propheten?</x:v>
      </x:c>
      <x:c r="R460" s="36" t="str">
        <x:v>Auf Jesus, auf den das Volk hören soll.</x:v>
      </x:c>
      <x:c r="S460" s="36" t="str">
        <x:v>Auf Johannes den Täufer.</x:v>
      </x:c>
      <x:c r="T460" s="36" t="str">
        <x:v>Auf Gamaliel.</x:v>
      </x:c>
      <x:c r="U460" s="36" t="str">
        <x:v>Auf den Hohepriester.</x:v>
      </x:c>
      <x:c r="V460" s="36" t="n">
        <x:v>0</x:v>
      </x:c>
      <x:c r="W460" s="36" t="str">
        <x:f>CHOOSE(V460+1,R460,S460,T460,U460)</x:f>
        <x:v>Auf Jesus, auf den das Volk hören soll.</x:v>
      </x:c>
      <x:c r="X460" s="36" t="str">
        <x:v>Apostelgeschichte 3,22–23</x:v>
      </x:c>
      <x:c r="Y460" s="36" t="str">
        <x:v>Petrus verwendet Moses Prophetenverheißung, um die Bedeutung Jesu zu erklären.</x:v>
      </x:c>
      <x:c r="Z460" s="36" t="str">
        <x:v>JA</x:v>
      </x:c>
      <x:c r="AA460" s="36" t="str">
        <x:v>JA</x:v>
      </x:c>
      <x:c r="AB460" s="36" t="str">
        <x:v>JA</x:v>
      </x:c>
      <x:c r="AC460" s="36" t="str">
        <x:v>JA</x:v>
      </x:c>
      <x:c r="AD460" s="36" t="str">
        <x:v>JA</x:v>
      </x:c>
      <x:c r="AE460" s="36" t="str">
        <x:v>JA</x:v>
      </x:c>
      <x:c r="AF460" s="36" t="str">
        <x:v>JA</x:v>
      </x:c>
      <x:c r="AG460" s="36" t="str">
        <x:v>FREIGEGEBEN</x:v>
      </x:c>
      <x:c r="AH460" s="36" t="str">
        <x:v>GPT-5.6 Sol · Buchprüfung Apostelgeschichte · L1912/OTB</x:v>
      </x:c>
      <x:c r="AI460" s="36" t="str">
        <x:v>FREIGEGEBEN</x:v>
      </x:c>
      <x:c r="AJ460" s="36" t="str">
        <x:v>Apostelgeschichte 3: repetitive Wiedererkennungsfrage durch ZUSAMMENHANG-Frage ersetzt.</x:v>
      </x:c>
      <x:c r="AK460" s="36" t="str">
        <x:v>FaithPath repo develop/v4 · data/stories.json · data/bibles/l1912/ACT.json · data/bibles/otb/ACT.json</x:v>
      </x:c>
      <x:c r="AL460" t="str">
        <x:f>IF(AND(AG460="FREIGEGEBEN",AI460="FREIGEGEBEN",Q460&lt;&gt;"",R460&lt;&gt;"",S460&lt;&gt;"",T460&lt;&gt;"",U460&lt;&gt;"",ISNUMBER(V460),X460&lt;&gt;"",Y460&lt;&gt;"",AA460="JA",AB460="JA",AC460="JA",AD460="JA",AE460="JA",AF460="JA"),"JA","NEIN")</x:f>
        <x:v>JA</x:v>
      </x:c>
    </x:row>
    <x:row r="461">
      <x:c r="A461" t="str">
        <x:v>FP-0720</x:v>
      </x:c>
      <x:c r="B461" t="str">
        <x:v>ACT</x:v>
      </x:c>
      <x:c r="C461" t="str">
        <x:v>Apostelgeschichte</x:v>
      </x:c>
      <x:c r="D461" t="n">
        <x:v>3</x:v>
      </x:c>
      <x:c r="E461" t="n">
        <x:v>5</x:v>
      </x:c>
      <x:c r="F461" t="str">
        <x:v>ACT-003</x:v>
      </x:c>
      <x:c r="G461" t="n">
        <x:v>92</x:v>
      </x:c>
      <x:c r="H461" t="str">
        <x:v>CQ-A05</x:v>
      </x:c>
      <x:c r="I461" s="36" t="str">
        <x:v>Welche dieser Aussagen stammt aus Apostelgeschichte 3?</x:v>
      </x:c>
      <x:c r="J461" s="36" t="str"/>
      <x:c r="K461" s="36" t="str"/>
      <x:c r="L461" s="36" t="str">
        <x:v>REPO_VERIFIZIERT_FRAGEFORM</x:v>
      </x:c>
      <x:c r="M461" s="36" t="str">
        <x:v>ERSETZEN</x:v>
      </x:c>
      <x:c r="N461" s="36" t="str">
        <x:v>REPETITIVE_FRAGEFORM</x:v>
      </x:c>
      <x:c r="O461" s="36" t="str">
        <x:v>REINE_WIEDERERKENNUNG</x:v>
      </x:c>
      <x:c r="P461" s="36" t="str">
        <x:v>KERNAUSSAGE</x:v>
      </x:c>
      <x:c r="Q461" s="36" t="str">
        <x:v>Wozu hat Gott nach Petrus seinen Knecht zuerst zu Israel gesandt?</x:v>
      </x:c>
      <x:c r="R461" s="36" t="str">
        <x:v>Um den Tempel abzureißen.</x:v>
      </x:c>
      <x:c r="S461" s="36" t="str">
        <x:v>Um sie zu segnen, indem jeder sich von seinen bösen Wegen abwendet.</x:v>
      </x:c>
      <x:c r="T461" s="36" t="str">
        <x:v>Um die Römer zu vertreiben.</x:v>
      </x:c>
      <x:c r="U461" s="36" t="str">
        <x:v>Um alle Opfer abzuschaffen.</x:v>
      </x:c>
      <x:c r="V461" s="36" t="n">
        <x:v>1</x:v>
      </x:c>
      <x:c r="W461" s="36" t="str">
        <x:f>CHOOSE(V461+1,R461,S461,T461,U461)</x:f>
        <x:v>Um sie zu segnen, indem jeder sich von seinen bösen Wegen abwendet.</x:v>
      </x:c>
      <x:c r="X461" s="36" t="str">
        <x:v>Apostelgeschichte 3,25–26</x:v>
      </x:c>
      <x:c r="Y461" s="36" t="str">
        <x:v>Petrus beschreibt Gottes Segen als Ruf zur Abkehr vom Bösen.</x:v>
      </x:c>
      <x:c r="Z461" s="36" t="str">
        <x:v>JA</x:v>
      </x:c>
      <x:c r="AA461" s="36" t="str">
        <x:v>JA</x:v>
      </x:c>
      <x:c r="AB461" s="36" t="str">
        <x:v>JA</x:v>
      </x:c>
      <x:c r="AC461" s="36" t="str">
        <x:v>JA</x:v>
      </x:c>
      <x:c r="AD461" s="36" t="str">
        <x:v>JA</x:v>
      </x:c>
      <x:c r="AE461" s="36" t="str">
        <x:v>JA</x:v>
      </x:c>
      <x:c r="AF461" s="36" t="str">
        <x:v>JA</x:v>
      </x:c>
      <x:c r="AG461" s="36" t="str">
        <x:v>FREIGEGEBEN</x:v>
      </x:c>
      <x:c r="AH461" s="36" t="str">
        <x:v>GPT-5.6 Sol · Buchprüfung Apostelgeschichte · L1912/OTB</x:v>
      </x:c>
      <x:c r="AI461" s="36" t="str">
        <x:v>FREIGEGEBEN</x:v>
      </x:c>
      <x:c r="AJ461" s="36" t="str">
        <x:v>Apostelgeschichte 3: repetitive Wiedererkennungsfrage durch KERNAUSSAGE-Frage ersetzt.</x:v>
      </x:c>
      <x:c r="AK461" s="36" t="str">
        <x:v>FaithPath repo develop/v4 · data/stories.json · data/bibles/l1912/ACT.json · data/bibles/otb/ACT.json</x:v>
      </x:c>
      <x:c r="AL461" t="str">
        <x:f>IF(AND(AG461="FREIGEGEBEN",AI461="FREIGEGEBEN",Q461&lt;&gt;"",R461&lt;&gt;"",S461&lt;&gt;"",T461&lt;&gt;"",U461&lt;&gt;"",ISNUMBER(V461),X461&lt;&gt;"",Y461&lt;&gt;"",AA461="JA",AB461="JA",AC461="JA",AD461="JA",AE461="JA",AF461="JA"),"JA","NEIN")</x:f>
        <x:v>JA</x:v>
      </x:c>
    </x:row>
    <x:row r="462">
      <x:c r="A462" t="str">
        <x:v>FP-0721</x:v>
      </x:c>
      <x:c r="B462" t="str">
        <x:v>ACT</x:v>
      </x:c>
      <x:c r="C462" t="str">
        <x:v>Apostelgeschichte</x:v>
      </x:c>
      <x:c r="D462" t="n">
        <x:v>4</x:v>
      </x:c>
      <x:c r="E462" t="n">
        <x:v>1</x:v>
      </x:c>
      <x:c r="F462" t="str">
        <x:v>ACT-004</x:v>
      </x:c>
      <x:c r="G462" t="n">
        <x:v>93</x:v>
      </x:c>
      <x:c r="H462" t="str">
        <x:v>CQ-A05</x:v>
      </x:c>
      <x:c r="I462" s="36" t="str">
        <x:v>Welche dieser Aussagen stammt aus Apostelgeschichte 4?</x:v>
      </x:c>
      <x:c r="J462" s="36" t="str"/>
      <x:c r="K462" s="36" t="str"/>
      <x:c r="L462" s="36" t="str">
        <x:v>REPO_VERIFIZIERT_FRAGEFORM</x:v>
      </x:c>
      <x:c r="M462" s="36" t="str">
        <x:v>ERSETZEN</x:v>
      </x:c>
      <x:c r="N462" s="36" t="str">
        <x:v>REPETITIVE_FRAGEFORM</x:v>
      </x:c>
      <x:c r="O462" s="36" t="str">
        <x:v>REINE_WIEDERERKENNUNG</x:v>
      </x:c>
      <x:c r="P462" s="36" t="str">
        <x:v>KERNAUSSAGE</x:v>
      </x:c>
      <x:c r="Q462" s="36" t="str">
        <x:v>Welche Aussage macht Petrus vor dem Hohen Rat über Rettung?</x:v>
      </x:c>
      <x:c r="R462" s="36" t="str">
        <x:v>Jeder Mensch rettet sich selbst.</x:v>
      </x:c>
      <x:c r="S462" s="36" t="str">
        <x:v>Rettung gibt es nur durch den Tempel.</x:v>
      </x:c>
      <x:c r="T462" s="36" t="str">
        <x:v>In keinem anderen als Jesus ist das Heil.</x:v>
      </x:c>
      <x:c r="U462" s="36" t="str">
        <x:v>Nur Mose kann retten.</x:v>
      </x:c>
      <x:c r="V462" s="36" t="n">
        <x:v>2</x:v>
      </x:c>
      <x:c r="W462" s="36" t="str">
        <x:f>CHOOSE(V462+1,R462,S462,T462,U462)</x:f>
        <x:v>In keinem anderen als Jesus ist das Heil.</x:v>
      </x:c>
      <x:c r="X462" s="36" t="str">
        <x:v>Apostelgeschichte 4,8–12</x:v>
      </x:c>
      <x:c r="Y462" s="36" t="str">
        <x:v>Petrus bezeugt Jesus als den entscheidenden Namen, in dem Rettung gegeben ist.</x:v>
      </x:c>
      <x:c r="Z462" s="36" t="str">
        <x:v>JA</x:v>
      </x:c>
      <x:c r="AA462" s="36" t="str">
        <x:v>JA</x:v>
      </x:c>
      <x:c r="AB462" s="36" t="str">
        <x:v>JA</x:v>
      </x:c>
      <x:c r="AC462" s="36" t="str">
        <x:v>JA</x:v>
      </x:c>
      <x:c r="AD462" s="36" t="str">
        <x:v>JA</x:v>
      </x:c>
      <x:c r="AE462" s="36" t="str">
        <x:v>JA</x:v>
      </x:c>
      <x:c r="AF462" s="36" t="str">
        <x:v>JA</x:v>
      </x:c>
      <x:c r="AG462" s="36" t="str">
        <x:v>FREIGEGEBEN</x:v>
      </x:c>
      <x:c r="AH462" s="36" t="str">
        <x:v>GPT-5.6 Sol · Buchprüfung Apostelgeschichte · L1912/OTB</x:v>
      </x:c>
      <x:c r="AI462" s="36" t="str">
        <x:v>FREIGEGEBEN</x:v>
      </x:c>
      <x:c r="AJ462" s="36" t="str">
        <x:v>Apostelgeschichte 4: repetitive Wiedererkennungsfrage durch KERNAUSSAGE-Frage ersetzt.</x:v>
      </x:c>
      <x:c r="AK462" s="36" t="str">
        <x:v>FaithPath repo develop/v4 · data/stories.json · data/bibles/l1912/ACT.json · data/bibles/otb/ACT.json</x:v>
      </x:c>
      <x:c r="AL462" t="str">
        <x:f>IF(AND(AG462="FREIGEGEBEN",AI462="FREIGEGEBEN",Q462&lt;&gt;"",R462&lt;&gt;"",S462&lt;&gt;"",T462&lt;&gt;"",U462&lt;&gt;"",ISNUMBER(V462),X462&lt;&gt;"",Y462&lt;&gt;"",AA462="JA",AB462="JA",AC462="JA",AD462="JA",AE462="JA",AF462="JA"),"JA","NEIN")</x:f>
        <x:v>JA</x:v>
      </x:c>
    </x:row>
    <x:row r="463">
      <x:c r="A463" t="str">
        <x:v>FP-0722</x:v>
      </x:c>
      <x:c r="B463" t="str">
        <x:v>ACT</x:v>
      </x:c>
      <x:c r="C463" t="str">
        <x:v>Apostelgeschichte</x:v>
      </x:c>
      <x:c r="D463" t="n">
        <x:v>4</x:v>
      </x:c>
      <x:c r="E463" t="n">
        <x:v>2</x:v>
      </x:c>
      <x:c r="F463" t="str">
        <x:v>ACT-004</x:v>
      </x:c>
      <x:c r="G463" t="n">
        <x:v>93</x:v>
      </x:c>
      <x:c r="H463" t="str">
        <x:v>CQ-A05</x:v>
      </x:c>
      <x:c r="I463" s="36" t="str">
        <x:v>Welche dieser Aussagen stammt aus Apostelgeschichte 4?</x:v>
      </x:c>
      <x:c r="J463" s="36" t="str"/>
      <x:c r="K463" s="36" t="str"/>
      <x:c r="L463" s="36" t="str">
        <x:v>REPO_VERIFIZIERT_FRAGEFORM</x:v>
      </x:c>
      <x:c r="M463" s="36" t="str">
        <x:v>ERSETZEN</x:v>
      </x:c>
      <x:c r="N463" s="36" t="str">
        <x:v>REPETITIVE_FRAGEFORM</x:v>
      </x:c>
      <x:c r="O463" s="36" t="str">
        <x:v>REINE_WIEDERERKENNUNG</x:v>
      </x:c>
      <x:c r="P463" s="36" t="str">
        <x:v>ZUSAMMENHANG</x:v>
      </x:c>
      <x:c r="Q463" s="36" t="str">
        <x:v>Was fällt dem Hohen Rat an Petrus und Johannes besonders auf?</x:v>
      </x:c>
      <x:c r="R463" s="36" t="str">
        <x:v>Ihre hohe rabbinische Ausbildung.</x:v>
      </x:c>
      <x:c r="S463" s="36" t="str">
        <x:v>Ihre Zugehörigkeit zur Priesterschaft.</x:v>
      </x:c>
      <x:c r="T463" s="36" t="str">
        <x:v>Ihre römische Staatsbürgerschaft.</x:v>
      </x:c>
      <x:c r="U463" s="36" t="str">
        <x:v>Ihre Freimütigkeit, obwohl sie als ungelehrte, einfache Männer gelten; außerdem erkennt man, dass sie mit Jesus gewesen sind.</x:v>
      </x:c>
      <x:c r="V463" s="36" t="n">
        <x:v>3</x:v>
      </x:c>
      <x:c r="W463" s="36" t="str">
        <x:f>CHOOSE(V463+1,R463,S463,T463,U463)</x:f>
        <x:v>Ihre Freimütigkeit, obwohl sie als ungelehrte, einfache Männer gelten; außerdem erkennt man, dass sie mit Jesus gewesen sind.</x:v>
      </x:c>
      <x:c r="X463" s="36" t="str">
        <x:v>Apostelgeschichte 4,13</x:v>
      </x:c>
      <x:c r="Y463" s="36" t="str">
        <x:v>Die Gegner staunen über ihre Freimütigkeit und verbinden sie mit ihrer Nähe zu Jesus.</x:v>
      </x:c>
      <x:c r="Z463" s="36" t="str">
        <x:v>JA</x:v>
      </x:c>
      <x:c r="AA463" s="36" t="str">
        <x:v>JA</x:v>
      </x:c>
      <x:c r="AB463" s="36" t="str">
        <x:v>JA</x:v>
      </x:c>
      <x:c r="AC463" s="36" t="str">
        <x:v>JA</x:v>
      </x:c>
      <x:c r="AD463" s="36" t="str">
        <x:v>JA</x:v>
      </x:c>
      <x:c r="AE463" s="36" t="str">
        <x:v>JA</x:v>
      </x:c>
      <x:c r="AF463" s="36" t="str">
        <x:v>JA</x:v>
      </x:c>
      <x:c r="AG463" s="36" t="str">
        <x:v>FREIGEGEBEN</x:v>
      </x:c>
      <x:c r="AH463" s="36" t="str">
        <x:v>GPT-5.6 Sol · Buchprüfung Apostelgeschichte · L1912/OTB</x:v>
      </x:c>
      <x:c r="AI463" s="36" t="str">
        <x:v>FREIGEGEBEN</x:v>
      </x:c>
      <x:c r="AJ463" s="36" t="str">
        <x:v>Apostelgeschichte 4: repetitive Wiedererkennungsfrage durch ZUSAMMENHANG-Frage ersetzt.</x:v>
      </x:c>
      <x:c r="AK463" s="36" t="str">
        <x:v>FaithPath repo develop/v4 · data/stories.json · data/bibles/l1912/ACT.json · data/bibles/otb/ACT.json</x:v>
      </x:c>
      <x:c r="AL463" t="str">
        <x:f>IF(AND(AG463="FREIGEGEBEN",AI463="FREIGEGEBEN",Q463&lt;&gt;"",R463&lt;&gt;"",S463&lt;&gt;"",T463&lt;&gt;"",U463&lt;&gt;"",ISNUMBER(V463),X463&lt;&gt;"",Y463&lt;&gt;"",AA463="JA",AB463="JA",AC463="JA",AD463="JA",AE463="JA",AF463="JA"),"JA","NEIN")</x:f>
        <x:v>JA</x:v>
      </x:c>
    </x:row>
    <x:row r="464">
      <x:c r="A464" t="str">
        <x:v>FP-0723</x:v>
      </x:c>
      <x:c r="B464" t="str">
        <x:v>ACT</x:v>
      </x:c>
      <x:c r="C464" t="str">
        <x:v>Apostelgeschichte</x:v>
      </x:c>
      <x:c r="D464" t="n">
        <x:v>4</x:v>
      </x:c>
      <x:c r="E464" t="n">
        <x:v>3</x:v>
      </x:c>
      <x:c r="F464" t="str">
        <x:v>ACT-004</x:v>
      </x:c>
      <x:c r="G464" t="n">
        <x:v>93</x:v>
      </x:c>
      <x:c r="H464" t="str">
        <x:v>CQ-A05</x:v>
      </x:c>
      <x:c r="I464" s="36" t="str">
        <x:v>Welche dieser Aussagen stammt aus Apostelgeschichte 4?</x:v>
      </x:c>
      <x:c r="J464" s="36" t="str"/>
      <x:c r="K464" s="36" t="str"/>
      <x:c r="L464" s="36" t="str">
        <x:v>REPO_VERIFIZIERT_FRAGEFORM</x:v>
      </x:c>
      <x:c r="M464" s="36" t="str">
        <x:v>ERSETZEN</x:v>
      </x:c>
      <x:c r="N464" s="36" t="str">
        <x:v>REPETITIVE_FRAGEFORM</x:v>
      </x:c>
      <x:c r="O464" s="36" t="str">
        <x:v>REINE_WIEDERERKENNUNG</x:v>
      </x:c>
      <x:c r="P464" s="36" t="str">
        <x:v>PERSON_AUSSAGE</x:v>
      </x:c>
      <x:c r="Q464" s="36" t="str">
        <x:v>Wie reagieren Petrus und Johannes auf das Verbot, im Namen Jesu zu reden?</x:v>
      </x:c>
      <x:c r="R464" s="36" t="str">
        <x:v>Sie erklären, dass sie nicht schweigen können über das, was sie gesehen und gehört haben.</x:v>
      </x:c>
      <x:c r="S464" s="36" t="str">
        <x:v>Sie versprechen, nie wieder öffentlich zu reden.</x:v>
      </x:c>
      <x:c r="T464" s="36" t="str">
        <x:v>Sie verlassen Jerusalem.</x:v>
      </x:c>
      <x:c r="U464" s="36" t="str">
        <x:v>Sie bitten um eine schriftliche Genehmigung.</x:v>
      </x:c>
      <x:c r="V464" s="36" t="n">
        <x:v>0</x:v>
      </x:c>
      <x:c r="W464" s="36" t="str">
        <x:f>CHOOSE(V464+1,R464,S464,T464,U464)</x:f>
        <x:v>Sie erklären, dass sie nicht schweigen können über das, was sie gesehen und gehört haben.</x:v>
      </x:c>
      <x:c r="X464" s="36" t="str">
        <x:v>Apostelgeschichte 4,18–20</x:v>
      </x:c>
      <x:c r="Y464" s="36" t="str">
        <x:v>Sie stellen Gottes Anspruch über das menschliche Redeverbot und halten am Zeugnis fest.</x:v>
      </x:c>
      <x:c r="Z464" s="36" t="str">
        <x:v>JA</x:v>
      </x:c>
      <x:c r="AA464" s="36" t="str">
        <x:v>JA</x:v>
      </x:c>
      <x:c r="AB464" s="36" t="str">
        <x:v>JA</x:v>
      </x:c>
      <x:c r="AC464" s="36" t="str">
        <x:v>JA</x:v>
      </x:c>
      <x:c r="AD464" s="36" t="str">
        <x:v>JA</x:v>
      </x:c>
      <x:c r="AE464" s="36" t="str">
        <x:v>JA</x:v>
      </x:c>
      <x:c r="AF464" s="36" t="str">
        <x:v>JA</x:v>
      </x:c>
      <x:c r="AG464" s="36" t="str">
        <x:v>FREIGEGEBEN</x:v>
      </x:c>
      <x:c r="AH464" s="36" t="str">
        <x:v>GPT-5.6 Sol · Buchprüfung Apostelgeschichte · L1912/OTB</x:v>
      </x:c>
      <x:c r="AI464" s="36" t="str">
        <x:v>FREIGEGEBEN</x:v>
      </x:c>
      <x:c r="AJ464" s="36" t="str">
        <x:v>Apostelgeschichte 4: repetitive Wiedererkennungsfrage durch PERSON_AUSSAGE-Frage ersetzt.</x:v>
      </x:c>
      <x:c r="AK464" s="36" t="str">
        <x:v>FaithPath repo develop/v4 · data/stories.json · data/bibles/l1912/ACT.json · data/bibles/otb/ACT.json</x:v>
      </x:c>
      <x:c r="AL464" t="str">
        <x:f>IF(AND(AG464="FREIGEGEBEN",AI464="FREIGEGEBEN",Q464&lt;&gt;"",R464&lt;&gt;"",S464&lt;&gt;"",T464&lt;&gt;"",U464&lt;&gt;"",ISNUMBER(V464),X464&lt;&gt;"",Y464&lt;&gt;"",AA464="JA",AB464="JA",AC464="JA",AD464="JA",AE464="JA",AF464="JA"),"JA","NEIN")</x:f>
        <x:v>JA</x:v>
      </x:c>
    </x:row>
    <x:row r="465">
      <x:c r="A465" t="str">
        <x:v>FP-0724</x:v>
      </x:c>
      <x:c r="B465" t="str">
        <x:v>ACT</x:v>
      </x:c>
      <x:c r="C465" t="str">
        <x:v>Apostelgeschichte</x:v>
      </x:c>
      <x:c r="D465" t="n">
        <x:v>4</x:v>
      </x:c>
      <x:c r="E465" t="n">
        <x:v>4</x:v>
      </x:c>
      <x:c r="F465" t="str">
        <x:v>ACT-004</x:v>
      </x:c>
      <x:c r="G465" t="n">
        <x:v>93</x:v>
      </x:c>
      <x:c r="H465" t="str">
        <x:v>CQ-A05</x:v>
      </x:c>
      <x:c r="I465" s="36" t="str">
        <x:v>Welche dieser Aussagen stammt aus Apostelgeschichte 4?</x:v>
      </x:c>
      <x:c r="J465" s="36" t="str"/>
      <x:c r="K465" s="36" t="str"/>
      <x:c r="L465" s="36" t="str">
        <x:v>REPO_VERIFIZIERT_FRAGEFORM</x:v>
      </x:c>
      <x:c r="M465" s="36" t="str">
        <x:v>ERSETZEN</x:v>
      </x:c>
      <x:c r="N465" s="36" t="str">
        <x:v>REPETITIVE_FRAGEFORM</x:v>
      </x:c>
      <x:c r="O465" s="36" t="str">
        <x:v>REINE_WIEDERERKENNUNG</x:v>
      </x:c>
      <x:c r="P465" s="36" t="str">
        <x:v>KERNAUSSAGE</x:v>
      </x:c>
      <x:c r="Q465" s="36" t="str">
        <x:v>Worum betet die Gemeinde nach der Freilassung von Petrus und Johannes?</x:v>
      </x:c>
      <x:c r="R465" s="36" t="str">
        <x:v>Um Reichtum und politische Macht.</x:v>
      </x:c>
      <x:c r="S465" s="36" t="str">
        <x:v>Um Freimütigkeit zur Verkündigung trotz der Drohungen.</x:v>
      </x:c>
      <x:c r="T465" s="36" t="str">
        <x:v>Um sofortige Flucht aus Jerusalem.</x:v>
      </x:c>
      <x:c r="U465" s="36" t="str">
        <x:v>Um die Bestrafung aller Gegner.</x:v>
      </x:c>
      <x:c r="V465" s="36" t="n">
        <x:v>1</x:v>
      </x:c>
      <x:c r="W465" s="36" t="str">
        <x:f>CHOOSE(V465+1,R465,S465,T465,U465)</x:f>
        <x:v>Um Freimütigkeit zur Verkündigung trotz der Drohungen.</x:v>
      </x:c>
      <x:c r="X465" s="36" t="str">
        <x:v>Apostelgeschichte 4,23–31</x:v>
      </x:c>
      <x:c r="Y465" s="36" t="str">
        <x:v>Die Gemeinde bittet nicht primär um ein Ende des Widerstands, sondern um Freimut; anschließend werden sie vom Heiligen Geist erfüllt.</x:v>
      </x:c>
      <x:c r="Z465" s="36" t="str">
        <x:v>JA</x:v>
      </x:c>
      <x:c r="AA465" s="36" t="str">
        <x:v>JA</x:v>
      </x:c>
      <x:c r="AB465" s="36" t="str">
        <x:v>JA</x:v>
      </x:c>
      <x:c r="AC465" s="36" t="str">
        <x:v>JA</x:v>
      </x:c>
      <x:c r="AD465" s="36" t="str">
        <x:v>JA</x:v>
      </x:c>
      <x:c r="AE465" s="36" t="str">
        <x:v>JA</x:v>
      </x:c>
      <x:c r="AF465" s="36" t="str">
        <x:v>JA</x:v>
      </x:c>
      <x:c r="AG465" s="36" t="str">
        <x:v>FREIGEGEBEN</x:v>
      </x:c>
      <x:c r="AH465" s="36" t="str">
        <x:v>GPT-5.6 Sol · Buchprüfung Apostelgeschichte · L1912/OTB</x:v>
      </x:c>
      <x:c r="AI465" s="36" t="str">
        <x:v>FREIGEGEBEN</x:v>
      </x:c>
      <x:c r="AJ465" s="36" t="str">
        <x:v>Apostelgeschichte 4: repetitive Wiedererkennungsfrage durch KERNAUSSAGE-Frage ersetzt.</x:v>
      </x:c>
      <x:c r="AK465" s="36" t="str">
        <x:v>FaithPath repo develop/v4 · data/stories.json · data/bibles/l1912/ACT.json · data/bibles/otb/ACT.json</x:v>
      </x:c>
      <x:c r="AL465" t="str">
        <x:f>IF(AND(AG465="FREIGEGEBEN",AI465="FREIGEGEBEN",Q465&lt;&gt;"",R465&lt;&gt;"",S465&lt;&gt;"",T465&lt;&gt;"",U465&lt;&gt;"",ISNUMBER(V465),X465&lt;&gt;"",Y465&lt;&gt;"",AA465="JA",AB465="JA",AC465="JA",AD465="JA",AE465="JA",AF465="JA"),"JA","NEIN")</x:f>
        <x:v>JA</x:v>
      </x:c>
    </x:row>
    <x:row r="466">
      <x:c r="A466" t="str">
        <x:v>FP-0725</x:v>
      </x:c>
      <x:c r="B466" t="str">
        <x:v>ACT</x:v>
      </x:c>
      <x:c r="C466" t="str">
        <x:v>Apostelgeschichte</x:v>
      </x:c>
      <x:c r="D466" t="n">
        <x:v>4</x:v>
      </x:c>
      <x:c r="E466" t="n">
        <x:v>5</x:v>
      </x:c>
      <x:c r="F466" t="str">
        <x:v>ACT-004</x:v>
      </x:c>
      <x:c r="G466" t="n">
        <x:v>93</x:v>
      </x:c>
      <x:c r="H466" t="str">
        <x:v>CQ-A05</x:v>
      </x:c>
      <x:c r="I466" s="36" t="str">
        <x:v>Welche dieser Aussagen stammt aus Apostelgeschichte 4?</x:v>
      </x:c>
      <x:c r="J466" s="36" t="str"/>
      <x:c r="K466" s="36" t="str"/>
      <x:c r="L466" s="36" t="str">
        <x:v>REPO_VERIFIZIERT_FRAGEFORM</x:v>
      </x:c>
      <x:c r="M466" s="36" t="str">
        <x:v>ERSETZEN</x:v>
      </x:c>
      <x:c r="N466" s="36" t="str">
        <x:v>REPETITIVE_FRAGEFORM</x:v>
      </x:c>
      <x:c r="O466" s="36" t="str">
        <x:v>REINE_WIEDERERKENNUNG</x:v>
      </x:c>
      <x:c r="P466" s="36" t="str">
        <x:v>GESCHEHEN</x:v>
      </x:c>
      <x:c r="Q466" s="36" t="str">
        <x:v>Wie unterstützt Barnabas die Gemeinschaft der Gläubigen?</x:v>
      </x:c>
      <x:c r="R466" s="36" t="str">
        <x:v>Er gründet eine Bank.</x:v>
      </x:c>
      <x:c r="S466" s="36" t="str">
        <x:v>Er baut ein eigenes Haus für die Apostel.</x:v>
      </x:c>
      <x:c r="T466" s="36" t="str">
        <x:v>Er verkauft einen Acker und legt den Erlös den Aposteln zu Füßen.</x:v>
      </x:c>
      <x:c r="U466" s="36" t="str">
        <x:v>Er zieht sich aus der Gemeinde zurück.</x:v>
      </x:c>
      <x:c r="V466" s="36" t="n">
        <x:v>2</x:v>
      </x:c>
      <x:c r="W466" s="36" t="str">
        <x:f>CHOOSE(V466+1,R466,S466,T466,U466)</x:f>
        <x:v>Er verkauft einen Acker und legt den Erlös den Aposteln zu Füßen.</x:v>
      </x:c>
      <x:c r="X466" s="36" t="str">
        <x:v>Apostelgeschichte 4,32–37</x:v>
      </x:c>
      <x:c r="Y466" s="36" t="str">
        <x:v>Barnabas wird als konkretes Beispiel für freiwillige Großzügigkeit innerhalb der Gemeinde genannt.</x:v>
      </x:c>
      <x:c r="Z466" s="36" t="str">
        <x:v>JA</x:v>
      </x:c>
      <x:c r="AA466" s="36" t="str">
        <x:v>JA</x:v>
      </x:c>
      <x:c r="AB466" s="36" t="str">
        <x:v>JA</x:v>
      </x:c>
      <x:c r="AC466" s="36" t="str">
        <x:v>JA</x:v>
      </x:c>
      <x:c r="AD466" s="36" t="str">
        <x:v>JA</x:v>
      </x:c>
      <x:c r="AE466" s="36" t="str">
        <x:v>JA</x:v>
      </x:c>
      <x:c r="AF466" s="36" t="str">
        <x:v>JA</x:v>
      </x:c>
      <x:c r="AG466" s="36" t="str">
        <x:v>FREIGEGEBEN</x:v>
      </x:c>
      <x:c r="AH466" s="36" t="str">
        <x:v>GPT-5.6 Sol · Buchprüfung Apostelgeschichte · L1912/OTB</x:v>
      </x:c>
      <x:c r="AI466" s="36" t="str">
        <x:v>FREIGEGEBEN</x:v>
      </x:c>
      <x:c r="AJ466" s="36" t="str">
        <x:v>Apostelgeschichte 4: repetitive Wiedererkennungsfrage durch GESCHEHEN-Frage ersetzt.</x:v>
      </x:c>
      <x:c r="AK466" s="36" t="str">
        <x:v>FaithPath repo develop/v4 · data/stories.json · data/bibles/l1912/ACT.json · data/bibles/otb/ACT.json</x:v>
      </x:c>
      <x:c r="AL466" t="str">
        <x:f>IF(AND(AG466="FREIGEGEBEN",AI466="FREIGEGEBEN",Q466&lt;&gt;"",R466&lt;&gt;"",S466&lt;&gt;"",T466&lt;&gt;"",U466&lt;&gt;"",ISNUMBER(V466),X466&lt;&gt;"",Y466&lt;&gt;"",AA466="JA",AB466="JA",AC466="JA",AD466="JA",AE466="JA",AF466="JA"),"JA","NEIN")</x:f>
        <x:v>JA</x:v>
      </x:c>
    </x:row>
    <x:row r="467">
      <x:c r="A467" t="str">
        <x:v>FP-0726</x:v>
      </x:c>
      <x:c r="B467" t="str">
        <x:v>ACT</x:v>
      </x:c>
      <x:c r="C467" t="str">
        <x:v>Apostelgeschichte</x:v>
      </x:c>
      <x:c r="D467" t="n">
        <x:v>5</x:v>
      </x:c>
      <x:c r="E467" t="n">
        <x:v>1</x:v>
      </x:c>
      <x:c r="F467" t="str">
        <x:v>ACT-005</x:v>
      </x:c>
      <x:c r="G467" t="n">
        <x:v>94</x:v>
      </x:c>
      <x:c r="H467" t="str">
        <x:v>CQ-A05</x:v>
      </x:c>
      <x:c r="I467" s="36" t="str">
        <x:v>Welche dieser Aussagen stammt aus Apostelgeschichte 5?</x:v>
      </x:c>
      <x:c r="J467" s="36" t="str"/>
      <x:c r="K467" s="36" t="str"/>
      <x:c r="L467" s="36" t="str">
        <x:v>REPO_VERIFIZIERT_FRAGEFORM</x:v>
      </x:c>
      <x:c r="M467" s="36" t="str">
        <x:v>ERSETZEN</x:v>
      </x:c>
      <x:c r="N467" s="36" t="str">
        <x:v>REPETITIVE_FRAGEFORM</x:v>
      </x:c>
      <x:c r="O467" s="36" t="str">
        <x:v>REINE_WIEDERERKENNUNG</x:v>
      </x:c>
      <x:c r="P467" s="36" t="str">
        <x:v>GESCHEHEN</x:v>
      </x:c>
      <x:c r="Q467" s="36" t="str">
        <x:v>Was ist das eigentliche Problem bei Ananias und Saphira?</x:v>
      </x:c>
      <x:c r="R467" s="36" t="str">
        <x:v>Sie verkaufen überhaupt keinen Besitz.</x:v>
      </x:c>
      <x:c r="S467" s="36" t="str">
        <x:v>Sie weigern sich, Petrus zu begrüßen.</x:v>
      </x:c>
      <x:c r="T467" s="36" t="str">
        <x:v>Sie spenden zu wenig nach einer festen Vorschrift.</x:v>
      </x:c>
      <x:c r="U467" s="36" t="str">
        <x:v>Sie geben vor, den ganzen Erlös zu geben, obwohl sie einen Teil zurückbehalten, und lügen damit Gott an.</x:v>
      </x:c>
      <x:c r="V467" s="36" t="n">
        <x:v>3</x:v>
      </x:c>
      <x:c r="W467" s="36" t="str">
        <x:f>CHOOSE(V467+1,R467,S467,T467,U467)</x:f>
        <x:v>Sie geben vor, den ganzen Erlös zu geben, obwohl sie einen Teil zurückbehalten, und lügen damit Gott an.</x:v>
      </x:c>
      <x:c r="X467" s="36" t="str">
        <x:v>Apostelgeschichte 5,1–10</x:v>
      </x:c>
      <x:c r="Y467" s="36" t="str">
        <x:v>Nicht der zurückbehaltene Besitz an sich, sondern die bewusste Täuschung steht im Mittelpunkt der Geschichte.</x:v>
      </x:c>
      <x:c r="Z467" s="36" t="str">
        <x:v>JA</x:v>
      </x:c>
      <x:c r="AA467" s="36" t="str">
        <x:v>JA</x:v>
      </x:c>
      <x:c r="AB467" s="36" t="str">
        <x:v>JA</x:v>
      </x:c>
      <x:c r="AC467" s="36" t="str">
        <x:v>JA</x:v>
      </x:c>
      <x:c r="AD467" s="36" t="str">
        <x:v>JA</x:v>
      </x:c>
      <x:c r="AE467" s="36" t="str">
        <x:v>JA</x:v>
      </x:c>
      <x:c r="AF467" s="36" t="str">
        <x:v>JA</x:v>
      </x:c>
      <x:c r="AG467" s="36" t="str">
        <x:v>FREIGEGEBEN</x:v>
      </x:c>
      <x:c r="AH467" s="36" t="str">
        <x:v>GPT-5.6 Sol · Buchprüfung Apostelgeschichte · L1912/OTB</x:v>
      </x:c>
      <x:c r="AI467" s="36" t="str">
        <x:v>FREIGEGEBEN</x:v>
      </x:c>
      <x:c r="AJ467" s="36" t="str">
        <x:v>Apostelgeschichte 5: repetitive Wiedererkennungsfrage durch GESCHEHEN-Frage ersetzt.</x:v>
      </x:c>
      <x:c r="AK467" s="36" t="str">
        <x:v>FaithPath repo develop/v4 · data/stories.json · data/bibles/l1912/ACT.json · data/bibles/otb/ACT.json</x:v>
      </x:c>
      <x:c r="AL467" t="str">
        <x:f>IF(AND(AG467="FREIGEGEBEN",AI467="FREIGEGEBEN",Q467&lt;&gt;"",R467&lt;&gt;"",S467&lt;&gt;"",T467&lt;&gt;"",U467&lt;&gt;"",ISNUMBER(V467),X467&lt;&gt;"",Y467&lt;&gt;"",AA467="JA",AB467="JA",AC467="JA",AD467="JA",AE467="JA",AF467="JA"),"JA","NEIN")</x:f>
        <x:v>JA</x:v>
      </x:c>
    </x:row>
    <x:row r="468">
      <x:c r="A468" t="str">
        <x:v>FP-0727</x:v>
      </x:c>
      <x:c r="B468" t="str">
        <x:v>ACT</x:v>
      </x:c>
      <x:c r="C468" t="str">
        <x:v>Apostelgeschichte</x:v>
      </x:c>
      <x:c r="D468" t="n">
        <x:v>5</x:v>
      </x:c>
      <x:c r="E468" t="n">
        <x:v>2</x:v>
      </x:c>
      <x:c r="F468" t="str">
        <x:v>ACT-005</x:v>
      </x:c>
      <x:c r="G468" t="n">
        <x:v>94</x:v>
      </x:c>
      <x:c r="H468" t="str">
        <x:v>CQ-A05</x:v>
      </x:c>
      <x:c r="I468" s="36" t="str">
        <x:v>Welche dieser Aussagen stammt aus Apostelgeschichte 5?</x:v>
      </x:c>
      <x:c r="J468" s="36" t="str"/>
      <x:c r="K468" s="36" t="str"/>
      <x:c r="L468" s="36" t="str">
        <x:v>REPO_VERIFIZIERT_FRAGEFORM</x:v>
      </x:c>
      <x:c r="M468" s="36" t="str">
        <x:v>ERSETZEN</x:v>
      </x:c>
      <x:c r="N468" s="36" t="str">
        <x:v>REPETITIVE_FRAGEFORM</x:v>
      </x:c>
      <x:c r="O468" s="36" t="str">
        <x:v>REINE_WIEDERERKENNUNG</x:v>
      </x:c>
      <x:c r="P468" s="36" t="str">
        <x:v>GESCHEHEN</x:v>
      </x:c>
      <x:c r="Q468" s="36" t="str">
        <x:v>Wie wird das Wirken der Apostel unter dem Volk beschrieben?</x:v>
      </x:c>
      <x:c r="R468" s="36" t="str">
        <x:v>Viele Zeichen und Wunder geschehen, und Kranke werden zu ihnen gebracht.</x:v>
      </x:c>
      <x:c r="S468" s="36" t="str">
        <x:v>Sie wirken nur im Verborgenen.</x:v>
      </x:c>
      <x:c r="T468" s="36" t="str">
        <x:v>Sie dürfen den Tempel nicht mehr betreten.</x:v>
      </x:c>
      <x:c r="U468" s="36" t="str">
        <x:v>Niemand sucht ihre Hilfe.</x:v>
      </x:c>
      <x:c r="V468" s="36" t="n">
        <x:v>0</x:v>
      </x:c>
      <x:c r="W468" s="36" t="str">
        <x:f>CHOOSE(V468+1,R468,S468,T468,U468)</x:f>
        <x:v>Viele Zeichen und Wunder geschehen, und Kranke werden zu ihnen gebracht.</x:v>
      </x:c>
      <x:c r="X468" s="36" t="str">
        <x:v>Apostelgeschichte 5,12–16</x:v>
      </x:c>
      <x:c r="Y468" s="36" t="str">
        <x:v>Lukas berichtet von vielen Zeichen und Heilungen und von starkem Zulauf.</x:v>
      </x:c>
      <x:c r="Z468" s="36" t="str">
        <x:v>JA</x:v>
      </x:c>
      <x:c r="AA468" s="36" t="str">
        <x:v>JA</x:v>
      </x:c>
      <x:c r="AB468" s="36" t="str">
        <x:v>JA</x:v>
      </x:c>
      <x:c r="AC468" s="36" t="str">
        <x:v>JA</x:v>
      </x:c>
      <x:c r="AD468" s="36" t="str">
        <x:v>JA</x:v>
      </x:c>
      <x:c r="AE468" s="36" t="str">
        <x:v>JA</x:v>
      </x:c>
      <x:c r="AF468" s="36" t="str">
        <x:v>JA</x:v>
      </x:c>
      <x:c r="AG468" s="36" t="str">
        <x:v>FREIGEGEBEN</x:v>
      </x:c>
      <x:c r="AH468" s="36" t="str">
        <x:v>GPT-5.6 Sol · Buchprüfung Apostelgeschichte · L1912/OTB</x:v>
      </x:c>
      <x:c r="AI468" s="36" t="str">
        <x:v>FREIGEGEBEN</x:v>
      </x:c>
      <x:c r="AJ468" s="36" t="str">
        <x:v>Apostelgeschichte 5: repetitive Wiedererkennungsfrage durch GESCHEHEN-Frage ersetzt.</x:v>
      </x:c>
      <x:c r="AK468" s="36" t="str">
        <x:v>FaithPath repo develop/v4 · data/stories.json · data/bibles/l1912/ACT.json · data/bibles/otb/ACT.json</x:v>
      </x:c>
      <x:c r="AL468" t="str">
        <x:f>IF(AND(AG468="FREIGEGEBEN",AI468="FREIGEGEBEN",Q468&lt;&gt;"",R468&lt;&gt;"",S468&lt;&gt;"",T468&lt;&gt;"",U468&lt;&gt;"",ISNUMBER(V468),X468&lt;&gt;"",Y468&lt;&gt;"",AA468="JA",AB468="JA",AC468="JA",AD468="JA",AE468="JA",AF468="JA"),"JA","NEIN")</x:f>
        <x:v>JA</x:v>
      </x:c>
    </x:row>
    <x:row r="469">
      <x:c r="A469" t="str">
        <x:v>FP-0728</x:v>
      </x:c>
      <x:c r="B469" t="str">
        <x:v>ACT</x:v>
      </x:c>
      <x:c r="C469" t="str">
        <x:v>Apostelgeschichte</x:v>
      </x:c>
      <x:c r="D469" t="n">
        <x:v>5</x:v>
      </x:c>
      <x:c r="E469" t="n">
        <x:v>3</x:v>
      </x:c>
      <x:c r="F469" t="str">
        <x:v>ACT-005</x:v>
      </x:c>
      <x:c r="G469" t="n">
        <x:v>94</x:v>
      </x:c>
      <x:c r="H469" t="str">
        <x:v>CQ-A05</x:v>
      </x:c>
      <x:c r="I469" s="36" t="str">
        <x:v>Welche dieser Aussagen stammt aus Apostelgeschichte 5?</x:v>
      </x:c>
      <x:c r="J469" s="36" t="str"/>
      <x:c r="K469" s="36" t="str"/>
      <x:c r="L469" s="36" t="str">
        <x:v>REPO_VERIFIZIERT_FRAGEFORM</x:v>
      </x:c>
      <x:c r="M469" s="36" t="str">
        <x:v>ERSETZEN</x:v>
      </x:c>
      <x:c r="N469" s="36" t="str">
        <x:v>REPETITIVE_FRAGEFORM</x:v>
      </x:c>
      <x:c r="O469" s="36" t="str">
        <x:v>REINE_WIEDERERKENNUNG</x:v>
      </x:c>
      <x:c r="P469" s="36" t="str">
        <x:v>KERNAUSSAGE</x:v>
      </x:c>
      <x:c r="Q469" s="36" t="str">
        <x:v>Wie begründen die Apostel ihren Ungehorsam gegenüber dem Redeverbot?</x:v>
      </x:c>
      <x:c r="R469" s="36" t="str">
        <x:v>Der Hohe Rat hat keine Gesetze.</x:v>
      </x:c>
      <x:c r="S469" s="36" t="str">
        <x:v>Man muss Gott mehr gehorchen als den Menschen.</x:v>
      </x:c>
      <x:c r="T469" s="36" t="str">
        <x:v>Sie besitzen römische Sonderrechte.</x:v>
      </x:c>
      <x:c r="U469" s="36" t="str">
        <x:v>Nur Petrus darf entscheiden.</x:v>
      </x:c>
      <x:c r="V469" s="36" t="n">
        <x:v>1</x:v>
      </x:c>
      <x:c r="W469" s="36" t="str">
        <x:f>CHOOSE(V469+1,R469,S469,T469,U469)</x:f>
        <x:v>Man muss Gott mehr gehorchen als den Menschen.</x:v>
      </x:c>
      <x:c r="X469" s="36" t="str">
        <x:v>Apostelgeschichte 5,29–32</x:v>
      </x:c>
      <x:c r="Y469" s="36" t="str">
        <x:v>Die Apostel stellen Gottes Auftrag über das menschliche Verbot und bezeugen Jesu Auferweckung.</x:v>
      </x:c>
      <x:c r="Z469" s="36" t="str">
        <x:v>JA</x:v>
      </x:c>
      <x:c r="AA469" s="36" t="str">
        <x:v>JA</x:v>
      </x:c>
      <x:c r="AB469" s="36" t="str">
        <x:v>JA</x:v>
      </x:c>
      <x:c r="AC469" s="36" t="str">
        <x:v>JA</x:v>
      </x:c>
      <x:c r="AD469" s="36" t="str">
        <x:v>JA</x:v>
      </x:c>
      <x:c r="AE469" s="36" t="str">
        <x:v>JA</x:v>
      </x:c>
      <x:c r="AF469" s="36" t="str">
        <x:v>JA</x:v>
      </x:c>
      <x:c r="AG469" s="36" t="str">
        <x:v>FREIGEGEBEN</x:v>
      </x:c>
      <x:c r="AH469" s="36" t="str">
        <x:v>GPT-5.6 Sol · Buchprüfung Apostelgeschichte · L1912/OTB</x:v>
      </x:c>
      <x:c r="AI469" s="36" t="str">
        <x:v>FREIGEGEBEN</x:v>
      </x:c>
      <x:c r="AJ469" s="36" t="str">
        <x:v>Apostelgeschichte 5: repetitive Wiedererkennungsfrage durch KERNAUSSAGE-Frage ersetzt.</x:v>
      </x:c>
      <x:c r="AK469" s="36" t="str">
        <x:v>FaithPath repo develop/v4 · data/stories.json · data/bibles/l1912/ACT.json · data/bibles/otb/ACT.json</x:v>
      </x:c>
      <x:c r="AL469" t="str">
        <x:f>IF(AND(AG469="FREIGEGEBEN",AI469="FREIGEGEBEN",Q469&lt;&gt;"",R469&lt;&gt;"",S469&lt;&gt;"",T469&lt;&gt;"",U469&lt;&gt;"",ISNUMBER(V469),X469&lt;&gt;"",Y469&lt;&gt;"",AA469="JA",AB469="JA",AC469="JA",AD469="JA",AE469="JA",AF469="JA"),"JA","NEIN")</x:f>
        <x:v>JA</x:v>
      </x:c>
    </x:row>
    <x:row r="470">
      <x:c r="A470" t="str">
        <x:v>FP-0729</x:v>
      </x:c>
      <x:c r="B470" t="str">
        <x:v>ACT</x:v>
      </x:c>
      <x:c r="C470" t="str">
        <x:v>Apostelgeschichte</x:v>
      </x:c>
      <x:c r="D470" t="n">
        <x:v>5</x:v>
      </x:c>
      <x:c r="E470" t="n">
        <x:v>4</x:v>
      </x:c>
      <x:c r="F470" t="str">
        <x:v>ACT-005</x:v>
      </x:c>
      <x:c r="G470" t="n">
        <x:v>94</x:v>
      </x:c>
      <x:c r="H470" t="str">
        <x:v>CQ-A05</x:v>
      </x:c>
      <x:c r="I470" s="36" t="str">
        <x:v>Welche dieser Aussagen stammt aus Apostelgeschichte 5?</x:v>
      </x:c>
      <x:c r="J470" s="36" t="str"/>
      <x:c r="K470" s="36" t="str"/>
      <x:c r="L470" s="36" t="str">
        <x:v>REPO_VERIFIZIERT_FRAGEFORM</x:v>
      </x:c>
      <x:c r="M470" s="36" t="str">
        <x:v>ERSETZEN</x:v>
      </x:c>
      <x:c r="N470" s="36" t="str">
        <x:v>REPETITIVE_FRAGEFORM</x:v>
      </x:c>
      <x:c r="O470" s="36" t="str">
        <x:v>REINE_WIEDERERKENNUNG</x:v>
      </x:c>
      <x:c r="P470" s="36" t="str">
        <x:v>ZUSAMMENHANG</x:v>
      </x:c>
      <x:c r="Q470" s="36" t="str">
        <x:v>Welchen Rat gibt Gamaliel dem Hohen Rat?</x:v>
      </x:c>
      <x:c r="R470" s="36" t="str">
        <x:v>Die Apostel sofort hinzurichten.</x:v>
      </x:c>
      <x:c r="S470" s="36" t="str">
        <x:v>Petrus zum Hohepriester zu machen.</x:v>
      </x:c>
      <x:c r="T470" s="36" t="str">
        <x:v>Die Männer in Ruhe zu lassen, weil ein menschliches Werk vergehen wird, man aber nicht gegen Gott kämpfen sollte.</x:v>
      </x:c>
      <x:c r="U470" s="36" t="str">
        <x:v>Die Gemeinde aus Jerusalem auszuweisen.</x:v>
      </x:c>
      <x:c r="V470" s="36" t="n">
        <x:v>2</x:v>
      </x:c>
      <x:c r="W470" s="36" t="str">
        <x:f>CHOOSE(V470+1,R470,S470,T470,U470)</x:f>
        <x:v>Die Männer in Ruhe zu lassen, weil ein menschliches Werk vergehen wird, man aber nicht gegen Gott kämpfen sollte.</x:v>
      </x:c>
      <x:c r="X470" s="36" t="str">
        <x:v>Apostelgeschichte 5,34–39</x:v>
      </x:c>
      <x:c r="Y470" s="36" t="str">
        <x:v>Gamaliel mahnt zur Vorsicht: Ist die Bewegung menschlich, wird sie scheitern; ist sie von Gott, kann man sie nicht aufhalten.</x:v>
      </x:c>
      <x:c r="Z470" s="36" t="str">
        <x:v>JA</x:v>
      </x:c>
      <x:c r="AA470" s="36" t="str">
        <x:v>JA</x:v>
      </x:c>
      <x:c r="AB470" s="36" t="str">
        <x:v>JA</x:v>
      </x:c>
      <x:c r="AC470" s="36" t="str">
        <x:v>JA</x:v>
      </x:c>
      <x:c r="AD470" s="36" t="str">
        <x:v>JA</x:v>
      </x:c>
      <x:c r="AE470" s="36" t="str">
        <x:v>JA</x:v>
      </x:c>
      <x:c r="AF470" s="36" t="str">
        <x:v>JA</x:v>
      </x:c>
      <x:c r="AG470" s="36" t="str">
        <x:v>FREIGEGEBEN</x:v>
      </x:c>
      <x:c r="AH470" s="36" t="str">
        <x:v>GPT-5.6 Sol · Buchprüfung Apostelgeschichte · L1912/OTB</x:v>
      </x:c>
      <x:c r="AI470" s="36" t="str">
        <x:v>FREIGEGEBEN</x:v>
      </x:c>
      <x:c r="AJ470" s="36" t="str">
        <x:v>Apostelgeschichte 5: repetitive Wiedererkennungsfrage durch ZUSAMMENHANG-Frage ersetzt.</x:v>
      </x:c>
      <x:c r="AK470" s="36" t="str">
        <x:v>FaithPath repo develop/v4 · data/stories.json · data/bibles/l1912/ACT.json · data/bibles/otb/ACT.json</x:v>
      </x:c>
      <x:c r="AL470" t="str">
        <x:f>IF(AND(AG470="FREIGEGEBEN",AI470="FREIGEGEBEN",Q470&lt;&gt;"",R470&lt;&gt;"",S470&lt;&gt;"",T470&lt;&gt;"",U470&lt;&gt;"",ISNUMBER(V470),X470&lt;&gt;"",Y470&lt;&gt;"",AA470="JA",AB470="JA",AC470="JA",AD470="JA",AE470="JA",AF470="JA"),"JA","NEIN")</x:f>
        <x:v>JA</x:v>
      </x:c>
    </x:row>
    <x:row r="471">
      <x:c r="A471" t="str">
        <x:v>FP-0730</x:v>
      </x:c>
      <x:c r="B471" t="str">
        <x:v>ACT</x:v>
      </x:c>
      <x:c r="C471" t="str">
        <x:v>Apostelgeschichte</x:v>
      </x:c>
      <x:c r="D471" t="n">
        <x:v>5</x:v>
      </x:c>
      <x:c r="E471" t="n">
        <x:v>5</x:v>
      </x:c>
      <x:c r="F471" t="str">
        <x:v>ACT-005</x:v>
      </x:c>
      <x:c r="G471" t="n">
        <x:v>94</x:v>
      </x:c>
      <x:c r="H471" t="str">
        <x:v>CQ-A05</x:v>
      </x:c>
      <x:c r="I471" s="36" t="str">
        <x:v>Welche dieser Aussagen stammt aus Apostelgeschichte 5?</x:v>
      </x:c>
      <x:c r="J471" s="36" t="str"/>
      <x:c r="K471" s="36" t="str"/>
      <x:c r="L471" s="36" t="str">
        <x:v>REPO_VERIFIZIERT_FRAGEFORM</x:v>
      </x:c>
      <x:c r="M471" s="36" t="str">
        <x:v>ERSETZEN</x:v>
      </x:c>
      <x:c r="N471" s="36" t="str">
        <x:v>REPETITIVE_FRAGEFORM</x:v>
      </x:c>
      <x:c r="O471" s="36" t="str">
        <x:v>REINE_WIEDERERKENNUNG</x:v>
      </x:c>
      <x:c r="P471" s="36" t="str">
        <x:v>GESCHEHEN</x:v>
      </x:c>
      <x:c r="Q471" s="36" t="str">
        <x:v>Wie reagieren die Apostel nach Schlägen und erneutem Predigtverbot?</x:v>
      </x:c>
      <x:c r="R471" s="36" t="str">
        <x:v>Sie beenden ihre Verkündigung.</x:v>
      </x:c>
      <x:c r="S471" s="36" t="str">
        <x:v>Sie verlassen dauerhaft die Gemeinde.</x:v>
      </x:c>
      <x:c r="T471" s="36" t="str">
        <x:v>Sie verklagen den Hohen Rat bei Pilatus.</x:v>
      </x:c>
      <x:c r="U471" s="36" t="str">
        <x:v>Sie freuen sich, für Jesu Namen Schmach erlitten zu haben, und lehren weiter.</x:v>
      </x:c>
      <x:c r="V471" s="36" t="n">
        <x:v>3</x:v>
      </x:c>
      <x:c r="W471" s="36" t="str">
        <x:f>CHOOSE(V471+1,R471,S471,T471,U471)</x:f>
        <x:v>Sie freuen sich, für Jesu Namen Schmach erlitten zu haben, und lehren weiter.</x:v>
      </x:c>
      <x:c r="X471" s="36" t="str">
        <x:v>Apostelgeschichte 5,40–42</x:v>
      </x:c>
      <x:c r="Y471" s="36" t="str">
        <x:v>Trotz Misshandlung setzen sie täglich die Verkündigung Jesu als Christus fort.</x:v>
      </x:c>
      <x:c r="Z471" s="36" t="str">
        <x:v>JA</x:v>
      </x:c>
      <x:c r="AA471" s="36" t="str">
        <x:v>JA</x:v>
      </x:c>
      <x:c r="AB471" s="36" t="str">
        <x:v>JA</x:v>
      </x:c>
      <x:c r="AC471" s="36" t="str">
        <x:v>JA</x:v>
      </x:c>
      <x:c r="AD471" s="36" t="str">
        <x:v>JA</x:v>
      </x:c>
      <x:c r="AE471" s="36" t="str">
        <x:v>JA</x:v>
      </x:c>
      <x:c r="AF471" s="36" t="str">
        <x:v>JA</x:v>
      </x:c>
      <x:c r="AG471" s="36" t="str">
        <x:v>FREIGEGEBEN</x:v>
      </x:c>
      <x:c r="AH471" s="36" t="str">
        <x:v>GPT-5.6 Sol · Buchprüfung Apostelgeschichte · L1912/OTB</x:v>
      </x:c>
      <x:c r="AI471" s="36" t="str">
        <x:v>FREIGEGEBEN</x:v>
      </x:c>
      <x:c r="AJ471" s="36" t="str">
        <x:v>Apostelgeschichte 5: repetitive Wiedererkennungsfrage durch GESCHEHEN-Frage ersetzt.</x:v>
      </x:c>
      <x:c r="AK471" s="36" t="str">
        <x:v>FaithPath repo develop/v4 · data/stories.json · data/bibles/l1912/ACT.json · data/bibles/otb/ACT.json</x:v>
      </x:c>
      <x:c r="AL471" t="str">
        <x:f>IF(AND(AG471="FREIGEGEBEN",AI471="FREIGEGEBEN",Q471&lt;&gt;"",R471&lt;&gt;"",S471&lt;&gt;"",T471&lt;&gt;"",U471&lt;&gt;"",ISNUMBER(V471),X471&lt;&gt;"",Y471&lt;&gt;"",AA471="JA",AB471="JA",AC471="JA",AD471="JA",AE471="JA",AF471="JA"),"JA","NEIN")</x:f>
        <x:v>JA</x:v>
      </x:c>
    </x:row>
    <x:row r="472">
      <x:c r="A472" t="str">
        <x:v>FP-0731</x:v>
      </x:c>
      <x:c r="B472" t="str">
        <x:v>ACT</x:v>
      </x:c>
      <x:c r="C472" t="str">
        <x:v>Apostelgeschichte</x:v>
      </x:c>
      <x:c r="D472" t="n">
        <x:v>6</x:v>
      </x:c>
      <x:c r="E472" t="n">
        <x:v>1</x:v>
      </x:c>
      <x:c r="F472" t="str">
        <x:v>ACT-006</x:v>
      </x:c>
      <x:c r="G472" t="n">
        <x:v>95</x:v>
      </x:c>
      <x:c r="H472" t="str">
        <x:v>CQ-A05</x:v>
      </x:c>
      <x:c r="I472" s="36" t="str">
        <x:v>Welche dieser Aussagen stammt aus Apostelgeschichte 6?</x:v>
      </x:c>
      <x:c r="J472" s="36" t="str"/>
      <x:c r="K472" s="36" t="str"/>
      <x:c r="L472" s="36" t="str">
        <x:v>REPO_VERIFIZIERT_FRAGEFORM</x:v>
      </x:c>
      <x:c r="M472" s="36" t="str">
        <x:v>ERSETZEN</x:v>
      </x:c>
      <x:c r="N472" s="36" t="str">
        <x:v>REPETITIVE_FRAGEFORM</x:v>
      </x:c>
      <x:c r="O472" s="36" t="str">
        <x:v>REINE_WIEDERERKENNUNG</x:v>
      </x:c>
      <x:c r="P472" s="36" t="str">
        <x:v>ZUSAMMENHANG</x:v>
      </x:c>
      <x:c r="Q472" s="36" t="str">
        <x:v>Warum werden sieben Männer für einen besonderen Dienst ausgewählt?</x:v>
      </x:c>
      <x:c r="R472" s="36" t="str">
        <x:v>Weil hellenistische Witwen bei der täglichen Versorgung übersehen werden.</x:v>
      </x:c>
      <x:c r="S472" s="36" t="str">
        <x:v>Weil die Apostel Jerusalem verlassen wollen.</x:v>
      </x:c>
      <x:c r="T472" s="36" t="str">
        <x:v>Weil sieben neue Gemeinden gegründet werden.</x:v>
      </x:c>
      <x:c r="U472" s="36" t="str">
        <x:v>Weil der Tempel sieben Priester verlangt.</x:v>
      </x:c>
      <x:c r="V472" s="36" t="n">
        <x:v>0</x:v>
      </x:c>
      <x:c r="W472" s="36" t="str">
        <x:f>CHOOSE(V472+1,R472,S472,T472,U472)</x:f>
        <x:v>Weil hellenistische Witwen bei der täglichen Versorgung übersehen werden.</x:v>
      </x:c>
      <x:c r="X472" s="36" t="str">
        <x:v>Apostelgeschichte 6,1–6</x:v>
      </x:c>
      <x:c r="Y472" s="36" t="str">
        <x:v>Die Auswahl reagiert auf eine konkrete Versorgungsspannung, damit Wortdienst und praktische Fürsorge gut geordnet werden.</x:v>
      </x:c>
      <x:c r="Z472" s="36" t="str">
        <x:v>JA</x:v>
      </x:c>
      <x:c r="AA472" s="36" t="str">
        <x:v>JA</x:v>
      </x:c>
      <x:c r="AB472" s="36" t="str">
        <x:v>JA</x:v>
      </x:c>
      <x:c r="AC472" s="36" t="str">
        <x:v>JA</x:v>
      </x:c>
      <x:c r="AD472" s="36" t="str">
        <x:v>JA</x:v>
      </x:c>
      <x:c r="AE472" s="36" t="str">
        <x:v>JA</x:v>
      </x:c>
      <x:c r="AF472" s="36" t="str">
        <x:v>JA</x:v>
      </x:c>
      <x:c r="AG472" s="36" t="str">
        <x:v>FREIGEGEBEN</x:v>
      </x:c>
      <x:c r="AH472" s="36" t="str">
        <x:v>GPT-5.6 Sol · Buchprüfung Apostelgeschichte · L1912/OTB</x:v>
      </x:c>
      <x:c r="AI472" s="36" t="str">
        <x:v>FREIGEGEBEN</x:v>
      </x:c>
      <x:c r="AJ472" s="36" t="str">
        <x:v>Apostelgeschichte 6: repetitive Wiedererkennungsfrage durch ZUSAMMENHANG-Frage ersetzt.</x:v>
      </x:c>
      <x:c r="AK472" s="36" t="str">
        <x:v>FaithPath repo develop/v4 · data/stories.json · data/bibles/l1912/ACT.json · data/bibles/otb/ACT.json</x:v>
      </x:c>
      <x:c r="AL472" t="str">
        <x:f>IF(AND(AG472="FREIGEGEBEN",AI472="FREIGEGEBEN",Q472&lt;&gt;"",R472&lt;&gt;"",S472&lt;&gt;"",T472&lt;&gt;"",U472&lt;&gt;"",ISNUMBER(V472),X472&lt;&gt;"",Y472&lt;&gt;"",AA472="JA",AB472="JA",AC472="JA",AD472="JA",AE472="JA",AF472="JA"),"JA","NEIN")</x:f>
        <x:v>JA</x:v>
      </x:c>
    </x:row>
    <x:row r="473">
      <x:c r="A473" t="str">
        <x:v>FP-0732</x:v>
      </x:c>
      <x:c r="B473" t="str">
        <x:v>ACT</x:v>
      </x:c>
      <x:c r="C473" t="str">
        <x:v>Apostelgeschichte</x:v>
      </x:c>
      <x:c r="D473" t="n">
        <x:v>6</x:v>
      </x:c>
      <x:c r="E473" t="n">
        <x:v>2</x:v>
      </x:c>
      <x:c r="F473" t="str">
        <x:v>ACT-006</x:v>
      </x:c>
      <x:c r="G473" t="n">
        <x:v>95</x:v>
      </x:c>
      <x:c r="H473" t="str">
        <x:v>CQ-A05</x:v>
      </x:c>
      <x:c r="I473" s="36" t="str">
        <x:v>Welche dieser Aussagen stammt aus Apostelgeschichte 6?</x:v>
      </x:c>
      <x:c r="J473" s="36" t="str"/>
      <x:c r="K473" s="36" t="str"/>
      <x:c r="L473" s="36" t="str">
        <x:v>REPO_VERIFIZIERT_FRAGEFORM</x:v>
      </x:c>
      <x:c r="M473" s="36" t="str">
        <x:v>ERSETZEN</x:v>
      </x:c>
      <x:c r="N473" s="36" t="str">
        <x:v>REPETITIVE_FRAGEFORM</x:v>
      </x:c>
      <x:c r="O473" s="36" t="str">
        <x:v>REINE_WIEDERERKENNUNG</x:v>
      </x:c>
      <x:c r="P473" s="36" t="str">
        <x:v>GESCHEHEN</x:v>
      </x:c>
      <x:c r="Q473" s="36" t="str">
        <x:v>Welche Folge hat die Neuordnung des Dienstes in Jerusalem?</x:v>
      </x:c>
      <x:c r="R473" s="36" t="str">
        <x:v>Die Gemeinde wird kleiner.</x:v>
      </x:c>
      <x:c r="S473" s="36" t="str">
        <x:v>Das Wort Gottes breitet sich aus und die Zahl der Jünger wächst stark.</x:v>
      </x:c>
      <x:c r="T473" s="36" t="str">
        <x:v>Die Apostel hören auf zu predigen.</x:v>
      </x:c>
      <x:c r="U473" s="36" t="str">
        <x:v>Der Tempel wird geschlossen.</x:v>
      </x:c>
      <x:c r="V473" s="36" t="n">
        <x:v>1</x:v>
      </x:c>
      <x:c r="W473" s="36" t="str">
        <x:f>CHOOSE(V473+1,R473,S473,T473,U473)</x:f>
        <x:v>Das Wort Gottes breitet sich aus und die Zahl der Jünger wächst stark.</x:v>
      </x:c>
      <x:c r="X473" s="36" t="str">
        <x:v>Apostelgeschichte 6,7</x:v>
      </x:c>
      <x:c r="Y473" s="36" t="str">
        <x:v>Lukas berichtet unmittelbar danach von weiterem Wachstum des Wortes und der Jüngerschaft.</x:v>
      </x:c>
      <x:c r="Z473" s="36" t="str">
        <x:v>JA</x:v>
      </x:c>
      <x:c r="AA473" s="36" t="str">
        <x:v>JA</x:v>
      </x:c>
      <x:c r="AB473" s="36" t="str">
        <x:v>JA</x:v>
      </x:c>
      <x:c r="AC473" s="36" t="str">
        <x:v>JA</x:v>
      </x:c>
      <x:c r="AD473" s="36" t="str">
        <x:v>JA</x:v>
      </x:c>
      <x:c r="AE473" s="36" t="str">
        <x:v>JA</x:v>
      </x:c>
      <x:c r="AF473" s="36" t="str">
        <x:v>JA</x:v>
      </x:c>
      <x:c r="AG473" s="36" t="str">
        <x:v>FREIGEGEBEN</x:v>
      </x:c>
      <x:c r="AH473" s="36" t="str">
        <x:v>GPT-5.6 Sol · Buchprüfung Apostelgeschichte · L1912/OTB</x:v>
      </x:c>
      <x:c r="AI473" s="36" t="str">
        <x:v>FREIGEGEBEN</x:v>
      </x:c>
      <x:c r="AJ473" s="36" t="str">
        <x:v>Apostelgeschichte 6: repetitive Wiedererkennungsfrage durch GESCHEHEN-Frage ersetzt.</x:v>
      </x:c>
      <x:c r="AK473" s="36" t="str">
        <x:v>FaithPath repo develop/v4 · data/stories.json · data/bibles/l1912/ACT.json · data/bibles/otb/ACT.json</x:v>
      </x:c>
      <x:c r="AL473" t="str">
        <x:f>IF(AND(AG473="FREIGEGEBEN",AI473="FREIGEGEBEN",Q473&lt;&gt;"",R473&lt;&gt;"",S473&lt;&gt;"",T473&lt;&gt;"",U473&lt;&gt;"",ISNUMBER(V473),X473&lt;&gt;"",Y473&lt;&gt;"",AA473="JA",AB473="JA",AC473="JA",AD473="JA",AE473="JA",AF473="JA"),"JA","NEIN")</x:f>
        <x:v>JA</x:v>
      </x:c>
    </x:row>
    <x:row r="474">
      <x:c r="A474" t="str">
        <x:v>FP-0733</x:v>
      </x:c>
      <x:c r="B474" t="str">
        <x:v>ACT</x:v>
      </x:c>
      <x:c r="C474" t="str">
        <x:v>Apostelgeschichte</x:v>
      </x:c>
      <x:c r="D474" t="n">
        <x:v>6</x:v>
      </x:c>
      <x:c r="E474" t="n">
        <x:v>3</x:v>
      </x:c>
      <x:c r="F474" t="str">
        <x:v>ACT-006</x:v>
      </x:c>
      <x:c r="G474" t="n">
        <x:v>95</x:v>
      </x:c>
      <x:c r="H474" t="str">
        <x:v>CQ-A05</x:v>
      </x:c>
      <x:c r="I474" s="36" t="str">
        <x:v>Welche dieser Aussagen stammt aus Apostelgeschichte 6?</x:v>
      </x:c>
      <x:c r="J474" s="36" t="str"/>
      <x:c r="K474" s="36" t="str"/>
      <x:c r="L474" s="36" t="str">
        <x:v>REPO_VERIFIZIERT_FRAGEFORM</x:v>
      </x:c>
      <x:c r="M474" s="36" t="str">
        <x:v>ERSETZEN</x:v>
      </x:c>
      <x:c r="N474" s="36" t="str">
        <x:v>REPETITIVE_FRAGEFORM</x:v>
      </x:c>
      <x:c r="O474" s="36" t="str">
        <x:v>REINE_WIEDERERKENNUNG</x:v>
      </x:c>
      <x:c r="P474" s="36" t="str">
        <x:v>ZUSAMMENHANG</x:v>
      </x:c>
      <x:c r="Q474" s="36" t="str">
        <x:v>Warum können die Gegner Stephanus in der Diskussion nicht widerstehen?</x:v>
      </x:c>
      <x:c r="R474" s="36" t="str">
        <x:v>Weil er römischer Beamter ist.</x:v>
      </x:c>
      <x:c r="S474" s="36" t="str">
        <x:v>Weil er die Synagoge schließen lässt.</x:v>
      </x:c>
      <x:c r="T474" s="36" t="str">
        <x:v>Wegen der Weisheit und des Geistes, mit denen er spricht.</x:v>
      </x:c>
      <x:c r="U474" s="36" t="str">
        <x:v>Weil niemand mit ihm sprechen darf.</x:v>
      </x:c>
      <x:c r="V474" s="36" t="n">
        <x:v>2</x:v>
      </x:c>
      <x:c r="W474" s="36" t="str">
        <x:f>CHOOSE(V474+1,R474,S474,T474,U474)</x:f>
        <x:v>Wegen der Weisheit und des Geistes, mit denen er spricht.</x:v>
      </x:c>
      <x:c r="X474" s="36" t="str">
        <x:v>Apostelgeschichte 6,8–10</x:v>
      </x:c>
      <x:c r="Y474" s="36" t="str">
        <x:v>Stephanus wirkt voller Gnade und Kraft; seine Gegner können der Weisheit und dem Geist seiner Rede nicht standhalten.</x:v>
      </x:c>
      <x:c r="Z474" s="36" t="str">
        <x:v>JA</x:v>
      </x:c>
      <x:c r="AA474" s="36" t="str">
        <x:v>JA</x:v>
      </x:c>
      <x:c r="AB474" s="36" t="str">
        <x:v>JA</x:v>
      </x:c>
      <x:c r="AC474" s="36" t="str">
        <x:v>JA</x:v>
      </x:c>
      <x:c r="AD474" s="36" t="str">
        <x:v>JA</x:v>
      </x:c>
      <x:c r="AE474" s="36" t="str">
        <x:v>JA</x:v>
      </x:c>
      <x:c r="AF474" s="36" t="str">
        <x:v>JA</x:v>
      </x:c>
      <x:c r="AG474" s="36" t="str">
        <x:v>FREIGEGEBEN</x:v>
      </x:c>
      <x:c r="AH474" s="36" t="str">
        <x:v>GPT-5.6 Sol · Buchprüfung Apostelgeschichte · L1912/OTB</x:v>
      </x:c>
      <x:c r="AI474" s="36" t="str">
        <x:v>FREIGEGEBEN</x:v>
      </x:c>
      <x:c r="AJ474" s="36" t="str">
        <x:v>Apostelgeschichte 6: repetitive Wiedererkennungsfrage durch ZUSAMMENHANG-Frage ersetzt.</x:v>
      </x:c>
      <x:c r="AK474" s="36" t="str">
        <x:v>FaithPath repo develop/v4 · data/stories.json · data/bibles/l1912/ACT.json · data/bibles/otb/ACT.json</x:v>
      </x:c>
      <x:c r="AL474" t="str">
        <x:f>IF(AND(AG474="FREIGEGEBEN",AI474="FREIGEGEBEN",Q474&lt;&gt;"",R474&lt;&gt;"",S474&lt;&gt;"",T474&lt;&gt;"",U474&lt;&gt;"",ISNUMBER(V474),X474&lt;&gt;"",Y474&lt;&gt;"",AA474="JA",AB474="JA",AC474="JA",AD474="JA",AE474="JA",AF474="JA"),"JA","NEIN")</x:f>
        <x:v>JA</x:v>
      </x:c>
    </x:row>
    <x:row r="475">
      <x:c r="A475" t="str">
        <x:v>FP-0734</x:v>
      </x:c>
      <x:c r="B475" t="str">
        <x:v>ACT</x:v>
      </x:c>
      <x:c r="C475" t="str">
        <x:v>Apostelgeschichte</x:v>
      </x:c>
      <x:c r="D475" t="n">
        <x:v>6</x:v>
      </x:c>
      <x:c r="E475" t="n">
        <x:v>4</x:v>
      </x:c>
      <x:c r="F475" t="str">
        <x:v>ACT-006</x:v>
      </x:c>
      <x:c r="G475" t="n">
        <x:v>95</x:v>
      </x:c>
      <x:c r="H475" t="str">
        <x:v>CQ-A05</x:v>
      </x:c>
      <x:c r="I475" s="36" t="str">
        <x:v>Welche dieser Aussagen stammt aus Apostelgeschichte 6?</x:v>
      </x:c>
      <x:c r="J475" s="36" t="str"/>
      <x:c r="K475" s="36" t="str"/>
      <x:c r="L475" s="36" t="str">
        <x:v>REPO_VERIFIZIERT_FRAGEFORM</x:v>
      </x:c>
      <x:c r="M475" s="36" t="str">
        <x:v>ERSETZEN</x:v>
      </x:c>
      <x:c r="N475" s="36" t="str">
        <x:v>REPETITIVE_FRAGEFORM</x:v>
      </x:c>
      <x:c r="O475" s="36" t="str">
        <x:v>REINE_WIEDERERKENNUNG</x:v>
      </x:c>
      <x:c r="P475" s="36" t="str">
        <x:v>GESCHEHEN</x:v>
      </x:c>
      <x:c r="Q475" s="36" t="str">
        <x:v>Welche Vorwürfe werden gegen Stephanus erhoben?</x:v>
      </x:c>
      <x:c r="R475" s="36" t="str">
        <x:v>Er verweigere die Steuer an den Kaiser.</x:v>
      </x:c>
      <x:c r="S475" s="36" t="str">
        <x:v>Er habe Geld aus der Gemeinde gestohlen.</x:v>
      </x:c>
      <x:c r="T475" s="36" t="str">
        <x:v>Er wolle König von Israel werden.</x:v>
      </x:c>
      <x:c r="U475" s="36" t="str">
        <x:v>Er rede gegen Mose, Gott, den heiligen Ort und das Gesetz.</x:v>
      </x:c>
      <x:c r="V475" s="36" t="n">
        <x:v>3</x:v>
      </x:c>
      <x:c r="W475" s="36" t="str">
        <x:f>CHOOSE(V475+1,R475,S475,T475,U475)</x:f>
        <x:v>Er rede gegen Mose, Gott, den heiligen Ort und das Gesetz.</x:v>
      </x:c>
      <x:c r="X475" s="36" t="str">
        <x:v>Apostelgeschichte 6,11–14</x:v>
      </x:c>
      <x:c r="Y475" s="36" t="str">
        <x:v>Gegen Stephanus werden religiöse Anklagen konstruiert, besonders gegen Tempel und Gesetz.</x:v>
      </x:c>
      <x:c r="Z475" s="36" t="str">
        <x:v>JA</x:v>
      </x:c>
      <x:c r="AA475" s="36" t="str">
        <x:v>JA</x:v>
      </x:c>
      <x:c r="AB475" s="36" t="str">
        <x:v>JA</x:v>
      </x:c>
      <x:c r="AC475" s="36" t="str">
        <x:v>JA</x:v>
      </x:c>
      <x:c r="AD475" s="36" t="str">
        <x:v>JA</x:v>
      </x:c>
      <x:c r="AE475" s="36" t="str">
        <x:v>JA</x:v>
      </x:c>
      <x:c r="AF475" s="36" t="str">
        <x:v>JA</x:v>
      </x:c>
      <x:c r="AG475" s="36" t="str">
        <x:v>FREIGEGEBEN</x:v>
      </x:c>
      <x:c r="AH475" s="36" t="str">
        <x:v>GPT-5.6 Sol · Buchprüfung Apostelgeschichte · L1912/OTB</x:v>
      </x:c>
      <x:c r="AI475" s="36" t="str">
        <x:v>FREIGEGEBEN</x:v>
      </x:c>
      <x:c r="AJ475" s="36" t="str">
        <x:v>Apostelgeschichte 6: repetitive Wiedererkennungsfrage durch GESCHEHEN-Frage ersetzt.</x:v>
      </x:c>
      <x:c r="AK475" s="36" t="str">
        <x:v>FaithPath repo develop/v4 · data/stories.json · data/bibles/l1912/ACT.json · data/bibles/otb/ACT.json</x:v>
      </x:c>
      <x:c r="AL475" t="str">
        <x:f>IF(AND(AG475="FREIGEGEBEN",AI475="FREIGEGEBEN",Q475&lt;&gt;"",R475&lt;&gt;"",S475&lt;&gt;"",T475&lt;&gt;"",U475&lt;&gt;"",ISNUMBER(V475),X475&lt;&gt;"",Y475&lt;&gt;"",AA475="JA",AB475="JA",AC475="JA",AD475="JA",AE475="JA",AF475="JA"),"JA","NEIN")</x:f>
        <x:v>JA</x:v>
      </x:c>
    </x:row>
    <x:row r="476">
      <x:c r="A476" t="str">
        <x:v>FP-0735</x:v>
      </x:c>
      <x:c r="B476" t="str">
        <x:v>ACT</x:v>
      </x:c>
      <x:c r="C476" t="str">
        <x:v>Apostelgeschichte</x:v>
      </x:c>
      <x:c r="D476" t="n">
        <x:v>6</x:v>
      </x:c>
      <x:c r="E476" t="n">
        <x:v>5</x:v>
      </x:c>
      <x:c r="F476" t="str">
        <x:v>ACT-006</x:v>
      </x:c>
      <x:c r="G476" t="n">
        <x:v>95</x:v>
      </x:c>
      <x:c r="H476" t="str">
        <x:v>CQ-A05</x:v>
      </x:c>
      <x:c r="I476" s="36" t="str">
        <x:v>Welche dieser Aussagen stammt aus Apostelgeschichte 6?</x:v>
      </x:c>
      <x:c r="J476" s="36" t="str"/>
      <x:c r="K476" s="36" t="str"/>
      <x:c r="L476" s="36" t="str">
        <x:v>REPO_VERIFIZIERT_FRAGEFORM</x:v>
      </x:c>
      <x:c r="M476" s="36" t="str">
        <x:v>ERSETZEN</x:v>
      </x:c>
      <x:c r="N476" s="36" t="str">
        <x:v>REPETITIVE_FRAGEFORM</x:v>
      </x:c>
      <x:c r="O476" s="36" t="str">
        <x:v>REINE_WIEDERERKENNUNG</x:v>
      </x:c>
      <x:c r="P476" s="36" t="str">
        <x:v>DETAIL</x:v>
      </x:c>
      <x:c r="Q476" s="36" t="str">
        <x:v>Wie wird Stephanus' Gesicht vor dem Hohen Rat beschrieben?</x:v>
      </x:c>
      <x:c r="R476" s="36" t="str">
        <x:v>Wie das Gesicht eines Engels.</x:v>
      </x:c>
      <x:c r="S476" s="36" t="str">
        <x:v>Wie das Gesicht eines Königs.</x:v>
      </x:c>
      <x:c r="T476" s="36" t="str">
        <x:v>Völlig verhüllt.</x:v>
      </x:c>
      <x:c r="U476" s="36" t="str">
        <x:v>Von Angst entstellt.</x:v>
      </x:c>
      <x:c r="V476" s="36" t="n">
        <x:v>0</x:v>
      </x:c>
      <x:c r="W476" s="36" t="str">
        <x:f>CHOOSE(V476+1,R476,S476,T476,U476)</x:f>
        <x:v>Wie das Gesicht eines Engels.</x:v>
      </x:c>
      <x:c r="X476" s="36" t="str">
        <x:v>Apostelgeschichte 6,15</x:v>
      </x:c>
      <x:c r="Y476" s="36" t="str">
        <x:v>Die Anwesenden sehen sein Gesicht wie das eines Engels.</x:v>
      </x:c>
      <x:c r="Z476" s="36" t="str">
        <x:v>JA</x:v>
      </x:c>
      <x:c r="AA476" s="36" t="str">
        <x:v>JA</x:v>
      </x:c>
      <x:c r="AB476" s="36" t="str">
        <x:v>JA</x:v>
      </x:c>
      <x:c r="AC476" s="36" t="str">
        <x:v>JA</x:v>
      </x:c>
      <x:c r="AD476" s="36" t="str">
        <x:v>JA</x:v>
      </x:c>
      <x:c r="AE476" s="36" t="str">
        <x:v>JA</x:v>
      </x:c>
      <x:c r="AF476" s="36" t="str">
        <x:v>JA</x:v>
      </x:c>
      <x:c r="AG476" s="36" t="str">
        <x:v>FREIGEGEBEN</x:v>
      </x:c>
      <x:c r="AH476" s="36" t="str">
        <x:v>GPT-5.6 Sol · Buchprüfung Apostelgeschichte · L1912/OTB</x:v>
      </x:c>
      <x:c r="AI476" s="36" t="str">
        <x:v>FREIGEGEBEN</x:v>
      </x:c>
      <x:c r="AJ476" s="36" t="str">
        <x:v>Apostelgeschichte 6: repetitive Wiedererkennungsfrage durch DETAIL-Frage ersetzt.</x:v>
      </x:c>
      <x:c r="AK476" s="36" t="str">
        <x:v>FaithPath repo develop/v4 · data/stories.json · data/bibles/l1912/ACT.json · data/bibles/otb/ACT.json</x:v>
      </x:c>
      <x:c r="AL476" t="str">
        <x:f>IF(AND(AG476="FREIGEGEBEN",AI476="FREIGEGEBEN",Q476&lt;&gt;"",R476&lt;&gt;"",S476&lt;&gt;"",T476&lt;&gt;"",U476&lt;&gt;"",ISNUMBER(V476),X476&lt;&gt;"",Y476&lt;&gt;"",AA476="JA",AB476="JA",AC476="JA",AD476="JA",AE476="JA",AF476="JA"),"JA","NEIN")</x:f>
        <x:v>JA</x:v>
      </x:c>
    </x:row>
    <x:row r="477">
      <x:c r="A477" t="str">
        <x:v>FP-0736</x:v>
      </x:c>
      <x:c r="B477" t="str">
        <x:v>ACT</x:v>
      </x:c>
      <x:c r="C477" t="str">
        <x:v>Apostelgeschichte</x:v>
      </x:c>
      <x:c r="D477" t="n">
        <x:v>7</x:v>
      </x:c>
      <x:c r="E477" t="n">
        <x:v>1</x:v>
      </x:c>
      <x:c r="F477" t="str">
        <x:v>ACT-007</x:v>
      </x:c>
      <x:c r="G477" t="n">
        <x:v>96</x:v>
      </x:c>
      <x:c r="H477" t="str">
        <x:v>CQ-A05</x:v>
      </x:c>
      <x:c r="I477" s="36" t="str">
        <x:v>Welche dieser Aussagen stammt aus Apostelgeschichte 7?</x:v>
      </x:c>
      <x:c r="J477" s="36" t="str"/>
      <x:c r="K477" s="36" t="str"/>
      <x:c r="L477" s="36" t="str">
        <x:v>REPO_VERIFIZIERT_FRAGEFORM</x:v>
      </x:c>
      <x:c r="M477" s="36" t="str">
        <x:v>ERSETZEN</x:v>
      </x:c>
      <x:c r="N477" s="36" t="str">
        <x:v>REPETITIVE_FRAGEFORM</x:v>
      </x:c>
      <x:c r="O477" s="36" t="str">
        <x:v>REINE_WIEDERERKENNUNG</x:v>
      </x:c>
      <x:c r="P477" s="36" t="str">
        <x:v>ZUSAMMENHANG</x:v>
      </x:c>
      <x:c r="Q477" s="36" t="str">
        <x:v>Mit welcher Person beginnt Stephanus seinen großen Rückblick auf Israels Geschichte?</x:v>
      </x:c>
      <x:c r="R477" s="36" t="str">
        <x:v>Mit Mose.</x:v>
      </x:c>
      <x:c r="S477" s="36" t="str">
        <x:v>Mit Abraham.</x:v>
      </x:c>
      <x:c r="T477" s="36" t="str">
        <x:v>Mit David.</x:v>
      </x:c>
      <x:c r="U477" s="36" t="str">
        <x:v>Mit Salomo.</x:v>
      </x:c>
      <x:c r="V477" s="36" t="n">
        <x:v>1</x:v>
      </x:c>
      <x:c r="W477" s="36" t="str">
        <x:f>CHOOSE(V477+1,R477,S477,T477,U477)</x:f>
        <x:v>Mit Abraham.</x:v>
      </x:c>
      <x:c r="X477" s="36" t="str">
        <x:v>Apostelgeschichte 7,2–8</x:v>
      </x:c>
      <x:c r="Y477" s="36" t="str">
        <x:v>Stephanus beginnt bei Abraham und Gottes Berufung und Bund mit ihm.</x:v>
      </x:c>
      <x:c r="Z477" s="36" t="str">
        <x:v>JA</x:v>
      </x:c>
      <x:c r="AA477" s="36" t="str">
        <x:v>JA</x:v>
      </x:c>
      <x:c r="AB477" s="36" t="str">
        <x:v>JA</x:v>
      </x:c>
      <x:c r="AC477" s="36" t="str">
        <x:v>JA</x:v>
      </x:c>
      <x:c r="AD477" s="36" t="str">
        <x:v>JA</x:v>
      </x:c>
      <x:c r="AE477" s="36" t="str">
        <x:v>JA</x:v>
      </x:c>
      <x:c r="AF477" s="36" t="str">
        <x:v>JA</x:v>
      </x:c>
      <x:c r="AG477" s="36" t="str">
        <x:v>FREIGEGEBEN</x:v>
      </x:c>
      <x:c r="AH477" s="36" t="str">
        <x:v>GPT-5.6 Sol · Buchprüfung Apostelgeschichte · L1912/OTB</x:v>
      </x:c>
      <x:c r="AI477" s="36" t="str">
        <x:v>FREIGEGEBEN</x:v>
      </x:c>
      <x:c r="AJ477" s="36" t="str">
        <x:v>Apostelgeschichte 7: repetitive Wiedererkennungsfrage durch ZUSAMMENHANG-Frage ersetzt.</x:v>
      </x:c>
      <x:c r="AK477" s="36" t="str">
        <x:v>FaithPath repo develop/v4 · data/stories.json · data/bibles/l1912/ACT.json · data/bibles/otb/ACT.json</x:v>
      </x:c>
      <x:c r="AL477" t="str">
        <x:f>IF(AND(AG477="FREIGEGEBEN",AI477="FREIGEGEBEN",Q477&lt;&gt;"",R477&lt;&gt;"",S477&lt;&gt;"",T477&lt;&gt;"",U477&lt;&gt;"",ISNUMBER(V477),X477&lt;&gt;"",Y477&lt;&gt;"",AA477="JA",AB477="JA",AC477="JA",AD477="JA",AE477="JA",AF477="JA"),"JA","NEIN")</x:f>
        <x:v>JA</x:v>
      </x:c>
    </x:row>
    <x:row r="478">
      <x:c r="A478" t="str">
        <x:v>FP-0737</x:v>
      </x:c>
      <x:c r="B478" t="str">
        <x:v>ACT</x:v>
      </x:c>
      <x:c r="C478" t="str">
        <x:v>Apostelgeschichte</x:v>
      </x:c>
      <x:c r="D478" t="n">
        <x:v>7</x:v>
      </x:c>
      <x:c r="E478" t="n">
        <x:v>2</x:v>
      </x:c>
      <x:c r="F478" t="str">
        <x:v>ACT-007</x:v>
      </x:c>
      <x:c r="G478" t="n">
        <x:v>96</x:v>
      </x:c>
      <x:c r="H478" t="str">
        <x:v>CQ-A05</x:v>
      </x:c>
      <x:c r="I478" s="36" t="str">
        <x:v>Welche dieser Aussagen stammt aus Apostelgeschichte 7?</x:v>
      </x:c>
      <x:c r="J478" s="36" t="str"/>
      <x:c r="K478" s="36" t="str"/>
      <x:c r="L478" s="36" t="str">
        <x:v>REPO_VERIFIZIERT_FRAGEFORM</x:v>
      </x:c>
      <x:c r="M478" s="36" t="str">
        <x:v>ERSETZEN</x:v>
      </x:c>
      <x:c r="N478" s="36" t="str">
        <x:v>REPETITIVE_FRAGEFORM</x:v>
      </x:c>
      <x:c r="O478" s="36" t="str">
        <x:v>REINE_WIEDERERKENNUNG</x:v>
      </x:c>
      <x:c r="P478" s="36" t="str">
        <x:v>GESCHEHEN</x:v>
      </x:c>
      <x:c r="Q478" s="36" t="str">
        <x:v>Was geschieht, nachdem Mose einen misshandelten Israeliten verteidigt und einen Ägypter erschlagen hat?</x:v>
      </x:c>
      <x:c r="R478" s="36" t="str">
        <x:v>Er wird sofort Pharao.</x:v>
      </x:c>
      <x:c r="S478" s="36" t="str">
        <x:v>Er kehrt nach Kanaan zurück.</x:v>
      </x:c>
      <x:c r="T478" s="36" t="str">
        <x:v>Er flieht nach Midian, nachdem seine Tat bekannt wird und seine Vermittlung abgelehnt wird.</x:v>
      </x:c>
      <x:c r="U478" s="36" t="str">
        <x:v>Er wird Hohepriester.</x:v>
      </x:c>
      <x:c r="V478" s="36" t="n">
        <x:v>2</x:v>
      </x:c>
      <x:c r="W478" s="36" t="str">
        <x:f>CHOOSE(V478+1,R478,S478,T478,U478)</x:f>
        <x:v>Er flieht nach Midian, nachdem seine Tat bekannt wird und seine Vermittlung abgelehnt wird.</x:v>
      </x:c>
      <x:c r="X478" s="36" t="str">
        <x:v>Apostelgeschichte 7,20–29</x:v>
      </x:c>
      <x:c r="Y478" s="36" t="str">
        <x:v>Moses erster Rettungsversuch wird missverstanden; nachdem die Tat bekannt wird, flieht er nach Midian.</x:v>
      </x:c>
      <x:c r="Z478" s="36" t="str">
        <x:v>JA</x:v>
      </x:c>
      <x:c r="AA478" s="36" t="str">
        <x:v>JA</x:v>
      </x:c>
      <x:c r="AB478" s="36" t="str">
        <x:v>JA</x:v>
      </x:c>
      <x:c r="AC478" s="36" t="str">
        <x:v>JA</x:v>
      </x:c>
      <x:c r="AD478" s="36" t="str">
        <x:v>JA</x:v>
      </x:c>
      <x:c r="AE478" s="36" t="str">
        <x:v>JA</x:v>
      </x:c>
      <x:c r="AF478" s="36" t="str">
        <x:v>JA</x:v>
      </x:c>
      <x:c r="AG478" s="36" t="str">
        <x:v>FREIGEGEBEN</x:v>
      </x:c>
      <x:c r="AH478" s="36" t="str">
        <x:v>GPT-5.6 Sol · Buchprüfung Apostelgeschichte · L1912/OTB</x:v>
      </x:c>
      <x:c r="AI478" s="36" t="str">
        <x:v>FREIGEGEBEN</x:v>
      </x:c>
      <x:c r="AJ478" s="36" t="str">
        <x:v>Apostelgeschichte 7: repetitive Wiedererkennungsfrage durch GESCHEHEN-Frage ersetzt.</x:v>
      </x:c>
      <x:c r="AK478" s="36" t="str">
        <x:v>FaithPath repo develop/v4 · data/stories.json · data/bibles/l1912/ACT.json · data/bibles/otb/ACT.json</x:v>
      </x:c>
      <x:c r="AL478" t="str">
        <x:f>IF(AND(AG478="FREIGEGEBEN",AI478="FREIGEGEBEN",Q478&lt;&gt;"",R478&lt;&gt;"",S478&lt;&gt;"",T478&lt;&gt;"",U478&lt;&gt;"",ISNUMBER(V478),X478&lt;&gt;"",Y478&lt;&gt;"",AA478="JA",AB478="JA",AC478="JA",AD478="JA",AE478="JA",AF478="JA"),"JA","NEIN")</x:f>
        <x:v>JA</x:v>
      </x:c>
    </x:row>
    <x:row r="479">
      <x:c r="A479" t="str">
        <x:v>FP-0738</x:v>
      </x:c>
      <x:c r="B479" t="str">
        <x:v>ACT</x:v>
      </x:c>
      <x:c r="C479" t="str">
        <x:v>Apostelgeschichte</x:v>
      </x:c>
      <x:c r="D479" t="n">
        <x:v>7</x:v>
      </x:c>
      <x:c r="E479" t="n">
        <x:v>3</x:v>
      </x:c>
      <x:c r="F479" t="str">
        <x:v>ACT-007</x:v>
      </x:c>
      <x:c r="G479" t="n">
        <x:v>96</x:v>
      </x:c>
      <x:c r="H479" t="str">
        <x:v>CQ-A05</x:v>
      </x:c>
      <x:c r="I479" s="36" t="str">
        <x:v>Welche dieser Aussagen stammt aus Apostelgeschichte 7?</x:v>
      </x:c>
      <x:c r="J479" s="36" t="str"/>
      <x:c r="K479" s="36" t="str"/>
      <x:c r="L479" s="36" t="str">
        <x:v>REPO_VERIFIZIERT_FRAGEFORM</x:v>
      </x:c>
      <x:c r="M479" s="36" t="str">
        <x:v>ERSETZEN</x:v>
      </x:c>
      <x:c r="N479" s="36" t="str">
        <x:v>REPETITIVE_FRAGEFORM</x:v>
      </x:c>
      <x:c r="O479" s="36" t="str">
        <x:v>REINE_WIEDERERKENNUNG</x:v>
      </x:c>
      <x:c r="P479" s="36" t="str">
        <x:v>KERNAUSSAGE</x:v>
      </x:c>
      <x:c r="Q479" s="36" t="str">
        <x:v>Wie beschreibt Stephanus Moses Rolle trotz früherer Ablehnung durch Israel?</x:v>
      </x:c>
      <x:c r="R479" s="36" t="str">
        <x:v>Mose spielt keine weitere Rolle.</x:v>
      </x:c>
      <x:c r="S479" s="36" t="str">
        <x:v>Mose wird von Gott verworfen.</x:v>
      </x:c>
      <x:c r="T479" s="36" t="str">
        <x:v>Mose dient später den Ägyptern.</x:v>
      </x:c>
      <x:c r="U479" s="36" t="str">
        <x:v>Gott sendet gerade diesen Mose als Herrscher und Befreier.</x:v>
      </x:c>
      <x:c r="V479" s="36" t="n">
        <x:v>3</x:v>
      </x:c>
      <x:c r="W479" s="36" t="str">
        <x:f>CHOOSE(V479+1,R479,S479,T479,U479)</x:f>
        <x:v>Gott sendet gerade diesen Mose als Herrscher und Befreier.</x:v>
      </x:c>
      <x:c r="X479" s="36" t="str">
        <x:v>Apostelgeschichte 7,35–38</x:v>
      </x:c>
      <x:c r="Y479" s="36" t="str">
        <x:v>Stephanus betont, dass der zuvor Zurückgewiesene von Gott zum Führer und Befreier bestimmt wird.</x:v>
      </x:c>
      <x:c r="Z479" s="36" t="str">
        <x:v>JA</x:v>
      </x:c>
      <x:c r="AA479" s="36" t="str">
        <x:v>JA</x:v>
      </x:c>
      <x:c r="AB479" s="36" t="str">
        <x:v>JA</x:v>
      </x:c>
      <x:c r="AC479" s="36" t="str">
        <x:v>JA</x:v>
      </x:c>
      <x:c r="AD479" s="36" t="str">
        <x:v>JA</x:v>
      </x:c>
      <x:c r="AE479" s="36" t="str">
        <x:v>JA</x:v>
      </x:c>
      <x:c r="AF479" s="36" t="str">
        <x:v>JA</x:v>
      </x:c>
      <x:c r="AG479" s="36" t="str">
        <x:v>FREIGEGEBEN</x:v>
      </x:c>
      <x:c r="AH479" s="36" t="str">
        <x:v>GPT-5.6 Sol · Buchprüfung Apostelgeschichte · L1912/OTB</x:v>
      </x:c>
      <x:c r="AI479" s="36" t="str">
        <x:v>FREIGEGEBEN</x:v>
      </x:c>
      <x:c r="AJ479" s="36" t="str">
        <x:v>Apostelgeschichte 7: repetitive Wiedererkennungsfrage durch KERNAUSSAGE-Frage ersetzt.</x:v>
      </x:c>
      <x:c r="AK479" s="36" t="str">
        <x:v>FaithPath repo develop/v4 · data/stories.json · data/bibles/l1912/ACT.json · data/bibles/otb/ACT.json</x:v>
      </x:c>
      <x:c r="AL479" t="str">
        <x:f>IF(AND(AG479="FREIGEGEBEN",AI479="FREIGEGEBEN",Q479&lt;&gt;"",R479&lt;&gt;"",S479&lt;&gt;"",T479&lt;&gt;"",U479&lt;&gt;"",ISNUMBER(V479),X479&lt;&gt;"",Y479&lt;&gt;"",AA479="JA",AB479="JA",AC479="JA",AD479="JA",AE479="JA",AF479="JA"),"JA","NEIN")</x:f>
        <x:v>JA</x:v>
      </x:c>
    </x:row>
    <x:row r="480">
      <x:c r="A480" t="str">
        <x:v>FP-0739</x:v>
      </x:c>
      <x:c r="B480" t="str">
        <x:v>ACT</x:v>
      </x:c>
      <x:c r="C480" t="str">
        <x:v>Apostelgeschichte</x:v>
      </x:c>
      <x:c r="D480" t="n">
        <x:v>7</x:v>
      </x:c>
      <x:c r="E480" t="n">
        <x:v>4</x:v>
      </x:c>
      <x:c r="F480" t="str">
        <x:v>ACT-007</x:v>
      </x:c>
      <x:c r="G480" t="n">
        <x:v>96</x:v>
      </x:c>
      <x:c r="H480" t="str">
        <x:v>CQ-A05</x:v>
      </x:c>
      <x:c r="I480" s="36" t="str">
        <x:v>Welche dieser Aussagen stammt aus Apostelgeschichte 7?</x:v>
      </x:c>
      <x:c r="J480" s="36" t="str"/>
      <x:c r="K480" s="36" t="str"/>
      <x:c r="L480" s="36" t="str">
        <x:v>REPO_VERIFIZIERT_FRAGEFORM</x:v>
      </x:c>
      <x:c r="M480" s="36" t="str">
        <x:v>ERSETZEN</x:v>
      </x:c>
      <x:c r="N480" s="36" t="str">
        <x:v>REPETITIVE_FRAGEFORM</x:v>
      </x:c>
      <x:c r="O480" s="36" t="str">
        <x:v>REINE_WIEDERERKENNUNG</x:v>
      </x:c>
      <x:c r="P480" s="36" t="str">
        <x:v>KERNAUSSAGE</x:v>
      </x:c>
      <x:c r="Q480" s="36" t="str">
        <x:v>Was sagt Stephanus über Gottes Wohnen in von Menschen gebauten Häusern?</x:v>
      </x:c>
      <x:c r="R480" s="36" t="str">
        <x:v>Der Höchste wohnt nicht in Häusern, die von Menschenhänden gemacht sind.</x:v>
      </x:c>
      <x:c r="S480" s="36" t="str">
        <x:v>Gott wohnt ausschließlich im Jerusalemer Tempel.</x:v>
      </x:c>
      <x:c r="T480" s="36" t="str">
        <x:v>Gott wohnt nur in Synagogen.</x:v>
      </x:c>
      <x:c r="U480" s="36" t="str">
        <x:v>Jeder Tempel ist automatisch Gottes Wohnung.</x:v>
      </x:c>
      <x:c r="V480" s="36" t="n">
        <x:v>0</x:v>
      </x:c>
      <x:c r="W480" s="36" t="str">
        <x:f>CHOOSE(V480+1,R480,S480,T480,U480)</x:f>
        <x:v>Der Höchste wohnt nicht in Häusern, die von Menschenhänden gemacht sind.</x:v>
      </x:c>
      <x:c r="X480" s="36" t="str">
        <x:v>Apostelgeschichte 7,48–50</x:v>
      </x:c>
      <x:c r="Y480" s="36" t="str">
        <x:v>Stephanus zitiert die Propheten und relativiert eine Begrenzung Gottes auf menschengemachte Gebäude.</x:v>
      </x:c>
      <x:c r="Z480" s="36" t="str">
        <x:v>JA</x:v>
      </x:c>
      <x:c r="AA480" s="36" t="str">
        <x:v>JA</x:v>
      </x:c>
      <x:c r="AB480" s="36" t="str">
        <x:v>JA</x:v>
      </x:c>
      <x:c r="AC480" s="36" t="str">
        <x:v>JA</x:v>
      </x:c>
      <x:c r="AD480" s="36" t="str">
        <x:v>JA</x:v>
      </x:c>
      <x:c r="AE480" s="36" t="str">
        <x:v>JA</x:v>
      </x:c>
      <x:c r="AF480" s="36" t="str">
        <x:v>JA</x:v>
      </x:c>
      <x:c r="AG480" s="36" t="str">
        <x:v>FREIGEGEBEN</x:v>
      </x:c>
      <x:c r="AH480" s="36" t="str">
        <x:v>GPT-5.6 Sol · Buchprüfung Apostelgeschichte · L1912/OTB</x:v>
      </x:c>
      <x:c r="AI480" s="36" t="str">
        <x:v>FREIGEGEBEN</x:v>
      </x:c>
      <x:c r="AJ480" s="36" t="str">
        <x:v>Apostelgeschichte 7: repetitive Wiedererkennungsfrage durch KERNAUSSAGE-Frage ersetzt.</x:v>
      </x:c>
      <x:c r="AK480" s="36" t="str">
        <x:v>FaithPath repo develop/v4 · data/stories.json · data/bibles/l1912/ACT.json · data/bibles/otb/ACT.json</x:v>
      </x:c>
      <x:c r="AL480" t="str">
        <x:f>IF(AND(AG480="FREIGEGEBEN",AI480="FREIGEGEBEN",Q480&lt;&gt;"",R480&lt;&gt;"",S480&lt;&gt;"",T480&lt;&gt;"",U480&lt;&gt;"",ISNUMBER(V480),X480&lt;&gt;"",Y480&lt;&gt;"",AA480="JA",AB480="JA",AC480="JA",AD480="JA",AE480="JA",AF480="JA"),"JA","NEIN")</x:f>
        <x:v>JA</x:v>
      </x:c>
    </x:row>
    <x:row r="481">
      <x:c r="A481" t="str">
        <x:v>FP-0740</x:v>
      </x:c>
      <x:c r="B481" t="str">
        <x:v>ACT</x:v>
      </x:c>
      <x:c r="C481" t="str">
        <x:v>Apostelgeschichte</x:v>
      </x:c>
      <x:c r="D481" t="n">
        <x:v>7</x:v>
      </x:c>
      <x:c r="E481" t="n">
        <x:v>5</x:v>
      </x:c>
      <x:c r="F481" t="str">
        <x:v>ACT-007</x:v>
      </x:c>
      <x:c r="G481" t="n">
        <x:v>96</x:v>
      </x:c>
      <x:c r="H481" t="str">
        <x:v>CQ-A05</x:v>
      </x:c>
      <x:c r="I481" s="36" t="str">
        <x:v>Welche dieser Aussagen stammt aus Apostelgeschichte 7?</x:v>
      </x:c>
      <x:c r="J481" s="36" t="str"/>
      <x:c r="K481" s="36" t="str"/>
      <x:c r="L481" s="36" t="str">
        <x:v>REPO_VERIFIZIERT_FRAGEFORM</x:v>
      </x:c>
      <x:c r="M481" s="36" t="str">
        <x:v>ERSETZEN</x:v>
      </x:c>
      <x:c r="N481" s="36" t="str">
        <x:v>REPETITIVE_FRAGEFORM</x:v>
      </x:c>
      <x:c r="O481" s="36" t="str">
        <x:v>REINE_WIEDERERKENNUNG</x:v>
      </x:c>
      <x:c r="P481" s="36" t="str">
        <x:v>GESCHEHEN</x:v>
      </x:c>
      <x:c r="Q481" s="36" t="str">
        <x:v>Wie reagiert Stephanus während seiner Steinigung?</x:v>
      </x:c>
      <x:c r="R481" s="36" t="str">
        <x:v>Er verflucht alle Beteiligten.</x:v>
      </x:c>
      <x:c r="S481" s="36" t="str">
        <x:v>Er sieht Jesus zur Rechten Gottes und bittet um Vergebung für seine Täter.</x:v>
      </x:c>
      <x:c r="T481" s="36" t="str">
        <x:v>Er ruft nach römischen Soldaten.</x:v>
      </x:c>
      <x:c r="U481" s="36" t="str">
        <x:v>Er widerruft seine Rede.</x:v>
      </x:c>
      <x:c r="V481" s="36" t="n">
        <x:v>1</x:v>
      </x:c>
      <x:c r="W481" s="36" t="str">
        <x:f>CHOOSE(V481+1,R481,S481,T481,U481)</x:f>
        <x:v>Er sieht Jesus zur Rechten Gottes und bittet um Vergebung für seine Täter.</x:v>
      </x:c>
      <x:c r="X481" s="36" t="str">
        <x:v>Apostelgeschichte 7,54–60</x:v>
      </x:c>
      <x:c r="Y481" s="36" t="str">
        <x:v>Stephanus bezeugt seine himmlische Vision, vertraut seinen Geist Jesus an und bittet darum, den Tätern die Sünde nicht anzurechnen.</x:v>
      </x:c>
      <x:c r="Z481" s="36" t="str">
        <x:v>JA</x:v>
      </x:c>
      <x:c r="AA481" s="36" t="str">
        <x:v>JA</x:v>
      </x:c>
      <x:c r="AB481" s="36" t="str">
        <x:v>JA</x:v>
      </x:c>
      <x:c r="AC481" s="36" t="str">
        <x:v>JA</x:v>
      </x:c>
      <x:c r="AD481" s="36" t="str">
        <x:v>JA</x:v>
      </x:c>
      <x:c r="AE481" s="36" t="str">
        <x:v>JA</x:v>
      </x:c>
      <x:c r="AF481" s="36" t="str">
        <x:v>JA</x:v>
      </x:c>
      <x:c r="AG481" s="36" t="str">
        <x:v>FREIGEGEBEN</x:v>
      </x:c>
      <x:c r="AH481" s="36" t="str">
        <x:v>GPT-5.6 Sol · Buchprüfung Apostelgeschichte · L1912/OTB</x:v>
      </x:c>
      <x:c r="AI481" s="36" t="str">
        <x:v>FREIGEGEBEN</x:v>
      </x:c>
      <x:c r="AJ481" s="36" t="str">
        <x:v>Apostelgeschichte 7: repetitive Wiedererkennungsfrage durch GESCHEHEN-Frage ersetzt.</x:v>
      </x:c>
      <x:c r="AK481" s="36" t="str">
        <x:v>FaithPath repo develop/v4 · data/stories.json · data/bibles/l1912/ACT.json · data/bibles/otb/ACT.json</x:v>
      </x:c>
      <x:c r="AL481" t="str">
        <x:f>IF(AND(AG481="FREIGEGEBEN",AI481="FREIGEGEBEN",Q481&lt;&gt;"",R481&lt;&gt;"",S481&lt;&gt;"",T481&lt;&gt;"",U481&lt;&gt;"",ISNUMBER(V481),X481&lt;&gt;"",Y481&lt;&gt;"",AA481="JA",AB481="JA",AC481="JA",AD481="JA",AE481="JA",AF481="JA"),"JA","NEIN")</x:f>
        <x:v>JA</x:v>
      </x:c>
    </x:row>
    <x:row r="482">
      <x:c r="A482" t="str">
        <x:v>FP-0741</x:v>
      </x:c>
      <x:c r="B482" t="str">
        <x:v>ACT</x:v>
      </x:c>
      <x:c r="C482" t="str">
        <x:v>Apostelgeschichte</x:v>
      </x:c>
      <x:c r="D482" t="n">
        <x:v>8</x:v>
      </x:c>
      <x:c r="E482" t="n">
        <x:v>1</x:v>
      </x:c>
      <x:c r="F482" t="str">
        <x:v>ACT-008</x:v>
      </x:c>
      <x:c r="G482" t="n">
        <x:v>97</x:v>
      </x:c>
      <x:c r="H482" t="str">
        <x:v>CQ-A05</x:v>
      </x:c>
      <x:c r="I482" s="36" t="str">
        <x:v>Welche dieser Aussagen stammt aus Apostelgeschichte 8?</x:v>
      </x:c>
      <x:c r="J482" s="36" t="str"/>
      <x:c r="K482" s="36" t="str"/>
      <x:c r="L482" s="36" t="str">
        <x:v>REPO_VERIFIZIERT_FRAGEFORM</x:v>
      </x:c>
      <x:c r="M482" s="36" t="str">
        <x:v>ERSETZEN</x:v>
      </x:c>
      <x:c r="N482" s="36" t="str">
        <x:v>REPETITIVE_FRAGEFORM</x:v>
      </x:c>
      <x:c r="O482" s="36" t="str">
        <x:v>REINE_WIEDERERKENNUNG</x:v>
      </x:c>
      <x:c r="P482" s="36" t="str">
        <x:v>ZUSAMMENHANG</x:v>
      </x:c>
      <x:c r="Q482" s="36" t="str">
        <x:v>Welche Wirkung hat die Verfolgung nach dem Tod des Stephanus auf die Verkündigung?</x:v>
      </x:c>
      <x:c r="R482" s="36" t="str">
        <x:v>Die Verkündigung endet vollständig.</x:v>
      </x:c>
      <x:c r="S482" s="36" t="str">
        <x:v>Alle Apostel verlassen sofort Jerusalem.</x:v>
      </x:c>
      <x:c r="T482" s="36" t="str">
        <x:v>Die zerstreuten Gläubigen ziehen umher und verkünden das Wort.</x:v>
      </x:c>
      <x:c r="U482" s="36" t="str">
        <x:v>Nur Saulus predigt weiter.</x:v>
      </x:c>
      <x:c r="V482" s="36" t="n">
        <x:v>2</x:v>
      </x:c>
      <x:c r="W482" s="36" t="str">
        <x:f>CHOOSE(V482+1,R482,S482,T482,U482)</x:f>
        <x:v>Die zerstreuten Gläubigen ziehen umher und verkünden das Wort.</x:v>
      </x:c>
      <x:c r="X482" s="36" t="str">
        <x:v>Apostelgeschichte 8,1–4</x:v>
      </x:c>
      <x:c r="Y482" s="36" t="str">
        <x:v>Die Verfolgung zerstreut Gläubige, aber gerade dadurch verbreitet sich die Botschaft weiter.</x:v>
      </x:c>
      <x:c r="Z482" s="36" t="str">
        <x:v>JA</x:v>
      </x:c>
      <x:c r="AA482" s="36" t="str">
        <x:v>JA</x:v>
      </x:c>
      <x:c r="AB482" s="36" t="str">
        <x:v>JA</x:v>
      </x:c>
      <x:c r="AC482" s="36" t="str">
        <x:v>JA</x:v>
      </x:c>
      <x:c r="AD482" s="36" t="str">
        <x:v>JA</x:v>
      </x:c>
      <x:c r="AE482" s="36" t="str">
        <x:v>JA</x:v>
      </x:c>
      <x:c r="AF482" s="36" t="str">
        <x:v>JA</x:v>
      </x:c>
      <x:c r="AG482" s="36" t="str">
        <x:v>FREIGEGEBEN</x:v>
      </x:c>
      <x:c r="AH482" s="36" t="str">
        <x:v>GPT-5.6 Sol · Buchprüfung Apostelgeschichte · L1912/OTB</x:v>
      </x:c>
      <x:c r="AI482" s="36" t="str">
        <x:v>FREIGEGEBEN</x:v>
      </x:c>
      <x:c r="AJ482" s="36" t="str">
        <x:v>Apostelgeschichte 8: repetitive Wiedererkennungsfrage durch ZUSAMMENHANG-Frage ersetzt.</x:v>
      </x:c>
      <x:c r="AK482" s="36" t="str">
        <x:v>FaithPath repo develop/v4 · data/stories.json · data/bibles/l1912/ACT.json · data/bibles/otb/ACT.json</x:v>
      </x:c>
      <x:c r="AL482" t="str">
        <x:f>IF(AND(AG482="FREIGEGEBEN",AI482="FREIGEGEBEN",Q482&lt;&gt;"",R482&lt;&gt;"",S482&lt;&gt;"",T482&lt;&gt;"",U482&lt;&gt;"",ISNUMBER(V482),X482&lt;&gt;"",Y482&lt;&gt;"",AA482="JA",AB482="JA",AC482="JA",AD482="JA",AE482="JA",AF482="JA"),"JA","NEIN")</x:f>
        <x:v>JA</x:v>
      </x:c>
    </x:row>
    <x:row r="483">
      <x:c r="A483" t="str">
        <x:v>FP-0742</x:v>
      </x:c>
      <x:c r="B483" t="str">
        <x:v>ACT</x:v>
      </x:c>
      <x:c r="C483" t="str">
        <x:v>Apostelgeschichte</x:v>
      </x:c>
      <x:c r="D483" t="n">
        <x:v>8</x:v>
      </x:c>
      <x:c r="E483" t="n">
        <x:v>2</x:v>
      </x:c>
      <x:c r="F483" t="str">
        <x:v>ACT-008</x:v>
      </x:c>
      <x:c r="G483" t="n">
        <x:v>97</x:v>
      </x:c>
      <x:c r="H483" t="str">
        <x:v>CQ-A05</x:v>
      </x:c>
      <x:c r="I483" s="36" t="str">
        <x:v>Welche dieser Aussagen stammt aus Apostelgeschichte 8?</x:v>
      </x:c>
      <x:c r="J483" s="36" t="str"/>
      <x:c r="K483" s="36" t="str"/>
      <x:c r="L483" s="36" t="str">
        <x:v>REPO_VERIFIZIERT_FRAGEFORM</x:v>
      </x:c>
      <x:c r="M483" s="36" t="str">
        <x:v>ERSETZEN</x:v>
      </x:c>
      <x:c r="N483" s="36" t="str">
        <x:v>REPETITIVE_FRAGEFORM</x:v>
      </x:c>
      <x:c r="O483" s="36" t="str">
        <x:v>REINE_WIEDERERKENNUNG</x:v>
      </x:c>
      <x:c r="P483" s="36" t="str">
        <x:v>GESCHEHEN</x:v>
      </x:c>
      <x:c r="Q483" s="36" t="str">
        <x:v>Was geschieht in Samaria durch den Dienst des Philippus?</x:v>
      </x:c>
      <x:c r="R483" s="36" t="str">
        <x:v>Die Stadt weist ihn sofort aus.</x:v>
      </x:c>
      <x:c r="S483" s="36" t="str">
        <x:v>Er gründet dort eine römische Schule.</x:v>
      </x:c>
      <x:c r="T483" s="36" t="str">
        <x:v>Niemand hört auf ihn.</x:v>
      </x:c>
      <x:c r="U483" s="36" t="str">
        <x:v>Menschen hören auf seine Botschaft, unreine Geister fahren aus und viele Kranke werden geheilt.</x:v>
      </x:c>
      <x:c r="V483" s="36" t="n">
        <x:v>3</x:v>
      </x:c>
      <x:c r="W483" s="36" t="str">
        <x:f>CHOOSE(V483+1,R483,S483,T483,U483)</x:f>
        <x:v>Menschen hören auf seine Botschaft, unreine Geister fahren aus und viele Kranke werden geheilt.</x:v>
      </x:c>
      <x:c r="X483" s="36" t="str">
        <x:v>Apostelgeschichte 8,5–13</x:v>
      </x:c>
      <x:c r="Y483" s="36" t="str">
        <x:v>Die Verkündigung Christi wird von Befreiungen und Heilungen begleitet und führt zu großer Freude in der Stadt.</x:v>
      </x:c>
      <x:c r="Z483" s="36" t="str">
        <x:v>JA</x:v>
      </x:c>
      <x:c r="AA483" s="36" t="str">
        <x:v>JA</x:v>
      </x:c>
      <x:c r="AB483" s="36" t="str">
        <x:v>JA</x:v>
      </x:c>
      <x:c r="AC483" s="36" t="str">
        <x:v>JA</x:v>
      </x:c>
      <x:c r="AD483" s="36" t="str">
        <x:v>JA</x:v>
      </x:c>
      <x:c r="AE483" s="36" t="str">
        <x:v>JA</x:v>
      </x:c>
      <x:c r="AF483" s="36" t="str">
        <x:v>JA</x:v>
      </x:c>
      <x:c r="AG483" s="36" t="str">
        <x:v>FREIGEGEBEN</x:v>
      </x:c>
      <x:c r="AH483" s="36" t="str">
        <x:v>GPT-5.6 Sol · Buchprüfung Apostelgeschichte · L1912/OTB</x:v>
      </x:c>
      <x:c r="AI483" s="36" t="str">
        <x:v>FREIGEGEBEN</x:v>
      </x:c>
      <x:c r="AJ483" s="36" t="str">
        <x:v>Apostelgeschichte 8: repetitive Wiedererkennungsfrage durch GESCHEHEN-Frage ersetzt.</x:v>
      </x:c>
      <x:c r="AK483" s="36" t="str">
        <x:v>FaithPath repo develop/v4 · data/stories.json · data/bibles/l1912/ACT.json · data/bibles/otb/ACT.json</x:v>
      </x:c>
      <x:c r="AL483" t="str">
        <x:f>IF(AND(AG483="FREIGEGEBEN",AI483="FREIGEGEBEN",Q483&lt;&gt;"",R483&lt;&gt;"",S483&lt;&gt;"",T483&lt;&gt;"",U483&lt;&gt;"",ISNUMBER(V483),X483&lt;&gt;"",Y483&lt;&gt;"",AA483="JA",AB483="JA",AC483="JA",AD483="JA",AE483="JA",AF483="JA"),"JA","NEIN")</x:f>
        <x:v>JA</x:v>
      </x:c>
    </x:row>
    <x:row r="484">
      <x:c r="A484" t="str">
        <x:v>FP-0743</x:v>
      </x:c>
      <x:c r="B484" t="str">
        <x:v>ACT</x:v>
      </x:c>
      <x:c r="C484" t="str">
        <x:v>Apostelgeschichte</x:v>
      </x:c>
      <x:c r="D484" t="n">
        <x:v>8</x:v>
      </x:c>
      <x:c r="E484" t="n">
        <x:v>3</x:v>
      </x:c>
      <x:c r="F484" t="str">
        <x:v>ACT-008</x:v>
      </x:c>
      <x:c r="G484" t="n">
        <x:v>97</x:v>
      </x:c>
      <x:c r="H484" t="str">
        <x:v>CQ-A05</x:v>
      </x:c>
      <x:c r="I484" s="36" t="str">
        <x:v>Welche dieser Aussagen stammt aus Apostelgeschichte 8?</x:v>
      </x:c>
      <x:c r="J484" s="36" t="str"/>
      <x:c r="K484" s="36" t="str"/>
      <x:c r="L484" s="36" t="str">
        <x:v>REPO_VERIFIZIERT_FRAGEFORM</x:v>
      </x:c>
      <x:c r="M484" s="36" t="str">
        <x:v>ERSETZEN</x:v>
      </x:c>
      <x:c r="N484" s="36" t="str">
        <x:v>REPETITIVE_FRAGEFORM</x:v>
      </x:c>
      <x:c r="O484" s="36" t="str">
        <x:v>REINE_WIEDERERKENNUNG</x:v>
      </x:c>
      <x:c r="P484" s="36" t="str">
        <x:v>KERNAUSSAGE</x:v>
      </x:c>
      <x:c r="Q484" s="36" t="str">
        <x:v>Was ist an Simons Versuch problematisch, die Gabe Gottes mit Geld zu erwerben?</x:v>
      </x:c>
      <x:c r="R484" s="36" t="str">
        <x:v>Er behandelt Gottes Gabe wie etwas Käufliches und zeigt eine falsche Herzenshaltung.</x:v>
      </x:c>
      <x:c r="S484" s="36" t="str">
        <x:v>Er bietet zu wenig Geld an.</x:v>
      </x:c>
      <x:c r="T484" s="36" t="str">
        <x:v>Nur Apostel dürfen überhaupt Geld besitzen.</x:v>
      </x:c>
      <x:c r="U484" s="36" t="str">
        <x:v>Die Gabe ist grundsätzlich verkäuflich.</x:v>
      </x:c>
      <x:c r="V484" s="36" t="n">
        <x:v>0</x:v>
      </x:c>
      <x:c r="W484" s="36" t="str">
        <x:f>CHOOSE(V484+1,R484,S484,T484,U484)</x:f>
        <x:v>Er behandelt Gottes Gabe wie etwas Käufliches und zeigt eine falsche Herzenshaltung.</x:v>
      </x:c>
      <x:c r="X484" s="36" t="str">
        <x:v>Apostelgeschichte 8,14–24</x:v>
      </x:c>
      <x:c r="Y484" s="36" t="str">
        <x:v>Petrus weist Simons Denken scharf zurück, weil Gottes Gabe nicht durch Geld erworben werden kann.</x:v>
      </x:c>
      <x:c r="Z484" s="36" t="str">
        <x:v>JA</x:v>
      </x:c>
      <x:c r="AA484" s="36" t="str">
        <x:v>JA</x:v>
      </x:c>
      <x:c r="AB484" s="36" t="str">
        <x:v>JA</x:v>
      </x:c>
      <x:c r="AC484" s="36" t="str">
        <x:v>JA</x:v>
      </x:c>
      <x:c r="AD484" s="36" t="str">
        <x:v>JA</x:v>
      </x:c>
      <x:c r="AE484" s="36" t="str">
        <x:v>JA</x:v>
      </x:c>
      <x:c r="AF484" s="36" t="str">
        <x:v>JA</x:v>
      </x:c>
      <x:c r="AG484" s="36" t="str">
        <x:v>FREIGEGEBEN</x:v>
      </x:c>
      <x:c r="AH484" s="36" t="str">
        <x:v>GPT-5.6 Sol · Buchprüfung Apostelgeschichte · L1912/OTB</x:v>
      </x:c>
      <x:c r="AI484" s="36" t="str">
        <x:v>FREIGEGEBEN</x:v>
      </x:c>
      <x:c r="AJ484" s="36" t="str">
        <x:v>Apostelgeschichte 8: repetitive Wiedererkennungsfrage durch KERNAUSSAGE-Frage ersetzt.</x:v>
      </x:c>
      <x:c r="AK484" s="36" t="str">
        <x:v>FaithPath repo develop/v4 · data/stories.json · data/bibles/l1912/ACT.json · data/bibles/otb/ACT.json</x:v>
      </x:c>
      <x:c r="AL484" t="str">
        <x:f>IF(AND(AG484="FREIGEGEBEN",AI484="FREIGEGEBEN",Q484&lt;&gt;"",R484&lt;&gt;"",S484&lt;&gt;"",T484&lt;&gt;"",U484&lt;&gt;"",ISNUMBER(V484),X484&lt;&gt;"",Y484&lt;&gt;"",AA484="JA",AB484="JA",AC484="JA",AD484="JA",AE484="JA",AF484="JA"),"JA","NEIN")</x:f>
        <x:v>JA</x:v>
      </x:c>
    </x:row>
    <x:row r="485">
      <x:c r="A485" t="str">
        <x:v>FP-0744</x:v>
      </x:c>
      <x:c r="B485" t="str">
        <x:v>ACT</x:v>
      </x:c>
      <x:c r="C485" t="str">
        <x:v>Apostelgeschichte</x:v>
      </x:c>
      <x:c r="D485" t="n">
        <x:v>8</x:v>
      </x:c>
      <x:c r="E485" t="n">
        <x:v>4</x:v>
      </x:c>
      <x:c r="F485" t="str">
        <x:v>ACT-008</x:v>
      </x:c>
      <x:c r="G485" t="n">
        <x:v>97</x:v>
      </x:c>
      <x:c r="H485" t="str">
        <x:v>CQ-A05</x:v>
      </x:c>
      <x:c r="I485" s="36" t="str">
        <x:v>Welche dieser Aussagen stammt aus Apostelgeschichte 8?</x:v>
      </x:c>
      <x:c r="J485" s="36" t="str"/>
      <x:c r="K485" s="36" t="str"/>
      <x:c r="L485" s="36" t="str">
        <x:v>REPO_VERIFIZIERT_FRAGEFORM</x:v>
      </x:c>
      <x:c r="M485" s="36" t="str">
        <x:v>ERSETZEN</x:v>
      </x:c>
      <x:c r="N485" s="36" t="str">
        <x:v>REPETITIVE_FRAGEFORM</x:v>
      </x:c>
      <x:c r="O485" s="36" t="str">
        <x:v>REINE_WIEDERERKENNUNG</x:v>
      </x:c>
      <x:c r="P485" s="36" t="str">
        <x:v>ZUSAMMENHANG</x:v>
      </x:c>
      <x:c r="Q485" s="36" t="str">
        <x:v>Welche Schriftstelle liest der äthiopische Kämmerer, als Philippus zu ihm kommt?</x:v>
      </x:c>
      <x:c r="R485" s="36" t="str">
        <x:v>Die Zehn Gebote.</x:v>
      </x:c>
      <x:c r="S485" s="36" t="str">
        <x:v>Eine Stelle aus Jesaja über den leidenden, wie ein Schaf geführten Knecht.</x:v>
      </x:c>
      <x:c r="T485" s="36" t="str">
        <x:v>Den Schöpfungsbericht.</x:v>
      </x:c>
      <x:c r="U485" s="36" t="str">
        <x:v>Ein Gebet Davids über Jerusalem.</x:v>
      </x:c>
      <x:c r="V485" s="36" t="n">
        <x:v>1</x:v>
      </x:c>
      <x:c r="W485" s="36" t="str">
        <x:f>CHOOSE(V485+1,R485,S485,T485,U485)</x:f>
        <x:v>Eine Stelle aus Jesaja über den leidenden, wie ein Schaf geführten Knecht.</x:v>
      </x:c>
      <x:c r="X485" s="36" t="str">
        <x:v>Apostelgeschichte 8,26–35</x:v>
      </x:c>
      <x:c r="Y485" s="36" t="str">
        <x:v>Philippus setzt bei der gelesenen Jesajastelle an und verkündet dem Kämmerer von dort aus Jesus.</x:v>
      </x:c>
      <x:c r="Z485" s="36" t="str">
        <x:v>JA</x:v>
      </x:c>
      <x:c r="AA485" s="36" t="str">
        <x:v>JA</x:v>
      </x:c>
      <x:c r="AB485" s="36" t="str">
        <x:v>JA</x:v>
      </x:c>
      <x:c r="AC485" s="36" t="str">
        <x:v>JA</x:v>
      </x:c>
      <x:c r="AD485" s="36" t="str">
        <x:v>JA</x:v>
      </x:c>
      <x:c r="AE485" s="36" t="str">
        <x:v>JA</x:v>
      </x:c>
      <x:c r="AF485" s="36" t="str">
        <x:v>JA</x:v>
      </x:c>
      <x:c r="AG485" s="36" t="str">
        <x:v>FREIGEGEBEN</x:v>
      </x:c>
      <x:c r="AH485" s="36" t="str">
        <x:v>GPT-5.6 Sol · Buchprüfung Apostelgeschichte · L1912/OTB</x:v>
      </x:c>
      <x:c r="AI485" s="36" t="str">
        <x:v>FREIGEGEBEN</x:v>
      </x:c>
      <x:c r="AJ485" s="36" t="str">
        <x:v>Apostelgeschichte 8: repetitive Wiedererkennungsfrage durch ZUSAMMENHANG-Frage ersetzt.</x:v>
      </x:c>
      <x:c r="AK485" s="36" t="str">
        <x:v>FaithPath repo develop/v4 · data/stories.json · data/bibles/l1912/ACT.json · data/bibles/otb/ACT.json</x:v>
      </x:c>
      <x:c r="AL485" t="str">
        <x:f>IF(AND(AG485="FREIGEGEBEN",AI485="FREIGEGEBEN",Q485&lt;&gt;"",R485&lt;&gt;"",S485&lt;&gt;"",T485&lt;&gt;"",U485&lt;&gt;"",ISNUMBER(V485),X485&lt;&gt;"",Y485&lt;&gt;"",AA485="JA",AB485="JA",AC485="JA",AD485="JA",AE485="JA",AF485="JA"),"JA","NEIN")</x:f>
        <x:v>JA</x:v>
      </x:c>
    </x:row>
    <x:row r="486">
      <x:c r="A486" t="str">
        <x:v>FP-0745</x:v>
      </x:c>
      <x:c r="B486" t="str">
        <x:v>ACT</x:v>
      </x:c>
      <x:c r="C486" t="str">
        <x:v>Apostelgeschichte</x:v>
      </x:c>
      <x:c r="D486" t="n">
        <x:v>8</x:v>
      </x:c>
      <x:c r="E486" t="n">
        <x:v>5</x:v>
      </x:c>
      <x:c r="F486" t="str">
        <x:v>ACT-008</x:v>
      </x:c>
      <x:c r="G486" t="n">
        <x:v>97</x:v>
      </x:c>
      <x:c r="H486" t="str">
        <x:v>CQ-A05</x:v>
      </x:c>
      <x:c r="I486" s="36" t="str">
        <x:v>Welche dieser Aussagen stammt aus Apostelgeschichte 8?</x:v>
      </x:c>
      <x:c r="J486" s="36" t="str"/>
      <x:c r="K486" s="36" t="str"/>
      <x:c r="L486" s="36" t="str">
        <x:v>REPO_VERIFIZIERT_FRAGEFORM</x:v>
      </x:c>
      <x:c r="M486" s="36" t="str">
        <x:v>ERSETZEN</x:v>
      </x:c>
      <x:c r="N486" s="36" t="str">
        <x:v>REPETITIVE_FRAGEFORM</x:v>
      </x:c>
      <x:c r="O486" s="36" t="str">
        <x:v>REINE_WIEDERERKENNUNG</x:v>
      </x:c>
      <x:c r="P486" s="36" t="str">
        <x:v>GESCHEHEN</x:v>
      </x:c>
      <x:c r="Q486" s="36" t="str">
        <x:v>Was geschieht, als Philippus und der Kämmerer an Wasser vorbeikommen?</x:v>
      </x:c>
      <x:c r="R486" s="36" t="str">
        <x:v>Philippus verweigert die Taufe.</x:v>
      </x:c>
      <x:c r="S486" s="36" t="str">
        <x:v>Beide kehren nach Jerusalem zurück.</x:v>
      </x:c>
      <x:c r="T486" s="36" t="str">
        <x:v>Der Kämmerer lässt sich taufen; danach führt der Geist Philippus weg.</x:v>
      </x:c>
      <x:c r="U486" s="36" t="str">
        <x:v>Der Wagen wird zerstört.</x:v>
      </x:c>
      <x:c r="V486" s="36" t="n">
        <x:v>2</x:v>
      </x:c>
      <x:c r="W486" s="36" t="str">
        <x:f>CHOOSE(V486+1,R486,S486,T486,U486)</x:f>
        <x:v>Der Kämmerer lässt sich taufen; danach führt der Geist Philippus weg.</x:v>
      </x:c>
      <x:c r="X486" s="36" t="str">
        <x:v>Apostelgeschichte 8,36–40</x:v>
      </x:c>
      <x:c r="Y486" s="36" t="str">
        <x:v>Der Kämmerer wird getauft und zieht freudig weiter, während Philippus an einen anderen Ort geführt wird.</x:v>
      </x:c>
      <x:c r="Z486" s="36" t="str">
        <x:v>JA</x:v>
      </x:c>
      <x:c r="AA486" s="36" t="str">
        <x:v>JA</x:v>
      </x:c>
      <x:c r="AB486" s="36" t="str">
        <x:v>JA</x:v>
      </x:c>
      <x:c r="AC486" s="36" t="str">
        <x:v>JA</x:v>
      </x:c>
      <x:c r="AD486" s="36" t="str">
        <x:v>JA</x:v>
      </x:c>
      <x:c r="AE486" s="36" t="str">
        <x:v>JA</x:v>
      </x:c>
      <x:c r="AF486" s="36" t="str">
        <x:v>JA</x:v>
      </x:c>
      <x:c r="AG486" s="36" t="str">
        <x:v>FREIGEGEBEN</x:v>
      </x:c>
      <x:c r="AH486" s="36" t="str">
        <x:v>GPT-5.6 Sol · Buchprüfung Apostelgeschichte · L1912/OTB</x:v>
      </x:c>
      <x:c r="AI486" s="36" t="str">
        <x:v>FREIGEGEBEN</x:v>
      </x:c>
      <x:c r="AJ486" s="36" t="str">
        <x:v>Apostelgeschichte 8: repetitive Wiedererkennungsfrage durch GESCHEHEN-Frage ersetzt.</x:v>
      </x:c>
      <x:c r="AK486" s="36" t="str">
        <x:v>FaithPath repo develop/v4 · data/stories.json · data/bibles/l1912/ACT.json · data/bibles/otb/ACT.json</x:v>
      </x:c>
      <x:c r="AL486" t="str">
        <x:f>IF(AND(AG486="FREIGEGEBEN",AI486="FREIGEGEBEN",Q486&lt;&gt;"",R486&lt;&gt;"",S486&lt;&gt;"",T486&lt;&gt;"",U486&lt;&gt;"",ISNUMBER(V486),X486&lt;&gt;"",Y486&lt;&gt;"",AA486="JA",AB486="JA",AC486="JA",AD486="JA",AE486="JA",AF486="JA"),"JA","NEIN")</x:f>
        <x:v>JA</x:v>
      </x:c>
    </x:row>
    <x:row r="487">
      <x:c r="A487" t="str">
        <x:v>FP-0746</x:v>
      </x:c>
      <x:c r="B487" t="str">
        <x:v>ACT</x:v>
      </x:c>
      <x:c r="C487" t="str">
        <x:v>Apostelgeschichte</x:v>
      </x:c>
      <x:c r="D487" t="n">
        <x:v>9</x:v>
      </x:c>
      <x:c r="E487" t="n">
        <x:v>1</x:v>
      </x:c>
      <x:c r="F487" t="str">
        <x:v>ACT-009</x:v>
      </x:c>
      <x:c r="G487" t="n">
        <x:v>98</x:v>
      </x:c>
      <x:c r="H487" t="str">
        <x:v>CQ-A05</x:v>
      </x:c>
      <x:c r="I487" s="36" t="str">
        <x:v>Welche dieser Aussagen stammt aus Apostelgeschichte 9?</x:v>
      </x:c>
      <x:c r="J487" s="36" t="str"/>
      <x:c r="K487" s="36" t="str"/>
      <x:c r="L487" s="36" t="str">
        <x:v>REPO_VERIFIZIERT_FRAGEFORM</x:v>
      </x:c>
      <x:c r="M487" s="36" t="str">
        <x:v>ERSETZEN</x:v>
      </x:c>
      <x:c r="N487" s="36" t="str">
        <x:v>REPETITIVE_FRAGEFORM</x:v>
      </x:c>
      <x:c r="O487" s="36" t="str">
        <x:v>REINE_WIEDERERKENNUNG</x:v>
      </x:c>
      <x:c r="P487" s="36" t="str">
        <x:v>GESCHEHEN</x:v>
      </x:c>
      <x:c r="Q487" s="36" t="str">
        <x:v>Was erlebt Saulus auf dem Weg nach Damaskus?</x:v>
      </x:c>
      <x:c r="R487" s="36" t="str">
        <x:v>Er trifft Petrus auf der Straße.</x:v>
      </x:c>
      <x:c r="S487" s="36" t="str">
        <x:v>Er wird von Räubern überfallen.</x:v>
      </x:c>
      <x:c r="T487" s="36" t="str">
        <x:v>Er erhält einen Brief aus Jerusalem.</x:v>
      </x:c>
      <x:c r="U487" s="36" t="str">
        <x:v>Ein Licht vom Himmel umstrahlt ihn, und Jesus spricht zu ihm.</x:v>
      </x:c>
      <x:c r="V487" s="36" t="n">
        <x:v>3</x:v>
      </x:c>
      <x:c r="W487" s="36" t="str">
        <x:f>CHOOSE(V487+1,R487,S487,T487,U487)</x:f>
        <x:v>Ein Licht vom Himmel umstrahlt ihn, und Jesus spricht zu ihm.</x:v>
      </x:c>
      <x:c r="X487" s="36" t="str">
        <x:v>Apostelgeschichte 9,1–9</x:v>
      </x:c>
      <x:c r="Y487" s="36" t="str">
        <x:v>Saulus wird auf dem Weg durch die Erscheinung Jesu gestoppt und ist anschließend für drei Tage blind.</x:v>
      </x:c>
      <x:c r="Z487" s="36" t="str">
        <x:v>JA</x:v>
      </x:c>
      <x:c r="AA487" s="36" t="str">
        <x:v>JA</x:v>
      </x:c>
      <x:c r="AB487" s="36" t="str">
        <x:v>JA</x:v>
      </x:c>
      <x:c r="AC487" s="36" t="str">
        <x:v>JA</x:v>
      </x:c>
      <x:c r="AD487" s="36" t="str">
        <x:v>JA</x:v>
      </x:c>
      <x:c r="AE487" s="36" t="str">
        <x:v>JA</x:v>
      </x:c>
      <x:c r="AF487" s="36" t="str">
        <x:v>JA</x:v>
      </x:c>
      <x:c r="AG487" s="36" t="str">
        <x:v>FREIGEGEBEN</x:v>
      </x:c>
      <x:c r="AH487" s="36" t="str">
        <x:v>GPT-5.6 Sol · Buchprüfung Apostelgeschichte · L1912/OTB</x:v>
      </x:c>
      <x:c r="AI487" s="36" t="str">
        <x:v>FREIGEGEBEN</x:v>
      </x:c>
      <x:c r="AJ487" s="36" t="str">
        <x:v>Apostelgeschichte 9: repetitive Wiedererkennungsfrage durch GESCHEHEN-Frage ersetzt.</x:v>
      </x:c>
      <x:c r="AK487" s="36" t="str">
        <x:v>FaithPath repo develop/v4 · data/stories.json · data/bibles/l1912/ACT.json · data/bibles/otb/ACT.json</x:v>
      </x:c>
      <x:c r="AL487" t="str">
        <x:f>IF(AND(AG487="FREIGEGEBEN",AI487="FREIGEGEBEN",Q487&lt;&gt;"",R487&lt;&gt;"",S487&lt;&gt;"",T487&lt;&gt;"",U487&lt;&gt;"",ISNUMBER(V487),X487&lt;&gt;"",Y487&lt;&gt;"",AA487="JA",AB487="JA",AC487="JA",AD487="JA",AE487="JA",AF487="JA"),"JA","NEIN")</x:f>
        <x:v>JA</x:v>
      </x:c>
    </x:row>
    <x:row r="488">
      <x:c r="A488" t="str">
        <x:v>FP-0747</x:v>
      </x:c>
      <x:c r="B488" t="str">
        <x:v>ACT</x:v>
      </x:c>
      <x:c r="C488" t="str">
        <x:v>Apostelgeschichte</x:v>
      </x:c>
      <x:c r="D488" t="n">
        <x:v>9</x:v>
      </x:c>
      <x:c r="E488" t="n">
        <x:v>2</x:v>
      </x:c>
      <x:c r="F488" t="str">
        <x:v>ACT-009</x:v>
      </x:c>
      <x:c r="G488" t="n">
        <x:v>98</x:v>
      </x:c>
      <x:c r="H488" t="str">
        <x:v>CQ-A05</x:v>
      </x:c>
      <x:c r="I488" s="36" t="str">
        <x:v>Welche dieser Aussagen stammt aus Apostelgeschichte 9?</x:v>
      </x:c>
      <x:c r="J488" s="36" t="str"/>
      <x:c r="K488" s="36" t="str"/>
      <x:c r="L488" s="36" t="str">
        <x:v>REPO_VERIFIZIERT_FRAGEFORM</x:v>
      </x:c>
      <x:c r="M488" s="36" t="str">
        <x:v>ERSETZEN</x:v>
      </x:c>
      <x:c r="N488" s="36" t="str">
        <x:v>REPETITIVE_FRAGEFORM</x:v>
      </x:c>
      <x:c r="O488" s="36" t="str">
        <x:v>REINE_WIEDERERKENNUNG</x:v>
      </x:c>
      <x:c r="P488" s="36" t="str">
        <x:v>ZUSAMMENHANG</x:v>
      </x:c>
      <x:c r="Q488" s="36" t="str">
        <x:v>Warum soll Hananias trotz seiner Angst zu Saulus gehen?</x:v>
      </x:c>
      <x:c r="R488" s="36" t="str">
        <x:v>Der Herr hat Saulus als ausgewähltes Werkzeug bestimmt, seinen Namen vor Völker und Könige zu tragen.</x:v>
      </x:c>
      <x:c r="S488" s="36" t="str">
        <x:v>Saulus hat Hananias Geld versprochen.</x:v>
      </x:c>
      <x:c r="T488" s="36" t="str">
        <x:v>Petrus befiehlt es ohne Begründung.</x:v>
      </x:c>
      <x:c r="U488" s="36" t="str">
        <x:v>Saulus soll sofort nach Jerusalem gebracht werden.</x:v>
      </x:c>
      <x:c r="V488" s="36" t="n">
        <x:v>0</x:v>
      </x:c>
      <x:c r="W488" s="36" t="str">
        <x:f>CHOOSE(V488+1,R488,S488,T488,U488)</x:f>
        <x:v>Der Herr hat Saulus als ausgewähltes Werkzeug bestimmt, seinen Namen vor Völker und Könige zu tragen.</x:v>
      </x:c>
      <x:c r="X488" s="36" t="str">
        <x:v>Apostelgeschichte 9,10–19</x:v>
      </x:c>
      <x:c r="Y488" s="36" t="str">
        <x:v>Der Herr erklärt Hananias, dass Saulus eine besondere Sendung erhalten hat; Hananias gehorcht und legt ihm die Hände auf.</x:v>
      </x:c>
      <x:c r="Z488" s="36" t="str">
        <x:v>JA</x:v>
      </x:c>
      <x:c r="AA488" s="36" t="str">
        <x:v>JA</x:v>
      </x:c>
      <x:c r="AB488" s="36" t="str">
        <x:v>JA</x:v>
      </x:c>
      <x:c r="AC488" s="36" t="str">
        <x:v>JA</x:v>
      </x:c>
      <x:c r="AD488" s="36" t="str">
        <x:v>JA</x:v>
      </x:c>
      <x:c r="AE488" s="36" t="str">
        <x:v>JA</x:v>
      </x:c>
      <x:c r="AF488" s="36" t="str">
        <x:v>JA</x:v>
      </x:c>
      <x:c r="AG488" s="36" t="str">
        <x:v>FREIGEGEBEN</x:v>
      </x:c>
      <x:c r="AH488" s="36" t="str">
        <x:v>GPT-5.6 Sol · Buchprüfung Apostelgeschichte · L1912/OTB</x:v>
      </x:c>
      <x:c r="AI488" s="36" t="str">
        <x:v>FREIGEGEBEN</x:v>
      </x:c>
      <x:c r="AJ488" s="36" t="str">
        <x:v>Apostelgeschichte 9: repetitive Wiedererkennungsfrage durch ZUSAMMENHANG-Frage ersetzt.</x:v>
      </x:c>
      <x:c r="AK488" s="36" t="str">
        <x:v>FaithPath repo develop/v4 · data/stories.json · data/bibles/l1912/ACT.json · data/bibles/otb/ACT.json</x:v>
      </x:c>
      <x:c r="AL488" t="str">
        <x:f>IF(AND(AG488="FREIGEGEBEN",AI488="FREIGEGEBEN",Q488&lt;&gt;"",R488&lt;&gt;"",S488&lt;&gt;"",T488&lt;&gt;"",U488&lt;&gt;"",ISNUMBER(V488),X488&lt;&gt;"",Y488&lt;&gt;"",AA488="JA",AB488="JA",AC488="JA",AD488="JA",AE488="JA",AF488="JA"),"JA","NEIN")</x:f>
        <x:v>JA</x:v>
      </x:c>
    </x:row>
    <x:row r="489">
      <x:c r="A489" t="str">
        <x:v>FP-0748</x:v>
      </x:c>
      <x:c r="B489" t="str">
        <x:v>ACT</x:v>
      </x:c>
      <x:c r="C489" t="str">
        <x:v>Apostelgeschichte</x:v>
      </x:c>
      <x:c r="D489" t="n">
        <x:v>9</x:v>
      </x:c>
      <x:c r="E489" t="n">
        <x:v>3</x:v>
      </x:c>
      <x:c r="F489" t="str">
        <x:v>ACT-009</x:v>
      </x:c>
      <x:c r="G489" t="n">
        <x:v>98</x:v>
      </x:c>
      <x:c r="H489" t="str">
        <x:v>CQ-A05</x:v>
      </x:c>
      <x:c r="I489" s="36" t="str">
        <x:v>Welche dieser Aussagen stammt aus Apostelgeschichte 9?</x:v>
      </x:c>
      <x:c r="J489" s="36" t="str"/>
      <x:c r="K489" s="36" t="str"/>
      <x:c r="L489" s="36" t="str">
        <x:v>REPO_VERIFIZIERT_FRAGEFORM</x:v>
      </x:c>
      <x:c r="M489" s="36" t="str">
        <x:v>ERSETZEN</x:v>
      </x:c>
      <x:c r="N489" s="36" t="str">
        <x:v>REPETITIVE_FRAGEFORM</x:v>
      </x:c>
      <x:c r="O489" s="36" t="str">
        <x:v>REINE_WIEDERERKENNUNG</x:v>
      </x:c>
      <x:c r="P489" s="36" t="str">
        <x:v>GESCHEHEN</x:v>
      </x:c>
      <x:c r="Q489" s="36" t="str">
        <x:v>Was verkündet Saulus kurz nach seiner Bekehrung in den Synagogen?</x:v>
      </x:c>
      <x:c r="R489" s="36" t="str">
        <x:v>Dass Jesus nie auferstanden sei.</x:v>
      </x:c>
      <x:c r="S489" s="36" t="str">
        <x:v>Dass Jesus der Sohn Gottes ist.</x:v>
      </x:c>
      <x:c r="T489" s="36" t="str">
        <x:v>Dass nur Mose wichtig sei.</x:v>
      </x:c>
      <x:c r="U489" s="36" t="str">
        <x:v>Dass die Christen verfolgt werden müssten.</x:v>
      </x:c>
      <x:c r="V489" s="36" t="n">
        <x:v>1</x:v>
      </x:c>
      <x:c r="W489" s="36" t="str">
        <x:f>CHOOSE(V489+1,R489,S489,T489,U489)</x:f>
        <x:v>Dass Jesus der Sohn Gottes ist.</x:v>
      </x:c>
      <x:c r="X489" s="36" t="str">
        <x:v>Apostelgeschichte 9,20–25</x:v>
      </x:c>
      <x:c r="Y489" s="36" t="str">
        <x:v>Saulus beginnt unmittelbar, Jesus zu verkündigen, und muss später wegen eines Anschlags aus Damaskus fliehen.</x:v>
      </x:c>
      <x:c r="Z489" s="36" t="str">
        <x:v>JA</x:v>
      </x:c>
      <x:c r="AA489" s="36" t="str">
        <x:v>JA</x:v>
      </x:c>
      <x:c r="AB489" s="36" t="str">
        <x:v>JA</x:v>
      </x:c>
      <x:c r="AC489" s="36" t="str">
        <x:v>JA</x:v>
      </x:c>
      <x:c r="AD489" s="36" t="str">
        <x:v>JA</x:v>
      </x:c>
      <x:c r="AE489" s="36" t="str">
        <x:v>JA</x:v>
      </x:c>
      <x:c r="AF489" s="36" t="str">
        <x:v>JA</x:v>
      </x:c>
      <x:c r="AG489" s="36" t="str">
        <x:v>FREIGEGEBEN</x:v>
      </x:c>
      <x:c r="AH489" s="36" t="str">
        <x:v>GPT-5.6 Sol · Buchprüfung Apostelgeschichte · L1912/OTB</x:v>
      </x:c>
      <x:c r="AI489" s="36" t="str">
        <x:v>FREIGEGEBEN</x:v>
      </x:c>
      <x:c r="AJ489" s="36" t="str">
        <x:v>Apostelgeschichte 9: repetitive Wiedererkennungsfrage durch GESCHEHEN-Frage ersetzt.</x:v>
      </x:c>
      <x:c r="AK489" s="36" t="str">
        <x:v>FaithPath repo develop/v4 · data/stories.json · data/bibles/l1912/ACT.json · data/bibles/otb/ACT.json</x:v>
      </x:c>
      <x:c r="AL489" t="str">
        <x:f>IF(AND(AG489="FREIGEGEBEN",AI489="FREIGEGEBEN",Q489&lt;&gt;"",R489&lt;&gt;"",S489&lt;&gt;"",T489&lt;&gt;"",U489&lt;&gt;"",ISNUMBER(V489),X489&lt;&gt;"",Y489&lt;&gt;"",AA489="JA",AB489="JA",AC489="JA",AD489="JA",AE489="JA",AF489="JA"),"JA","NEIN")</x:f>
        <x:v>JA</x:v>
      </x:c>
    </x:row>
    <x:row r="490">
      <x:c r="A490" t="str">
        <x:v>FP-0749</x:v>
      </x:c>
      <x:c r="B490" t="str">
        <x:v>ACT</x:v>
      </x:c>
      <x:c r="C490" t="str">
        <x:v>Apostelgeschichte</x:v>
      </x:c>
      <x:c r="D490" t="n">
        <x:v>9</x:v>
      </x:c>
      <x:c r="E490" t="n">
        <x:v>4</x:v>
      </x:c>
      <x:c r="F490" t="str">
        <x:v>ACT-009</x:v>
      </x:c>
      <x:c r="G490" t="n">
        <x:v>98</x:v>
      </x:c>
      <x:c r="H490" t="str">
        <x:v>CQ-A05</x:v>
      </x:c>
      <x:c r="I490" s="36" t="str">
        <x:v>Welche dieser Aussagen stammt aus Apostelgeschichte 9?</x:v>
      </x:c>
      <x:c r="J490" s="36" t="str"/>
      <x:c r="K490" s="36" t="str"/>
      <x:c r="L490" s="36" t="str">
        <x:v>REPO_VERIFIZIERT_FRAGEFORM</x:v>
      </x:c>
      <x:c r="M490" s="36" t="str">
        <x:v>ERSETZEN</x:v>
      </x:c>
      <x:c r="N490" s="36" t="str">
        <x:v>REPETITIVE_FRAGEFORM</x:v>
      </x:c>
      <x:c r="O490" s="36" t="str">
        <x:v>REINE_WIEDERERKENNUNG</x:v>
      </x:c>
      <x:c r="P490" s="36" t="str">
        <x:v>GESCHEHEN</x:v>
      </x:c>
      <x:c r="Q490" s="36" t="str">
        <x:v>Was geschieht mit Äneas in Lydda?</x:v>
      </x:c>
      <x:c r="R490" s="36" t="str">
        <x:v>Er bleibt gelähmt.</x:v>
      </x:c>
      <x:c r="S490" s="36" t="str">
        <x:v>Er wird nach Jerusalem getragen.</x:v>
      </x:c>
      <x:c r="T490" s="36" t="str">
        <x:v>Petrus sagt ihm, Jesus Christus heile ihn, und er steht auf.</x:v>
      </x:c>
      <x:c r="U490" s="36" t="str">
        <x:v>Saulus heilt ihn.</x:v>
      </x:c>
      <x:c r="V490" s="36" t="n">
        <x:v>2</x:v>
      </x:c>
      <x:c r="W490" s="36" t="str">
        <x:f>CHOOSE(V490+1,R490,S490,T490,U490)</x:f>
        <x:v>Petrus sagt ihm, Jesus Christus heile ihn, und er steht auf.</x:v>
      </x:c>
      <x:c r="X490" s="36" t="str">
        <x:v>Apostelgeschichte 9,32–35</x:v>
      </x:c>
      <x:c r="Y490" s="36" t="str">
        <x:v>Petrus spricht die Heilung im Namen Jesu Christi aus, und Äneas steht auf.</x:v>
      </x:c>
      <x:c r="Z490" s="36" t="str">
        <x:v>JA</x:v>
      </x:c>
      <x:c r="AA490" s="36" t="str">
        <x:v>JA</x:v>
      </x:c>
      <x:c r="AB490" s="36" t="str">
        <x:v>JA</x:v>
      </x:c>
      <x:c r="AC490" s="36" t="str">
        <x:v>JA</x:v>
      </x:c>
      <x:c r="AD490" s="36" t="str">
        <x:v>JA</x:v>
      </x:c>
      <x:c r="AE490" s="36" t="str">
        <x:v>JA</x:v>
      </x:c>
      <x:c r="AF490" s="36" t="str">
        <x:v>JA</x:v>
      </x:c>
      <x:c r="AG490" s="36" t="str">
        <x:v>FREIGEGEBEN</x:v>
      </x:c>
      <x:c r="AH490" s="36" t="str">
        <x:v>GPT-5.6 Sol · Buchprüfung Apostelgeschichte · L1912/OTB</x:v>
      </x:c>
      <x:c r="AI490" s="36" t="str">
        <x:v>FREIGEGEBEN</x:v>
      </x:c>
      <x:c r="AJ490" s="36" t="str">
        <x:v>Apostelgeschichte 9: repetitive Wiedererkennungsfrage durch GESCHEHEN-Frage ersetzt.</x:v>
      </x:c>
      <x:c r="AK490" s="36" t="str">
        <x:v>FaithPath repo develop/v4 · data/stories.json · data/bibles/l1912/ACT.json · data/bibles/otb/ACT.json</x:v>
      </x:c>
      <x:c r="AL490" t="str">
        <x:f>IF(AND(AG490="FREIGEGEBEN",AI490="FREIGEGEBEN",Q490&lt;&gt;"",R490&lt;&gt;"",S490&lt;&gt;"",T490&lt;&gt;"",U490&lt;&gt;"",ISNUMBER(V490),X490&lt;&gt;"",Y490&lt;&gt;"",AA490="JA",AB490="JA",AC490="JA",AD490="JA",AE490="JA",AF490="JA"),"JA","NEIN")</x:f>
        <x:v>JA</x:v>
      </x:c>
    </x:row>
    <x:row r="491">
      <x:c r="A491" t="str">
        <x:v>FP-0750</x:v>
      </x:c>
      <x:c r="B491" t="str">
        <x:v>ACT</x:v>
      </x:c>
      <x:c r="C491" t="str">
        <x:v>Apostelgeschichte</x:v>
      </x:c>
      <x:c r="D491" t="n">
        <x:v>9</x:v>
      </x:c>
      <x:c r="E491" t="n">
        <x:v>5</x:v>
      </x:c>
      <x:c r="F491" t="str">
        <x:v>ACT-009</x:v>
      </x:c>
      <x:c r="G491" t="n">
        <x:v>98</x:v>
      </x:c>
      <x:c r="H491" t="str">
        <x:v>CQ-A05</x:v>
      </x:c>
      <x:c r="I491" s="36" t="str">
        <x:v>Welche dieser Aussagen stammt aus Apostelgeschichte 9?</x:v>
      </x:c>
      <x:c r="J491" s="36" t="str"/>
      <x:c r="K491" s="36" t="str"/>
      <x:c r="L491" s="36" t="str">
        <x:v>REPO_VERIFIZIERT_FRAGEFORM</x:v>
      </x:c>
      <x:c r="M491" s="36" t="str">
        <x:v>ERSETZEN</x:v>
      </x:c>
      <x:c r="N491" s="36" t="str">
        <x:v>REPETITIVE_FRAGEFORM</x:v>
      </x:c>
      <x:c r="O491" s="36" t="str">
        <x:v>REINE_WIEDERERKENNUNG</x:v>
      </x:c>
      <x:c r="P491" s="36" t="str">
        <x:v>GESCHEHEN</x:v>
      </x:c>
      <x:c r="Q491" s="36" t="str">
        <x:v>Was tut Petrus in Joppe für Tabitha?</x:v>
      </x:c>
      <x:c r="R491" s="36" t="str">
        <x:v>Er bringt sie nach Lydda.</x:v>
      </x:c>
      <x:c r="S491" s="36" t="str">
        <x:v>Er ruft einen Arzt.</x:v>
      </x:c>
      <x:c r="T491" s="36" t="str">
        <x:v>Er begräbt sie sofort.</x:v>
      </x:c>
      <x:c r="U491" s="36" t="str">
        <x:v>Er betet, sagt zu ihr, sie solle aufstehen, und sie wird wieder lebendig.</x:v>
      </x:c>
      <x:c r="V491" s="36" t="n">
        <x:v>3</x:v>
      </x:c>
      <x:c r="W491" s="36" t="str">
        <x:f>CHOOSE(V491+1,R491,S491,T491,U491)</x:f>
        <x:v>Er betet, sagt zu ihr, sie solle aufstehen, und sie wird wieder lebendig.</x:v>
      </x:c>
      <x:c r="X491" s="36" t="str">
        <x:v>Apostelgeschichte 9,36–42</x:v>
      </x:c>
      <x:c r="Y491" s="36" t="str">
        <x:v>Nach Gebet spricht Petrus Tabitha an; sie öffnet die Augen und steht auf.</x:v>
      </x:c>
      <x:c r="Z491" s="36" t="str">
        <x:v>JA</x:v>
      </x:c>
      <x:c r="AA491" s="36" t="str">
        <x:v>JA</x:v>
      </x:c>
      <x:c r="AB491" s="36" t="str">
        <x:v>JA</x:v>
      </x:c>
      <x:c r="AC491" s="36" t="str">
        <x:v>JA</x:v>
      </x:c>
      <x:c r="AD491" s="36" t="str">
        <x:v>JA</x:v>
      </x:c>
      <x:c r="AE491" s="36" t="str">
        <x:v>JA</x:v>
      </x:c>
      <x:c r="AF491" s="36" t="str">
        <x:v>JA</x:v>
      </x:c>
      <x:c r="AG491" s="36" t="str">
        <x:v>FREIGEGEBEN</x:v>
      </x:c>
      <x:c r="AH491" s="36" t="str">
        <x:v>GPT-5.6 Sol · Buchprüfung Apostelgeschichte · L1912/OTB</x:v>
      </x:c>
      <x:c r="AI491" s="36" t="str">
        <x:v>FREIGEGEBEN</x:v>
      </x:c>
      <x:c r="AJ491" s="36" t="str">
        <x:v>Apostelgeschichte 9: repetitive Wiedererkennungsfrage durch GESCHEHEN-Frage ersetzt.</x:v>
      </x:c>
      <x:c r="AK491" s="36" t="str">
        <x:v>FaithPath repo develop/v4 · data/stories.json · data/bibles/l1912/ACT.json · data/bibles/otb/ACT.json</x:v>
      </x:c>
      <x:c r="AL491" t="str">
        <x:f>IF(AND(AG491="FREIGEGEBEN",AI491="FREIGEGEBEN",Q491&lt;&gt;"",R491&lt;&gt;"",S491&lt;&gt;"",T491&lt;&gt;"",U491&lt;&gt;"",ISNUMBER(V491),X491&lt;&gt;"",Y491&lt;&gt;"",AA491="JA",AB491="JA",AC491="JA",AD491="JA",AE491="JA",AF491="JA"),"JA","NEIN")</x:f>
        <x:v>JA</x:v>
      </x:c>
    </x:row>
    <x:row r="492">
      <x:c r="A492" t="str">
        <x:v>FP-0751</x:v>
      </x:c>
      <x:c r="B492" t="str">
        <x:v>ACT</x:v>
      </x:c>
      <x:c r="C492" t="str">
        <x:v>Apostelgeschichte</x:v>
      </x:c>
      <x:c r="D492" t="n">
        <x:v>10</x:v>
      </x:c>
      <x:c r="E492" t="n">
        <x:v>1</x:v>
      </x:c>
      <x:c r="F492" t="str">
        <x:v>ACT-010</x:v>
      </x:c>
      <x:c r="G492" t="n">
        <x:v>99</x:v>
      </x:c>
      <x:c r="H492" t="str">
        <x:v>CQ-A05</x:v>
      </x:c>
      <x:c r="I492" s="36" t="str">
        <x:v>Welche dieser Aussagen stammt aus Apostelgeschichte 10?</x:v>
      </x:c>
      <x:c r="J492" s="36" t="str"/>
      <x:c r="K492" s="36" t="str"/>
      <x:c r="L492" s="36" t="str">
        <x:v>REPO_VERIFIZIERT_FRAGEFORM</x:v>
      </x:c>
      <x:c r="M492" s="36" t="str">
        <x:v>ERSETZEN</x:v>
      </x:c>
      <x:c r="N492" s="36" t="str">
        <x:v>REPETITIVE_FRAGEFORM</x:v>
      </x:c>
      <x:c r="O492" s="36" t="str">
        <x:v>REINE_WIEDERERKENNUNG</x:v>
      </x:c>
      <x:c r="P492" s="36" t="str">
        <x:v>GESCHEHEN</x:v>
      </x:c>
      <x:c r="Q492" s="36" t="str">
        <x:v>Welche Anweisung erhält Kornelius in seiner Vision?</x:v>
      </x:c>
      <x:c r="R492" s="36" t="str">
        <x:v>Er soll Männer nach Joppe senden und Simon Petrus holen lassen.</x:v>
      </x:c>
      <x:c r="S492" s="36" t="str">
        <x:v>Er soll nach Jerusalem zum Tempel ziehen.</x:v>
      </x:c>
      <x:c r="T492" s="36" t="str">
        <x:v>Er soll Saulus verhaften.</x:v>
      </x:c>
      <x:c r="U492" s="36" t="str">
        <x:v>Er soll sein Amt niederlegen.</x:v>
      </x:c>
      <x:c r="V492" s="36" t="n">
        <x:v>0</x:v>
      </x:c>
      <x:c r="W492" s="36" t="str">
        <x:f>CHOOSE(V492+1,R492,S492,T492,U492)</x:f>
        <x:v>Er soll Männer nach Joppe senden und Simon Petrus holen lassen.</x:v>
      </x:c>
      <x:c r="X492" s="36" t="str">
        <x:v>Apostelgeschichte 10,1–8</x:v>
      </x:c>
      <x:c r="Y492" s="36" t="str">
        <x:v>Kornelius wird angewiesen, Petrus holen zu lassen.</x:v>
      </x:c>
      <x:c r="Z492" s="36" t="str">
        <x:v>JA</x:v>
      </x:c>
      <x:c r="AA492" s="36" t="str">
        <x:v>JA</x:v>
      </x:c>
      <x:c r="AB492" s="36" t="str">
        <x:v>JA</x:v>
      </x:c>
      <x:c r="AC492" s="36" t="str">
        <x:v>JA</x:v>
      </x:c>
      <x:c r="AD492" s="36" t="str">
        <x:v>JA</x:v>
      </x:c>
      <x:c r="AE492" s="36" t="str">
        <x:v>JA</x:v>
      </x:c>
      <x:c r="AF492" s="36" t="str">
        <x:v>JA</x:v>
      </x:c>
      <x:c r="AG492" s="36" t="str">
        <x:v>FREIGEGEBEN</x:v>
      </x:c>
      <x:c r="AH492" s="36" t="str">
        <x:v>GPT-5.6 Sol · Buchprüfung Apostelgeschichte · L1912/OTB</x:v>
      </x:c>
      <x:c r="AI492" s="36" t="str">
        <x:v>FREIGEGEBEN</x:v>
      </x:c>
      <x:c r="AJ492" s="36" t="str">
        <x:v>Apostelgeschichte 10: repetitive Wiedererkennungsfrage durch GESCHEHEN-Frage ersetzt.</x:v>
      </x:c>
      <x:c r="AK492" s="36" t="str">
        <x:v>FaithPath repo develop/v4 · data/stories.json · data/bibles/l1912/ACT.json · data/bibles/otb/ACT.json</x:v>
      </x:c>
      <x:c r="AL492" t="str">
        <x:f>IF(AND(AG492="FREIGEGEBEN",AI492="FREIGEGEBEN",Q492&lt;&gt;"",R492&lt;&gt;"",S492&lt;&gt;"",T492&lt;&gt;"",U492&lt;&gt;"",ISNUMBER(V492),X492&lt;&gt;"",Y492&lt;&gt;"",AA492="JA",AB492="JA",AC492="JA",AD492="JA",AE492="JA",AF492="JA"),"JA","NEIN")</x:f>
        <x:v>JA</x:v>
      </x:c>
    </x:row>
    <x:row r="493">
      <x:c r="A493" t="str">
        <x:v>FP-0752</x:v>
      </x:c>
      <x:c r="B493" t="str">
        <x:v>ACT</x:v>
      </x:c>
      <x:c r="C493" t="str">
        <x:v>Apostelgeschichte</x:v>
      </x:c>
      <x:c r="D493" t="n">
        <x:v>10</x:v>
      </x:c>
      <x:c r="E493" t="n">
        <x:v>2</x:v>
      </x:c>
      <x:c r="F493" t="str">
        <x:v>ACT-010</x:v>
      </x:c>
      <x:c r="G493" t="n">
        <x:v>99</x:v>
      </x:c>
      <x:c r="H493" t="str">
        <x:v>CQ-A05</x:v>
      </x:c>
      <x:c r="I493" s="36" t="str">
        <x:v>Welche dieser Aussagen stammt aus Apostelgeschichte 10?</x:v>
      </x:c>
      <x:c r="J493" s="36" t="str"/>
      <x:c r="K493" s="36" t="str"/>
      <x:c r="L493" s="36" t="str">
        <x:v>REPO_VERIFIZIERT_FRAGEFORM</x:v>
      </x:c>
      <x:c r="M493" s="36" t="str">
        <x:v>ERSETZEN</x:v>
      </x:c>
      <x:c r="N493" s="36" t="str">
        <x:v>REPETITIVE_FRAGEFORM</x:v>
      </x:c>
      <x:c r="O493" s="36" t="str">
        <x:v>REINE_WIEDERERKENNUNG</x:v>
      </x:c>
      <x:c r="P493" s="36" t="str">
        <x:v>ZUSAMMENHANG</x:v>
      </x:c>
      <x:c r="Q493" s="36" t="str">
        <x:v>Welche Botschaft erhält Petrus durch die Vision mit den Tieren?</x:v>
      </x:c>
      <x:c r="R493" s="36" t="str">
        <x:v>Er darf künftig nur bestimmte Tiere sehen.</x:v>
      </x:c>
      <x:c r="S493" s="36" t="str">
        <x:v>Er soll nicht unrein nennen, was Gott gereinigt hat.</x:v>
      </x:c>
      <x:c r="T493" s="36" t="str">
        <x:v>Er soll nie mit Nichtjuden sprechen.</x:v>
      </x:c>
      <x:c r="U493" s="36" t="str">
        <x:v>Er soll Joppe sofort verlassen.</x:v>
      </x:c>
      <x:c r="V493" s="36" t="n">
        <x:v>1</x:v>
      </x:c>
      <x:c r="W493" s="36" t="str">
        <x:f>CHOOSE(V493+1,R493,S493,T493,U493)</x:f>
        <x:v>Er soll nicht unrein nennen, was Gott gereinigt hat.</x:v>
      </x:c>
      <x:c r="X493" s="36" t="str">
        <x:v>Apostelgeschichte 10,9–16</x:v>
      </x:c>
      <x:c r="Y493" s="36" t="str">
        <x:v>Die Vision bereitet Petrus darauf vor, Gottes neue Öffnung gegenüber Nichtjuden zu verstehen.</x:v>
      </x:c>
      <x:c r="Z493" s="36" t="str">
        <x:v>JA</x:v>
      </x:c>
      <x:c r="AA493" s="36" t="str">
        <x:v>JA</x:v>
      </x:c>
      <x:c r="AB493" s="36" t="str">
        <x:v>JA</x:v>
      </x:c>
      <x:c r="AC493" s="36" t="str">
        <x:v>JA</x:v>
      </x:c>
      <x:c r="AD493" s="36" t="str">
        <x:v>JA</x:v>
      </x:c>
      <x:c r="AE493" s="36" t="str">
        <x:v>JA</x:v>
      </x:c>
      <x:c r="AF493" s="36" t="str">
        <x:v>JA</x:v>
      </x:c>
      <x:c r="AG493" s="36" t="str">
        <x:v>FREIGEGEBEN</x:v>
      </x:c>
      <x:c r="AH493" s="36" t="str">
        <x:v>GPT-5.6 Sol · Buchprüfung Apostelgeschichte · L1912/OTB</x:v>
      </x:c>
      <x:c r="AI493" s="36" t="str">
        <x:v>FREIGEGEBEN</x:v>
      </x:c>
      <x:c r="AJ493" s="36" t="str">
        <x:v>Apostelgeschichte 10: repetitive Wiedererkennungsfrage durch ZUSAMMENHANG-Frage ersetzt.</x:v>
      </x:c>
      <x:c r="AK493" s="36" t="str">
        <x:v>FaithPath repo develop/v4 · data/stories.json · data/bibles/l1912/ACT.json · data/bibles/otb/ACT.json</x:v>
      </x:c>
      <x:c r="AL493" t="str">
        <x:f>IF(AND(AG493="FREIGEGEBEN",AI493="FREIGEGEBEN",Q493&lt;&gt;"",R493&lt;&gt;"",S493&lt;&gt;"",T493&lt;&gt;"",U493&lt;&gt;"",ISNUMBER(V493),X493&lt;&gt;"",Y493&lt;&gt;"",AA493="JA",AB493="JA",AC493="JA",AD493="JA",AE493="JA",AF493="JA"),"JA","NEIN")</x:f>
        <x:v>JA</x:v>
      </x:c>
    </x:row>
    <x:row r="494">
      <x:c r="A494" t="str">
        <x:v>FP-0753</x:v>
      </x:c>
      <x:c r="B494" t="str">
        <x:v>ACT</x:v>
      </x:c>
      <x:c r="C494" t="str">
        <x:v>Apostelgeschichte</x:v>
      </x:c>
      <x:c r="D494" t="n">
        <x:v>10</x:v>
      </x:c>
      <x:c r="E494" t="n">
        <x:v>3</x:v>
      </x:c>
      <x:c r="F494" t="str">
        <x:v>ACT-010</x:v>
      </x:c>
      <x:c r="G494" t="n">
        <x:v>99</x:v>
      </x:c>
      <x:c r="H494" t="str">
        <x:v>CQ-A05</x:v>
      </x:c>
      <x:c r="I494" s="36" t="str">
        <x:v>Welche dieser Aussagen stammt aus Apostelgeschichte 10?</x:v>
      </x:c>
      <x:c r="J494" s="36" t="str"/>
      <x:c r="K494" s="36" t="str"/>
      <x:c r="L494" s="36" t="str">
        <x:v>REPO_VERIFIZIERT_FRAGEFORM</x:v>
      </x:c>
      <x:c r="M494" s="36" t="str">
        <x:v>ERSETZEN</x:v>
      </x:c>
      <x:c r="N494" s="36" t="str">
        <x:v>REPETITIVE_FRAGEFORM</x:v>
      </x:c>
      <x:c r="O494" s="36" t="str">
        <x:v>REINE_WIEDERERKENNUNG</x:v>
      </x:c>
      <x:c r="P494" s="36" t="str">
        <x:v>KERNAUSSAGE</x:v>
      </x:c>
      <x:c r="Q494" s="36" t="str">
        <x:v>Was sagt Petrus bei Kornelius über den Umgang mit Menschen anderer Herkunft?</x:v>
      </x:c>
      <x:c r="R494" s="36" t="str">
        <x:v>Nur Juden dürfen Gottes Botschaft hören.</x:v>
      </x:c>
      <x:c r="S494" s="36" t="str">
        <x:v>Nichtjuden müssen zuerst Juden werden.</x:v>
      </x:c>
      <x:c r="T494" s="36" t="str">
        <x:v>Gott hat ihm gezeigt, keinen Menschen gemein oder unrein zu nennen.</x:v>
      </x:c>
      <x:c r="U494" s="36" t="str">
        <x:v>Er dürfe Kornelius eigentlich nicht besuchen.</x:v>
      </x:c>
      <x:c r="V494" s="36" t="n">
        <x:v>2</x:v>
      </x:c>
      <x:c r="W494" s="36" t="str">
        <x:f>CHOOSE(V494+1,R494,S494,T494,U494)</x:f>
        <x:v>Gott hat ihm gezeigt, keinen Menschen gemein oder unrein zu nennen.</x:v>
      </x:c>
      <x:c r="X494" s="36" t="str">
        <x:v>Apostelgeschichte 10,28–29</x:v>
      </x:c>
      <x:c r="Y494" s="36" t="str">
        <x:v>Petrus versteht die Vision ausdrücklich auf Menschen bezogen und betritt das Haus ohne den bisherigen Vorbehalt.</x:v>
      </x:c>
      <x:c r="Z494" s="36" t="str">
        <x:v>JA</x:v>
      </x:c>
      <x:c r="AA494" s="36" t="str">
        <x:v>JA</x:v>
      </x:c>
      <x:c r="AB494" s="36" t="str">
        <x:v>JA</x:v>
      </x:c>
      <x:c r="AC494" s="36" t="str">
        <x:v>JA</x:v>
      </x:c>
      <x:c r="AD494" s="36" t="str">
        <x:v>JA</x:v>
      </x:c>
      <x:c r="AE494" s="36" t="str">
        <x:v>JA</x:v>
      </x:c>
      <x:c r="AF494" s="36" t="str">
        <x:v>JA</x:v>
      </x:c>
      <x:c r="AG494" s="36" t="str">
        <x:v>FREIGEGEBEN</x:v>
      </x:c>
      <x:c r="AH494" s="36" t="str">
        <x:v>GPT-5.6 Sol · Buchprüfung Apostelgeschichte · L1912/OTB</x:v>
      </x:c>
      <x:c r="AI494" s="36" t="str">
        <x:v>FREIGEGEBEN</x:v>
      </x:c>
      <x:c r="AJ494" s="36" t="str">
        <x:v>Apostelgeschichte 10: repetitive Wiedererkennungsfrage durch KERNAUSSAGE-Frage ersetzt.</x:v>
      </x:c>
      <x:c r="AK494" s="36" t="str">
        <x:v>FaithPath repo develop/v4 · data/stories.json · data/bibles/l1912/ACT.json · data/bibles/otb/ACT.json</x:v>
      </x:c>
      <x:c r="AL494" t="str">
        <x:f>IF(AND(AG494="FREIGEGEBEN",AI494="FREIGEGEBEN",Q494&lt;&gt;"",R494&lt;&gt;"",S494&lt;&gt;"",T494&lt;&gt;"",U494&lt;&gt;"",ISNUMBER(V494),X494&lt;&gt;"",Y494&lt;&gt;"",AA494="JA",AB494="JA",AC494="JA",AD494="JA",AE494="JA",AF494="JA"),"JA","NEIN")</x:f>
        <x:v>JA</x:v>
      </x:c>
    </x:row>
    <x:row r="495">
      <x:c r="A495" t="str">
        <x:v>FP-0754</x:v>
      </x:c>
      <x:c r="B495" t="str">
        <x:v>ACT</x:v>
      </x:c>
      <x:c r="C495" t="str">
        <x:v>Apostelgeschichte</x:v>
      </x:c>
      <x:c r="D495" t="n">
        <x:v>10</x:v>
      </x:c>
      <x:c r="E495" t="n">
        <x:v>4</x:v>
      </x:c>
      <x:c r="F495" t="str">
        <x:v>ACT-010</x:v>
      </x:c>
      <x:c r="G495" t="n">
        <x:v>99</x:v>
      </x:c>
      <x:c r="H495" t="str">
        <x:v>CQ-A05</x:v>
      </x:c>
      <x:c r="I495" s="36" t="str">
        <x:v>Welche dieser Aussagen stammt aus Apostelgeschichte 10?</x:v>
      </x:c>
      <x:c r="J495" s="36" t="str"/>
      <x:c r="K495" s="36" t="str"/>
      <x:c r="L495" s="36" t="str">
        <x:v>REPO_VERIFIZIERT_FRAGEFORM</x:v>
      </x:c>
      <x:c r="M495" s="36" t="str">
        <x:v>ERSETZEN</x:v>
      </x:c>
      <x:c r="N495" s="36" t="str">
        <x:v>REPETITIVE_FRAGEFORM</x:v>
      </x:c>
      <x:c r="O495" s="36" t="str">
        <x:v>REINE_WIEDERERKENNUNG</x:v>
      </x:c>
      <x:c r="P495" s="36" t="str">
        <x:v>KERNAUSSAGE</x:v>
      </x:c>
      <x:c r="Q495" s="36" t="str">
        <x:v>Welche grundlegende Einsicht formuliert Petrus in seiner Predigt bei Kornelius?</x:v>
      </x:c>
      <x:c r="R495" s="36" t="str">
        <x:v>Gott wirkt nur in Israel.</x:v>
      </x:c>
      <x:c r="S495" s="36" t="str">
        <x:v>Herkunft entscheidet allein über Gottes Annahme.</x:v>
      </x:c>
      <x:c r="T495" s="36" t="str">
        <x:v>Nur römische Bürger können glauben.</x:v>
      </x:c>
      <x:c r="U495" s="36" t="str">
        <x:v>Gott sieht die Person nicht an, sondern nimmt Menschen aus allen Völkern an, die ihn fürchten und recht tun.</x:v>
      </x:c>
      <x:c r="V495" s="36" t="n">
        <x:v>3</x:v>
      </x:c>
      <x:c r="W495" s="36" t="str">
        <x:f>CHOOSE(V495+1,R495,S495,T495,U495)</x:f>
        <x:v>Gott sieht die Person nicht an, sondern nimmt Menschen aus allen Völkern an, die ihn fürchten und recht tun.</x:v>
      </x:c>
      <x:c r="X495" s="36" t="str">
        <x:v>Apostelgeschichte 10,34–43</x:v>
      </x:c>
      <x:c r="Y495" s="36" t="str">
        <x:v>Petrus beginnt mit der Einsicht in Gottes Unparteilichkeit und verkündet dann Jesus, seinen Tod und seine Auferstehung.</x:v>
      </x:c>
      <x:c r="Z495" s="36" t="str">
        <x:v>JA</x:v>
      </x:c>
      <x:c r="AA495" s="36" t="str">
        <x:v>JA</x:v>
      </x:c>
      <x:c r="AB495" s="36" t="str">
        <x:v>JA</x:v>
      </x:c>
      <x:c r="AC495" s="36" t="str">
        <x:v>JA</x:v>
      </x:c>
      <x:c r="AD495" s="36" t="str">
        <x:v>JA</x:v>
      </x:c>
      <x:c r="AE495" s="36" t="str">
        <x:v>JA</x:v>
      </x:c>
      <x:c r="AF495" s="36" t="str">
        <x:v>JA</x:v>
      </x:c>
      <x:c r="AG495" s="36" t="str">
        <x:v>FREIGEGEBEN</x:v>
      </x:c>
      <x:c r="AH495" s="36" t="str">
        <x:v>GPT-5.6 Sol · Buchprüfung Apostelgeschichte · L1912/OTB</x:v>
      </x:c>
      <x:c r="AI495" s="36" t="str">
        <x:v>FREIGEGEBEN</x:v>
      </x:c>
      <x:c r="AJ495" s="36" t="str">
        <x:v>Apostelgeschichte 10: repetitive Wiedererkennungsfrage durch KERNAUSSAGE-Frage ersetzt.</x:v>
      </x:c>
      <x:c r="AK495" s="36" t="str">
        <x:v>FaithPath repo develop/v4 · data/stories.json · data/bibles/l1912/ACT.json · data/bibles/otb/ACT.json</x:v>
      </x:c>
      <x:c r="AL495" t="str">
        <x:f>IF(AND(AG495="FREIGEGEBEN",AI495="FREIGEGEBEN",Q495&lt;&gt;"",R495&lt;&gt;"",S495&lt;&gt;"",T495&lt;&gt;"",U495&lt;&gt;"",ISNUMBER(V495),X495&lt;&gt;"",Y495&lt;&gt;"",AA495="JA",AB495="JA",AC495="JA",AD495="JA",AE495="JA",AF495="JA"),"JA","NEIN")</x:f>
        <x:v>JA</x:v>
      </x:c>
    </x:row>
    <x:row r="496">
      <x:c r="A496" t="str">
        <x:v>FP-0755</x:v>
      </x:c>
      <x:c r="B496" t="str">
        <x:v>ACT</x:v>
      </x:c>
      <x:c r="C496" t="str">
        <x:v>Apostelgeschichte</x:v>
      </x:c>
      <x:c r="D496" t="n">
        <x:v>10</x:v>
      </x:c>
      <x:c r="E496" t="n">
        <x:v>5</x:v>
      </x:c>
      <x:c r="F496" t="str">
        <x:v>ACT-010</x:v>
      </x:c>
      <x:c r="G496" t="n">
        <x:v>99</x:v>
      </x:c>
      <x:c r="H496" t="str">
        <x:v>CQ-A05</x:v>
      </x:c>
      <x:c r="I496" s="36" t="str">
        <x:v>Welche dieser Aussagen stammt aus Apostelgeschichte 10?</x:v>
      </x:c>
      <x:c r="J496" s="36" t="str"/>
      <x:c r="K496" s="36" t="str"/>
      <x:c r="L496" s="36" t="str">
        <x:v>REPO_VERIFIZIERT_FRAGEFORM</x:v>
      </x:c>
      <x:c r="M496" s="36" t="str">
        <x:v>ERSETZEN</x:v>
      </x:c>
      <x:c r="N496" s="36" t="str">
        <x:v>REPETITIVE_FRAGEFORM</x:v>
      </x:c>
      <x:c r="O496" s="36" t="str">
        <x:v>REINE_WIEDERERKENNUNG</x:v>
      </x:c>
      <x:c r="P496" s="36" t="str">
        <x:v>GESCHEHEN</x:v>
      </x:c>
      <x:c r="Q496" s="36" t="str">
        <x:v>Was geschieht noch während Petrus redet?</x:v>
      </x:c>
      <x:c r="R496" s="36" t="str">
        <x:v>Der Heilige Geist fällt auf die nichtjüdischen Zuhörer, woraufhin sie getauft werden.</x:v>
      </x:c>
      <x:c r="S496" s="36" t="str">
        <x:v>Kornelius wird zum Apostel gewählt.</x:v>
      </x:c>
      <x:c r="T496" s="36" t="str">
        <x:v>Die Versammlung wird von Soldaten aufgelöst.</x:v>
      </x:c>
      <x:c r="U496" s="36" t="str">
        <x:v>Petrus verlässt das Haus.</x:v>
      </x:c>
      <x:c r="V496" s="36" t="n">
        <x:v>0</x:v>
      </x:c>
      <x:c r="W496" s="36" t="str">
        <x:f>CHOOSE(V496+1,R496,S496,T496,U496)</x:f>
        <x:v>Der Heilige Geist fällt auf die nichtjüdischen Zuhörer, woraufhin sie getauft werden.</x:v>
      </x:c>
      <x:c r="X496" s="36" t="str">
        <x:v>Apostelgeschichte 10,44–48</x:v>
      </x:c>
      <x:c r="Y496" s="36" t="str">
        <x:v>Der Geist kommt auf die Hörenden, was die jüdischen Begleiter erstaunt; Petrus lässt sie daraufhin taufen.</x:v>
      </x:c>
      <x:c r="Z496" s="36" t="str">
        <x:v>JA</x:v>
      </x:c>
      <x:c r="AA496" s="36" t="str">
        <x:v>JA</x:v>
      </x:c>
      <x:c r="AB496" s="36" t="str">
        <x:v>JA</x:v>
      </x:c>
      <x:c r="AC496" s="36" t="str">
        <x:v>JA</x:v>
      </x:c>
      <x:c r="AD496" s="36" t="str">
        <x:v>JA</x:v>
      </x:c>
      <x:c r="AE496" s="36" t="str">
        <x:v>JA</x:v>
      </x:c>
      <x:c r="AF496" s="36" t="str">
        <x:v>JA</x:v>
      </x:c>
      <x:c r="AG496" s="36" t="str">
        <x:v>FREIGEGEBEN</x:v>
      </x:c>
      <x:c r="AH496" s="36" t="str">
        <x:v>GPT-5.6 Sol · Buchprüfung Apostelgeschichte · L1912/OTB</x:v>
      </x:c>
      <x:c r="AI496" s="36" t="str">
        <x:v>FREIGEGEBEN</x:v>
      </x:c>
      <x:c r="AJ496" s="36" t="str">
        <x:v>Apostelgeschichte 10: repetitive Wiedererkennungsfrage durch GESCHEHEN-Frage ersetzt.</x:v>
      </x:c>
      <x:c r="AK496" s="36" t="str">
        <x:v>FaithPath repo develop/v4 · data/stories.json · data/bibles/l1912/ACT.json · data/bibles/otb/ACT.json</x:v>
      </x:c>
      <x:c r="AL496" t="str">
        <x:f>IF(AND(AG496="FREIGEGEBEN",AI496="FREIGEGEBEN",Q496&lt;&gt;"",R496&lt;&gt;"",S496&lt;&gt;"",T496&lt;&gt;"",U496&lt;&gt;"",ISNUMBER(V496),X496&lt;&gt;"",Y496&lt;&gt;"",AA496="JA",AB496="JA",AC496="JA",AD496="JA",AE496="JA",AF496="JA"),"JA","NEIN")</x:f>
        <x:v>JA</x:v>
      </x:c>
    </x:row>
    <x:row r="497">
      <x:c r="A497" t="str">
        <x:v>FP-0756</x:v>
      </x:c>
      <x:c r="B497" t="str">
        <x:v>ACT</x:v>
      </x:c>
      <x:c r="C497" t="str">
        <x:v>Apostelgeschichte</x:v>
      </x:c>
      <x:c r="D497" t="n">
        <x:v>11</x:v>
      </x:c>
      <x:c r="E497" t="n">
        <x:v>1</x:v>
      </x:c>
      <x:c r="F497" t="str">
        <x:v>ACT-011</x:v>
      </x:c>
      <x:c r="G497" t="n">
        <x:v>100</x:v>
      </x:c>
      <x:c r="H497" t="str">
        <x:v>CQ-A05</x:v>
      </x:c>
      <x:c r="I497" s="36" t="str">
        <x:v>Welche dieser Aussagen stammt aus Apostelgeschichte 11?</x:v>
      </x:c>
      <x:c r="J497" s="36" t="str"/>
      <x:c r="K497" s="36" t="str"/>
      <x:c r="L497" s="36" t="str">
        <x:v>REPO_VERIFIZIERT_FRAGEFORM</x:v>
      </x:c>
      <x:c r="M497" s="36" t="str">
        <x:v>ERSETZEN</x:v>
      </x:c>
      <x:c r="N497" s="36" t="str">
        <x:v>REPETITIVE_FRAGEFORM</x:v>
      </x:c>
      <x:c r="O497" s="36" t="str">
        <x:v>REINE_WIEDERERKENNUNG</x:v>
      </x:c>
      <x:c r="P497" s="36" t="str">
        <x:v>ZUSAMMENHANG</x:v>
      </x:c>
      <x:c r="Q497" s="36" t="str">
        <x:v>Womit überzeugt Petrus die kritischen Gläubigen in Jerusalem von Gottes Handeln an den Nichtjuden?</x:v>
      </x:c>
      <x:c r="R497" s="36" t="str">
        <x:v>Er beruft sich nur auf seine Stellung.</x:v>
      </x:c>
      <x:c r="S497" s="36" t="str">
        <x:v>Er erzählt die Vision, Kornelius' Botschaft und das Herabkommen des Heiligen Geistes wie bei ihnen selbst.</x:v>
      </x:c>
      <x:c r="T497" s="36" t="str">
        <x:v>Er legt einen Brief des Kaisers vor.</x:v>
      </x:c>
      <x:c r="U497" s="36" t="str">
        <x:v>Er verweigert jede Erklärung.</x:v>
      </x:c>
      <x:c r="V497" s="36" t="n">
        <x:v>1</x:v>
      </x:c>
      <x:c r="W497" s="36" t="str">
        <x:f>CHOOSE(V497+1,R497,S497,T497,U497)</x:f>
        <x:v>Er erzählt die Vision, Kornelius' Botschaft und das Herabkommen des Heiligen Geistes wie bei ihnen selbst.</x:v>
      </x:c>
      <x:c r="X497" s="36" t="str">
        <x:v>Apostelgeschichte 11,1–18</x:v>
      </x:c>
      <x:c r="Y497" s="36" t="str">
        <x:v>Petrus berichtet die Ereignisse Schritt für Schritt; am Ende erkennen die Zuhörer, dass Gott auch den Nichtjuden Umkehr zum Leben gegeben hat.</x:v>
      </x:c>
      <x:c r="Z497" s="36" t="str">
        <x:v>JA</x:v>
      </x:c>
      <x:c r="AA497" s="36" t="str">
        <x:v>JA</x:v>
      </x:c>
      <x:c r="AB497" s="36" t="str">
        <x:v>JA</x:v>
      </x:c>
      <x:c r="AC497" s="36" t="str">
        <x:v>JA</x:v>
      </x:c>
      <x:c r="AD497" s="36" t="str">
        <x:v>JA</x:v>
      </x:c>
      <x:c r="AE497" s="36" t="str">
        <x:v>JA</x:v>
      </x:c>
      <x:c r="AF497" s="36" t="str">
        <x:v>JA</x:v>
      </x:c>
      <x:c r="AG497" s="36" t="str">
        <x:v>FREIGEGEBEN</x:v>
      </x:c>
      <x:c r="AH497" s="36" t="str">
        <x:v>GPT-5.6 Sol · Buchprüfung Apostelgeschichte · L1912/OTB</x:v>
      </x:c>
      <x:c r="AI497" s="36" t="str">
        <x:v>FREIGEGEBEN</x:v>
      </x:c>
      <x:c r="AJ497" s="36" t="str">
        <x:v>Apostelgeschichte 11: repetitive Wiedererkennungsfrage durch ZUSAMMENHANG-Frage ersetzt.</x:v>
      </x:c>
      <x:c r="AK497" s="36" t="str">
        <x:v>FaithPath repo develop/v4 · data/stories.json · data/bibles/l1912/ACT.json · data/bibles/otb/ACT.json</x:v>
      </x:c>
      <x:c r="AL497" t="str">
        <x:f>IF(AND(AG497="FREIGEGEBEN",AI497="FREIGEGEBEN",Q497&lt;&gt;"",R497&lt;&gt;"",S497&lt;&gt;"",T497&lt;&gt;"",U497&lt;&gt;"",ISNUMBER(V497),X497&lt;&gt;"",Y497&lt;&gt;"",AA497="JA",AB497="JA",AC497="JA",AD497="JA",AE497="JA",AF497="JA"),"JA","NEIN")</x:f>
        <x:v>JA</x:v>
      </x:c>
    </x:row>
    <x:row r="498">
      <x:c r="A498" t="str">
        <x:v>FP-0757</x:v>
      </x:c>
      <x:c r="B498" t="str">
        <x:v>ACT</x:v>
      </x:c>
      <x:c r="C498" t="str">
        <x:v>Apostelgeschichte</x:v>
      </x:c>
      <x:c r="D498" t="n">
        <x:v>11</x:v>
      </x:c>
      <x:c r="E498" t="n">
        <x:v>2</x:v>
      </x:c>
      <x:c r="F498" t="str">
        <x:v>ACT-011</x:v>
      </x:c>
      <x:c r="G498" t="n">
        <x:v>100</x:v>
      </x:c>
      <x:c r="H498" t="str">
        <x:v>CQ-A05</x:v>
      </x:c>
      <x:c r="I498" s="36" t="str">
        <x:v>Welche dieser Aussagen stammt aus Apostelgeschichte 11?</x:v>
      </x:c>
      <x:c r="J498" s="36" t="str"/>
      <x:c r="K498" s="36" t="str"/>
      <x:c r="L498" s="36" t="str">
        <x:v>REPO_VERIFIZIERT_FRAGEFORM</x:v>
      </x:c>
      <x:c r="M498" s="36" t="str">
        <x:v>ERSETZEN</x:v>
      </x:c>
      <x:c r="N498" s="36" t="str">
        <x:v>REPETITIVE_FRAGEFORM</x:v>
      </x:c>
      <x:c r="O498" s="36" t="str">
        <x:v>REINE_WIEDERERKENNUNG</x:v>
      </x:c>
      <x:c r="P498" s="36" t="str">
        <x:v>GESCHEHEN</x:v>
      </x:c>
      <x:c r="Q498" s="36" t="str">
        <x:v>Was geschieht in Antiochia durch die zerstreuten Gläubigen?</x:v>
      </x:c>
      <x:c r="R498" s="36" t="str">
        <x:v>Sie predigen ausschließlich Juden und niemand sonst.</x:v>
      </x:c>
      <x:c r="S498" s="36" t="str">
        <x:v>Sie schließen die Gemeinde.</x:v>
      </x:c>
      <x:c r="T498" s="36" t="str">
        <x:v>Sie verkünden auch Griechen die gute Nachricht vom Herrn Jesus, und viele kommen zum Glauben.</x:v>
      </x:c>
      <x:c r="U498" s="36" t="str">
        <x:v>Sie verlassen die Stadt sofort wieder.</x:v>
      </x:c>
      <x:c r="V498" s="36" t="n">
        <x:v>2</x:v>
      </x:c>
      <x:c r="W498" s="36" t="str">
        <x:f>CHOOSE(V498+1,R498,S498,T498,U498)</x:f>
        <x:v>Sie verkünden auch Griechen die gute Nachricht vom Herrn Jesus, und viele kommen zum Glauben.</x:v>
      </x:c>
      <x:c r="X498" s="36" t="str">
        <x:v>Apostelgeschichte 11,19–21</x:v>
      </x:c>
      <x:c r="Y498" s="36" t="str">
        <x:v>In Antiochia wird die Botschaft bewusst auch Menschen griechischer Herkunft verkündet, und viele wenden sich dem Herrn zu.</x:v>
      </x:c>
      <x:c r="Z498" s="36" t="str">
        <x:v>JA</x:v>
      </x:c>
      <x:c r="AA498" s="36" t="str">
        <x:v>JA</x:v>
      </x:c>
      <x:c r="AB498" s="36" t="str">
        <x:v>JA</x:v>
      </x:c>
      <x:c r="AC498" s="36" t="str">
        <x:v>JA</x:v>
      </x:c>
      <x:c r="AD498" s="36" t="str">
        <x:v>JA</x:v>
      </x:c>
      <x:c r="AE498" s="36" t="str">
        <x:v>JA</x:v>
      </x:c>
      <x:c r="AF498" s="36" t="str">
        <x:v>JA</x:v>
      </x:c>
      <x:c r="AG498" s="36" t="str">
        <x:v>FREIGEGEBEN</x:v>
      </x:c>
      <x:c r="AH498" s="36" t="str">
        <x:v>GPT-5.6 Sol · Buchprüfung Apostelgeschichte · L1912/OTB</x:v>
      </x:c>
      <x:c r="AI498" s="36" t="str">
        <x:v>FREIGEGEBEN</x:v>
      </x:c>
      <x:c r="AJ498" s="36" t="str">
        <x:v>Apostelgeschichte 11: repetitive Wiedererkennungsfrage durch GESCHEHEN-Frage ersetzt.</x:v>
      </x:c>
      <x:c r="AK498" s="36" t="str">
        <x:v>FaithPath repo develop/v4 · data/stories.json · data/bibles/l1912/ACT.json · data/bibles/otb/ACT.json</x:v>
      </x:c>
      <x:c r="AL498" t="str">
        <x:f>IF(AND(AG498="FREIGEGEBEN",AI498="FREIGEGEBEN",Q498&lt;&gt;"",R498&lt;&gt;"",S498&lt;&gt;"",T498&lt;&gt;"",U498&lt;&gt;"",ISNUMBER(V498),X498&lt;&gt;"",Y498&lt;&gt;"",AA498="JA",AB498="JA",AC498="JA",AD498="JA",AE498="JA",AF498="JA"),"JA","NEIN")</x:f>
        <x:v>JA</x:v>
      </x:c>
    </x:row>
    <x:row r="499">
      <x:c r="A499" t="str">
        <x:v>FP-0758</x:v>
      </x:c>
      <x:c r="B499" t="str">
        <x:v>ACT</x:v>
      </x:c>
      <x:c r="C499" t="str">
        <x:v>Apostelgeschichte</x:v>
      </x:c>
      <x:c r="D499" t="n">
        <x:v>11</x:v>
      </x:c>
      <x:c r="E499" t="n">
        <x:v>3</x:v>
      </x:c>
      <x:c r="F499" t="str">
        <x:v>ACT-011</x:v>
      </x:c>
      <x:c r="G499" t="n">
        <x:v>100</x:v>
      </x:c>
      <x:c r="H499" t="str">
        <x:v>CQ-A05</x:v>
      </x:c>
      <x:c r="I499" s="36" t="str">
        <x:v>Welche dieser Aussagen stammt aus Apostelgeschichte 11?</x:v>
      </x:c>
      <x:c r="J499" s="36" t="str"/>
      <x:c r="K499" s="36" t="str"/>
      <x:c r="L499" s="36" t="str">
        <x:v>REPO_VERIFIZIERT_FRAGEFORM</x:v>
      </x:c>
      <x:c r="M499" s="36" t="str">
        <x:v>ERSETZEN</x:v>
      </x:c>
      <x:c r="N499" s="36" t="str">
        <x:v>REPETITIVE_FRAGEFORM</x:v>
      </x:c>
      <x:c r="O499" s="36" t="str">
        <x:v>REINE_WIEDERERKENNUNG</x:v>
      </x:c>
      <x:c r="P499" s="36" t="str">
        <x:v>PERSON_AUSSAGE</x:v>
      </x:c>
      <x:c r="Q499" s="36" t="str">
        <x:v>Wie reagiert Barnabas auf Gottes Gnade in Antiochia?</x:v>
      </x:c>
      <x:c r="R499" s="36" t="str">
        <x:v>Er lehnt die neue Gemeinde ab.</x:v>
      </x:c>
      <x:c r="S499" s="36" t="str">
        <x:v>Er schickt alle zurück nach Jerusalem.</x:v>
      </x:c>
      <x:c r="T499" s="36" t="str">
        <x:v>Er beendet die Verkündigung.</x:v>
      </x:c>
      <x:c r="U499" s="36" t="str">
        <x:v>Er freut sich und ermutigt alle, mit festem Herzen beim Herrn zu bleiben.</x:v>
      </x:c>
      <x:c r="V499" s="36" t="n">
        <x:v>3</x:v>
      </x:c>
      <x:c r="W499" s="36" t="str">
        <x:f>CHOOSE(V499+1,R499,S499,T499,U499)</x:f>
        <x:v>Er freut sich und ermutigt alle, mit festem Herzen beim Herrn zu bleiben.</x:v>
      </x:c>
      <x:c r="X499" s="36" t="str">
        <x:v>Apostelgeschichte 11,22–24</x:v>
      </x:c>
      <x:c r="Y499" s="36" t="str">
        <x:v>Barnabas erkennt Gottes Wirken, freut sich und stärkt die Gemeinde.</x:v>
      </x:c>
      <x:c r="Z499" s="36" t="str">
        <x:v>JA</x:v>
      </x:c>
      <x:c r="AA499" s="36" t="str">
        <x:v>JA</x:v>
      </x:c>
      <x:c r="AB499" s="36" t="str">
        <x:v>JA</x:v>
      </x:c>
      <x:c r="AC499" s="36" t="str">
        <x:v>JA</x:v>
      </x:c>
      <x:c r="AD499" s="36" t="str">
        <x:v>JA</x:v>
      </x:c>
      <x:c r="AE499" s="36" t="str">
        <x:v>JA</x:v>
      </x:c>
      <x:c r="AF499" s="36" t="str">
        <x:v>JA</x:v>
      </x:c>
      <x:c r="AG499" s="36" t="str">
        <x:v>FREIGEGEBEN</x:v>
      </x:c>
      <x:c r="AH499" s="36" t="str">
        <x:v>GPT-5.6 Sol · Buchprüfung Apostelgeschichte · L1912/OTB</x:v>
      </x:c>
      <x:c r="AI499" s="36" t="str">
        <x:v>FREIGEGEBEN</x:v>
      </x:c>
      <x:c r="AJ499" s="36" t="str">
        <x:v>Apostelgeschichte 11: repetitive Wiedererkennungsfrage durch PERSON_AUSSAGE-Frage ersetzt.</x:v>
      </x:c>
      <x:c r="AK499" s="36" t="str">
        <x:v>FaithPath repo develop/v4 · data/stories.json · data/bibles/l1912/ACT.json · data/bibles/otb/ACT.json</x:v>
      </x:c>
      <x:c r="AL499" t="str">
        <x:f>IF(AND(AG499="FREIGEGEBEN",AI499="FREIGEGEBEN",Q499&lt;&gt;"",R499&lt;&gt;"",S499&lt;&gt;"",T499&lt;&gt;"",U499&lt;&gt;"",ISNUMBER(V499),X499&lt;&gt;"",Y499&lt;&gt;"",AA499="JA",AB499="JA",AC499="JA",AD499="JA",AE499="JA",AF499="JA"),"JA","NEIN")</x:f>
        <x:v>JA</x:v>
      </x:c>
    </x:row>
    <x:row r="500">
      <x:c r="A500" t="str">
        <x:v>FP-0759</x:v>
      </x:c>
      <x:c r="B500" t="str">
        <x:v>ACT</x:v>
      </x:c>
      <x:c r="C500" t="str">
        <x:v>Apostelgeschichte</x:v>
      </x:c>
      <x:c r="D500" t="n">
        <x:v>11</x:v>
      </x:c>
      <x:c r="E500" t="n">
        <x:v>4</x:v>
      </x:c>
      <x:c r="F500" t="str">
        <x:v>ACT-011</x:v>
      </x:c>
      <x:c r="G500" t="n">
        <x:v>100</x:v>
      </x:c>
      <x:c r="H500" t="str">
        <x:v>CQ-A05</x:v>
      </x:c>
      <x:c r="I500" s="36" t="str">
        <x:v>Welche dieser Aussagen stammt aus Apostelgeschichte 11?</x:v>
      </x:c>
      <x:c r="J500" s="36" t="str"/>
      <x:c r="K500" s="36" t="str"/>
      <x:c r="L500" s="36" t="str">
        <x:v>REPO_VERIFIZIERT_FRAGEFORM</x:v>
      </x:c>
      <x:c r="M500" s="36" t="str">
        <x:v>ERSETZEN</x:v>
      </x:c>
      <x:c r="N500" s="36" t="str">
        <x:v>REPETITIVE_FRAGEFORM</x:v>
      </x:c>
      <x:c r="O500" s="36" t="str">
        <x:v>REINE_WIEDERERKENNUNG</x:v>
      </x:c>
      <x:c r="P500" s="36" t="str">
        <x:v>DETAIL</x:v>
      </x:c>
      <x:c r="Q500" s="36" t="str">
        <x:v>Wo werden die Jünger erstmals „Christen“ genannt?</x:v>
      </x:c>
      <x:c r="R500" s="36" t="str">
        <x:v>In Antiochia.</x:v>
      </x:c>
      <x:c r="S500" s="36" t="str">
        <x:v>In Jerusalem.</x:v>
      </x:c>
      <x:c r="T500" s="36" t="str">
        <x:v>In Damaskus.</x:v>
      </x:c>
      <x:c r="U500" s="36" t="str">
        <x:v>In Rom.</x:v>
      </x:c>
      <x:c r="V500" s="36" t="n">
        <x:v>0</x:v>
      </x:c>
      <x:c r="W500" s="36" t="str">
        <x:f>CHOOSE(V500+1,R500,S500,T500,U500)</x:f>
        <x:v>In Antiochia.</x:v>
      </x:c>
      <x:c r="X500" s="36" t="str">
        <x:v>Apostelgeschichte 11,25–26</x:v>
      </x:c>
      <x:c r="Y500" s="36" t="str">
        <x:v>Lukas erwähnt ausdrücklich, dass die Jünger in Antiochia zuerst Christen genannt werden.</x:v>
      </x:c>
      <x:c r="Z500" s="36" t="str">
        <x:v>JA</x:v>
      </x:c>
      <x:c r="AA500" s="36" t="str">
        <x:v>JA</x:v>
      </x:c>
      <x:c r="AB500" s="36" t="str">
        <x:v>JA</x:v>
      </x:c>
      <x:c r="AC500" s="36" t="str">
        <x:v>JA</x:v>
      </x:c>
      <x:c r="AD500" s="36" t="str">
        <x:v>JA</x:v>
      </x:c>
      <x:c r="AE500" s="36" t="str">
        <x:v>JA</x:v>
      </x:c>
      <x:c r="AF500" s="36" t="str">
        <x:v>JA</x:v>
      </x:c>
      <x:c r="AG500" s="36" t="str">
        <x:v>FREIGEGEBEN</x:v>
      </x:c>
      <x:c r="AH500" s="36" t="str">
        <x:v>GPT-5.6 Sol · Buchprüfung Apostelgeschichte · L1912/OTB</x:v>
      </x:c>
      <x:c r="AI500" s="36" t="str">
        <x:v>FREIGEGEBEN</x:v>
      </x:c>
      <x:c r="AJ500" s="36" t="str">
        <x:v>Apostelgeschichte 11: repetitive Wiedererkennungsfrage durch DETAIL-Frage ersetzt.</x:v>
      </x:c>
      <x:c r="AK500" s="36" t="str">
        <x:v>FaithPath repo develop/v4 · data/stories.json · data/bibles/l1912/ACT.json · data/bibles/otb/ACT.json</x:v>
      </x:c>
      <x:c r="AL500" t="str">
        <x:f>IF(AND(AG500="FREIGEGEBEN",AI500="FREIGEGEBEN",Q500&lt;&gt;"",R500&lt;&gt;"",S500&lt;&gt;"",T500&lt;&gt;"",U500&lt;&gt;"",ISNUMBER(V500),X500&lt;&gt;"",Y500&lt;&gt;"",AA500="JA",AB500="JA",AC500="JA",AD500="JA",AE500="JA",AF500="JA"),"JA","NEIN")</x:f>
        <x:v>JA</x:v>
      </x:c>
    </x:row>
    <x:row r="501">
      <x:c r="A501" t="str">
        <x:v>FP-0760</x:v>
      </x:c>
      <x:c r="B501" t="str">
        <x:v>ACT</x:v>
      </x:c>
      <x:c r="C501" t="str">
        <x:v>Apostelgeschichte</x:v>
      </x:c>
      <x:c r="D501" t="n">
        <x:v>11</x:v>
      </x:c>
      <x:c r="E501" t="n">
        <x:v>5</x:v>
      </x:c>
      <x:c r="F501" t="str">
        <x:v>ACT-011</x:v>
      </x:c>
      <x:c r="G501" t="n">
        <x:v>100</x:v>
      </x:c>
      <x:c r="H501" t="str">
        <x:v>CQ-A05</x:v>
      </x:c>
      <x:c r="I501" s="36" t="str">
        <x:v>Welche dieser Aussagen stammt aus Apostelgeschichte 11?</x:v>
      </x:c>
      <x:c r="J501" s="36" t="str"/>
      <x:c r="K501" s="36" t="str"/>
      <x:c r="L501" s="36" t="str">
        <x:v>REPO_VERIFIZIERT_FRAGEFORM</x:v>
      </x:c>
      <x:c r="M501" s="36" t="str">
        <x:v>ERSETZEN</x:v>
      </x:c>
      <x:c r="N501" s="36" t="str">
        <x:v>REPETITIVE_FRAGEFORM</x:v>
      </x:c>
      <x:c r="O501" s="36" t="str">
        <x:v>REINE_WIEDERERKENNUNG</x:v>
      </x:c>
      <x:c r="P501" s="36" t="str">
        <x:v>GESCHEHEN</x:v>
      </x:c>
      <x:c r="Q501" s="36" t="str">
        <x:v>Wie reagiert die Gemeinde auf die durch Agabus angekündigte Hungersnot?</x:v>
      </x:c>
      <x:c r="R501" s="36" t="str">
        <x:v>Sie ignorieren die Warnung.</x:v>
      </x:c>
      <x:c r="S501" s="36" t="str">
        <x:v>Die Jünger beschließen, den Geschwistern in Judäa entsprechend ihren Möglichkeiten Hilfe zu senden.</x:v>
      </x:c>
      <x:c r="T501" s="36" t="str">
        <x:v>Sie verlassen Antiochia vollständig.</x:v>
      </x:c>
      <x:c r="U501" s="36" t="str">
        <x:v>Sie sammeln nur für sich selbst Vorräte.</x:v>
      </x:c>
      <x:c r="V501" s="36" t="n">
        <x:v>1</x:v>
      </x:c>
      <x:c r="W501" s="36" t="str">
        <x:f>CHOOSE(V501+1,R501,S501,T501,U501)</x:f>
        <x:v>Die Jünger beschließen, den Geschwistern in Judäa entsprechend ihren Möglichkeiten Hilfe zu senden.</x:v>
      </x:c>
      <x:c r="X501" s="36" t="str">
        <x:v>Apostelgeschichte 11,27–30</x:v>
      </x:c>
      <x:c r="Y501" s="36" t="str">
        <x:v>Die Prophetie führt zu konkreter Solidarität: Die Gemeinde sendet Unterstützung an die Geschwister in Judäa.</x:v>
      </x:c>
      <x:c r="Z501" s="36" t="str">
        <x:v>JA</x:v>
      </x:c>
      <x:c r="AA501" s="36" t="str">
        <x:v>JA</x:v>
      </x:c>
      <x:c r="AB501" s="36" t="str">
        <x:v>JA</x:v>
      </x:c>
      <x:c r="AC501" s="36" t="str">
        <x:v>JA</x:v>
      </x:c>
      <x:c r="AD501" s="36" t="str">
        <x:v>JA</x:v>
      </x:c>
      <x:c r="AE501" s="36" t="str">
        <x:v>JA</x:v>
      </x:c>
      <x:c r="AF501" s="36" t="str">
        <x:v>JA</x:v>
      </x:c>
      <x:c r="AG501" s="36" t="str">
        <x:v>FREIGEGEBEN</x:v>
      </x:c>
      <x:c r="AH501" s="36" t="str">
        <x:v>GPT-5.6 Sol · Buchprüfung Apostelgeschichte · L1912/OTB</x:v>
      </x:c>
      <x:c r="AI501" s="36" t="str">
        <x:v>FREIGEGEBEN</x:v>
      </x:c>
      <x:c r="AJ501" s="36" t="str">
        <x:v>Apostelgeschichte 11: repetitive Wiedererkennungsfrage durch GESCHEHEN-Frage ersetzt.</x:v>
      </x:c>
      <x:c r="AK501" s="36" t="str">
        <x:v>FaithPath repo develop/v4 · data/stories.json · data/bibles/l1912/ACT.json · data/bibles/otb/ACT.json</x:v>
      </x:c>
      <x:c r="AL501" t="str">
        <x:f>IF(AND(AG501="FREIGEGEBEN",AI501="FREIGEGEBEN",Q501&lt;&gt;"",R501&lt;&gt;"",S501&lt;&gt;"",T501&lt;&gt;"",U501&lt;&gt;"",ISNUMBER(V501),X501&lt;&gt;"",Y501&lt;&gt;"",AA501="JA",AB501="JA",AC501="JA",AD501="JA",AE501="JA",AF501="JA"),"JA","NEIN")</x:f>
        <x:v>JA</x:v>
      </x:c>
    </x:row>
    <x:row r="502">
      <x:c r="A502" t="str">
        <x:v>FP-0761</x:v>
      </x:c>
      <x:c r="B502" t="str">
        <x:v>ACT</x:v>
      </x:c>
      <x:c r="C502" t="str">
        <x:v>Apostelgeschichte</x:v>
      </x:c>
      <x:c r="D502" t="n">
        <x:v>12</x:v>
      </x:c>
      <x:c r="E502" t="n">
        <x:v>1</x:v>
      </x:c>
      <x:c r="F502" t="str">
        <x:v>ACT-012</x:v>
      </x:c>
      <x:c r="G502" t="n">
        <x:v>101</x:v>
      </x:c>
      <x:c r="H502" t="str">
        <x:v>CQ-A06</x:v>
      </x:c>
      <x:c r="I502" s="36" t="str">
        <x:v>Welche dieser Aussagen stammt aus Apostelgeschichte 12?</x:v>
      </x:c>
      <x:c r="J502" s="36" t="str"/>
      <x:c r="K502" s="36" t="str"/>
      <x:c r="L502" s="36" t="str">
        <x:v>REPO_VERIFIZIERT_FRAGEFORM</x:v>
      </x:c>
      <x:c r="M502" s="36" t="str">
        <x:v>ERSETZEN</x:v>
      </x:c>
      <x:c r="N502" s="36" t="str">
        <x:v>REPETITIVE_FRAGEFORM</x:v>
      </x:c>
      <x:c r="O502" s="36" t="str">
        <x:v>REINE_WIEDERERKENNUNG</x:v>
      </x:c>
      <x:c r="P502" s="36" t="str">
        <x:v>GESCHEHEN</x:v>
      </x:c>
      <x:c r="Q502" s="36" t="str">
        <x:v>Was tut König Herodes zu Beginn von Apostelgeschichte 12?</x:v>
      </x:c>
      <x:c r="R502" s="36" t="str">
        <x:v>Er schließt Frieden mit der Gemeinde.</x:v>
      </x:c>
      <x:c r="S502" s="36" t="str">
        <x:v>Er setzt Petrus als Richter ein.</x:v>
      </x:c>
      <x:c r="T502" s="36" t="str">
        <x:v>Er lässt Jakobus töten und Petrus gefangen nehmen.</x:v>
      </x:c>
      <x:c r="U502" s="36" t="str">
        <x:v>Er bekehrt sich und lässt alle Gefangenen frei.</x:v>
      </x:c>
      <x:c r="V502" s="36" t="n">
        <x:v>2</x:v>
      </x:c>
      <x:c r="W502" s="36" t="str">
        <x:f>CHOOSE(V502+1,R502,S502,T502,U502)</x:f>
        <x:v>Er lässt Jakobus töten und Petrus gefangen nehmen.</x:v>
      </x:c>
      <x:c r="X502" s="36" t="str">
        <x:v>Apostelgeschichte 12,1–4</x:v>
      </x:c>
      <x:c r="Y502" s="36" t="str">
        <x:v>Herodes geht gewaltsam gegen die Gemeinde vor: Jakobus wird getötet, Petrus festgesetzt.</x:v>
      </x:c>
      <x:c r="Z502" s="36" t="str">
        <x:v>JA</x:v>
      </x:c>
      <x:c r="AA502" s="36" t="str">
        <x:v>JA</x:v>
      </x:c>
      <x:c r="AB502" s="36" t="str">
        <x:v>JA</x:v>
      </x:c>
      <x:c r="AC502" s="36" t="str">
        <x:v>JA</x:v>
      </x:c>
      <x:c r="AD502" s="36" t="str">
        <x:v>JA</x:v>
      </x:c>
      <x:c r="AE502" s="36" t="str">
        <x:v>JA</x:v>
      </x:c>
      <x:c r="AF502" s="36" t="str">
        <x:v>JA</x:v>
      </x:c>
      <x:c r="AG502" s="36" t="str">
        <x:v>FREIGEGEBEN</x:v>
      </x:c>
      <x:c r="AH502" s="36" t="str">
        <x:v>GPT-5.6 Sol · Buchprüfung Apostelgeschichte · L1912/OTB</x:v>
      </x:c>
      <x:c r="AI502" s="36" t="str">
        <x:v>FREIGEGEBEN</x:v>
      </x:c>
      <x:c r="AJ502" s="36" t="str">
        <x:v>Apostelgeschichte 12: repetitive Wiedererkennungsfrage durch GESCHEHEN-Frage ersetzt.</x:v>
      </x:c>
      <x:c r="AK502" s="36" t="str">
        <x:v>FaithPath repo develop/v4 · data/stories.json · data/bibles/l1912/ACT.json · data/bibles/otb/ACT.json</x:v>
      </x:c>
      <x:c r="AL502" t="str">
        <x:f>IF(AND(AG502="FREIGEGEBEN",AI502="FREIGEGEBEN",Q502&lt;&gt;"",R502&lt;&gt;"",S502&lt;&gt;"",T502&lt;&gt;"",U502&lt;&gt;"",ISNUMBER(V502),X502&lt;&gt;"",Y502&lt;&gt;"",AA502="JA",AB502="JA",AC502="JA",AD502="JA",AE502="JA",AF502="JA"),"JA","NEIN")</x:f>
        <x:v>JA</x:v>
      </x:c>
    </x:row>
    <x:row r="503">
      <x:c r="A503" t="str">
        <x:v>FP-0762</x:v>
      </x:c>
      <x:c r="B503" t="str">
        <x:v>ACT</x:v>
      </x:c>
      <x:c r="C503" t="str">
        <x:v>Apostelgeschichte</x:v>
      </x:c>
      <x:c r="D503" t="n">
        <x:v>12</x:v>
      </x:c>
      <x:c r="E503" t="n">
        <x:v>2</x:v>
      </x:c>
      <x:c r="F503" t="str">
        <x:v>ACT-012</x:v>
      </x:c>
      <x:c r="G503" t="n">
        <x:v>101</x:v>
      </x:c>
      <x:c r="H503" t="str">
        <x:v>CQ-A06</x:v>
      </x:c>
      <x:c r="I503" s="36" t="str">
        <x:v>Welche dieser Aussagen stammt aus Apostelgeschichte 12?</x:v>
      </x:c>
      <x:c r="J503" s="36" t="str"/>
      <x:c r="K503" s="36" t="str"/>
      <x:c r="L503" s="36" t="str">
        <x:v>REPO_VERIFIZIERT_FRAGEFORM</x:v>
      </x:c>
      <x:c r="M503" s="36" t="str">
        <x:v>ERSETZEN</x:v>
      </x:c>
      <x:c r="N503" s="36" t="str">
        <x:v>REPETITIVE_FRAGEFORM</x:v>
      </x:c>
      <x:c r="O503" s="36" t="str">
        <x:v>REINE_WIEDERERKENNUNG</x:v>
      </x:c>
      <x:c r="P503" s="36" t="str">
        <x:v>GESCHEHEN</x:v>
      </x:c>
      <x:c r="Q503" s="36" t="str">
        <x:v>Wie kommt Petrus aus dem Gefängnis frei?</x:v>
      </x:c>
      <x:c r="R503" s="36" t="str">
        <x:v>Die Gemeinde stürmt das Gefängnis.</x:v>
      </x:c>
      <x:c r="S503" s="36" t="str">
        <x:v>Herodes begnadigt ihn.</x:v>
      </x:c>
      <x:c r="T503" s="36" t="str">
        <x:v>Petrus bricht die Mauer auf.</x:v>
      </x:c>
      <x:c r="U503" s="36" t="str">
        <x:v>Ein Engel des Herrn weckt ihn, die Ketten fallen ab und die Türen öffnen sich.</x:v>
      </x:c>
      <x:c r="V503" s="36" t="n">
        <x:v>3</x:v>
      </x:c>
      <x:c r="W503" s="36" t="str">
        <x:f>CHOOSE(V503+1,R503,S503,T503,U503)</x:f>
        <x:v>Ein Engel des Herrn weckt ihn, die Ketten fallen ab und die Türen öffnen sich.</x:v>
      </x:c>
      <x:c r="X503" s="36" t="str">
        <x:v>Apostelgeschichte 12,5–11</x:v>
      </x:c>
      <x:c r="Y503" s="36" t="str">
        <x:v>Während die Gemeinde betet, führt ein Engel Petrus aus der Bewachung hinaus.</x:v>
      </x:c>
      <x:c r="Z503" s="36" t="str">
        <x:v>JA</x:v>
      </x:c>
      <x:c r="AA503" s="36" t="str">
        <x:v>JA</x:v>
      </x:c>
      <x:c r="AB503" s="36" t="str">
        <x:v>JA</x:v>
      </x:c>
      <x:c r="AC503" s="36" t="str">
        <x:v>JA</x:v>
      </x:c>
      <x:c r="AD503" s="36" t="str">
        <x:v>JA</x:v>
      </x:c>
      <x:c r="AE503" s="36" t="str">
        <x:v>JA</x:v>
      </x:c>
      <x:c r="AF503" s="36" t="str">
        <x:v>JA</x:v>
      </x:c>
      <x:c r="AG503" s="36" t="str">
        <x:v>FREIGEGEBEN</x:v>
      </x:c>
      <x:c r="AH503" s="36" t="str">
        <x:v>GPT-5.6 Sol · Buchprüfung Apostelgeschichte · L1912/OTB</x:v>
      </x:c>
      <x:c r="AI503" s="36" t="str">
        <x:v>FREIGEGEBEN</x:v>
      </x:c>
      <x:c r="AJ503" s="36" t="str">
        <x:v>Apostelgeschichte 12: repetitive Wiedererkennungsfrage durch GESCHEHEN-Frage ersetzt.</x:v>
      </x:c>
      <x:c r="AK503" s="36" t="str">
        <x:v>FaithPath repo develop/v4 · data/stories.json · data/bibles/l1912/ACT.json · data/bibles/otb/ACT.json</x:v>
      </x:c>
      <x:c r="AL503" t="str">
        <x:f>IF(AND(AG503="FREIGEGEBEN",AI503="FREIGEGEBEN",Q503&lt;&gt;"",R503&lt;&gt;"",S503&lt;&gt;"",T503&lt;&gt;"",U503&lt;&gt;"",ISNUMBER(V503),X503&lt;&gt;"",Y503&lt;&gt;"",AA503="JA",AB503="JA",AC503="JA",AD503="JA",AE503="JA",AF503="JA"),"JA","NEIN")</x:f>
        <x:v>JA</x:v>
      </x:c>
    </x:row>
    <x:row r="504">
      <x:c r="A504" t="str">
        <x:v>FP-0763</x:v>
      </x:c>
      <x:c r="B504" t="str">
        <x:v>ACT</x:v>
      </x:c>
      <x:c r="C504" t="str">
        <x:v>Apostelgeschichte</x:v>
      </x:c>
      <x:c r="D504" t="n">
        <x:v>12</x:v>
      </x:c>
      <x:c r="E504" t="n">
        <x:v>3</x:v>
      </x:c>
      <x:c r="F504" t="str">
        <x:v>ACT-012</x:v>
      </x:c>
      <x:c r="G504" t="n">
        <x:v>101</x:v>
      </x:c>
      <x:c r="H504" t="str">
        <x:v>CQ-A06</x:v>
      </x:c>
      <x:c r="I504" s="36" t="str">
        <x:v>Welche dieser Aussagen stammt aus Apostelgeschichte 12?</x:v>
      </x:c>
      <x:c r="J504" s="36" t="str"/>
      <x:c r="K504" s="36" t="str"/>
      <x:c r="L504" s="36" t="str">
        <x:v>REPO_VERIFIZIERT_FRAGEFORM</x:v>
      </x:c>
      <x:c r="M504" s="36" t="str">
        <x:v>ERSETZEN</x:v>
      </x:c>
      <x:c r="N504" s="36" t="str">
        <x:v>REPETITIVE_FRAGEFORM</x:v>
      </x:c>
      <x:c r="O504" s="36" t="str">
        <x:v>REINE_WIEDERERKENNUNG</x:v>
      </x:c>
      <x:c r="P504" s="36" t="str">
        <x:v>GESCHEHEN</x:v>
      </x:c>
      <x:c r="Q504" s="36" t="str">
        <x:v>Wie reagiert Rhoda, als sie Petrus vor der Tür erkennt?</x:v>
      </x:c>
      <x:c r="R504" s="36" t="str">
        <x:v>Vor Freude öffnet sie zunächst nicht, sondern läuft hinein und meldet, Petrus stehe draußen.</x:v>
      </x:c>
      <x:c r="S504" s="36" t="str">
        <x:v>Sie weist ihn ab.</x:v>
      </x:c>
      <x:c r="T504" s="36" t="str">
        <x:v>Sie ruft sofort Herodes.</x:v>
      </x:c>
      <x:c r="U504" s="36" t="str">
        <x:v>Sie erkennt ihn nicht.</x:v>
      </x:c>
      <x:c r="V504" s="36" t="n">
        <x:v>0</x:v>
      </x:c>
      <x:c r="W504" s="36" t="str">
        <x:f>CHOOSE(V504+1,R504,S504,T504,U504)</x:f>
        <x:v>Vor Freude öffnet sie zunächst nicht, sondern läuft hinein und meldet, Petrus stehe draußen.</x:v>
      </x:c>
      <x:c r="X504" s="36" t="str">
        <x:v>Apostelgeschichte 12,12–17</x:v>
      </x:c>
      <x:c r="Y504" s="36" t="str">
        <x:v>Rhoda erkennt Petrus an der Stimme und ist so außer sich vor Freude, dass sie zuerst die anderen informiert.</x:v>
      </x:c>
      <x:c r="Z504" s="36" t="str">
        <x:v>JA</x:v>
      </x:c>
      <x:c r="AA504" s="36" t="str">
        <x:v>JA</x:v>
      </x:c>
      <x:c r="AB504" s="36" t="str">
        <x:v>JA</x:v>
      </x:c>
      <x:c r="AC504" s="36" t="str">
        <x:v>JA</x:v>
      </x:c>
      <x:c r="AD504" s="36" t="str">
        <x:v>JA</x:v>
      </x:c>
      <x:c r="AE504" s="36" t="str">
        <x:v>JA</x:v>
      </x:c>
      <x:c r="AF504" s="36" t="str">
        <x:v>JA</x:v>
      </x:c>
      <x:c r="AG504" s="36" t="str">
        <x:v>FREIGEGEBEN</x:v>
      </x:c>
      <x:c r="AH504" s="36" t="str">
        <x:v>GPT-5.6 Sol · Buchprüfung Apostelgeschichte · L1912/OTB</x:v>
      </x:c>
      <x:c r="AI504" s="36" t="str">
        <x:v>FREIGEGEBEN</x:v>
      </x:c>
      <x:c r="AJ504" s="36" t="str">
        <x:v>Apostelgeschichte 12: repetitive Wiedererkennungsfrage durch GESCHEHEN-Frage ersetzt.</x:v>
      </x:c>
      <x:c r="AK504" s="36" t="str">
        <x:v>FaithPath repo develop/v4 · data/stories.json · data/bibles/l1912/ACT.json · data/bibles/otb/ACT.json</x:v>
      </x:c>
      <x:c r="AL504" t="str">
        <x:f>IF(AND(AG504="FREIGEGEBEN",AI504="FREIGEGEBEN",Q504&lt;&gt;"",R504&lt;&gt;"",S504&lt;&gt;"",T504&lt;&gt;"",U504&lt;&gt;"",ISNUMBER(V504),X504&lt;&gt;"",Y504&lt;&gt;"",AA504="JA",AB504="JA",AC504="JA",AD504="JA",AE504="JA",AF504="JA"),"JA","NEIN")</x:f>
        <x:v>JA</x:v>
      </x:c>
    </x:row>
    <x:row r="505">
      <x:c r="A505" t="str">
        <x:v>FP-0764</x:v>
      </x:c>
      <x:c r="B505" t="str">
        <x:v>ACT</x:v>
      </x:c>
      <x:c r="C505" t="str">
        <x:v>Apostelgeschichte</x:v>
      </x:c>
      <x:c r="D505" t="n">
        <x:v>12</x:v>
      </x:c>
      <x:c r="E505" t="n">
        <x:v>4</x:v>
      </x:c>
      <x:c r="F505" t="str">
        <x:v>ACT-012</x:v>
      </x:c>
      <x:c r="G505" t="n">
        <x:v>101</x:v>
      </x:c>
      <x:c r="H505" t="str">
        <x:v>CQ-A06</x:v>
      </x:c>
      <x:c r="I505" s="36" t="str">
        <x:v>Welche dieser Aussagen stammt aus Apostelgeschichte 12?</x:v>
      </x:c>
      <x:c r="J505" s="36" t="str"/>
      <x:c r="K505" s="36" t="str"/>
      <x:c r="L505" s="36" t="str">
        <x:v>REPO_VERIFIZIERT_FRAGEFORM</x:v>
      </x:c>
      <x:c r="M505" s="36" t="str">
        <x:v>ERSETZEN</x:v>
      </x:c>
      <x:c r="N505" s="36" t="str">
        <x:v>REPETITIVE_FRAGEFORM</x:v>
      </x:c>
      <x:c r="O505" s="36" t="str">
        <x:v>REINE_WIEDERERKENNUNG</x:v>
      </x:c>
      <x:c r="P505" s="36" t="str">
        <x:v>GESCHEHEN</x:v>
      </x:c>
      <x:c r="Q505" s="36" t="str">
        <x:v>Was geschieht mit Herodes, nachdem die Menge seine Rede wie die Stimme eines Gottes feiert?</x:v>
      </x:c>
      <x:c r="R505" s="36" t="str">
        <x:v>Er wird zum Apostel ernannt.</x:v>
      </x:c>
      <x:c r="S505" s="36" t="str">
        <x:v>Ein Engel des Herrn schlägt ihn, weil er Gott nicht die Ehre gibt.</x:v>
      </x:c>
      <x:c r="T505" s="36" t="str">
        <x:v>Er verlässt den Thron freiwillig.</x:v>
      </x:c>
      <x:c r="U505" s="36" t="str">
        <x:v>Petrus setzt ihn ab.</x:v>
      </x:c>
      <x:c r="V505" s="36" t="n">
        <x:v>1</x:v>
      </x:c>
      <x:c r="W505" s="36" t="str">
        <x:f>CHOOSE(V505+1,R505,S505,T505,U505)</x:f>
        <x:v>Ein Engel des Herrn schlägt ihn, weil er Gott nicht die Ehre gibt.</x:v>
      </x:c>
      <x:c r="X505" s="36" t="str">
        <x:v>Apostelgeschichte 12,20–23</x:v>
      </x:c>
      <x:c r="Y505" s="36" t="str">
        <x:v>Lukas verbindet Herodes' Tod ausdrücklich damit, dass er die göttliche Verehrung annimmt und Gott nicht die Ehre gibt.</x:v>
      </x:c>
      <x:c r="Z505" s="36" t="str">
        <x:v>JA</x:v>
      </x:c>
      <x:c r="AA505" s="36" t="str">
        <x:v>JA</x:v>
      </x:c>
      <x:c r="AB505" s="36" t="str">
        <x:v>JA</x:v>
      </x:c>
      <x:c r="AC505" s="36" t="str">
        <x:v>JA</x:v>
      </x:c>
      <x:c r="AD505" s="36" t="str">
        <x:v>JA</x:v>
      </x:c>
      <x:c r="AE505" s="36" t="str">
        <x:v>JA</x:v>
      </x:c>
      <x:c r="AF505" s="36" t="str">
        <x:v>JA</x:v>
      </x:c>
      <x:c r="AG505" s="36" t="str">
        <x:v>FREIGEGEBEN</x:v>
      </x:c>
      <x:c r="AH505" s="36" t="str">
        <x:v>GPT-5.6 Sol · Buchprüfung Apostelgeschichte · L1912/OTB</x:v>
      </x:c>
      <x:c r="AI505" s="36" t="str">
        <x:v>FREIGEGEBEN</x:v>
      </x:c>
      <x:c r="AJ505" s="36" t="str">
        <x:v>Apostelgeschichte 12: repetitive Wiedererkennungsfrage durch GESCHEHEN-Frage ersetzt.</x:v>
      </x:c>
      <x:c r="AK505" s="36" t="str">
        <x:v>FaithPath repo develop/v4 · data/stories.json · data/bibles/l1912/ACT.json · data/bibles/otb/ACT.json</x:v>
      </x:c>
      <x:c r="AL505" t="str">
        <x:f>IF(AND(AG505="FREIGEGEBEN",AI505="FREIGEGEBEN",Q505&lt;&gt;"",R505&lt;&gt;"",S505&lt;&gt;"",T505&lt;&gt;"",U505&lt;&gt;"",ISNUMBER(V505),X505&lt;&gt;"",Y505&lt;&gt;"",AA505="JA",AB505="JA",AC505="JA",AD505="JA",AE505="JA",AF505="JA"),"JA","NEIN")</x:f>
        <x:v>JA</x:v>
      </x:c>
    </x:row>
    <x:row r="506">
      <x:c r="A506" t="str">
        <x:v>FP-0765</x:v>
      </x:c>
      <x:c r="B506" t="str">
        <x:v>ACT</x:v>
      </x:c>
      <x:c r="C506" t="str">
        <x:v>Apostelgeschichte</x:v>
      </x:c>
      <x:c r="D506" t="n">
        <x:v>12</x:v>
      </x:c>
      <x:c r="E506" t="n">
        <x:v>5</x:v>
      </x:c>
      <x:c r="F506" t="str">
        <x:v>ACT-012</x:v>
      </x:c>
      <x:c r="G506" t="n">
        <x:v>101</x:v>
      </x:c>
      <x:c r="H506" t="str">
        <x:v>CQ-A06</x:v>
      </x:c>
      <x:c r="I506" s="36" t="str">
        <x:v>Welche dieser Aussagen stammt aus Apostelgeschichte 12?</x:v>
      </x:c>
      <x:c r="J506" s="36" t="str"/>
      <x:c r="K506" s="36" t="str"/>
      <x:c r="L506" s="36" t="str">
        <x:v>REPO_VERIFIZIERT_FRAGEFORM</x:v>
      </x:c>
      <x:c r="M506" s="36" t="str">
        <x:v>ERSETZEN</x:v>
      </x:c>
      <x:c r="N506" s="36" t="str">
        <x:v>REPETITIVE_FRAGEFORM</x:v>
      </x:c>
      <x:c r="O506" s="36" t="str">
        <x:v>REINE_WIEDERERKENNUNG</x:v>
      </x:c>
      <x:c r="P506" s="36" t="str">
        <x:v>KERNAUSSAGE</x:v>
      </x:c>
      <x:c r="Q506" s="36" t="str">
        <x:v>Wie fasst Lukas die Entwicklung trotz der Verfolgung zusammen?</x:v>
      </x:c>
      <x:c r="R506" s="36" t="str">
        <x:v>Die Gemeinde verschwindet.</x:v>
      </x:c>
      <x:c r="S506" s="36" t="str">
        <x:v>Niemand predigt mehr.</x:v>
      </x:c>
      <x:c r="T506" s="36" t="str">
        <x:v>Das Wort Gottes wächst und breitet sich aus.</x:v>
      </x:c>
      <x:c r="U506" s="36" t="str">
        <x:v>Das Evangelium bleibt auf Jerusalem beschränkt.</x:v>
      </x:c>
      <x:c r="V506" s="36" t="n">
        <x:v>2</x:v>
      </x:c>
      <x:c r="W506" s="36" t="str">
        <x:f>CHOOSE(V506+1,R506,S506,T506,U506)</x:f>
        <x:v>Das Wort Gottes wächst und breitet sich aus.</x:v>
      </x:c>
      <x:c r="X506" s="36" t="str">
        <x:v>Apostelgeschichte 12,24–25</x:v>
      </x:c>
      <x:c r="Y506" s="36" t="str">
        <x:v>Trotz Widerstand und Gewalt wächst die Botschaft weiter.</x:v>
      </x:c>
      <x:c r="Z506" s="36" t="str">
        <x:v>JA</x:v>
      </x:c>
      <x:c r="AA506" s="36" t="str">
        <x:v>JA</x:v>
      </x:c>
      <x:c r="AB506" s="36" t="str">
        <x:v>JA</x:v>
      </x:c>
      <x:c r="AC506" s="36" t="str">
        <x:v>JA</x:v>
      </x:c>
      <x:c r="AD506" s="36" t="str">
        <x:v>JA</x:v>
      </x:c>
      <x:c r="AE506" s="36" t="str">
        <x:v>JA</x:v>
      </x:c>
      <x:c r="AF506" s="36" t="str">
        <x:v>JA</x:v>
      </x:c>
      <x:c r="AG506" s="36" t="str">
        <x:v>FREIGEGEBEN</x:v>
      </x:c>
      <x:c r="AH506" s="36" t="str">
        <x:v>GPT-5.6 Sol · Buchprüfung Apostelgeschichte · L1912/OTB</x:v>
      </x:c>
      <x:c r="AI506" s="36" t="str">
        <x:v>FREIGEGEBEN</x:v>
      </x:c>
      <x:c r="AJ506" s="36" t="str">
        <x:v>Apostelgeschichte 12: repetitive Wiedererkennungsfrage durch KERNAUSSAGE-Frage ersetzt.</x:v>
      </x:c>
      <x:c r="AK506" s="36" t="str">
        <x:v>FaithPath repo develop/v4 · data/stories.json · data/bibles/l1912/ACT.json · data/bibles/otb/ACT.json</x:v>
      </x:c>
      <x:c r="AL506" t="str">
        <x:f>IF(AND(AG506="FREIGEGEBEN",AI506="FREIGEGEBEN",Q506&lt;&gt;"",R506&lt;&gt;"",S506&lt;&gt;"",T506&lt;&gt;"",U506&lt;&gt;"",ISNUMBER(V506),X506&lt;&gt;"",Y506&lt;&gt;"",AA506="JA",AB506="JA",AC506="JA",AD506="JA",AE506="JA",AF506="JA"),"JA","NEIN")</x:f>
        <x:v>JA</x:v>
      </x:c>
    </x:row>
    <x:row r="507">
      <x:c r="A507" t="str">
        <x:v>FP-0766</x:v>
      </x:c>
      <x:c r="B507" t="str">
        <x:v>ACT</x:v>
      </x:c>
      <x:c r="C507" t="str">
        <x:v>Apostelgeschichte</x:v>
      </x:c>
      <x:c r="D507" t="n">
        <x:v>13</x:v>
      </x:c>
      <x:c r="E507" t="n">
        <x:v>1</x:v>
      </x:c>
      <x:c r="F507" t="str">
        <x:v>ACT-013</x:v>
      </x:c>
      <x:c r="G507" t="n">
        <x:v>102</x:v>
      </x:c>
      <x:c r="H507" t="str">
        <x:v>CQ-A06</x:v>
      </x:c>
      <x:c r="I507" s="36" t="str">
        <x:v>Welche dieser Aussagen stammt aus Apostelgeschichte 13?</x:v>
      </x:c>
      <x:c r="J507" s="36" t="str"/>
      <x:c r="K507" s="36" t="str"/>
      <x:c r="L507" s="36" t="str">
        <x:v>REPO_VERIFIZIERT_FRAGEFORM</x:v>
      </x:c>
      <x:c r="M507" s="36" t="str">
        <x:v>ERSETZEN</x:v>
      </x:c>
      <x:c r="N507" s="36" t="str">
        <x:v>REPETITIVE_FRAGEFORM</x:v>
      </x:c>
      <x:c r="O507" s="36" t="str">
        <x:v>REINE_WIEDERERKENNUNG</x:v>
      </x:c>
      <x:c r="P507" s="36" t="str">
        <x:v>GESCHEHEN</x:v>
      </x:c>
      <x:c r="Q507" s="36" t="str">
        <x:v>Wie beginnt die erste ausgesandte Missionsreise von Barnabas und Saulus?</x:v>
      </x:c>
      <x:c r="R507" s="36" t="str">
        <x:v>Sie reisen ohne Wissen der Gemeinde ab.</x:v>
      </x:c>
      <x:c r="S507" s="36" t="str">
        <x:v>Der Hohe Rat schickt sie.</x:v>
      </x:c>
      <x:c r="T507" s="36" t="str">
        <x:v>Ein römischer Beamter erteilt ihnen den Auftrag.</x:v>
      </x:c>
      <x:c r="U507" s="36" t="str">
        <x:v>Der Heilige Geist lässt sie durch die Gemeinde in Antiochia für das Werk aussondern und aussenden.</x:v>
      </x:c>
      <x:c r="V507" s="36" t="n">
        <x:v>3</x:v>
      </x:c>
      <x:c r="W507" s="36" t="str">
        <x:f>CHOOSE(V507+1,R507,S507,T507,U507)</x:f>
        <x:v>Der Heilige Geist lässt sie durch die Gemeinde in Antiochia für das Werk aussondern und aussenden.</x:v>
      </x:c>
      <x:c r="X507" s="36" t="str">
        <x:v>Apostelgeschichte 13,1–3</x:v>
      </x:c>
      <x:c r="Y507" s="36" t="str">
        <x:v>Während Gottesdienst und Fasten weist der Heilige Geist die Gemeinde an, Barnabas und Saulus auszusondern.</x:v>
      </x:c>
      <x:c r="Z507" s="36" t="str">
        <x:v>JA</x:v>
      </x:c>
      <x:c r="AA507" s="36" t="str">
        <x:v>JA</x:v>
      </x:c>
      <x:c r="AB507" s="36" t="str">
        <x:v>JA</x:v>
      </x:c>
      <x:c r="AC507" s="36" t="str">
        <x:v>JA</x:v>
      </x:c>
      <x:c r="AD507" s="36" t="str">
        <x:v>JA</x:v>
      </x:c>
      <x:c r="AE507" s="36" t="str">
        <x:v>JA</x:v>
      </x:c>
      <x:c r="AF507" s="36" t="str">
        <x:v>JA</x:v>
      </x:c>
      <x:c r="AG507" s="36" t="str">
        <x:v>FREIGEGEBEN</x:v>
      </x:c>
      <x:c r="AH507" s="36" t="str">
        <x:v>GPT-5.6 Sol · Buchprüfung Apostelgeschichte · L1912/OTB</x:v>
      </x:c>
      <x:c r="AI507" s="36" t="str">
        <x:v>FREIGEGEBEN</x:v>
      </x:c>
      <x:c r="AJ507" s="36" t="str">
        <x:v>Apostelgeschichte 13: repetitive Wiedererkennungsfrage durch GESCHEHEN-Frage ersetzt.</x:v>
      </x:c>
      <x:c r="AK507" s="36" t="str">
        <x:v>FaithPath repo develop/v4 · data/stories.json · data/bibles/l1912/ACT.json · data/bibles/otb/ACT.json</x:v>
      </x:c>
      <x:c r="AL507" t="str">
        <x:f>IF(AND(AG507="FREIGEGEBEN",AI507="FREIGEGEBEN",Q507&lt;&gt;"",R507&lt;&gt;"",S507&lt;&gt;"",T507&lt;&gt;"",U507&lt;&gt;"",ISNUMBER(V507),X507&lt;&gt;"",Y507&lt;&gt;"",AA507="JA",AB507="JA",AC507="JA",AD507="JA",AE507="JA",AF507="JA"),"JA","NEIN")</x:f>
        <x:v>JA</x:v>
      </x:c>
    </x:row>
    <x:row r="508">
      <x:c r="A508" t="str">
        <x:v>FP-0767</x:v>
      </x:c>
      <x:c r="B508" t="str">
        <x:v>ACT</x:v>
      </x:c>
      <x:c r="C508" t="str">
        <x:v>Apostelgeschichte</x:v>
      </x:c>
      <x:c r="D508" t="n">
        <x:v>13</x:v>
      </x:c>
      <x:c r="E508" t="n">
        <x:v>2</x:v>
      </x:c>
      <x:c r="F508" t="str">
        <x:v>ACT-013</x:v>
      </x:c>
      <x:c r="G508" t="n">
        <x:v>102</x:v>
      </x:c>
      <x:c r="H508" t="str">
        <x:v>CQ-A06</x:v>
      </x:c>
      <x:c r="I508" s="36" t="str">
        <x:v>Welche dieser Aussagen stammt aus Apostelgeschichte 13?</x:v>
      </x:c>
      <x:c r="J508" s="36" t="str"/>
      <x:c r="K508" s="36" t="str"/>
      <x:c r="L508" s="36" t="str">
        <x:v>REPO_VERIFIZIERT_FRAGEFORM</x:v>
      </x:c>
      <x:c r="M508" s="36" t="str">
        <x:v>ERSETZEN</x:v>
      </x:c>
      <x:c r="N508" s="36" t="str">
        <x:v>REPETITIVE_FRAGEFORM</x:v>
      </x:c>
      <x:c r="O508" s="36" t="str">
        <x:v>REINE_WIEDERERKENNUNG</x:v>
      </x:c>
      <x:c r="P508" s="36" t="str">
        <x:v>GESCHEHEN</x:v>
      </x:c>
      <x:c r="Q508" s="36" t="str">
        <x:v>Was geschieht mit Elymas, der den Statthalter vom Glauben abhalten will?</x:v>
      </x:c>
      <x:c r="R508" s="36" t="str">
        <x:v>Paulus kündigt ihm vorübergehende Blindheit an, und der Statthalter glaubt.</x:v>
      </x:c>
      <x:c r="S508" s="36" t="str">
        <x:v>Er wird zum Apostel gewählt.</x:v>
      </x:c>
      <x:c r="T508" s="36" t="str">
        <x:v>Barnabas lässt ihn verhaften.</x:v>
      </x:c>
      <x:c r="U508" s="36" t="str">
        <x:v>Er überzeugt Paulus, die Insel zu verlassen.</x:v>
      </x:c>
      <x:c r="V508" s="36" t="n">
        <x:v>0</x:v>
      </x:c>
      <x:c r="W508" s="36" t="str">
        <x:f>CHOOSE(V508+1,R508,S508,T508,U508)</x:f>
        <x:v>Paulus kündigt ihm vorübergehende Blindheit an, und der Statthalter glaubt.</x:v>
      </x:c>
      <x:c r="X508" s="36" t="str">
        <x:v>Apostelgeschichte 13,6–12</x:v>
      </x:c>
      <x:c r="Y508" s="36" t="str">
        <x:v>Elymas widersetzt sich; Paulus konfrontiert ihn, und das Zeichen trägt dazu bei, dass der Statthalter glaubt.</x:v>
      </x:c>
      <x:c r="Z508" s="36" t="str">
        <x:v>JA</x:v>
      </x:c>
      <x:c r="AA508" s="36" t="str">
        <x:v>JA</x:v>
      </x:c>
      <x:c r="AB508" s="36" t="str">
        <x:v>JA</x:v>
      </x:c>
      <x:c r="AC508" s="36" t="str">
        <x:v>JA</x:v>
      </x:c>
      <x:c r="AD508" s="36" t="str">
        <x:v>JA</x:v>
      </x:c>
      <x:c r="AE508" s="36" t="str">
        <x:v>JA</x:v>
      </x:c>
      <x:c r="AF508" s="36" t="str">
        <x:v>JA</x:v>
      </x:c>
      <x:c r="AG508" s="36" t="str">
        <x:v>FREIGEGEBEN</x:v>
      </x:c>
      <x:c r="AH508" s="36" t="str">
        <x:v>GPT-5.6 Sol · Buchprüfung Apostelgeschichte · L1912/OTB</x:v>
      </x:c>
      <x:c r="AI508" s="36" t="str">
        <x:v>FREIGEGEBEN</x:v>
      </x:c>
      <x:c r="AJ508" s="36" t="str">
        <x:v>Apostelgeschichte 13: repetitive Wiedererkennungsfrage durch GESCHEHEN-Frage ersetzt.</x:v>
      </x:c>
      <x:c r="AK508" s="36" t="str">
        <x:v>FaithPath repo develop/v4 · data/stories.json · data/bibles/l1912/ACT.json · data/bibles/otb/ACT.json</x:v>
      </x:c>
      <x:c r="AL508" t="str">
        <x:f>IF(AND(AG508="FREIGEGEBEN",AI508="FREIGEGEBEN",Q508&lt;&gt;"",R508&lt;&gt;"",S508&lt;&gt;"",T508&lt;&gt;"",U508&lt;&gt;"",ISNUMBER(V508),X508&lt;&gt;"",Y508&lt;&gt;"",AA508="JA",AB508="JA",AC508="JA",AD508="JA",AE508="JA",AF508="JA"),"JA","NEIN")</x:f>
        <x:v>JA</x:v>
      </x:c>
    </x:row>
    <x:row r="509">
      <x:c r="A509" t="str">
        <x:v>FP-0768</x:v>
      </x:c>
      <x:c r="B509" t="str">
        <x:v>ACT</x:v>
      </x:c>
      <x:c r="C509" t="str">
        <x:v>Apostelgeschichte</x:v>
      </x:c>
      <x:c r="D509" t="n">
        <x:v>13</x:v>
      </x:c>
      <x:c r="E509" t="n">
        <x:v>3</x:v>
      </x:c>
      <x:c r="F509" t="str">
        <x:v>ACT-013</x:v>
      </x:c>
      <x:c r="G509" t="n">
        <x:v>102</x:v>
      </x:c>
      <x:c r="H509" t="str">
        <x:v>CQ-A06</x:v>
      </x:c>
      <x:c r="I509" s="36" t="str">
        <x:v>Welche dieser Aussagen stammt aus Apostelgeschichte 13?</x:v>
      </x:c>
      <x:c r="J509" s="36" t="str"/>
      <x:c r="K509" s="36" t="str"/>
      <x:c r="L509" s="36" t="str">
        <x:v>REPO_VERIFIZIERT_FRAGEFORM</x:v>
      </x:c>
      <x:c r="M509" s="36" t="str">
        <x:v>ERSETZEN</x:v>
      </x:c>
      <x:c r="N509" s="36" t="str">
        <x:v>REPETITIVE_FRAGEFORM</x:v>
      </x:c>
      <x:c r="O509" s="36" t="str">
        <x:v>REINE_WIEDERERKENNUNG</x:v>
      </x:c>
      <x:c r="P509" s="36" t="str">
        <x:v>ZUSAMMENHANG</x:v>
      </x:c>
      <x:c r="Q509" s="36" t="str">
        <x:v>Auf wen läuft Paulus' Rückblick auf Israels Geschichte in seiner Predigt hinaus?</x:v>
      </x:c>
      <x:c r="R509" s="36" t="str">
        <x:v>Auf Salomo als endgültigen Retter.</x:v>
      </x:c>
      <x:c r="S509" s="36" t="str">
        <x:v>Auf Jesus als den verheißenen Retter aus Davids Nachkommenschaft.</x:v>
      </x:c>
      <x:c r="T509" s="36" t="str">
        <x:v>Auf Johannes den Täufer als Messias.</x:v>
      </x:c>
      <x:c r="U509" s="36" t="str">
        <x:v>Auf den römischen Kaiser.</x:v>
      </x:c>
      <x:c r="V509" s="36" t="n">
        <x:v>1</x:v>
      </x:c>
      <x:c r="W509" s="36" t="str">
        <x:f>CHOOSE(V509+1,R509,S509,T509,U509)</x:f>
        <x:v>Auf Jesus als den verheißenen Retter aus Davids Nachkommenschaft.</x:v>
      </x:c>
      <x:c r="X509" s="36" t="str">
        <x:v>Apostelgeschichte 13,16–23</x:v>
      </x:c>
      <x:c r="Y509" s="36" t="str">
        <x:v>Paulus zeichnet Israels Geschichte bis David nach und führt die Verheißung dann zu Jesus.</x:v>
      </x:c>
      <x:c r="Z509" s="36" t="str">
        <x:v>JA</x:v>
      </x:c>
      <x:c r="AA509" s="36" t="str">
        <x:v>JA</x:v>
      </x:c>
      <x:c r="AB509" s="36" t="str">
        <x:v>JA</x:v>
      </x:c>
      <x:c r="AC509" s="36" t="str">
        <x:v>JA</x:v>
      </x:c>
      <x:c r="AD509" s="36" t="str">
        <x:v>JA</x:v>
      </x:c>
      <x:c r="AE509" s="36" t="str">
        <x:v>JA</x:v>
      </x:c>
      <x:c r="AF509" s="36" t="str">
        <x:v>JA</x:v>
      </x:c>
      <x:c r="AG509" s="36" t="str">
        <x:v>FREIGEGEBEN</x:v>
      </x:c>
      <x:c r="AH509" s="36" t="str">
        <x:v>GPT-5.6 Sol · Buchprüfung Apostelgeschichte · L1912/OTB</x:v>
      </x:c>
      <x:c r="AI509" s="36" t="str">
        <x:v>FREIGEGEBEN</x:v>
      </x:c>
      <x:c r="AJ509" s="36" t="str">
        <x:v>Apostelgeschichte 13: repetitive Wiedererkennungsfrage durch ZUSAMMENHANG-Frage ersetzt.</x:v>
      </x:c>
      <x:c r="AK509" s="36" t="str">
        <x:v>FaithPath repo develop/v4 · data/stories.json · data/bibles/l1912/ACT.json · data/bibles/otb/ACT.json</x:v>
      </x:c>
      <x:c r="AL509" t="str">
        <x:f>IF(AND(AG509="FREIGEGEBEN",AI509="FREIGEGEBEN",Q509&lt;&gt;"",R509&lt;&gt;"",S509&lt;&gt;"",T509&lt;&gt;"",U509&lt;&gt;"",ISNUMBER(V509),X509&lt;&gt;"",Y509&lt;&gt;"",AA509="JA",AB509="JA",AC509="JA",AD509="JA",AE509="JA",AF509="JA"),"JA","NEIN")</x:f>
        <x:v>JA</x:v>
      </x:c>
    </x:row>
    <x:row r="510">
      <x:c r="A510" t="str">
        <x:v>FP-0769</x:v>
      </x:c>
      <x:c r="B510" t="str">
        <x:v>ACT</x:v>
      </x:c>
      <x:c r="C510" t="str">
        <x:v>Apostelgeschichte</x:v>
      </x:c>
      <x:c r="D510" t="n">
        <x:v>13</x:v>
      </x:c>
      <x:c r="E510" t="n">
        <x:v>4</x:v>
      </x:c>
      <x:c r="F510" t="str">
        <x:v>ACT-013</x:v>
      </x:c>
      <x:c r="G510" t="n">
        <x:v>102</x:v>
      </x:c>
      <x:c r="H510" t="str">
        <x:v>CQ-A06</x:v>
      </x:c>
      <x:c r="I510" s="36" t="str">
        <x:v>Welche dieser Aussagen stammt aus Apostelgeschichte 13?</x:v>
      </x:c>
      <x:c r="J510" s="36" t="str"/>
      <x:c r="K510" s="36" t="str"/>
      <x:c r="L510" s="36" t="str">
        <x:v>REPO_VERIFIZIERT_FRAGEFORM</x:v>
      </x:c>
      <x:c r="M510" s="36" t="str">
        <x:v>ERSETZEN</x:v>
      </x:c>
      <x:c r="N510" s="36" t="str">
        <x:v>REPETITIVE_FRAGEFORM</x:v>
      </x:c>
      <x:c r="O510" s="36" t="str">
        <x:v>REINE_WIEDERERKENNUNG</x:v>
      </x:c>
      <x:c r="P510" s="36" t="str">
        <x:v>KERNAUSSAGE</x:v>
      </x:c>
      <x:c r="Q510" s="36" t="str">
        <x:v>Was verkündet Paulus über Vergebung und Rechtfertigung durch Jesus?</x:v>
      </x:c>
      <x:c r="R510" s="36" t="str">
        <x:v>Vergebung gibt es nur durch Tempelopfer.</x:v>
      </x:c>
      <x:c r="S510" s="36" t="str">
        <x:v>Nur Juden können Vergebung empfangen.</x:v>
      </x:c>
      <x:c r="T510" s="36" t="str">
        <x:v>Durch Jesus wird Vergebung verkündet, und Glaubende werden von dem gerechtfertigt, wovon das Gesetz des Mose sie nicht freisprechen konnte.</x:v>
      </x:c>
      <x:c r="U510" s="36" t="str">
        <x:v>Vergebung ist im neuen Bund nicht mehr nötig.</x:v>
      </x:c>
      <x:c r="V510" s="36" t="n">
        <x:v>2</x:v>
      </x:c>
      <x:c r="W510" s="36" t="str">
        <x:f>CHOOSE(V510+1,R510,S510,T510,U510)</x:f>
        <x:v>Durch Jesus wird Vergebung verkündet, und Glaubende werden von dem gerechtfertigt, wovon das Gesetz des Mose sie nicht freisprechen konnte.</x:v>
      </x:c>
      <x:c r="X510" s="36" t="str">
        <x:v>Apostelgeschichte 13,38–39</x:v>
      </x:c>
      <x:c r="Y510" s="36" t="str">
        <x:v>Paulus stellt die Vergebung und Rechtfertigung durch Jesus in den Mittelpunkt.</x:v>
      </x:c>
      <x:c r="Z510" s="36" t="str">
        <x:v>JA</x:v>
      </x:c>
      <x:c r="AA510" s="36" t="str">
        <x:v>JA</x:v>
      </x:c>
      <x:c r="AB510" s="36" t="str">
        <x:v>JA</x:v>
      </x:c>
      <x:c r="AC510" s="36" t="str">
        <x:v>JA</x:v>
      </x:c>
      <x:c r="AD510" s="36" t="str">
        <x:v>JA</x:v>
      </x:c>
      <x:c r="AE510" s="36" t="str">
        <x:v>JA</x:v>
      </x:c>
      <x:c r="AF510" s="36" t="str">
        <x:v>JA</x:v>
      </x:c>
      <x:c r="AG510" s="36" t="str">
        <x:v>FREIGEGEBEN</x:v>
      </x:c>
      <x:c r="AH510" s="36" t="str">
        <x:v>GPT-5.6 Sol · Buchprüfung Apostelgeschichte · L1912/OTB</x:v>
      </x:c>
      <x:c r="AI510" s="36" t="str">
        <x:v>FREIGEGEBEN</x:v>
      </x:c>
      <x:c r="AJ510" s="36" t="str">
        <x:v>Apostelgeschichte 13: repetitive Wiedererkennungsfrage durch KERNAUSSAGE-Frage ersetzt.</x:v>
      </x:c>
      <x:c r="AK510" s="36" t="str">
        <x:v>FaithPath repo develop/v4 · data/stories.json · data/bibles/l1912/ACT.json · data/bibles/otb/ACT.json</x:v>
      </x:c>
      <x:c r="AL510" t="str">
        <x:f>IF(AND(AG510="FREIGEGEBEN",AI510="FREIGEGEBEN",Q510&lt;&gt;"",R510&lt;&gt;"",S510&lt;&gt;"",T510&lt;&gt;"",U510&lt;&gt;"",ISNUMBER(V510),X510&lt;&gt;"",Y510&lt;&gt;"",AA510="JA",AB510="JA",AC510="JA",AD510="JA",AE510="JA",AF510="JA"),"JA","NEIN")</x:f>
        <x:v>JA</x:v>
      </x:c>
    </x:row>
    <x:row r="511">
      <x:c r="A511" t="str">
        <x:v>FP-0770</x:v>
      </x:c>
      <x:c r="B511" t="str">
        <x:v>ACT</x:v>
      </x:c>
      <x:c r="C511" t="str">
        <x:v>Apostelgeschichte</x:v>
      </x:c>
      <x:c r="D511" t="n">
        <x:v>13</x:v>
      </x:c>
      <x:c r="E511" t="n">
        <x:v>5</x:v>
      </x:c>
      <x:c r="F511" t="str">
        <x:v>ACT-013</x:v>
      </x:c>
      <x:c r="G511" t="n">
        <x:v>102</x:v>
      </x:c>
      <x:c r="H511" t="str">
        <x:v>CQ-A06</x:v>
      </x:c>
      <x:c r="I511" s="36" t="str">
        <x:v>Welche dieser Aussagen stammt aus Apostelgeschichte 13?</x:v>
      </x:c>
      <x:c r="J511" s="36" t="str"/>
      <x:c r="K511" s="36" t="str"/>
      <x:c r="L511" s="36" t="str">
        <x:v>REPO_VERIFIZIERT_FRAGEFORM</x:v>
      </x:c>
      <x:c r="M511" s="36" t="str">
        <x:v>ERSETZEN</x:v>
      </x:c>
      <x:c r="N511" s="36" t="str">
        <x:v>REPETITIVE_FRAGEFORM</x:v>
      </x:c>
      <x:c r="O511" s="36" t="str">
        <x:v>REINE_WIEDERERKENNUNG</x:v>
      </x:c>
      <x:c r="P511" s="36" t="str">
        <x:v>ZUSAMMENHANG</x:v>
      </x:c>
      <x:c r="Q511" s="36" t="str">
        <x:v>Warum wenden sich Paulus und Barnabas in Antiochia verstärkt den Nichtjuden zu?</x:v>
      </x:c>
      <x:c r="R511" s="36" t="str">
        <x:v>Weil Nichtjuden mehr Geld bieten.</x:v>
      </x:c>
      <x:c r="S511" s="36" t="str">
        <x:v>Weil sie aus der Synagoge nie sprechen durften.</x:v>
      </x:c>
      <x:c r="T511" s="36" t="str">
        <x:v>Weil Johannes Markus es verlangt.</x:v>
      </x:c>
      <x:c r="U511" s="36" t="str">
        <x:v>Weil ein Teil der jüdischen Zuhörer die Botschaft ablehnt; sie verstehen sich zugleich als Licht für die Völker.</x:v>
      </x:c>
      <x:c r="V511" s="36" t="n">
        <x:v>3</x:v>
      </x:c>
      <x:c r="W511" s="36" t="str">
        <x:f>CHOOSE(V511+1,R511,S511,T511,U511)</x:f>
        <x:v>Weil ein Teil der jüdischen Zuhörer die Botschaft ablehnt; sie verstehen sich zugleich als Licht für die Völker.</x:v>
      </x:c>
      <x:c r="X511" s="36" t="str">
        <x:v>Apostelgeschichte 13,44–48</x:v>
      </x:c>
      <x:c r="Y511" s="36" t="str">
        <x:v>Nach Widerstand erklären Paulus und Barnabas, dass sie sich den Völkern zuwenden; viele Nichtjuden freuen sich darüber.</x:v>
      </x:c>
      <x:c r="Z511" s="36" t="str">
        <x:v>JA</x:v>
      </x:c>
      <x:c r="AA511" s="36" t="str">
        <x:v>JA</x:v>
      </x:c>
      <x:c r="AB511" s="36" t="str">
        <x:v>JA</x:v>
      </x:c>
      <x:c r="AC511" s="36" t="str">
        <x:v>JA</x:v>
      </x:c>
      <x:c r="AD511" s="36" t="str">
        <x:v>JA</x:v>
      </x:c>
      <x:c r="AE511" s="36" t="str">
        <x:v>JA</x:v>
      </x:c>
      <x:c r="AF511" s="36" t="str">
        <x:v>JA</x:v>
      </x:c>
      <x:c r="AG511" s="36" t="str">
        <x:v>FREIGEGEBEN</x:v>
      </x:c>
      <x:c r="AH511" s="36" t="str">
        <x:v>GPT-5.6 Sol · Buchprüfung Apostelgeschichte · L1912/OTB</x:v>
      </x:c>
      <x:c r="AI511" s="36" t="str">
        <x:v>FREIGEGEBEN</x:v>
      </x:c>
      <x:c r="AJ511" s="36" t="str">
        <x:v>Apostelgeschichte 13: repetitive Wiedererkennungsfrage durch ZUSAMMENHANG-Frage ersetzt.</x:v>
      </x:c>
      <x:c r="AK511" s="36" t="str">
        <x:v>FaithPath repo develop/v4 · data/stories.json · data/bibles/l1912/ACT.json · data/bibles/otb/ACT.json</x:v>
      </x:c>
      <x:c r="AL511" t="str">
        <x:f>IF(AND(AG511="FREIGEGEBEN",AI511="FREIGEGEBEN",Q511&lt;&gt;"",R511&lt;&gt;"",S511&lt;&gt;"",T511&lt;&gt;"",U511&lt;&gt;"",ISNUMBER(V511),X511&lt;&gt;"",Y511&lt;&gt;"",AA511="JA",AB511="JA",AC511="JA",AD511="JA",AE511="JA",AF511="JA"),"JA","NEIN")</x:f>
        <x:v>JA</x:v>
      </x:c>
    </x:row>
    <x:row r="512">
      <x:c r="A512" t="str">
        <x:v>FP-0771</x:v>
      </x:c>
      <x:c r="B512" t="str">
        <x:v>ACT</x:v>
      </x:c>
      <x:c r="C512" t="str">
        <x:v>Apostelgeschichte</x:v>
      </x:c>
      <x:c r="D512" t="n">
        <x:v>14</x:v>
      </x:c>
      <x:c r="E512" t="n">
        <x:v>1</x:v>
      </x:c>
      <x:c r="F512" t="str">
        <x:v>ACT-014</x:v>
      </x:c>
      <x:c r="G512" t="n">
        <x:v>103</x:v>
      </x:c>
      <x:c r="H512" t="str">
        <x:v>CQ-A06</x:v>
      </x:c>
      <x:c r="I512" s="36" t="str">
        <x:v>Welche dieser Aussagen stammt aus Apostelgeschichte 14?</x:v>
      </x:c>
      <x:c r="J512" s="36" t="str"/>
      <x:c r="K512" s="36" t="str"/>
      <x:c r="L512" s="36" t="str">
        <x:v>REPO_VERIFIZIERT_FRAGEFORM</x:v>
      </x:c>
      <x:c r="M512" s="36" t="str">
        <x:v>ERSETZEN</x:v>
      </x:c>
      <x:c r="N512" s="36" t="str">
        <x:v>REPETITIVE_FRAGEFORM</x:v>
      </x:c>
      <x:c r="O512" s="36" t="str">
        <x:v>REINE_WIEDERERKENNUNG</x:v>
      </x:c>
      <x:c r="P512" s="36" t="str">
        <x:v>GESCHEHEN</x:v>
      </x:c>
      <x:c r="Q512" s="36" t="str">
        <x:v>Was kennzeichnet den Dienst von Paulus und Barnabas in Ikonion?</x:v>
      </x:c>
      <x:c r="R512" s="36" t="str">
        <x:v>Sie sprechen freimütig vom Herrn, und Zeichen bestätigen die Botschaft, obwohl die Stadt gespalten ist.</x:v>
      </x:c>
      <x:c r="S512" s="36" t="str">
        <x:v>Sie bleiben völlig still.</x:v>
      </x:c>
      <x:c r="T512" s="36" t="str">
        <x:v>Sie wirken nur unter römischen Soldaten.</x:v>
      </x:c>
      <x:c r="U512" s="36" t="str">
        <x:v>Sie gründen sofort eine politische Partei.</x:v>
      </x:c>
      <x:c r="V512" s="36" t="n">
        <x:v>0</x:v>
      </x:c>
      <x:c r="W512" s="36" t="str">
        <x:f>CHOOSE(V512+1,R512,S512,T512,U512)</x:f>
        <x:v>Sie sprechen freimütig vom Herrn, und Zeichen bestätigen die Botschaft, obwohl die Stadt gespalten ist.</x:v>
      </x:c>
      <x:c r="X512" s="36" t="str">
        <x:v>Apostelgeschichte 14,1–3</x:v>
      </x:c>
      <x:c r="Y512" s="36" t="str">
        <x:v>Trotz Widerstand bleiben sie längere Zeit und reden freimütig; Gott bestätigt die Botschaft durch Zeichen.</x:v>
      </x:c>
      <x:c r="Z512" s="36" t="str">
        <x:v>JA</x:v>
      </x:c>
      <x:c r="AA512" s="36" t="str">
        <x:v>JA</x:v>
      </x:c>
      <x:c r="AB512" s="36" t="str">
        <x:v>JA</x:v>
      </x:c>
      <x:c r="AC512" s="36" t="str">
        <x:v>JA</x:v>
      </x:c>
      <x:c r="AD512" s="36" t="str">
        <x:v>JA</x:v>
      </x:c>
      <x:c r="AE512" s="36" t="str">
        <x:v>JA</x:v>
      </x:c>
      <x:c r="AF512" s="36" t="str">
        <x:v>JA</x:v>
      </x:c>
      <x:c r="AG512" s="36" t="str">
        <x:v>FREIGEGEBEN</x:v>
      </x:c>
      <x:c r="AH512" s="36" t="str">
        <x:v>GPT-5.6 Sol · Buchprüfung Apostelgeschichte · L1912/OTB</x:v>
      </x:c>
      <x:c r="AI512" s="36" t="str">
        <x:v>FREIGEGEBEN</x:v>
      </x:c>
      <x:c r="AJ512" s="36" t="str">
        <x:v>Apostelgeschichte 14: repetitive Wiedererkennungsfrage durch GESCHEHEN-Frage ersetzt.</x:v>
      </x:c>
      <x:c r="AK512" s="36" t="str">
        <x:v>FaithPath repo develop/v4 · data/stories.json · data/bibles/l1912/ACT.json · data/bibles/otb/ACT.json</x:v>
      </x:c>
      <x:c r="AL512" t="str">
        <x:f>IF(AND(AG512="FREIGEGEBEN",AI512="FREIGEGEBEN",Q512&lt;&gt;"",R512&lt;&gt;"",S512&lt;&gt;"",T512&lt;&gt;"",U512&lt;&gt;"",ISNUMBER(V512),X512&lt;&gt;"",Y512&lt;&gt;"",AA512="JA",AB512="JA",AC512="JA",AD512="JA",AE512="JA",AF512="JA"),"JA","NEIN")</x:f>
        <x:v>JA</x:v>
      </x:c>
    </x:row>
    <x:row r="513">
      <x:c r="A513" t="str">
        <x:v>FP-0772</x:v>
      </x:c>
      <x:c r="B513" t="str">
        <x:v>ACT</x:v>
      </x:c>
      <x:c r="C513" t="str">
        <x:v>Apostelgeschichte</x:v>
      </x:c>
      <x:c r="D513" t="n">
        <x:v>14</x:v>
      </x:c>
      <x:c r="E513" t="n">
        <x:v>2</x:v>
      </x:c>
      <x:c r="F513" t="str">
        <x:v>ACT-014</x:v>
      </x:c>
      <x:c r="G513" t="n">
        <x:v>103</x:v>
      </x:c>
      <x:c r="H513" t="str">
        <x:v>CQ-A06</x:v>
      </x:c>
      <x:c r="I513" s="36" t="str">
        <x:v>Welche dieser Aussagen stammt aus Apostelgeschichte 14?</x:v>
      </x:c>
      <x:c r="J513" s="36" t="str"/>
      <x:c r="K513" s="36" t="str"/>
      <x:c r="L513" s="36" t="str">
        <x:v>REPO_VERIFIZIERT_FRAGEFORM</x:v>
      </x:c>
      <x:c r="M513" s="36" t="str">
        <x:v>ERSETZEN</x:v>
      </x:c>
      <x:c r="N513" s="36" t="str">
        <x:v>REPETITIVE_FRAGEFORM</x:v>
      </x:c>
      <x:c r="O513" s="36" t="str">
        <x:v>REINE_WIEDERERKENNUNG</x:v>
      </x:c>
      <x:c r="P513" s="36" t="str">
        <x:v>GESCHEHEN</x:v>
      </x:c>
      <x:c r="Q513" s="36" t="str">
        <x:v>Was geschieht mit dem von Geburt an gelähmten Mann in Lystra?</x:v>
      </x:c>
      <x:c r="R513" s="36" t="str">
        <x:v>Er bleibt gelähmt.</x:v>
      </x:c>
      <x:c r="S513" s="36" t="str">
        <x:v>Paulus sieht seinen Glauben, fordert ihn aufzustehen, und er kann gehen.</x:v>
      </x:c>
      <x:c r="T513" s="36" t="str">
        <x:v>Barnabas trägt ihn nach Antiochia.</x:v>
      </x:c>
      <x:c r="U513" s="36" t="str">
        <x:v>Ein Priester heilt ihn.</x:v>
      </x:c>
      <x:c r="V513" s="36" t="n">
        <x:v>1</x:v>
      </x:c>
      <x:c r="W513" s="36" t="str">
        <x:f>CHOOSE(V513+1,R513,S513,T513,U513)</x:f>
        <x:v>Paulus sieht seinen Glauben, fordert ihn aufzustehen, und er kann gehen.</x:v>
      </x:c>
      <x:c r="X513" s="36" t="str">
        <x:v>Apostelgeschichte 14,8–10</x:v>
      </x:c>
      <x:c r="Y513" s="36" t="str">
        <x:v>Paulus ruft den Mann auf, sich aufzurichten; er springt auf und geht.</x:v>
      </x:c>
      <x:c r="Z513" s="36" t="str">
        <x:v>JA</x:v>
      </x:c>
      <x:c r="AA513" s="36" t="str">
        <x:v>JA</x:v>
      </x:c>
      <x:c r="AB513" s="36" t="str">
        <x:v>JA</x:v>
      </x:c>
      <x:c r="AC513" s="36" t="str">
        <x:v>JA</x:v>
      </x:c>
      <x:c r="AD513" s="36" t="str">
        <x:v>JA</x:v>
      </x:c>
      <x:c r="AE513" s="36" t="str">
        <x:v>JA</x:v>
      </x:c>
      <x:c r="AF513" s="36" t="str">
        <x:v>JA</x:v>
      </x:c>
      <x:c r="AG513" s="36" t="str">
        <x:v>FREIGEGEBEN</x:v>
      </x:c>
      <x:c r="AH513" s="36" t="str">
        <x:v>GPT-5.6 Sol · Buchprüfung Apostelgeschichte · L1912/OTB</x:v>
      </x:c>
      <x:c r="AI513" s="36" t="str">
        <x:v>FREIGEGEBEN</x:v>
      </x:c>
      <x:c r="AJ513" s="36" t="str">
        <x:v>Apostelgeschichte 14: repetitive Wiedererkennungsfrage durch GESCHEHEN-Frage ersetzt.</x:v>
      </x:c>
      <x:c r="AK513" s="36" t="str">
        <x:v>FaithPath repo develop/v4 · data/stories.json · data/bibles/l1912/ACT.json · data/bibles/otb/ACT.json</x:v>
      </x:c>
      <x:c r="AL513" t="str">
        <x:f>IF(AND(AG513="FREIGEGEBEN",AI513="FREIGEGEBEN",Q513&lt;&gt;"",R513&lt;&gt;"",S513&lt;&gt;"",T513&lt;&gt;"",U513&lt;&gt;"",ISNUMBER(V513),X513&lt;&gt;"",Y513&lt;&gt;"",AA513="JA",AB513="JA",AC513="JA",AD513="JA",AE513="JA",AF513="JA"),"JA","NEIN")</x:f>
        <x:v>JA</x:v>
      </x:c>
    </x:row>
    <x:row r="514">
      <x:c r="A514" t="str">
        <x:v>FP-0773</x:v>
      </x:c>
      <x:c r="B514" t="str">
        <x:v>ACT</x:v>
      </x:c>
      <x:c r="C514" t="str">
        <x:v>Apostelgeschichte</x:v>
      </x:c>
      <x:c r="D514" t="n">
        <x:v>14</x:v>
      </x:c>
      <x:c r="E514" t="n">
        <x:v>3</x:v>
      </x:c>
      <x:c r="F514" t="str">
        <x:v>ACT-014</x:v>
      </x:c>
      <x:c r="G514" t="n">
        <x:v>103</x:v>
      </x:c>
      <x:c r="H514" t="str">
        <x:v>CQ-A06</x:v>
      </x:c>
      <x:c r="I514" s="36" t="str">
        <x:v>Welche dieser Aussagen stammt aus Apostelgeschichte 14?</x:v>
      </x:c>
      <x:c r="J514" s="36" t="str"/>
      <x:c r="K514" s="36" t="str"/>
      <x:c r="L514" s="36" t="str">
        <x:v>REPO_VERIFIZIERT_FRAGEFORM</x:v>
      </x:c>
      <x:c r="M514" s="36" t="str">
        <x:v>ERSETZEN</x:v>
      </x:c>
      <x:c r="N514" s="36" t="str">
        <x:v>REPETITIVE_FRAGEFORM</x:v>
      </x:c>
      <x:c r="O514" s="36" t="str">
        <x:v>REINE_WIEDERERKENNUNG</x:v>
      </x:c>
      <x:c r="P514" s="36" t="str">
        <x:v>ZUSAMMENHANG</x:v>
      </x:c>
      <x:c r="Q514" s="36" t="str">
        <x:v>Wie reagieren Paulus und Barnabas, als die Menge sie für Götter hält?</x:v>
      </x:c>
      <x:c r="R514" s="36" t="str">
        <x:v>Sie nehmen die Opfer dankbar an.</x:v>
      </x:c>
      <x:c r="S514" s="36" t="str">
        <x:v>Sie erklären sich selbst zu Zeus und Hermes.</x:v>
      </x:c>
      <x:c r="T514" s="36" t="str">
        <x:v>Sie zerreißen ihre Kleider und rufen die Menschen auf, sich vom Nichtigen dem lebendigen Gott zuzuwenden.</x:v>
      </x:c>
      <x:c r="U514" s="36" t="str">
        <x:v>Sie verlassen die Stadt ohne Erklärung.</x:v>
      </x:c>
      <x:c r="V514" s="36" t="n">
        <x:v>2</x:v>
      </x:c>
      <x:c r="W514" s="36" t="str">
        <x:f>CHOOSE(V514+1,R514,S514,T514,U514)</x:f>
        <x:v>Sie zerreißen ihre Kleider und rufen die Menschen auf, sich vom Nichtigen dem lebendigen Gott zuzuwenden.</x:v>
      </x:c>
      <x:c r="X514" s="36" t="str">
        <x:v>Apostelgeschichte 14,11–18</x:v>
      </x:c>
      <x:c r="Y514" s="36" t="str">
        <x:v>Die beiden weisen die Vergöttlichung entschieden zurück und verkünden den lebendigen Schöpfergott.</x:v>
      </x:c>
      <x:c r="Z514" s="36" t="str">
        <x:v>JA</x:v>
      </x:c>
      <x:c r="AA514" s="36" t="str">
        <x:v>JA</x:v>
      </x:c>
      <x:c r="AB514" s="36" t="str">
        <x:v>JA</x:v>
      </x:c>
      <x:c r="AC514" s="36" t="str">
        <x:v>JA</x:v>
      </x:c>
      <x:c r="AD514" s="36" t="str">
        <x:v>JA</x:v>
      </x:c>
      <x:c r="AE514" s="36" t="str">
        <x:v>JA</x:v>
      </x:c>
      <x:c r="AF514" s="36" t="str">
        <x:v>JA</x:v>
      </x:c>
      <x:c r="AG514" s="36" t="str">
        <x:v>FREIGEGEBEN</x:v>
      </x:c>
      <x:c r="AH514" s="36" t="str">
        <x:v>GPT-5.6 Sol · Buchprüfung Apostelgeschichte · L1912/OTB</x:v>
      </x:c>
      <x:c r="AI514" s="36" t="str">
        <x:v>FREIGEGEBEN</x:v>
      </x:c>
      <x:c r="AJ514" s="36" t="str">
        <x:v>Apostelgeschichte 14: repetitive Wiedererkennungsfrage durch ZUSAMMENHANG-Frage ersetzt.</x:v>
      </x:c>
      <x:c r="AK514" s="36" t="str">
        <x:v>FaithPath repo develop/v4 · data/stories.json · data/bibles/l1912/ACT.json · data/bibles/otb/ACT.json</x:v>
      </x:c>
      <x:c r="AL514" t="str">
        <x:f>IF(AND(AG514="FREIGEGEBEN",AI514="FREIGEGEBEN",Q514&lt;&gt;"",R514&lt;&gt;"",S514&lt;&gt;"",T514&lt;&gt;"",U514&lt;&gt;"",ISNUMBER(V514),X514&lt;&gt;"",Y514&lt;&gt;"",AA514="JA",AB514="JA",AC514="JA",AD514="JA",AE514="JA",AF514="JA"),"JA","NEIN")</x:f>
        <x:v>JA</x:v>
      </x:c>
    </x:row>
    <x:row r="515">
      <x:c r="A515" t="str">
        <x:v>FP-0774</x:v>
      </x:c>
      <x:c r="B515" t="str">
        <x:v>ACT</x:v>
      </x:c>
      <x:c r="C515" t="str">
        <x:v>Apostelgeschichte</x:v>
      </x:c>
      <x:c r="D515" t="n">
        <x:v>14</x:v>
      </x:c>
      <x:c r="E515" t="n">
        <x:v>4</x:v>
      </x:c>
      <x:c r="F515" t="str">
        <x:v>ACT-014</x:v>
      </x:c>
      <x:c r="G515" t="n">
        <x:v>103</x:v>
      </x:c>
      <x:c r="H515" t="str">
        <x:v>CQ-A06</x:v>
      </x:c>
      <x:c r="I515" s="36" t="str">
        <x:v>Welche dieser Aussagen stammt aus Apostelgeschichte 14?</x:v>
      </x:c>
      <x:c r="J515" s="36" t="str"/>
      <x:c r="K515" s="36" t="str"/>
      <x:c r="L515" s="36" t="str">
        <x:v>REPO_VERIFIZIERT_FRAGEFORM</x:v>
      </x:c>
      <x:c r="M515" s="36" t="str">
        <x:v>ERSETZEN</x:v>
      </x:c>
      <x:c r="N515" s="36" t="str">
        <x:v>REPETITIVE_FRAGEFORM</x:v>
      </x:c>
      <x:c r="O515" s="36" t="str">
        <x:v>REINE_WIEDERERKENNUNG</x:v>
      </x:c>
      <x:c r="P515" s="36" t="str">
        <x:v>GESCHEHEN</x:v>
      </x:c>
      <x:c r="Q515" s="36" t="str">
        <x:v>Was geschieht mit Paulus in Lystra nach dem Umschwung der Menge?</x:v>
      </x:c>
      <x:c r="R515" s="36" t="str">
        <x:v>Er wird zum Stadtoberhaupt gewählt.</x:v>
      </x:c>
      <x:c r="S515" s="36" t="str">
        <x:v>Er wird sofort nach Rom gebracht.</x:v>
      </x:c>
      <x:c r="T515" s="36" t="str">
        <x:v>Er bleibt unverletzt im Tempel.</x:v>
      </x:c>
      <x:c r="U515" s="36" t="str">
        <x:v>Er wird gesteinigt und für tot aus der Stadt geschleppt, steht aber wieder auf und zieht weiter.</x:v>
      </x:c>
      <x:c r="V515" s="36" t="n">
        <x:v>3</x:v>
      </x:c>
      <x:c r="W515" s="36" t="str">
        <x:f>CHOOSE(V515+1,R515,S515,T515,U515)</x:f>
        <x:v>Er wird gesteinigt und für tot aus der Stadt geschleppt, steht aber wieder auf und zieht weiter.</x:v>
      </x:c>
      <x:c r="X515" s="36" t="str">
        <x:v>Apostelgeschichte 14,19–22</x:v>
      </x:c>
      <x:c r="Y515" s="36" t="str">
        <x:v>Paulus erlebt schwere Gewalt, setzt den Dienst aber fort und stärkt später die Jünger im Ausharren.</x:v>
      </x:c>
      <x:c r="Z515" s="36" t="str">
        <x:v>JA</x:v>
      </x:c>
      <x:c r="AA515" s="36" t="str">
        <x:v>JA</x:v>
      </x:c>
      <x:c r="AB515" s="36" t="str">
        <x:v>JA</x:v>
      </x:c>
      <x:c r="AC515" s="36" t="str">
        <x:v>JA</x:v>
      </x:c>
      <x:c r="AD515" s="36" t="str">
        <x:v>JA</x:v>
      </x:c>
      <x:c r="AE515" s="36" t="str">
        <x:v>JA</x:v>
      </x:c>
      <x:c r="AF515" s="36" t="str">
        <x:v>JA</x:v>
      </x:c>
      <x:c r="AG515" s="36" t="str">
        <x:v>FREIGEGEBEN</x:v>
      </x:c>
      <x:c r="AH515" s="36" t="str">
        <x:v>GPT-5.6 Sol · Buchprüfung Apostelgeschichte · L1912/OTB</x:v>
      </x:c>
      <x:c r="AI515" s="36" t="str">
        <x:v>FREIGEGEBEN</x:v>
      </x:c>
      <x:c r="AJ515" s="36" t="str">
        <x:v>Apostelgeschichte 14: repetitive Wiedererkennungsfrage durch GESCHEHEN-Frage ersetzt.</x:v>
      </x:c>
      <x:c r="AK515" s="36" t="str">
        <x:v>FaithPath repo develop/v4 · data/stories.json · data/bibles/l1912/ACT.json · data/bibles/otb/ACT.json</x:v>
      </x:c>
      <x:c r="AL515" t="str">
        <x:f>IF(AND(AG515="FREIGEGEBEN",AI515="FREIGEGEBEN",Q515&lt;&gt;"",R515&lt;&gt;"",S515&lt;&gt;"",T515&lt;&gt;"",U515&lt;&gt;"",ISNUMBER(V515),X515&lt;&gt;"",Y515&lt;&gt;"",AA515="JA",AB515="JA",AC515="JA",AD515="JA",AE515="JA",AF515="JA"),"JA","NEIN")</x:f>
        <x:v>JA</x:v>
      </x:c>
    </x:row>
    <x:row r="516">
      <x:c r="A516" t="str">
        <x:v>FP-0775</x:v>
      </x:c>
      <x:c r="B516" t="str">
        <x:v>ACT</x:v>
      </x:c>
      <x:c r="C516" t="str">
        <x:v>Apostelgeschichte</x:v>
      </x:c>
      <x:c r="D516" t="n">
        <x:v>14</x:v>
      </x:c>
      <x:c r="E516" t="n">
        <x:v>5</x:v>
      </x:c>
      <x:c r="F516" t="str">
        <x:v>ACT-014</x:v>
      </x:c>
      <x:c r="G516" t="n">
        <x:v>103</x:v>
      </x:c>
      <x:c r="H516" t="str">
        <x:v>CQ-A06</x:v>
      </x:c>
      <x:c r="I516" s="36" t="str">
        <x:v>Welche dieser Aussagen stammt aus Apostelgeschichte 14?</x:v>
      </x:c>
      <x:c r="J516" s="36" t="str"/>
      <x:c r="K516" s="36" t="str"/>
      <x:c r="L516" s="36" t="str">
        <x:v>REPO_VERIFIZIERT_FRAGEFORM</x:v>
      </x:c>
      <x:c r="M516" s="36" t="str">
        <x:v>ERSETZEN</x:v>
      </x:c>
      <x:c r="N516" s="36" t="str">
        <x:v>REPETITIVE_FRAGEFORM</x:v>
      </x:c>
      <x:c r="O516" s="36" t="str">
        <x:v>REINE_WIEDERERKENNUNG</x:v>
      </x:c>
      <x:c r="P516" s="36" t="str">
        <x:v>GESCHEHEN</x:v>
      </x:c>
      <x:c r="Q516" s="36" t="str">
        <x:v>Was tun Paulus und Barnabas auf dem Rückweg durch die jungen Gemeinden?</x:v>
      </x:c>
      <x:c r="R516" s="36" t="str">
        <x:v>Sie setzen Älteste ein, beten und übergeben die Gemeinden dem Herrn.</x:v>
      </x:c>
      <x:c r="S516" s="36" t="str">
        <x:v>Sie lösen die Gemeinden wieder auf.</x:v>
      </x:c>
      <x:c r="T516" s="36" t="str">
        <x:v>Sie verbieten jede Leitung.</x:v>
      </x:c>
      <x:c r="U516" s="36" t="str">
        <x:v>Sie nehmen alle Gläubigen mit nach Antiochia.</x:v>
      </x:c>
      <x:c r="V516" s="36" t="n">
        <x:v>0</x:v>
      </x:c>
      <x:c r="W516" s="36" t="str">
        <x:f>CHOOSE(V516+1,R516,S516,T516,U516)</x:f>
        <x:v>Sie setzen Älteste ein, beten und übergeben die Gemeinden dem Herrn.</x:v>
      </x:c>
      <x:c r="X516" s="36" t="str">
        <x:v>Apostelgeschichte 14,23–27</x:v>
      </x:c>
      <x:c r="Y516" s="36" t="str">
        <x:v>Sie ordnen Leitung vor Ort und berichten nach ihrer Rückkehr, was Gott getan und wie er den Völkern die Tür des Glaubens geöffnet hat.</x:v>
      </x:c>
      <x:c r="Z516" s="36" t="str">
        <x:v>JA</x:v>
      </x:c>
      <x:c r="AA516" s="36" t="str">
        <x:v>JA</x:v>
      </x:c>
      <x:c r="AB516" s="36" t="str">
        <x:v>JA</x:v>
      </x:c>
      <x:c r="AC516" s="36" t="str">
        <x:v>JA</x:v>
      </x:c>
      <x:c r="AD516" s="36" t="str">
        <x:v>JA</x:v>
      </x:c>
      <x:c r="AE516" s="36" t="str">
        <x:v>JA</x:v>
      </x:c>
      <x:c r="AF516" s="36" t="str">
        <x:v>JA</x:v>
      </x:c>
      <x:c r="AG516" s="36" t="str">
        <x:v>FREIGEGEBEN</x:v>
      </x:c>
      <x:c r="AH516" s="36" t="str">
        <x:v>GPT-5.6 Sol · Buchprüfung Apostelgeschichte · L1912/OTB</x:v>
      </x:c>
      <x:c r="AI516" s="36" t="str">
        <x:v>FREIGEGEBEN</x:v>
      </x:c>
      <x:c r="AJ516" s="36" t="str">
        <x:v>Apostelgeschichte 14: repetitive Wiedererkennungsfrage durch GESCHEHEN-Frage ersetzt.</x:v>
      </x:c>
      <x:c r="AK516" s="36" t="str">
        <x:v>FaithPath repo develop/v4 · data/stories.json · data/bibles/l1912/ACT.json · data/bibles/otb/ACT.json</x:v>
      </x:c>
      <x:c r="AL516" t="str">
        <x:f>IF(AND(AG516="FREIGEGEBEN",AI516="FREIGEGEBEN",Q516&lt;&gt;"",R516&lt;&gt;"",S516&lt;&gt;"",T516&lt;&gt;"",U516&lt;&gt;"",ISNUMBER(V516),X516&lt;&gt;"",Y516&lt;&gt;"",AA516="JA",AB516="JA",AC516="JA",AD516="JA",AE516="JA",AF516="JA"),"JA","NEIN")</x:f>
        <x:v>JA</x:v>
      </x:c>
    </x:row>
    <x:row r="517">
      <x:c r="A517" t="str">
        <x:v>FP-0776</x:v>
      </x:c>
      <x:c r="B517" t="str">
        <x:v>ACT</x:v>
      </x:c>
      <x:c r="C517" t="str">
        <x:v>Apostelgeschichte</x:v>
      </x:c>
      <x:c r="D517" t="n">
        <x:v>15</x:v>
      </x:c>
      <x:c r="E517" t="n">
        <x:v>1</x:v>
      </x:c>
      <x:c r="F517" t="str">
        <x:v>ACT-015</x:v>
      </x:c>
      <x:c r="G517" t="n">
        <x:v>104</x:v>
      </x:c>
      <x:c r="H517" t="str">
        <x:v>CQ-A06</x:v>
      </x:c>
      <x:c r="I517" s="36" t="str">
        <x:v>Welche dieser Aussagen stammt aus Apostelgeschichte 15?</x:v>
      </x:c>
      <x:c r="J517" s="36" t="str"/>
      <x:c r="K517" s="36" t="str"/>
      <x:c r="L517" s="36" t="str">
        <x:v>REPO_VERIFIZIERT_FRAGEFORM</x:v>
      </x:c>
      <x:c r="M517" s="36" t="str">
        <x:v>ERSETZEN</x:v>
      </x:c>
      <x:c r="N517" s="36" t="str">
        <x:v>REPETITIVE_FRAGEFORM</x:v>
      </x:c>
      <x:c r="O517" s="36" t="str">
        <x:v>REINE_WIEDERERKENNUNG</x:v>
      </x:c>
      <x:c r="P517" s="36" t="str">
        <x:v>ZUSAMMENHANG</x:v>
      </x:c>
      <x:c r="Q517" s="36" t="str">
        <x:v>Worum geht der zentrale Streit zu Beginn des Jerusalemer Konzils?</x:v>
      </x:c>
      <x:c r="R517" s="36" t="str">
        <x:v>Ob Paulus römischer Bürger ist.</x:v>
      </x:c>
      <x:c r="S517" s="36" t="str">
        <x:v>Ob nichtjüdische Gläubige beschnitten werden und das Gesetz des Mose halten müssen, um gerettet zu werden.</x:v>
      </x:c>
      <x:c r="T517" s="36" t="str">
        <x:v>Ob Petrus nach Antiochia reisen darf.</x:v>
      </x:c>
      <x:c r="U517" s="36" t="str">
        <x:v>Ob Christen den Tempel besuchen dürfen.</x:v>
      </x:c>
      <x:c r="V517" s="36" t="n">
        <x:v>1</x:v>
      </x:c>
      <x:c r="W517" s="36" t="str">
        <x:f>CHOOSE(V517+1,R517,S517,T517,U517)</x:f>
        <x:v>Ob nichtjüdische Gläubige beschnitten werden und das Gesetz des Mose halten müssen, um gerettet zu werden.</x:v>
      </x:c>
      <x:c r="X517" s="36" t="str">
        <x:v>Apostelgeschichte 15,1–5</x:v>
      </x:c>
      <x:c r="Y517" s="36" t="str">
        <x:v>Einige fordern Beschneidung und Gesetzesbindung für die Rettung; darüber entsteht eine grundlegende Auseinandersetzung.</x:v>
      </x:c>
      <x:c r="Z517" s="36" t="str">
        <x:v>JA</x:v>
      </x:c>
      <x:c r="AA517" s="36" t="str">
        <x:v>JA</x:v>
      </x:c>
      <x:c r="AB517" s="36" t="str">
        <x:v>JA</x:v>
      </x:c>
      <x:c r="AC517" s="36" t="str">
        <x:v>JA</x:v>
      </x:c>
      <x:c r="AD517" s="36" t="str">
        <x:v>JA</x:v>
      </x:c>
      <x:c r="AE517" s="36" t="str">
        <x:v>JA</x:v>
      </x:c>
      <x:c r="AF517" s="36" t="str">
        <x:v>JA</x:v>
      </x:c>
      <x:c r="AG517" s="36" t="str">
        <x:v>FREIGEGEBEN</x:v>
      </x:c>
      <x:c r="AH517" s="36" t="str">
        <x:v>GPT-5.6 Sol · Buchprüfung Apostelgeschichte · L1912/OTB</x:v>
      </x:c>
      <x:c r="AI517" s="36" t="str">
        <x:v>FREIGEGEBEN</x:v>
      </x:c>
      <x:c r="AJ517" s="36" t="str">
        <x:v>Apostelgeschichte 15: repetitive Wiedererkennungsfrage durch ZUSAMMENHANG-Frage ersetzt.</x:v>
      </x:c>
      <x:c r="AK517" s="36" t="str">
        <x:v>FaithPath repo develop/v4 · data/stories.json · data/bibles/l1912/ACT.json · data/bibles/otb/ACT.json</x:v>
      </x:c>
      <x:c r="AL517" t="str">
        <x:f>IF(AND(AG517="FREIGEGEBEN",AI517="FREIGEGEBEN",Q517&lt;&gt;"",R517&lt;&gt;"",S517&lt;&gt;"",T517&lt;&gt;"",U517&lt;&gt;"",ISNUMBER(V517),X517&lt;&gt;"",Y517&lt;&gt;"",AA517="JA",AB517="JA",AC517="JA",AD517="JA",AE517="JA",AF517="JA"),"JA","NEIN")</x:f>
        <x:v>JA</x:v>
      </x:c>
    </x:row>
    <x:row r="518">
      <x:c r="A518" t="str">
        <x:v>FP-0777</x:v>
      </x:c>
      <x:c r="B518" t="str">
        <x:v>ACT</x:v>
      </x:c>
      <x:c r="C518" t="str">
        <x:v>Apostelgeschichte</x:v>
      </x:c>
      <x:c r="D518" t="n">
        <x:v>15</x:v>
      </x:c>
      <x:c r="E518" t="n">
        <x:v>2</x:v>
      </x:c>
      <x:c r="F518" t="str">
        <x:v>ACT-015</x:v>
      </x:c>
      <x:c r="G518" t="n">
        <x:v>104</x:v>
      </x:c>
      <x:c r="H518" t="str">
        <x:v>CQ-A06</x:v>
      </x:c>
      <x:c r="I518" s="36" t="str">
        <x:v>Welche dieser Aussagen stammt aus Apostelgeschichte 15?</x:v>
      </x:c>
      <x:c r="J518" s="36" t="str"/>
      <x:c r="K518" s="36" t="str"/>
      <x:c r="L518" s="36" t="str">
        <x:v>REPO_VERIFIZIERT_FRAGEFORM</x:v>
      </x:c>
      <x:c r="M518" s="36" t="str">
        <x:v>ERSETZEN</x:v>
      </x:c>
      <x:c r="N518" s="36" t="str">
        <x:v>REPETITIVE_FRAGEFORM</x:v>
      </x:c>
      <x:c r="O518" s="36" t="str">
        <x:v>REINE_WIEDERERKENNUNG</x:v>
      </x:c>
      <x:c r="P518" s="36" t="str">
        <x:v>KERNAUSSAGE</x:v>
      </x:c>
      <x:c r="Q518" s="36" t="str">
        <x:v>Wie beschreibt Petrus die Rettung von Juden und Nichtjuden?</x:v>
      </x:c>
      <x:c r="R518" s="36" t="str">
        <x:v>Juden durch Gnade, Nichtjuden durch Gesetz.</x:v>
      </x:c>
      <x:c r="S518" s="36" t="str">
        <x:v>Nur Beschnittene können gerettet werden.</x:v>
      </x:c>
      <x:c r="T518" s="36" t="str">
        <x:v>Beide werden durch die Gnade des Herrn Jesus gerettet.</x:v>
      </x:c>
      <x:c r="U518" s="36" t="str">
        <x:v>Rettung hängt von Volkszugehörigkeit ab.</x:v>
      </x:c>
      <x:c r="V518" s="36" t="n">
        <x:v>2</x:v>
      </x:c>
      <x:c r="W518" s="36" t="str">
        <x:f>CHOOSE(V518+1,R518,S518,T518,U518)</x:f>
        <x:v>Beide werden durch die Gnade des Herrn Jesus gerettet.</x:v>
      </x:c>
      <x:c r="X518" s="36" t="str">
        <x:v>Apostelgeschichte 15,7–11</x:v>
      </x:c>
      <x:c r="Y518" s="36" t="str">
        <x:v>Petrus erinnert an Gottes Geistgabe an die Nichtjuden und betont die gemeinsame Rettung durch Gnade.</x:v>
      </x:c>
      <x:c r="Z518" s="36" t="str">
        <x:v>JA</x:v>
      </x:c>
      <x:c r="AA518" s="36" t="str">
        <x:v>JA</x:v>
      </x:c>
      <x:c r="AB518" s="36" t="str">
        <x:v>JA</x:v>
      </x:c>
      <x:c r="AC518" s="36" t="str">
        <x:v>JA</x:v>
      </x:c>
      <x:c r="AD518" s="36" t="str">
        <x:v>JA</x:v>
      </x:c>
      <x:c r="AE518" s="36" t="str">
        <x:v>JA</x:v>
      </x:c>
      <x:c r="AF518" s="36" t="str">
        <x:v>JA</x:v>
      </x:c>
      <x:c r="AG518" s="36" t="str">
        <x:v>FREIGEGEBEN</x:v>
      </x:c>
      <x:c r="AH518" s="36" t="str">
        <x:v>GPT-5.6 Sol · Buchprüfung Apostelgeschichte · L1912/OTB</x:v>
      </x:c>
      <x:c r="AI518" s="36" t="str">
        <x:v>FREIGEGEBEN</x:v>
      </x:c>
      <x:c r="AJ518" s="36" t="str">
        <x:v>Apostelgeschichte 15: repetitive Wiedererkennungsfrage durch KERNAUSSAGE-Frage ersetzt.</x:v>
      </x:c>
      <x:c r="AK518" s="36" t="str">
        <x:v>FaithPath repo develop/v4 · data/stories.json · data/bibles/l1912/ACT.json · data/bibles/otb/ACT.json</x:v>
      </x:c>
      <x:c r="AL518" t="str">
        <x:f>IF(AND(AG518="FREIGEGEBEN",AI518="FREIGEGEBEN",Q518&lt;&gt;"",R518&lt;&gt;"",S518&lt;&gt;"",T518&lt;&gt;"",U518&lt;&gt;"",ISNUMBER(V518),X518&lt;&gt;"",Y518&lt;&gt;"",AA518="JA",AB518="JA",AC518="JA",AD518="JA",AE518="JA",AF518="JA"),"JA","NEIN")</x:f>
        <x:v>JA</x:v>
      </x:c>
    </x:row>
    <x:row r="519">
      <x:c r="A519" t="str">
        <x:v>FP-0778</x:v>
      </x:c>
      <x:c r="B519" t="str">
        <x:v>ACT</x:v>
      </x:c>
      <x:c r="C519" t="str">
        <x:v>Apostelgeschichte</x:v>
      </x:c>
      <x:c r="D519" t="n">
        <x:v>15</x:v>
      </x:c>
      <x:c r="E519" t="n">
        <x:v>3</x:v>
      </x:c>
      <x:c r="F519" t="str">
        <x:v>ACT-015</x:v>
      </x:c>
      <x:c r="G519" t="n">
        <x:v>104</x:v>
      </x:c>
      <x:c r="H519" t="str">
        <x:v>CQ-A06</x:v>
      </x:c>
      <x:c r="I519" s="36" t="str">
        <x:v>Welche dieser Aussagen stammt aus Apostelgeschichte 15?</x:v>
      </x:c>
      <x:c r="J519" s="36" t="str"/>
      <x:c r="K519" s="36" t="str"/>
      <x:c r="L519" s="36" t="str">
        <x:v>REPO_VERIFIZIERT_FRAGEFORM</x:v>
      </x:c>
      <x:c r="M519" s="36" t="str">
        <x:v>ERSETZEN</x:v>
      </x:c>
      <x:c r="N519" s="36" t="str">
        <x:v>REPETITIVE_FRAGEFORM</x:v>
      </x:c>
      <x:c r="O519" s="36" t="str">
        <x:v>REINE_WIEDERERKENNUNG</x:v>
      </x:c>
      <x:c r="P519" s="36" t="str">
        <x:v>KERNAUSSAGE</x:v>
      </x:c>
      <x:c r="Q519" s="36" t="str">
        <x:v>Welche Richtung schlägt Jakobus für die nichtjüdischen Gläubigen vor?</x:v>
      </x:c>
      <x:c r="R519" s="36" t="str">
        <x:v>Sie müssen das gesamte mosaische Gesetz übernehmen.</x:v>
      </x:c>
      <x:c r="S519" s="36" t="str">
        <x:v>Sie sollen Jerusalem nie betreten.</x:v>
      </x:c>
      <x:c r="T519" s="36" t="str">
        <x:v>Sie dürfen keine Gemeinschaft mit Juden haben.</x:v>
      </x:c>
      <x:c r="U519" s="36" t="str">
        <x:v>Sie sollen nicht unnötig belastet werden, aber einige konkrete Dinge meiden, die für das gemeinsame Leben wichtig sind.</x:v>
      </x:c>
      <x:c r="V519" s="36" t="n">
        <x:v>3</x:v>
      </x:c>
      <x:c r="W519" s="36" t="str">
        <x:f>CHOOSE(V519+1,R519,S519,T519,U519)</x:f>
        <x:v>Sie sollen nicht unnötig belastet werden, aber einige konkrete Dinge meiden, die für das gemeinsame Leben wichtig sind.</x:v>
      </x:c>
      <x:c r="X519" s="36" t="str">
        <x:v>Apostelgeschichte 15,13–21</x:v>
      </x:c>
      <x:c r="Y519" s="36" t="str">
        <x:v>Jakobus lehnt eine volle Gesetzespflicht ab und schlägt einige konkrete Anweisungen für die Gemeinden vor.</x:v>
      </x:c>
      <x:c r="Z519" s="36" t="str">
        <x:v>JA</x:v>
      </x:c>
      <x:c r="AA519" s="36" t="str">
        <x:v>JA</x:v>
      </x:c>
      <x:c r="AB519" s="36" t="str">
        <x:v>JA</x:v>
      </x:c>
      <x:c r="AC519" s="36" t="str">
        <x:v>JA</x:v>
      </x:c>
      <x:c r="AD519" s="36" t="str">
        <x:v>JA</x:v>
      </x:c>
      <x:c r="AE519" s="36" t="str">
        <x:v>JA</x:v>
      </x:c>
      <x:c r="AF519" s="36" t="str">
        <x:v>JA</x:v>
      </x:c>
      <x:c r="AG519" s="36" t="str">
        <x:v>FREIGEGEBEN</x:v>
      </x:c>
      <x:c r="AH519" s="36" t="str">
        <x:v>GPT-5.6 Sol · Buchprüfung Apostelgeschichte · L1912/OTB</x:v>
      </x:c>
      <x:c r="AI519" s="36" t="str">
        <x:v>FREIGEGEBEN</x:v>
      </x:c>
      <x:c r="AJ519" s="36" t="str">
        <x:v>Apostelgeschichte 15: repetitive Wiedererkennungsfrage durch KERNAUSSAGE-Frage ersetzt.</x:v>
      </x:c>
      <x:c r="AK519" s="36" t="str">
        <x:v>FaithPath repo develop/v4 · data/stories.json · data/bibles/l1912/ACT.json · data/bibles/otb/ACT.json</x:v>
      </x:c>
      <x:c r="AL519" t="str">
        <x:f>IF(AND(AG519="FREIGEGEBEN",AI519="FREIGEGEBEN",Q519&lt;&gt;"",R519&lt;&gt;"",S519&lt;&gt;"",T519&lt;&gt;"",U519&lt;&gt;"",ISNUMBER(V519),X519&lt;&gt;"",Y519&lt;&gt;"",AA519="JA",AB519="JA",AC519="JA",AD519="JA",AE519="JA",AF519="JA"),"JA","NEIN")</x:f>
        <x:v>JA</x:v>
      </x:c>
    </x:row>
    <x:row r="520">
      <x:c r="A520" t="str">
        <x:v>FP-0779</x:v>
      </x:c>
      <x:c r="B520" t="str">
        <x:v>ACT</x:v>
      </x:c>
      <x:c r="C520" t="str">
        <x:v>Apostelgeschichte</x:v>
      </x:c>
      <x:c r="D520" t="n">
        <x:v>15</x:v>
      </x:c>
      <x:c r="E520" t="n">
        <x:v>4</x:v>
      </x:c>
      <x:c r="F520" t="str">
        <x:v>ACT-015</x:v>
      </x:c>
      <x:c r="G520" t="n">
        <x:v>104</x:v>
      </x:c>
      <x:c r="H520" t="str">
        <x:v>CQ-A06</x:v>
      </x:c>
      <x:c r="I520" s="36" t="str">
        <x:v>Welche dieser Aussagen stammt aus Apostelgeschichte 15?</x:v>
      </x:c>
      <x:c r="J520" s="36" t="str"/>
      <x:c r="K520" s="36" t="str"/>
      <x:c r="L520" s="36" t="str">
        <x:v>REPO_VERIFIZIERT_FRAGEFORM</x:v>
      </x:c>
      <x:c r="M520" s="36" t="str">
        <x:v>ERSETZEN</x:v>
      </x:c>
      <x:c r="N520" s="36" t="str">
        <x:v>REPETITIVE_FRAGEFORM</x:v>
      </x:c>
      <x:c r="O520" s="36" t="str">
        <x:v>REINE_WIEDERERKENNUNG</x:v>
      </x:c>
      <x:c r="P520" s="36" t="str">
        <x:v>GESCHEHEN</x:v>
      </x:c>
      <x:c r="Q520" s="36" t="str">
        <x:v>Wie wird die Entscheidung des Konzils an die Gemeinden weitergegeben?</x:v>
      </x:c>
      <x:c r="R520" s="36" t="str">
        <x:v>Durch einen Brief und ausgewählte Boten zusammen mit Paulus und Barnabas.</x:v>
      </x:c>
      <x:c r="S520" s="36" t="str">
        <x:v>Nur durch mündliche Gerüchte.</x:v>
      </x:c>
      <x:c r="T520" s="36" t="str">
        <x:v>Durch römische Soldaten.</x:v>
      </x:c>
      <x:c r="U520" s="36" t="str">
        <x:v>Gar nicht; jede Gemeinde soll selbst entscheiden.</x:v>
      </x:c>
      <x:c r="V520" s="36" t="n">
        <x:v>0</x:v>
      </x:c>
      <x:c r="W520" s="36" t="str">
        <x:f>CHOOSE(V520+1,R520,S520,T520,U520)</x:f>
        <x:v>Durch einen Brief und ausgewählte Boten zusammen mit Paulus und Barnabas.</x:v>
      </x:c>
      <x:c r="X520" s="36" t="str">
        <x:v>Apostelgeschichte 15,22–29</x:v>
      </x:c>
      <x:c r="Y520" s="36" t="str">
        <x:v>Die Apostel, Ältesten und die Gemeinde senden einen schriftlichen Beschluss mit verlässlichen Boten.</x:v>
      </x:c>
      <x:c r="Z520" s="36" t="str">
        <x:v>JA</x:v>
      </x:c>
      <x:c r="AA520" s="36" t="str">
        <x:v>JA</x:v>
      </x:c>
      <x:c r="AB520" s="36" t="str">
        <x:v>JA</x:v>
      </x:c>
      <x:c r="AC520" s="36" t="str">
        <x:v>JA</x:v>
      </x:c>
      <x:c r="AD520" s="36" t="str">
        <x:v>JA</x:v>
      </x:c>
      <x:c r="AE520" s="36" t="str">
        <x:v>JA</x:v>
      </x:c>
      <x:c r="AF520" s="36" t="str">
        <x:v>JA</x:v>
      </x:c>
      <x:c r="AG520" s="36" t="str">
        <x:v>FREIGEGEBEN</x:v>
      </x:c>
      <x:c r="AH520" s="36" t="str">
        <x:v>GPT-5.6 Sol · Buchprüfung Apostelgeschichte · L1912/OTB</x:v>
      </x:c>
      <x:c r="AI520" s="36" t="str">
        <x:v>FREIGEGEBEN</x:v>
      </x:c>
      <x:c r="AJ520" s="36" t="str">
        <x:v>Apostelgeschichte 15: repetitive Wiedererkennungsfrage durch GESCHEHEN-Frage ersetzt.</x:v>
      </x:c>
      <x:c r="AK520" s="36" t="str">
        <x:v>FaithPath repo develop/v4 · data/stories.json · data/bibles/l1912/ACT.json · data/bibles/otb/ACT.json</x:v>
      </x:c>
      <x:c r="AL520" t="str">
        <x:f>IF(AND(AG520="FREIGEGEBEN",AI520="FREIGEGEBEN",Q520&lt;&gt;"",R520&lt;&gt;"",S520&lt;&gt;"",T520&lt;&gt;"",U520&lt;&gt;"",ISNUMBER(V520),X520&lt;&gt;"",Y520&lt;&gt;"",AA520="JA",AB520="JA",AC520="JA",AD520="JA",AE520="JA",AF520="JA"),"JA","NEIN")</x:f>
        <x:v>JA</x:v>
      </x:c>
    </x:row>
    <x:row r="521">
      <x:c r="A521" t="str">
        <x:v>FP-0780</x:v>
      </x:c>
      <x:c r="B521" t="str">
        <x:v>ACT</x:v>
      </x:c>
      <x:c r="C521" t="str">
        <x:v>Apostelgeschichte</x:v>
      </x:c>
      <x:c r="D521" t="n">
        <x:v>15</x:v>
      </x:c>
      <x:c r="E521" t="n">
        <x:v>5</x:v>
      </x:c>
      <x:c r="F521" t="str">
        <x:v>ACT-015</x:v>
      </x:c>
      <x:c r="G521" t="n">
        <x:v>104</x:v>
      </x:c>
      <x:c r="H521" t="str">
        <x:v>CQ-A06</x:v>
      </x:c>
      <x:c r="I521" s="36" t="str">
        <x:v>Welche dieser Aussagen stammt aus Apostelgeschichte 15?</x:v>
      </x:c>
      <x:c r="J521" s="36" t="str"/>
      <x:c r="K521" s="36" t="str"/>
      <x:c r="L521" s="36" t="str">
        <x:v>REPO_VERIFIZIERT_FRAGEFORM</x:v>
      </x:c>
      <x:c r="M521" s="36" t="str">
        <x:v>ERSETZEN</x:v>
      </x:c>
      <x:c r="N521" s="36" t="str">
        <x:v>REPETITIVE_FRAGEFORM</x:v>
      </x:c>
      <x:c r="O521" s="36" t="str">
        <x:v>REINE_WIEDERERKENNUNG</x:v>
      </x:c>
      <x:c r="P521" s="36" t="str">
        <x:v>GESCHEHEN</x:v>
      </x:c>
      <x:c r="Q521" s="36" t="str">
        <x:v>Warum trennen sich Paulus und Barnabas für die nächste Reise?</x:v>
      </x:c>
      <x:c r="R521" s="36" t="str">
        <x:v>Sie vertreten verschiedene Evangelien.</x:v>
      </x:c>
      <x:c r="S521" s="36" t="str">
        <x:v>Sie geraten über die Mitnahme von Johannes Markus so heftig aneinander, dass sie getrennte Wege gehen.</x:v>
      </x:c>
      <x:c r="T521" s="36" t="str">
        <x:v>Barnabas will nicht mehr missionieren.</x:v>
      </x:c>
      <x:c r="U521" s="36" t="str">
        <x:v>Paulus wird aus Antiochia ausgewiesen.</x:v>
      </x:c>
      <x:c r="V521" s="36" t="n">
        <x:v>1</x:v>
      </x:c>
      <x:c r="W521" s="36" t="str">
        <x:f>CHOOSE(V521+1,R521,S521,T521,U521)</x:f>
        <x:v>Sie geraten über die Mitnahme von Johannes Markus so heftig aneinander, dass sie getrennte Wege gehen.</x:v>
      </x:c>
      <x:c r="X521" s="36" t="str">
        <x:v>Apostelgeschichte 15,36–41</x:v>
      </x:c>
      <x:c r="Y521" s="36" t="str">
        <x:v>Der Konflikt betrifft Johannes Markus; Barnabas nimmt Markus mit, Paulus reist mit Silas.</x:v>
      </x:c>
      <x:c r="Z521" s="36" t="str">
        <x:v>JA</x:v>
      </x:c>
      <x:c r="AA521" s="36" t="str">
        <x:v>JA</x:v>
      </x:c>
      <x:c r="AB521" s="36" t="str">
        <x:v>JA</x:v>
      </x:c>
      <x:c r="AC521" s="36" t="str">
        <x:v>JA</x:v>
      </x:c>
      <x:c r="AD521" s="36" t="str">
        <x:v>JA</x:v>
      </x:c>
      <x:c r="AE521" s="36" t="str">
        <x:v>JA</x:v>
      </x:c>
      <x:c r="AF521" s="36" t="str">
        <x:v>JA</x:v>
      </x:c>
      <x:c r="AG521" s="36" t="str">
        <x:v>FREIGEGEBEN</x:v>
      </x:c>
      <x:c r="AH521" s="36" t="str">
        <x:v>GPT-5.6 Sol · Buchprüfung Apostelgeschichte · L1912/OTB</x:v>
      </x:c>
      <x:c r="AI521" s="36" t="str">
        <x:v>FREIGEGEBEN</x:v>
      </x:c>
      <x:c r="AJ521" s="36" t="str">
        <x:v>Apostelgeschichte 15: repetitive Wiedererkennungsfrage durch GESCHEHEN-Frage ersetzt.</x:v>
      </x:c>
      <x:c r="AK521" s="36" t="str">
        <x:v>FaithPath repo develop/v4 · data/stories.json · data/bibles/l1912/ACT.json · data/bibles/otb/ACT.json</x:v>
      </x:c>
      <x:c r="AL521" t="str">
        <x:f>IF(AND(AG521="FREIGEGEBEN",AI521="FREIGEGEBEN",Q521&lt;&gt;"",R521&lt;&gt;"",S521&lt;&gt;"",T521&lt;&gt;"",U521&lt;&gt;"",ISNUMBER(V521),X521&lt;&gt;"",Y521&lt;&gt;"",AA521="JA",AB521="JA",AC521="JA",AD521="JA",AE521="JA",AF521="JA"),"JA","NEIN")</x:f>
        <x:v>JA</x:v>
      </x:c>
    </x:row>
    <x:row r="522">
      <x:c r="A522" t="str">
        <x:v>FP-0781</x:v>
      </x:c>
      <x:c r="B522" t="str">
        <x:v>ACT</x:v>
      </x:c>
      <x:c r="C522" t="str">
        <x:v>Apostelgeschichte</x:v>
      </x:c>
      <x:c r="D522" t="n">
        <x:v>16</x:v>
      </x:c>
      <x:c r="E522" t="n">
        <x:v>1</x:v>
      </x:c>
      <x:c r="F522" t="str">
        <x:v>ACT-016</x:v>
      </x:c>
      <x:c r="G522" t="n">
        <x:v>105</x:v>
      </x:c>
      <x:c r="H522" t="str">
        <x:v>CQ-A06</x:v>
      </x:c>
      <x:c r="I522" s="36" t="str">
        <x:v>Welche dieser Aussagen stammt aus Apostelgeschichte 16?</x:v>
      </x:c>
      <x:c r="J522" s="36" t="str"/>
      <x:c r="K522" s="36" t="str"/>
      <x:c r="L522" s="36" t="str">
        <x:v>REPO_VERIFIZIERT_FRAGEFORM</x:v>
      </x:c>
      <x:c r="M522" s="36" t="str">
        <x:v>ERSETZEN</x:v>
      </x:c>
      <x:c r="N522" s="36" t="str">
        <x:v>REPETITIVE_FRAGEFORM</x:v>
      </x:c>
      <x:c r="O522" s="36" t="str">
        <x:v>REINE_WIEDERERKENNUNG</x:v>
      </x:c>
      <x:c r="P522" s="36" t="str">
        <x:v>GESCHEHEN</x:v>
      </x:c>
      <x:c r="Q522" s="36" t="str">
        <x:v>Wer schließt sich Paulus in Lystra als Mitarbeiter an?</x:v>
      </x:c>
      <x:c r="R522" s="36" t="str">
        <x:v>Apollos.</x:v>
      </x:c>
      <x:c r="S522" s="36" t="str">
        <x:v>Titus.</x:v>
      </x:c>
      <x:c r="T522" s="36" t="str">
        <x:v>Timotheus.</x:v>
      </x:c>
      <x:c r="U522" s="36" t="str">
        <x:v>Kornelius.</x:v>
      </x:c>
      <x:c r="V522" s="36" t="n">
        <x:v>2</x:v>
      </x:c>
      <x:c r="W522" s="36" t="str">
        <x:f>CHOOSE(V522+1,R522,S522,T522,U522)</x:f>
        <x:v>Timotheus.</x:v>
      </x:c>
      <x:c r="X522" s="36" t="str">
        <x:v>Apostelgeschichte 16,1–5</x:v>
      </x:c>
      <x:c r="Y522" s="36" t="str">
        <x:v>Timotheus, Sohn einer gläubigen jüdischen Mutter und eines griechischen Vaters, schließt sich Paulus an.</x:v>
      </x:c>
      <x:c r="Z522" s="36" t="str">
        <x:v>JA</x:v>
      </x:c>
      <x:c r="AA522" s="36" t="str">
        <x:v>JA</x:v>
      </x:c>
      <x:c r="AB522" s="36" t="str">
        <x:v>JA</x:v>
      </x:c>
      <x:c r="AC522" s="36" t="str">
        <x:v>JA</x:v>
      </x:c>
      <x:c r="AD522" s="36" t="str">
        <x:v>JA</x:v>
      </x:c>
      <x:c r="AE522" s="36" t="str">
        <x:v>JA</x:v>
      </x:c>
      <x:c r="AF522" s="36" t="str">
        <x:v>JA</x:v>
      </x:c>
      <x:c r="AG522" s="36" t="str">
        <x:v>FREIGEGEBEN</x:v>
      </x:c>
      <x:c r="AH522" s="36" t="str">
        <x:v>GPT-5.6 Sol · Buchprüfung Apostelgeschichte · L1912/OTB</x:v>
      </x:c>
      <x:c r="AI522" s="36" t="str">
        <x:v>FREIGEGEBEN</x:v>
      </x:c>
      <x:c r="AJ522" s="36" t="str">
        <x:v>Apostelgeschichte 16: repetitive Wiedererkennungsfrage durch GESCHEHEN-Frage ersetzt.</x:v>
      </x:c>
      <x:c r="AK522" s="36" t="str">
        <x:v>FaithPath repo develop/v4 · data/stories.json · data/bibles/l1912/ACT.json · data/bibles/otb/ACT.json</x:v>
      </x:c>
      <x:c r="AL522" t="str">
        <x:f>IF(AND(AG522="FREIGEGEBEN",AI522="FREIGEGEBEN",Q522&lt;&gt;"",R522&lt;&gt;"",S522&lt;&gt;"",T522&lt;&gt;"",U522&lt;&gt;"",ISNUMBER(V522),X522&lt;&gt;"",Y522&lt;&gt;"",AA522="JA",AB522="JA",AC522="JA",AD522="JA",AE522="JA",AF522="JA"),"JA","NEIN")</x:f>
        <x:v>JA</x:v>
      </x:c>
    </x:row>
    <x:row r="523">
      <x:c r="A523" t="str">
        <x:v>FP-0782</x:v>
      </x:c>
      <x:c r="B523" t="str">
        <x:v>ACT</x:v>
      </x:c>
      <x:c r="C523" t="str">
        <x:v>Apostelgeschichte</x:v>
      </x:c>
      <x:c r="D523" t="n">
        <x:v>16</x:v>
      </x:c>
      <x:c r="E523" t="n">
        <x:v>2</x:v>
      </x:c>
      <x:c r="F523" t="str">
        <x:v>ACT-016</x:v>
      </x:c>
      <x:c r="G523" t="n">
        <x:v>105</x:v>
      </x:c>
      <x:c r="H523" t="str">
        <x:v>CQ-A06</x:v>
      </x:c>
      <x:c r="I523" s="36" t="str">
        <x:v>Welche dieser Aussagen stammt aus Apostelgeschichte 16?</x:v>
      </x:c>
      <x:c r="J523" s="36" t="str"/>
      <x:c r="K523" s="36" t="str"/>
      <x:c r="L523" s="36" t="str">
        <x:v>REPO_VERIFIZIERT_FRAGEFORM</x:v>
      </x:c>
      <x:c r="M523" s="36" t="str">
        <x:v>ERSETZEN</x:v>
      </x:c>
      <x:c r="N523" s="36" t="str">
        <x:v>REPETITIVE_FRAGEFORM</x:v>
      </x:c>
      <x:c r="O523" s="36" t="str">
        <x:v>REINE_WIEDERERKENNUNG</x:v>
      </x:c>
      <x:c r="P523" s="36" t="str">
        <x:v>ZUSAMMENHANG</x:v>
      </x:c>
      <x:c r="Q523" s="36" t="str">
        <x:v>Was veranlasst Paulus und seine Begleiter, nach Mazedonien zu reisen?</x:v>
      </x:c>
      <x:c r="R523" s="36" t="str">
        <x:v>Ein Brief von Petrus.</x:v>
      </x:c>
      <x:c r="S523" s="36" t="str">
        <x:v>Eine Anordnung des Kaisers.</x:v>
      </x:c>
      <x:c r="T523" s="36" t="str">
        <x:v>Eine Hungersnot in Philippi.</x:v>
      </x:c>
      <x:c r="U523" s="36" t="str">
        <x:v>Eine nächtliche Vision, in der ein Mann aus Mazedonien um Hilfe bittet.</x:v>
      </x:c>
      <x:c r="V523" s="36" t="n">
        <x:v>3</x:v>
      </x:c>
      <x:c r="W523" s="36" t="str">
        <x:f>CHOOSE(V523+1,R523,S523,T523,U523)</x:f>
        <x:v>Eine nächtliche Vision, in der ein Mann aus Mazedonien um Hilfe bittet.</x:v>
      </x:c>
      <x:c r="X523" s="36" t="str">
        <x:v>Apostelgeschichte 16,6–10</x:v>
      </x:c>
      <x:c r="Y523" s="36" t="str">
        <x:v>Nach der Vision verstehen sie, dass Gott sie zur Verkündigung nach Mazedonien ruft.</x:v>
      </x:c>
      <x:c r="Z523" s="36" t="str">
        <x:v>JA</x:v>
      </x:c>
      <x:c r="AA523" s="36" t="str">
        <x:v>JA</x:v>
      </x:c>
      <x:c r="AB523" s="36" t="str">
        <x:v>JA</x:v>
      </x:c>
      <x:c r="AC523" s="36" t="str">
        <x:v>JA</x:v>
      </x:c>
      <x:c r="AD523" s="36" t="str">
        <x:v>JA</x:v>
      </x:c>
      <x:c r="AE523" s="36" t="str">
        <x:v>JA</x:v>
      </x:c>
      <x:c r="AF523" s="36" t="str">
        <x:v>JA</x:v>
      </x:c>
      <x:c r="AG523" s="36" t="str">
        <x:v>FREIGEGEBEN</x:v>
      </x:c>
      <x:c r="AH523" s="36" t="str">
        <x:v>GPT-5.6 Sol · Buchprüfung Apostelgeschichte · L1912/OTB</x:v>
      </x:c>
      <x:c r="AI523" s="36" t="str">
        <x:v>FREIGEGEBEN</x:v>
      </x:c>
      <x:c r="AJ523" s="36" t="str">
        <x:v>Apostelgeschichte 16: repetitive Wiedererkennungsfrage durch ZUSAMMENHANG-Frage ersetzt.</x:v>
      </x:c>
      <x:c r="AK523" s="36" t="str">
        <x:v>FaithPath repo develop/v4 · data/stories.json · data/bibles/l1912/ACT.json · data/bibles/otb/ACT.json</x:v>
      </x:c>
      <x:c r="AL523" t="str">
        <x:f>IF(AND(AG523="FREIGEGEBEN",AI523="FREIGEGEBEN",Q523&lt;&gt;"",R523&lt;&gt;"",S523&lt;&gt;"",T523&lt;&gt;"",U523&lt;&gt;"",ISNUMBER(V523),X523&lt;&gt;"",Y523&lt;&gt;"",AA523="JA",AB523="JA",AC523="JA",AD523="JA",AE523="JA",AF523="JA"),"JA","NEIN")</x:f>
        <x:v>JA</x:v>
      </x:c>
    </x:row>
    <x:row r="524">
      <x:c r="A524" t="str">
        <x:v>FP-0783</x:v>
      </x:c>
      <x:c r="B524" t="str">
        <x:v>ACT</x:v>
      </x:c>
      <x:c r="C524" t="str">
        <x:v>Apostelgeschichte</x:v>
      </x:c>
      <x:c r="D524" t="n">
        <x:v>16</x:v>
      </x:c>
      <x:c r="E524" t="n">
        <x:v>3</x:v>
      </x:c>
      <x:c r="F524" t="str">
        <x:v>ACT-016</x:v>
      </x:c>
      <x:c r="G524" t="n">
        <x:v>105</x:v>
      </x:c>
      <x:c r="H524" t="str">
        <x:v>CQ-A06</x:v>
      </x:c>
      <x:c r="I524" s="36" t="str">
        <x:v>Welche dieser Aussagen stammt aus Apostelgeschichte 16?</x:v>
      </x:c>
      <x:c r="J524" s="36" t="str"/>
      <x:c r="K524" s="36" t="str"/>
      <x:c r="L524" s="36" t="str">
        <x:v>REPO_VERIFIZIERT_FRAGEFORM</x:v>
      </x:c>
      <x:c r="M524" s="36" t="str">
        <x:v>ERSETZEN</x:v>
      </x:c>
      <x:c r="N524" s="36" t="str">
        <x:v>REPETITIVE_FRAGEFORM</x:v>
      </x:c>
      <x:c r="O524" s="36" t="str">
        <x:v>REINE_WIEDERERKENNUNG</x:v>
      </x:c>
      <x:c r="P524" s="36" t="str">
        <x:v>GESCHEHEN</x:v>
      </x:c>
      <x:c r="Q524" s="36" t="str">
        <x:v>Wie kommt Lydia zum Glauben?</x:v>
      </x:c>
      <x:c r="R524" s="36" t="str">
        <x:v>Der Herr öffnet ihr Herz, sodass sie auf Paulus' Botschaft achtet; sie und ihr Haus werden getauft.</x:v>
      </x:c>
      <x:c r="S524" s="36" t="str">
        <x:v>Sie sieht zuerst ein Wunder im Tempel.</x:v>
      </x:c>
      <x:c r="T524" s="36" t="str">
        <x:v>Sie wird von einem Engel nach Jerusalem geschickt.</x:v>
      </x:c>
      <x:c r="U524" s="36" t="str">
        <x:v>Sie wird durch einen römischen Richter überzeugt.</x:v>
      </x:c>
      <x:c r="V524" s="36" t="n">
        <x:v>0</x:v>
      </x:c>
      <x:c r="W524" s="36" t="str">
        <x:f>CHOOSE(V524+1,R524,S524,T524,U524)</x:f>
        <x:v>Der Herr öffnet ihr Herz, sodass sie auf Paulus' Botschaft achtet; sie und ihr Haus werden getauft.</x:v>
      </x:c>
      <x:c r="X524" s="36" t="str">
        <x:v>Apostelgeschichte 16,11–15</x:v>
      </x:c>
      <x:c r="Y524" s="36" t="str">
        <x:v>Lydia hört Paulus zu; Lukas schreibt, dass der Herr ihr Herz öffnet, und anschließend wird ihr Haus getauft.</x:v>
      </x:c>
      <x:c r="Z524" s="36" t="str">
        <x:v>JA</x:v>
      </x:c>
      <x:c r="AA524" s="36" t="str">
        <x:v>JA</x:v>
      </x:c>
      <x:c r="AB524" s="36" t="str">
        <x:v>JA</x:v>
      </x:c>
      <x:c r="AC524" s="36" t="str">
        <x:v>JA</x:v>
      </x:c>
      <x:c r="AD524" s="36" t="str">
        <x:v>JA</x:v>
      </x:c>
      <x:c r="AE524" s="36" t="str">
        <x:v>JA</x:v>
      </x:c>
      <x:c r="AF524" s="36" t="str">
        <x:v>JA</x:v>
      </x:c>
      <x:c r="AG524" s="36" t="str">
        <x:v>FREIGEGEBEN</x:v>
      </x:c>
      <x:c r="AH524" s="36" t="str">
        <x:v>GPT-5.6 Sol · Buchprüfung Apostelgeschichte · L1912/OTB</x:v>
      </x:c>
      <x:c r="AI524" s="36" t="str">
        <x:v>FREIGEGEBEN</x:v>
      </x:c>
      <x:c r="AJ524" s="36" t="str">
        <x:v>Apostelgeschichte 16: repetitive Wiedererkennungsfrage durch GESCHEHEN-Frage ersetzt.</x:v>
      </x:c>
      <x:c r="AK524" s="36" t="str">
        <x:v>FaithPath repo develop/v4 · data/stories.json · data/bibles/l1912/ACT.json · data/bibles/otb/ACT.json</x:v>
      </x:c>
      <x:c r="AL524" t="str">
        <x:f>IF(AND(AG524="FREIGEGEBEN",AI524="FREIGEGEBEN",Q524&lt;&gt;"",R524&lt;&gt;"",S524&lt;&gt;"",T524&lt;&gt;"",U524&lt;&gt;"",ISNUMBER(V524),X524&lt;&gt;"",Y524&lt;&gt;"",AA524="JA",AB524="JA",AC524="JA",AD524="JA",AE524="JA",AF524="JA"),"JA","NEIN")</x:f>
        <x:v>JA</x:v>
      </x:c>
    </x:row>
    <x:row r="525">
      <x:c r="A525" t="str">
        <x:v>FP-0784</x:v>
      </x:c>
      <x:c r="B525" t="str">
        <x:v>ACT</x:v>
      </x:c>
      <x:c r="C525" t="str">
        <x:v>Apostelgeschichte</x:v>
      </x:c>
      <x:c r="D525" t="n">
        <x:v>16</x:v>
      </x:c>
      <x:c r="E525" t="n">
        <x:v>4</x:v>
      </x:c>
      <x:c r="F525" t="str">
        <x:v>ACT-016</x:v>
      </x:c>
      <x:c r="G525" t="n">
        <x:v>105</x:v>
      </x:c>
      <x:c r="H525" t="str">
        <x:v>CQ-A06</x:v>
      </x:c>
      <x:c r="I525" s="36" t="str">
        <x:v>Welche dieser Aussagen stammt aus Apostelgeschichte 16?</x:v>
      </x:c>
      <x:c r="J525" s="36" t="str"/>
      <x:c r="K525" s="36" t="str"/>
      <x:c r="L525" s="36" t="str">
        <x:v>REPO_VERIFIZIERT_FRAGEFORM</x:v>
      </x:c>
      <x:c r="M525" s="36" t="str">
        <x:v>ERSETZEN</x:v>
      </x:c>
      <x:c r="N525" s="36" t="str">
        <x:v>REPETITIVE_FRAGEFORM</x:v>
      </x:c>
      <x:c r="O525" s="36" t="str">
        <x:v>REINE_WIEDERERKENNUNG</x:v>
      </x:c>
      <x:c r="P525" s="36" t="str">
        <x:v>GESCHEHEN</x:v>
      </x:c>
      <x:c r="Q525" s="36" t="str">
        <x:v>Was führt im Gefängnis von Philippi zur Frage des Gefängniswärters nach Rettung?</x:v>
      </x:c>
      <x:c r="R525" s="36" t="str">
        <x:v>Paulus besticht den Wärter.</x:v>
      </x:c>
      <x:c r="S525" s="36" t="str">
        <x:v>Ein Erdbeben öffnet Türen und Fesseln, doch Paulus und Silas fliehen nicht.</x:v>
      </x:c>
      <x:c r="T525" s="36" t="str">
        <x:v>Silas bricht die Mauer auf.</x:v>
      </x:c>
      <x:c r="U525" s="36" t="str">
        <x:v>Ein Engel trägt alle Gefangenen fort.</x:v>
      </x:c>
      <x:c r="V525" s="36" t="n">
        <x:v>1</x:v>
      </x:c>
      <x:c r="W525" s="36" t="str">
        <x:f>CHOOSE(V525+1,R525,S525,T525,U525)</x:f>
        <x:v>Ein Erdbeben öffnet Türen und Fesseln, doch Paulus und Silas fliehen nicht.</x:v>
      </x:c>
      <x:c r="X525" s="36" t="str">
        <x:v>Apostelgeschichte 16,22–34</x:v>
      </x:c>
      <x:c r="Y525" s="36" t="str">
        <x:v>Das Erdbeben schafft eine Fluchtmöglichkeit, aber die Gefangenen bleiben; daraus entwickelt sich das Gespräch über Glauben an den Herrn Jesus.</x:v>
      </x:c>
      <x:c r="Z525" s="36" t="str">
        <x:v>JA</x:v>
      </x:c>
      <x:c r="AA525" s="36" t="str">
        <x:v>JA</x:v>
      </x:c>
      <x:c r="AB525" s="36" t="str">
        <x:v>JA</x:v>
      </x:c>
      <x:c r="AC525" s="36" t="str">
        <x:v>JA</x:v>
      </x:c>
      <x:c r="AD525" s="36" t="str">
        <x:v>JA</x:v>
      </x:c>
      <x:c r="AE525" s="36" t="str">
        <x:v>JA</x:v>
      </x:c>
      <x:c r="AF525" s="36" t="str">
        <x:v>JA</x:v>
      </x:c>
      <x:c r="AG525" s="36" t="str">
        <x:v>FREIGEGEBEN</x:v>
      </x:c>
      <x:c r="AH525" s="36" t="str">
        <x:v>GPT-5.6 Sol · Buchprüfung Apostelgeschichte · L1912/OTB</x:v>
      </x:c>
      <x:c r="AI525" s="36" t="str">
        <x:v>FREIGEGEBEN</x:v>
      </x:c>
      <x:c r="AJ525" s="36" t="str">
        <x:v>Apostelgeschichte 16: repetitive Wiedererkennungsfrage durch GESCHEHEN-Frage ersetzt.</x:v>
      </x:c>
      <x:c r="AK525" s="36" t="str">
        <x:v>FaithPath repo develop/v4 · data/stories.json · data/bibles/l1912/ACT.json · data/bibles/otb/ACT.json</x:v>
      </x:c>
      <x:c r="AL525" t="str">
        <x:f>IF(AND(AG525="FREIGEGEBEN",AI525="FREIGEGEBEN",Q525&lt;&gt;"",R525&lt;&gt;"",S525&lt;&gt;"",T525&lt;&gt;"",U525&lt;&gt;"",ISNUMBER(V525),X525&lt;&gt;"",Y525&lt;&gt;"",AA525="JA",AB525="JA",AC525="JA",AD525="JA",AE525="JA",AF525="JA"),"JA","NEIN")</x:f>
        <x:v>JA</x:v>
      </x:c>
    </x:row>
    <x:row r="526">
      <x:c r="A526" t="str">
        <x:v>FP-0785</x:v>
      </x:c>
      <x:c r="B526" t="str">
        <x:v>ACT</x:v>
      </x:c>
      <x:c r="C526" t="str">
        <x:v>Apostelgeschichte</x:v>
      </x:c>
      <x:c r="D526" t="n">
        <x:v>16</x:v>
      </x:c>
      <x:c r="E526" t="n">
        <x:v>5</x:v>
      </x:c>
      <x:c r="F526" t="str">
        <x:v>ACT-016</x:v>
      </x:c>
      <x:c r="G526" t="n">
        <x:v>105</x:v>
      </x:c>
      <x:c r="H526" t="str">
        <x:v>CQ-A06</x:v>
      </x:c>
      <x:c r="I526" s="36" t="str">
        <x:v>Welche dieser Aussagen stammt aus Apostelgeschichte 16?</x:v>
      </x:c>
      <x:c r="J526" s="36" t="str"/>
      <x:c r="K526" s="36" t="str"/>
      <x:c r="L526" s="36" t="str">
        <x:v>REPO_VERIFIZIERT_FRAGEFORM</x:v>
      </x:c>
      <x:c r="M526" s="36" t="str">
        <x:v>ERSETZEN</x:v>
      </x:c>
      <x:c r="N526" s="36" t="str">
        <x:v>REPETITIVE_FRAGEFORM</x:v>
      </x:c>
      <x:c r="O526" s="36" t="str">
        <x:v>REINE_WIEDERERKENNUNG</x:v>
      </x:c>
      <x:c r="P526" s="36" t="str">
        <x:v>ZUSAMMENHANG</x:v>
      </x:c>
      <x:c r="Q526" s="36" t="str">
        <x:v>Warum müssen die Stadtbeamten Paulus und Silas schließlich persönlich aus dem Gefängnis geleiten?</x:v>
      </x:c>
      <x:c r="R526" s="36" t="str">
        <x:v>Weil Paulus zum Statthalter ernannt wurde.</x:v>
      </x:c>
      <x:c r="S526" s="36" t="str">
        <x:v>Weil der Kaiser einen Brief schickt.</x:v>
      </x:c>
      <x:c r="T526" s="36" t="str">
        <x:v>Weil sie römische Bürger ohne ordentliches Verfahren öffentlich geschlagen und eingesperrt haben.</x:v>
      </x:c>
      <x:c r="U526" s="36" t="str">
        <x:v>Weil Lydia es bezahlt.</x:v>
      </x:c>
      <x:c r="V526" s="36" t="n">
        <x:v>2</x:v>
      </x:c>
      <x:c r="W526" s="36" t="str">
        <x:f>CHOOSE(V526+1,R526,S526,T526,U526)</x:f>
        <x:v>Weil sie römische Bürger ohne ordentliches Verfahren öffentlich geschlagen und eingesperrt haben.</x:v>
      </x:c>
      <x:c r="X526" s="36" t="str">
        <x:v>Apostelgeschichte 16,35–40</x:v>
      </x:c>
      <x:c r="Y526" s="36" t="str">
        <x:v>Paulus beruft sich auf sein römisches Bürgerrecht und die Rechtsverletzung durch die Magistrate.</x:v>
      </x:c>
      <x:c r="Z526" s="36" t="str">
        <x:v>JA</x:v>
      </x:c>
      <x:c r="AA526" s="36" t="str">
        <x:v>JA</x:v>
      </x:c>
      <x:c r="AB526" s="36" t="str">
        <x:v>JA</x:v>
      </x:c>
      <x:c r="AC526" s="36" t="str">
        <x:v>JA</x:v>
      </x:c>
      <x:c r="AD526" s="36" t="str">
        <x:v>JA</x:v>
      </x:c>
      <x:c r="AE526" s="36" t="str">
        <x:v>JA</x:v>
      </x:c>
      <x:c r="AF526" s="36" t="str">
        <x:v>JA</x:v>
      </x:c>
      <x:c r="AG526" s="36" t="str">
        <x:v>FREIGEGEBEN</x:v>
      </x:c>
      <x:c r="AH526" s="36" t="str">
        <x:v>GPT-5.6 Sol · Buchprüfung Apostelgeschichte · L1912/OTB</x:v>
      </x:c>
      <x:c r="AI526" s="36" t="str">
        <x:v>FREIGEGEBEN</x:v>
      </x:c>
      <x:c r="AJ526" s="36" t="str">
        <x:v>Apostelgeschichte 16: repetitive Wiedererkennungsfrage durch ZUSAMMENHANG-Frage ersetzt.</x:v>
      </x:c>
      <x:c r="AK526" s="36" t="str">
        <x:v>FaithPath repo develop/v4 · data/stories.json · data/bibles/l1912/ACT.json · data/bibles/otb/ACT.json</x:v>
      </x:c>
      <x:c r="AL526" t="str">
        <x:f>IF(AND(AG526="FREIGEGEBEN",AI526="FREIGEGEBEN",Q526&lt;&gt;"",R526&lt;&gt;"",S526&lt;&gt;"",T526&lt;&gt;"",U526&lt;&gt;"",ISNUMBER(V526),X526&lt;&gt;"",Y526&lt;&gt;"",AA526="JA",AB526="JA",AC526="JA",AD526="JA",AE526="JA",AF526="JA"),"JA","NEIN")</x:f>
        <x:v>JA</x:v>
      </x:c>
    </x:row>
    <x:row r="527">
      <x:c r="A527" t="str">
        <x:v>FP-0786</x:v>
      </x:c>
      <x:c r="B527" t="str">
        <x:v>ACT</x:v>
      </x:c>
      <x:c r="C527" t="str">
        <x:v>Apostelgeschichte</x:v>
      </x:c>
      <x:c r="D527" t="n">
        <x:v>17</x:v>
      </x:c>
      <x:c r="E527" t="n">
        <x:v>1</x:v>
      </x:c>
      <x:c r="F527" t="str">
        <x:v>ACT-017</x:v>
      </x:c>
      <x:c r="G527" t="n">
        <x:v>106</x:v>
      </x:c>
      <x:c r="H527" t="str">
        <x:v>CQ-A06</x:v>
      </x:c>
      <x:c r="I527" s="36" t="str">
        <x:v>Welche dieser Aussagen stammt aus Apostelgeschichte 17?</x:v>
      </x:c>
      <x:c r="J527" s="36" t="str"/>
      <x:c r="K527" s="36" t="str"/>
      <x:c r="L527" s="36" t="str">
        <x:v>REPO_VERIFIZIERT_FRAGEFORM</x:v>
      </x:c>
      <x:c r="M527" s="36" t="str">
        <x:v>ERSETZEN</x:v>
      </x:c>
      <x:c r="N527" s="36" t="str">
        <x:v>REPETITIVE_FRAGEFORM</x:v>
      </x:c>
      <x:c r="O527" s="36" t="str">
        <x:v>REINE_WIEDERERKENNUNG</x:v>
      </x:c>
      <x:c r="P527" s="36" t="str">
        <x:v>ZUSAMMENHANG</x:v>
      </x:c>
      <x:c r="Q527" s="36" t="str">
        <x:v>Was verkündet Paulus in Thessalonich aus den Schriften über den Christus?</x:v>
      </x:c>
      <x:c r="R527" s="36" t="str">
        <x:v>Dass der Christus niemals leiden könne.</x:v>
      </x:c>
      <x:c r="S527" s="36" t="str">
        <x:v>Dass David der endgültige Christus sei.</x:v>
      </x:c>
      <x:c r="T527" s="36" t="str">
        <x:v>Dass der Christus nur für Rom bestimmt sei.</x:v>
      </x:c>
      <x:c r="U527" s="36" t="str">
        <x:v>Dass der Christus leiden und von den Toten auferstehen musste und dass Jesus dieser Christus ist.</x:v>
      </x:c>
      <x:c r="V527" s="36" t="n">
        <x:v>3</x:v>
      </x:c>
      <x:c r="W527" s="36" t="str">
        <x:f>CHOOSE(V527+1,R527,S527,T527,U527)</x:f>
        <x:v>Dass der Christus leiden und von den Toten auferstehen musste und dass Jesus dieser Christus ist.</x:v>
      </x:c>
      <x:c r="X527" s="36" t="str">
        <x:v>Apostelgeschichte 17,1–9</x:v>
      </x:c>
      <x:c r="Y527" s="36" t="str">
        <x:v>Paulus argumentiert aus der Schrift über Leiden und Auferstehung des Christus und identifiziert Jesus mit ihm.</x:v>
      </x:c>
      <x:c r="Z527" s="36" t="str">
        <x:v>JA</x:v>
      </x:c>
      <x:c r="AA527" s="36" t="str">
        <x:v>JA</x:v>
      </x:c>
      <x:c r="AB527" s="36" t="str">
        <x:v>JA</x:v>
      </x:c>
      <x:c r="AC527" s="36" t="str">
        <x:v>JA</x:v>
      </x:c>
      <x:c r="AD527" s="36" t="str">
        <x:v>JA</x:v>
      </x:c>
      <x:c r="AE527" s="36" t="str">
        <x:v>JA</x:v>
      </x:c>
      <x:c r="AF527" s="36" t="str">
        <x:v>JA</x:v>
      </x:c>
      <x:c r="AG527" s="36" t="str">
        <x:v>FREIGEGEBEN</x:v>
      </x:c>
      <x:c r="AH527" s="36" t="str">
        <x:v>GPT-5.6 Sol · Buchprüfung Apostelgeschichte · L1912/OTB</x:v>
      </x:c>
      <x:c r="AI527" s="36" t="str">
        <x:v>FREIGEGEBEN</x:v>
      </x:c>
      <x:c r="AJ527" s="36" t="str">
        <x:v>Apostelgeschichte 17: repetitive Wiedererkennungsfrage durch ZUSAMMENHANG-Frage ersetzt.</x:v>
      </x:c>
      <x:c r="AK527" s="36" t="str">
        <x:v>FaithPath repo develop/v4 · data/stories.json · data/bibles/l1912/ACT.json · data/bibles/otb/ACT.json</x:v>
      </x:c>
      <x:c r="AL527" t="str">
        <x:f>IF(AND(AG527="FREIGEGEBEN",AI527="FREIGEGEBEN",Q527&lt;&gt;"",R527&lt;&gt;"",S527&lt;&gt;"",T527&lt;&gt;"",U527&lt;&gt;"",ISNUMBER(V527),X527&lt;&gt;"",Y527&lt;&gt;"",AA527="JA",AB527="JA",AC527="JA",AD527="JA",AE527="JA",AF527="JA"),"JA","NEIN")</x:f>
        <x:v>JA</x:v>
      </x:c>
    </x:row>
    <x:row r="528">
      <x:c r="A528" t="str">
        <x:v>FP-0787</x:v>
      </x:c>
      <x:c r="B528" t="str">
        <x:v>ACT</x:v>
      </x:c>
      <x:c r="C528" t="str">
        <x:v>Apostelgeschichte</x:v>
      </x:c>
      <x:c r="D528" t="n">
        <x:v>17</x:v>
      </x:c>
      <x:c r="E528" t="n">
        <x:v>2</x:v>
      </x:c>
      <x:c r="F528" t="str">
        <x:v>ACT-017</x:v>
      </x:c>
      <x:c r="G528" t="n">
        <x:v>106</x:v>
      </x:c>
      <x:c r="H528" t="str">
        <x:v>CQ-A06</x:v>
      </x:c>
      <x:c r="I528" s="36" t="str">
        <x:v>Welche dieser Aussagen stammt aus Apostelgeschichte 17?</x:v>
      </x:c>
      <x:c r="J528" s="36" t="str"/>
      <x:c r="K528" s="36" t="str"/>
      <x:c r="L528" s="36" t="str">
        <x:v>REPO_VERIFIZIERT_FRAGEFORM</x:v>
      </x:c>
      <x:c r="M528" s="36" t="str">
        <x:v>ERSETZEN</x:v>
      </x:c>
      <x:c r="N528" s="36" t="str">
        <x:v>REPETITIVE_FRAGEFORM</x:v>
      </x:c>
      <x:c r="O528" s="36" t="str">
        <x:v>REINE_WIEDERERKENNUNG</x:v>
      </x:c>
      <x:c r="P528" s="36" t="str">
        <x:v>KERNAUSSAGE</x:v>
      </x:c>
      <x:c r="Q528" s="36" t="str">
        <x:v>Warum werden die Menschen in Beröa besonders positiv beschrieben?</x:v>
      </x:c>
      <x:c r="R528" s="36" t="str">
        <x:v>Sie nehmen das Wort bereitwillig auf und prüfen täglich in den Schriften, ob es sich so verhält.</x:v>
      </x:c>
      <x:c r="S528" s="36" t="str">
        <x:v>Sie glauben alles ohne Prüfung.</x:v>
      </x:c>
      <x:c r="T528" s="36" t="str">
        <x:v>Sie lehnen jede Schriftlesung ab.</x:v>
      </x:c>
      <x:c r="U528" s="36" t="str">
        <x:v>Sie folgen nur der Meinung der Stadtführer.</x:v>
      </x:c>
      <x:c r="V528" s="36" t="n">
        <x:v>0</x:v>
      </x:c>
      <x:c r="W528" s="36" t="str">
        <x:f>CHOOSE(V528+1,R528,S528,T528,U528)</x:f>
        <x:v>Sie nehmen das Wort bereitwillig auf und prüfen täglich in den Schriften, ob es sich so verhält.</x:v>
      </x:c>
      <x:c r="X528" s="36" t="str">
        <x:v>Apostelgeschichte 17,10–12</x:v>
      </x:c>
      <x:c r="Y528" s="36" t="str">
        <x:v>Lukas hebt ihre Offenheit und zugleich sorgfältige Prüfung an der Schrift hervor.</x:v>
      </x:c>
      <x:c r="Z528" s="36" t="str">
        <x:v>JA</x:v>
      </x:c>
      <x:c r="AA528" s="36" t="str">
        <x:v>JA</x:v>
      </x:c>
      <x:c r="AB528" s="36" t="str">
        <x:v>JA</x:v>
      </x:c>
      <x:c r="AC528" s="36" t="str">
        <x:v>JA</x:v>
      </x:c>
      <x:c r="AD528" s="36" t="str">
        <x:v>JA</x:v>
      </x:c>
      <x:c r="AE528" s="36" t="str">
        <x:v>JA</x:v>
      </x:c>
      <x:c r="AF528" s="36" t="str">
        <x:v>JA</x:v>
      </x:c>
      <x:c r="AG528" s="36" t="str">
        <x:v>FREIGEGEBEN</x:v>
      </x:c>
      <x:c r="AH528" s="36" t="str">
        <x:v>GPT-5.6 Sol · Buchprüfung Apostelgeschichte · L1912/OTB</x:v>
      </x:c>
      <x:c r="AI528" s="36" t="str">
        <x:v>FREIGEGEBEN</x:v>
      </x:c>
      <x:c r="AJ528" s="36" t="str">
        <x:v>Apostelgeschichte 17: repetitive Wiedererkennungsfrage durch KERNAUSSAGE-Frage ersetzt.</x:v>
      </x:c>
      <x:c r="AK528" s="36" t="str">
        <x:v>FaithPath repo develop/v4 · data/stories.json · data/bibles/l1912/ACT.json · data/bibles/otb/ACT.json</x:v>
      </x:c>
      <x:c r="AL528" t="str">
        <x:f>IF(AND(AG528="FREIGEGEBEN",AI528="FREIGEGEBEN",Q528&lt;&gt;"",R528&lt;&gt;"",S528&lt;&gt;"",T528&lt;&gt;"",U528&lt;&gt;"",ISNUMBER(V528),X528&lt;&gt;"",Y528&lt;&gt;"",AA528="JA",AB528="JA",AC528="JA",AD528="JA",AE528="JA",AF528="JA"),"JA","NEIN")</x:f>
        <x:v>JA</x:v>
      </x:c>
    </x:row>
    <x:row r="529">
      <x:c r="A529" t="str">
        <x:v>FP-0788</x:v>
      </x:c>
      <x:c r="B529" t="str">
        <x:v>ACT</x:v>
      </x:c>
      <x:c r="C529" t="str">
        <x:v>Apostelgeschichte</x:v>
      </x:c>
      <x:c r="D529" t="n">
        <x:v>17</x:v>
      </x:c>
      <x:c r="E529" t="n">
        <x:v>3</x:v>
      </x:c>
      <x:c r="F529" t="str">
        <x:v>ACT-017</x:v>
      </x:c>
      <x:c r="G529" t="n">
        <x:v>106</x:v>
      </x:c>
      <x:c r="H529" t="str">
        <x:v>CQ-A06</x:v>
      </x:c>
      <x:c r="I529" s="36" t="str">
        <x:v>Welche dieser Aussagen stammt aus Apostelgeschichte 17?</x:v>
      </x:c>
      <x:c r="J529" s="36" t="str"/>
      <x:c r="K529" s="36" t="str"/>
      <x:c r="L529" s="36" t="str">
        <x:v>REPO_VERIFIZIERT_FRAGEFORM</x:v>
      </x:c>
      <x:c r="M529" s="36" t="str">
        <x:v>ERSETZEN</x:v>
      </x:c>
      <x:c r="N529" s="36" t="str">
        <x:v>REPETITIVE_FRAGEFORM</x:v>
      </x:c>
      <x:c r="O529" s="36" t="str">
        <x:v>REINE_WIEDERERKENNUNG</x:v>
      </x:c>
      <x:c r="P529" s="36" t="str">
        <x:v>ZUSAMMENHANG</x:v>
      </x:c>
      <x:c r="Q529" s="36" t="str">
        <x:v>Woran knüpft Paulus auf dem Areopag seine Rede an?</x:v>
      </x:c>
      <x:c r="R529" s="36" t="str">
        <x:v>An den Tempel in Jerusalem.</x:v>
      </x:c>
      <x:c r="S529" s="36" t="str">
        <x:v>An einen Altar mit der Aufschrift „Dem unbekannten Gott“.</x:v>
      </x:c>
      <x:c r="T529" s="36" t="str">
        <x:v>An einen römischen Siegesbogen.</x:v>
      </x:c>
      <x:c r="U529" s="36" t="str">
        <x:v>An eine Synagoge in Athen.</x:v>
      </x:c>
      <x:c r="V529" s="36" t="n">
        <x:v>1</x:v>
      </x:c>
      <x:c r="W529" s="36" t="str">
        <x:f>CHOOSE(V529+1,R529,S529,T529,U529)</x:f>
        <x:v>An einen Altar mit der Aufschrift „Dem unbekannten Gott“.</x:v>
      </x:c>
      <x:c r="X529" s="36" t="str">
        <x:v>Apostelgeschichte 17,16–23</x:v>
      </x:c>
      <x:c r="Y529" s="36" t="str">
        <x:v>Paulus greift ein Element der athenischen Religiosität auf, um vom ihnen unbekannten Gott zu sprechen.</x:v>
      </x:c>
      <x:c r="Z529" s="36" t="str">
        <x:v>JA</x:v>
      </x:c>
      <x:c r="AA529" s="36" t="str">
        <x:v>JA</x:v>
      </x:c>
      <x:c r="AB529" s="36" t="str">
        <x:v>JA</x:v>
      </x:c>
      <x:c r="AC529" s="36" t="str">
        <x:v>JA</x:v>
      </x:c>
      <x:c r="AD529" s="36" t="str">
        <x:v>JA</x:v>
      </x:c>
      <x:c r="AE529" s="36" t="str">
        <x:v>JA</x:v>
      </x:c>
      <x:c r="AF529" s="36" t="str">
        <x:v>JA</x:v>
      </x:c>
      <x:c r="AG529" s="36" t="str">
        <x:v>FREIGEGEBEN</x:v>
      </x:c>
      <x:c r="AH529" s="36" t="str">
        <x:v>GPT-5.6 Sol · Buchprüfung Apostelgeschichte · L1912/OTB</x:v>
      </x:c>
      <x:c r="AI529" s="36" t="str">
        <x:v>FREIGEGEBEN</x:v>
      </x:c>
      <x:c r="AJ529" s="36" t="str">
        <x:v>Apostelgeschichte 17: repetitive Wiedererkennungsfrage durch ZUSAMMENHANG-Frage ersetzt.</x:v>
      </x:c>
      <x:c r="AK529" s="36" t="str">
        <x:v>FaithPath repo develop/v4 · data/stories.json · data/bibles/l1912/ACT.json · data/bibles/otb/ACT.json</x:v>
      </x:c>
      <x:c r="AL529" t="str">
        <x:f>IF(AND(AG529="FREIGEGEBEN",AI529="FREIGEGEBEN",Q529&lt;&gt;"",R529&lt;&gt;"",S529&lt;&gt;"",T529&lt;&gt;"",U529&lt;&gt;"",ISNUMBER(V529),X529&lt;&gt;"",Y529&lt;&gt;"",AA529="JA",AB529="JA",AC529="JA",AD529="JA",AE529="JA",AF529="JA"),"JA","NEIN")</x:f>
        <x:v>JA</x:v>
      </x:c>
    </x:row>
    <x:row r="530">
      <x:c r="A530" t="str">
        <x:v>FP-0789</x:v>
      </x:c>
      <x:c r="B530" t="str">
        <x:v>ACT</x:v>
      </x:c>
      <x:c r="C530" t="str">
        <x:v>Apostelgeschichte</x:v>
      </x:c>
      <x:c r="D530" t="n">
        <x:v>17</x:v>
      </x:c>
      <x:c r="E530" t="n">
        <x:v>4</x:v>
      </x:c>
      <x:c r="F530" t="str">
        <x:v>ACT-017</x:v>
      </x:c>
      <x:c r="G530" t="n">
        <x:v>106</x:v>
      </x:c>
      <x:c r="H530" t="str">
        <x:v>CQ-A06</x:v>
      </x:c>
      <x:c r="I530" s="36" t="str">
        <x:v>Welche dieser Aussagen stammt aus Apostelgeschichte 17?</x:v>
      </x:c>
      <x:c r="J530" s="36" t="str"/>
      <x:c r="K530" s="36" t="str"/>
      <x:c r="L530" s="36" t="str">
        <x:v>REPO_VERIFIZIERT_FRAGEFORM</x:v>
      </x:c>
      <x:c r="M530" s="36" t="str">
        <x:v>ERSETZEN</x:v>
      </x:c>
      <x:c r="N530" s="36" t="str">
        <x:v>REPETITIVE_FRAGEFORM</x:v>
      </x:c>
      <x:c r="O530" s="36" t="str">
        <x:v>REINE_WIEDERERKENNUNG</x:v>
      </x:c>
      <x:c r="P530" s="36" t="str">
        <x:v>KERNAUSSAGE</x:v>
      </x:c>
      <x:c r="Q530" s="36" t="str">
        <x:v>Wie beschreibt Paulus Gott gegenüber den Athenern?</x:v>
      </x:c>
      <x:c r="R530" s="36" t="str">
        <x:v>Als lokale Gottheit Athens.</x:v>
      </x:c>
      <x:c r="S530" s="36" t="str">
        <x:v>Als einen Gott, der Menschenhände zum Überleben braucht.</x:v>
      </x:c>
      <x:c r="T530" s="36" t="str">
        <x:v>Als Schöpfer und Herrn von Himmel und Erde, der nicht in von Menschen gemachten Tempeln wohnt.</x:v>
      </x:c>
      <x:c r="U530" s="36" t="str">
        <x:v>Als unbekannte Kraft ohne Beziehung zur Welt.</x:v>
      </x:c>
      <x:c r="V530" s="36" t="n">
        <x:v>2</x:v>
      </x:c>
      <x:c r="W530" s="36" t="str">
        <x:f>CHOOSE(V530+1,R530,S530,T530,U530)</x:f>
        <x:v>Als Schöpfer und Herrn von Himmel und Erde, der nicht in von Menschen gemachten Tempeln wohnt.</x:v>
      </x:c>
      <x:c r="X530" s="36" t="str">
        <x:v>Apostelgeschichte 17,24–29</x:v>
      </x:c>
      <x:c r="Y530" s="36" t="str">
        <x:v>Paulus verkündet den Schöpfergott, der allem Leben gibt und nicht von menschlichen Tempeln oder Diensten abhängig ist.</x:v>
      </x:c>
      <x:c r="Z530" s="36" t="str">
        <x:v>JA</x:v>
      </x:c>
      <x:c r="AA530" s="36" t="str">
        <x:v>JA</x:v>
      </x:c>
      <x:c r="AB530" s="36" t="str">
        <x:v>JA</x:v>
      </x:c>
      <x:c r="AC530" s="36" t="str">
        <x:v>JA</x:v>
      </x:c>
      <x:c r="AD530" s="36" t="str">
        <x:v>JA</x:v>
      </x:c>
      <x:c r="AE530" s="36" t="str">
        <x:v>JA</x:v>
      </x:c>
      <x:c r="AF530" s="36" t="str">
        <x:v>JA</x:v>
      </x:c>
      <x:c r="AG530" s="36" t="str">
        <x:v>FREIGEGEBEN</x:v>
      </x:c>
      <x:c r="AH530" s="36" t="str">
        <x:v>GPT-5.6 Sol · Buchprüfung Apostelgeschichte · L1912/OTB</x:v>
      </x:c>
      <x:c r="AI530" s="36" t="str">
        <x:v>FREIGEGEBEN</x:v>
      </x:c>
      <x:c r="AJ530" s="36" t="str">
        <x:v>Apostelgeschichte 17: repetitive Wiedererkennungsfrage durch KERNAUSSAGE-Frage ersetzt.</x:v>
      </x:c>
      <x:c r="AK530" s="36" t="str">
        <x:v>FaithPath repo develop/v4 · data/stories.json · data/bibles/l1912/ACT.json · data/bibles/otb/ACT.json</x:v>
      </x:c>
      <x:c r="AL530" t="str">
        <x:f>IF(AND(AG530="FREIGEGEBEN",AI530="FREIGEGEBEN",Q530&lt;&gt;"",R530&lt;&gt;"",S530&lt;&gt;"",T530&lt;&gt;"",U530&lt;&gt;"",ISNUMBER(V530),X530&lt;&gt;"",Y530&lt;&gt;"",AA530="JA",AB530="JA",AC530="JA",AD530="JA",AE530="JA",AF530="JA"),"JA","NEIN")</x:f>
        <x:v>JA</x:v>
      </x:c>
    </x:row>
    <x:row r="531">
      <x:c r="A531" t="str">
        <x:v>FP-0790</x:v>
      </x:c>
      <x:c r="B531" t="str">
        <x:v>ACT</x:v>
      </x:c>
      <x:c r="C531" t="str">
        <x:v>Apostelgeschichte</x:v>
      </x:c>
      <x:c r="D531" t="n">
        <x:v>17</x:v>
      </x:c>
      <x:c r="E531" t="n">
        <x:v>5</x:v>
      </x:c>
      <x:c r="F531" t="str">
        <x:v>ACT-017</x:v>
      </x:c>
      <x:c r="G531" t="n">
        <x:v>106</x:v>
      </x:c>
      <x:c r="H531" t="str">
        <x:v>CQ-A06</x:v>
      </x:c>
      <x:c r="I531" s="36" t="str">
        <x:v>Welche dieser Aussagen stammt aus Apostelgeschichte 17?</x:v>
      </x:c>
      <x:c r="J531" s="36" t="str"/>
      <x:c r="K531" s="36" t="str"/>
      <x:c r="L531" s="36" t="str">
        <x:v>REPO_VERIFIZIERT_FRAGEFORM</x:v>
      </x:c>
      <x:c r="M531" s="36" t="str">
        <x:v>ERSETZEN</x:v>
      </x:c>
      <x:c r="N531" s="36" t="str">
        <x:v>REPETITIVE_FRAGEFORM</x:v>
      </x:c>
      <x:c r="O531" s="36" t="str">
        <x:v>REINE_WIEDERERKENNUNG</x:v>
      </x:c>
      <x:c r="P531" s="36" t="str">
        <x:v>GESCHEHEN</x:v>
      </x:c>
      <x:c r="Q531" s="36" t="str">
        <x:v>Wie reagieren die Zuhörer, als Paulus von der Auferstehung der Toten spricht?</x:v>
      </x:c>
      <x:c r="R531" s="36" t="str">
        <x:v>Alle glauben sofort.</x:v>
      </x:c>
      <x:c r="S531" s="36" t="str">
        <x:v>Alle verlassen schweigend den Ort.</x:v>
      </x:c>
      <x:c r="T531" s="36" t="str">
        <x:v>Niemand reagiert.</x:v>
      </x:c>
      <x:c r="U531" s="36" t="str">
        <x:v>Einige spotten, andere wollen mehr hören, und einige kommen zum Glauben.</x:v>
      </x:c>
      <x:c r="V531" s="36" t="n">
        <x:v>3</x:v>
      </x:c>
      <x:c r="W531" s="36" t="str">
        <x:f>CHOOSE(V531+1,R531,S531,T531,U531)</x:f>
        <x:v>Einige spotten, andere wollen mehr hören, und einige kommen zum Glauben.</x:v>
      </x:c>
      <x:c r="X531" s="36" t="str">
        <x:v>Apostelgeschichte 17,30–34</x:v>
      </x:c>
      <x:c r="Y531" s="36" t="str">
        <x:v>Die Auferstehungsbotschaft führt zu unterschiedlichen Reaktionen, einschließlich Spott, Interesse und Glauben.</x:v>
      </x:c>
      <x:c r="Z531" s="36" t="str">
        <x:v>JA</x:v>
      </x:c>
      <x:c r="AA531" s="36" t="str">
        <x:v>JA</x:v>
      </x:c>
      <x:c r="AB531" s="36" t="str">
        <x:v>JA</x:v>
      </x:c>
      <x:c r="AC531" s="36" t="str">
        <x:v>JA</x:v>
      </x:c>
      <x:c r="AD531" s="36" t="str">
        <x:v>JA</x:v>
      </x:c>
      <x:c r="AE531" s="36" t="str">
        <x:v>JA</x:v>
      </x:c>
      <x:c r="AF531" s="36" t="str">
        <x:v>JA</x:v>
      </x:c>
      <x:c r="AG531" s="36" t="str">
        <x:v>FREIGEGEBEN</x:v>
      </x:c>
      <x:c r="AH531" s="36" t="str">
        <x:v>GPT-5.6 Sol · Buchprüfung Apostelgeschichte · L1912/OTB</x:v>
      </x:c>
      <x:c r="AI531" s="36" t="str">
        <x:v>FREIGEGEBEN</x:v>
      </x:c>
      <x:c r="AJ531" s="36" t="str">
        <x:v>Apostelgeschichte 17: repetitive Wiedererkennungsfrage durch GESCHEHEN-Frage ersetzt.</x:v>
      </x:c>
      <x:c r="AK531" s="36" t="str">
        <x:v>FaithPath repo develop/v4 · data/stories.json · data/bibles/l1912/ACT.json · data/bibles/otb/ACT.json</x:v>
      </x:c>
      <x:c r="AL531" t="str">
        <x:f>IF(AND(AG531="FREIGEGEBEN",AI531="FREIGEGEBEN",Q531&lt;&gt;"",R531&lt;&gt;"",S531&lt;&gt;"",T531&lt;&gt;"",U531&lt;&gt;"",ISNUMBER(V531),X531&lt;&gt;"",Y531&lt;&gt;"",AA531="JA",AB531="JA",AC531="JA",AD531="JA",AE531="JA",AF531="JA"),"JA","NEIN")</x:f>
        <x:v>JA</x:v>
      </x:c>
    </x:row>
    <x:row r="532">
      <x:c r="A532" t="str">
        <x:v>FP-0791</x:v>
      </x:c>
      <x:c r="B532" t="str">
        <x:v>ACT</x:v>
      </x:c>
      <x:c r="C532" t="str">
        <x:v>Apostelgeschichte</x:v>
      </x:c>
      <x:c r="D532" t="n">
        <x:v>18</x:v>
      </x:c>
      <x:c r="E532" t="n">
        <x:v>1</x:v>
      </x:c>
      <x:c r="F532" t="str">
        <x:v>ACT-018</x:v>
      </x:c>
      <x:c r="G532" t="n">
        <x:v>107</x:v>
      </x:c>
      <x:c r="H532" t="str">
        <x:v>CQ-A06</x:v>
      </x:c>
      <x:c r="I532" s="36" t="str">
        <x:v>Welche dieser Aussagen stammt aus Apostelgeschichte 18?</x:v>
      </x:c>
      <x:c r="J532" s="36" t="str"/>
      <x:c r="K532" s="36" t="str"/>
      <x:c r="L532" s="36" t="str">
        <x:v>REPO_VERIFIZIERT_FRAGEFORM</x:v>
      </x:c>
      <x:c r="M532" s="36" t="str">
        <x:v>ERSETZEN</x:v>
      </x:c>
      <x:c r="N532" s="36" t="str">
        <x:v>REPETITIVE_FRAGEFORM</x:v>
      </x:c>
      <x:c r="O532" s="36" t="str">
        <x:v>REINE_WIEDERERKENNUNG</x:v>
      </x:c>
      <x:c r="P532" s="36" t="str">
        <x:v>GESCHEHEN</x:v>
      </x:c>
      <x:c r="Q532" s="36" t="str">
        <x:v>Bei welchem Ehepaar wohnt und arbeitet Paulus in Korinth?</x:v>
      </x:c>
      <x:c r="R532" s="36" t="str">
        <x:v>Aquila und Priscilla.</x:v>
      </x:c>
      <x:c r="S532" s="36" t="str">
        <x:v>Ananias und Saphira.</x:v>
      </x:c>
      <x:c r="T532" s="36" t="str">
        <x:v>Felix und Drusilla.</x:v>
      </x:c>
      <x:c r="U532" s="36" t="str">
        <x:v>Herodes und Bernice.</x:v>
      </x:c>
      <x:c r="V532" s="36" t="n">
        <x:v>0</x:v>
      </x:c>
      <x:c r="W532" s="36" t="str">
        <x:f>CHOOSE(V532+1,R532,S532,T532,U532)</x:f>
        <x:v>Aquila und Priscilla.</x:v>
      </x:c>
      <x:c r="X532" s="36" t="str">
        <x:v>Apostelgeschichte 18,1–4</x:v>
      </x:c>
      <x:c r="Y532" s="36" t="str">
        <x:v>Paulus findet bei Aquila und Priscilla Unterkunft und arbeitet mit ihnen, da sie dasselbe Handwerk ausüben.</x:v>
      </x:c>
      <x:c r="Z532" s="36" t="str">
        <x:v>JA</x:v>
      </x:c>
      <x:c r="AA532" s="36" t="str">
        <x:v>JA</x:v>
      </x:c>
      <x:c r="AB532" s="36" t="str">
        <x:v>JA</x:v>
      </x:c>
      <x:c r="AC532" s="36" t="str">
        <x:v>JA</x:v>
      </x:c>
      <x:c r="AD532" s="36" t="str">
        <x:v>JA</x:v>
      </x:c>
      <x:c r="AE532" s="36" t="str">
        <x:v>JA</x:v>
      </x:c>
      <x:c r="AF532" s="36" t="str">
        <x:v>JA</x:v>
      </x:c>
      <x:c r="AG532" s="36" t="str">
        <x:v>FREIGEGEBEN</x:v>
      </x:c>
      <x:c r="AH532" s="36" t="str">
        <x:v>GPT-5.6 Sol · Buchprüfung Apostelgeschichte · L1912/OTB</x:v>
      </x:c>
      <x:c r="AI532" s="36" t="str">
        <x:v>FREIGEGEBEN</x:v>
      </x:c>
      <x:c r="AJ532" s="36" t="str">
        <x:v>Apostelgeschichte 18: repetitive Wiedererkennungsfrage durch GESCHEHEN-Frage ersetzt.</x:v>
      </x:c>
      <x:c r="AK532" s="36" t="str">
        <x:v>FaithPath repo develop/v4 · data/stories.json · data/bibles/l1912/ACT.json · data/bibles/otb/ACT.json</x:v>
      </x:c>
      <x:c r="AL532" t="str">
        <x:f>IF(AND(AG532="FREIGEGEBEN",AI532="FREIGEGEBEN",Q532&lt;&gt;"",R532&lt;&gt;"",S532&lt;&gt;"",T532&lt;&gt;"",U532&lt;&gt;"",ISNUMBER(V532),X532&lt;&gt;"",Y532&lt;&gt;"",AA532="JA",AB532="JA",AC532="JA",AD532="JA",AE532="JA",AF532="JA"),"JA","NEIN")</x:f>
        <x:v>JA</x:v>
      </x:c>
    </x:row>
    <x:row r="533">
      <x:c r="A533" t="str">
        <x:v>FP-0792</x:v>
      </x:c>
      <x:c r="B533" t="str">
        <x:v>ACT</x:v>
      </x:c>
      <x:c r="C533" t="str">
        <x:v>Apostelgeschichte</x:v>
      </x:c>
      <x:c r="D533" t="n">
        <x:v>18</x:v>
      </x:c>
      <x:c r="E533" t="n">
        <x:v>2</x:v>
      </x:c>
      <x:c r="F533" t="str">
        <x:v>ACT-018</x:v>
      </x:c>
      <x:c r="G533" t="n">
        <x:v>107</x:v>
      </x:c>
      <x:c r="H533" t="str">
        <x:v>CQ-A06</x:v>
      </x:c>
      <x:c r="I533" s="36" t="str">
        <x:v>Welche dieser Aussagen stammt aus Apostelgeschichte 18?</x:v>
      </x:c>
      <x:c r="J533" s="36" t="str"/>
      <x:c r="K533" s="36" t="str"/>
      <x:c r="L533" s="36" t="str">
        <x:v>REPO_VERIFIZIERT_FRAGEFORM</x:v>
      </x:c>
      <x:c r="M533" s="36" t="str">
        <x:v>ERSETZEN</x:v>
      </x:c>
      <x:c r="N533" s="36" t="str">
        <x:v>REPETITIVE_FRAGEFORM</x:v>
      </x:c>
      <x:c r="O533" s="36" t="str">
        <x:v>REINE_WIEDERERKENNUNG</x:v>
      </x:c>
      <x:c r="P533" s="36" t="str">
        <x:v>PERSON_AUSSAGE</x:v>
      </x:c>
      <x:c r="Q533" s="36" t="str">
        <x:v>Welche Ermutigung erhält Paulus in Korinth in einer nächtlichen Vision?</x:v>
      </x:c>
      <x:c r="R533" s="36" t="str">
        <x:v>Er soll Korinth sofort verlassen.</x:v>
      </x:c>
      <x:c r="S533" s="36" t="str">
        <x:v>Er soll sich nicht fürchten, sondern weiterreden, weil der Herr bei ihm ist.</x:v>
      </x:c>
      <x:c r="T533" s="36" t="str">
        <x:v>Er soll nur noch privat sprechen.</x:v>
      </x:c>
      <x:c r="U533" s="36" t="str">
        <x:v>Er soll nach Jerusalem zurückkehren.</x:v>
      </x:c>
      <x:c r="V533" s="36" t="n">
        <x:v>1</x:v>
      </x:c>
      <x:c r="W533" s="36" t="str">
        <x:f>CHOOSE(V533+1,R533,S533,T533,U533)</x:f>
        <x:v>Er soll sich nicht fürchten, sondern weiterreden, weil der Herr bei ihm ist.</x:v>
      </x:c>
      <x:c r="X533" s="36" t="str">
        <x:v>Apostelgeschichte 18,5–11</x:v>
      </x:c>
      <x:c r="Y533" s="36" t="str">
        <x:v>Der Herr ermutigt Paulus zum Weiterreden und versichert ihm seine Gegenwart.</x:v>
      </x:c>
      <x:c r="Z533" s="36" t="str">
        <x:v>JA</x:v>
      </x:c>
      <x:c r="AA533" s="36" t="str">
        <x:v>JA</x:v>
      </x:c>
      <x:c r="AB533" s="36" t="str">
        <x:v>JA</x:v>
      </x:c>
      <x:c r="AC533" s="36" t="str">
        <x:v>JA</x:v>
      </x:c>
      <x:c r="AD533" s="36" t="str">
        <x:v>JA</x:v>
      </x:c>
      <x:c r="AE533" s="36" t="str">
        <x:v>JA</x:v>
      </x:c>
      <x:c r="AF533" s="36" t="str">
        <x:v>JA</x:v>
      </x:c>
      <x:c r="AG533" s="36" t="str">
        <x:v>FREIGEGEBEN</x:v>
      </x:c>
      <x:c r="AH533" s="36" t="str">
        <x:v>GPT-5.6 Sol · Buchprüfung Apostelgeschichte · L1912/OTB</x:v>
      </x:c>
      <x:c r="AI533" s="36" t="str">
        <x:v>FREIGEGEBEN</x:v>
      </x:c>
      <x:c r="AJ533" s="36" t="str">
        <x:v>Apostelgeschichte 18: repetitive Wiedererkennungsfrage durch PERSON_AUSSAGE-Frage ersetzt.</x:v>
      </x:c>
      <x:c r="AK533" s="36" t="str">
        <x:v>FaithPath repo develop/v4 · data/stories.json · data/bibles/l1912/ACT.json · data/bibles/otb/ACT.json</x:v>
      </x:c>
      <x:c r="AL533" t="str">
        <x:f>IF(AND(AG533="FREIGEGEBEN",AI533="FREIGEGEBEN",Q533&lt;&gt;"",R533&lt;&gt;"",S533&lt;&gt;"",T533&lt;&gt;"",U533&lt;&gt;"",ISNUMBER(V533),X533&lt;&gt;"",Y533&lt;&gt;"",AA533="JA",AB533="JA",AC533="JA",AD533="JA",AE533="JA",AF533="JA"),"JA","NEIN")</x:f>
        <x:v>JA</x:v>
      </x:c>
    </x:row>
    <x:row r="534">
      <x:c r="A534" t="str">
        <x:v>FP-0793</x:v>
      </x:c>
      <x:c r="B534" t="str">
        <x:v>ACT</x:v>
      </x:c>
      <x:c r="C534" t="str">
        <x:v>Apostelgeschichte</x:v>
      </x:c>
      <x:c r="D534" t="n">
        <x:v>18</x:v>
      </x:c>
      <x:c r="E534" t="n">
        <x:v>3</x:v>
      </x:c>
      <x:c r="F534" t="str">
        <x:v>ACT-018</x:v>
      </x:c>
      <x:c r="G534" t="n">
        <x:v>107</x:v>
      </x:c>
      <x:c r="H534" t="str">
        <x:v>CQ-A06</x:v>
      </x:c>
      <x:c r="I534" s="36" t="str">
        <x:v>Welche dieser Aussagen stammt aus Apostelgeschichte 18?</x:v>
      </x:c>
      <x:c r="J534" s="36" t="str"/>
      <x:c r="K534" s="36" t="str"/>
      <x:c r="L534" s="36" t="str">
        <x:v>REPO_VERIFIZIERT_FRAGEFORM</x:v>
      </x:c>
      <x:c r="M534" s="36" t="str">
        <x:v>ERSETZEN</x:v>
      </x:c>
      <x:c r="N534" s="36" t="str">
        <x:v>REPETITIVE_FRAGEFORM</x:v>
      </x:c>
      <x:c r="O534" s="36" t="str">
        <x:v>REINE_WIEDERERKENNUNG</x:v>
      </x:c>
      <x:c r="P534" s="36" t="str">
        <x:v>GESCHEHEN</x:v>
      </x:c>
      <x:c r="Q534" s="36" t="str">
        <x:v>Wie reagiert Gallio auf die Anklage der Juden gegen Paulus?</x:v>
      </x:c>
      <x:c r="R534" s="36" t="str">
        <x:v>Er verurteilt Paulus zum Tod.</x:v>
      </x:c>
      <x:c r="S534" s="36" t="str">
        <x:v>Er schickt Paulus nach Rom.</x:v>
      </x:c>
      <x:c r="T534" s="36" t="str">
        <x:v>Er weigert sich, über einen innerjüdischen Streit um Worte und Gesetz zu richten.</x:v>
      </x:c>
      <x:c r="U534" s="36" t="str">
        <x:v>Er verbietet jede Synagoge.</x:v>
      </x:c>
      <x:c r="V534" s="36" t="n">
        <x:v>2</x:v>
      </x:c>
      <x:c r="W534" s="36" t="str">
        <x:f>CHOOSE(V534+1,R534,S534,T534,U534)</x:f>
        <x:v>Er weigert sich, über einen innerjüdischen Streit um Worte und Gesetz zu richten.</x:v>
      </x:c>
      <x:c r="X534" s="36" t="str">
        <x:v>Apostelgeschichte 18,12–17</x:v>
      </x:c>
      <x:c r="Y534" s="36" t="str">
        <x:v>Gallio sieht keinen Fall von Unrecht oder Verbrechen und weist die religiöse Streitfrage zurück.</x:v>
      </x:c>
      <x:c r="Z534" s="36" t="str">
        <x:v>JA</x:v>
      </x:c>
      <x:c r="AA534" s="36" t="str">
        <x:v>JA</x:v>
      </x:c>
      <x:c r="AB534" s="36" t="str">
        <x:v>JA</x:v>
      </x:c>
      <x:c r="AC534" s="36" t="str">
        <x:v>JA</x:v>
      </x:c>
      <x:c r="AD534" s="36" t="str">
        <x:v>JA</x:v>
      </x:c>
      <x:c r="AE534" s="36" t="str">
        <x:v>JA</x:v>
      </x:c>
      <x:c r="AF534" s="36" t="str">
        <x:v>JA</x:v>
      </x:c>
      <x:c r="AG534" s="36" t="str">
        <x:v>FREIGEGEBEN</x:v>
      </x:c>
      <x:c r="AH534" s="36" t="str">
        <x:v>GPT-5.6 Sol · Buchprüfung Apostelgeschichte · L1912/OTB</x:v>
      </x:c>
      <x:c r="AI534" s="36" t="str">
        <x:v>FREIGEGEBEN</x:v>
      </x:c>
      <x:c r="AJ534" s="36" t="str">
        <x:v>Apostelgeschichte 18: repetitive Wiedererkennungsfrage durch GESCHEHEN-Frage ersetzt.</x:v>
      </x:c>
      <x:c r="AK534" s="36" t="str">
        <x:v>FaithPath repo develop/v4 · data/stories.json · data/bibles/l1912/ACT.json · data/bibles/otb/ACT.json</x:v>
      </x:c>
      <x:c r="AL534" t="str">
        <x:f>IF(AND(AG534="FREIGEGEBEN",AI534="FREIGEGEBEN",Q534&lt;&gt;"",R534&lt;&gt;"",S534&lt;&gt;"",T534&lt;&gt;"",U534&lt;&gt;"",ISNUMBER(V534),X534&lt;&gt;"",Y534&lt;&gt;"",AA534="JA",AB534="JA",AC534="JA",AD534="JA",AE534="JA",AF534="JA"),"JA","NEIN")</x:f>
        <x:v>JA</x:v>
      </x:c>
    </x:row>
    <x:row r="535">
      <x:c r="A535" t="str">
        <x:v>FP-0794</x:v>
      </x:c>
      <x:c r="B535" t="str">
        <x:v>ACT</x:v>
      </x:c>
      <x:c r="C535" t="str">
        <x:v>Apostelgeschichte</x:v>
      </x:c>
      <x:c r="D535" t="n">
        <x:v>18</x:v>
      </x:c>
      <x:c r="E535" t="n">
        <x:v>4</x:v>
      </x:c>
      <x:c r="F535" t="str">
        <x:v>ACT-018</x:v>
      </x:c>
      <x:c r="G535" t="n">
        <x:v>107</x:v>
      </x:c>
      <x:c r="H535" t="str">
        <x:v>CQ-A06</x:v>
      </x:c>
      <x:c r="I535" s="36" t="str">
        <x:v>Welche dieser Aussagen stammt aus Apostelgeschichte 18?</x:v>
      </x:c>
      <x:c r="J535" s="36" t="str"/>
      <x:c r="K535" s="36" t="str"/>
      <x:c r="L535" s="36" t="str">
        <x:v>REPO_VERIFIZIERT_FRAGEFORM</x:v>
      </x:c>
      <x:c r="M535" s="36" t="str">
        <x:v>ERSETZEN</x:v>
      </x:c>
      <x:c r="N535" s="36" t="str">
        <x:v>REPETITIVE_FRAGEFORM</x:v>
      </x:c>
      <x:c r="O535" s="36" t="str">
        <x:v>REINE_WIEDERERKENNUNG</x:v>
      </x:c>
      <x:c r="P535" s="36" t="str">
        <x:v>GESCHEHEN</x:v>
      </x:c>
      <x:c r="Q535" s="36" t="str">
        <x:v>Was tut Paulus nach seiner längeren Zeit in Korinth?</x:v>
      </x:c>
      <x:c r="R535" s="36" t="str">
        <x:v>Er beendet dauerhaft seine Reisen.</x:v>
      </x:c>
      <x:c r="S535" s="36" t="str">
        <x:v>Er wird Statthalter von Achaia.</x:v>
      </x:c>
      <x:c r="T535" s="36" t="str">
        <x:v>Er zieht nach Alexandria.</x:v>
      </x:c>
      <x:c r="U535" s="36" t="str">
        <x:v>Er reist weiter, besucht unter anderem Ephesus und Antiochia und beginnt danach erneut Gemeinden zu stärken.</x:v>
      </x:c>
      <x:c r="V535" s="36" t="n">
        <x:v>3</x:v>
      </x:c>
      <x:c r="W535" s="36" t="str">
        <x:f>CHOOSE(V535+1,R535,S535,T535,U535)</x:f>
        <x:v>Er reist weiter, besucht unter anderem Ephesus und Antiochia und beginnt danach erneut Gemeinden zu stärken.</x:v>
      </x:c>
      <x:c r="X535" s="36" t="str">
        <x:v>Apostelgeschichte 18,18–23</x:v>
      </x:c>
      <x:c r="Y535" s="36" t="str">
        <x:v>Der Abschnitt beschreibt Paulus' Weiterreise und den Beginn einer neuen Runde der Stärkung von Jüngern.</x:v>
      </x:c>
      <x:c r="Z535" s="36" t="str">
        <x:v>JA</x:v>
      </x:c>
      <x:c r="AA535" s="36" t="str">
        <x:v>JA</x:v>
      </x:c>
      <x:c r="AB535" s="36" t="str">
        <x:v>JA</x:v>
      </x:c>
      <x:c r="AC535" s="36" t="str">
        <x:v>JA</x:v>
      </x:c>
      <x:c r="AD535" s="36" t="str">
        <x:v>JA</x:v>
      </x:c>
      <x:c r="AE535" s="36" t="str">
        <x:v>JA</x:v>
      </x:c>
      <x:c r="AF535" s="36" t="str">
        <x:v>JA</x:v>
      </x:c>
      <x:c r="AG535" s="36" t="str">
        <x:v>FREIGEGEBEN</x:v>
      </x:c>
      <x:c r="AH535" s="36" t="str">
        <x:v>GPT-5.6 Sol · Buchprüfung Apostelgeschichte · L1912/OTB</x:v>
      </x:c>
      <x:c r="AI535" s="36" t="str">
        <x:v>FREIGEGEBEN</x:v>
      </x:c>
      <x:c r="AJ535" s="36" t="str">
        <x:v>Apostelgeschichte 18: repetitive Wiedererkennungsfrage durch GESCHEHEN-Frage ersetzt.</x:v>
      </x:c>
      <x:c r="AK535" s="36" t="str">
        <x:v>FaithPath repo develop/v4 · data/stories.json · data/bibles/l1912/ACT.json · data/bibles/otb/ACT.json</x:v>
      </x:c>
      <x:c r="AL535" t="str">
        <x:f>IF(AND(AG535="FREIGEGEBEN",AI535="FREIGEGEBEN",Q535&lt;&gt;"",R535&lt;&gt;"",S535&lt;&gt;"",T535&lt;&gt;"",U535&lt;&gt;"",ISNUMBER(V535),X535&lt;&gt;"",Y535&lt;&gt;"",AA535="JA",AB535="JA",AC535="JA",AD535="JA",AE535="JA",AF535="JA"),"JA","NEIN")</x:f>
        <x:v>JA</x:v>
      </x:c>
    </x:row>
    <x:row r="536">
      <x:c r="A536" t="str">
        <x:v>FP-0795</x:v>
      </x:c>
      <x:c r="B536" t="str">
        <x:v>ACT</x:v>
      </x:c>
      <x:c r="C536" t="str">
        <x:v>Apostelgeschichte</x:v>
      </x:c>
      <x:c r="D536" t="n">
        <x:v>18</x:v>
      </x:c>
      <x:c r="E536" t="n">
        <x:v>5</x:v>
      </x:c>
      <x:c r="F536" t="str">
        <x:v>ACT-018</x:v>
      </x:c>
      <x:c r="G536" t="n">
        <x:v>107</x:v>
      </x:c>
      <x:c r="H536" t="str">
        <x:v>CQ-A06</x:v>
      </x:c>
      <x:c r="I536" s="36" t="str">
        <x:v>Welche dieser Aussagen stammt aus Apostelgeschichte 18?</x:v>
      </x:c>
      <x:c r="J536" s="36" t="str"/>
      <x:c r="K536" s="36" t="str"/>
      <x:c r="L536" s="36" t="str">
        <x:v>REPO_VERIFIZIERT_FRAGEFORM</x:v>
      </x:c>
      <x:c r="M536" s="36" t="str">
        <x:v>ERSETZEN</x:v>
      </x:c>
      <x:c r="N536" s="36" t="str">
        <x:v>REPETITIVE_FRAGEFORM</x:v>
      </x:c>
      <x:c r="O536" s="36" t="str">
        <x:v>REINE_WIEDERERKENNUNG</x:v>
      </x:c>
      <x:c r="P536" s="36" t="str">
        <x:v>ZUSAMMENHANG</x:v>
      </x:c>
      <x:c r="Q536" s="36" t="str">
        <x:v>Wie helfen Priscilla und Aquila dem redegewandten Apollos?</x:v>
      </x:c>
      <x:c r="R536" s="36" t="str">
        <x:v>Sie erklären ihm den Weg Gottes genauer, weil er nur die Taufe des Johannes kennt.</x:v>
      </x:c>
      <x:c r="S536" s="36" t="str">
        <x:v>Sie verbieten ihm zu predigen.</x:v>
      </x:c>
      <x:c r="T536" s="36" t="str">
        <x:v>Sie schicken ihn zu den Römern.</x:v>
      </x:c>
      <x:c r="U536" s="36" t="str">
        <x:v>Sie machen ihn zum Apostel.</x:v>
      </x:c>
      <x:c r="V536" s="36" t="n">
        <x:v>0</x:v>
      </x:c>
      <x:c r="W536" s="36" t="str">
        <x:f>CHOOSE(V536+1,R536,S536,T536,U536)</x:f>
        <x:v>Sie erklären ihm den Weg Gottes genauer, weil er nur die Taufe des Johannes kennt.</x:v>
      </x:c>
      <x:c r="X536" s="36" t="str">
        <x:v>Apostelgeschichte 18,24–28</x:v>
      </x:c>
      <x:c r="Y536" s="36" t="str">
        <x:v>Apollos kennt die Schrift und lehrt eifrig, braucht aber eine genauere Unterweisung, die Priscilla und Aquila ihm geben.</x:v>
      </x:c>
      <x:c r="Z536" s="36" t="str">
        <x:v>JA</x:v>
      </x:c>
      <x:c r="AA536" s="36" t="str">
        <x:v>JA</x:v>
      </x:c>
      <x:c r="AB536" s="36" t="str">
        <x:v>JA</x:v>
      </x:c>
      <x:c r="AC536" s="36" t="str">
        <x:v>JA</x:v>
      </x:c>
      <x:c r="AD536" s="36" t="str">
        <x:v>JA</x:v>
      </x:c>
      <x:c r="AE536" s="36" t="str">
        <x:v>JA</x:v>
      </x:c>
      <x:c r="AF536" s="36" t="str">
        <x:v>JA</x:v>
      </x:c>
      <x:c r="AG536" s="36" t="str">
        <x:v>FREIGEGEBEN</x:v>
      </x:c>
      <x:c r="AH536" s="36" t="str">
        <x:v>GPT-5.6 Sol · Buchprüfung Apostelgeschichte · L1912/OTB</x:v>
      </x:c>
      <x:c r="AI536" s="36" t="str">
        <x:v>FREIGEGEBEN</x:v>
      </x:c>
      <x:c r="AJ536" s="36" t="str">
        <x:v>Apostelgeschichte 18: repetitive Wiedererkennungsfrage durch ZUSAMMENHANG-Frage ersetzt.</x:v>
      </x:c>
      <x:c r="AK536" s="36" t="str">
        <x:v>FaithPath repo develop/v4 · data/stories.json · data/bibles/l1912/ACT.json · data/bibles/otb/ACT.json</x:v>
      </x:c>
      <x:c r="AL536" t="str">
        <x:f>IF(AND(AG536="FREIGEGEBEN",AI536="FREIGEGEBEN",Q536&lt;&gt;"",R536&lt;&gt;"",S536&lt;&gt;"",T536&lt;&gt;"",U536&lt;&gt;"",ISNUMBER(V536),X536&lt;&gt;"",Y536&lt;&gt;"",AA536="JA",AB536="JA",AC536="JA",AD536="JA",AE536="JA",AF536="JA"),"JA","NEIN")</x:f>
        <x:v>JA</x:v>
      </x:c>
    </x:row>
    <x:row r="537">
      <x:c r="A537" t="str">
        <x:v>FP-0796</x:v>
      </x:c>
      <x:c r="B537" t="str">
        <x:v>ACT</x:v>
      </x:c>
      <x:c r="C537" t="str">
        <x:v>Apostelgeschichte</x:v>
      </x:c>
      <x:c r="D537" t="n">
        <x:v>19</x:v>
      </x:c>
      <x:c r="E537" t="n">
        <x:v>1</x:v>
      </x:c>
      <x:c r="F537" t="str">
        <x:v>ACT-019</x:v>
      </x:c>
      <x:c r="G537" t="n">
        <x:v>108</x:v>
      </x:c>
      <x:c r="H537" t="str">
        <x:v>CQ-A06</x:v>
      </x:c>
      <x:c r="I537" s="36" t="str">
        <x:v>Welche dieser Aussagen stammt aus Apostelgeschichte 19?</x:v>
      </x:c>
      <x:c r="J537" s="36" t="str"/>
      <x:c r="K537" s="36" t="str"/>
      <x:c r="L537" s="36" t="str">
        <x:v>REPO_VERIFIZIERT_FRAGEFORM</x:v>
      </x:c>
      <x:c r="M537" s="36" t="str">
        <x:v>ERSETZEN</x:v>
      </x:c>
      <x:c r="N537" s="36" t="str">
        <x:v>REPETITIVE_FRAGEFORM</x:v>
      </x:c>
      <x:c r="O537" s="36" t="str">
        <x:v>REINE_WIEDERERKENNUNG</x:v>
      </x:c>
      <x:c r="P537" s="36" t="str">
        <x:v>GESCHEHEN</x:v>
      </x:c>
      <x:c r="Q537" s="36" t="str">
        <x:v>Was fehlt den Jüngern, die Paulus in Ephesus trifft?</x:v>
      </x:c>
      <x:c r="R537" s="36" t="str">
        <x:v>Sie kennen Mose nicht.</x:v>
      </x:c>
      <x:c r="S537" s="36" t="str">
        <x:v>Sie kennen zunächst nur die Taufe des Johannes und haben vom Heiligen Geist noch nichts gehört.</x:v>
      </x:c>
      <x:c r="T537" s="36" t="str">
        <x:v>Sie haben nie von Gott gehört.</x:v>
      </x:c>
      <x:c r="U537" s="36" t="str">
        <x:v>Sie sind bereits Apostel.</x:v>
      </x:c>
      <x:c r="V537" s="36" t="n">
        <x:v>1</x:v>
      </x:c>
      <x:c r="W537" s="36" t="str">
        <x:f>CHOOSE(V537+1,R537,S537,T537,U537)</x:f>
        <x:v>Sie kennen zunächst nur die Taufe des Johannes und haben vom Heiligen Geist noch nichts gehört.</x:v>
      </x:c>
      <x:c r="X537" s="36" t="str">
        <x:v>Apostelgeschichte 19,1–7</x:v>
      </x:c>
      <x:c r="Y537" s="36" t="str">
        <x:v>Paulus erklärt ihnen Jesus; nach der Taufe und Handauflegung empfangen sie den Heiligen Geist.</x:v>
      </x:c>
      <x:c r="Z537" s="36" t="str">
        <x:v>JA</x:v>
      </x:c>
      <x:c r="AA537" s="36" t="str">
        <x:v>JA</x:v>
      </x:c>
      <x:c r="AB537" s="36" t="str">
        <x:v>JA</x:v>
      </x:c>
      <x:c r="AC537" s="36" t="str">
        <x:v>JA</x:v>
      </x:c>
      <x:c r="AD537" s="36" t="str">
        <x:v>JA</x:v>
      </x:c>
      <x:c r="AE537" s="36" t="str">
        <x:v>JA</x:v>
      </x:c>
      <x:c r="AF537" s="36" t="str">
        <x:v>JA</x:v>
      </x:c>
      <x:c r="AG537" s="36" t="str">
        <x:v>FREIGEGEBEN</x:v>
      </x:c>
      <x:c r="AH537" s="36" t="str">
        <x:v>GPT-5.6 Sol · Buchprüfung Apostelgeschichte · L1912/OTB</x:v>
      </x:c>
      <x:c r="AI537" s="36" t="str">
        <x:v>FREIGEGEBEN</x:v>
      </x:c>
      <x:c r="AJ537" s="36" t="str">
        <x:v>Apostelgeschichte 19: repetitive Wiedererkennungsfrage durch GESCHEHEN-Frage ersetzt.</x:v>
      </x:c>
      <x:c r="AK537" s="36" t="str">
        <x:v>FaithPath repo develop/v4 · data/stories.json · data/bibles/l1912/ACT.json · data/bibles/otb/ACT.json</x:v>
      </x:c>
      <x:c r="AL537" t="str">
        <x:f>IF(AND(AG537="FREIGEGEBEN",AI537="FREIGEGEBEN",Q537&lt;&gt;"",R537&lt;&gt;"",S537&lt;&gt;"",T537&lt;&gt;"",U537&lt;&gt;"",ISNUMBER(V537),X537&lt;&gt;"",Y537&lt;&gt;"",AA537="JA",AB537="JA",AC537="JA",AD537="JA",AE537="JA",AF537="JA"),"JA","NEIN")</x:f>
        <x:v>JA</x:v>
      </x:c>
    </x:row>
    <x:row r="538">
      <x:c r="A538" t="str">
        <x:v>FP-0797</x:v>
      </x:c>
      <x:c r="B538" t="str">
        <x:v>ACT</x:v>
      </x:c>
      <x:c r="C538" t="str">
        <x:v>Apostelgeschichte</x:v>
      </x:c>
      <x:c r="D538" t="n">
        <x:v>19</x:v>
      </x:c>
      <x:c r="E538" t="n">
        <x:v>2</x:v>
      </x:c>
      <x:c r="F538" t="str">
        <x:v>ACT-019</x:v>
      </x:c>
      <x:c r="G538" t="n">
        <x:v>108</x:v>
      </x:c>
      <x:c r="H538" t="str">
        <x:v>CQ-A06</x:v>
      </x:c>
      <x:c r="I538" s="36" t="str">
        <x:v>Welche dieser Aussagen stammt aus Apostelgeschichte 19?</x:v>
      </x:c>
      <x:c r="J538" s="36" t="str"/>
      <x:c r="K538" s="36" t="str"/>
      <x:c r="L538" s="36" t="str">
        <x:v>REPO_VERIFIZIERT_FRAGEFORM</x:v>
      </x:c>
      <x:c r="M538" s="36" t="str">
        <x:v>ERSETZEN</x:v>
      </x:c>
      <x:c r="N538" s="36" t="str">
        <x:v>REPETITIVE_FRAGEFORM</x:v>
      </x:c>
      <x:c r="O538" s="36" t="str">
        <x:v>REINE_WIEDERERKENNUNG</x:v>
      </x:c>
      <x:c r="P538" s="36" t="str">
        <x:v>GESCHEHEN</x:v>
      </x:c>
      <x:c r="Q538" s="36" t="str">
        <x:v>Wie setzt Paulus seinen Lehrdienst fort, nachdem einige in der Synagoge verhärtet reagieren?</x:v>
      </x:c>
      <x:c r="R538" s="36" t="str">
        <x:v>Er beendet die Verkündigung in Ephesus.</x:v>
      </x:c>
      <x:c r="S538" s="36" t="str">
        <x:v>Er zieht sofort nach Rom.</x:v>
      </x:c>
      <x:c r="T538" s="36" t="str">
        <x:v>Er trennt die Jünger ab und lehrt täglich in der Schule des Tyrannus.</x:v>
      </x:c>
      <x:c r="U538" s="36" t="str">
        <x:v>Er unterrichtet nur noch die Stadtbeamten.</x:v>
      </x:c>
      <x:c r="V538" s="36" t="n">
        <x:v>2</x:v>
      </x:c>
      <x:c r="W538" s="36" t="str">
        <x:f>CHOOSE(V538+1,R538,S538,T538,U538)</x:f>
        <x:v>Er trennt die Jünger ab und lehrt täglich in der Schule des Tyrannus.</x:v>
      </x:c>
      <x:c r="X538" s="36" t="str">
        <x:v>Apostelgeschichte 19,8–10</x:v>
      </x:c>
      <x:c r="Y538" s="36" t="str">
        <x:v>Paulus verlagert den Lehrort und wirkt dort zwei Jahre, sodass viele in der Provinz das Wort hören.</x:v>
      </x:c>
      <x:c r="Z538" s="36" t="str">
        <x:v>JA</x:v>
      </x:c>
      <x:c r="AA538" s="36" t="str">
        <x:v>JA</x:v>
      </x:c>
      <x:c r="AB538" s="36" t="str">
        <x:v>JA</x:v>
      </x:c>
      <x:c r="AC538" s="36" t="str">
        <x:v>JA</x:v>
      </x:c>
      <x:c r="AD538" s="36" t="str">
        <x:v>JA</x:v>
      </x:c>
      <x:c r="AE538" s="36" t="str">
        <x:v>JA</x:v>
      </x:c>
      <x:c r="AF538" s="36" t="str">
        <x:v>JA</x:v>
      </x:c>
      <x:c r="AG538" s="36" t="str">
        <x:v>FREIGEGEBEN</x:v>
      </x:c>
      <x:c r="AH538" s="36" t="str">
        <x:v>GPT-5.6 Sol · Buchprüfung Apostelgeschichte · L1912/OTB</x:v>
      </x:c>
      <x:c r="AI538" s="36" t="str">
        <x:v>FREIGEGEBEN</x:v>
      </x:c>
      <x:c r="AJ538" s="36" t="str">
        <x:v>Apostelgeschichte 19: repetitive Wiedererkennungsfrage durch GESCHEHEN-Frage ersetzt.</x:v>
      </x:c>
      <x:c r="AK538" s="36" t="str">
        <x:v>FaithPath repo develop/v4 · data/stories.json · data/bibles/l1912/ACT.json · data/bibles/otb/ACT.json</x:v>
      </x:c>
      <x:c r="AL538" t="str">
        <x:f>IF(AND(AG538="FREIGEGEBEN",AI538="FREIGEGEBEN",Q538&lt;&gt;"",R538&lt;&gt;"",S538&lt;&gt;"",T538&lt;&gt;"",U538&lt;&gt;"",ISNUMBER(V538),X538&lt;&gt;"",Y538&lt;&gt;"",AA538="JA",AB538="JA",AC538="JA",AD538="JA",AE538="JA",AF538="JA"),"JA","NEIN")</x:f>
        <x:v>JA</x:v>
      </x:c>
    </x:row>
    <x:row r="539">
      <x:c r="A539" t="str">
        <x:v>FP-0798</x:v>
      </x:c>
      <x:c r="B539" t="str">
        <x:v>ACT</x:v>
      </x:c>
      <x:c r="C539" t="str">
        <x:v>Apostelgeschichte</x:v>
      </x:c>
      <x:c r="D539" t="n">
        <x:v>19</x:v>
      </x:c>
      <x:c r="E539" t="n">
        <x:v>3</x:v>
      </x:c>
      <x:c r="F539" t="str">
        <x:v>ACT-019</x:v>
      </x:c>
      <x:c r="G539" t="n">
        <x:v>108</x:v>
      </x:c>
      <x:c r="H539" t="str">
        <x:v>CQ-A06</x:v>
      </x:c>
      <x:c r="I539" s="36" t="str">
        <x:v>Welche dieser Aussagen stammt aus Apostelgeschichte 19?</x:v>
      </x:c>
      <x:c r="J539" s="36" t="str"/>
      <x:c r="K539" s="36" t="str"/>
      <x:c r="L539" s="36" t="str">
        <x:v>REPO_VERIFIZIERT_FRAGEFORM</x:v>
      </x:c>
      <x:c r="M539" s="36" t="str">
        <x:v>ERSETZEN</x:v>
      </x:c>
      <x:c r="N539" s="36" t="str">
        <x:v>REPETITIVE_FRAGEFORM</x:v>
      </x:c>
      <x:c r="O539" s="36" t="str">
        <x:v>REINE_WIEDERERKENNUNG</x:v>
      </x:c>
      <x:c r="P539" s="36" t="str">
        <x:v>ZUSAMMENHANG</x:v>
      </x:c>
      <x:c r="Q539" s="36" t="str">
        <x:v>Was zeigt die Geschichte der Söhne des Skevas über den Namen Jesu?</x:v>
      </x:c>
      <x:c r="R539" s="36" t="str">
        <x:v>Jeder kann den Namen wie einen Zauberspruch einsetzen.</x:v>
      </x:c>
      <x:c r="S539" s="36" t="str">
        <x:v>Nur jüdische Exorzisten dürfen ihn nennen.</x:v>
      </x:c>
      <x:c r="T539" s="36" t="str">
        <x:v>Der Name Jesu spielt im geistlichen Kampf keine Rolle.</x:v>
      </x:c>
      <x:c r="U539" s="36" t="str">
        <x:v>Der Name Jesu ist keine magische Formel, die man ohne Beziehung und Vollmacht benutzen kann.</x:v>
      </x:c>
      <x:c r="V539" s="36" t="n">
        <x:v>3</x:v>
      </x:c>
      <x:c r="W539" s="36" t="str">
        <x:f>CHOOSE(V539+1,R539,S539,T539,U539)</x:f>
        <x:v>Der Name Jesu ist keine magische Formel, die man ohne Beziehung und Vollmacht benutzen kann.</x:v>
      </x:c>
      <x:c r="X539" s="36" t="str">
        <x:v>Apostelgeschichte 19,11–20</x:v>
      </x:c>
      <x:c r="Y539" s="36" t="str">
        <x:v>Der misslungene Versuch der Söhne des Skevas führt zu Ehrfurcht vor Jesu Namen; viele trennen sich öffentlich von magischen Praktiken.</x:v>
      </x:c>
      <x:c r="Z539" s="36" t="str">
        <x:v>JA</x:v>
      </x:c>
      <x:c r="AA539" s="36" t="str">
        <x:v>JA</x:v>
      </x:c>
      <x:c r="AB539" s="36" t="str">
        <x:v>JA</x:v>
      </x:c>
      <x:c r="AC539" s="36" t="str">
        <x:v>JA</x:v>
      </x:c>
      <x:c r="AD539" s="36" t="str">
        <x:v>JA</x:v>
      </x:c>
      <x:c r="AE539" s="36" t="str">
        <x:v>JA</x:v>
      </x:c>
      <x:c r="AF539" s="36" t="str">
        <x:v>JA</x:v>
      </x:c>
      <x:c r="AG539" s="36" t="str">
        <x:v>FREIGEGEBEN</x:v>
      </x:c>
      <x:c r="AH539" s="36" t="str">
        <x:v>GPT-5.6 Sol · Buchprüfung Apostelgeschichte · L1912/OTB</x:v>
      </x:c>
      <x:c r="AI539" s="36" t="str">
        <x:v>FREIGEGEBEN</x:v>
      </x:c>
      <x:c r="AJ539" s="36" t="str">
        <x:v>Apostelgeschichte 19: repetitive Wiedererkennungsfrage durch ZUSAMMENHANG-Frage ersetzt.</x:v>
      </x:c>
      <x:c r="AK539" s="36" t="str">
        <x:v>FaithPath repo develop/v4 · data/stories.json · data/bibles/l1912/ACT.json · data/bibles/otb/ACT.json</x:v>
      </x:c>
      <x:c r="AL539" t="str">
        <x:f>IF(AND(AG539="FREIGEGEBEN",AI539="FREIGEGEBEN",Q539&lt;&gt;"",R539&lt;&gt;"",S539&lt;&gt;"",T539&lt;&gt;"",U539&lt;&gt;"",ISNUMBER(V539),X539&lt;&gt;"",Y539&lt;&gt;"",AA539="JA",AB539="JA",AC539="JA",AD539="JA",AE539="JA",AF539="JA"),"JA","NEIN")</x:f>
        <x:v>JA</x:v>
      </x:c>
    </x:row>
    <x:row r="540">
      <x:c r="A540" t="str">
        <x:v>FP-0799</x:v>
      </x:c>
      <x:c r="B540" t="str">
        <x:v>ACT</x:v>
      </x:c>
      <x:c r="C540" t="str">
        <x:v>Apostelgeschichte</x:v>
      </x:c>
      <x:c r="D540" t="n">
        <x:v>19</x:v>
      </x:c>
      <x:c r="E540" t="n">
        <x:v>4</x:v>
      </x:c>
      <x:c r="F540" t="str">
        <x:v>ACT-019</x:v>
      </x:c>
      <x:c r="G540" t="n">
        <x:v>108</x:v>
      </x:c>
      <x:c r="H540" t="str">
        <x:v>CQ-A06</x:v>
      </x:c>
      <x:c r="I540" s="36" t="str">
        <x:v>Welche dieser Aussagen stammt aus Apostelgeschichte 19?</x:v>
      </x:c>
      <x:c r="J540" s="36" t="str"/>
      <x:c r="K540" s="36" t="str"/>
      <x:c r="L540" s="36" t="str">
        <x:v>REPO_VERIFIZIERT_FRAGEFORM</x:v>
      </x:c>
      <x:c r="M540" s="36" t="str">
        <x:v>ERSETZEN</x:v>
      </x:c>
      <x:c r="N540" s="36" t="str">
        <x:v>REPETITIVE_FRAGEFORM</x:v>
      </x:c>
      <x:c r="O540" s="36" t="str">
        <x:v>REINE_WIEDERERKENNUNG</x:v>
      </x:c>
      <x:c r="P540" s="36" t="str">
        <x:v>ZUSAMMENHANG</x:v>
      </x:c>
      <x:c r="Q540" s="36" t="str">
        <x:v>Warum fürchtet der Silberschmied Demetrius die Ausbreitung der christlichen Botschaft?</x:v>
      </x:c>
      <x:c r="R540" s="36" t="str">
        <x:v>Sie gefährdet das Geschäft mit Artemis-Heiligtümern und das Ansehen des Kultes.</x:v>
      </x:c>
      <x:c r="S540" s="36" t="str">
        <x:v>Paulus will seine Werkstatt kaufen.</x:v>
      </x:c>
      <x:c r="T540" s="36" t="str">
        <x:v>Die Christen verbieten jeden Handel.</x:v>
      </x:c>
      <x:c r="U540" s="36" t="str">
        <x:v>Der Kaiser hat den Artemis-Kult schon abgeschafft.</x:v>
      </x:c>
      <x:c r="V540" s="36" t="n">
        <x:v>0</x:v>
      </x:c>
      <x:c r="W540" s="36" t="str">
        <x:f>CHOOSE(V540+1,R540,S540,T540,U540)</x:f>
        <x:v>Sie gefährdet das Geschäft mit Artemis-Heiligtümern und das Ansehen des Kultes.</x:v>
      </x:c>
      <x:c r="X540" s="36" t="str">
        <x:v>Apostelgeschichte 19,23–27</x:v>
      </x:c>
      <x:c r="Y540" s="36" t="str">
        <x:v>Demetrius verbindet wirtschaftliche Interessen und religiöses Prestige und mobilisiert deshalb Widerstand.</x:v>
      </x:c>
      <x:c r="Z540" s="36" t="str">
        <x:v>JA</x:v>
      </x:c>
      <x:c r="AA540" s="36" t="str">
        <x:v>JA</x:v>
      </x:c>
      <x:c r="AB540" s="36" t="str">
        <x:v>JA</x:v>
      </x:c>
      <x:c r="AC540" s="36" t="str">
        <x:v>JA</x:v>
      </x:c>
      <x:c r="AD540" s="36" t="str">
        <x:v>JA</x:v>
      </x:c>
      <x:c r="AE540" s="36" t="str">
        <x:v>JA</x:v>
      </x:c>
      <x:c r="AF540" s="36" t="str">
        <x:v>JA</x:v>
      </x:c>
      <x:c r="AG540" s="36" t="str">
        <x:v>FREIGEGEBEN</x:v>
      </x:c>
      <x:c r="AH540" s="36" t="str">
        <x:v>GPT-5.6 Sol · Buchprüfung Apostelgeschichte · L1912/OTB</x:v>
      </x:c>
      <x:c r="AI540" s="36" t="str">
        <x:v>FREIGEGEBEN</x:v>
      </x:c>
      <x:c r="AJ540" s="36" t="str">
        <x:v>Apostelgeschichte 19: repetitive Wiedererkennungsfrage durch ZUSAMMENHANG-Frage ersetzt.</x:v>
      </x:c>
      <x:c r="AK540" s="36" t="str">
        <x:v>FaithPath repo develop/v4 · data/stories.json · data/bibles/l1912/ACT.json · data/bibles/otb/ACT.json</x:v>
      </x:c>
      <x:c r="AL540" t="str">
        <x:f>IF(AND(AG540="FREIGEGEBEN",AI540="FREIGEGEBEN",Q540&lt;&gt;"",R540&lt;&gt;"",S540&lt;&gt;"",T540&lt;&gt;"",U540&lt;&gt;"",ISNUMBER(V540),X540&lt;&gt;"",Y540&lt;&gt;"",AA540="JA",AB540="JA",AC540="JA",AD540="JA",AE540="JA",AF540="JA"),"JA","NEIN")</x:f>
        <x:v>JA</x:v>
      </x:c>
    </x:row>
    <x:row r="541">
      <x:c r="A541" t="str">
        <x:v>FP-0800</x:v>
      </x:c>
      <x:c r="B541" t="str">
        <x:v>ACT</x:v>
      </x:c>
      <x:c r="C541" t="str">
        <x:v>Apostelgeschichte</x:v>
      </x:c>
      <x:c r="D541" t="n">
        <x:v>19</x:v>
      </x:c>
      <x:c r="E541" t="n">
        <x:v>5</x:v>
      </x:c>
      <x:c r="F541" t="str">
        <x:v>ACT-019</x:v>
      </x:c>
      <x:c r="G541" t="n">
        <x:v>108</x:v>
      </x:c>
      <x:c r="H541" t="str">
        <x:v>CQ-A06</x:v>
      </x:c>
      <x:c r="I541" s="36" t="str">
        <x:v>Welche dieser Aussagen stammt aus Apostelgeschichte 19?</x:v>
      </x:c>
      <x:c r="J541" s="36" t="str"/>
      <x:c r="K541" s="36" t="str"/>
      <x:c r="L541" s="36" t="str">
        <x:v>REPO_VERIFIZIERT_FRAGEFORM</x:v>
      </x:c>
      <x:c r="M541" s="36" t="str">
        <x:v>ERSETZEN</x:v>
      </x:c>
      <x:c r="N541" s="36" t="str">
        <x:v>REPETITIVE_FRAGEFORM</x:v>
      </x:c>
      <x:c r="O541" s="36" t="str">
        <x:v>REINE_WIEDERERKENNUNG</x:v>
      </x:c>
      <x:c r="P541" s="36" t="str">
        <x:v>GESCHEHEN</x:v>
      </x:c>
      <x:c r="Q541" s="36" t="str">
        <x:v>Wie endet der Aufruhr im Theater von Ephesus?</x:v>
      </x:c>
      <x:c r="R541" s="36" t="str">
        <x:v>Paulus übernimmt das Theater.</x:v>
      </x:c>
      <x:c r="S541" s="36" t="str">
        <x:v>Der Stadtschreiber beruhigt die Menge und verweist auf die rechtlichen Wege für Beschwerden.</x:v>
      </x:c>
      <x:c r="T541" s="36" t="str">
        <x:v>Die Menge verhaftet alle Christen.</x:v>
      </x:c>
      <x:c r="U541" s="36" t="str">
        <x:v>Der Tempel der Artemis wird zerstört.</x:v>
      </x:c>
      <x:c r="V541" s="36" t="n">
        <x:v>1</x:v>
      </x:c>
      <x:c r="W541" s="36" t="str">
        <x:f>CHOOSE(V541+1,R541,S541,T541,U541)</x:f>
        <x:v>Der Stadtschreiber beruhigt die Menge und verweist auf die rechtlichen Wege für Beschwerden.</x:v>
      </x:c>
      <x:c r="X541" s="36" t="str">
        <x:v>Apostelgeschichte 19,28–41</x:v>
      </x:c>
      <x:c r="Y541" s="36" t="str">
        <x:v>Der Stadtschreiber warnt vor einer Anklage wegen Aufruhrs und löst die Versammlung auf.</x:v>
      </x:c>
      <x:c r="Z541" s="36" t="str">
        <x:v>JA</x:v>
      </x:c>
      <x:c r="AA541" s="36" t="str">
        <x:v>JA</x:v>
      </x:c>
      <x:c r="AB541" s="36" t="str">
        <x:v>JA</x:v>
      </x:c>
      <x:c r="AC541" s="36" t="str">
        <x:v>JA</x:v>
      </x:c>
      <x:c r="AD541" s="36" t="str">
        <x:v>JA</x:v>
      </x:c>
      <x:c r="AE541" s="36" t="str">
        <x:v>JA</x:v>
      </x:c>
      <x:c r="AF541" s="36" t="str">
        <x:v>JA</x:v>
      </x:c>
      <x:c r="AG541" s="36" t="str">
        <x:v>FREIGEGEBEN</x:v>
      </x:c>
      <x:c r="AH541" s="36" t="str">
        <x:v>GPT-5.6 Sol · Buchprüfung Apostelgeschichte · L1912/OTB</x:v>
      </x:c>
      <x:c r="AI541" s="36" t="str">
        <x:v>FREIGEGEBEN</x:v>
      </x:c>
      <x:c r="AJ541" s="36" t="str">
        <x:v>Apostelgeschichte 19: repetitive Wiedererkennungsfrage durch GESCHEHEN-Frage ersetzt.</x:v>
      </x:c>
      <x:c r="AK541" s="36" t="str">
        <x:v>FaithPath repo develop/v4 · data/stories.json · data/bibles/l1912/ACT.json · data/bibles/otb/ACT.json</x:v>
      </x:c>
      <x:c r="AL541" t="str">
        <x:f>IF(AND(AG541="FREIGEGEBEN",AI541="FREIGEGEBEN",Q541&lt;&gt;"",R541&lt;&gt;"",S541&lt;&gt;"",T541&lt;&gt;"",U541&lt;&gt;"",ISNUMBER(V541),X541&lt;&gt;"",Y541&lt;&gt;"",AA541="JA",AB541="JA",AC541="JA",AD541="JA",AE541="JA",AF541="JA"),"JA","NEIN")</x:f>
        <x:v>JA</x:v>
      </x:c>
    </x:row>
    <x:row r="542">
      <x:c r="A542" t="str">
        <x:v>FP-0801</x:v>
      </x:c>
      <x:c r="B542" t="str">
        <x:v>ACT</x:v>
      </x:c>
      <x:c r="C542" t="str">
        <x:v>Apostelgeschichte</x:v>
      </x:c>
      <x:c r="D542" t="n">
        <x:v>20</x:v>
      </x:c>
      <x:c r="E542" t="n">
        <x:v>1</x:v>
      </x:c>
      <x:c r="F542" t="str">
        <x:v>ACT-020</x:v>
      </x:c>
      <x:c r="G542" t="n">
        <x:v>109</x:v>
      </x:c>
      <x:c r="H542" t="str">
        <x:v>CQ-A06</x:v>
      </x:c>
      <x:c r="I542" s="36" t="str">
        <x:v>Welche dieser Aussagen stammt aus Apostelgeschichte 20?</x:v>
      </x:c>
      <x:c r="J542" s="36" t="str"/>
      <x:c r="K542" s="36" t="str"/>
      <x:c r="L542" s="36" t="str">
        <x:v>REPO_VERIFIZIERT_FRAGEFORM</x:v>
      </x:c>
      <x:c r="M542" s="36" t="str">
        <x:v>ERSETZEN</x:v>
      </x:c>
      <x:c r="N542" s="36" t="str">
        <x:v>REPETITIVE_FRAGEFORM</x:v>
      </x:c>
      <x:c r="O542" s="36" t="str">
        <x:v>REINE_WIEDERERKENNUNG</x:v>
      </x:c>
      <x:c r="P542" s="36" t="str">
        <x:v>GESCHEHEN</x:v>
      </x:c>
      <x:c r="Q542" s="36" t="str">
        <x:v>Was geschieht mit Eutychus während der langen Rede des Paulus in Troas?</x:v>
      </x:c>
      <x:c r="R542" s="36" t="str">
        <x:v>Er verlässt die Gemeinde und kehrt nie zurück.</x:v>
      </x:c>
      <x:c r="S542" s="36" t="str">
        <x:v>Er wird von Soldaten verhaftet.</x:v>
      </x:c>
      <x:c r="T542" s="36" t="str">
        <x:v>Er fällt aus dem dritten Stock, wird für tot aufgehoben und ist danach wieder lebendig.</x:v>
      </x:c>
      <x:c r="U542" s="36" t="str">
        <x:v>Er schläft ein, bleibt aber unverletzt im Fenster.</x:v>
      </x:c>
      <x:c r="V542" s="36" t="n">
        <x:v>2</x:v>
      </x:c>
      <x:c r="W542" s="36" t="str">
        <x:f>CHOOSE(V542+1,R542,S542,T542,U542)</x:f>
        <x:v>Er fällt aus dem dritten Stock, wird für tot aufgehoben und ist danach wieder lebendig.</x:v>
      </x:c>
      <x:c r="X542" s="36" t="str">
        <x:v>Apostelgeschichte 20,7–12</x:v>
      </x:c>
      <x:c r="Y542" s="36" t="str">
        <x:v>Eutychus stürzt aus dem Fenster; Paulus geht zu ihm, und am Ende wird der Junge lebend zurückgebracht.</x:v>
      </x:c>
      <x:c r="Z542" s="36" t="str">
        <x:v>JA</x:v>
      </x:c>
      <x:c r="AA542" s="36" t="str">
        <x:v>JA</x:v>
      </x:c>
      <x:c r="AB542" s="36" t="str">
        <x:v>JA</x:v>
      </x:c>
      <x:c r="AC542" s="36" t="str">
        <x:v>JA</x:v>
      </x:c>
      <x:c r="AD542" s="36" t="str">
        <x:v>JA</x:v>
      </x:c>
      <x:c r="AE542" s="36" t="str">
        <x:v>JA</x:v>
      </x:c>
      <x:c r="AF542" s="36" t="str">
        <x:v>JA</x:v>
      </x:c>
      <x:c r="AG542" s="36" t="str">
        <x:v>FREIGEGEBEN</x:v>
      </x:c>
      <x:c r="AH542" s="36" t="str">
        <x:v>GPT-5.6 Sol · Buchprüfung Apostelgeschichte · L1912/OTB</x:v>
      </x:c>
      <x:c r="AI542" s="36" t="str">
        <x:v>FREIGEGEBEN</x:v>
      </x:c>
      <x:c r="AJ542" s="36" t="str">
        <x:v>Apostelgeschichte 20: repetitive Wiedererkennungsfrage durch GESCHEHEN-Frage ersetzt.</x:v>
      </x:c>
      <x:c r="AK542" s="36" t="str">
        <x:v>FaithPath repo develop/v4 · data/stories.json · data/bibles/l1912/ACT.json · data/bibles/otb/ACT.json</x:v>
      </x:c>
      <x:c r="AL542" t="str">
        <x:f>IF(AND(AG542="FREIGEGEBEN",AI542="FREIGEGEBEN",Q542&lt;&gt;"",R542&lt;&gt;"",S542&lt;&gt;"",T542&lt;&gt;"",U542&lt;&gt;"",ISNUMBER(V542),X542&lt;&gt;"",Y542&lt;&gt;"",AA542="JA",AB542="JA",AC542="JA",AD542="JA",AE542="JA",AF542="JA"),"JA","NEIN")</x:f>
        <x:v>JA</x:v>
      </x:c>
    </x:row>
    <x:row r="543">
      <x:c r="A543" t="str">
        <x:v>FP-0802</x:v>
      </x:c>
      <x:c r="B543" t="str">
        <x:v>ACT</x:v>
      </x:c>
      <x:c r="C543" t="str">
        <x:v>Apostelgeschichte</x:v>
      </x:c>
      <x:c r="D543" t="n">
        <x:v>20</x:v>
      </x:c>
      <x:c r="E543" t="n">
        <x:v>2</x:v>
      </x:c>
      <x:c r="F543" t="str">
        <x:v>ACT-020</x:v>
      </x:c>
      <x:c r="G543" t="n">
        <x:v>109</x:v>
      </x:c>
      <x:c r="H543" t="str">
        <x:v>CQ-A06</x:v>
      </x:c>
      <x:c r="I543" s="36" t="str">
        <x:v>Welche dieser Aussagen stammt aus Apostelgeschichte 20?</x:v>
      </x:c>
      <x:c r="J543" s="36" t="str"/>
      <x:c r="K543" s="36" t="str"/>
      <x:c r="L543" s="36" t="str">
        <x:v>REPO_VERIFIZIERT_FRAGEFORM</x:v>
      </x:c>
      <x:c r="M543" s="36" t="str">
        <x:v>ERSETZEN</x:v>
      </x:c>
      <x:c r="N543" s="36" t="str">
        <x:v>REPETITIVE_FRAGEFORM</x:v>
      </x:c>
      <x:c r="O543" s="36" t="str">
        <x:v>REINE_WIEDERERKENNUNG</x:v>
      </x:c>
      <x:c r="P543" s="36" t="str">
        <x:v>KERNAUSSAGE</x:v>
      </x:c>
      <x:c r="Q543" s="36" t="str">
        <x:v>Wie fasst Paulus vor den Ältesten von Ephesus seinen bisherigen Dienst zusammen?</x:v>
      </x:c>
      <x:c r="R543" s="36" t="str">
        <x:v>Er hat nur in Synagogen gelehrt.</x:v>
      </x:c>
      <x:c r="S543" s="36" t="str">
        <x:v>Er hat politische Ämter gesucht.</x:v>
      </x:c>
      <x:c r="T543" s="36" t="str">
        <x:v>Er hat ausschließlich Nichtjuden angesprochen.</x:v>
      </x:c>
      <x:c r="U543" s="36" t="str">
        <x:v>Er hat öffentlich und in Häusern Umkehr zu Gott und Glauben an Jesus bezeugt.</x:v>
      </x:c>
      <x:c r="V543" s="36" t="n">
        <x:v>3</x:v>
      </x:c>
      <x:c r="W543" s="36" t="str">
        <x:f>CHOOSE(V543+1,R543,S543,T543,U543)</x:f>
        <x:v>Er hat öffentlich und in Häusern Umkehr zu Gott und Glauben an Jesus bezeugt.</x:v>
      </x:c>
      <x:c r="X543" s="36" t="str">
        <x:v>Apostelgeschichte 20,17–21</x:v>
      </x:c>
      <x:c r="Y543" s="36" t="str">
        <x:v>Paulus beschreibt einen umfassenden Dienst unter Juden und Griechen mit dem Ruf zu Umkehr und Glauben.</x:v>
      </x:c>
      <x:c r="Z543" s="36" t="str">
        <x:v>JA</x:v>
      </x:c>
      <x:c r="AA543" s="36" t="str">
        <x:v>JA</x:v>
      </x:c>
      <x:c r="AB543" s="36" t="str">
        <x:v>JA</x:v>
      </x:c>
      <x:c r="AC543" s="36" t="str">
        <x:v>JA</x:v>
      </x:c>
      <x:c r="AD543" s="36" t="str">
        <x:v>JA</x:v>
      </x:c>
      <x:c r="AE543" s="36" t="str">
        <x:v>JA</x:v>
      </x:c>
      <x:c r="AF543" s="36" t="str">
        <x:v>JA</x:v>
      </x:c>
      <x:c r="AG543" s="36" t="str">
        <x:v>FREIGEGEBEN</x:v>
      </x:c>
      <x:c r="AH543" s="36" t="str">
        <x:v>GPT-5.6 Sol · Buchprüfung Apostelgeschichte · L1912/OTB</x:v>
      </x:c>
      <x:c r="AI543" s="36" t="str">
        <x:v>FREIGEGEBEN</x:v>
      </x:c>
      <x:c r="AJ543" s="36" t="str">
        <x:v>Apostelgeschichte 20: repetitive Wiedererkennungsfrage durch KERNAUSSAGE-Frage ersetzt.</x:v>
      </x:c>
      <x:c r="AK543" s="36" t="str">
        <x:v>FaithPath repo develop/v4 · data/stories.json · data/bibles/l1912/ACT.json · data/bibles/otb/ACT.json</x:v>
      </x:c>
      <x:c r="AL543" t="str">
        <x:f>IF(AND(AG543="FREIGEGEBEN",AI543="FREIGEGEBEN",Q543&lt;&gt;"",R543&lt;&gt;"",S543&lt;&gt;"",T543&lt;&gt;"",U543&lt;&gt;"",ISNUMBER(V543),X543&lt;&gt;"",Y543&lt;&gt;"",AA543="JA",AB543="JA",AC543="JA",AD543="JA",AE543="JA",AF543="JA"),"JA","NEIN")</x:f>
        <x:v>JA</x:v>
      </x:c>
    </x:row>
    <x:row r="544">
      <x:c r="A544" t="str">
        <x:v>FP-0803</x:v>
      </x:c>
      <x:c r="B544" t="str">
        <x:v>ACT</x:v>
      </x:c>
      <x:c r="C544" t="str">
        <x:v>Apostelgeschichte</x:v>
      </x:c>
      <x:c r="D544" t="n">
        <x:v>20</x:v>
      </x:c>
      <x:c r="E544" t="n">
        <x:v>3</x:v>
      </x:c>
      <x:c r="F544" t="str">
        <x:v>ACT-020</x:v>
      </x:c>
      <x:c r="G544" t="n">
        <x:v>109</x:v>
      </x:c>
      <x:c r="H544" t="str">
        <x:v>CQ-A06</x:v>
      </x:c>
      <x:c r="I544" s="36" t="str">
        <x:v>Welche dieser Aussagen stammt aus Apostelgeschichte 20?</x:v>
      </x:c>
      <x:c r="J544" s="36" t="str"/>
      <x:c r="K544" s="36" t="str"/>
      <x:c r="L544" s="36" t="str">
        <x:v>REPO_VERIFIZIERT_FRAGEFORM</x:v>
      </x:c>
      <x:c r="M544" s="36" t="str">
        <x:v>ERSETZEN</x:v>
      </x:c>
      <x:c r="N544" s="36" t="str">
        <x:v>REPETITIVE_FRAGEFORM</x:v>
      </x:c>
      <x:c r="O544" s="36" t="str">
        <x:v>REINE_WIEDERERKENNUNG</x:v>
      </x:c>
      <x:c r="P544" s="36" t="str">
        <x:v>KERNAUSSAGE</x:v>
      </x:c>
      <x:c r="Q544" s="36" t="str">
        <x:v>Warum hält Paulus an seiner Reise nach Jerusalem fest, obwohl Leiden angekündigt ist?</x:v>
      </x:c>
      <x:c r="R544" s="36" t="str">
        <x:v>Sein eigenes Leben ist ihm nicht das Wichtigste, wenn er nur seinen Auftrag und Dienst vollendet.</x:v>
      </x:c>
      <x:c r="S544" s="36" t="str">
        <x:v>Er weiß nichts von möglichen Gefahren.</x:v>
      </x:c>
      <x:c r="T544" s="36" t="str">
        <x:v>Er erwartet dort politischen Einfluss.</x:v>
      </x:c>
      <x:c r="U544" s="36" t="str">
        <x:v>Er will die Ältesten verlassen.</x:v>
      </x:c>
      <x:c r="V544" s="36" t="n">
        <x:v>0</x:v>
      </x:c>
      <x:c r="W544" s="36" t="str">
        <x:f>CHOOSE(V544+1,R544,S544,T544,U544)</x:f>
        <x:v>Sein eigenes Leben ist ihm nicht das Wichtigste, wenn er nur seinen Auftrag und Dienst vollendet.</x:v>
      </x:c>
      <x:c r="X544" s="36" t="str">
        <x:v>Apostelgeschichte 20,22–24</x:v>
      </x:c>
      <x:c r="Y544" s="36" t="str">
        <x:v>Paulus ordnet seine persönliche Sicherheit dem Auftrag unter, das Evangelium von Gottes Gnade zu bezeugen.</x:v>
      </x:c>
      <x:c r="Z544" s="36" t="str">
        <x:v>JA</x:v>
      </x:c>
      <x:c r="AA544" s="36" t="str">
        <x:v>JA</x:v>
      </x:c>
      <x:c r="AB544" s="36" t="str">
        <x:v>JA</x:v>
      </x:c>
      <x:c r="AC544" s="36" t="str">
        <x:v>JA</x:v>
      </x:c>
      <x:c r="AD544" s="36" t="str">
        <x:v>JA</x:v>
      </x:c>
      <x:c r="AE544" s="36" t="str">
        <x:v>JA</x:v>
      </x:c>
      <x:c r="AF544" s="36" t="str">
        <x:v>JA</x:v>
      </x:c>
      <x:c r="AG544" s="36" t="str">
        <x:v>FREIGEGEBEN</x:v>
      </x:c>
      <x:c r="AH544" s="36" t="str">
        <x:v>GPT-5.6 Sol · Buchprüfung Apostelgeschichte · L1912/OTB</x:v>
      </x:c>
      <x:c r="AI544" s="36" t="str">
        <x:v>FREIGEGEBEN</x:v>
      </x:c>
      <x:c r="AJ544" s="36" t="str">
        <x:v>Apostelgeschichte 20: repetitive Wiedererkennungsfrage durch KERNAUSSAGE-Frage ersetzt.</x:v>
      </x:c>
      <x:c r="AK544" s="36" t="str">
        <x:v>FaithPath repo develop/v4 · data/stories.json · data/bibles/l1912/ACT.json · data/bibles/otb/ACT.json</x:v>
      </x:c>
      <x:c r="AL544" t="str">
        <x:f>IF(AND(AG544="FREIGEGEBEN",AI544="FREIGEGEBEN",Q544&lt;&gt;"",R544&lt;&gt;"",S544&lt;&gt;"",T544&lt;&gt;"",U544&lt;&gt;"",ISNUMBER(V544),X544&lt;&gt;"",Y544&lt;&gt;"",AA544="JA",AB544="JA",AC544="JA",AD544="JA",AE544="JA",AF544="JA"),"JA","NEIN")</x:f>
        <x:v>JA</x:v>
      </x:c>
    </x:row>
    <x:row r="545">
      <x:c r="A545" t="str">
        <x:v>FP-0804</x:v>
      </x:c>
      <x:c r="B545" t="str">
        <x:v>ACT</x:v>
      </x:c>
      <x:c r="C545" t="str">
        <x:v>Apostelgeschichte</x:v>
      </x:c>
      <x:c r="D545" t="n">
        <x:v>20</x:v>
      </x:c>
      <x:c r="E545" t="n">
        <x:v>4</x:v>
      </x:c>
      <x:c r="F545" t="str">
        <x:v>ACT-020</x:v>
      </x:c>
      <x:c r="G545" t="n">
        <x:v>109</x:v>
      </x:c>
      <x:c r="H545" t="str">
        <x:v>CQ-A06</x:v>
      </x:c>
      <x:c r="I545" s="36" t="str">
        <x:v>Welche dieser Aussagen stammt aus Apostelgeschichte 20?</x:v>
      </x:c>
      <x:c r="J545" s="36" t="str"/>
      <x:c r="K545" s="36" t="str"/>
      <x:c r="L545" s="36" t="str">
        <x:v>REPO_VERIFIZIERT_FRAGEFORM</x:v>
      </x:c>
      <x:c r="M545" s="36" t="str">
        <x:v>ERSETZEN</x:v>
      </x:c>
      <x:c r="N545" s="36" t="str">
        <x:v>REPETITIVE_FRAGEFORM</x:v>
      </x:c>
      <x:c r="O545" s="36" t="str">
        <x:v>REINE_WIEDERERKENNUNG</x:v>
      </x:c>
      <x:c r="P545" s="36" t="str">
        <x:v>KERNAUSSAGE</x:v>
      </x:c>
      <x:c r="Q545" s="36" t="str">
        <x:v>Wovor warnt Paulus die Ältesten von Ephesus?</x:v>
      </x:c>
      <x:c r="R545" s="36" t="str">
        <x:v>Vor jeder Form von Gemeindeleitung.</x:v>
      </x:c>
      <x:c r="S545" s="36" t="str">
        <x:v>Vor zerstörerischen Lehrern von außen und aus den eigenen Reihen, die die Herde gefährden.</x:v>
      </x:c>
      <x:c r="T545" s="36" t="str">
        <x:v>Vor Reisen nach Jerusalem.</x:v>
      </x:c>
      <x:c r="U545" s="36" t="str">
        <x:v>Vor der Aufnahme neuer Gläubiger.</x:v>
      </x:c>
      <x:c r="V545" s="36" t="n">
        <x:v>1</x:v>
      </x:c>
      <x:c r="W545" s="36" t="str">
        <x:f>CHOOSE(V545+1,R545,S545,T545,U545)</x:f>
        <x:v>Vor zerstörerischen Lehrern von außen und aus den eigenen Reihen, die die Herde gefährden.</x:v>
      </x:c>
      <x:c r="X545" s="36" t="str">
        <x:v>Apostelgeschichte 20,28–31</x:v>
      </x:c>
      <x:c r="Y545" s="36" t="str">
        <x:v>Die Ältesten sollen sich selbst und die Herde hüten, weil gefährliche Einflüsse kommen werden.</x:v>
      </x:c>
      <x:c r="Z545" s="36" t="str">
        <x:v>JA</x:v>
      </x:c>
      <x:c r="AA545" s="36" t="str">
        <x:v>JA</x:v>
      </x:c>
      <x:c r="AB545" s="36" t="str">
        <x:v>JA</x:v>
      </x:c>
      <x:c r="AC545" s="36" t="str">
        <x:v>JA</x:v>
      </x:c>
      <x:c r="AD545" s="36" t="str">
        <x:v>JA</x:v>
      </x:c>
      <x:c r="AE545" s="36" t="str">
        <x:v>JA</x:v>
      </x:c>
      <x:c r="AF545" s="36" t="str">
        <x:v>JA</x:v>
      </x:c>
      <x:c r="AG545" s="36" t="str">
        <x:v>FREIGEGEBEN</x:v>
      </x:c>
      <x:c r="AH545" s="36" t="str">
        <x:v>GPT-5.6 Sol · Buchprüfung Apostelgeschichte · L1912/OTB</x:v>
      </x:c>
      <x:c r="AI545" s="36" t="str">
        <x:v>FREIGEGEBEN</x:v>
      </x:c>
      <x:c r="AJ545" s="36" t="str">
        <x:v>Apostelgeschichte 20: repetitive Wiedererkennungsfrage durch KERNAUSSAGE-Frage ersetzt.</x:v>
      </x:c>
      <x:c r="AK545" s="36" t="str">
        <x:v>FaithPath repo develop/v4 · data/stories.json · data/bibles/l1912/ACT.json · data/bibles/otb/ACT.json</x:v>
      </x:c>
      <x:c r="AL545" t="str">
        <x:f>IF(AND(AG545="FREIGEGEBEN",AI545="FREIGEGEBEN",Q545&lt;&gt;"",R545&lt;&gt;"",S545&lt;&gt;"",T545&lt;&gt;"",U545&lt;&gt;"",ISNUMBER(V545),X545&lt;&gt;"",Y545&lt;&gt;"",AA545="JA",AB545="JA",AC545="JA",AD545="JA",AE545="JA",AF545="JA"),"JA","NEIN")</x:f>
        <x:v>JA</x:v>
      </x:c>
    </x:row>
    <x:row r="546">
      <x:c r="A546" t="str">
        <x:v>FP-0805</x:v>
      </x:c>
      <x:c r="B546" t="str">
        <x:v>ACT</x:v>
      </x:c>
      <x:c r="C546" t="str">
        <x:v>Apostelgeschichte</x:v>
      </x:c>
      <x:c r="D546" t="n">
        <x:v>20</x:v>
      </x:c>
      <x:c r="E546" t="n">
        <x:v>5</x:v>
      </x:c>
      <x:c r="F546" t="str">
        <x:v>ACT-020</x:v>
      </x:c>
      <x:c r="G546" t="n">
        <x:v>109</x:v>
      </x:c>
      <x:c r="H546" t="str">
        <x:v>CQ-A06</x:v>
      </x:c>
      <x:c r="I546" s="36" t="str">
        <x:v>Welche dieser Aussagen stammt aus Apostelgeschichte 20?</x:v>
      </x:c>
      <x:c r="J546" s="36" t="str"/>
      <x:c r="K546" s="36" t="str"/>
      <x:c r="L546" s="36" t="str">
        <x:v>REPO_VERIFIZIERT_FRAGEFORM</x:v>
      </x:c>
      <x:c r="M546" s="36" t="str">
        <x:v>ERSETZEN</x:v>
      </x:c>
      <x:c r="N546" s="36" t="str">
        <x:v>REPETITIVE_FRAGEFORM</x:v>
      </x:c>
      <x:c r="O546" s="36" t="str">
        <x:v>REINE_WIEDERERKENNUNG</x:v>
      </x:c>
      <x:c r="P546" s="36" t="str">
        <x:v>KERNAUSSAGE</x:v>
      </x:c>
      <x:c r="Q546" s="36" t="str">
        <x:v>Welches Wort Jesu zitiert Paulus im Zusammenhang mit Arbeit und Hilfe für Schwache?</x:v>
      </x:c>
      <x:c r="R546" s="36" t="str">
        <x:v>Nur wer viel besitzt, kann helfen.</x:v>
      </x:c>
      <x:c r="S546" s="36" t="str">
        <x:v>Nehmen ist wichtiger als Geben.</x:v>
      </x:c>
      <x:c r="T546" s="36" t="str">
        <x:v>Geben ist seliger als Nehmen.</x:v>
      </x:c>
      <x:c r="U546" s="36" t="str">
        <x:v>Arbeit ist für Diener unnötig.</x:v>
      </x:c>
      <x:c r="V546" s="36" t="n">
        <x:v>2</x:v>
      </x:c>
      <x:c r="W546" s="36" t="str">
        <x:f>CHOOSE(V546+1,R546,S546,T546,U546)</x:f>
        <x:v>Geben ist seliger als Nehmen.</x:v>
      </x:c>
      <x:c r="X546" s="36" t="str">
        <x:v>Apostelgeschichte 20,33–35</x:v>
      </x:c>
      <x:c r="Y546" s="36" t="str">
        <x:v>Paulus verbindet seine eigene Arbeit mit der Unterstützung Schwacher und erinnert an Jesu Wort über das Geben.</x:v>
      </x:c>
      <x:c r="Z546" s="36" t="str">
        <x:v>JA</x:v>
      </x:c>
      <x:c r="AA546" s="36" t="str">
        <x:v>JA</x:v>
      </x:c>
      <x:c r="AB546" s="36" t="str">
        <x:v>JA</x:v>
      </x:c>
      <x:c r="AC546" s="36" t="str">
        <x:v>JA</x:v>
      </x:c>
      <x:c r="AD546" s="36" t="str">
        <x:v>JA</x:v>
      </x:c>
      <x:c r="AE546" s="36" t="str">
        <x:v>JA</x:v>
      </x:c>
      <x:c r="AF546" s="36" t="str">
        <x:v>JA</x:v>
      </x:c>
      <x:c r="AG546" s="36" t="str">
        <x:v>FREIGEGEBEN</x:v>
      </x:c>
      <x:c r="AH546" s="36" t="str">
        <x:v>GPT-5.6 Sol · Buchprüfung Apostelgeschichte · L1912/OTB</x:v>
      </x:c>
      <x:c r="AI546" s="36" t="str">
        <x:v>FREIGEGEBEN</x:v>
      </x:c>
      <x:c r="AJ546" s="36" t="str">
        <x:v>Apostelgeschichte 20: repetitive Wiedererkennungsfrage durch KERNAUSSAGE-Frage ersetzt.</x:v>
      </x:c>
      <x:c r="AK546" s="36" t="str">
        <x:v>FaithPath repo develop/v4 · data/stories.json · data/bibles/l1912/ACT.json · data/bibles/otb/ACT.json</x:v>
      </x:c>
      <x:c r="AL546" t="str">
        <x:f>IF(AND(AG546="FREIGEGEBEN",AI546="FREIGEGEBEN",Q546&lt;&gt;"",R546&lt;&gt;"",S546&lt;&gt;"",T546&lt;&gt;"",U546&lt;&gt;"",ISNUMBER(V546),X546&lt;&gt;"",Y546&lt;&gt;"",AA546="JA",AB546="JA",AC546="JA",AD546="JA",AE546="JA",AF546="JA"),"JA","NEIN")</x:f>
        <x:v>JA</x:v>
      </x:c>
    </x:row>
    <x:row r="547">
      <x:c r="A547" t="str">
        <x:v>FP-0806</x:v>
      </x:c>
      <x:c r="B547" t="str">
        <x:v>ACT</x:v>
      </x:c>
      <x:c r="C547" t="str">
        <x:v>Apostelgeschichte</x:v>
      </x:c>
      <x:c r="D547" t="n">
        <x:v>21</x:v>
      </x:c>
      <x:c r="E547" t="n">
        <x:v>1</x:v>
      </x:c>
      <x:c r="F547" t="str">
        <x:v>ACT-021</x:v>
      </x:c>
      <x:c r="G547" t="n">
        <x:v>110</x:v>
      </x:c>
      <x:c r="H547" t="str">
        <x:v>CQ-A06</x:v>
      </x:c>
      <x:c r="I547" s="36" t="str">
        <x:v>Welche dieser Aussagen stammt aus Apostelgeschichte 21?</x:v>
      </x:c>
      <x:c r="J547" s="36" t="str"/>
      <x:c r="K547" s="36" t="str"/>
      <x:c r="L547" s="36" t="str">
        <x:v>REPO_VERIFIZIERT_FRAGEFORM</x:v>
      </x:c>
      <x:c r="M547" s="36" t="str">
        <x:v>ERSETZEN</x:v>
      </x:c>
      <x:c r="N547" s="36" t="str">
        <x:v>REPETITIVE_FRAGEFORM</x:v>
      </x:c>
      <x:c r="O547" s="36" t="str">
        <x:v>REINE_WIEDERERKENNUNG</x:v>
      </x:c>
      <x:c r="P547" s="36" t="str">
        <x:v>GESCHEHEN</x:v>
      </x:c>
      <x:c r="Q547" s="36" t="str">
        <x:v>Wie verabschieden sich Paulus und seine Begleiter von den Gläubigen in Tyrus?</x:v>
      </x:c>
      <x:c r="R547" s="36" t="str">
        <x:v>Sie gehen heimlich in der Nacht.</x:v>
      </x:c>
      <x:c r="S547" s="36" t="str">
        <x:v>Sie feiern im Tempel.</x:v>
      </x:c>
      <x:c r="T547" s="36" t="str">
        <x:v>Sie reisen gemeinsam nach Rom.</x:v>
      </x:c>
      <x:c r="U547" s="36" t="str">
        <x:v>Alle begleiten sie mit Frauen und Kindern zum Ufer, dort knien sie nieder und beten.</x:v>
      </x:c>
      <x:c r="V547" s="36" t="n">
        <x:v>3</x:v>
      </x:c>
      <x:c r="W547" s="36" t="str">
        <x:f>CHOOSE(V547+1,R547,S547,T547,U547)</x:f>
        <x:v>Alle begleiten sie mit Frauen und Kindern zum Ufer, dort knien sie nieder und beten.</x:v>
      </x:c>
      <x:c r="X547" s="36" t="str">
        <x:v>Apostelgeschichte 21,1–6</x:v>
      </x:c>
      <x:c r="Y547" s="36" t="str">
        <x:v>Der Abschied wird als gemeinschaftliches Gebet am Ufer beschrieben.</x:v>
      </x:c>
      <x:c r="Z547" s="36" t="str">
        <x:v>JA</x:v>
      </x:c>
      <x:c r="AA547" s="36" t="str">
        <x:v>JA</x:v>
      </x:c>
      <x:c r="AB547" s="36" t="str">
        <x:v>JA</x:v>
      </x:c>
      <x:c r="AC547" s="36" t="str">
        <x:v>JA</x:v>
      </x:c>
      <x:c r="AD547" s="36" t="str">
        <x:v>JA</x:v>
      </x:c>
      <x:c r="AE547" s="36" t="str">
        <x:v>JA</x:v>
      </x:c>
      <x:c r="AF547" s="36" t="str">
        <x:v>JA</x:v>
      </x:c>
      <x:c r="AG547" s="36" t="str">
        <x:v>FREIGEGEBEN</x:v>
      </x:c>
      <x:c r="AH547" s="36" t="str">
        <x:v>GPT-5.6 Sol · Buchprüfung Apostelgeschichte · L1912/OTB</x:v>
      </x:c>
      <x:c r="AI547" s="36" t="str">
        <x:v>FREIGEGEBEN</x:v>
      </x:c>
      <x:c r="AJ547" s="36" t="str">
        <x:v>Apostelgeschichte 21: repetitive Wiedererkennungsfrage durch GESCHEHEN-Frage ersetzt.</x:v>
      </x:c>
      <x:c r="AK547" s="36" t="str">
        <x:v>FaithPath repo develop/v4 · data/stories.json · data/bibles/l1912/ACT.json · data/bibles/otb/ACT.json</x:v>
      </x:c>
      <x:c r="AL547" t="str">
        <x:f>IF(AND(AG547="FREIGEGEBEN",AI547="FREIGEGEBEN",Q547&lt;&gt;"",R547&lt;&gt;"",S547&lt;&gt;"",T547&lt;&gt;"",U547&lt;&gt;"",ISNUMBER(V547),X547&lt;&gt;"",Y547&lt;&gt;"",AA547="JA",AB547="JA",AC547="JA",AD547="JA",AE547="JA",AF547="JA"),"JA","NEIN")</x:f>
        <x:v>JA</x:v>
      </x:c>
    </x:row>
    <x:row r="548">
      <x:c r="A548" t="str">
        <x:v>FP-0807</x:v>
      </x:c>
      <x:c r="B548" t="str">
        <x:v>ACT</x:v>
      </x:c>
      <x:c r="C548" t="str">
        <x:v>Apostelgeschichte</x:v>
      </x:c>
      <x:c r="D548" t="n">
        <x:v>21</x:v>
      </x:c>
      <x:c r="E548" t="n">
        <x:v>2</x:v>
      </x:c>
      <x:c r="F548" t="str">
        <x:v>ACT-021</x:v>
      </x:c>
      <x:c r="G548" t="n">
        <x:v>110</x:v>
      </x:c>
      <x:c r="H548" t="str">
        <x:v>CQ-A06</x:v>
      </x:c>
      <x:c r="I548" s="36" t="str">
        <x:v>Welche dieser Aussagen stammt aus Apostelgeschichte 21?</x:v>
      </x:c>
      <x:c r="J548" s="36" t="str"/>
      <x:c r="K548" s="36" t="str"/>
      <x:c r="L548" s="36" t="str">
        <x:v>REPO_VERIFIZIERT_FRAGEFORM</x:v>
      </x:c>
      <x:c r="M548" s="36" t="str">
        <x:v>ERSETZEN</x:v>
      </x:c>
      <x:c r="N548" s="36" t="str">
        <x:v>REPETITIVE_FRAGEFORM</x:v>
      </x:c>
      <x:c r="O548" s="36" t="str">
        <x:v>REINE_WIEDERERKENNUNG</x:v>
      </x:c>
      <x:c r="P548" s="36" t="str">
        <x:v>ZUSAMMENHANG</x:v>
      </x:c>
      <x:c r="Q548" s="36" t="str">
        <x:v>Was kündigt der Prophet Agabus Paulus in Cäsarea an?</x:v>
      </x:c>
      <x:c r="R548" s="36" t="str">
        <x:v>Der Besitzer seines Gürtels werde in Jerusalem gebunden und den Nichtjuden ausgeliefert.</x:v>
      </x:c>
      <x:c r="S548" s="36" t="str">
        <x:v>Paulus werde König in Jerusalem.</x:v>
      </x:c>
      <x:c r="T548" s="36" t="str">
        <x:v>Paulus werde nie mehr verfolgt.</x:v>
      </x:c>
      <x:c r="U548" s="36" t="str">
        <x:v>Der Tempel werde Paulus gehören.</x:v>
      </x:c>
      <x:c r="V548" s="36" t="n">
        <x:v>0</x:v>
      </x:c>
      <x:c r="W548" s="36" t="str">
        <x:f>CHOOSE(V548+1,R548,S548,T548,U548)</x:f>
        <x:v>Der Besitzer seines Gürtels werde in Jerusalem gebunden und den Nichtjuden ausgeliefert.</x:v>
      </x:c>
      <x:c r="X548" s="36" t="str">
        <x:v>Apostelgeschichte 21,8–14</x:v>
      </x:c>
      <x:c r="Y548" s="36" t="str">
        <x:v>Agabus bindet sich mit Paulus' Gürtel und deutet damit die bevorstehende Gefangenschaft an.</x:v>
      </x:c>
      <x:c r="Z548" s="36" t="str">
        <x:v>JA</x:v>
      </x:c>
      <x:c r="AA548" s="36" t="str">
        <x:v>JA</x:v>
      </x:c>
      <x:c r="AB548" s="36" t="str">
        <x:v>JA</x:v>
      </x:c>
      <x:c r="AC548" s="36" t="str">
        <x:v>JA</x:v>
      </x:c>
      <x:c r="AD548" s="36" t="str">
        <x:v>JA</x:v>
      </x:c>
      <x:c r="AE548" s="36" t="str">
        <x:v>JA</x:v>
      </x:c>
      <x:c r="AF548" s="36" t="str">
        <x:v>JA</x:v>
      </x:c>
      <x:c r="AG548" s="36" t="str">
        <x:v>FREIGEGEBEN</x:v>
      </x:c>
      <x:c r="AH548" s="36" t="str">
        <x:v>GPT-5.6 Sol · Buchprüfung Apostelgeschichte · L1912/OTB</x:v>
      </x:c>
      <x:c r="AI548" s="36" t="str">
        <x:v>FREIGEGEBEN</x:v>
      </x:c>
      <x:c r="AJ548" s="36" t="str">
        <x:v>Apostelgeschichte 21: repetitive Wiedererkennungsfrage durch ZUSAMMENHANG-Frage ersetzt.</x:v>
      </x:c>
      <x:c r="AK548" s="36" t="str">
        <x:v>FaithPath repo develop/v4 · data/stories.json · data/bibles/l1912/ACT.json · data/bibles/otb/ACT.json</x:v>
      </x:c>
      <x:c r="AL548" t="str">
        <x:f>IF(AND(AG548="FREIGEGEBEN",AI548="FREIGEGEBEN",Q548&lt;&gt;"",R548&lt;&gt;"",S548&lt;&gt;"",T548&lt;&gt;"",U548&lt;&gt;"",ISNUMBER(V548),X548&lt;&gt;"",Y548&lt;&gt;"",AA548="JA",AB548="JA",AC548="JA",AD548="JA",AE548="JA",AF548="JA"),"JA","NEIN")</x:f>
        <x:v>JA</x:v>
      </x:c>
    </x:row>
    <x:row r="549">
      <x:c r="A549" t="str">
        <x:v>FP-0808</x:v>
      </x:c>
      <x:c r="B549" t="str">
        <x:v>ACT</x:v>
      </x:c>
      <x:c r="C549" t="str">
        <x:v>Apostelgeschichte</x:v>
      </x:c>
      <x:c r="D549" t="n">
        <x:v>21</x:v>
      </x:c>
      <x:c r="E549" t="n">
        <x:v>3</x:v>
      </x:c>
      <x:c r="F549" t="str">
        <x:v>ACT-021</x:v>
      </x:c>
      <x:c r="G549" t="n">
        <x:v>110</x:v>
      </x:c>
      <x:c r="H549" t="str">
        <x:v>CQ-A06</x:v>
      </x:c>
      <x:c r="I549" s="36" t="str">
        <x:v>Welche dieser Aussagen stammt aus Apostelgeschichte 21?</x:v>
      </x:c>
      <x:c r="J549" s="36" t="str"/>
      <x:c r="K549" s="36" t="str"/>
      <x:c r="L549" s="36" t="str">
        <x:v>REPO_VERIFIZIERT_FRAGEFORM</x:v>
      </x:c>
      <x:c r="M549" s="36" t="str">
        <x:v>ERSETZEN</x:v>
      </x:c>
      <x:c r="N549" s="36" t="str">
        <x:v>REPETITIVE_FRAGEFORM</x:v>
      </x:c>
      <x:c r="O549" s="36" t="str">
        <x:v>REINE_WIEDERERKENNUNG</x:v>
      </x:c>
      <x:c r="P549" s="36" t="str">
        <x:v>ZUSAMMENHANG</x:v>
      </x:c>
      <x:c r="Q549" s="36" t="str">
        <x:v>Warum beteiligt sich Paulus in Jerusalem an einem Reinigungsritual mit vier Männern?</x:v>
      </x:c>
      <x:c r="R549" s="36" t="str">
        <x:v>Um Christ zu werden.</x:v>
      </x:c>
      <x:c r="S549" s="36" t="str">
        <x:v>Um Gerüchten entgegenzutreten, er lehre jüdische Gläubige grundsätzlich den Abfall vom Gesetz.</x:v>
      </x:c>
      <x:c r="T549" s="36" t="str">
        <x:v>Um römischer Bürger zu werden.</x:v>
      </x:c>
      <x:c r="U549" s="36" t="str">
        <x:v>Um Hohepriester zu werden.</x:v>
      </x:c>
      <x:c r="V549" s="36" t="n">
        <x:v>1</x:v>
      </x:c>
      <x:c r="W549" s="36" t="str">
        <x:f>CHOOSE(V549+1,R549,S549,T549,U549)</x:f>
        <x:v>Um Gerüchten entgegenzutreten, er lehre jüdische Gläubige grundsätzlich den Abfall vom Gesetz.</x:v>
      </x:c>
      <x:c r="X549" s="36" t="str">
        <x:v>Apostelgeschichte 21,17–26</x:v>
      </x:c>
      <x:c r="Y549" s="36" t="str">
        <x:v>Jakobus und die Ältesten schlagen den Schritt vor, damit sichtbar wird, dass die Vorwürfe über Paulus so nicht zutreffen.</x:v>
      </x:c>
      <x:c r="Z549" s="36" t="str">
        <x:v>JA</x:v>
      </x:c>
      <x:c r="AA549" s="36" t="str">
        <x:v>JA</x:v>
      </x:c>
      <x:c r="AB549" s="36" t="str">
        <x:v>JA</x:v>
      </x:c>
      <x:c r="AC549" s="36" t="str">
        <x:v>JA</x:v>
      </x:c>
      <x:c r="AD549" s="36" t="str">
        <x:v>JA</x:v>
      </x:c>
      <x:c r="AE549" s="36" t="str">
        <x:v>JA</x:v>
      </x:c>
      <x:c r="AF549" s="36" t="str">
        <x:v>JA</x:v>
      </x:c>
      <x:c r="AG549" s="36" t="str">
        <x:v>FREIGEGEBEN</x:v>
      </x:c>
      <x:c r="AH549" s="36" t="str">
        <x:v>GPT-5.6 Sol · Buchprüfung Apostelgeschichte · L1912/OTB</x:v>
      </x:c>
      <x:c r="AI549" s="36" t="str">
        <x:v>FREIGEGEBEN</x:v>
      </x:c>
      <x:c r="AJ549" s="36" t="str">
        <x:v>Apostelgeschichte 21: repetitive Wiedererkennungsfrage durch ZUSAMMENHANG-Frage ersetzt.</x:v>
      </x:c>
      <x:c r="AK549" s="36" t="str">
        <x:v>FaithPath repo develop/v4 · data/stories.json · data/bibles/l1912/ACT.json · data/bibles/otb/ACT.json</x:v>
      </x:c>
      <x:c r="AL549" t="str">
        <x:f>IF(AND(AG549="FREIGEGEBEN",AI549="FREIGEGEBEN",Q549&lt;&gt;"",R549&lt;&gt;"",S549&lt;&gt;"",T549&lt;&gt;"",U549&lt;&gt;"",ISNUMBER(V549),X549&lt;&gt;"",Y549&lt;&gt;"",AA549="JA",AB549="JA",AC549="JA",AD549="JA",AE549="JA",AF549="JA"),"JA","NEIN")</x:f>
        <x:v>JA</x:v>
      </x:c>
    </x:row>
    <x:row r="550">
      <x:c r="A550" t="str">
        <x:v>FP-0809</x:v>
      </x:c>
      <x:c r="B550" t="str">
        <x:v>ACT</x:v>
      </x:c>
      <x:c r="C550" t="str">
        <x:v>Apostelgeschichte</x:v>
      </x:c>
      <x:c r="D550" t="n">
        <x:v>21</x:v>
      </x:c>
      <x:c r="E550" t="n">
        <x:v>4</x:v>
      </x:c>
      <x:c r="F550" t="str">
        <x:v>ACT-021</x:v>
      </x:c>
      <x:c r="G550" t="n">
        <x:v>110</x:v>
      </x:c>
      <x:c r="H550" t="str">
        <x:v>CQ-A06</x:v>
      </x:c>
      <x:c r="I550" s="36" t="str">
        <x:v>Welche dieser Aussagen stammt aus Apostelgeschichte 21?</x:v>
      </x:c>
      <x:c r="J550" s="36" t="str"/>
      <x:c r="K550" s="36" t="str"/>
      <x:c r="L550" s="36" t="str">
        <x:v>REPO_VERIFIZIERT_FRAGEFORM</x:v>
      </x:c>
      <x:c r="M550" s="36" t="str">
        <x:v>ERSETZEN</x:v>
      </x:c>
      <x:c r="N550" s="36" t="str">
        <x:v>REPETITIVE_FRAGEFORM</x:v>
      </x:c>
      <x:c r="O550" s="36" t="str">
        <x:v>REINE_WIEDERERKENNUNG</x:v>
      </x:c>
      <x:c r="P550" s="36" t="str">
        <x:v>GESCHEHEN</x:v>
      </x:c>
      <x:c r="Q550" s="36" t="str">
        <x:v>Wie entkommt Paulus der aufgebrachten Menge im Tempelbereich?</x:v>
      </x:c>
      <x:c r="R550" s="36" t="str">
        <x:v>Barnabas führt ihn durch einen Tunnel.</x:v>
      </x:c>
      <x:c r="S550" s="36" t="str">
        <x:v>Die Menge lässt ihn freiwillig gehen.</x:v>
      </x:c>
      <x:c r="T550" s="36" t="str">
        <x:v>Römische Soldaten greifen ein und nehmen ihn in Gewahrsam.</x:v>
      </x:c>
      <x:c r="U550" s="36" t="str">
        <x:v>Paulus versteckt sich im Heiligtum.</x:v>
      </x:c>
      <x:c r="V550" s="36" t="n">
        <x:v>2</x:v>
      </x:c>
      <x:c r="W550" s="36" t="str">
        <x:f>CHOOSE(V550+1,R550,S550,T550,U550)</x:f>
        <x:v>Römische Soldaten greifen ein und nehmen ihn in Gewahrsam.</x:v>
      </x:c>
      <x:c r="X550" s="36" t="str">
        <x:v>Apostelgeschichte 21,27–32</x:v>
      </x:c>
      <x:c r="Y550" s="36" t="str">
        <x:v>Der römische Kommandant reagiert auf den Tumult, lässt Paulus festnehmen und beendet so die unmittelbare Gewalt.</x:v>
      </x:c>
      <x:c r="Z550" s="36" t="str">
        <x:v>JA</x:v>
      </x:c>
      <x:c r="AA550" s="36" t="str">
        <x:v>JA</x:v>
      </x:c>
      <x:c r="AB550" s="36" t="str">
        <x:v>JA</x:v>
      </x:c>
      <x:c r="AC550" s="36" t="str">
        <x:v>JA</x:v>
      </x:c>
      <x:c r="AD550" s="36" t="str">
        <x:v>JA</x:v>
      </x:c>
      <x:c r="AE550" s="36" t="str">
        <x:v>JA</x:v>
      </x:c>
      <x:c r="AF550" s="36" t="str">
        <x:v>JA</x:v>
      </x:c>
      <x:c r="AG550" s="36" t="str">
        <x:v>FREIGEGEBEN</x:v>
      </x:c>
      <x:c r="AH550" s="36" t="str">
        <x:v>GPT-5.6 Sol · Buchprüfung Apostelgeschichte · L1912/OTB</x:v>
      </x:c>
      <x:c r="AI550" s="36" t="str">
        <x:v>FREIGEGEBEN</x:v>
      </x:c>
      <x:c r="AJ550" s="36" t="str">
        <x:v>Apostelgeschichte 21: repetitive Wiedererkennungsfrage durch GESCHEHEN-Frage ersetzt.</x:v>
      </x:c>
      <x:c r="AK550" s="36" t="str">
        <x:v>FaithPath repo develop/v4 · data/stories.json · data/bibles/l1912/ACT.json · data/bibles/otb/ACT.json</x:v>
      </x:c>
      <x:c r="AL550" t="str">
        <x:f>IF(AND(AG550="FREIGEGEBEN",AI550="FREIGEGEBEN",Q550&lt;&gt;"",R550&lt;&gt;"",S550&lt;&gt;"",T550&lt;&gt;"",U550&lt;&gt;"",ISNUMBER(V550),X550&lt;&gt;"",Y550&lt;&gt;"",AA550="JA",AB550="JA",AC550="JA",AD550="JA",AE550="JA",AF550="JA"),"JA","NEIN")</x:f>
        <x:v>JA</x:v>
      </x:c>
    </x:row>
    <x:row r="551">
      <x:c r="A551" t="str">
        <x:v>FP-0810</x:v>
      </x:c>
      <x:c r="B551" t="str">
        <x:v>ACT</x:v>
      </x:c>
      <x:c r="C551" t="str">
        <x:v>Apostelgeschichte</x:v>
      </x:c>
      <x:c r="D551" t="n">
        <x:v>21</x:v>
      </x:c>
      <x:c r="E551" t="n">
        <x:v>5</x:v>
      </x:c>
      <x:c r="F551" t="str">
        <x:v>ACT-021</x:v>
      </x:c>
      <x:c r="G551" t="n">
        <x:v>110</x:v>
      </x:c>
      <x:c r="H551" t="str">
        <x:v>CQ-A06</x:v>
      </x:c>
      <x:c r="I551" s="36" t="str">
        <x:v>Welche dieser Aussagen stammt aus Apostelgeschichte 21?</x:v>
      </x:c>
      <x:c r="J551" s="36" t="str"/>
      <x:c r="K551" s="36" t="str"/>
      <x:c r="L551" s="36" t="str">
        <x:v>REPO_VERIFIZIERT_FRAGEFORM</x:v>
      </x:c>
      <x:c r="M551" s="36" t="str">
        <x:v>ERSETZEN</x:v>
      </x:c>
      <x:c r="N551" s="36" t="str">
        <x:v>REPETITIVE_FRAGEFORM</x:v>
      </x:c>
      <x:c r="O551" s="36" t="str">
        <x:v>REINE_WIEDERERKENNUNG</x:v>
      </x:c>
      <x:c r="P551" s="36" t="str">
        <x:v>DETAIL</x:v>
      </x:c>
      <x:c r="Q551" s="36" t="str">
        <x:v>Was überrascht den römischen Kommandanten, als Paulus ihn anspricht?</x:v>
      </x:c>
      <x:c r="R551" s="36" t="str">
        <x:v>Dass Paulus keinen Namen nennt.</x:v>
      </x:c>
      <x:c r="S551" s="36" t="str">
        <x:v>Dass Paulus kein Jude ist.</x:v>
      </x:c>
      <x:c r="T551" s="36" t="str">
        <x:v>Dass Paulus ein Priestergewand trägt.</x:v>
      </x:c>
      <x:c r="U551" s="36" t="str">
        <x:v>Dass Paulus Griechisch spricht.</x:v>
      </x:c>
      <x:c r="V551" s="36" t="n">
        <x:v>3</x:v>
      </x:c>
      <x:c r="W551" s="36" t="str">
        <x:f>CHOOSE(V551+1,R551,S551,T551,U551)</x:f>
        <x:v>Dass Paulus Griechisch spricht.</x:v>
      </x:c>
      <x:c r="X551" s="36" t="str">
        <x:v>Apostelgeschichte 21,37–40</x:v>
      </x:c>
      <x:c r="Y551" s="36" t="str">
        <x:v>Der Kommandant ist überrascht über Paulus' Griechisch; Paulus erklärt anschließend seine Herkunft und bittet, zum Volk sprechen zu dürfen.</x:v>
      </x:c>
      <x:c r="Z551" s="36" t="str">
        <x:v>JA</x:v>
      </x:c>
      <x:c r="AA551" s="36" t="str">
        <x:v>JA</x:v>
      </x:c>
      <x:c r="AB551" s="36" t="str">
        <x:v>JA</x:v>
      </x:c>
      <x:c r="AC551" s="36" t="str">
        <x:v>JA</x:v>
      </x:c>
      <x:c r="AD551" s="36" t="str">
        <x:v>JA</x:v>
      </x:c>
      <x:c r="AE551" s="36" t="str">
        <x:v>JA</x:v>
      </x:c>
      <x:c r="AF551" s="36" t="str">
        <x:v>JA</x:v>
      </x:c>
      <x:c r="AG551" s="36" t="str">
        <x:v>FREIGEGEBEN</x:v>
      </x:c>
      <x:c r="AH551" s="36" t="str">
        <x:v>GPT-5.6 Sol · Buchprüfung Apostelgeschichte · L1912/OTB</x:v>
      </x:c>
      <x:c r="AI551" s="36" t="str">
        <x:v>FREIGEGEBEN</x:v>
      </x:c>
      <x:c r="AJ551" s="36" t="str">
        <x:v>Apostelgeschichte 21: repetitive Wiedererkennungsfrage durch DETAIL-Frage ersetzt.</x:v>
      </x:c>
      <x:c r="AK551" s="36" t="str">
        <x:v>FaithPath repo develop/v4 · data/stories.json · data/bibles/l1912/ACT.json · data/bibles/otb/ACT.json</x:v>
      </x:c>
      <x:c r="AL551" t="str">
        <x:f>IF(AND(AG551="FREIGEGEBEN",AI551="FREIGEGEBEN",Q551&lt;&gt;"",R551&lt;&gt;"",S551&lt;&gt;"",T551&lt;&gt;"",U551&lt;&gt;"",ISNUMBER(V551),X551&lt;&gt;"",Y551&lt;&gt;"",AA551="JA",AB551="JA",AC551="JA",AD551="JA",AE551="JA",AF551="JA"),"JA","NEIN")</x:f>
        <x:v>JA</x:v>
      </x:c>
    </x:row>
    <x:row r="552">
      <x:c r="A552" t="str">
        <x:v>FP-0811</x:v>
      </x:c>
      <x:c r="B552" t="str">
        <x:v>ACT</x:v>
      </x:c>
      <x:c r="C552" t="str">
        <x:v>Apostelgeschichte</x:v>
      </x:c>
      <x:c r="D552" t="n">
        <x:v>22</x:v>
      </x:c>
      <x:c r="E552" t="n">
        <x:v>1</x:v>
      </x:c>
      <x:c r="F552" t="str">
        <x:v>ACT-022</x:v>
      </x:c>
      <x:c r="G552" t="n">
        <x:v>111</x:v>
      </x:c>
      <x:c r="H552" t="str">
        <x:v>CQ-A06</x:v>
      </x:c>
      <x:c r="I552" s="36" t="str">
        <x:v>Welche dieser Aussagen stammt aus Apostelgeschichte 22?</x:v>
      </x:c>
      <x:c r="J552" s="36" t="str"/>
      <x:c r="K552" s="36" t="str"/>
      <x:c r="L552" s="36" t="str">
        <x:v>REPO_VERIFIZIERT_FRAGEFORM</x:v>
      </x:c>
      <x:c r="M552" s="36" t="str">
        <x:v>ERSETZEN</x:v>
      </x:c>
      <x:c r="N552" s="36" t="str">
        <x:v>REPETITIVE_FRAGEFORM</x:v>
      </x:c>
      <x:c r="O552" s="36" t="str">
        <x:v>REINE_WIEDERERKENNUNG</x:v>
      </x:c>
      <x:c r="P552" s="36" t="str">
        <x:v>ZUSAMMENHANG</x:v>
      </x:c>
      <x:c r="Q552" s="36" t="str">
        <x:v>Wie beschreibt Paulus sein Leben vor der Begegnung mit Jesus?</x:v>
      </x:c>
      <x:c r="R552" s="36" t="str">
        <x:v>Er war streng im Gesetz unter Gamaliel ausgebildet und verfolgte den Weg bis zum Tod.</x:v>
      </x:c>
      <x:c r="S552" s="36" t="str">
        <x:v>Er war bereits Missionar der Christen.</x:v>
      </x:c>
      <x:c r="T552" s="36" t="str">
        <x:v>Er lebte als Einsiedler in Damaskus.</x:v>
      </x:c>
      <x:c r="U552" s="36" t="str">
        <x:v>Er war römischer Priester.</x:v>
      </x:c>
      <x:c r="V552" s="36" t="n">
        <x:v>0</x:v>
      </x:c>
      <x:c r="W552" s="36" t="str">
        <x:f>CHOOSE(V552+1,R552,S552,T552,U552)</x:f>
        <x:v>Er war streng im Gesetz unter Gamaliel ausgebildet und verfolgte den Weg bis zum Tod.</x:v>
      </x:c>
      <x:c r="X552" s="36" t="str">
        <x:v>Apostelgeschichte 22,3–5</x:v>
      </x:c>
      <x:c r="Y552" s="36" t="str">
        <x:v>Paulus betont seinen jüdischen Eifer und seine frühere aktive Verfolgung der Jesusbewegung.</x:v>
      </x:c>
      <x:c r="Z552" s="36" t="str">
        <x:v>JA</x:v>
      </x:c>
      <x:c r="AA552" s="36" t="str">
        <x:v>JA</x:v>
      </x:c>
      <x:c r="AB552" s="36" t="str">
        <x:v>JA</x:v>
      </x:c>
      <x:c r="AC552" s="36" t="str">
        <x:v>JA</x:v>
      </x:c>
      <x:c r="AD552" s="36" t="str">
        <x:v>JA</x:v>
      </x:c>
      <x:c r="AE552" s="36" t="str">
        <x:v>JA</x:v>
      </x:c>
      <x:c r="AF552" s="36" t="str">
        <x:v>JA</x:v>
      </x:c>
      <x:c r="AG552" s="36" t="str">
        <x:v>FREIGEGEBEN</x:v>
      </x:c>
      <x:c r="AH552" s="36" t="str">
        <x:v>GPT-5.6 Sol · Buchprüfung Apostelgeschichte · L1912/OTB</x:v>
      </x:c>
      <x:c r="AI552" s="36" t="str">
        <x:v>FREIGEGEBEN</x:v>
      </x:c>
      <x:c r="AJ552" s="36" t="str">
        <x:v>Apostelgeschichte 22: repetitive Wiedererkennungsfrage durch ZUSAMMENHANG-Frage ersetzt.</x:v>
      </x:c>
      <x:c r="AK552" s="36" t="str">
        <x:v>FaithPath repo develop/v4 · data/stories.json · data/bibles/l1912/ACT.json · data/bibles/otb/ACT.json</x:v>
      </x:c>
      <x:c r="AL552" t="str">
        <x:f>IF(AND(AG552="FREIGEGEBEN",AI552="FREIGEGEBEN",Q552&lt;&gt;"",R552&lt;&gt;"",S552&lt;&gt;"",T552&lt;&gt;"",U552&lt;&gt;"",ISNUMBER(V552),X552&lt;&gt;"",Y552&lt;&gt;"",AA552="JA",AB552="JA",AC552="JA",AD552="JA",AE552="JA",AF552="JA"),"JA","NEIN")</x:f>
        <x:v>JA</x:v>
      </x:c>
    </x:row>
    <x:row r="553">
      <x:c r="A553" t="str">
        <x:v>FP-0812</x:v>
      </x:c>
      <x:c r="B553" t="str">
        <x:v>ACT</x:v>
      </x:c>
      <x:c r="C553" t="str">
        <x:v>Apostelgeschichte</x:v>
      </x:c>
      <x:c r="D553" t="n">
        <x:v>22</x:v>
      </x:c>
      <x:c r="E553" t="n">
        <x:v>2</x:v>
      </x:c>
      <x:c r="F553" t="str">
        <x:v>ACT-022</x:v>
      </x:c>
      <x:c r="G553" t="n">
        <x:v>111</x:v>
      </x:c>
      <x:c r="H553" t="str">
        <x:v>CQ-A06</x:v>
      </x:c>
      <x:c r="I553" s="36" t="str">
        <x:v>Welche dieser Aussagen stammt aus Apostelgeschichte 22?</x:v>
      </x:c>
      <x:c r="J553" s="36" t="str"/>
      <x:c r="K553" s="36" t="str"/>
      <x:c r="L553" s="36" t="str">
        <x:v>REPO_VERIFIZIERT_FRAGEFORM</x:v>
      </x:c>
      <x:c r="M553" s="36" t="str">
        <x:v>ERSETZEN</x:v>
      </x:c>
      <x:c r="N553" s="36" t="str">
        <x:v>REPETITIVE_FRAGEFORM</x:v>
      </x:c>
      <x:c r="O553" s="36" t="str">
        <x:v>REINE_WIEDERERKENNUNG</x:v>
      </x:c>
      <x:c r="P553" s="36" t="str">
        <x:v>GESCHEHEN</x:v>
      </x:c>
      <x:c r="Q553" s="36" t="str">
        <x:v>Was geschieht Paulus nahe Damaskus?</x:v>
      </x:c>
      <x:c r="R553" s="36" t="str">
        <x:v>Er begegnet Petrus auf der Straße.</x:v>
      </x:c>
      <x:c r="S553" s="36" t="str">
        <x:v>Ein helles Licht umstrahlt ihn, er fällt zu Boden und hört die Stimme Jesu.</x:v>
      </x:c>
      <x:c r="T553" s="36" t="str">
        <x:v>Er wird von einem Engel direkt nach Rom gebracht.</x:v>
      </x:c>
      <x:c r="U553" s="36" t="str">
        <x:v>Er verliert sein Pferd, hört aber keine Stimme.</x:v>
      </x:c>
      <x:c r="V553" s="36" t="n">
        <x:v>1</x:v>
      </x:c>
      <x:c r="W553" s="36" t="str">
        <x:f>CHOOSE(V553+1,R553,S553,T553,U553)</x:f>
        <x:v>Ein helles Licht umstrahlt ihn, er fällt zu Boden und hört die Stimme Jesu.</x:v>
      </x:c>
      <x:c r="X553" s="36" t="str">
        <x:v>Apostelgeschichte 22,6–11</x:v>
      </x:c>
      <x:c r="Y553" s="36" t="str">
        <x:v>Paulus erzählt die Begegnung mit Jesus erneut aus seiner Perspektive und wird danach blind nach Damaskus geführt.</x:v>
      </x:c>
      <x:c r="Z553" s="36" t="str">
        <x:v>JA</x:v>
      </x:c>
      <x:c r="AA553" s="36" t="str">
        <x:v>JA</x:v>
      </x:c>
      <x:c r="AB553" s="36" t="str">
        <x:v>JA</x:v>
      </x:c>
      <x:c r="AC553" s="36" t="str">
        <x:v>JA</x:v>
      </x:c>
      <x:c r="AD553" s="36" t="str">
        <x:v>JA</x:v>
      </x:c>
      <x:c r="AE553" s="36" t="str">
        <x:v>JA</x:v>
      </x:c>
      <x:c r="AF553" s="36" t="str">
        <x:v>JA</x:v>
      </x:c>
      <x:c r="AG553" s="36" t="str">
        <x:v>FREIGEGEBEN</x:v>
      </x:c>
      <x:c r="AH553" s="36" t="str">
        <x:v>GPT-5.6 Sol · Buchprüfung Apostelgeschichte · L1912/OTB</x:v>
      </x:c>
      <x:c r="AI553" s="36" t="str">
        <x:v>FREIGEGEBEN</x:v>
      </x:c>
      <x:c r="AJ553" s="36" t="str">
        <x:v>Apostelgeschichte 22: repetitive Wiedererkennungsfrage durch GESCHEHEN-Frage ersetzt.</x:v>
      </x:c>
      <x:c r="AK553" s="36" t="str">
        <x:v>FaithPath repo develop/v4 · data/stories.json · data/bibles/l1912/ACT.json · data/bibles/otb/ACT.json</x:v>
      </x:c>
      <x:c r="AL553" t="str">
        <x:f>IF(AND(AG553="FREIGEGEBEN",AI553="FREIGEGEBEN",Q553&lt;&gt;"",R553&lt;&gt;"",S553&lt;&gt;"",T553&lt;&gt;"",U553&lt;&gt;"",ISNUMBER(V553),X553&lt;&gt;"",Y553&lt;&gt;"",AA553="JA",AB553="JA",AC553="JA",AD553="JA",AE553="JA",AF553="JA"),"JA","NEIN")</x:f>
        <x:v>JA</x:v>
      </x:c>
    </x:row>
    <x:row r="554">
      <x:c r="A554" t="str">
        <x:v>FP-0813</x:v>
      </x:c>
      <x:c r="B554" t="str">
        <x:v>ACT</x:v>
      </x:c>
      <x:c r="C554" t="str">
        <x:v>Apostelgeschichte</x:v>
      </x:c>
      <x:c r="D554" t="n">
        <x:v>22</x:v>
      </x:c>
      <x:c r="E554" t="n">
        <x:v>3</x:v>
      </x:c>
      <x:c r="F554" t="str">
        <x:v>ACT-022</x:v>
      </x:c>
      <x:c r="G554" t="n">
        <x:v>111</x:v>
      </x:c>
      <x:c r="H554" t="str">
        <x:v>CQ-A06</x:v>
      </x:c>
      <x:c r="I554" s="36" t="str">
        <x:v>Welche dieser Aussagen stammt aus Apostelgeschichte 22?</x:v>
      </x:c>
      <x:c r="J554" s="36" t="str"/>
      <x:c r="K554" s="36" t="str"/>
      <x:c r="L554" s="36" t="str">
        <x:v>REPO_VERIFIZIERT_FRAGEFORM</x:v>
      </x:c>
      <x:c r="M554" s="36" t="str">
        <x:v>ERSETZEN</x:v>
      </x:c>
      <x:c r="N554" s="36" t="str">
        <x:v>REPETITIVE_FRAGEFORM</x:v>
      </x:c>
      <x:c r="O554" s="36" t="str">
        <x:v>REINE_WIEDERERKENNUNG</x:v>
      </x:c>
      <x:c r="P554" s="36" t="str">
        <x:v>PERSON_AUSSAGE</x:v>
      </x:c>
      <x:c r="Q554" s="36" t="str">
        <x:v>Welchen Auftrag gibt Ananias Paulus?</x:v>
      </x:c>
      <x:c r="R554" s="36" t="str">
        <x:v>Er soll wieder nach Jerusalem zurückkehren und Christen verfolgen.</x:v>
      </x:c>
      <x:c r="S554" s="36" t="str">
        <x:v>Er soll Priester werden.</x:v>
      </x:c>
      <x:c r="T554" s="36" t="str">
        <x:v>Er soll Gottes Willen erkennen, Zeuge dessen sein, was er gesehen und gehört hat, und sich taufen lassen.</x:v>
      </x:c>
      <x:c r="U554" s="36" t="str">
        <x:v>Er soll die Botschaft geheim halten.</x:v>
      </x:c>
      <x:c r="V554" s="36" t="n">
        <x:v>2</x:v>
      </x:c>
      <x:c r="W554" s="36" t="str">
        <x:f>CHOOSE(V554+1,R554,S554,T554,U554)</x:f>
        <x:v>Er soll Gottes Willen erkennen, Zeuge dessen sein, was er gesehen und gehört hat, und sich taufen lassen.</x:v>
      </x:c>
      <x:c r="X554" s="36" t="str">
        <x:v>Apostelgeschichte 22,12–16</x:v>
      </x:c>
      <x:c r="Y554" s="36" t="str">
        <x:v>Ananias deutet Paulus' Berufung zum Zeugnis und ruft ihn zur Taufe auf.</x:v>
      </x:c>
      <x:c r="Z554" s="36" t="str">
        <x:v>JA</x:v>
      </x:c>
      <x:c r="AA554" s="36" t="str">
        <x:v>JA</x:v>
      </x:c>
      <x:c r="AB554" s="36" t="str">
        <x:v>JA</x:v>
      </x:c>
      <x:c r="AC554" s="36" t="str">
        <x:v>JA</x:v>
      </x:c>
      <x:c r="AD554" s="36" t="str">
        <x:v>JA</x:v>
      </x:c>
      <x:c r="AE554" s="36" t="str">
        <x:v>JA</x:v>
      </x:c>
      <x:c r="AF554" s="36" t="str">
        <x:v>JA</x:v>
      </x:c>
      <x:c r="AG554" s="36" t="str">
        <x:v>FREIGEGEBEN</x:v>
      </x:c>
      <x:c r="AH554" s="36" t="str">
        <x:v>GPT-5.6 Sol · Buchprüfung Apostelgeschichte · L1912/OTB</x:v>
      </x:c>
      <x:c r="AI554" s="36" t="str">
        <x:v>FREIGEGEBEN</x:v>
      </x:c>
      <x:c r="AJ554" s="36" t="str">
        <x:v>Apostelgeschichte 22: repetitive Wiedererkennungsfrage durch PERSON_AUSSAGE-Frage ersetzt.</x:v>
      </x:c>
      <x:c r="AK554" s="36" t="str">
        <x:v>FaithPath repo develop/v4 · data/stories.json · data/bibles/l1912/ACT.json · data/bibles/otb/ACT.json</x:v>
      </x:c>
      <x:c r="AL554" t="str">
        <x:f>IF(AND(AG554="FREIGEGEBEN",AI554="FREIGEGEBEN",Q554&lt;&gt;"",R554&lt;&gt;"",S554&lt;&gt;"",T554&lt;&gt;"",U554&lt;&gt;"",ISNUMBER(V554),X554&lt;&gt;"",Y554&lt;&gt;"",AA554="JA",AB554="JA",AC554="JA",AD554="JA",AE554="JA",AF554="JA"),"JA","NEIN")</x:f>
        <x:v>JA</x:v>
      </x:c>
    </x:row>
    <x:row r="555">
      <x:c r="A555" t="str">
        <x:v>FP-0814</x:v>
      </x:c>
      <x:c r="B555" t="str">
        <x:v>ACT</x:v>
      </x:c>
      <x:c r="C555" t="str">
        <x:v>Apostelgeschichte</x:v>
      </x:c>
      <x:c r="D555" t="n">
        <x:v>22</x:v>
      </x:c>
      <x:c r="E555" t="n">
        <x:v>4</x:v>
      </x:c>
      <x:c r="F555" t="str">
        <x:v>ACT-022</x:v>
      </x:c>
      <x:c r="G555" t="n">
        <x:v>111</x:v>
      </x:c>
      <x:c r="H555" t="str">
        <x:v>CQ-A06</x:v>
      </x:c>
      <x:c r="I555" s="36" t="str">
        <x:v>Welche dieser Aussagen stammt aus Apostelgeschichte 22?</x:v>
      </x:c>
      <x:c r="J555" s="36" t="str"/>
      <x:c r="K555" s="36" t="str"/>
      <x:c r="L555" s="36" t="str">
        <x:v>REPO_VERIFIZIERT_FRAGEFORM</x:v>
      </x:c>
      <x:c r="M555" s="36" t="str">
        <x:v>ERSETZEN</x:v>
      </x:c>
      <x:c r="N555" s="36" t="str">
        <x:v>REPETITIVE_FRAGEFORM</x:v>
      </x:c>
      <x:c r="O555" s="36" t="str">
        <x:v>REINE_WIEDERERKENNUNG</x:v>
      </x:c>
      <x:c r="P555" s="36" t="str">
        <x:v>KERNAUSSAGE</x:v>
      </x:c>
      <x:c r="Q555" s="36" t="str">
        <x:v>Welche Sendung löst in Paulus' Rede den heftigsten Protest der Menge aus?</x:v>
      </x:c>
      <x:c r="R555" s="36" t="str">
        <x:v>Dass er in Jerusalem geboren sei.</x:v>
      </x:c>
      <x:c r="S555" s="36" t="str">
        <x:v>Dass er bei Gamaliel gelernt habe.</x:v>
      </x:c>
      <x:c r="T555" s="36" t="str">
        <x:v>Dass er den Tempel besucht habe.</x:v>
      </x:c>
      <x:c r="U555" s="36" t="str">
        <x:v>Dass Gott ihn weit weg zu den Nichtjuden senden werde.</x:v>
      </x:c>
      <x:c r="V555" s="36" t="n">
        <x:v>3</x:v>
      </x:c>
      <x:c r="W555" s="36" t="str">
        <x:f>CHOOSE(V555+1,R555,S555,T555,U555)</x:f>
        <x:v>Dass Gott ihn weit weg zu den Nichtjuden senden werde.</x:v>
      </x:c>
      <x:c r="X555" s="36" t="str">
        <x:v>Apostelgeschichte 22,17–21</x:v>
      </x:c>
      <x:c r="Y555" s="36" t="str">
        <x:v>Die Erwähnung der Sendung zu den Nichtjuden markiert den Punkt, an dem die Zuhörer nicht mehr weiterhören wollen.</x:v>
      </x:c>
      <x:c r="Z555" s="36" t="str">
        <x:v>JA</x:v>
      </x:c>
      <x:c r="AA555" s="36" t="str">
        <x:v>JA</x:v>
      </x:c>
      <x:c r="AB555" s="36" t="str">
        <x:v>JA</x:v>
      </x:c>
      <x:c r="AC555" s="36" t="str">
        <x:v>JA</x:v>
      </x:c>
      <x:c r="AD555" s="36" t="str">
        <x:v>JA</x:v>
      </x:c>
      <x:c r="AE555" s="36" t="str">
        <x:v>JA</x:v>
      </x:c>
      <x:c r="AF555" s="36" t="str">
        <x:v>JA</x:v>
      </x:c>
      <x:c r="AG555" s="36" t="str">
        <x:v>FREIGEGEBEN</x:v>
      </x:c>
      <x:c r="AH555" s="36" t="str">
        <x:v>GPT-5.6 Sol · Buchprüfung Apostelgeschichte · L1912/OTB</x:v>
      </x:c>
      <x:c r="AI555" s="36" t="str">
        <x:v>FREIGEGEBEN</x:v>
      </x:c>
      <x:c r="AJ555" s="36" t="str">
        <x:v>Apostelgeschichte 22: repetitive Wiedererkennungsfrage durch KERNAUSSAGE-Frage ersetzt.</x:v>
      </x:c>
      <x:c r="AK555" s="36" t="str">
        <x:v>FaithPath repo develop/v4 · data/stories.json · data/bibles/l1912/ACT.json · data/bibles/otb/ACT.json</x:v>
      </x:c>
      <x:c r="AL555" t="str">
        <x:f>IF(AND(AG555="FREIGEGEBEN",AI555="FREIGEGEBEN",Q555&lt;&gt;"",R555&lt;&gt;"",S555&lt;&gt;"",T555&lt;&gt;"",U555&lt;&gt;"",ISNUMBER(V555),X555&lt;&gt;"",Y555&lt;&gt;"",AA555="JA",AB555="JA",AC555="JA",AD555="JA",AE555="JA",AF555="JA"),"JA","NEIN")</x:f>
        <x:v>JA</x:v>
      </x:c>
    </x:row>
    <x:row r="556">
      <x:c r="A556" t="str">
        <x:v>FP-0815</x:v>
      </x:c>
      <x:c r="B556" t="str">
        <x:v>ACT</x:v>
      </x:c>
      <x:c r="C556" t="str">
        <x:v>Apostelgeschichte</x:v>
      </x:c>
      <x:c r="D556" t="n">
        <x:v>22</x:v>
      </x:c>
      <x:c r="E556" t="n">
        <x:v>5</x:v>
      </x:c>
      <x:c r="F556" t="str">
        <x:v>ACT-022</x:v>
      </x:c>
      <x:c r="G556" t="n">
        <x:v>111</x:v>
      </x:c>
      <x:c r="H556" t="str">
        <x:v>CQ-A06</x:v>
      </x:c>
      <x:c r="I556" s="36" t="str">
        <x:v>Welche dieser Aussagen stammt aus Apostelgeschichte 22?</x:v>
      </x:c>
      <x:c r="J556" s="36" t="str"/>
      <x:c r="K556" s="36" t="str"/>
      <x:c r="L556" s="36" t="str">
        <x:v>REPO_VERIFIZIERT_FRAGEFORM</x:v>
      </x:c>
      <x:c r="M556" s="36" t="str">
        <x:v>ERSETZEN</x:v>
      </x:c>
      <x:c r="N556" s="36" t="str">
        <x:v>REPETITIVE_FRAGEFORM</x:v>
      </x:c>
      <x:c r="O556" s="36" t="str">
        <x:v>REINE_WIEDERERKENNUNG</x:v>
      </x:c>
      <x:c r="P556" s="36" t="str">
        <x:v>GESCHEHEN</x:v>
      </x:c>
      <x:c r="Q556" s="36" t="str">
        <x:v>Wie verhindert Paulus, ohne Gerichtsverfahren ausgepeitscht zu werden?</x:v>
      </x:c>
      <x:c r="R556" s="36" t="str">
        <x:v>Er weist darauf hin, dass er römischer Bürger ist.</x:v>
      </x:c>
      <x:c r="S556" s="36" t="str">
        <x:v>Er zahlt den Soldaten Geld.</x:v>
      </x:c>
      <x:c r="T556" s="36" t="str">
        <x:v>Er flieht aus der Kaserne.</x:v>
      </x:c>
      <x:c r="U556" s="36" t="str">
        <x:v>Er beruft sich auf Petrus.</x:v>
      </x:c>
      <x:c r="V556" s="36" t="n">
        <x:v>0</x:v>
      </x:c>
      <x:c r="W556" s="36" t="str">
        <x:f>CHOOSE(V556+1,R556,S556,T556,U556)</x:f>
        <x:v>Er weist darauf hin, dass er römischer Bürger ist.</x:v>
      </x:c>
      <x:c r="X556" s="36" t="str">
        <x:v>Apostelgeschichte 22,22–29</x:v>
      </x:c>
      <x:c r="Y556" s="36" t="str">
        <x:v>Die angekündigte Geißelung wird gestoppt, als Paulus sein römisches Bürgerrecht geltend macht.</x:v>
      </x:c>
      <x:c r="Z556" s="36" t="str">
        <x:v>JA</x:v>
      </x:c>
      <x:c r="AA556" s="36" t="str">
        <x:v>JA</x:v>
      </x:c>
      <x:c r="AB556" s="36" t="str">
        <x:v>JA</x:v>
      </x:c>
      <x:c r="AC556" s="36" t="str">
        <x:v>JA</x:v>
      </x:c>
      <x:c r="AD556" s="36" t="str">
        <x:v>JA</x:v>
      </x:c>
      <x:c r="AE556" s="36" t="str">
        <x:v>JA</x:v>
      </x:c>
      <x:c r="AF556" s="36" t="str">
        <x:v>JA</x:v>
      </x:c>
      <x:c r="AG556" s="36" t="str">
        <x:v>FREIGEGEBEN</x:v>
      </x:c>
      <x:c r="AH556" s="36" t="str">
        <x:v>GPT-5.6 Sol · Buchprüfung Apostelgeschichte · L1912/OTB</x:v>
      </x:c>
      <x:c r="AI556" s="36" t="str">
        <x:v>FREIGEGEBEN</x:v>
      </x:c>
      <x:c r="AJ556" s="36" t="str">
        <x:v>Apostelgeschichte 22: repetitive Wiedererkennungsfrage durch GESCHEHEN-Frage ersetzt.</x:v>
      </x:c>
      <x:c r="AK556" s="36" t="str">
        <x:v>FaithPath repo develop/v4 · data/stories.json · data/bibles/l1912/ACT.json · data/bibles/otb/ACT.json</x:v>
      </x:c>
      <x:c r="AL556" t="str">
        <x:f>IF(AND(AG556="FREIGEGEBEN",AI556="FREIGEGEBEN",Q556&lt;&gt;"",R556&lt;&gt;"",S556&lt;&gt;"",T556&lt;&gt;"",U556&lt;&gt;"",ISNUMBER(V556),X556&lt;&gt;"",Y556&lt;&gt;"",AA556="JA",AB556="JA",AC556="JA",AD556="JA",AE556="JA",AF556="JA"),"JA","NEIN")</x:f>
        <x:v>JA</x:v>
      </x:c>
    </x:row>
    <x:row r="557">
      <x:c r="A557" t="str">
        <x:v>FP-0816</x:v>
      </x:c>
      <x:c r="B557" t="str">
        <x:v>ACT</x:v>
      </x:c>
      <x:c r="C557" t="str">
        <x:v>Apostelgeschichte</x:v>
      </x:c>
      <x:c r="D557" t="n">
        <x:v>23</x:v>
      </x:c>
      <x:c r="E557" t="n">
        <x:v>1</x:v>
      </x:c>
      <x:c r="F557" t="str">
        <x:v>ACT-023</x:v>
      </x:c>
      <x:c r="G557" t="n">
        <x:v>112</x:v>
      </x:c>
      <x:c r="H557" t="str">
        <x:v>CQ-A06</x:v>
      </x:c>
      <x:c r="I557" s="36" t="str">
        <x:v>Welche dieser Aussagen stammt aus Apostelgeschichte 23?</x:v>
      </x:c>
      <x:c r="J557" s="36" t="str"/>
      <x:c r="K557" s="36" t="str"/>
      <x:c r="L557" s="36" t="str">
        <x:v>REPO_VERIFIZIERT_FRAGEFORM</x:v>
      </x:c>
      <x:c r="M557" s="36" t="str">
        <x:v>ERSETZEN</x:v>
      </x:c>
      <x:c r="N557" s="36" t="str">
        <x:v>REPETITIVE_FRAGEFORM</x:v>
      </x:c>
      <x:c r="O557" s="36" t="str">
        <x:v>REINE_WIEDERERKENNUNG</x:v>
      </x:c>
      <x:c r="P557" s="36" t="str">
        <x:v>GESCHEHEN</x:v>
      </x:c>
      <x:c r="Q557" s="36" t="str">
        <x:v>Wie reagiert Paulus, nachdem er den Hohenpriester unwissentlich scharf angesprochen hat?</x:v>
      </x:c>
      <x:c r="R557" s="36" t="str">
        <x:v>Er schlägt den Hohepriester.</x:v>
      </x:c>
      <x:c r="S557" s="36" t="str">
        <x:v>Er sagt, er habe nicht gewusst, dass es der Hohepriester sei, und zitiert das Gebot, einen Obersten nicht zu schmähen.</x:v>
      </x:c>
      <x:c r="T557" s="36" t="str">
        <x:v>Er widerruft seinen Glauben.</x:v>
      </x:c>
      <x:c r="U557" s="36" t="str">
        <x:v>Er verlässt den Rat.</x:v>
      </x:c>
      <x:c r="V557" s="36" t="n">
        <x:v>1</x:v>
      </x:c>
      <x:c r="W557" s="36" t="str">
        <x:f>CHOOSE(V557+1,R557,S557,T557,U557)</x:f>
        <x:v>Er sagt, er habe nicht gewusst, dass es der Hohepriester sei, und zitiert das Gebot, einen Obersten nicht zu schmähen.</x:v>
      </x:c>
      <x:c r="X557" s="36" t="str">
        <x:v>Apostelgeschichte 23,1–5</x:v>
      </x:c>
      <x:c r="Y557" s="36" t="str">
        <x:v>Paulus korrigiert sich unter Berufung auf die Schrift, nachdem ihm die Stellung des Hohenpriesters genannt wird.</x:v>
      </x:c>
      <x:c r="Z557" s="36" t="str">
        <x:v>JA</x:v>
      </x:c>
      <x:c r="AA557" s="36" t="str">
        <x:v>JA</x:v>
      </x:c>
      <x:c r="AB557" s="36" t="str">
        <x:v>JA</x:v>
      </x:c>
      <x:c r="AC557" s="36" t="str">
        <x:v>JA</x:v>
      </x:c>
      <x:c r="AD557" s="36" t="str">
        <x:v>JA</x:v>
      </x:c>
      <x:c r="AE557" s="36" t="str">
        <x:v>JA</x:v>
      </x:c>
      <x:c r="AF557" s="36" t="str">
        <x:v>JA</x:v>
      </x:c>
      <x:c r="AG557" s="36" t="str">
        <x:v>FREIGEGEBEN</x:v>
      </x:c>
      <x:c r="AH557" s="36" t="str">
        <x:v>GPT-5.6 Sol · Buchprüfung Apostelgeschichte · L1912/OTB</x:v>
      </x:c>
      <x:c r="AI557" s="36" t="str">
        <x:v>FREIGEGEBEN</x:v>
      </x:c>
      <x:c r="AJ557" s="36" t="str">
        <x:v>Apostelgeschichte 23: repetitive Wiedererkennungsfrage durch GESCHEHEN-Frage ersetzt.</x:v>
      </x:c>
      <x:c r="AK557" s="36" t="str">
        <x:v>FaithPath repo develop/v4 · data/stories.json · data/bibles/l1912/ACT.json · data/bibles/otb/ACT.json</x:v>
      </x:c>
      <x:c r="AL557" t="str">
        <x:f>IF(AND(AG557="FREIGEGEBEN",AI557="FREIGEGEBEN",Q557&lt;&gt;"",R557&lt;&gt;"",S557&lt;&gt;"",T557&lt;&gt;"",U557&lt;&gt;"",ISNUMBER(V557),X557&lt;&gt;"",Y557&lt;&gt;"",AA557="JA",AB557="JA",AC557="JA",AD557="JA",AE557="JA",AF557="JA"),"JA","NEIN")</x:f>
        <x:v>JA</x:v>
      </x:c>
    </x:row>
    <x:row r="558">
      <x:c r="A558" t="str">
        <x:v>FP-0817</x:v>
      </x:c>
      <x:c r="B558" t="str">
        <x:v>ACT</x:v>
      </x:c>
      <x:c r="C558" t="str">
        <x:v>Apostelgeschichte</x:v>
      </x:c>
      <x:c r="D558" t="n">
        <x:v>23</x:v>
      </x:c>
      <x:c r="E558" t="n">
        <x:v>2</x:v>
      </x:c>
      <x:c r="F558" t="str">
        <x:v>ACT-023</x:v>
      </x:c>
      <x:c r="G558" t="n">
        <x:v>112</x:v>
      </x:c>
      <x:c r="H558" t="str">
        <x:v>CQ-A06</x:v>
      </x:c>
      <x:c r="I558" s="36" t="str">
        <x:v>Welche dieser Aussagen stammt aus Apostelgeschichte 23?</x:v>
      </x:c>
      <x:c r="J558" s="36" t="str"/>
      <x:c r="K558" s="36" t="str"/>
      <x:c r="L558" s="36" t="str">
        <x:v>REPO_VERIFIZIERT_FRAGEFORM</x:v>
      </x:c>
      <x:c r="M558" s="36" t="str">
        <x:v>ERSETZEN</x:v>
      </x:c>
      <x:c r="N558" s="36" t="str">
        <x:v>REPETITIVE_FRAGEFORM</x:v>
      </x:c>
      <x:c r="O558" s="36" t="str">
        <x:v>REINE_WIEDERERKENNUNG</x:v>
      </x:c>
      <x:c r="P558" s="36" t="str">
        <x:v>ZUSAMMENHANG</x:v>
      </x:c>
      <x:c r="Q558" s="36" t="str">
        <x:v>Wie löst Paulus eine Spaltung im Hohen Rat aus?</x:v>
      </x:c>
      <x:c r="R558" s="36" t="str">
        <x:v>Er fordert die Auflösung des Rates.</x:v>
      </x:c>
      <x:c r="S558" s="36" t="str">
        <x:v>Er erklärt sich zum Sadduzäer.</x:v>
      </x:c>
      <x:c r="T558" s="36" t="str">
        <x:v>Er erklärt, wegen der Hoffnung auf die Auferstehung der Toten vor Gericht zu stehen.</x:v>
      </x:c>
      <x:c r="U558" s="36" t="str">
        <x:v>Er bestreitet jede Auferstehung.</x:v>
      </x:c>
      <x:c r="V558" s="36" t="n">
        <x:v>2</x:v>
      </x:c>
      <x:c r="W558" s="36" t="str">
        <x:f>CHOOSE(V558+1,R558,S558,T558,U558)</x:f>
        <x:v>Er erklärt, wegen der Hoffnung auf die Auferstehung der Toten vor Gericht zu stehen.</x:v>
      </x:c>
      <x:c r="X558" s="36" t="str">
        <x:v>Apostelgeschichte 23,6–10</x:v>
      </x:c>
      <x:c r="Y558" s="36" t="str">
        <x:v>Da Pharisäer und Sadduzäer in der Auferstehungsfrage unterschiedlich denken, führt Paulus' Aussage zu heftigem Streit.</x:v>
      </x:c>
      <x:c r="Z558" s="36" t="str">
        <x:v>JA</x:v>
      </x:c>
      <x:c r="AA558" s="36" t="str">
        <x:v>JA</x:v>
      </x:c>
      <x:c r="AB558" s="36" t="str">
        <x:v>JA</x:v>
      </x:c>
      <x:c r="AC558" s="36" t="str">
        <x:v>JA</x:v>
      </x:c>
      <x:c r="AD558" s="36" t="str">
        <x:v>JA</x:v>
      </x:c>
      <x:c r="AE558" s="36" t="str">
        <x:v>JA</x:v>
      </x:c>
      <x:c r="AF558" s="36" t="str">
        <x:v>JA</x:v>
      </x:c>
      <x:c r="AG558" s="36" t="str">
        <x:v>FREIGEGEBEN</x:v>
      </x:c>
      <x:c r="AH558" s="36" t="str">
        <x:v>GPT-5.6 Sol · Buchprüfung Apostelgeschichte · L1912/OTB</x:v>
      </x:c>
      <x:c r="AI558" s="36" t="str">
        <x:v>FREIGEGEBEN</x:v>
      </x:c>
      <x:c r="AJ558" s="36" t="str">
        <x:v>Apostelgeschichte 23: repetitive Wiedererkennungsfrage durch ZUSAMMENHANG-Frage ersetzt.</x:v>
      </x:c>
      <x:c r="AK558" s="36" t="str">
        <x:v>FaithPath repo develop/v4 · data/stories.json · data/bibles/l1912/ACT.json · data/bibles/otb/ACT.json</x:v>
      </x:c>
      <x:c r="AL558" t="str">
        <x:f>IF(AND(AG558="FREIGEGEBEN",AI558="FREIGEGEBEN",Q558&lt;&gt;"",R558&lt;&gt;"",S558&lt;&gt;"",T558&lt;&gt;"",U558&lt;&gt;"",ISNUMBER(V558),X558&lt;&gt;"",Y558&lt;&gt;"",AA558="JA",AB558="JA",AC558="JA",AD558="JA",AE558="JA",AF558="JA"),"JA","NEIN")</x:f>
        <x:v>JA</x:v>
      </x:c>
    </x:row>
    <x:row r="559">
      <x:c r="A559" t="str">
        <x:v>FP-0818</x:v>
      </x:c>
      <x:c r="B559" t="str">
        <x:v>ACT</x:v>
      </x:c>
      <x:c r="C559" t="str">
        <x:v>Apostelgeschichte</x:v>
      </x:c>
      <x:c r="D559" t="n">
        <x:v>23</x:v>
      </x:c>
      <x:c r="E559" t="n">
        <x:v>3</x:v>
      </x:c>
      <x:c r="F559" t="str">
        <x:v>ACT-023</x:v>
      </x:c>
      <x:c r="G559" t="n">
        <x:v>112</x:v>
      </x:c>
      <x:c r="H559" t="str">
        <x:v>CQ-A06</x:v>
      </x:c>
      <x:c r="I559" s="36" t="str">
        <x:v>Welche dieser Aussagen stammt aus Apostelgeschichte 23?</x:v>
      </x:c>
      <x:c r="J559" s="36" t="str"/>
      <x:c r="K559" s="36" t="str"/>
      <x:c r="L559" s="36" t="str">
        <x:v>REPO_VERIFIZIERT_FRAGEFORM</x:v>
      </x:c>
      <x:c r="M559" s="36" t="str">
        <x:v>ERSETZEN</x:v>
      </x:c>
      <x:c r="N559" s="36" t="str">
        <x:v>REPETITIVE_FRAGEFORM</x:v>
      </x:c>
      <x:c r="O559" s="36" t="str">
        <x:v>REINE_WIEDERERKENNUNG</x:v>
      </x:c>
      <x:c r="P559" s="36" t="str">
        <x:v>PERSON_AUSSAGE</x:v>
      </x:c>
      <x:c r="Q559" s="36" t="str">
        <x:v>Welche Ermutigung erhält Paulus in der folgenden Nacht vom Herrn?</x:v>
      </x:c>
      <x:c r="R559" s="36" t="str">
        <x:v>Er soll Jerusalem sofort verlassen und nie wieder predigen.</x:v>
      </x:c>
      <x:c r="S559" s="36" t="str">
        <x:v>Er werde nie nach Rom kommen.</x:v>
      </x:c>
      <x:c r="T559" s="36" t="str">
        <x:v>Er soll vor dem Rat schweigen.</x:v>
      </x:c>
      <x:c r="U559" s="36" t="str">
        <x:v>Wie er in Jerusalem von Jesus bezeugt hat, soll er auch in Rom Zeugnis geben.</x:v>
      </x:c>
      <x:c r="V559" s="36" t="n">
        <x:v>3</x:v>
      </x:c>
      <x:c r="W559" s="36" t="str">
        <x:f>CHOOSE(V559+1,R559,S559,T559,U559)</x:f>
        <x:v>Wie er in Jerusalem von Jesus bezeugt hat, soll er auch in Rom Zeugnis geben.</x:v>
      </x:c>
      <x:c r="X559" s="36" t="str">
        <x:v>Apostelgeschichte 23,11</x:v>
      </x:c>
      <x:c r="Y559" s="36" t="str">
        <x:v>Die Erscheinung verbindet Ermutigung mit der Perspektive eines künftigen Zeugnisses in Rom.</x:v>
      </x:c>
      <x:c r="Z559" s="36" t="str">
        <x:v>JA</x:v>
      </x:c>
      <x:c r="AA559" s="36" t="str">
        <x:v>JA</x:v>
      </x:c>
      <x:c r="AB559" s="36" t="str">
        <x:v>JA</x:v>
      </x:c>
      <x:c r="AC559" s="36" t="str">
        <x:v>JA</x:v>
      </x:c>
      <x:c r="AD559" s="36" t="str">
        <x:v>JA</x:v>
      </x:c>
      <x:c r="AE559" s="36" t="str">
        <x:v>JA</x:v>
      </x:c>
      <x:c r="AF559" s="36" t="str">
        <x:v>JA</x:v>
      </x:c>
      <x:c r="AG559" s="36" t="str">
        <x:v>FREIGEGEBEN</x:v>
      </x:c>
      <x:c r="AH559" s="36" t="str">
        <x:v>GPT-5.6 Sol · Buchprüfung Apostelgeschichte · L1912/OTB</x:v>
      </x:c>
      <x:c r="AI559" s="36" t="str">
        <x:v>FREIGEGEBEN</x:v>
      </x:c>
      <x:c r="AJ559" s="36" t="str">
        <x:v>Apostelgeschichte 23: repetitive Wiedererkennungsfrage durch PERSON_AUSSAGE-Frage ersetzt.</x:v>
      </x:c>
      <x:c r="AK559" s="36" t="str">
        <x:v>FaithPath repo develop/v4 · data/stories.json · data/bibles/l1912/ACT.json · data/bibles/otb/ACT.json</x:v>
      </x:c>
      <x:c r="AL559" t="str">
        <x:f>IF(AND(AG559="FREIGEGEBEN",AI559="FREIGEGEBEN",Q559&lt;&gt;"",R559&lt;&gt;"",S559&lt;&gt;"",T559&lt;&gt;"",U559&lt;&gt;"",ISNUMBER(V559),X559&lt;&gt;"",Y559&lt;&gt;"",AA559="JA",AB559="JA",AC559="JA",AD559="JA",AE559="JA",AF559="JA"),"JA","NEIN")</x:f>
        <x:v>JA</x:v>
      </x:c>
    </x:row>
    <x:row r="560">
      <x:c r="A560" t="str">
        <x:v>FP-0819</x:v>
      </x:c>
      <x:c r="B560" t="str">
        <x:v>ACT</x:v>
      </x:c>
      <x:c r="C560" t="str">
        <x:v>Apostelgeschichte</x:v>
      </x:c>
      <x:c r="D560" t="n">
        <x:v>23</x:v>
      </x:c>
      <x:c r="E560" t="n">
        <x:v>4</x:v>
      </x:c>
      <x:c r="F560" t="str">
        <x:v>ACT-023</x:v>
      </x:c>
      <x:c r="G560" t="n">
        <x:v>112</x:v>
      </x:c>
      <x:c r="H560" t="str">
        <x:v>CQ-A06</x:v>
      </x:c>
      <x:c r="I560" s="36" t="str">
        <x:v>Welche dieser Aussagen stammt aus Apostelgeschichte 23?</x:v>
      </x:c>
      <x:c r="J560" s="36" t="str"/>
      <x:c r="K560" s="36" t="str"/>
      <x:c r="L560" s="36" t="str">
        <x:v>REPO_VERIFIZIERT_FRAGEFORM</x:v>
      </x:c>
      <x:c r="M560" s="36" t="str">
        <x:v>ERSETZEN</x:v>
      </x:c>
      <x:c r="N560" s="36" t="str">
        <x:v>REPETITIVE_FRAGEFORM</x:v>
      </x:c>
      <x:c r="O560" s="36" t="str">
        <x:v>REINE_WIEDERERKENNUNG</x:v>
      </x:c>
      <x:c r="P560" s="36" t="str">
        <x:v>GESCHEHEN</x:v>
      </x:c>
      <x:c r="Q560" s="36" t="str">
        <x:v>Wie wird der Anschlag von mehr als vierzig Männern auf Paulus vereitelt?</x:v>
      </x:c>
      <x:c r="R560" s="36" t="str">
        <x:v>Paulus' Neffe erfährt davon und informiert über Paulus den römischen Kommandanten.</x:v>
      </x:c>
      <x:c r="S560" s="36" t="str">
        <x:v>Petrus entdeckt den Plan.</x:v>
      </x:c>
      <x:c r="T560" s="36" t="str">
        <x:v>Die Verschwörer geben freiwillig auf.</x:v>
      </x:c>
      <x:c r="U560" s="36" t="str">
        <x:v>Herodes lässt sie verhaften.</x:v>
      </x:c>
      <x:c r="V560" s="36" t="n">
        <x:v>0</x:v>
      </x:c>
      <x:c r="W560" s="36" t="str">
        <x:f>CHOOSE(V560+1,R560,S560,T560,U560)</x:f>
        <x:v>Paulus' Neffe erfährt davon und informiert über Paulus den römischen Kommandanten.</x:v>
      </x:c>
      <x:c r="X560" s="36" t="str">
        <x:v>Apostelgeschichte 23,12–22</x:v>
      </x:c>
      <x:c r="Y560" s="36" t="str">
        <x:v>Ein Verwandter des Paulus hört von dem Schwur, meldet ihn, und der Kommandant reagiert.</x:v>
      </x:c>
      <x:c r="Z560" s="36" t="str">
        <x:v>JA</x:v>
      </x:c>
      <x:c r="AA560" s="36" t="str">
        <x:v>JA</x:v>
      </x:c>
      <x:c r="AB560" s="36" t="str">
        <x:v>JA</x:v>
      </x:c>
      <x:c r="AC560" s="36" t="str">
        <x:v>JA</x:v>
      </x:c>
      <x:c r="AD560" s="36" t="str">
        <x:v>JA</x:v>
      </x:c>
      <x:c r="AE560" s="36" t="str">
        <x:v>JA</x:v>
      </x:c>
      <x:c r="AF560" s="36" t="str">
        <x:v>JA</x:v>
      </x:c>
      <x:c r="AG560" s="36" t="str">
        <x:v>FREIGEGEBEN</x:v>
      </x:c>
      <x:c r="AH560" s="36" t="str">
        <x:v>GPT-5.6 Sol · Buchprüfung Apostelgeschichte · L1912/OTB</x:v>
      </x:c>
      <x:c r="AI560" s="36" t="str">
        <x:v>FREIGEGEBEN</x:v>
      </x:c>
      <x:c r="AJ560" s="36" t="str">
        <x:v>Apostelgeschichte 23: repetitive Wiedererkennungsfrage durch GESCHEHEN-Frage ersetzt.</x:v>
      </x:c>
      <x:c r="AK560" s="36" t="str">
        <x:v>FaithPath repo develop/v4 · data/stories.json · data/bibles/l1912/ACT.json · data/bibles/otb/ACT.json</x:v>
      </x:c>
      <x:c r="AL560" t="str">
        <x:f>IF(AND(AG560="FREIGEGEBEN",AI560="FREIGEGEBEN",Q560&lt;&gt;"",R560&lt;&gt;"",S560&lt;&gt;"",T560&lt;&gt;"",U560&lt;&gt;"",ISNUMBER(V560),X560&lt;&gt;"",Y560&lt;&gt;"",AA560="JA",AB560="JA",AC560="JA",AD560="JA",AE560="JA",AF560="JA"),"JA","NEIN")</x:f>
        <x:v>JA</x:v>
      </x:c>
    </x:row>
    <x:row r="561">
      <x:c r="A561" t="str">
        <x:v>FP-0820</x:v>
      </x:c>
      <x:c r="B561" t="str">
        <x:v>ACT</x:v>
      </x:c>
      <x:c r="C561" t="str">
        <x:v>Apostelgeschichte</x:v>
      </x:c>
      <x:c r="D561" t="n">
        <x:v>23</x:v>
      </x:c>
      <x:c r="E561" t="n">
        <x:v>5</x:v>
      </x:c>
      <x:c r="F561" t="str">
        <x:v>ACT-023</x:v>
      </x:c>
      <x:c r="G561" t="n">
        <x:v>112</x:v>
      </x:c>
      <x:c r="H561" t="str">
        <x:v>CQ-A06</x:v>
      </x:c>
      <x:c r="I561" s="36" t="str">
        <x:v>Welche dieser Aussagen stammt aus Apostelgeschichte 23?</x:v>
      </x:c>
      <x:c r="J561" s="36" t="str"/>
      <x:c r="K561" s="36" t="str"/>
      <x:c r="L561" s="36" t="str">
        <x:v>REPO_VERIFIZIERT_FRAGEFORM</x:v>
      </x:c>
      <x:c r="M561" s="36" t="str">
        <x:v>ERSETZEN</x:v>
      </x:c>
      <x:c r="N561" s="36" t="str">
        <x:v>REPETITIVE_FRAGEFORM</x:v>
      </x:c>
      <x:c r="O561" s="36" t="str">
        <x:v>REINE_WIEDERERKENNUNG</x:v>
      </x:c>
      <x:c r="P561" s="36" t="str">
        <x:v>GESCHEHEN</x:v>
      </x:c>
      <x:c r="Q561" s="36" t="str">
        <x:v>Wohin wird Paulus unter starkem militärischem Schutz gebracht?</x:v>
      </x:c>
      <x:c r="R561" s="36" t="str">
        <x:v>Nach Damaskus.</x:v>
      </x:c>
      <x:c r="S561" s="36" t="str">
        <x:v>Nach Cäsarea zum Statthalter Felix.</x:v>
      </x:c>
      <x:c r="T561" s="36" t="str">
        <x:v>Nach Antiochia.</x:v>
      </x:c>
      <x:c r="U561" s="36" t="str">
        <x:v>Direkt nach Rom.</x:v>
      </x:c>
      <x:c r="V561" s="36" t="n">
        <x:v>1</x:v>
      </x:c>
      <x:c r="W561" s="36" t="str">
        <x:f>CHOOSE(V561+1,R561,S561,T561,U561)</x:f>
        <x:v>Nach Cäsarea zum Statthalter Felix.</x:v>
      </x:c>
      <x:c r="X561" s="36" t="str">
        <x:v>Apostelgeschichte 23,23–35</x:v>
      </x:c>
      <x:c r="Y561" s="36" t="str">
        <x:v>Der Kommandant lässt Paulus mit einer großen Eskorte nach Cäsarea bringen, wo Felix zuständig ist.</x:v>
      </x:c>
      <x:c r="Z561" s="36" t="str">
        <x:v>JA</x:v>
      </x:c>
      <x:c r="AA561" s="36" t="str">
        <x:v>JA</x:v>
      </x:c>
      <x:c r="AB561" s="36" t="str">
        <x:v>JA</x:v>
      </x:c>
      <x:c r="AC561" s="36" t="str">
        <x:v>JA</x:v>
      </x:c>
      <x:c r="AD561" s="36" t="str">
        <x:v>JA</x:v>
      </x:c>
      <x:c r="AE561" s="36" t="str">
        <x:v>JA</x:v>
      </x:c>
      <x:c r="AF561" s="36" t="str">
        <x:v>JA</x:v>
      </x:c>
      <x:c r="AG561" s="36" t="str">
        <x:v>FREIGEGEBEN</x:v>
      </x:c>
      <x:c r="AH561" s="36" t="str">
        <x:v>GPT-5.6 Sol · Buchprüfung Apostelgeschichte · L1912/OTB</x:v>
      </x:c>
      <x:c r="AI561" s="36" t="str">
        <x:v>FREIGEGEBEN</x:v>
      </x:c>
      <x:c r="AJ561" s="36" t="str">
        <x:v>Apostelgeschichte 23: repetitive Wiedererkennungsfrage durch GESCHEHEN-Frage ersetzt.</x:v>
      </x:c>
      <x:c r="AK561" s="36" t="str">
        <x:v>FaithPath repo develop/v4 · data/stories.json · data/bibles/l1912/ACT.json · data/bibles/otb/ACT.json</x:v>
      </x:c>
      <x:c r="AL561" t="str">
        <x:f>IF(AND(AG561="FREIGEGEBEN",AI561="FREIGEGEBEN",Q561&lt;&gt;"",R561&lt;&gt;"",S561&lt;&gt;"",T561&lt;&gt;"",U561&lt;&gt;"",ISNUMBER(V561),X561&lt;&gt;"",Y561&lt;&gt;"",AA561="JA",AB561="JA",AC561="JA",AD561="JA",AE561="JA",AF561="JA"),"JA","NEIN")</x:f>
        <x:v>JA</x:v>
      </x:c>
    </x:row>
    <x:row r="562">
      <x:c r="A562" t="str">
        <x:v>FP-0821</x:v>
      </x:c>
      <x:c r="B562" t="str">
        <x:v>ACT</x:v>
      </x:c>
      <x:c r="C562" t="str">
        <x:v>Apostelgeschichte</x:v>
      </x:c>
      <x:c r="D562" t="n">
        <x:v>24</x:v>
      </x:c>
      <x:c r="E562" t="n">
        <x:v>1</x:v>
      </x:c>
      <x:c r="F562" t="str">
        <x:v>ACT-024</x:v>
      </x:c>
      <x:c r="G562" t="n">
        <x:v>113</x:v>
      </x:c>
      <x:c r="H562" t="str">
        <x:v>CQ-A06</x:v>
      </x:c>
      <x:c r="I562" s="36" t="str">
        <x:v>Welche dieser Aussagen stammt aus Apostelgeschichte 24?</x:v>
      </x:c>
      <x:c r="J562" s="36" t="str"/>
      <x:c r="K562" s="36" t="str"/>
      <x:c r="L562" s="36" t="str">
        <x:v>REPO_VERIFIZIERT_FRAGEFORM</x:v>
      </x:c>
      <x:c r="M562" s="36" t="str">
        <x:v>ERSETZEN</x:v>
      </x:c>
      <x:c r="N562" s="36" t="str">
        <x:v>REPETITIVE_FRAGEFORM</x:v>
      </x:c>
      <x:c r="O562" s="36" t="str">
        <x:v>REINE_WIEDERERKENNUNG</x:v>
      </x:c>
      <x:c r="P562" s="36" t="str">
        <x:v>GESCHEHEN</x:v>
      </x:c>
      <x:c r="Q562" s="36" t="str">
        <x:v>Welche Art von Anklage bringt Tertullus vor Felix gegen Paulus vor?</x:v>
      </x:c>
      <x:c r="R562" s="36" t="str">
        <x:v>Er beschuldigt ihn des Steuerbetrugs in Rom.</x:v>
      </x:c>
      <x:c r="S562" s="36" t="str">
        <x:v>Er wirft ihm Mord an Stephanus vor.</x:v>
      </x:c>
      <x:c r="T562" s="36" t="str">
        <x:v>Er stellt Paulus als Unruhestifter, Anführer der Nazarener und Tempelschänder dar.</x:v>
      </x:c>
      <x:c r="U562" s="36" t="str">
        <x:v>Er klagt ihn wegen Desertion aus der Armee an.</x:v>
      </x:c>
      <x:c r="V562" s="36" t="n">
        <x:v>2</x:v>
      </x:c>
      <x:c r="W562" s="36" t="str">
        <x:f>CHOOSE(V562+1,R562,S562,T562,U562)</x:f>
        <x:v>Er stellt Paulus als Unruhestifter, Anführer der Nazarener und Tempelschänder dar.</x:v>
      </x:c>
      <x:c r="X562" s="36" t="str">
        <x:v>Apostelgeschichte 24,1–9</x:v>
      </x:c>
      <x:c r="Y562" s="36" t="str">
        <x:v>Tertullus formuliert politische und religiöse Vorwürfe gegen Paulus.</x:v>
      </x:c>
      <x:c r="Z562" s="36" t="str">
        <x:v>JA</x:v>
      </x:c>
      <x:c r="AA562" s="36" t="str">
        <x:v>JA</x:v>
      </x:c>
      <x:c r="AB562" s="36" t="str">
        <x:v>JA</x:v>
      </x:c>
      <x:c r="AC562" s="36" t="str">
        <x:v>JA</x:v>
      </x:c>
      <x:c r="AD562" s="36" t="str">
        <x:v>JA</x:v>
      </x:c>
      <x:c r="AE562" s="36" t="str">
        <x:v>JA</x:v>
      </x:c>
      <x:c r="AF562" s="36" t="str">
        <x:v>JA</x:v>
      </x:c>
      <x:c r="AG562" s="36" t="str">
        <x:v>FREIGEGEBEN</x:v>
      </x:c>
      <x:c r="AH562" s="36" t="str">
        <x:v>GPT-5.6 Sol · Buchprüfung Apostelgeschichte · L1912/OTB</x:v>
      </x:c>
      <x:c r="AI562" s="36" t="str">
        <x:v>FREIGEGEBEN</x:v>
      </x:c>
      <x:c r="AJ562" s="36" t="str">
        <x:v>Apostelgeschichte 24: repetitive Wiedererkennungsfrage durch GESCHEHEN-Frage ersetzt.</x:v>
      </x:c>
      <x:c r="AK562" s="36" t="str">
        <x:v>FaithPath repo develop/v4 · data/stories.json · data/bibles/l1912/ACT.json · data/bibles/otb/ACT.json</x:v>
      </x:c>
      <x:c r="AL562" t="str">
        <x:f>IF(AND(AG562="FREIGEGEBEN",AI562="FREIGEGEBEN",Q562&lt;&gt;"",R562&lt;&gt;"",S562&lt;&gt;"",T562&lt;&gt;"",U562&lt;&gt;"",ISNUMBER(V562),X562&lt;&gt;"",Y562&lt;&gt;"",AA562="JA",AB562="JA",AC562="JA",AD562="JA",AE562="JA",AF562="JA"),"JA","NEIN")</x:f>
        <x:v>JA</x:v>
      </x:c>
    </x:row>
    <x:row r="563">
      <x:c r="A563" t="str">
        <x:v>FP-0822</x:v>
      </x:c>
      <x:c r="B563" t="str">
        <x:v>ACT</x:v>
      </x:c>
      <x:c r="C563" t="str">
        <x:v>Apostelgeschichte</x:v>
      </x:c>
      <x:c r="D563" t="n">
        <x:v>24</x:v>
      </x:c>
      <x:c r="E563" t="n">
        <x:v>2</x:v>
      </x:c>
      <x:c r="F563" t="str">
        <x:v>ACT-024</x:v>
      </x:c>
      <x:c r="G563" t="n">
        <x:v>113</x:v>
      </x:c>
      <x:c r="H563" t="str">
        <x:v>CQ-A06</x:v>
      </x:c>
      <x:c r="I563" s="36" t="str">
        <x:v>Welche dieser Aussagen stammt aus Apostelgeschichte 24?</x:v>
      </x:c>
      <x:c r="J563" s="36" t="str"/>
      <x:c r="K563" s="36" t="str"/>
      <x:c r="L563" s="36" t="str">
        <x:v>REPO_VERIFIZIERT_FRAGEFORM</x:v>
      </x:c>
      <x:c r="M563" s="36" t="str">
        <x:v>ERSETZEN</x:v>
      </x:c>
      <x:c r="N563" s="36" t="str">
        <x:v>REPETITIVE_FRAGEFORM</x:v>
      </x:c>
      <x:c r="O563" s="36" t="str">
        <x:v>REINE_WIEDERERKENNUNG</x:v>
      </x:c>
      <x:c r="P563" s="36" t="str">
        <x:v>KERNAUSSAGE</x:v>
      </x:c>
      <x:c r="Q563" s="36" t="str">
        <x:v>Wie beschreibt Paulus vor Felix seinen Glauben und sein Gewissen?</x:v>
      </x:c>
      <x:c r="R563" s="36" t="str">
        <x:v>Er habe das Gesetz vollständig verworfen.</x:v>
      </x:c>
      <x:c r="S563" s="36" t="str">
        <x:v>Er glaube nicht an die Propheten.</x:v>
      </x:c>
      <x:c r="T563" s="36" t="str">
        <x:v>Er halte Gewissen für bedeutungslos.</x:v>
      </x:c>
      <x:c r="U563" s="36" t="str">
        <x:v>Er dient dem Gott seiner Väter nach dem „Weg“, glaubt Gesetz und Propheten und bemüht sich um ein unverletztes Gewissen.</x:v>
      </x:c>
      <x:c r="V563" s="36" t="n">
        <x:v>3</x:v>
      </x:c>
      <x:c r="W563" s="36" t="str">
        <x:f>CHOOSE(V563+1,R563,S563,T563,U563)</x:f>
        <x:v>Er dient dem Gott seiner Väter nach dem „Weg“, glaubt Gesetz und Propheten und bemüht sich um ein unverletztes Gewissen.</x:v>
      </x:c>
      <x:c r="X563" s="36" t="str">
        <x:v>Apostelgeschichte 24,10–16</x:v>
      </x:c>
      <x:c r="Y563" s="36" t="str">
        <x:v>Paulus weist die Vorwürfe zurück und stellt Kontinuität mit Israels Gott und den Schriften heraus.</x:v>
      </x:c>
      <x:c r="Z563" s="36" t="str">
        <x:v>JA</x:v>
      </x:c>
      <x:c r="AA563" s="36" t="str">
        <x:v>JA</x:v>
      </x:c>
      <x:c r="AB563" s="36" t="str">
        <x:v>JA</x:v>
      </x:c>
      <x:c r="AC563" s="36" t="str">
        <x:v>JA</x:v>
      </x:c>
      <x:c r="AD563" s="36" t="str">
        <x:v>JA</x:v>
      </x:c>
      <x:c r="AE563" s="36" t="str">
        <x:v>JA</x:v>
      </x:c>
      <x:c r="AF563" s="36" t="str">
        <x:v>JA</x:v>
      </x:c>
      <x:c r="AG563" s="36" t="str">
        <x:v>FREIGEGEBEN</x:v>
      </x:c>
      <x:c r="AH563" s="36" t="str">
        <x:v>GPT-5.6 Sol · Buchprüfung Apostelgeschichte · L1912/OTB</x:v>
      </x:c>
      <x:c r="AI563" s="36" t="str">
        <x:v>FREIGEGEBEN</x:v>
      </x:c>
      <x:c r="AJ563" s="36" t="str">
        <x:v>Apostelgeschichte 24: repetitive Wiedererkennungsfrage durch KERNAUSSAGE-Frage ersetzt.</x:v>
      </x:c>
      <x:c r="AK563" s="36" t="str">
        <x:v>FaithPath repo develop/v4 · data/stories.json · data/bibles/l1912/ACT.json · data/bibles/otb/ACT.json</x:v>
      </x:c>
      <x:c r="AL563" t="str">
        <x:f>IF(AND(AG563="FREIGEGEBEN",AI563="FREIGEGEBEN",Q563&lt;&gt;"",R563&lt;&gt;"",S563&lt;&gt;"",T563&lt;&gt;"",U563&lt;&gt;"",ISNUMBER(V563),X563&lt;&gt;"",Y563&lt;&gt;"",AA563="JA",AB563="JA",AC563="JA",AD563="JA",AE563="JA",AF563="JA"),"JA","NEIN")</x:f>
        <x:v>JA</x:v>
      </x:c>
    </x:row>
    <x:row r="564">
      <x:c r="A564" t="str">
        <x:v>FP-0823</x:v>
      </x:c>
      <x:c r="B564" t="str">
        <x:v>ACT</x:v>
      </x:c>
      <x:c r="C564" t="str">
        <x:v>Apostelgeschichte</x:v>
      </x:c>
      <x:c r="D564" t="n">
        <x:v>24</x:v>
      </x:c>
      <x:c r="E564" t="n">
        <x:v>3</x:v>
      </x:c>
      <x:c r="F564" t="str">
        <x:v>ACT-024</x:v>
      </x:c>
      <x:c r="G564" t="n">
        <x:v>113</x:v>
      </x:c>
      <x:c r="H564" t="str">
        <x:v>CQ-A06</x:v>
      </x:c>
      <x:c r="I564" s="36" t="str">
        <x:v>Welche dieser Aussagen stammt aus Apostelgeschichte 24?</x:v>
      </x:c>
      <x:c r="J564" s="36" t="str"/>
      <x:c r="K564" s="36" t="str"/>
      <x:c r="L564" s="36" t="str">
        <x:v>REPO_VERIFIZIERT_FRAGEFORM</x:v>
      </x:c>
      <x:c r="M564" s="36" t="str">
        <x:v>ERSETZEN</x:v>
      </x:c>
      <x:c r="N564" s="36" t="str">
        <x:v>REPETITIVE_FRAGEFORM</x:v>
      </x:c>
      <x:c r="O564" s="36" t="str">
        <x:v>REINE_WIEDERERKENNUNG</x:v>
      </x:c>
      <x:c r="P564" s="36" t="str">
        <x:v>ZUSAMMENHANG</x:v>
      </x:c>
      <x:c r="Q564" s="36" t="str">
        <x:v>Welche Aussage nennt Paulus als eigentlichen Streitpunkt seines Verfahrens?</x:v>
      </x:c>
      <x:c r="R564" s="36" t="str">
        <x:v>Die Auferstehung der Toten.</x:v>
      </x:c>
      <x:c r="S564" s="36" t="str">
        <x:v>Die römische Steuer.</x:v>
      </x:c>
      <x:c r="T564" s="36" t="str">
        <x:v>Die Tempelsteuer.</x:v>
      </x:c>
      <x:c r="U564" s="36" t="str">
        <x:v>Seine Herkunft aus Tarsus.</x:v>
      </x:c>
      <x:c r="V564" s="36" t="n">
        <x:v>0</x:v>
      </x:c>
      <x:c r="W564" s="36" t="str">
        <x:f>CHOOSE(V564+1,R564,S564,T564,U564)</x:f>
        <x:v>Die Auferstehung der Toten.</x:v>
      </x:c>
      <x:c r="X564" s="36" t="str">
        <x:v>Apostelgeschichte 24,17–21</x:v>
      </x:c>
      <x:c r="Y564" s="36" t="str">
        <x:v>Paulus reduziert den Kern des Konflikts auf seine Aussage über die Auferstehung.</x:v>
      </x:c>
      <x:c r="Z564" s="36" t="str">
        <x:v>JA</x:v>
      </x:c>
      <x:c r="AA564" s="36" t="str">
        <x:v>JA</x:v>
      </x:c>
      <x:c r="AB564" s="36" t="str">
        <x:v>JA</x:v>
      </x:c>
      <x:c r="AC564" s="36" t="str">
        <x:v>JA</x:v>
      </x:c>
      <x:c r="AD564" s="36" t="str">
        <x:v>JA</x:v>
      </x:c>
      <x:c r="AE564" s="36" t="str">
        <x:v>JA</x:v>
      </x:c>
      <x:c r="AF564" s="36" t="str">
        <x:v>JA</x:v>
      </x:c>
      <x:c r="AG564" s="36" t="str">
        <x:v>FREIGEGEBEN</x:v>
      </x:c>
      <x:c r="AH564" s="36" t="str">
        <x:v>GPT-5.6 Sol · Buchprüfung Apostelgeschichte · L1912/OTB</x:v>
      </x:c>
      <x:c r="AI564" s="36" t="str">
        <x:v>FREIGEGEBEN</x:v>
      </x:c>
      <x:c r="AJ564" s="36" t="str">
        <x:v>Apostelgeschichte 24: repetitive Wiedererkennungsfrage durch ZUSAMMENHANG-Frage ersetzt.</x:v>
      </x:c>
      <x:c r="AK564" s="36" t="str">
        <x:v>FaithPath repo develop/v4 · data/stories.json · data/bibles/l1912/ACT.json · data/bibles/otb/ACT.json</x:v>
      </x:c>
      <x:c r="AL564" t="str">
        <x:f>IF(AND(AG564="FREIGEGEBEN",AI564="FREIGEGEBEN",Q564&lt;&gt;"",R564&lt;&gt;"",S564&lt;&gt;"",T564&lt;&gt;"",U564&lt;&gt;"",ISNUMBER(V564),X564&lt;&gt;"",Y564&lt;&gt;"",AA564="JA",AB564="JA",AC564="JA",AD564="JA",AE564="JA",AF564="JA"),"JA","NEIN")</x:f>
        <x:v>JA</x:v>
      </x:c>
    </x:row>
    <x:row r="565">
      <x:c r="A565" t="str">
        <x:v>FP-0824</x:v>
      </x:c>
      <x:c r="B565" t="str">
        <x:v>ACT</x:v>
      </x:c>
      <x:c r="C565" t="str">
        <x:v>Apostelgeschichte</x:v>
      </x:c>
      <x:c r="D565" t="n">
        <x:v>24</x:v>
      </x:c>
      <x:c r="E565" t="n">
        <x:v>4</x:v>
      </x:c>
      <x:c r="F565" t="str">
        <x:v>ACT-024</x:v>
      </x:c>
      <x:c r="G565" t="n">
        <x:v>113</x:v>
      </x:c>
      <x:c r="H565" t="str">
        <x:v>CQ-A06</x:v>
      </x:c>
      <x:c r="I565" s="36" t="str">
        <x:v>Welche dieser Aussagen stammt aus Apostelgeschichte 24?</x:v>
      </x:c>
      <x:c r="J565" s="36" t="str"/>
      <x:c r="K565" s="36" t="str"/>
      <x:c r="L565" s="36" t="str">
        <x:v>REPO_VERIFIZIERT_FRAGEFORM</x:v>
      </x:c>
      <x:c r="M565" s="36" t="str">
        <x:v>ERSETZEN</x:v>
      </x:c>
      <x:c r="N565" s="36" t="str">
        <x:v>REPETITIVE_FRAGEFORM</x:v>
      </x:c>
      <x:c r="O565" s="36" t="str">
        <x:v>REINE_WIEDERERKENNUNG</x:v>
      </x:c>
      <x:c r="P565" s="36" t="str">
        <x:v>GESCHEHEN</x:v>
      </x:c>
      <x:c r="Q565" s="36" t="str">
        <x:v>Wie reagiert Felix, als Paulus über Gerechtigkeit, Selbstbeherrschung und kommendes Gericht spricht?</x:v>
      </x:c>
      <x:c r="R565" s="36" t="str">
        <x:v>Er lässt sich sofort taufen.</x:v>
      </x:c>
      <x:c r="S565" s="36" t="str">
        <x:v>Er bekommt Angst und beendet das Gespräch zunächst.</x:v>
      </x:c>
      <x:c r="T565" s="36" t="str">
        <x:v>Er spricht Paulus frei.</x:v>
      </x:c>
      <x:c r="U565" s="36" t="str">
        <x:v>Er schläft während der Rede ein.</x:v>
      </x:c>
      <x:c r="V565" s="36" t="n">
        <x:v>1</x:v>
      </x:c>
      <x:c r="W565" s="36" t="str">
        <x:f>CHOOSE(V565+1,R565,S565,T565,U565)</x:f>
        <x:v>Er bekommt Angst und beendet das Gespräch zunächst.</x:v>
      </x:c>
      <x:c r="X565" s="36" t="str">
        <x:v>Apostelgeschichte 24,24–25</x:v>
      </x:c>
      <x:c r="Y565" s="36" t="str">
        <x:v>Felix erschrickt angesichts der Themen und vertagt das Gespräch.</x:v>
      </x:c>
      <x:c r="Z565" s="36" t="str">
        <x:v>JA</x:v>
      </x:c>
      <x:c r="AA565" s="36" t="str">
        <x:v>JA</x:v>
      </x:c>
      <x:c r="AB565" s="36" t="str">
        <x:v>JA</x:v>
      </x:c>
      <x:c r="AC565" s="36" t="str">
        <x:v>JA</x:v>
      </x:c>
      <x:c r="AD565" s="36" t="str">
        <x:v>JA</x:v>
      </x:c>
      <x:c r="AE565" s="36" t="str">
        <x:v>JA</x:v>
      </x:c>
      <x:c r="AF565" s="36" t="str">
        <x:v>JA</x:v>
      </x:c>
      <x:c r="AG565" s="36" t="str">
        <x:v>FREIGEGEBEN</x:v>
      </x:c>
      <x:c r="AH565" s="36" t="str">
        <x:v>GPT-5.6 Sol · Buchprüfung Apostelgeschichte · L1912/OTB</x:v>
      </x:c>
      <x:c r="AI565" s="36" t="str">
        <x:v>FREIGEGEBEN</x:v>
      </x:c>
      <x:c r="AJ565" s="36" t="str">
        <x:v>Apostelgeschichte 24: repetitive Wiedererkennungsfrage durch GESCHEHEN-Frage ersetzt.</x:v>
      </x:c>
      <x:c r="AK565" s="36" t="str">
        <x:v>FaithPath repo develop/v4 · data/stories.json · data/bibles/l1912/ACT.json · data/bibles/otb/ACT.json</x:v>
      </x:c>
      <x:c r="AL565" t="str">
        <x:f>IF(AND(AG565="FREIGEGEBEN",AI565="FREIGEGEBEN",Q565&lt;&gt;"",R565&lt;&gt;"",S565&lt;&gt;"",T565&lt;&gt;"",U565&lt;&gt;"",ISNUMBER(V565),X565&lt;&gt;"",Y565&lt;&gt;"",AA565="JA",AB565="JA",AC565="JA",AD565="JA",AE565="JA",AF565="JA"),"JA","NEIN")</x:f>
        <x:v>JA</x:v>
      </x:c>
    </x:row>
    <x:row r="566">
      <x:c r="A566" t="str">
        <x:v>FP-0825</x:v>
      </x:c>
      <x:c r="B566" t="str">
        <x:v>ACT</x:v>
      </x:c>
      <x:c r="C566" t="str">
        <x:v>Apostelgeschichte</x:v>
      </x:c>
      <x:c r="D566" t="n">
        <x:v>24</x:v>
      </x:c>
      <x:c r="E566" t="n">
        <x:v>5</x:v>
      </x:c>
      <x:c r="F566" t="str">
        <x:v>ACT-024</x:v>
      </x:c>
      <x:c r="G566" t="n">
        <x:v>113</x:v>
      </x:c>
      <x:c r="H566" t="str">
        <x:v>CQ-A06</x:v>
      </x:c>
      <x:c r="I566" s="36" t="str">
        <x:v>Welche dieser Aussagen stammt aus Apostelgeschichte 24?</x:v>
      </x:c>
      <x:c r="J566" s="36" t="str"/>
      <x:c r="K566" s="36" t="str"/>
      <x:c r="L566" s="36" t="str">
        <x:v>REPO_VERIFIZIERT_FRAGEFORM</x:v>
      </x:c>
      <x:c r="M566" s="36" t="str">
        <x:v>ERSETZEN</x:v>
      </x:c>
      <x:c r="N566" s="36" t="str">
        <x:v>REPETITIVE_FRAGEFORM</x:v>
      </x:c>
      <x:c r="O566" s="36" t="str">
        <x:v>REINE_WIEDERERKENNUNG</x:v>
      </x:c>
      <x:c r="P566" s="36" t="str">
        <x:v>ZUSAMMENHANG</x:v>
      </x:c>
      <x:c r="Q566" s="36" t="str">
        <x:v>Warum lässt Felix Paulus trotz häufiger Gespräche zwei Jahre lang gefangen?</x:v>
      </x:c>
      <x:c r="R566" s="36" t="str">
        <x:v>Er hat Paulus vergessen.</x:v>
      </x:c>
      <x:c r="S566" s="36" t="str">
        <x:v>Paulus verweigert jedes Gespräch.</x:v>
      </x:c>
      <x:c r="T566" s="36" t="str">
        <x:v>Er hofft auf Bestechungsgeld und will zugleich den Juden einen Gefallen tun.</x:v>
      </x:c>
      <x:c r="U566" s="36" t="str">
        <x:v>Rom verbietet jede Entscheidung.</x:v>
      </x:c>
      <x:c r="V566" s="36" t="n">
        <x:v>2</x:v>
      </x:c>
      <x:c r="W566" s="36" t="str">
        <x:f>CHOOSE(V566+1,R566,S566,T566,U566)</x:f>
        <x:v>Er hofft auf Bestechungsgeld und will zugleich den Juden einen Gefallen tun.</x:v>
      </x:c>
      <x:c r="X566" s="36" t="str">
        <x:v>Apostelgeschichte 24,26–27</x:v>
      </x:c>
      <x:c r="Y566" s="36" t="str">
        <x:v>Lukas nennt sowohl Felix' Hoffnung auf Geld als auch sein politisches Interesse an Zustimmung.</x:v>
      </x:c>
      <x:c r="Z566" s="36" t="str">
        <x:v>JA</x:v>
      </x:c>
      <x:c r="AA566" s="36" t="str">
        <x:v>JA</x:v>
      </x:c>
      <x:c r="AB566" s="36" t="str">
        <x:v>JA</x:v>
      </x:c>
      <x:c r="AC566" s="36" t="str">
        <x:v>JA</x:v>
      </x:c>
      <x:c r="AD566" s="36" t="str">
        <x:v>JA</x:v>
      </x:c>
      <x:c r="AE566" s="36" t="str">
        <x:v>JA</x:v>
      </x:c>
      <x:c r="AF566" s="36" t="str">
        <x:v>JA</x:v>
      </x:c>
      <x:c r="AG566" s="36" t="str">
        <x:v>FREIGEGEBEN</x:v>
      </x:c>
      <x:c r="AH566" s="36" t="str">
        <x:v>GPT-5.6 Sol · Buchprüfung Apostelgeschichte · L1912/OTB</x:v>
      </x:c>
      <x:c r="AI566" s="36" t="str">
        <x:v>FREIGEGEBEN</x:v>
      </x:c>
      <x:c r="AJ566" s="36" t="str">
        <x:v>Apostelgeschichte 24: repetitive Wiedererkennungsfrage durch ZUSAMMENHANG-Frage ersetzt.</x:v>
      </x:c>
      <x:c r="AK566" s="36" t="str">
        <x:v>FaithPath repo develop/v4 · data/stories.json · data/bibles/l1912/ACT.json · data/bibles/otb/ACT.json</x:v>
      </x:c>
      <x:c r="AL566" t="str">
        <x:f>IF(AND(AG566="FREIGEGEBEN",AI566="FREIGEGEBEN",Q566&lt;&gt;"",R566&lt;&gt;"",S566&lt;&gt;"",T566&lt;&gt;"",U566&lt;&gt;"",ISNUMBER(V566),X566&lt;&gt;"",Y566&lt;&gt;"",AA566="JA",AB566="JA",AC566="JA",AD566="JA",AE566="JA",AF566="JA"),"JA","NEIN")</x:f>
        <x:v>JA</x:v>
      </x:c>
    </x:row>
    <x:row r="567">
      <x:c r="A567" t="str">
        <x:v>FP-0826</x:v>
      </x:c>
      <x:c r="B567" t="str">
        <x:v>ACT</x:v>
      </x:c>
      <x:c r="C567" t="str">
        <x:v>Apostelgeschichte</x:v>
      </x:c>
      <x:c r="D567" t="n">
        <x:v>25</x:v>
      </x:c>
      <x:c r="E567" t="n">
        <x:v>1</x:v>
      </x:c>
      <x:c r="F567" t="str">
        <x:v>ACT-025</x:v>
      </x:c>
      <x:c r="G567" t="n">
        <x:v>114</x:v>
      </x:c>
      <x:c r="H567" t="str">
        <x:v>CQ-A06</x:v>
      </x:c>
      <x:c r="I567" s="36" t="str">
        <x:v>Welche dieser Aussagen stammt aus Apostelgeschichte 25?</x:v>
      </x:c>
      <x:c r="J567" s="36" t="str"/>
      <x:c r="K567" s="36" t="str"/>
      <x:c r="L567" s="36" t="str">
        <x:v>REPO_VERIFIZIERT_FRAGEFORM</x:v>
      </x:c>
      <x:c r="M567" s="36" t="str">
        <x:v>ERSETZEN</x:v>
      </x:c>
      <x:c r="N567" s="36" t="str">
        <x:v>REPETITIVE_FRAGEFORM</x:v>
      </x:c>
      <x:c r="O567" s="36" t="str">
        <x:v>REINE_WIEDERERKENNUNG</x:v>
      </x:c>
      <x:c r="P567" s="36" t="str">
        <x:v>GESCHEHEN</x:v>
      </x:c>
      <x:c r="Q567" s="36" t="str">
        <x:v>Was versuchen die führenden Juden bei Festus in Jerusalem zu erreichen?</x:v>
      </x:c>
      <x:c r="R567" s="36" t="str">
        <x:v>Paulus soll sofort freigelassen werden.</x:v>
      </x:c>
      <x:c r="S567" s="36" t="str">
        <x:v>Paulus soll zum Hohenpriester ernannt werden.</x:v>
      </x:c>
      <x:c r="T567" s="36" t="str">
        <x:v>Paulus soll nach Damaskus gebracht werden.</x:v>
      </x:c>
      <x:c r="U567" s="36" t="str">
        <x:v>Paulus soll nach Jerusalem überstellt werden, während sie einen Anschlag auf dem Weg planen.</x:v>
      </x:c>
      <x:c r="V567" s="36" t="n">
        <x:v>3</x:v>
      </x:c>
      <x:c r="W567" s="36" t="str">
        <x:f>CHOOSE(V567+1,R567,S567,T567,U567)</x:f>
        <x:v>Paulus soll nach Jerusalem überstellt werden, während sie einen Anschlag auf dem Weg planen.</x:v>
      </x:c>
      <x:c r="X567" s="36" t="str">
        <x:v>Apostelgeschichte 25,1–5</x:v>
      </x:c>
      <x:c r="Y567" s="36" t="str">
        <x:v>Sie bitten um Überstellung nach Jerusalem, planen aber heimlich, Paulus unterwegs zu töten.</x:v>
      </x:c>
      <x:c r="Z567" s="36" t="str">
        <x:v>JA</x:v>
      </x:c>
      <x:c r="AA567" s="36" t="str">
        <x:v>JA</x:v>
      </x:c>
      <x:c r="AB567" s="36" t="str">
        <x:v>JA</x:v>
      </x:c>
      <x:c r="AC567" s="36" t="str">
        <x:v>JA</x:v>
      </x:c>
      <x:c r="AD567" s="36" t="str">
        <x:v>JA</x:v>
      </x:c>
      <x:c r="AE567" s="36" t="str">
        <x:v>JA</x:v>
      </x:c>
      <x:c r="AF567" s="36" t="str">
        <x:v>JA</x:v>
      </x:c>
      <x:c r="AG567" s="36" t="str">
        <x:v>FREIGEGEBEN</x:v>
      </x:c>
      <x:c r="AH567" s="36" t="str">
        <x:v>GPT-5.6 Sol · Buchprüfung Apostelgeschichte · L1912/OTB</x:v>
      </x:c>
      <x:c r="AI567" s="36" t="str">
        <x:v>FREIGEGEBEN</x:v>
      </x:c>
      <x:c r="AJ567" s="36" t="str">
        <x:v>Apostelgeschichte 25: repetitive Wiedererkennungsfrage durch GESCHEHEN-Frage ersetzt.</x:v>
      </x:c>
      <x:c r="AK567" s="36" t="str">
        <x:v>FaithPath repo develop/v4 · data/stories.json · data/bibles/l1912/ACT.json · data/bibles/otb/ACT.json</x:v>
      </x:c>
      <x:c r="AL567" t="str">
        <x:f>IF(AND(AG567="FREIGEGEBEN",AI567="FREIGEGEBEN",Q567&lt;&gt;"",R567&lt;&gt;"",S567&lt;&gt;"",T567&lt;&gt;"",U567&lt;&gt;"",ISNUMBER(V567),X567&lt;&gt;"",Y567&lt;&gt;"",AA567="JA",AB567="JA",AC567="JA",AD567="JA",AE567="JA",AF567="JA"),"JA","NEIN")</x:f>
        <x:v>JA</x:v>
      </x:c>
    </x:row>
    <x:row r="568">
      <x:c r="A568" t="str">
        <x:v>FP-0827</x:v>
      </x:c>
      <x:c r="B568" t="str">
        <x:v>ACT</x:v>
      </x:c>
      <x:c r="C568" t="str">
        <x:v>Apostelgeschichte</x:v>
      </x:c>
      <x:c r="D568" t="n">
        <x:v>25</x:v>
      </x:c>
      <x:c r="E568" t="n">
        <x:v>2</x:v>
      </x:c>
      <x:c r="F568" t="str">
        <x:v>ACT-025</x:v>
      </x:c>
      <x:c r="G568" t="n">
        <x:v>114</x:v>
      </x:c>
      <x:c r="H568" t="str">
        <x:v>CQ-A06</x:v>
      </x:c>
      <x:c r="I568" s="36" t="str">
        <x:v>Welche dieser Aussagen stammt aus Apostelgeschichte 25?</x:v>
      </x:c>
      <x:c r="J568" s="36" t="str"/>
      <x:c r="K568" s="36" t="str"/>
      <x:c r="L568" s="36" t="str">
        <x:v>REPO_VERIFIZIERT_FRAGEFORM</x:v>
      </x:c>
      <x:c r="M568" s="36" t="str">
        <x:v>ERSETZEN</x:v>
      </x:c>
      <x:c r="N568" s="36" t="str">
        <x:v>REPETITIVE_FRAGEFORM</x:v>
      </x:c>
      <x:c r="O568" s="36" t="str">
        <x:v>REINE_WIEDERERKENNUNG</x:v>
      </x:c>
      <x:c r="P568" s="36" t="str">
        <x:v>KERNAUSSAGE</x:v>
      </x:c>
      <x:c r="Q568" s="36" t="str">
        <x:v>Warum beruft sich Paulus auf den Kaiser?</x:v>
      </x:c>
      <x:c r="R568" s="36" t="str">
        <x:v>Weil er vor dem kaiserlichen Gericht steht und nicht ungerecht den Anklägern ausgeliefert werden will.</x:v>
      </x:c>
      <x:c r="S568" s="36" t="str">
        <x:v>Weil er römischer Kaiser werden möchte.</x:v>
      </x:c>
      <x:c r="T568" s="36" t="str">
        <x:v>Weil Festus ihn bereits freigesprochen hat.</x:v>
      </x:c>
      <x:c r="U568" s="36" t="str">
        <x:v>Weil Agrippa ihn dazu zwingt.</x:v>
      </x:c>
      <x:c r="V568" s="36" t="n">
        <x:v>0</x:v>
      </x:c>
      <x:c r="W568" s="36" t="str">
        <x:f>CHOOSE(V568+1,R568,S568,T568,U568)</x:f>
        <x:v>Weil er vor dem kaiserlichen Gericht steht und nicht ungerecht den Anklägern ausgeliefert werden will.</x:v>
      </x:c>
      <x:c r="X568" s="36" t="str">
        <x:v>Apostelgeschichte 25,6–12</x:v>
      </x:c>
      <x:c r="Y568" s="36" t="str">
        <x:v>Paulus weist die unbelegten Vorwürfe zurück und macht von seinem Recht Gebrauch, an den Kaiser zu appellieren.</x:v>
      </x:c>
      <x:c r="Z568" s="36" t="str">
        <x:v>JA</x:v>
      </x:c>
      <x:c r="AA568" s="36" t="str">
        <x:v>JA</x:v>
      </x:c>
      <x:c r="AB568" s="36" t="str">
        <x:v>JA</x:v>
      </x:c>
      <x:c r="AC568" s="36" t="str">
        <x:v>JA</x:v>
      </x:c>
      <x:c r="AD568" s="36" t="str">
        <x:v>JA</x:v>
      </x:c>
      <x:c r="AE568" s="36" t="str">
        <x:v>JA</x:v>
      </x:c>
      <x:c r="AF568" s="36" t="str">
        <x:v>JA</x:v>
      </x:c>
      <x:c r="AG568" s="36" t="str">
        <x:v>FREIGEGEBEN</x:v>
      </x:c>
      <x:c r="AH568" s="36" t="str">
        <x:v>GPT-5.6 Sol · Buchprüfung Apostelgeschichte · L1912/OTB</x:v>
      </x:c>
      <x:c r="AI568" s="36" t="str">
        <x:v>FREIGEGEBEN</x:v>
      </x:c>
      <x:c r="AJ568" s="36" t="str">
        <x:v>Apostelgeschichte 25: repetitive Wiedererkennungsfrage durch KERNAUSSAGE-Frage ersetzt.</x:v>
      </x:c>
      <x:c r="AK568" s="36" t="str">
        <x:v>FaithPath repo develop/v4 · data/stories.json · data/bibles/l1912/ACT.json · data/bibles/otb/ACT.json</x:v>
      </x:c>
      <x:c r="AL568" t="str">
        <x:f>IF(AND(AG568="FREIGEGEBEN",AI568="FREIGEGEBEN",Q568&lt;&gt;"",R568&lt;&gt;"",S568&lt;&gt;"",T568&lt;&gt;"",U568&lt;&gt;"",ISNUMBER(V568),X568&lt;&gt;"",Y568&lt;&gt;"",AA568="JA",AB568="JA",AC568="JA",AD568="JA",AE568="JA",AF568="JA"),"JA","NEIN")</x:f>
        <x:v>JA</x:v>
      </x:c>
    </x:row>
    <x:row r="569">
      <x:c r="A569" t="str">
        <x:v>FP-0828</x:v>
      </x:c>
      <x:c r="B569" t="str">
        <x:v>ACT</x:v>
      </x:c>
      <x:c r="C569" t="str">
        <x:v>Apostelgeschichte</x:v>
      </x:c>
      <x:c r="D569" t="n">
        <x:v>25</x:v>
      </x:c>
      <x:c r="E569" t="n">
        <x:v>3</x:v>
      </x:c>
      <x:c r="F569" t="str">
        <x:v>ACT-025</x:v>
      </x:c>
      <x:c r="G569" t="n">
        <x:v>114</x:v>
      </x:c>
      <x:c r="H569" t="str">
        <x:v>CQ-A06</x:v>
      </x:c>
      <x:c r="I569" s="36" t="str">
        <x:v>Welche dieser Aussagen stammt aus Apostelgeschichte 25?</x:v>
      </x:c>
      <x:c r="J569" s="36" t="str"/>
      <x:c r="K569" s="36" t="str"/>
      <x:c r="L569" s="36" t="str">
        <x:v>REPO_VERIFIZIERT_FRAGEFORM</x:v>
      </x:c>
      <x:c r="M569" s="36" t="str">
        <x:v>ERSETZEN</x:v>
      </x:c>
      <x:c r="N569" s="36" t="str">
        <x:v>REPETITIVE_FRAGEFORM</x:v>
      </x:c>
      <x:c r="O569" s="36" t="str">
        <x:v>REINE_WIEDERERKENNUNG</x:v>
      </x:c>
      <x:c r="P569" s="36" t="str">
        <x:v>ZUSAMMENHANG</x:v>
      </x:c>
      <x:c r="Q569" s="36" t="str">
        <x:v>Wie beschreibt Festus den Streit um Paulus gegenüber Agrippa?</x:v>
      </x:c>
      <x:c r="R569" s="36" t="str">
        <x:v>Als reinen Steuerfall.</x:v>
      </x:c>
      <x:c r="S569" s="36" t="str">
        <x:v>Als religiöse Streitfragen und besonders den Anspruch des Paulus, Jesus lebe, obwohl er gestorben sei.</x:v>
      </x:c>
      <x:c r="T569" s="36" t="str">
        <x:v>Als militärischen Aufstand.</x:v>
      </x:c>
      <x:c r="U569" s="36" t="str">
        <x:v>Als Streit um ein Grundstück.</x:v>
      </x:c>
      <x:c r="V569" s="36" t="n">
        <x:v>1</x:v>
      </x:c>
      <x:c r="W569" s="36" t="str">
        <x:f>CHOOSE(V569+1,R569,S569,T569,U569)</x:f>
        <x:v>Als religiöse Streitfragen und besonders den Anspruch des Paulus, Jesus lebe, obwohl er gestorben sei.</x:v>
      </x:c>
      <x:c r="X569" s="36" t="str">
        <x:v>Apostelgeschichte 25,13–22</x:v>
      </x:c>
      <x:c r="Y569" s="36" t="str">
        <x:v>Festus versteht die religiöse Dimension nur teilweise und hebt die Frage um den verstorbenen Jesus hervor, von dem Paulus sagt, er lebe.</x:v>
      </x:c>
      <x:c r="Z569" s="36" t="str">
        <x:v>JA</x:v>
      </x:c>
      <x:c r="AA569" s="36" t="str">
        <x:v>JA</x:v>
      </x:c>
      <x:c r="AB569" s="36" t="str">
        <x:v>JA</x:v>
      </x:c>
      <x:c r="AC569" s="36" t="str">
        <x:v>JA</x:v>
      </x:c>
      <x:c r="AD569" s="36" t="str">
        <x:v>JA</x:v>
      </x:c>
      <x:c r="AE569" s="36" t="str">
        <x:v>JA</x:v>
      </x:c>
      <x:c r="AF569" s="36" t="str">
        <x:v>JA</x:v>
      </x:c>
      <x:c r="AG569" s="36" t="str">
        <x:v>FREIGEGEBEN</x:v>
      </x:c>
      <x:c r="AH569" s="36" t="str">
        <x:v>GPT-5.6 Sol · Buchprüfung Apostelgeschichte · L1912/OTB</x:v>
      </x:c>
      <x:c r="AI569" s="36" t="str">
        <x:v>FREIGEGEBEN</x:v>
      </x:c>
      <x:c r="AJ569" s="36" t="str">
        <x:v>Apostelgeschichte 25: repetitive Wiedererkennungsfrage durch ZUSAMMENHANG-Frage ersetzt.</x:v>
      </x:c>
      <x:c r="AK569" s="36" t="str">
        <x:v>FaithPath repo develop/v4 · data/stories.json · data/bibles/l1912/ACT.json · data/bibles/otb/ACT.json</x:v>
      </x:c>
      <x:c r="AL569" t="str">
        <x:f>IF(AND(AG569="FREIGEGEBEN",AI569="FREIGEGEBEN",Q569&lt;&gt;"",R569&lt;&gt;"",S569&lt;&gt;"",T569&lt;&gt;"",U569&lt;&gt;"",ISNUMBER(V569),X569&lt;&gt;"",Y569&lt;&gt;"",AA569="JA",AB569="JA",AC569="JA",AD569="JA",AE569="JA",AF569="JA"),"JA","NEIN")</x:f>
        <x:v>JA</x:v>
      </x:c>
    </x:row>
    <x:row r="570">
      <x:c r="A570" t="str">
        <x:v>FP-0829</x:v>
      </x:c>
      <x:c r="B570" t="str">
        <x:v>ACT</x:v>
      </x:c>
      <x:c r="C570" t="str">
        <x:v>Apostelgeschichte</x:v>
      </x:c>
      <x:c r="D570" t="n">
        <x:v>25</x:v>
      </x:c>
      <x:c r="E570" t="n">
        <x:v>4</x:v>
      </x:c>
      <x:c r="F570" t="str">
        <x:v>ACT-025</x:v>
      </x:c>
      <x:c r="G570" t="n">
        <x:v>114</x:v>
      </x:c>
      <x:c r="H570" t="str">
        <x:v>CQ-A06</x:v>
      </x:c>
      <x:c r="I570" s="36" t="str">
        <x:v>Welche dieser Aussagen stammt aus Apostelgeschichte 25?</x:v>
      </x:c>
      <x:c r="J570" s="36" t="str"/>
      <x:c r="K570" s="36" t="str"/>
      <x:c r="L570" s="36" t="str">
        <x:v>REPO_VERIFIZIERT_FRAGEFORM</x:v>
      </x:c>
      <x:c r="M570" s="36" t="str">
        <x:v>ERSETZEN</x:v>
      </x:c>
      <x:c r="N570" s="36" t="str">
        <x:v>REPETITIVE_FRAGEFORM</x:v>
      </x:c>
      <x:c r="O570" s="36" t="str">
        <x:v>REINE_WIEDERERKENNUNG</x:v>
      </x:c>
      <x:c r="P570" s="36" t="str">
        <x:v>GESCHEHEN</x:v>
      </x:c>
      <x:c r="Q570" s="36" t="str">
        <x:v>Warum lässt Festus Paulus vor Agrippa und den führenden Männern auftreten?</x:v>
      </x:c>
      <x:c r="R570" s="36" t="str">
        <x:v>Er will Paulus öffentlich bestrafen.</x:v>
      </x:c>
      <x:c r="S570" s="36" t="str">
        <x:v>Agrippa soll Paulus taufen.</x:v>
      </x:c>
      <x:c r="T570" s="36" t="str">
        <x:v>Er hofft, aus der Anhörung etwas Konkretes für den Bericht an den Kaiser zu gewinnen.</x:v>
      </x:c>
      <x:c r="U570" s="36" t="str">
        <x:v>Paulus soll die Stadt verlassen.</x:v>
      </x:c>
      <x:c r="V570" s="36" t="n">
        <x:v>2</x:v>
      </x:c>
      <x:c r="W570" s="36" t="str">
        <x:f>CHOOSE(V570+1,R570,S570,T570,U570)</x:f>
        <x:v>Er hofft, aus der Anhörung etwas Konkretes für den Bericht an den Kaiser zu gewinnen.</x:v>
      </x:c>
      <x:c r="X570" s="36" t="str">
        <x:v>Apostelgeschichte 25,23–27</x:v>
      </x:c>
      <x:c r="Y570" s="36" t="str">
        <x:v>Festus hält es für unvernünftig, einen Gefangenen zu senden, ohne konkrete Anklagepunkte nennen zu können.</x:v>
      </x:c>
      <x:c r="Z570" s="36" t="str">
        <x:v>JA</x:v>
      </x:c>
      <x:c r="AA570" s="36" t="str">
        <x:v>JA</x:v>
      </x:c>
      <x:c r="AB570" s="36" t="str">
        <x:v>JA</x:v>
      </x:c>
      <x:c r="AC570" s="36" t="str">
        <x:v>JA</x:v>
      </x:c>
      <x:c r="AD570" s="36" t="str">
        <x:v>JA</x:v>
      </x:c>
      <x:c r="AE570" s="36" t="str">
        <x:v>JA</x:v>
      </x:c>
      <x:c r="AF570" s="36" t="str">
        <x:v>JA</x:v>
      </x:c>
      <x:c r="AG570" s="36" t="str">
        <x:v>FREIGEGEBEN</x:v>
      </x:c>
      <x:c r="AH570" s="36" t="str">
        <x:v>GPT-5.6 Sol · Buchprüfung Apostelgeschichte · L1912/OTB</x:v>
      </x:c>
      <x:c r="AI570" s="36" t="str">
        <x:v>FREIGEGEBEN</x:v>
      </x:c>
      <x:c r="AJ570" s="36" t="str">
        <x:v>Apostelgeschichte 25: repetitive Wiedererkennungsfrage durch GESCHEHEN-Frage ersetzt.</x:v>
      </x:c>
      <x:c r="AK570" s="36" t="str">
        <x:v>FaithPath repo develop/v4 · data/stories.json · data/bibles/l1912/ACT.json · data/bibles/otb/ACT.json</x:v>
      </x:c>
      <x:c r="AL570" t="str">
        <x:f>IF(AND(AG570="FREIGEGEBEN",AI570="FREIGEGEBEN",Q570&lt;&gt;"",R570&lt;&gt;"",S570&lt;&gt;"",T570&lt;&gt;"",U570&lt;&gt;"",ISNUMBER(V570),X570&lt;&gt;"",Y570&lt;&gt;"",AA570="JA",AB570="JA",AC570="JA",AD570="JA",AE570="JA",AF570="JA"),"JA","NEIN")</x:f>
        <x:v>JA</x:v>
      </x:c>
    </x:row>
    <x:row r="571">
      <x:c r="A571" t="str">
        <x:v>FP-0830</x:v>
      </x:c>
      <x:c r="B571" t="str">
        <x:v>ACT</x:v>
      </x:c>
      <x:c r="C571" t="str">
        <x:v>Apostelgeschichte</x:v>
      </x:c>
      <x:c r="D571" t="n">
        <x:v>25</x:v>
      </x:c>
      <x:c r="E571" t="n">
        <x:v>5</x:v>
      </x:c>
      <x:c r="F571" t="str">
        <x:v>ACT-025</x:v>
      </x:c>
      <x:c r="G571" t="n">
        <x:v>114</x:v>
      </x:c>
      <x:c r="H571" t="str">
        <x:v>CQ-A06</x:v>
      </x:c>
      <x:c r="I571" s="36" t="str">
        <x:v>Welche dieser Aussagen stammt aus Apostelgeschichte 25?</x:v>
      </x:c>
      <x:c r="J571" s="36" t="str"/>
      <x:c r="K571" s="36" t="str"/>
      <x:c r="L571" s="36" t="str">
        <x:v>REPO_VERIFIZIERT_FRAGEFORM</x:v>
      </x:c>
      <x:c r="M571" s="36" t="str">
        <x:v>ERSETZEN</x:v>
      </x:c>
      <x:c r="N571" s="36" t="str">
        <x:v>REPETITIVE_FRAGEFORM</x:v>
      </x:c>
      <x:c r="O571" s="36" t="str">
        <x:v>REINE_WIEDERERKENNUNG</x:v>
      </x:c>
      <x:c r="P571" s="36" t="str">
        <x:v>KERNAUSSAGE</x:v>
      </x:c>
      <x:c r="Q571" s="36" t="str">
        <x:v>Welches praktische Problem nennt Festus bei der Weiterleitung des Falls nach Rom?</x:v>
      </x:c>
      <x:c r="R571" s="36" t="str">
        <x:v>Paulus besitzt keinen Namen.</x:v>
      </x:c>
      <x:c r="S571" s="36" t="str">
        <x:v>Es gibt keine Zeugen für seine römische Bürgerschaft.</x:v>
      </x:c>
      <x:c r="T571" s="36" t="str">
        <x:v>Agrippa weigert sich, zuzuhören.</x:v>
      </x:c>
      <x:c r="U571" s="36" t="str">
        <x:v>Er hat keine bestimmten Anklagepunkte, die er dem Kaiser über Paulus schreiben kann.</x:v>
      </x:c>
      <x:c r="V571" s="36" t="n">
        <x:v>3</x:v>
      </x:c>
      <x:c r="W571" s="36" t="str">
        <x:f>CHOOSE(V571+1,R571,S571,T571,U571)</x:f>
        <x:v>Er hat keine bestimmten Anklagepunkte, die er dem Kaiser über Paulus schreiben kann.</x:v>
      </x:c>
      <x:c r="X571" s="36" t="str">
        <x:v>Apostelgeschichte 25,26–27</x:v>
      </x:c>
      <x:c r="Y571" s="36" t="str">
        <x:v>Festus braucht eine nachvollziehbare Anklageschrift und erhofft sich von der Anhörung Klarheit.</x:v>
      </x:c>
      <x:c r="Z571" s="36" t="str">
        <x:v>JA</x:v>
      </x:c>
      <x:c r="AA571" s="36" t="str">
        <x:v>JA</x:v>
      </x:c>
      <x:c r="AB571" s="36" t="str">
        <x:v>JA</x:v>
      </x:c>
      <x:c r="AC571" s="36" t="str">
        <x:v>JA</x:v>
      </x:c>
      <x:c r="AD571" s="36" t="str">
        <x:v>JA</x:v>
      </x:c>
      <x:c r="AE571" s="36" t="str">
        <x:v>JA</x:v>
      </x:c>
      <x:c r="AF571" s="36" t="str">
        <x:v>JA</x:v>
      </x:c>
      <x:c r="AG571" s="36" t="str">
        <x:v>FREIGEGEBEN</x:v>
      </x:c>
      <x:c r="AH571" s="36" t="str">
        <x:v>GPT-5.6 Sol · Buchprüfung Apostelgeschichte · L1912/OTB</x:v>
      </x:c>
      <x:c r="AI571" s="36" t="str">
        <x:v>FREIGEGEBEN</x:v>
      </x:c>
      <x:c r="AJ571" s="36" t="str">
        <x:v>Apostelgeschichte 25: repetitive Wiedererkennungsfrage durch KERNAUSSAGE-Frage ersetzt.</x:v>
      </x:c>
      <x:c r="AK571" s="36" t="str">
        <x:v>FaithPath repo develop/v4 · data/stories.json · data/bibles/l1912/ACT.json · data/bibles/otb/ACT.json</x:v>
      </x:c>
      <x:c r="AL571" t="str">
        <x:f>IF(AND(AG571="FREIGEGEBEN",AI571="FREIGEGEBEN",Q571&lt;&gt;"",R571&lt;&gt;"",S571&lt;&gt;"",T571&lt;&gt;"",U571&lt;&gt;"",ISNUMBER(V571),X571&lt;&gt;"",Y571&lt;&gt;"",AA571="JA",AB571="JA",AC571="JA",AD571="JA",AE571="JA",AF571="JA"),"JA","NEIN")</x:f>
        <x:v>JA</x:v>
      </x:c>
    </x:row>
    <x:row r="572">
      <x:c r="A572" t="str">
        <x:v>FP-0831</x:v>
      </x:c>
      <x:c r="B572" t="str">
        <x:v>ACT</x:v>
      </x:c>
      <x:c r="C572" t="str">
        <x:v>Apostelgeschichte</x:v>
      </x:c>
      <x:c r="D572" t="n">
        <x:v>26</x:v>
      </x:c>
      <x:c r="E572" t="n">
        <x:v>1</x:v>
      </x:c>
      <x:c r="F572" t="str">
        <x:v>ACT-026</x:v>
      </x:c>
      <x:c r="G572" t="n">
        <x:v>115</x:v>
      </x:c>
      <x:c r="H572" t="str">
        <x:v>CQ-A06</x:v>
      </x:c>
      <x:c r="I572" s="36" t="str">
        <x:v>Welche dieser Aussagen stammt aus Apostelgeschichte 26?</x:v>
      </x:c>
      <x:c r="J572" s="36" t="str"/>
      <x:c r="K572" s="36" t="str"/>
      <x:c r="L572" s="36" t="str">
        <x:v>REPO_VERIFIZIERT_FRAGEFORM</x:v>
      </x:c>
      <x:c r="M572" s="36" t="str">
        <x:v>ERSETZEN</x:v>
      </x:c>
      <x:c r="N572" s="36" t="str">
        <x:v>REPETITIVE_FRAGEFORM</x:v>
      </x:c>
      <x:c r="O572" s="36" t="str">
        <x:v>REINE_WIEDERERKENNUNG</x:v>
      </x:c>
      <x:c r="P572" s="36" t="str">
        <x:v>KERNAUSSAGE</x:v>
      </x:c>
      <x:c r="Q572" s="36" t="str">
        <x:v>Welche Hoffnung stellt Paulus als Grund seines Prozesses vor Agrippa heraus?</x:v>
      </x:c>
      <x:c r="R572" s="36" t="str">
        <x:v>Die Hoffnung auf die Verheißung Gottes und die Auferstehung der Toten.</x:v>
      </x:c>
      <x:c r="S572" s="36" t="str">
        <x:v>Die Hoffnung auf römische Freiheit.</x:v>
      </x:c>
      <x:c r="T572" s="36" t="str">
        <x:v>Die Hoffnung auf den Wiederaufbau des Tempels.</x:v>
      </x:c>
      <x:c r="U572" s="36" t="str">
        <x:v>Die Hoffnung auf politischen Einfluss.</x:v>
      </x:c>
      <x:c r="V572" s="36" t="n">
        <x:v>0</x:v>
      </x:c>
      <x:c r="W572" s="36" t="str">
        <x:f>CHOOSE(V572+1,R572,S572,T572,U572)</x:f>
        <x:v>Die Hoffnung auf die Verheißung Gottes und die Auferstehung der Toten.</x:v>
      </x:c>
      <x:c r="X572" s="36" t="str">
        <x:v>Apostelgeschichte 26,4–8</x:v>
      </x:c>
      <x:c r="Y572" s="36" t="str">
        <x:v>Paulus verbindet seine Anklage mit Israels Hoffnung auf Gottes Verheißung und fragt, warum Auferstehung für unglaublich gehalten wird.</x:v>
      </x:c>
      <x:c r="Z572" s="36" t="str">
        <x:v>JA</x:v>
      </x:c>
      <x:c r="AA572" s="36" t="str">
        <x:v>JA</x:v>
      </x:c>
      <x:c r="AB572" s="36" t="str">
        <x:v>JA</x:v>
      </x:c>
      <x:c r="AC572" s="36" t="str">
        <x:v>JA</x:v>
      </x:c>
      <x:c r="AD572" s="36" t="str">
        <x:v>JA</x:v>
      </x:c>
      <x:c r="AE572" s="36" t="str">
        <x:v>JA</x:v>
      </x:c>
      <x:c r="AF572" s="36" t="str">
        <x:v>JA</x:v>
      </x:c>
      <x:c r="AG572" s="36" t="str">
        <x:v>FREIGEGEBEN</x:v>
      </x:c>
      <x:c r="AH572" s="36" t="str">
        <x:v>GPT-5.6 Sol · Buchprüfung Apostelgeschichte · L1912/OTB</x:v>
      </x:c>
      <x:c r="AI572" s="36" t="str">
        <x:v>FREIGEGEBEN</x:v>
      </x:c>
      <x:c r="AJ572" s="36" t="str">
        <x:v>Apostelgeschichte 26: repetitive Wiedererkennungsfrage durch KERNAUSSAGE-Frage ersetzt.</x:v>
      </x:c>
      <x:c r="AK572" s="36" t="str">
        <x:v>FaithPath repo develop/v4 · data/stories.json · data/bibles/l1912/ACT.json · data/bibles/otb/ACT.json</x:v>
      </x:c>
      <x:c r="AL572" t="str">
        <x:f>IF(AND(AG572="FREIGEGEBEN",AI572="FREIGEGEBEN",Q572&lt;&gt;"",R572&lt;&gt;"",S572&lt;&gt;"",T572&lt;&gt;"",U572&lt;&gt;"",ISNUMBER(V572),X572&lt;&gt;"",Y572&lt;&gt;"",AA572="JA",AB572="JA",AC572="JA",AD572="JA",AE572="JA",AF572="JA"),"JA","NEIN")</x:f>
        <x:v>JA</x:v>
      </x:c>
    </x:row>
    <x:row r="573">
      <x:c r="A573" t="str">
        <x:v>FP-0832</x:v>
      </x:c>
      <x:c r="B573" t="str">
        <x:v>ACT</x:v>
      </x:c>
      <x:c r="C573" t="str">
        <x:v>Apostelgeschichte</x:v>
      </x:c>
      <x:c r="D573" t="n">
        <x:v>26</x:v>
      </x:c>
      <x:c r="E573" t="n">
        <x:v>2</x:v>
      </x:c>
      <x:c r="F573" t="str">
        <x:v>ACT-026</x:v>
      </x:c>
      <x:c r="G573" t="n">
        <x:v>115</x:v>
      </x:c>
      <x:c r="H573" t="str">
        <x:v>CQ-A06</x:v>
      </x:c>
      <x:c r="I573" s="36" t="str">
        <x:v>Welche dieser Aussagen stammt aus Apostelgeschichte 26?</x:v>
      </x:c>
      <x:c r="J573" s="36" t="str"/>
      <x:c r="K573" s="36" t="str"/>
      <x:c r="L573" s="36" t="str">
        <x:v>REPO_VERIFIZIERT_FRAGEFORM</x:v>
      </x:c>
      <x:c r="M573" s="36" t="str">
        <x:v>ERSETZEN</x:v>
      </x:c>
      <x:c r="N573" s="36" t="str">
        <x:v>REPETITIVE_FRAGEFORM</x:v>
      </x:c>
      <x:c r="O573" s="36" t="str">
        <x:v>REINE_WIEDERERKENNUNG</x:v>
      </x:c>
      <x:c r="P573" s="36" t="str">
        <x:v>ZUSAMMENHANG</x:v>
      </x:c>
      <x:c r="Q573" s="36" t="str">
        <x:v>Wie beschreibt Paulus sein früheres Verhalten gegenüber Jesus von Nazareth?</x:v>
      </x:c>
      <x:c r="R573" s="36" t="str">
        <x:v>Er war von Anfang an Jesu Jünger.</x:v>
      </x:c>
      <x:c r="S573" s="36" t="str">
        <x:v>Er meinte, Jesu Namen bekämpfen zu müssen, und verfolgte die Heiligen mit großer Härte.</x:v>
      </x:c>
      <x:c r="T573" s="36" t="str">
        <x:v>Er kannte die Christen überhaupt nicht.</x:v>
      </x:c>
      <x:c r="U573" s="36" t="str">
        <x:v>Er verteidigte sie vor dem Hohen Rat.</x:v>
      </x:c>
      <x:c r="V573" s="36" t="n">
        <x:v>1</x:v>
      </x:c>
      <x:c r="W573" s="36" t="str">
        <x:f>CHOOSE(V573+1,R573,S573,T573,U573)</x:f>
        <x:v>Er meinte, Jesu Namen bekämpfen zu müssen, und verfolgte die Heiligen mit großer Härte.</x:v>
      </x:c>
      <x:c r="X573" s="36" t="str">
        <x:v>Apostelgeschichte 26,9–11</x:v>
      </x:c>
      <x:c r="Y573" s="36" t="str">
        <x:v>Paulus schildert seine frühere Überzeugung, gegen Jesus handeln zu müssen, bis hin zur Verfolgung der Gläubigen.</x:v>
      </x:c>
      <x:c r="Z573" s="36" t="str">
        <x:v>JA</x:v>
      </x:c>
      <x:c r="AA573" s="36" t="str">
        <x:v>JA</x:v>
      </x:c>
      <x:c r="AB573" s="36" t="str">
        <x:v>JA</x:v>
      </x:c>
      <x:c r="AC573" s="36" t="str">
        <x:v>JA</x:v>
      </x:c>
      <x:c r="AD573" s="36" t="str">
        <x:v>JA</x:v>
      </x:c>
      <x:c r="AE573" s="36" t="str">
        <x:v>JA</x:v>
      </x:c>
      <x:c r="AF573" s="36" t="str">
        <x:v>JA</x:v>
      </x:c>
      <x:c r="AG573" s="36" t="str">
        <x:v>FREIGEGEBEN</x:v>
      </x:c>
      <x:c r="AH573" s="36" t="str">
        <x:v>GPT-5.6 Sol · Buchprüfung Apostelgeschichte · L1912/OTB</x:v>
      </x:c>
      <x:c r="AI573" s="36" t="str">
        <x:v>FREIGEGEBEN</x:v>
      </x:c>
      <x:c r="AJ573" s="36" t="str">
        <x:v>Apostelgeschichte 26: repetitive Wiedererkennungsfrage durch ZUSAMMENHANG-Frage ersetzt.</x:v>
      </x:c>
      <x:c r="AK573" s="36" t="str">
        <x:v>FaithPath repo develop/v4 · data/stories.json · data/bibles/l1912/ACT.json · data/bibles/otb/ACT.json</x:v>
      </x:c>
      <x:c r="AL573" t="str">
        <x:f>IF(AND(AG573="FREIGEGEBEN",AI573="FREIGEGEBEN",Q573&lt;&gt;"",R573&lt;&gt;"",S573&lt;&gt;"",T573&lt;&gt;"",U573&lt;&gt;"",ISNUMBER(V573),X573&lt;&gt;"",Y573&lt;&gt;"",AA573="JA",AB573="JA",AC573="JA",AD573="JA",AE573="JA",AF573="JA"),"JA","NEIN")</x:f>
        <x:v>JA</x:v>
      </x:c>
    </x:row>
    <x:row r="574">
      <x:c r="A574" t="str">
        <x:v>FP-0833</x:v>
      </x:c>
      <x:c r="B574" t="str">
        <x:v>ACT</x:v>
      </x:c>
      <x:c r="C574" t="str">
        <x:v>Apostelgeschichte</x:v>
      </x:c>
      <x:c r="D574" t="n">
        <x:v>26</x:v>
      </x:c>
      <x:c r="E574" t="n">
        <x:v>3</x:v>
      </x:c>
      <x:c r="F574" t="str">
        <x:v>ACT-026</x:v>
      </x:c>
      <x:c r="G574" t="n">
        <x:v>115</x:v>
      </x:c>
      <x:c r="H574" t="str">
        <x:v>CQ-A06</x:v>
      </x:c>
      <x:c r="I574" s="36" t="str">
        <x:v>Welche dieser Aussagen stammt aus Apostelgeschichte 26?</x:v>
      </x:c>
      <x:c r="J574" s="36" t="str"/>
      <x:c r="K574" s="36" t="str"/>
      <x:c r="L574" s="36" t="str">
        <x:v>REPO_VERIFIZIERT_FRAGEFORM</x:v>
      </x:c>
      <x:c r="M574" s="36" t="str">
        <x:v>ERSETZEN</x:v>
      </x:c>
      <x:c r="N574" s="36" t="str">
        <x:v>REPETITIVE_FRAGEFORM</x:v>
      </x:c>
      <x:c r="O574" s="36" t="str">
        <x:v>REINE_WIEDERERKENNUNG</x:v>
      </x:c>
      <x:c r="P574" s="36" t="str">
        <x:v>KERNAUSSAGE</x:v>
      </x:c>
      <x:c r="Q574" s="36" t="str">
        <x:v>Wozu beruft Jesus Paulus in seiner Damaskus-Erfahrung?</x:v>
      </x:c>
      <x:c r="R574" s="36" t="str">
        <x:v>Zum König von Judäa.</x:v>
      </x:c>
      <x:c r="S574" s="36" t="str">
        <x:v>Zum Tempelpriester.</x:v>
      </x:c>
      <x:c r="T574" s="36" t="str">
        <x:v>Zum Diener und Zeugen, der Menschen die Augen öffnet und sie von Finsternis zu Licht führt.</x:v>
      </x:c>
      <x:c r="U574" s="36" t="str">
        <x:v>Zum römischen Richter.</x:v>
      </x:c>
      <x:c r="V574" s="36" t="n">
        <x:v>2</x:v>
      </x:c>
      <x:c r="W574" s="36" t="str">
        <x:f>CHOOSE(V574+1,R574,S574,T574,U574)</x:f>
        <x:v>Zum Diener und Zeugen, der Menschen die Augen öffnet und sie von Finsternis zu Licht führt.</x:v>
      </x:c>
      <x:c r="X574" s="36" t="str">
        <x:v>Apostelgeschichte 26,12–18</x:v>
      </x:c>
      <x:c r="Y574" s="36" t="str">
        <x:v>Paulus beschreibt einen klaren Sendungsauftrag besonders zu den Völkern, verbunden mit Umkehr und Vergebung.</x:v>
      </x:c>
      <x:c r="Z574" s="36" t="str">
        <x:v>JA</x:v>
      </x:c>
      <x:c r="AA574" s="36" t="str">
        <x:v>JA</x:v>
      </x:c>
      <x:c r="AB574" s="36" t="str">
        <x:v>JA</x:v>
      </x:c>
      <x:c r="AC574" s="36" t="str">
        <x:v>JA</x:v>
      </x:c>
      <x:c r="AD574" s="36" t="str">
        <x:v>JA</x:v>
      </x:c>
      <x:c r="AE574" s="36" t="str">
        <x:v>JA</x:v>
      </x:c>
      <x:c r="AF574" s="36" t="str">
        <x:v>JA</x:v>
      </x:c>
      <x:c r="AG574" s="36" t="str">
        <x:v>FREIGEGEBEN</x:v>
      </x:c>
      <x:c r="AH574" s="36" t="str">
        <x:v>GPT-5.6 Sol · Buchprüfung Apostelgeschichte · L1912/OTB</x:v>
      </x:c>
      <x:c r="AI574" s="36" t="str">
        <x:v>FREIGEGEBEN</x:v>
      </x:c>
      <x:c r="AJ574" s="36" t="str">
        <x:v>Apostelgeschichte 26: repetitive Wiedererkennungsfrage durch KERNAUSSAGE-Frage ersetzt.</x:v>
      </x:c>
      <x:c r="AK574" s="36" t="str">
        <x:v>FaithPath repo develop/v4 · data/stories.json · data/bibles/l1912/ACT.json · data/bibles/otb/ACT.json</x:v>
      </x:c>
      <x:c r="AL574" t="str">
        <x:f>IF(AND(AG574="FREIGEGEBEN",AI574="FREIGEGEBEN",Q574&lt;&gt;"",R574&lt;&gt;"",S574&lt;&gt;"",T574&lt;&gt;"",U574&lt;&gt;"",ISNUMBER(V574),X574&lt;&gt;"",Y574&lt;&gt;"",AA574="JA",AB574="JA",AC574="JA",AD574="JA",AE574="JA",AF574="JA"),"JA","NEIN")</x:f>
        <x:v>JA</x:v>
      </x:c>
    </x:row>
    <x:row r="575">
      <x:c r="A575" t="str">
        <x:v>FP-0834</x:v>
      </x:c>
      <x:c r="B575" t="str">
        <x:v>ACT</x:v>
      </x:c>
      <x:c r="C575" t="str">
        <x:v>Apostelgeschichte</x:v>
      </x:c>
      <x:c r="D575" t="n">
        <x:v>26</x:v>
      </x:c>
      <x:c r="E575" t="n">
        <x:v>4</x:v>
      </x:c>
      <x:c r="F575" t="str">
        <x:v>ACT-026</x:v>
      </x:c>
      <x:c r="G575" t="n">
        <x:v>115</x:v>
      </x:c>
      <x:c r="H575" t="str">
        <x:v>CQ-A06</x:v>
      </x:c>
      <x:c r="I575" s="36" t="str">
        <x:v>Welche dieser Aussagen stammt aus Apostelgeschichte 26?</x:v>
      </x:c>
      <x:c r="J575" s="36" t="str"/>
      <x:c r="K575" s="36" t="str"/>
      <x:c r="L575" s="36" t="str">
        <x:v>REPO_VERIFIZIERT_FRAGEFORM</x:v>
      </x:c>
      <x:c r="M575" s="36" t="str">
        <x:v>ERSETZEN</x:v>
      </x:c>
      <x:c r="N575" s="36" t="str">
        <x:v>REPETITIVE_FRAGEFORM</x:v>
      </x:c>
      <x:c r="O575" s="36" t="str">
        <x:v>REINE_WIEDERERKENNUNG</x:v>
      </x:c>
      <x:c r="P575" s="36" t="str">
        <x:v>KERNAUSSAGE</x:v>
      </x:c>
      <x:c r="Q575" s="36" t="str">
        <x:v>Wie fasst Paulus seine Reaktion auf die himmlische Vision zusammen?</x:v>
      </x:c>
      <x:c r="R575" s="36" t="str">
        <x:v>Er wartete zehn Jahre, bevor er handelte.</x:v>
      </x:c>
      <x:c r="S575" s="36" t="str">
        <x:v>Er lehnte den Auftrag zunächst vollständig ab.</x:v>
      </x:c>
      <x:c r="T575" s="36" t="str">
        <x:v>Er predigte danach nur noch in Jerusalem.</x:v>
      </x:c>
      <x:c r="U575" s="36" t="str">
        <x:v>Er war ihr nicht ungehorsam, sondern verkündete Umkehr, Hinwendung zu Gott und entsprechende Taten.</x:v>
      </x:c>
      <x:c r="V575" s="36" t="n">
        <x:v>3</x:v>
      </x:c>
      <x:c r="W575" s="36" t="str">
        <x:f>CHOOSE(V575+1,R575,S575,T575,U575)</x:f>
        <x:v>Er war ihr nicht ungehorsam, sondern verkündete Umkehr, Hinwendung zu Gott und entsprechende Taten.</x:v>
      </x:c>
      <x:c r="X575" s="36" t="str">
        <x:v>Apostelgeschichte 26,19–23</x:v>
      </x:c>
      <x:c r="Y575" s="36" t="str">
        <x:v>Paulus versteht seinen gesamten Dienst als Gehorsam gegenüber der Berufung und als Verkündigung dessen, was Mose und Propheten angekündigt haben.</x:v>
      </x:c>
      <x:c r="Z575" s="36" t="str">
        <x:v>JA</x:v>
      </x:c>
      <x:c r="AA575" s="36" t="str">
        <x:v>JA</x:v>
      </x:c>
      <x:c r="AB575" s="36" t="str">
        <x:v>JA</x:v>
      </x:c>
      <x:c r="AC575" s="36" t="str">
        <x:v>JA</x:v>
      </x:c>
      <x:c r="AD575" s="36" t="str">
        <x:v>JA</x:v>
      </x:c>
      <x:c r="AE575" s="36" t="str">
        <x:v>JA</x:v>
      </x:c>
      <x:c r="AF575" s="36" t="str">
        <x:v>JA</x:v>
      </x:c>
      <x:c r="AG575" s="36" t="str">
        <x:v>FREIGEGEBEN</x:v>
      </x:c>
      <x:c r="AH575" s="36" t="str">
        <x:v>GPT-5.6 Sol · Buchprüfung Apostelgeschichte · L1912/OTB</x:v>
      </x:c>
      <x:c r="AI575" s="36" t="str">
        <x:v>FREIGEGEBEN</x:v>
      </x:c>
      <x:c r="AJ575" s="36" t="str">
        <x:v>Apostelgeschichte 26: repetitive Wiedererkennungsfrage durch KERNAUSSAGE-Frage ersetzt.</x:v>
      </x:c>
      <x:c r="AK575" s="36" t="str">
        <x:v>FaithPath repo develop/v4 · data/stories.json · data/bibles/l1912/ACT.json · data/bibles/otb/ACT.json</x:v>
      </x:c>
      <x:c r="AL575" t="str">
        <x:f>IF(AND(AG575="FREIGEGEBEN",AI575="FREIGEGEBEN",Q575&lt;&gt;"",R575&lt;&gt;"",S575&lt;&gt;"",T575&lt;&gt;"",U575&lt;&gt;"",ISNUMBER(V575),X575&lt;&gt;"",Y575&lt;&gt;"",AA575="JA",AB575="JA",AC575="JA",AD575="JA",AE575="JA",AF575="JA"),"JA","NEIN")</x:f>
        <x:v>JA</x:v>
      </x:c>
    </x:row>
    <x:row r="576">
      <x:c r="A576" t="str">
        <x:v>FP-0835</x:v>
      </x:c>
      <x:c r="B576" t="str">
        <x:v>ACT</x:v>
      </x:c>
      <x:c r="C576" t="str">
        <x:v>Apostelgeschichte</x:v>
      </x:c>
      <x:c r="D576" t="n">
        <x:v>26</x:v>
      </x:c>
      <x:c r="E576" t="n">
        <x:v>5</x:v>
      </x:c>
      <x:c r="F576" t="str">
        <x:v>ACT-026</x:v>
      </x:c>
      <x:c r="G576" t="n">
        <x:v>115</x:v>
      </x:c>
      <x:c r="H576" t="str">
        <x:v>CQ-A06</x:v>
      </x:c>
      <x:c r="I576" s="36" t="str">
        <x:v>Welche dieser Aussagen stammt aus Apostelgeschichte 26?</x:v>
      </x:c>
      <x:c r="J576" s="36" t="str"/>
      <x:c r="K576" s="36" t="str"/>
      <x:c r="L576" s="36" t="str">
        <x:v>REPO_VERIFIZIERT_FRAGEFORM</x:v>
      </x:c>
      <x:c r="M576" s="36" t="str">
        <x:v>ERSETZEN</x:v>
      </x:c>
      <x:c r="N576" s="36" t="str">
        <x:v>REPETITIVE_FRAGEFORM</x:v>
      </x:c>
      <x:c r="O576" s="36" t="str">
        <x:v>REINE_WIEDERERKENNUNG</x:v>
      </x:c>
      <x:c r="P576" s="36" t="str">
        <x:v>GESCHEHEN</x:v>
      </x:c>
      <x:c r="Q576" s="36" t="str">
        <x:v>Wie reagieren Festus und Agrippa auf Paulus' Verteidigungsrede?</x:v>
      </x:c>
      <x:c r="R576" s="36" t="str">
        <x:v>Festus hält Paulus für verrückt; Paulus spricht Agrippa direkt auf seinen Glauben an die Propheten an.</x:v>
      </x:c>
      <x:c r="S576" s="36" t="str">
        <x:v>Beide lassen sich sofort taufen.</x:v>
      </x:c>
      <x:c r="T576" s="36" t="str">
        <x:v>Beide verurteilen ihn zum Tod.</x:v>
      </x:c>
      <x:c r="U576" s="36" t="str">
        <x:v>Agrippa verlässt den Saal, bevor Paulus spricht.</x:v>
      </x:c>
      <x:c r="V576" s="36" t="n">
        <x:v>0</x:v>
      </x:c>
      <x:c r="W576" s="36" t="str">
        <x:f>CHOOSE(V576+1,R576,S576,T576,U576)</x:f>
        <x:v>Festus hält Paulus für verrückt; Paulus spricht Agrippa direkt auf seinen Glauben an die Propheten an.</x:v>
      </x:c>
      <x:c r="X576" s="36" t="str">
        <x:v>Apostelgeschichte 26,24–29</x:v>
      </x:c>
      <x:c r="Y576" s="36" t="str">
        <x:v>Festus unterbricht Paulus laut, während Paulus sich anschließend unmittelbar an Agrippa wendet.</x:v>
      </x:c>
      <x:c r="Z576" s="36" t="str">
        <x:v>JA</x:v>
      </x:c>
      <x:c r="AA576" s="36" t="str">
        <x:v>JA</x:v>
      </x:c>
      <x:c r="AB576" s="36" t="str">
        <x:v>JA</x:v>
      </x:c>
      <x:c r="AC576" s="36" t="str">
        <x:v>JA</x:v>
      </x:c>
      <x:c r="AD576" s="36" t="str">
        <x:v>JA</x:v>
      </x:c>
      <x:c r="AE576" s="36" t="str">
        <x:v>JA</x:v>
      </x:c>
      <x:c r="AF576" s="36" t="str">
        <x:v>JA</x:v>
      </x:c>
      <x:c r="AG576" s="36" t="str">
        <x:v>FREIGEGEBEN</x:v>
      </x:c>
      <x:c r="AH576" s="36" t="str">
        <x:v>GPT-5.6 Sol · Buchprüfung Apostelgeschichte · L1912/OTB</x:v>
      </x:c>
      <x:c r="AI576" s="36" t="str">
        <x:v>FREIGEGEBEN</x:v>
      </x:c>
      <x:c r="AJ576" s="36" t="str">
        <x:v>Apostelgeschichte 26: repetitive Wiedererkennungsfrage durch GESCHEHEN-Frage ersetzt.</x:v>
      </x:c>
      <x:c r="AK576" s="36" t="str">
        <x:v>FaithPath repo develop/v4 · data/stories.json · data/bibles/l1912/ACT.json · data/bibles/otb/ACT.json</x:v>
      </x:c>
      <x:c r="AL576" t="str">
        <x:f>IF(AND(AG576="FREIGEGEBEN",AI576="FREIGEGEBEN",Q576&lt;&gt;"",R576&lt;&gt;"",S576&lt;&gt;"",T576&lt;&gt;"",U576&lt;&gt;"",ISNUMBER(V576),X576&lt;&gt;"",Y576&lt;&gt;"",AA576="JA",AB576="JA",AC576="JA",AD576="JA",AE576="JA",AF576="JA"),"JA","NEIN")</x:f>
        <x:v>JA</x:v>
      </x:c>
    </x:row>
    <x:row r="577">
      <x:c r="A577" t="str">
        <x:v>FP-0836</x:v>
      </x:c>
      <x:c r="B577" t="str">
        <x:v>ACT</x:v>
      </x:c>
      <x:c r="C577" t="str">
        <x:v>Apostelgeschichte</x:v>
      </x:c>
      <x:c r="D577" t="n">
        <x:v>27</x:v>
      </x:c>
      <x:c r="E577" t="n">
        <x:v>1</x:v>
      </x:c>
      <x:c r="F577" t="str">
        <x:v>ACT-027</x:v>
      </x:c>
      <x:c r="G577" t="n">
        <x:v>116</x:v>
      </x:c>
      <x:c r="H577" t="str">
        <x:v>CQ-A06</x:v>
      </x:c>
      <x:c r="I577" s="36" t="str">
        <x:v>Welche dieser Aussagen stammt aus Apostelgeschichte 27?</x:v>
      </x:c>
      <x:c r="J577" s="36" t="str"/>
      <x:c r="K577" s="36" t="str"/>
      <x:c r="L577" s="36" t="str">
        <x:v>REPO_VERIFIZIERT_FRAGEFORM</x:v>
      </x:c>
      <x:c r="M577" s="36" t="str">
        <x:v>ERSETZEN</x:v>
      </x:c>
      <x:c r="N577" s="36" t="str">
        <x:v>REPETITIVE_FRAGEFORM</x:v>
      </x:c>
      <x:c r="O577" s="36" t="str">
        <x:v>REINE_WIEDERERKENNUNG</x:v>
      </x:c>
      <x:c r="P577" s="36" t="str">
        <x:v>GESCHEHEN</x:v>
      </x:c>
      <x:c r="Q577" s="36" t="str">
        <x:v>Unter wessen Bewachung beginnt Paulus die Seereise nach Italien?</x:v>
      </x:c>
      <x:c r="R577" s="36" t="str">
        <x:v>Unter Festus persönlich.</x:v>
      </x:c>
      <x:c r="S577" s="36" t="str">
        <x:v>Unter einem Hauptmann namens Julius.</x:v>
      </x:c>
      <x:c r="T577" s="36" t="str">
        <x:v>Unter König Agrippa.</x:v>
      </x:c>
      <x:c r="U577" s="36" t="str">
        <x:v>Unter Petrus.</x:v>
      </x:c>
      <x:c r="V577" s="36" t="n">
        <x:v>1</x:v>
      </x:c>
      <x:c r="W577" s="36" t="str">
        <x:f>CHOOSE(V577+1,R577,S577,T577,U577)</x:f>
        <x:v>Unter einem Hauptmann namens Julius.</x:v>
      </x:c>
      <x:c r="X577" s="36" t="str">
        <x:v>Apostelgeschichte 27,1–8</x:v>
      </x:c>
      <x:c r="Y577" s="36" t="str">
        <x:v>Paulus und andere Gefangene werden einem Hauptmann namens Julius anvertraut und per Schiff Richtung Italien gebracht.</x:v>
      </x:c>
      <x:c r="Z577" s="36" t="str">
        <x:v>JA</x:v>
      </x:c>
      <x:c r="AA577" s="36" t="str">
        <x:v>JA</x:v>
      </x:c>
      <x:c r="AB577" s="36" t="str">
        <x:v>JA</x:v>
      </x:c>
      <x:c r="AC577" s="36" t="str">
        <x:v>JA</x:v>
      </x:c>
      <x:c r="AD577" s="36" t="str">
        <x:v>JA</x:v>
      </x:c>
      <x:c r="AE577" s="36" t="str">
        <x:v>JA</x:v>
      </x:c>
      <x:c r="AF577" s="36" t="str">
        <x:v>JA</x:v>
      </x:c>
      <x:c r="AG577" s="36" t="str">
        <x:v>FREIGEGEBEN</x:v>
      </x:c>
      <x:c r="AH577" s="36" t="str">
        <x:v>GPT-5.6 Sol · Buchprüfung Apostelgeschichte · L1912/OTB</x:v>
      </x:c>
      <x:c r="AI577" s="36" t="str">
        <x:v>FREIGEGEBEN</x:v>
      </x:c>
      <x:c r="AJ577" s="36" t="str">
        <x:v>Apostelgeschichte 27: repetitive Wiedererkennungsfrage durch GESCHEHEN-Frage ersetzt.</x:v>
      </x:c>
      <x:c r="AK577" s="36" t="str">
        <x:v>FaithPath repo develop/v4 · data/stories.json · data/bibles/l1912/ACT.json · data/bibles/otb/ACT.json</x:v>
      </x:c>
      <x:c r="AL577" t="str">
        <x:f>IF(AND(AG577="FREIGEGEBEN",AI577="FREIGEGEBEN",Q577&lt;&gt;"",R577&lt;&gt;"",S577&lt;&gt;"",T577&lt;&gt;"",U577&lt;&gt;"",ISNUMBER(V577),X577&lt;&gt;"",Y577&lt;&gt;"",AA577="JA",AB577="JA",AC577="JA",AD577="JA",AE577="JA",AF577="JA"),"JA","NEIN")</x:f>
        <x:v>JA</x:v>
      </x:c>
    </x:row>
    <x:row r="578">
      <x:c r="A578" t="str">
        <x:v>FP-0837</x:v>
      </x:c>
      <x:c r="B578" t="str">
        <x:v>ACT</x:v>
      </x:c>
      <x:c r="C578" t="str">
        <x:v>Apostelgeschichte</x:v>
      </x:c>
      <x:c r="D578" t="n">
        <x:v>27</x:v>
      </x:c>
      <x:c r="E578" t="n">
        <x:v>2</x:v>
      </x:c>
      <x:c r="F578" t="str">
        <x:v>ACT-027</x:v>
      </x:c>
      <x:c r="G578" t="n">
        <x:v>116</x:v>
      </x:c>
      <x:c r="H578" t="str">
        <x:v>CQ-A06</x:v>
      </x:c>
      <x:c r="I578" s="36" t="str">
        <x:v>Welche dieser Aussagen stammt aus Apostelgeschichte 27?</x:v>
      </x:c>
      <x:c r="J578" s="36" t="str"/>
      <x:c r="K578" s="36" t="str"/>
      <x:c r="L578" s="36" t="str">
        <x:v>REPO_VERIFIZIERT_FRAGEFORM</x:v>
      </x:c>
      <x:c r="M578" s="36" t="str">
        <x:v>ERSETZEN</x:v>
      </x:c>
      <x:c r="N578" s="36" t="str">
        <x:v>REPETITIVE_FRAGEFORM</x:v>
      </x:c>
      <x:c r="O578" s="36" t="str">
        <x:v>REINE_WIEDERERKENNUNG</x:v>
      </x:c>
      <x:c r="P578" s="36" t="str">
        <x:v>ZUSAMMENHANG</x:v>
      </x:c>
      <x:c r="Q578" s="36" t="str">
        <x:v>Was rät Paulus vor der gefährlichen Weiterfahrt von Kreta aus?</x:v>
      </x:c>
      <x:c r="R578" s="36" t="str">
        <x:v>Man solle sofort ohne Pause auslaufen.</x:v>
      </x:c>
      <x:c r="S578" s="36" t="str">
        <x:v>Man solle das Schiff verkaufen.</x:v>
      </x:c>
      <x:c r="T578" s="36" t="str">
        <x:v>Die Reise werde großen Schaden bringen und man solle nicht weiterfahren.</x:v>
      </x:c>
      <x:c r="U578" s="36" t="str">
        <x:v>Man solle alle Gefangenen freilassen.</x:v>
      </x:c>
      <x:c r="V578" s="36" t="n">
        <x:v>2</x:v>
      </x:c>
      <x:c r="W578" s="36" t="str">
        <x:f>CHOOSE(V578+1,R578,S578,T578,U578)</x:f>
        <x:v>Die Reise werde großen Schaden bringen und man solle nicht weiterfahren.</x:v>
      </x:c>
      <x:c r="X578" s="36" t="str">
        <x:v>Apostelgeschichte 27,9–12</x:v>
      </x:c>
      <x:c r="Y578" s="36" t="str">
        <x:v>Paulus warnt vor erheblichen Verlusten; der Hauptmann folgt jedoch eher dem Steuermann und der Mehrheit.</x:v>
      </x:c>
      <x:c r="Z578" s="36" t="str">
        <x:v>JA</x:v>
      </x:c>
      <x:c r="AA578" s="36" t="str">
        <x:v>JA</x:v>
      </x:c>
      <x:c r="AB578" s="36" t="str">
        <x:v>JA</x:v>
      </x:c>
      <x:c r="AC578" s="36" t="str">
        <x:v>JA</x:v>
      </x:c>
      <x:c r="AD578" s="36" t="str">
        <x:v>JA</x:v>
      </x:c>
      <x:c r="AE578" s="36" t="str">
        <x:v>JA</x:v>
      </x:c>
      <x:c r="AF578" s="36" t="str">
        <x:v>JA</x:v>
      </x:c>
      <x:c r="AG578" s="36" t="str">
        <x:v>FREIGEGEBEN</x:v>
      </x:c>
      <x:c r="AH578" s="36" t="str">
        <x:v>GPT-5.6 Sol · Buchprüfung Apostelgeschichte · L1912/OTB</x:v>
      </x:c>
      <x:c r="AI578" s="36" t="str">
        <x:v>FREIGEGEBEN</x:v>
      </x:c>
      <x:c r="AJ578" s="36" t="str">
        <x:v>Apostelgeschichte 27: repetitive Wiedererkennungsfrage durch ZUSAMMENHANG-Frage ersetzt.</x:v>
      </x:c>
      <x:c r="AK578" s="36" t="str">
        <x:v>FaithPath repo develop/v4 · data/stories.json · data/bibles/l1912/ACT.json · data/bibles/otb/ACT.json</x:v>
      </x:c>
      <x:c r="AL578" t="str">
        <x:f>IF(AND(AG578="FREIGEGEBEN",AI578="FREIGEGEBEN",Q578&lt;&gt;"",R578&lt;&gt;"",S578&lt;&gt;"",T578&lt;&gt;"",U578&lt;&gt;"",ISNUMBER(V578),X578&lt;&gt;"",Y578&lt;&gt;"",AA578="JA",AB578="JA",AC578="JA",AD578="JA",AE578="JA",AF578="JA"),"JA","NEIN")</x:f>
        <x:v>JA</x:v>
      </x:c>
    </x:row>
    <x:row r="579">
      <x:c r="A579" t="str">
        <x:v>FP-0838</x:v>
      </x:c>
      <x:c r="B579" t="str">
        <x:v>ACT</x:v>
      </x:c>
      <x:c r="C579" t="str">
        <x:v>Apostelgeschichte</x:v>
      </x:c>
      <x:c r="D579" t="n">
        <x:v>27</x:v>
      </x:c>
      <x:c r="E579" t="n">
        <x:v>3</x:v>
      </x:c>
      <x:c r="F579" t="str">
        <x:v>ACT-027</x:v>
      </x:c>
      <x:c r="G579" t="n">
        <x:v>116</x:v>
      </x:c>
      <x:c r="H579" t="str">
        <x:v>CQ-A06</x:v>
      </x:c>
      <x:c r="I579" s="36" t="str">
        <x:v>Welche dieser Aussagen stammt aus Apostelgeschichte 27?</x:v>
      </x:c>
      <x:c r="J579" s="36" t="str"/>
      <x:c r="K579" s="36" t="str"/>
      <x:c r="L579" s="36" t="str">
        <x:v>REPO_VERIFIZIERT_FRAGEFORM</x:v>
      </x:c>
      <x:c r="M579" s="36" t="str">
        <x:v>ERSETZEN</x:v>
      </x:c>
      <x:c r="N579" s="36" t="str">
        <x:v>REPETITIVE_FRAGEFORM</x:v>
      </x:c>
      <x:c r="O579" s="36" t="str">
        <x:v>REINE_WIEDERERKENNUNG</x:v>
      </x:c>
      <x:c r="P579" s="36" t="str">
        <x:v>KERNAUSSAGE</x:v>
      </x:c>
      <x:c r="Q579" s="36" t="str">
        <x:v>Welche Hoffnung vermittelt Paulus während des Sturms?</x:v>
      </x:c>
      <x:c r="R579" s="36" t="str">
        <x:v>Das Schiff werde unbeschädigt bleiben.</x:v>
      </x:c>
      <x:c r="S579" s="36" t="str">
        <x:v>Niemand werde seekrank.</x:v>
      </x:c>
      <x:c r="T579" s="36" t="str">
        <x:v>Sie würden noch am selben Tag in Rom ankommen.</x:v>
      </x:c>
      <x:c r="U579" s="36" t="str">
        <x:v>Ein Engel hat ihm zugesagt, dass er vor den Kaiser treten wird und Gott ihm das Leben aller Mitreisenden schenkt.</x:v>
      </x:c>
      <x:c r="V579" s="36" t="n">
        <x:v>3</x:v>
      </x:c>
      <x:c r="W579" s="36" t="str">
        <x:f>CHOOSE(V579+1,R579,S579,T579,U579)</x:f>
        <x:v>Ein Engel hat ihm zugesagt, dass er vor den Kaiser treten wird und Gott ihm das Leben aller Mitreisenden schenkt.</x:v>
      </x:c>
      <x:c r="X579" s="36" t="str">
        <x:v>Apostelgeschichte 27,18–26</x:v>
      </x:c>
      <x:c r="Y579" s="36" t="str">
        <x:v>Paulus ermutigt die Menschen aufgrund einer göttlichen Zusage: Menschenleben sollen gerettet werden, auch wenn das Schiff verloren geht.</x:v>
      </x:c>
      <x:c r="Z579" s="36" t="str">
        <x:v>JA</x:v>
      </x:c>
      <x:c r="AA579" s="36" t="str">
        <x:v>JA</x:v>
      </x:c>
      <x:c r="AB579" s="36" t="str">
        <x:v>JA</x:v>
      </x:c>
      <x:c r="AC579" s="36" t="str">
        <x:v>JA</x:v>
      </x:c>
      <x:c r="AD579" s="36" t="str">
        <x:v>JA</x:v>
      </x:c>
      <x:c r="AE579" s="36" t="str">
        <x:v>JA</x:v>
      </x:c>
      <x:c r="AF579" s="36" t="str">
        <x:v>JA</x:v>
      </x:c>
      <x:c r="AG579" s="36" t="str">
        <x:v>FREIGEGEBEN</x:v>
      </x:c>
      <x:c r="AH579" s="36" t="str">
        <x:v>GPT-5.6 Sol · Buchprüfung Apostelgeschichte · L1912/OTB</x:v>
      </x:c>
      <x:c r="AI579" s="36" t="str">
        <x:v>FREIGEGEBEN</x:v>
      </x:c>
      <x:c r="AJ579" s="36" t="str">
        <x:v>Apostelgeschichte 27: repetitive Wiedererkennungsfrage durch KERNAUSSAGE-Frage ersetzt.</x:v>
      </x:c>
      <x:c r="AK579" s="36" t="str">
        <x:v>FaithPath repo develop/v4 · data/stories.json · data/bibles/l1912/ACT.json · data/bibles/otb/ACT.json</x:v>
      </x:c>
      <x:c r="AL579" t="str">
        <x:f>IF(AND(AG579="FREIGEGEBEN",AI579="FREIGEGEBEN",Q579&lt;&gt;"",R579&lt;&gt;"",S579&lt;&gt;"",T579&lt;&gt;"",U579&lt;&gt;"",ISNUMBER(V579),X579&lt;&gt;"",Y579&lt;&gt;"",AA579="JA",AB579="JA",AC579="JA",AD579="JA",AE579="JA",AF579="JA"),"JA","NEIN")</x:f>
        <x:v>JA</x:v>
      </x:c>
    </x:row>
    <x:row r="580">
      <x:c r="A580" t="str">
        <x:v>FP-0839</x:v>
      </x:c>
      <x:c r="B580" t="str">
        <x:v>ACT</x:v>
      </x:c>
      <x:c r="C580" t="str">
        <x:v>Apostelgeschichte</x:v>
      </x:c>
      <x:c r="D580" t="n">
        <x:v>27</x:v>
      </x:c>
      <x:c r="E580" t="n">
        <x:v>4</x:v>
      </x:c>
      <x:c r="F580" t="str">
        <x:v>ACT-027</x:v>
      </x:c>
      <x:c r="G580" t="n">
        <x:v>116</x:v>
      </x:c>
      <x:c r="H580" t="str">
        <x:v>CQ-A06</x:v>
      </x:c>
      <x:c r="I580" s="36" t="str">
        <x:v>Welche dieser Aussagen stammt aus Apostelgeschichte 27?</x:v>
      </x:c>
      <x:c r="J580" s="36" t="str"/>
      <x:c r="K580" s="36" t="str"/>
      <x:c r="L580" s="36" t="str">
        <x:v>REPO_VERIFIZIERT_FRAGEFORM</x:v>
      </x:c>
      <x:c r="M580" s="36" t="str">
        <x:v>ERSETZEN</x:v>
      </x:c>
      <x:c r="N580" s="36" t="str">
        <x:v>REPETITIVE_FRAGEFORM</x:v>
      </x:c>
      <x:c r="O580" s="36" t="str">
        <x:v>REINE_WIEDERERKENNUNG</x:v>
      </x:c>
      <x:c r="P580" s="36" t="str">
        <x:v>GESCHEHEN</x:v>
      </x:c>
      <x:c r="Q580" s="36" t="str">
        <x:v>Warum fordert Paulus die Menschen kurz vor der Strandung zum Essen auf?</x:v>
      </x:c>
      <x:c r="R580" s="36" t="str">
        <x:v>Sie brauchen Kraft für die Rettung, nachdem sie lange kaum gegessen haben.</x:v>
      </x:c>
      <x:c r="S580" s="36" t="str">
        <x:v>Das Essen soll das Schiff leichter machen.</x:v>
      </x:c>
      <x:c r="T580" s="36" t="str">
        <x:v>Sie sollen ein Fest feiern, weil sie schon in Rom sind.</x:v>
      </x:c>
      <x:c r="U580" s="36" t="str">
        <x:v>Die Matrosen verlangen Bezahlung in Nahrung.</x:v>
      </x:c>
      <x:c r="V580" s="36" t="n">
        <x:v>0</x:v>
      </x:c>
      <x:c r="W580" s="36" t="str">
        <x:f>CHOOSE(V580+1,R580,S580,T580,U580)</x:f>
        <x:v>Sie brauchen Kraft für die Rettung, nachdem sie lange kaum gegessen haben.</x:v>
      </x:c>
      <x:c r="X580" s="36" t="str">
        <x:v>Apostelgeschichte 27,33–38</x:v>
      </x:c>
      <x:c r="Y580" s="36" t="str">
        <x:v>Paulus ermutigt sie, Nahrung zu sich zu nehmen, dankt Gott und stärkt dadurch die ganze Gruppe.</x:v>
      </x:c>
      <x:c r="Z580" s="36" t="str">
        <x:v>JA</x:v>
      </x:c>
      <x:c r="AA580" s="36" t="str">
        <x:v>JA</x:v>
      </x:c>
      <x:c r="AB580" s="36" t="str">
        <x:v>JA</x:v>
      </x:c>
      <x:c r="AC580" s="36" t="str">
        <x:v>JA</x:v>
      </x:c>
      <x:c r="AD580" s="36" t="str">
        <x:v>JA</x:v>
      </x:c>
      <x:c r="AE580" s="36" t="str">
        <x:v>JA</x:v>
      </x:c>
      <x:c r="AF580" s="36" t="str">
        <x:v>JA</x:v>
      </x:c>
      <x:c r="AG580" s="36" t="str">
        <x:v>FREIGEGEBEN</x:v>
      </x:c>
      <x:c r="AH580" s="36" t="str">
        <x:v>GPT-5.6 Sol · Buchprüfung Apostelgeschichte · L1912/OTB</x:v>
      </x:c>
      <x:c r="AI580" s="36" t="str">
        <x:v>FREIGEGEBEN</x:v>
      </x:c>
      <x:c r="AJ580" s="36" t="str">
        <x:v>Apostelgeschichte 27: repetitive Wiedererkennungsfrage durch GESCHEHEN-Frage ersetzt.</x:v>
      </x:c>
      <x:c r="AK580" s="36" t="str">
        <x:v>FaithPath repo develop/v4 · data/stories.json · data/bibles/l1912/ACT.json · data/bibles/otb/ACT.json</x:v>
      </x:c>
      <x:c r="AL580" t="str">
        <x:f>IF(AND(AG580="FREIGEGEBEN",AI580="FREIGEGEBEN",Q580&lt;&gt;"",R580&lt;&gt;"",S580&lt;&gt;"",T580&lt;&gt;"",U580&lt;&gt;"",ISNUMBER(V580),X580&lt;&gt;"",Y580&lt;&gt;"",AA580="JA",AB580="JA",AC580="JA",AD580="JA",AE580="JA",AF580="JA"),"JA","NEIN")</x:f>
        <x:v>JA</x:v>
      </x:c>
    </x:row>
    <x:row r="581">
      <x:c r="A581" t="str">
        <x:v>FP-0840</x:v>
      </x:c>
      <x:c r="B581" t="str">
        <x:v>ACT</x:v>
      </x:c>
      <x:c r="C581" t="str">
        <x:v>Apostelgeschichte</x:v>
      </x:c>
      <x:c r="D581" t="n">
        <x:v>27</x:v>
      </x:c>
      <x:c r="E581" t="n">
        <x:v>5</x:v>
      </x:c>
      <x:c r="F581" t="str">
        <x:v>ACT-027</x:v>
      </x:c>
      <x:c r="G581" t="n">
        <x:v>116</x:v>
      </x:c>
      <x:c r="H581" t="str">
        <x:v>CQ-A06</x:v>
      </x:c>
      <x:c r="I581" s="36" t="str">
        <x:v>Welche dieser Aussagen stammt aus Apostelgeschichte 27?</x:v>
      </x:c>
      <x:c r="J581" s="36" t="str"/>
      <x:c r="K581" s="36" t="str"/>
      <x:c r="L581" s="36" t="str">
        <x:v>REPO_VERIFIZIERT_FRAGEFORM</x:v>
      </x:c>
      <x:c r="M581" s="36" t="str">
        <x:v>ERSETZEN</x:v>
      </x:c>
      <x:c r="N581" s="36" t="str">
        <x:v>REPETITIVE_FRAGEFORM</x:v>
      </x:c>
      <x:c r="O581" s="36" t="str">
        <x:v>REINE_WIEDERERKENNUNG</x:v>
      </x:c>
      <x:c r="P581" s="36" t="str">
        <x:v>GESCHEHEN</x:v>
      </x:c>
      <x:c r="Q581" s="36" t="str">
        <x:v>Wie endet die Schiffskatastrophe?</x:v>
      </x:c>
      <x:c r="R581" s="36" t="str">
        <x:v>Nur Paulus überlebt.</x:v>
      </x:c>
      <x:c r="S581" s="36" t="str">
        <x:v>Das Schiff zerbricht, aber alle erreichen lebend das Land.</x:v>
      </x:c>
      <x:c r="T581" s="36" t="str">
        <x:v>Das Schiff erreicht Rom unbeschädigt.</x:v>
      </x:c>
      <x:c r="U581" s="36" t="str">
        <x:v>Die Soldaten töten alle Gefangenen.</x:v>
      </x:c>
      <x:c r="V581" s="36" t="n">
        <x:v>1</x:v>
      </x:c>
      <x:c r="W581" s="36" t="str">
        <x:f>CHOOSE(V581+1,R581,S581,T581,U581)</x:f>
        <x:v>Das Schiff zerbricht, aber alle erreichen lebend das Land.</x:v>
      </x:c>
      <x:c r="X581" s="36" t="str">
        <x:v>Apostelgeschichte 27,39–44</x:v>
      </x:c>
      <x:c r="Y581" s="36" t="str">
        <x:v>Trotz des zerstörten Schiffes kommen alle Menschen wie zugesagt sicher ans Land.</x:v>
      </x:c>
      <x:c r="Z581" s="36" t="str">
        <x:v>JA</x:v>
      </x:c>
      <x:c r="AA581" s="36" t="str">
        <x:v>JA</x:v>
      </x:c>
      <x:c r="AB581" s="36" t="str">
        <x:v>JA</x:v>
      </x:c>
      <x:c r="AC581" s="36" t="str">
        <x:v>JA</x:v>
      </x:c>
      <x:c r="AD581" s="36" t="str">
        <x:v>JA</x:v>
      </x:c>
      <x:c r="AE581" s="36" t="str">
        <x:v>JA</x:v>
      </x:c>
      <x:c r="AF581" s="36" t="str">
        <x:v>JA</x:v>
      </x:c>
      <x:c r="AG581" s="36" t="str">
        <x:v>FREIGEGEBEN</x:v>
      </x:c>
      <x:c r="AH581" s="36" t="str">
        <x:v>GPT-5.6 Sol · Buchprüfung Apostelgeschichte · L1912/OTB</x:v>
      </x:c>
      <x:c r="AI581" s="36" t="str">
        <x:v>FREIGEGEBEN</x:v>
      </x:c>
      <x:c r="AJ581" s="36" t="str">
        <x:v>Apostelgeschichte 27: repetitive Wiedererkennungsfrage durch GESCHEHEN-Frage ersetzt.</x:v>
      </x:c>
      <x:c r="AK581" s="36" t="str">
        <x:v>FaithPath repo develop/v4 · data/stories.json · data/bibles/l1912/ACT.json · data/bibles/otb/ACT.json</x:v>
      </x:c>
      <x:c r="AL581" t="str">
        <x:f>IF(AND(AG581="FREIGEGEBEN",AI581="FREIGEGEBEN",Q581&lt;&gt;"",R581&lt;&gt;"",S581&lt;&gt;"",T581&lt;&gt;"",U581&lt;&gt;"",ISNUMBER(V581),X581&lt;&gt;"",Y581&lt;&gt;"",AA581="JA",AB581="JA",AC581="JA",AD581="JA",AE581="JA",AF581="JA"),"JA","NEIN")</x:f>
        <x:v>JA</x:v>
      </x:c>
    </x:row>
    <x:row r="582">
      <x:c r="A582" t="str">
        <x:v>FP-0841</x:v>
      </x:c>
      <x:c r="B582" t="str">
        <x:v>ACT</x:v>
      </x:c>
      <x:c r="C582" t="str">
        <x:v>Apostelgeschichte</x:v>
      </x:c>
      <x:c r="D582" t="n">
        <x:v>28</x:v>
      </x:c>
      <x:c r="E582" t="n">
        <x:v>1</x:v>
      </x:c>
      <x:c r="F582" t="str">
        <x:v>ACT-028</x:v>
      </x:c>
      <x:c r="G582" t="n">
        <x:v>117</x:v>
      </x:c>
      <x:c r="H582" t="str">
        <x:v>CQ-A06</x:v>
      </x:c>
      <x:c r="I582" s="36" t="str">
        <x:v>Welche dieser Aussagen stammt aus Apostelgeschichte 28?</x:v>
      </x:c>
      <x:c r="J582" s="36" t="str"/>
      <x:c r="K582" s="36" t="str"/>
      <x:c r="L582" s="36" t="str">
        <x:v>REPO_VERIFIZIERT_FRAGEFORM</x:v>
      </x:c>
      <x:c r="M582" s="36" t="str">
        <x:v>ERSETZEN</x:v>
      </x:c>
      <x:c r="N582" s="36" t="str">
        <x:v>REPETITIVE_FRAGEFORM</x:v>
      </x:c>
      <x:c r="O582" s="36" t="str">
        <x:v>REINE_WIEDERERKENNUNG</x:v>
      </x:c>
      <x:c r="P582" s="36" t="str">
        <x:v>GESCHEHEN</x:v>
      </x:c>
      <x:c r="Q582" s="36" t="str">
        <x:v>Was geschieht mit Paulus auf Malta, als eine Schlange sich an seiner Hand festbeißt?</x:v>
      </x:c>
      <x:c r="R582" s="36" t="str">
        <x:v>Er stirbt sofort.</x:v>
      </x:c>
      <x:c r="S582" s="36" t="str">
        <x:v>Er verliert seine Hand.</x:v>
      </x:c>
      <x:c r="T582" s="36" t="str">
        <x:v>Er schüttelt sie ins Feuer und erleidet keinen Schaden.</x:v>
      </x:c>
      <x:c r="U582" s="36" t="str">
        <x:v>Er wird von den Inselbewohnern verstoßen.</x:v>
      </x:c>
      <x:c r="V582" s="36" t="n">
        <x:v>2</x:v>
      </x:c>
      <x:c r="W582" s="36" t="str">
        <x:f>CHOOSE(V582+1,R582,S582,T582,U582)</x:f>
        <x:v>Er schüttelt sie ins Feuer und erleidet keinen Schaden.</x:v>
      </x:c>
      <x:c r="X582" s="36" t="str">
        <x:v>Apostelgeschichte 28,1–6</x:v>
      </x:c>
      <x:c r="Y582" s="36" t="str">
        <x:v>Die Bewohner erwarten zunächst seinen Tod, sind dann aber erstaunt, als nichts geschieht.</x:v>
      </x:c>
      <x:c r="Z582" s="36" t="str">
        <x:v>JA</x:v>
      </x:c>
      <x:c r="AA582" s="36" t="str">
        <x:v>JA</x:v>
      </x:c>
      <x:c r="AB582" s="36" t="str">
        <x:v>JA</x:v>
      </x:c>
      <x:c r="AC582" s="36" t="str">
        <x:v>JA</x:v>
      </x:c>
      <x:c r="AD582" s="36" t="str">
        <x:v>JA</x:v>
      </x:c>
      <x:c r="AE582" s="36" t="str">
        <x:v>JA</x:v>
      </x:c>
      <x:c r="AF582" s="36" t="str">
        <x:v>JA</x:v>
      </x:c>
      <x:c r="AG582" s="36" t="str">
        <x:v>FREIGEGEBEN</x:v>
      </x:c>
      <x:c r="AH582" s="36" t="str">
        <x:v>GPT-5.6 Sol · Buchprüfung Apostelgeschichte · L1912/OTB</x:v>
      </x:c>
      <x:c r="AI582" s="36" t="str">
        <x:v>FREIGEGEBEN</x:v>
      </x:c>
      <x:c r="AJ582" s="36" t="str">
        <x:v>Apostelgeschichte 28: repetitive Wiedererkennungsfrage durch GESCHEHEN-Frage ersetzt.</x:v>
      </x:c>
      <x:c r="AK582" s="36" t="str">
        <x:v>FaithPath repo develop/v4 · data/stories.json · data/bibles/l1912/ACT.json · data/bibles/otb/ACT.json</x:v>
      </x:c>
      <x:c r="AL582" t="str">
        <x:f>IF(AND(AG582="FREIGEGEBEN",AI582="FREIGEGEBEN",Q582&lt;&gt;"",R582&lt;&gt;"",S582&lt;&gt;"",T582&lt;&gt;"",U582&lt;&gt;"",ISNUMBER(V582),X582&lt;&gt;"",Y582&lt;&gt;"",AA582="JA",AB582="JA",AC582="JA",AD582="JA",AE582="JA",AF582="JA"),"JA","NEIN")</x:f>
        <x:v>JA</x:v>
      </x:c>
    </x:row>
    <x:row r="583">
      <x:c r="A583" t="str">
        <x:v>FP-0842</x:v>
      </x:c>
      <x:c r="B583" t="str">
        <x:v>ACT</x:v>
      </x:c>
      <x:c r="C583" t="str">
        <x:v>Apostelgeschichte</x:v>
      </x:c>
      <x:c r="D583" t="n">
        <x:v>28</x:v>
      </x:c>
      <x:c r="E583" t="n">
        <x:v>2</x:v>
      </x:c>
      <x:c r="F583" t="str">
        <x:v>ACT-028</x:v>
      </x:c>
      <x:c r="G583" t="n">
        <x:v>117</x:v>
      </x:c>
      <x:c r="H583" t="str">
        <x:v>CQ-A06</x:v>
      </x:c>
      <x:c r="I583" s="36" t="str">
        <x:v>Welche dieser Aussagen stammt aus Apostelgeschichte 28?</x:v>
      </x:c>
      <x:c r="J583" s="36" t="str"/>
      <x:c r="K583" s="36" t="str"/>
      <x:c r="L583" s="36" t="str">
        <x:v>REPO_VERIFIZIERT_FRAGEFORM</x:v>
      </x:c>
      <x:c r="M583" s="36" t="str">
        <x:v>ERSETZEN</x:v>
      </x:c>
      <x:c r="N583" s="36" t="str">
        <x:v>REPETITIVE_FRAGEFORM</x:v>
      </x:c>
      <x:c r="O583" s="36" t="str">
        <x:v>REINE_WIEDERERKENNUNG</x:v>
      </x:c>
      <x:c r="P583" s="36" t="str">
        <x:v>GESCHEHEN</x:v>
      </x:c>
      <x:c r="Q583" s="36" t="str">
        <x:v>Was geschieht im Haus des Publius?</x:v>
      </x:c>
      <x:c r="R583" s="36" t="str">
        <x:v>Paulus wird dort gefangen gehalten.</x:v>
      </x:c>
      <x:c r="S583" s="36" t="str">
        <x:v>Publius weist die Reisenden ab.</x:v>
      </x:c>
      <x:c r="T583" s="36" t="str">
        <x:v>Nur der Vater des Publius hört eine Predigt, bleibt aber krank.</x:v>
      </x:c>
      <x:c r="U583" s="36" t="str">
        <x:v>Paulus betet für den kranken Vater des Publius, legt ihm die Hände auf und heilt ihn; danach kommen weitere Kranke.</x:v>
      </x:c>
      <x:c r="V583" s="36" t="n">
        <x:v>3</x:v>
      </x:c>
      <x:c r="W583" s="36" t="str">
        <x:f>CHOOSE(V583+1,R583,S583,T583,U583)</x:f>
        <x:v>Paulus betet für den kranken Vater des Publius, legt ihm die Hände auf und heilt ihn; danach kommen weitere Kranke.</x:v>
      </x:c>
      <x:c r="X583" s="36" t="str">
        <x:v>Apostelgeschichte 28,7–10</x:v>
      </x:c>
      <x:c r="Y583" s="36" t="str">
        <x:v>Die Heilung des Vaters führt dazu, dass weitere Kranke der Insel zu Paulus kommen und geheilt werden.</x:v>
      </x:c>
      <x:c r="Z583" s="36" t="str">
        <x:v>JA</x:v>
      </x:c>
      <x:c r="AA583" s="36" t="str">
        <x:v>JA</x:v>
      </x:c>
      <x:c r="AB583" s="36" t="str">
        <x:v>JA</x:v>
      </x:c>
      <x:c r="AC583" s="36" t="str">
        <x:v>JA</x:v>
      </x:c>
      <x:c r="AD583" s="36" t="str">
        <x:v>JA</x:v>
      </x:c>
      <x:c r="AE583" s="36" t="str">
        <x:v>JA</x:v>
      </x:c>
      <x:c r="AF583" s="36" t="str">
        <x:v>JA</x:v>
      </x:c>
      <x:c r="AG583" s="36" t="str">
        <x:v>FREIGEGEBEN</x:v>
      </x:c>
      <x:c r="AH583" s="36" t="str">
        <x:v>GPT-5.6 Sol · Buchprüfung Apostelgeschichte · L1912/OTB</x:v>
      </x:c>
      <x:c r="AI583" s="36" t="str">
        <x:v>FREIGEGEBEN</x:v>
      </x:c>
      <x:c r="AJ583" s="36" t="str">
        <x:v>Apostelgeschichte 28: repetitive Wiedererkennungsfrage durch GESCHEHEN-Frage ersetzt.</x:v>
      </x:c>
      <x:c r="AK583" s="36" t="str">
        <x:v>FaithPath repo develop/v4 · data/stories.json · data/bibles/l1912/ACT.json · data/bibles/otb/ACT.json</x:v>
      </x:c>
      <x:c r="AL583" t="str">
        <x:f>IF(AND(AG583="FREIGEGEBEN",AI583="FREIGEGEBEN",Q583&lt;&gt;"",R583&lt;&gt;"",S583&lt;&gt;"",T583&lt;&gt;"",U583&lt;&gt;"",ISNUMBER(V583),X583&lt;&gt;"",Y583&lt;&gt;"",AA583="JA",AB583="JA",AC583="JA",AD583="JA",AE583="JA",AF583="JA"),"JA","NEIN")</x:f>
        <x:v>JA</x:v>
      </x:c>
    </x:row>
    <x:row r="584">
      <x:c r="A584" t="str">
        <x:v>FP-0843</x:v>
      </x:c>
      <x:c r="B584" t="str">
        <x:v>ACT</x:v>
      </x:c>
      <x:c r="C584" t="str">
        <x:v>Apostelgeschichte</x:v>
      </x:c>
      <x:c r="D584" t="n">
        <x:v>28</x:v>
      </x:c>
      <x:c r="E584" t="n">
        <x:v>3</x:v>
      </x:c>
      <x:c r="F584" t="str">
        <x:v>ACT-028</x:v>
      </x:c>
      <x:c r="G584" t="n">
        <x:v>117</x:v>
      </x:c>
      <x:c r="H584" t="str">
        <x:v>CQ-A06</x:v>
      </x:c>
      <x:c r="I584" s="36" t="str">
        <x:v>Welche dieser Aussagen stammt aus Apostelgeschichte 28?</x:v>
      </x:c>
      <x:c r="J584" s="36" t="str"/>
      <x:c r="K584" s="36" t="str"/>
      <x:c r="L584" s="36" t="str">
        <x:v>REPO_VERIFIZIERT_FRAGEFORM</x:v>
      </x:c>
      <x:c r="M584" s="36" t="str">
        <x:v>ERSETZEN</x:v>
      </x:c>
      <x:c r="N584" s="36" t="str">
        <x:v>REPETITIVE_FRAGEFORM</x:v>
      </x:c>
      <x:c r="O584" s="36" t="str">
        <x:v>REINE_WIEDERERKENNUNG</x:v>
      </x:c>
      <x:c r="P584" s="36" t="str">
        <x:v>GESCHEHEN</x:v>
      </x:c>
      <x:c r="Q584" s="36" t="str">
        <x:v>Wie lebt Paulus nach seiner Ankunft in Rom?</x:v>
      </x:c>
      <x:c r="R584" s="36" t="str">
        <x:v>Er darf für sich wohnen, wird aber von einem Soldaten bewacht.</x:v>
      </x:c>
      <x:c r="S584" s="36" t="str">
        <x:v>Er wird sofort in ein unterirdisches Gefängnis gebracht.</x:v>
      </x:c>
      <x:c r="T584" s="36" t="str">
        <x:v>Er wird freigesprochen und reist zurück nach Jerusalem.</x:v>
      </x:c>
      <x:c r="U584" s="36" t="str">
        <x:v>Er wohnt im Palast des Kaisers.</x:v>
      </x:c>
      <x:c r="V584" s="36" t="n">
        <x:v>0</x:v>
      </x:c>
      <x:c r="W584" s="36" t="str">
        <x:f>CHOOSE(V584+1,R584,S584,T584,U584)</x:f>
        <x:v>Er darf für sich wohnen, wird aber von einem Soldaten bewacht.</x:v>
      </x:c>
      <x:c r="X584" s="36" t="str">
        <x:v>Apostelgeschichte 28,11–16</x:v>
      </x:c>
      <x:c r="Y584" s="36" t="str">
        <x:v>In Rom erhält Paulus vergleichsweise große Freiheit und lebt unter Bewachung.</x:v>
      </x:c>
      <x:c r="Z584" s="36" t="str">
        <x:v>JA</x:v>
      </x:c>
      <x:c r="AA584" s="36" t="str">
        <x:v>JA</x:v>
      </x:c>
      <x:c r="AB584" s="36" t="str">
        <x:v>JA</x:v>
      </x:c>
      <x:c r="AC584" s="36" t="str">
        <x:v>JA</x:v>
      </x:c>
      <x:c r="AD584" s="36" t="str">
        <x:v>JA</x:v>
      </x:c>
      <x:c r="AE584" s="36" t="str">
        <x:v>JA</x:v>
      </x:c>
      <x:c r="AF584" s="36" t="str">
        <x:v>JA</x:v>
      </x:c>
      <x:c r="AG584" s="36" t="str">
        <x:v>FREIGEGEBEN</x:v>
      </x:c>
      <x:c r="AH584" s="36" t="str">
        <x:v>GPT-5.6 Sol · Buchprüfung Apostelgeschichte · L1912/OTB</x:v>
      </x:c>
      <x:c r="AI584" s="36" t="str">
        <x:v>FREIGEGEBEN</x:v>
      </x:c>
      <x:c r="AJ584" s="36" t="str">
        <x:v>Apostelgeschichte 28: repetitive Wiedererkennungsfrage durch GESCHEHEN-Frage ersetzt.</x:v>
      </x:c>
      <x:c r="AK584" s="36" t="str">
        <x:v>FaithPath repo develop/v4 · data/stories.json · data/bibles/l1912/ACT.json · data/bibles/otb/ACT.json</x:v>
      </x:c>
      <x:c r="AL584" t="str">
        <x:f>IF(AND(AG584="FREIGEGEBEN",AI584="FREIGEGEBEN",Q584&lt;&gt;"",R584&lt;&gt;"",S584&lt;&gt;"",T584&lt;&gt;"",U584&lt;&gt;"",ISNUMBER(V584),X584&lt;&gt;"",Y584&lt;&gt;"",AA584="JA",AB584="JA",AC584="JA",AD584="JA",AE584="JA",AF584="JA"),"JA","NEIN")</x:f>
        <x:v>JA</x:v>
      </x:c>
    </x:row>
    <x:row r="585">
      <x:c r="A585" t="str">
        <x:v>FP-0844</x:v>
      </x:c>
      <x:c r="B585" t="str">
        <x:v>ACT</x:v>
      </x:c>
      <x:c r="C585" t="str">
        <x:v>Apostelgeschichte</x:v>
      </x:c>
      <x:c r="D585" t="n">
        <x:v>28</x:v>
      </x:c>
      <x:c r="E585" t="n">
        <x:v>4</x:v>
      </x:c>
      <x:c r="F585" t="str">
        <x:v>ACT-028</x:v>
      </x:c>
      <x:c r="G585" t="n">
        <x:v>117</x:v>
      </x:c>
      <x:c r="H585" t="str">
        <x:v>CQ-A06</x:v>
      </x:c>
      <x:c r="I585" s="36" t="str">
        <x:v>Welche dieser Aussagen stammt aus Apostelgeschichte 28?</x:v>
      </x:c>
      <x:c r="J585" s="36" t="str"/>
      <x:c r="K585" s="36" t="str"/>
      <x:c r="L585" s="36" t="str">
        <x:v>REPO_VERIFIZIERT_FRAGEFORM</x:v>
      </x:c>
      <x:c r="M585" s="36" t="str">
        <x:v>ERSETZEN</x:v>
      </x:c>
      <x:c r="N585" s="36" t="str">
        <x:v>REPETITIVE_FRAGEFORM</x:v>
      </x:c>
      <x:c r="O585" s="36" t="str">
        <x:v>REINE_WIEDERERKENNUNG</x:v>
      </x:c>
      <x:c r="P585" s="36" t="str">
        <x:v>ZUSAMMENHANG</x:v>
      </x:c>
      <x:c r="Q585" s="36" t="str">
        <x:v>Was tut Paulus in Rom gegenüber den führenden Juden, die zu ihm kommen?</x:v>
      </x:c>
      <x:c r="R585" s="36" t="str">
        <x:v>Er spricht nur über seine römische Staatsbürgerschaft.</x:v>
      </x:c>
      <x:c r="S585" s="36" t="str">
        <x:v>Er legt von Gottes Reich Zeugnis ab und versucht sie aus Gesetz und Propheten von Jesus zu überzeugen.</x:v>
      </x:c>
      <x:c r="T585" s="36" t="str">
        <x:v>Er weigert sich, mit ihnen über die Schrift zu sprechen.</x:v>
      </x:c>
      <x:c r="U585" s="36" t="str">
        <x:v>Er fordert sie auf, Rom zu verlassen.</x:v>
      </x:c>
      <x:c r="V585" s="36" t="n">
        <x:v>1</x:v>
      </x:c>
      <x:c r="W585" s="36" t="str">
        <x:f>CHOOSE(V585+1,R585,S585,T585,U585)</x:f>
        <x:v>Er legt von Gottes Reich Zeugnis ab und versucht sie aus Gesetz und Propheten von Jesus zu überzeugen.</x:v>
      </x:c>
      <x:c r="X585" s="36" t="str">
        <x:v>Apostelgeschichte 28,23–28</x:v>
      </x:c>
      <x:c r="Y585" s="36" t="str">
        <x:v>Paulus verkündet Gottes Reich und Jesus aus den Schriften; die Reaktionen bleiben geteilt.</x:v>
      </x:c>
      <x:c r="Z585" s="36" t="str">
        <x:v>JA</x:v>
      </x:c>
      <x:c r="AA585" s="36" t="str">
        <x:v>JA</x:v>
      </x:c>
      <x:c r="AB585" s="36" t="str">
        <x:v>JA</x:v>
      </x:c>
      <x:c r="AC585" s="36" t="str">
        <x:v>JA</x:v>
      </x:c>
      <x:c r="AD585" s="36" t="str">
        <x:v>JA</x:v>
      </x:c>
      <x:c r="AE585" s="36" t="str">
        <x:v>JA</x:v>
      </x:c>
      <x:c r="AF585" s="36" t="str">
        <x:v>JA</x:v>
      </x:c>
      <x:c r="AG585" s="36" t="str">
        <x:v>FREIGEGEBEN</x:v>
      </x:c>
      <x:c r="AH585" s="36" t="str">
        <x:v>GPT-5.6 Sol · Buchprüfung Apostelgeschichte · L1912/OTB</x:v>
      </x:c>
      <x:c r="AI585" s="36" t="str">
        <x:v>FREIGEGEBEN</x:v>
      </x:c>
      <x:c r="AJ585" s="36" t="str">
        <x:v>Apostelgeschichte 28: repetitive Wiedererkennungsfrage durch ZUSAMMENHANG-Frage ersetzt.</x:v>
      </x:c>
      <x:c r="AK585" s="36" t="str">
        <x:v>FaithPath repo develop/v4 · data/stories.json · data/bibles/l1912/ACT.json · data/bibles/otb/ACT.json</x:v>
      </x:c>
      <x:c r="AL585" t="str">
        <x:f>IF(AND(AG585="FREIGEGEBEN",AI585="FREIGEGEBEN",Q585&lt;&gt;"",R585&lt;&gt;"",S585&lt;&gt;"",T585&lt;&gt;"",U585&lt;&gt;"",ISNUMBER(V585),X585&lt;&gt;"",Y585&lt;&gt;"",AA585="JA",AB585="JA",AC585="JA",AD585="JA",AE585="JA",AF585="JA"),"JA","NEIN")</x:f>
        <x:v>JA</x:v>
      </x:c>
    </x:row>
    <x:row r="586">
      <x:c r="A586" t="str">
        <x:v>FP-0845</x:v>
      </x:c>
      <x:c r="B586" t="str">
        <x:v>ACT</x:v>
      </x:c>
      <x:c r="C586" t="str">
        <x:v>Apostelgeschichte</x:v>
      </x:c>
      <x:c r="D586" t="n">
        <x:v>28</x:v>
      </x:c>
      <x:c r="E586" t="n">
        <x:v>5</x:v>
      </x:c>
      <x:c r="F586" t="str">
        <x:v>ACT-028</x:v>
      </x:c>
      <x:c r="G586" t="n">
        <x:v>117</x:v>
      </x:c>
      <x:c r="H586" t="str">
        <x:v>CQ-A06</x:v>
      </x:c>
      <x:c r="I586" s="36" t="str">
        <x:v>Welche dieser Aussagen stammt aus Apostelgeschichte 28?</x:v>
      </x:c>
      <x:c r="J586" s="36" t="str"/>
      <x:c r="K586" s="36" t="str"/>
      <x:c r="L586" s="36" t="str">
        <x:v>REPO_VERIFIZIERT_FRAGEFORM</x:v>
      </x:c>
      <x:c r="M586" s="36" t="str">
        <x:v>ERSETZEN</x:v>
      </x:c>
      <x:c r="N586" s="36" t="str">
        <x:v>REPETITIVE_FRAGEFORM</x:v>
      </x:c>
      <x:c r="O586" s="36" t="str">
        <x:v>REINE_WIEDERERKENNUNG</x:v>
      </x:c>
      <x:c r="P586" s="36" t="str">
        <x:v>KERNAUSSAGE</x:v>
      </x:c>
      <x:c r="Q586" s="36" t="str">
        <x:v>Wie endet die Apostelgeschichte mit Blick auf Paulus' Dienst?</x:v>
      </x:c>
      <x:c r="R586" s="36" t="str">
        <x:v>Er hört nach wenigen Tagen auf zu predigen.</x:v>
      </x:c>
      <x:c r="S586" s="36" t="str">
        <x:v>Er kehrt sofort nach Tarsus zurück.</x:v>
      </x:c>
      <x:c r="T586" s="36" t="str">
        <x:v>Er verkündet zwei Jahre lang Gottes Reich und lehrt über Jesus Christus mit aller Freimütigkeit und ungehindert.</x:v>
      </x:c>
      <x:c r="U586" s="36" t="str">
        <x:v>Er wird am Ende des Buches verurteilt.</x:v>
      </x:c>
      <x:c r="V586" s="36" t="n">
        <x:v>2</x:v>
      </x:c>
      <x:c r="W586" s="36" t="str">
        <x:f>CHOOSE(V586+1,R586,S586,T586,U586)</x:f>
        <x:v>Er verkündet zwei Jahre lang Gottes Reich und lehrt über Jesus Christus mit aller Freimütigkeit und ungehindert.</x:v>
      </x:c>
      <x:c r="X586" s="36" t="str">
        <x:v>Apostelgeschichte 28,30–31</x:v>
      </x:c>
      <x:c r="Y586" s="36" t="str">
        <x:v>Lukas schließt mit dem Bild einer freien, ungehinderten Verkündigung in Rom trotz Paulus' Gefangenschaft.</x:v>
      </x:c>
      <x:c r="Z586" s="36" t="str">
        <x:v>JA</x:v>
      </x:c>
      <x:c r="AA586" s="36" t="str">
        <x:v>JA</x:v>
      </x:c>
      <x:c r="AB586" s="36" t="str">
        <x:v>JA</x:v>
      </x:c>
      <x:c r="AC586" s="36" t="str">
        <x:v>JA</x:v>
      </x:c>
      <x:c r="AD586" s="36" t="str">
        <x:v>JA</x:v>
      </x:c>
      <x:c r="AE586" s="36" t="str">
        <x:v>JA</x:v>
      </x:c>
      <x:c r="AF586" s="36" t="str">
        <x:v>JA</x:v>
      </x:c>
      <x:c r="AG586" s="36" t="str">
        <x:v>FREIGEGEBEN</x:v>
      </x:c>
      <x:c r="AH586" s="36" t="str">
        <x:v>GPT-5.6 Sol · Buchprüfung Apostelgeschichte · L1912/OTB</x:v>
      </x:c>
      <x:c r="AI586" s="36" t="str">
        <x:v>FREIGEGEBEN</x:v>
      </x:c>
      <x:c r="AJ586" s="36" t="str">
        <x:v>Apostelgeschichte 28: repetitive Wiedererkennungsfrage durch KERNAUSSAGE-Frage ersetzt.</x:v>
      </x:c>
      <x:c r="AK586" s="36" t="str">
        <x:v>FaithPath repo develop/v4 · data/stories.json · data/bibles/l1912/ACT.json · data/bibles/otb/ACT.json</x:v>
      </x:c>
      <x:c r="AL586" t="str">
        <x:f>IF(AND(AG586="FREIGEGEBEN",AI586="FREIGEGEBEN",Q586&lt;&gt;"",R586&lt;&gt;"",S586&lt;&gt;"",T586&lt;&gt;"",U586&lt;&gt;"",ISNUMBER(V586),X586&lt;&gt;"",Y586&lt;&gt;"",AA586="JA",AB586="JA",AC586="JA",AD586="JA",AE586="JA",AF586="JA"),"JA","NEIN")</x:f>
        <x:v>JA</x:v>
      </x:c>
    </x:row>
    <x:row r="587">
      <x:c r="A587" t="str">
        <x:v>FP-0846</x:v>
      </x:c>
      <x:c r="B587" t="str">
        <x:v>ROM</x:v>
      </x:c>
      <x:c r="C587" t="str">
        <x:v>Römer</x:v>
      </x:c>
      <x:c r="D587" t="n">
        <x:v>1</x:v>
      </x:c>
      <x:c r="E587" t="n">
        <x:v>1</x:v>
      </x:c>
      <x:c r="F587" t="str">
        <x:v>ROM-001</x:v>
      </x:c>
      <x:c r="G587" t="n">
        <x:v>118</x:v>
      </x:c>
      <x:c r="H587" t="str">
        <x:v>CQ-A06</x:v>
      </x:c>
      <x:c r="I587" s="36" t="str">
        <x:v>Welche dieser Aussagen stammt aus Römer 1?</x:v>
      </x:c>
      <x:c r="J587" s="36" t="str"/>
      <x:c r="K587" s="36" t="str"/>
      <x:c r="L587" s="36" t="str">
        <x:v>REPO_VERIFIZIERT_FRAGEFORM</x:v>
      </x:c>
      <x:c r="M587" s="36" t="str">
        <x:v>ERSETZEN</x:v>
      </x:c>
      <x:c r="N587" s="36" t="str">
        <x:v>REPETITIVE_FRAGEFORM</x:v>
      </x:c>
      <x:c r="O587" s="36" t="str">
        <x:v>REINE_WIEDERERKENNUNG</x:v>
      </x:c>
      <x:c r="P587" s="36" t="str">
        <x:v>ZUSAMMENHANG</x:v>
      </x:c>
      <x:c r="Q587" s="36" t="str">
        <x:v>Wie beschreibt Paulus seinen Auftrag zu Beginn des Römerbriefs?</x:v>
      </x:c>
      <x:c r="R587" s="36" t="str">
        <x:v>Er soll ausschließlich in Jerusalem lehren.</x:v>
      </x:c>
      <x:c r="S587" s="36" t="str">
        <x:v>Er ist zum Priester im Tempel eingesetzt worden.</x:v>
      </x:c>
      <x:c r="T587" s="36" t="str">
        <x:v>Er ist zum Apostel berufen und für das Evangelium Gottes ausgesondert.</x:v>
      </x:c>
      <x:c r="U587" s="36" t="str">
        <x:v>Er soll die Gemeinden politisch vertreten.</x:v>
      </x:c>
      <x:c r="V587" s="36" t="n">
        <x:v>2</x:v>
      </x:c>
      <x:c r="W587" s="36" t="str">
        <x:f>CHOOSE(V587+1,R587,S587,T587,U587)</x:f>
        <x:v>Er ist zum Apostel berufen und für das Evangelium Gottes ausgesondert.</x:v>
      </x:c>
      <x:c r="X587" s="36" t="str">
        <x:v>Römer 1,1–7</x:v>
      </x:c>
      <x:c r="Y587" s="36" t="str">
        <x:v>Paulus stellt sich als Knecht Christi und berufenen Apostel vor, dessen Dienst dem Evangelium Gottes gilt.</x:v>
      </x:c>
      <x:c r="Z587" s="36" t="str">
        <x:v>JA</x:v>
      </x:c>
      <x:c r="AA587" s="36" t="str">
        <x:v>JA</x:v>
      </x:c>
      <x:c r="AB587" s="36" t="str">
        <x:v>JA</x:v>
      </x:c>
      <x:c r="AC587" s="36" t="str">
        <x:v>JA</x:v>
      </x:c>
      <x:c r="AD587" s="36" t="str">
        <x:v>JA</x:v>
      </x:c>
      <x:c r="AE587" s="36" t="str">
        <x:v>JA</x:v>
      </x:c>
      <x:c r="AF587" s="36" t="str">
        <x:v>JA</x:v>
      </x:c>
      <x:c r="AG587" s="36" t="str">
        <x:v>FREIGEGEBEN</x:v>
      </x:c>
      <x:c r="AH587" s="36" t="str">
        <x:v>GPT-5.6 Sol · Buchprüfung Römer · L1912/OTB</x:v>
      </x:c>
      <x:c r="AI587" s="36" t="str">
        <x:v>FREIGEGEBEN</x:v>
      </x:c>
      <x:c r="AJ587" s="36" t="str">
        <x:v>Römer 1: repetitive Wiedererkennungsfrage durch ZUSAMMENHANG-Frage ersetzt.</x:v>
      </x:c>
      <x:c r="AK587" s="36" t="str">
        <x:v>FaithPath repo develop/v4 · data/stories.json · data/bibles/l1912/ROM.json · data/bibles/otb/ROM.json</x:v>
      </x:c>
      <x:c r="AL587" t="str">
        <x:f>IF(AND(AG587="FREIGEGEBEN",AI587="FREIGEGEBEN",Q587&lt;&gt;"",R587&lt;&gt;"",S587&lt;&gt;"",T587&lt;&gt;"",U587&lt;&gt;"",ISNUMBER(V587),X587&lt;&gt;"",Y587&lt;&gt;"",AA587="JA",AB587="JA",AC587="JA",AD587="JA",AE587="JA",AF587="JA"),"JA","NEIN")</x:f>
        <x:v>JA</x:v>
      </x:c>
    </x:row>
    <x:row r="588">
      <x:c r="A588" t="str">
        <x:v>FP-0847</x:v>
      </x:c>
      <x:c r="B588" t="str">
        <x:v>ROM</x:v>
      </x:c>
      <x:c r="C588" t="str">
        <x:v>Römer</x:v>
      </x:c>
      <x:c r="D588" t="n">
        <x:v>1</x:v>
      </x:c>
      <x:c r="E588" t="n">
        <x:v>2</x:v>
      </x:c>
      <x:c r="F588" t="str">
        <x:v>ROM-001</x:v>
      </x:c>
      <x:c r="G588" t="n">
        <x:v>118</x:v>
      </x:c>
      <x:c r="H588" t="str">
        <x:v>CQ-A06</x:v>
      </x:c>
      <x:c r="I588" s="36" t="str">
        <x:v>Welche dieser Aussagen stammt aus Römer 1?</x:v>
      </x:c>
      <x:c r="J588" s="36" t="str"/>
      <x:c r="K588" s="36" t="str"/>
      <x:c r="L588" s="36" t="str">
        <x:v>REPO_VERIFIZIERT_FRAGEFORM</x:v>
      </x:c>
      <x:c r="M588" s="36" t="str">
        <x:v>ERSETZEN</x:v>
      </x:c>
      <x:c r="N588" s="36" t="str">
        <x:v>REPETITIVE_FRAGEFORM</x:v>
      </x:c>
      <x:c r="O588" s="36" t="str">
        <x:v>REINE_WIEDERERKENNUNG</x:v>
      </x:c>
      <x:c r="P588" s="36" t="str">
        <x:v>KERNAUSSAGE</x:v>
      </x:c>
      <x:c r="Q588" s="36" t="str">
        <x:v>Warum schämt sich Paulus des Evangeliums nicht?</x:v>
      </x:c>
      <x:c r="R588" s="36" t="str">
        <x:v>Weil es politische Macht verspricht.</x:v>
      </x:c>
      <x:c r="S588" s="36" t="str">
        <x:v>Weil es nur gebildeten Menschen zugänglich ist.</x:v>
      </x:c>
      <x:c r="T588" s="36" t="str">
        <x:v>Weil es keine Ablehnung hervorruft.</x:v>
      </x:c>
      <x:c r="U588" s="36" t="str">
        <x:v>Weil es Gottes Kraft zur Rettung für jeden Glaubenden ist.</x:v>
      </x:c>
      <x:c r="V588" s="36" t="n">
        <x:v>3</x:v>
      </x:c>
      <x:c r="W588" s="36" t="str">
        <x:f>CHOOSE(V588+1,R588,S588,T588,U588)</x:f>
        <x:v>Weil es Gottes Kraft zur Rettung für jeden Glaubenden ist.</x:v>
      </x:c>
      <x:c r="X588" s="36" t="str">
        <x:v>Römer 1,16–17</x:v>
      </x:c>
      <x:c r="Y588" s="36" t="str">
        <x:v>Paulus bezeichnet das Evangelium als Gottes Kraft zur Rettung und verbindet es mit der Offenbarung von Gottes Gerechtigkeit aus Glauben.</x:v>
      </x:c>
      <x:c r="Z588" s="36" t="str">
        <x:v>JA</x:v>
      </x:c>
      <x:c r="AA588" s="36" t="str">
        <x:v>JA</x:v>
      </x:c>
      <x:c r="AB588" s="36" t="str">
        <x:v>JA</x:v>
      </x:c>
      <x:c r="AC588" s="36" t="str">
        <x:v>JA</x:v>
      </x:c>
      <x:c r="AD588" s="36" t="str">
        <x:v>JA</x:v>
      </x:c>
      <x:c r="AE588" s="36" t="str">
        <x:v>JA</x:v>
      </x:c>
      <x:c r="AF588" s="36" t="str">
        <x:v>JA</x:v>
      </x:c>
      <x:c r="AG588" s="36" t="str">
        <x:v>FREIGEGEBEN</x:v>
      </x:c>
      <x:c r="AH588" s="36" t="str">
        <x:v>GPT-5.6 Sol · Buchprüfung Römer · L1912/OTB</x:v>
      </x:c>
      <x:c r="AI588" s="36" t="str">
        <x:v>FREIGEGEBEN</x:v>
      </x:c>
      <x:c r="AJ588" s="36" t="str">
        <x:v>Römer 1: repetitive Wiedererkennungsfrage durch KERNAUSSAGE-Frage ersetzt.</x:v>
      </x:c>
      <x:c r="AK588" s="36" t="str">
        <x:v>FaithPath repo develop/v4 · data/stories.json · data/bibles/l1912/ROM.json · data/bibles/otb/ROM.json</x:v>
      </x:c>
      <x:c r="AL588" t="str">
        <x:f>IF(AND(AG588="FREIGEGEBEN",AI588="FREIGEGEBEN",Q588&lt;&gt;"",R588&lt;&gt;"",S588&lt;&gt;"",T588&lt;&gt;"",U588&lt;&gt;"",ISNUMBER(V588),X588&lt;&gt;"",Y588&lt;&gt;"",AA588="JA",AB588="JA",AC588="JA",AD588="JA",AE588="JA",AF588="JA"),"JA","NEIN")</x:f>
        <x:v>JA</x:v>
      </x:c>
    </x:row>
    <x:row r="589">
      <x:c r="A589" t="str">
        <x:v>FP-0848</x:v>
      </x:c>
      <x:c r="B589" t="str">
        <x:v>ROM</x:v>
      </x:c>
      <x:c r="C589" t="str">
        <x:v>Römer</x:v>
      </x:c>
      <x:c r="D589" t="n">
        <x:v>1</x:v>
      </x:c>
      <x:c r="E589" t="n">
        <x:v>3</x:v>
      </x:c>
      <x:c r="F589" t="str">
        <x:v>ROM-001</x:v>
      </x:c>
      <x:c r="G589" t="n">
        <x:v>118</x:v>
      </x:c>
      <x:c r="H589" t="str">
        <x:v>CQ-A06</x:v>
      </x:c>
      <x:c r="I589" s="36" t="str">
        <x:v>Welche dieser Aussagen stammt aus Römer 1?</x:v>
      </x:c>
      <x:c r="J589" s="36" t="str"/>
      <x:c r="K589" s="36" t="str"/>
      <x:c r="L589" s="36" t="str">
        <x:v>REPO_VERIFIZIERT_FRAGEFORM</x:v>
      </x:c>
      <x:c r="M589" s="36" t="str">
        <x:v>ERSETZEN</x:v>
      </x:c>
      <x:c r="N589" s="36" t="str">
        <x:v>REPETITIVE_FRAGEFORM</x:v>
      </x:c>
      <x:c r="O589" s="36" t="str">
        <x:v>REINE_WIEDERERKENNUNG</x:v>
      </x:c>
      <x:c r="P589" s="36" t="str">
        <x:v>KERNAUSSAGE</x:v>
      </x:c>
      <x:c r="Q589" s="36" t="str">
        <x:v>Was sagt Paulus über das, was Menschen von Gott erkennen können?</x:v>
      </x:c>
      <x:c r="R589" s="36" t="str">
        <x:v>Gottes unsichtbares Wesen wird an seinen Werken erkennbar, dennoch unterdrücken Menschen die Wahrheit.</x:v>
      </x:c>
      <x:c r="S589" s="36" t="str">
        <x:v>Gott hat sich überhaupt nicht erkennen lassen.</x:v>
      </x:c>
      <x:c r="T589" s="36" t="str">
        <x:v>Nur Priester können etwas über Gott wissen.</x:v>
      </x:c>
      <x:c r="U589" s="36" t="str">
        <x:v>Die Schöpfung sagt nach Paulus nichts über Gott aus.</x:v>
      </x:c>
      <x:c r="V589" s="36" t="n">
        <x:v>0</x:v>
      </x:c>
      <x:c r="W589" s="36" t="str">
        <x:f>CHOOSE(V589+1,R589,S589,T589,U589)</x:f>
        <x:v>Gottes unsichtbares Wesen wird an seinen Werken erkennbar, dennoch unterdrücken Menschen die Wahrheit.</x:v>
      </x:c>
      <x:c r="X589" s="36" t="str">
        <x:v>Römer 1,18–23</x:v>
      </x:c>
      <x:c r="Y589" s="36" t="str">
        <x:v>Paulus argumentiert, dass Gottes Macht und Gottheit in der Schöpfung erkennbar sind, Menschen die Wahrheit aber in Ungerechtigkeit unterdrücken.</x:v>
      </x:c>
      <x:c r="Z589" s="36" t="str">
        <x:v>JA</x:v>
      </x:c>
      <x:c r="AA589" s="36" t="str">
        <x:v>JA</x:v>
      </x:c>
      <x:c r="AB589" s="36" t="str">
        <x:v>JA</x:v>
      </x:c>
      <x:c r="AC589" s="36" t="str">
        <x:v>JA</x:v>
      </x:c>
      <x:c r="AD589" s="36" t="str">
        <x:v>JA</x:v>
      </x:c>
      <x:c r="AE589" s="36" t="str">
        <x:v>JA</x:v>
      </x:c>
      <x:c r="AF589" s="36" t="str">
        <x:v>JA</x:v>
      </x:c>
      <x:c r="AG589" s="36" t="str">
        <x:v>FREIGEGEBEN</x:v>
      </x:c>
      <x:c r="AH589" s="36" t="str">
        <x:v>GPT-5.6 Sol · Buchprüfung Römer · L1912/OTB</x:v>
      </x:c>
      <x:c r="AI589" s="36" t="str">
        <x:v>FREIGEGEBEN</x:v>
      </x:c>
      <x:c r="AJ589" s="36" t="str">
        <x:v>Römer 1: repetitive Wiedererkennungsfrage durch KERNAUSSAGE-Frage ersetzt.</x:v>
      </x:c>
      <x:c r="AK589" s="36" t="str">
        <x:v>FaithPath repo develop/v4 · data/stories.json · data/bibles/l1912/ROM.json · data/bibles/otb/ROM.json</x:v>
      </x:c>
      <x:c r="AL589" t="str">
        <x:f>IF(AND(AG589="FREIGEGEBEN",AI589="FREIGEGEBEN",Q589&lt;&gt;"",R589&lt;&gt;"",S589&lt;&gt;"",T589&lt;&gt;"",U589&lt;&gt;"",ISNUMBER(V589),X589&lt;&gt;"",Y589&lt;&gt;"",AA589="JA",AB589="JA",AC589="JA",AD589="JA",AE589="JA",AF589="JA"),"JA","NEIN")</x:f>
        <x:v>JA</x:v>
      </x:c>
    </x:row>
    <x:row r="590">
      <x:c r="A590" t="str">
        <x:v>FP-0849</x:v>
      </x:c>
      <x:c r="B590" t="str">
        <x:v>ROM</x:v>
      </x:c>
      <x:c r="C590" t="str">
        <x:v>Römer</x:v>
      </x:c>
      <x:c r="D590" t="n">
        <x:v>1</x:v>
      </x:c>
      <x:c r="E590" t="n">
        <x:v>4</x:v>
      </x:c>
      <x:c r="F590" t="str">
        <x:v>ROM-001</x:v>
      </x:c>
      <x:c r="G590" t="n">
        <x:v>118</x:v>
      </x:c>
      <x:c r="H590" t="str">
        <x:v>CQ-A06</x:v>
      </x:c>
      <x:c r="I590" s="36" t="str">
        <x:v>Welche dieser Aussagen stammt aus Römer 1?</x:v>
      </x:c>
      <x:c r="J590" s="36" t="str"/>
      <x:c r="K590" s="36" t="str"/>
      <x:c r="L590" s="36" t="str">
        <x:v>REPO_VERIFIZIERT_FRAGEFORM</x:v>
      </x:c>
      <x:c r="M590" s="36" t="str">
        <x:v>ERSETZEN</x:v>
      </x:c>
      <x:c r="N590" s="36" t="str">
        <x:v>REPETITIVE_FRAGEFORM</x:v>
      </x:c>
      <x:c r="O590" s="36" t="str">
        <x:v>REINE_WIEDERERKENNUNG</x:v>
      </x:c>
      <x:c r="P590" s="36" t="str">
        <x:v>ZUSAMMENHANG</x:v>
      </x:c>
      <x:c r="Q590" s="36" t="str">
        <x:v>Welche Vertauschung beschreibt Paulus als Ausdruck menschlicher Abkehr von Gott?</x:v>
      </x:c>
      <x:c r="R590" s="36" t="str">
        <x:v>Das Gesetz wird gegen die Propheten vertauscht.</x:v>
      </x:c>
      <x:c r="S590" s="36" t="str">
        <x:v>Die Wahrheit Gottes wird gegen die Lüge vertauscht, und das Geschaffene wird anstelle des Schöpfers verehrt.</x:v>
      </x:c>
      <x:c r="T590" s="36" t="str">
        <x:v>Jerusalem wird gegen Rom vertauscht.</x:v>
      </x:c>
      <x:c r="U590" s="36" t="str">
        <x:v>Gebet wird gegen Fasten vertauscht.</x:v>
      </x:c>
      <x:c r="V590" s="36" t="n">
        <x:v>1</x:v>
      </x:c>
      <x:c r="W590" s="36" t="str">
        <x:f>CHOOSE(V590+1,R590,S590,T590,U590)</x:f>
        <x:v>Die Wahrheit Gottes wird gegen die Lüge vertauscht, und das Geschaffene wird anstelle des Schöpfers verehrt.</x:v>
      </x:c>
      <x:c r="X590" s="36" t="str">
        <x:v>Römer 1,24–25</x:v>
      </x:c>
      <x:c r="Y590" s="36" t="str">
        <x:v>Paulus beschreibt den grundlegenden Tausch: Verehrung des Geschaffenen statt des Schöpfers.</x:v>
      </x:c>
      <x:c r="Z590" s="36" t="str">
        <x:v>JA</x:v>
      </x:c>
      <x:c r="AA590" s="36" t="str">
        <x:v>JA</x:v>
      </x:c>
      <x:c r="AB590" s="36" t="str">
        <x:v>JA</x:v>
      </x:c>
      <x:c r="AC590" s="36" t="str">
        <x:v>JA</x:v>
      </x:c>
      <x:c r="AD590" s="36" t="str">
        <x:v>JA</x:v>
      </x:c>
      <x:c r="AE590" s="36" t="str">
        <x:v>JA</x:v>
      </x:c>
      <x:c r="AF590" s="36" t="str">
        <x:v>JA</x:v>
      </x:c>
      <x:c r="AG590" s="36" t="str">
        <x:v>FREIGEGEBEN</x:v>
      </x:c>
      <x:c r="AH590" s="36" t="str">
        <x:v>GPT-5.6 Sol · Buchprüfung Römer · L1912/OTB</x:v>
      </x:c>
      <x:c r="AI590" s="36" t="str">
        <x:v>FREIGEGEBEN</x:v>
      </x:c>
      <x:c r="AJ590" s="36" t="str">
        <x:v>Römer 1: repetitive Wiedererkennungsfrage durch ZUSAMMENHANG-Frage ersetzt.</x:v>
      </x:c>
      <x:c r="AK590" s="36" t="str">
        <x:v>FaithPath repo develop/v4 · data/stories.json · data/bibles/l1912/ROM.json · data/bibles/otb/ROM.json</x:v>
      </x:c>
      <x:c r="AL590" t="str">
        <x:f>IF(AND(AG590="FREIGEGEBEN",AI590="FREIGEGEBEN",Q590&lt;&gt;"",R590&lt;&gt;"",S590&lt;&gt;"",T590&lt;&gt;"",U590&lt;&gt;"",ISNUMBER(V590),X590&lt;&gt;"",Y590&lt;&gt;"",AA590="JA",AB590="JA",AC590="JA",AD590="JA",AE590="JA",AF590="JA"),"JA","NEIN")</x:f>
        <x:v>JA</x:v>
      </x:c>
    </x:row>
    <x:row r="591">
      <x:c r="A591" t="str">
        <x:v>FP-0850</x:v>
      </x:c>
      <x:c r="B591" t="str">
        <x:v>ROM</x:v>
      </x:c>
      <x:c r="C591" t="str">
        <x:v>Römer</x:v>
      </x:c>
      <x:c r="D591" t="n">
        <x:v>1</x:v>
      </x:c>
      <x:c r="E591" t="n">
        <x:v>5</x:v>
      </x:c>
      <x:c r="F591" t="str">
        <x:v>ROM-001</x:v>
      </x:c>
      <x:c r="G591" t="n">
        <x:v>118</x:v>
      </x:c>
      <x:c r="H591" t="str">
        <x:v>CQ-A06</x:v>
      </x:c>
      <x:c r="I591" s="36" t="str">
        <x:v>Welche dieser Aussagen stammt aus Römer 1?</x:v>
      </x:c>
      <x:c r="J591" s="36" t="str"/>
      <x:c r="K591" s="36" t="str"/>
      <x:c r="L591" s="36" t="str">
        <x:v>REPO_VERIFIZIERT_FRAGEFORM</x:v>
      </x:c>
      <x:c r="M591" s="36" t="str">
        <x:v>ERSETZEN</x:v>
      </x:c>
      <x:c r="N591" s="36" t="str">
        <x:v>REPETITIVE_FRAGEFORM</x:v>
      </x:c>
      <x:c r="O591" s="36" t="str">
        <x:v>REINE_WIEDERERKENNUNG</x:v>
      </x:c>
      <x:c r="P591" s="36" t="str">
        <x:v>KERNAUSSAGE</x:v>
      </x:c>
      <x:c r="Q591" s="36" t="str">
        <x:v>Wie beschreibt Paulus die Folge davon, Gott nicht in Erkenntnis festhalten zu wollen?</x:v>
      </x:c>
      <x:c r="R591" s="36" t="str">
        <x:v>Sie verlieren sofort jede Fähigkeit zu handeln.</x:v>
      </x:c>
      <x:c r="S591" s="36" t="str">
        <x:v>Sie werden automatisch gerecht.</x:v>
      </x:c>
      <x:c r="T591" s="36" t="str">
        <x:v>Menschen werden einem verkehrten Denken überlassen, das sich in vielfältigem Unrecht zeigt.</x:v>
      </x:c>
      <x:c r="U591" s="36" t="str">
        <x:v>Sie ziehen sich vollständig aus der Gesellschaft zurück.</x:v>
      </x:c>
      <x:c r="V591" s="36" t="n">
        <x:v>2</x:v>
      </x:c>
      <x:c r="W591" s="36" t="str">
        <x:f>CHOOSE(V591+1,R591,S591,T591,U591)</x:f>
        <x:v>Menschen werden einem verkehrten Denken überlassen, das sich in vielfältigem Unrecht zeigt.</x:v>
      </x:c>
      <x:c r="X591" s="36" t="str">
        <x:v>Römer 1,28–32</x:v>
      </x:c>
      <x:c r="Y591" s="36" t="str">
        <x:v>Paulus führt zahlreiche Formen menschlicher Bosheit als Folge eines von Gott abgewandten Denkens auf.</x:v>
      </x:c>
      <x:c r="Z591" s="36" t="str">
        <x:v>JA</x:v>
      </x:c>
      <x:c r="AA591" s="36" t="str">
        <x:v>JA</x:v>
      </x:c>
      <x:c r="AB591" s="36" t="str">
        <x:v>JA</x:v>
      </x:c>
      <x:c r="AC591" s="36" t="str">
        <x:v>JA</x:v>
      </x:c>
      <x:c r="AD591" s="36" t="str">
        <x:v>JA</x:v>
      </x:c>
      <x:c r="AE591" s="36" t="str">
        <x:v>JA</x:v>
      </x:c>
      <x:c r="AF591" s="36" t="str">
        <x:v>JA</x:v>
      </x:c>
      <x:c r="AG591" s="36" t="str">
        <x:v>FREIGEGEBEN</x:v>
      </x:c>
      <x:c r="AH591" s="36" t="str">
        <x:v>GPT-5.6 Sol · Buchprüfung Römer · L1912/OTB</x:v>
      </x:c>
      <x:c r="AI591" s="36" t="str">
        <x:v>FREIGEGEBEN</x:v>
      </x:c>
      <x:c r="AJ591" s="36" t="str">
        <x:v>Römer 1: repetitive Wiedererkennungsfrage durch KERNAUSSAGE-Frage ersetzt.</x:v>
      </x:c>
      <x:c r="AK591" s="36" t="str">
        <x:v>FaithPath repo develop/v4 · data/stories.json · data/bibles/l1912/ROM.json · data/bibles/otb/ROM.json</x:v>
      </x:c>
      <x:c r="AL591" t="str">
        <x:f>IF(AND(AG591="FREIGEGEBEN",AI591="FREIGEGEBEN",Q591&lt;&gt;"",R591&lt;&gt;"",S591&lt;&gt;"",T591&lt;&gt;"",U591&lt;&gt;"",ISNUMBER(V591),X591&lt;&gt;"",Y591&lt;&gt;"",AA591="JA",AB591="JA",AC591="JA",AD591="JA",AE591="JA",AF591="JA"),"JA","NEIN")</x:f>
        <x:v>JA</x:v>
      </x:c>
    </x:row>
    <x:row r="592">
      <x:c r="A592" t="str">
        <x:v>FP-0851</x:v>
      </x:c>
      <x:c r="B592" t="str">
        <x:v>ROM</x:v>
      </x:c>
      <x:c r="C592" t="str">
        <x:v>Römer</x:v>
      </x:c>
      <x:c r="D592" t="n">
        <x:v>2</x:v>
      </x:c>
      <x:c r="E592" t="n">
        <x:v>1</x:v>
      </x:c>
      <x:c r="F592" t="str">
        <x:v>ROM-002</x:v>
      </x:c>
      <x:c r="G592" t="n">
        <x:v>119</x:v>
      </x:c>
      <x:c r="H592" t="str">
        <x:v>CQ-A06</x:v>
      </x:c>
      <x:c r="I592" s="36" t="str">
        <x:v>Welche dieser Aussagen stammt aus Römer 2?</x:v>
      </x:c>
      <x:c r="J592" s="36" t="str"/>
      <x:c r="K592" s="36" t="str"/>
      <x:c r="L592" s="36" t="str">
        <x:v>REPO_VERIFIZIERT_FRAGEFORM</x:v>
      </x:c>
      <x:c r="M592" s="36" t="str">
        <x:v>ERSETZEN</x:v>
      </x:c>
      <x:c r="N592" s="36" t="str">
        <x:v>REPETITIVE_FRAGEFORM</x:v>
      </x:c>
      <x:c r="O592" s="36" t="str">
        <x:v>REINE_WIEDERERKENNUNG</x:v>
      </x:c>
      <x:c r="P592" s="36" t="str">
        <x:v>KERNAUSSAGE</x:v>
      </x:c>
      <x:c r="Q592" s="36" t="str">
        <x:v>Warum warnt Paulus davor, andere vorschnell zu richten?</x:v>
      </x:c>
      <x:c r="R592" s="36" t="str">
        <x:v>Gericht ist nur dann falsch, wenn niemand zuhört.</x:v>
      </x:c>
      <x:c r="S592" s="36" t="str">
        <x:v>Nur Nichtjuden dürfen andere beurteilen.</x:v>
      </x:c>
      <x:c r="T592" s="36" t="str">
        <x:v>Jede moralische Beurteilung ist nach Paulus grundsätzlich verboten.</x:v>
      </x:c>
      <x:c r="U592" s="36" t="str">
        <x:v>Wer andere richtet und dasselbe tut, verurteilt sich damit selbst.</x:v>
      </x:c>
      <x:c r="V592" s="36" t="n">
        <x:v>3</x:v>
      </x:c>
      <x:c r="W592" s="36" t="str">
        <x:f>CHOOSE(V592+1,R592,S592,T592,U592)</x:f>
        <x:v>Wer andere richtet und dasselbe tut, verurteilt sich damit selbst.</x:v>
      </x:c>
      <x:c r="X592" s="36" t="str">
        <x:v>Römer 2,1–4</x:v>
      </x:c>
      <x:c r="Y592" s="36" t="str">
        <x:v>Paulus richtet sich gegen selbstgerechtes Richten, wenn der Richter selbst dasselbe tut.</x:v>
      </x:c>
      <x:c r="Z592" s="36" t="str">
        <x:v>JA</x:v>
      </x:c>
      <x:c r="AA592" s="36" t="str">
        <x:v>JA</x:v>
      </x:c>
      <x:c r="AB592" s="36" t="str">
        <x:v>JA</x:v>
      </x:c>
      <x:c r="AC592" s="36" t="str">
        <x:v>JA</x:v>
      </x:c>
      <x:c r="AD592" s="36" t="str">
        <x:v>JA</x:v>
      </x:c>
      <x:c r="AE592" s="36" t="str">
        <x:v>JA</x:v>
      </x:c>
      <x:c r="AF592" s="36" t="str">
        <x:v>JA</x:v>
      </x:c>
      <x:c r="AG592" s="36" t="str">
        <x:v>FREIGEGEBEN</x:v>
      </x:c>
      <x:c r="AH592" s="36" t="str">
        <x:v>GPT-5.6 Sol · Buchprüfung Römer · L1912/OTB</x:v>
      </x:c>
      <x:c r="AI592" s="36" t="str">
        <x:v>FREIGEGEBEN</x:v>
      </x:c>
      <x:c r="AJ592" s="36" t="str">
        <x:v>Römer 2: repetitive Wiedererkennungsfrage durch KERNAUSSAGE-Frage ersetzt.</x:v>
      </x:c>
      <x:c r="AK592" s="36" t="str">
        <x:v>FaithPath repo develop/v4 · data/stories.json · data/bibles/l1912/ROM.json · data/bibles/otb/ROM.json</x:v>
      </x:c>
      <x:c r="AL592" t="str">
        <x:f>IF(AND(AG592="FREIGEGEBEN",AI592="FREIGEGEBEN",Q592&lt;&gt;"",R592&lt;&gt;"",S592&lt;&gt;"",T592&lt;&gt;"",U592&lt;&gt;"",ISNUMBER(V592),X592&lt;&gt;"",Y592&lt;&gt;"",AA592="JA",AB592="JA",AC592="JA",AD592="JA",AE592="JA",AF592="JA"),"JA","NEIN")</x:f>
        <x:v>JA</x:v>
      </x:c>
    </x:row>
    <x:row r="593">
      <x:c r="A593" t="str">
        <x:v>FP-0852</x:v>
      </x:c>
      <x:c r="B593" t="str">
        <x:v>ROM</x:v>
      </x:c>
      <x:c r="C593" t="str">
        <x:v>Römer</x:v>
      </x:c>
      <x:c r="D593" t="n">
        <x:v>2</x:v>
      </x:c>
      <x:c r="E593" t="n">
        <x:v>2</x:v>
      </x:c>
      <x:c r="F593" t="str">
        <x:v>ROM-002</x:v>
      </x:c>
      <x:c r="G593" t="n">
        <x:v>119</x:v>
      </x:c>
      <x:c r="H593" t="str">
        <x:v>CQ-A06</x:v>
      </x:c>
      <x:c r="I593" s="36" t="str">
        <x:v>Welche dieser Aussagen stammt aus Römer 2?</x:v>
      </x:c>
      <x:c r="J593" s="36" t="str"/>
      <x:c r="K593" s="36" t="str"/>
      <x:c r="L593" s="36" t="str">
        <x:v>REPO_VERIFIZIERT_FRAGEFORM</x:v>
      </x:c>
      <x:c r="M593" s="36" t="str">
        <x:v>ERSETZEN</x:v>
      </x:c>
      <x:c r="N593" s="36" t="str">
        <x:v>REPETITIVE_FRAGEFORM</x:v>
      </x:c>
      <x:c r="O593" s="36" t="str">
        <x:v>REINE_WIEDERERKENNUNG</x:v>
      </x:c>
      <x:c r="P593" s="36" t="str">
        <x:v>KERNAUSSAGE</x:v>
      </x:c>
      <x:c r="Q593" s="36" t="str">
        <x:v>Nach welchem Grundsatz beschreibt Paulus Gottes Gericht?</x:v>
      </x:c>
      <x:c r="R593" s="36" t="str">
        <x:v>Gott wird jedem nach seinen Werken geben und sieht die Person nicht an.</x:v>
      </x:c>
      <x:c r="S593" s="36" t="str">
        <x:v>Gott beurteilt nur nach Herkunft.</x:v>
      </x:c>
      <x:c r="T593" s="36" t="str">
        <x:v>Gott richtet ausschließlich Nichtjuden.</x:v>
      </x:c>
      <x:c r="U593" s="36" t="str">
        <x:v>Gott richtet nur sichtbare Taten, niemals das Herz.</x:v>
      </x:c>
      <x:c r="V593" s="36" t="n">
        <x:v>0</x:v>
      </x:c>
      <x:c r="W593" s="36" t="str">
        <x:f>CHOOSE(V593+1,R593,S593,T593,U593)</x:f>
        <x:v>Gott wird jedem nach seinen Werken geben und sieht die Person nicht an.</x:v>
      </x:c>
      <x:c r="X593" s="36" t="str">
        <x:v>Römer 2,6–11</x:v>
      </x:c>
      <x:c r="Y593" s="36" t="str">
        <x:v>Paulus betont sowohl die Vergeltung nach dem Tun als auch Gottes Unparteilichkeit.</x:v>
      </x:c>
      <x:c r="Z593" s="36" t="str">
        <x:v>JA</x:v>
      </x:c>
      <x:c r="AA593" s="36" t="str">
        <x:v>JA</x:v>
      </x:c>
      <x:c r="AB593" s="36" t="str">
        <x:v>JA</x:v>
      </x:c>
      <x:c r="AC593" s="36" t="str">
        <x:v>JA</x:v>
      </x:c>
      <x:c r="AD593" s="36" t="str">
        <x:v>JA</x:v>
      </x:c>
      <x:c r="AE593" s="36" t="str">
        <x:v>JA</x:v>
      </x:c>
      <x:c r="AF593" s="36" t="str">
        <x:v>JA</x:v>
      </x:c>
      <x:c r="AG593" s="36" t="str">
        <x:v>FREIGEGEBEN</x:v>
      </x:c>
      <x:c r="AH593" s="36" t="str">
        <x:v>GPT-5.6 Sol · Buchprüfung Römer · L1912/OTB</x:v>
      </x:c>
      <x:c r="AI593" s="36" t="str">
        <x:v>FREIGEGEBEN</x:v>
      </x:c>
      <x:c r="AJ593" s="36" t="str">
        <x:v>Römer 2: repetitive Wiedererkennungsfrage durch KERNAUSSAGE-Frage ersetzt.</x:v>
      </x:c>
      <x:c r="AK593" s="36" t="str">
        <x:v>FaithPath repo develop/v4 · data/stories.json · data/bibles/l1912/ROM.json · data/bibles/otb/ROM.json</x:v>
      </x:c>
      <x:c r="AL593" t="str">
        <x:f>IF(AND(AG593="FREIGEGEBEN",AI593="FREIGEGEBEN",Q593&lt;&gt;"",R593&lt;&gt;"",S593&lt;&gt;"",T593&lt;&gt;"",U593&lt;&gt;"",ISNUMBER(V593),X593&lt;&gt;"",Y593&lt;&gt;"",AA593="JA",AB593="JA",AC593="JA",AD593="JA",AE593="JA",AF593="JA"),"JA","NEIN")</x:f>
        <x:v>JA</x:v>
      </x:c>
    </x:row>
    <x:row r="594">
      <x:c r="A594" t="str">
        <x:v>FP-0853</x:v>
      </x:c>
      <x:c r="B594" t="str">
        <x:v>ROM</x:v>
      </x:c>
      <x:c r="C594" t="str">
        <x:v>Römer</x:v>
      </x:c>
      <x:c r="D594" t="n">
        <x:v>2</x:v>
      </x:c>
      <x:c r="E594" t="n">
        <x:v>3</x:v>
      </x:c>
      <x:c r="F594" t="str">
        <x:v>ROM-002</x:v>
      </x:c>
      <x:c r="G594" t="n">
        <x:v>119</x:v>
      </x:c>
      <x:c r="H594" t="str">
        <x:v>CQ-A06</x:v>
      </x:c>
      <x:c r="I594" s="36" t="str">
        <x:v>Welche dieser Aussagen stammt aus Römer 2?</x:v>
      </x:c>
      <x:c r="J594" s="36" t="str"/>
      <x:c r="K594" s="36" t="str"/>
      <x:c r="L594" s="36" t="str">
        <x:v>REPO_VERIFIZIERT_FRAGEFORM</x:v>
      </x:c>
      <x:c r="M594" s="36" t="str">
        <x:v>ERSETZEN</x:v>
      </x:c>
      <x:c r="N594" s="36" t="str">
        <x:v>REPETITIVE_FRAGEFORM</x:v>
      </x:c>
      <x:c r="O594" s="36" t="str">
        <x:v>REINE_WIEDERERKENNUNG</x:v>
      </x:c>
      <x:c r="P594" s="36" t="str">
        <x:v>ZUSAMMENHANG</x:v>
      </x:c>
      <x:c r="Q594" s="36" t="str">
        <x:v>Was zeigt Paulus am Beispiel von Menschen ohne das mosaische Gesetz?</x:v>
      </x:c>
      <x:c r="R594" s="36" t="str">
        <x:v>Menschen ohne Gesetz haben keinerlei moralisches Bewusstsein.</x:v>
      </x:c>
      <x:c r="S594" s="36" t="str">
        <x:v>Auch ohne das geschriebene Gesetz kann das Gewissen bezeugen, dass Anforderungen des Gesetzes im Herzen bekannt sind.</x:v>
      </x:c>
      <x:c r="T594" s="36" t="str">
        <x:v>Nur Juden besitzen ein Gewissen.</x:v>
      </x:c>
      <x:c r="U594" s="36" t="str">
        <x:v>Das Gesetz spielt für Gottes Gericht überhaupt keine Rolle.</x:v>
      </x:c>
      <x:c r="V594" s="36" t="n">
        <x:v>1</x:v>
      </x:c>
      <x:c r="W594" s="36" t="str">
        <x:f>CHOOSE(V594+1,R594,S594,T594,U594)</x:f>
        <x:v>Auch ohne das geschriebene Gesetz kann das Gewissen bezeugen, dass Anforderungen des Gesetzes im Herzen bekannt sind.</x:v>
      </x:c>
      <x:c r="X594" s="36" t="str">
        <x:v>Römer 2,12–16</x:v>
      </x:c>
      <x:c r="Y594" s="36" t="str">
        <x:v>Paulus spricht von Gewissen und Gedanken, die anklagen oder entschuldigen, auch wo das geschriebene Gesetz nicht vorliegt.</x:v>
      </x:c>
      <x:c r="Z594" s="36" t="str">
        <x:v>JA</x:v>
      </x:c>
      <x:c r="AA594" s="36" t="str">
        <x:v>JA</x:v>
      </x:c>
      <x:c r="AB594" s="36" t="str">
        <x:v>JA</x:v>
      </x:c>
      <x:c r="AC594" s="36" t="str">
        <x:v>JA</x:v>
      </x:c>
      <x:c r="AD594" s="36" t="str">
        <x:v>JA</x:v>
      </x:c>
      <x:c r="AE594" s="36" t="str">
        <x:v>JA</x:v>
      </x:c>
      <x:c r="AF594" s="36" t="str">
        <x:v>JA</x:v>
      </x:c>
      <x:c r="AG594" s="36" t="str">
        <x:v>FREIGEGEBEN</x:v>
      </x:c>
      <x:c r="AH594" s="36" t="str">
        <x:v>GPT-5.6 Sol · Buchprüfung Römer · L1912/OTB</x:v>
      </x:c>
      <x:c r="AI594" s="36" t="str">
        <x:v>FREIGEGEBEN</x:v>
      </x:c>
      <x:c r="AJ594" s="36" t="str">
        <x:v>Römer 2: repetitive Wiedererkennungsfrage durch ZUSAMMENHANG-Frage ersetzt.</x:v>
      </x:c>
      <x:c r="AK594" s="36" t="str">
        <x:v>FaithPath repo develop/v4 · data/stories.json · data/bibles/l1912/ROM.json · data/bibles/otb/ROM.json</x:v>
      </x:c>
      <x:c r="AL594" t="str">
        <x:f>IF(AND(AG594="FREIGEGEBEN",AI594="FREIGEGEBEN",Q594&lt;&gt;"",R594&lt;&gt;"",S594&lt;&gt;"",T594&lt;&gt;"",U594&lt;&gt;"",ISNUMBER(V594),X594&lt;&gt;"",Y594&lt;&gt;"",AA594="JA",AB594="JA",AC594="JA",AD594="JA",AE594="JA",AF594="JA"),"JA","NEIN")</x:f>
        <x:v>JA</x:v>
      </x:c>
    </x:row>
    <x:row r="595">
      <x:c r="A595" t="str">
        <x:v>FP-0854</x:v>
      </x:c>
      <x:c r="B595" t="str">
        <x:v>ROM</x:v>
      </x:c>
      <x:c r="C595" t="str">
        <x:v>Römer</x:v>
      </x:c>
      <x:c r="D595" t="n">
        <x:v>2</x:v>
      </x:c>
      <x:c r="E595" t="n">
        <x:v>4</x:v>
      </x:c>
      <x:c r="F595" t="str">
        <x:v>ROM-002</x:v>
      </x:c>
      <x:c r="G595" t="n">
        <x:v>119</x:v>
      </x:c>
      <x:c r="H595" t="str">
        <x:v>CQ-A06</x:v>
      </x:c>
      <x:c r="I595" s="36" t="str">
        <x:v>Welche dieser Aussagen stammt aus Römer 2?</x:v>
      </x:c>
      <x:c r="J595" s="36" t="str"/>
      <x:c r="K595" s="36" t="str"/>
      <x:c r="L595" s="36" t="str">
        <x:v>REPO_VERIFIZIERT_FRAGEFORM</x:v>
      </x:c>
      <x:c r="M595" s="36" t="str">
        <x:v>ERSETZEN</x:v>
      </x:c>
      <x:c r="N595" s="36" t="str">
        <x:v>REPETITIVE_FRAGEFORM</x:v>
      </x:c>
      <x:c r="O595" s="36" t="str">
        <x:v>REINE_WIEDERERKENNUNG</x:v>
      </x:c>
      <x:c r="P595" s="36" t="str">
        <x:v>ZUSAMMENHANG</x:v>
      </x:c>
      <x:c r="Q595" s="36" t="str">
        <x:v>Was kritisiert Paulus an einem Menschen, der sich auf das Gesetz beruft, es aber selbst übertritt?</x:v>
      </x:c>
      <x:c r="R595" s="36" t="str">
        <x:v>Dass er zu viel aus der Schrift weiß.</x:v>
      </x:c>
      <x:c r="S595" s="36" t="str">
        <x:v>Dass er nicht in Rom geboren wurde.</x:v>
      </x:c>
      <x:c r="T595" s="36" t="str">
        <x:v>Dass seine Selbstsicherheit im Widerspruch zu seinem eigenen Verhalten steht und Gottes Name dadurch entehrt wird.</x:v>
      </x:c>
      <x:c r="U595" s="36" t="str">
        <x:v>Dass er zu oft im Tempel ist.</x:v>
      </x:c>
      <x:c r="V595" s="36" t="n">
        <x:v>2</x:v>
      </x:c>
      <x:c r="W595" s="36" t="str">
        <x:f>CHOOSE(V595+1,R595,S595,T595,U595)</x:f>
        <x:v>Dass seine Selbstsicherheit im Widerspruch zu seinem eigenen Verhalten steht und Gottes Name dadurch entehrt wird.</x:v>
      </x:c>
      <x:c r="X595" s="36" t="str">
        <x:v>Römer 2,17–24</x:v>
      </x:c>
      <x:c r="Y595" s="36" t="str">
        <x:v>Paulus zeigt den Widerspruch zwischen Anspruch und Verhalten auf und sagt, dass dadurch Gottes Name verlästert wird.</x:v>
      </x:c>
      <x:c r="Z595" s="36" t="str">
        <x:v>JA</x:v>
      </x:c>
      <x:c r="AA595" s="36" t="str">
        <x:v>JA</x:v>
      </x:c>
      <x:c r="AB595" s="36" t="str">
        <x:v>JA</x:v>
      </x:c>
      <x:c r="AC595" s="36" t="str">
        <x:v>JA</x:v>
      </x:c>
      <x:c r="AD595" s="36" t="str">
        <x:v>JA</x:v>
      </x:c>
      <x:c r="AE595" s="36" t="str">
        <x:v>JA</x:v>
      </x:c>
      <x:c r="AF595" s="36" t="str">
        <x:v>JA</x:v>
      </x:c>
      <x:c r="AG595" s="36" t="str">
        <x:v>FREIGEGEBEN</x:v>
      </x:c>
      <x:c r="AH595" s="36" t="str">
        <x:v>GPT-5.6 Sol · Buchprüfung Römer · L1912/OTB</x:v>
      </x:c>
      <x:c r="AI595" s="36" t="str">
        <x:v>FREIGEGEBEN</x:v>
      </x:c>
      <x:c r="AJ595" s="36" t="str">
        <x:v>Römer 2: repetitive Wiedererkennungsfrage durch ZUSAMMENHANG-Frage ersetzt.</x:v>
      </x:c>
      <x:c r="AK595" s="36" t="str">
        <x:v>FaithPath repo develop/v4 · data/stories.json · data/bibles/l1912/ROM.json · data/bibles/otb/ROM.json</x:v>
      </x:c>
      <x:c r="AL595" t="str">
        <x:f>IF(AND(AG595="FREIGEGEBEN",AI595="FREIGEGEBEN",Q595&lt;&gt;"",R595&lt;&gt;"",S595&lt;&gt;"",T595&lt;&gt;"",U595&lt;&gt;"",ISNUMBER(V595),X595&lt;&gt;"",Y595&lt;&gt;"",AA595="JA",AB595="JA",AC595="JA",AD595="JA",AE595="JA",AF595="JA"),"JA","NEIN")</x:f>
        <x:v>JA</x:v>
      </x:c>
    </x:row>
    <x:row r="596">
      <x:c r="A596" t="str">
        <x:v>FP-0855</x:v>
      </x:c>
      <x:c r="B596" t="str">
        <x:v>ROM</x:v>
      </x:c>
      <x:c r="C596" t="str">
        <x:v>Römer</x:v>
      </x:c>
      <x:c r="D596" t="n">
        <x:v>2</x:v>
      </x:c>
      <x:c r="E596" t="n">
        <x:v>5</x:v>
      </x:c>
      <x:c r="F596" t="str">
        <x:v>ROM-002</x:v>
      </x:c>
      <x:c r="G596" t="n">
        <x:v>119</x:v>
      </x:c>
      <x:c r="H596" t="str">
        <x:v>CQ-A06</x:v>
      </x:c>
      <x:c r="I596" s="36" t="str">
        <x:v>Welche dieser Aussagen stammt aus Römer 2?</x:v>
      </x:c>
      <x:c r="J596" s="36" t="str"/>
      <x:c r="K596" s="36" t="str"/>
      <x:c r="L596" s="36" t="str">
        <x:v>REPO_VERIFIZIERT_FRAGEFORM</x:v>
      </x:c>
      <x:c r="M596" s="36" t="str">
        <x:v>ERSETZEN</x:v>
      </x:c>
      <x:c r="N596" s="36" t="str">
        <x:v>REPETITIVE_FRAGEFORM</x:v>
      </x:c>
      <x:c r="O596" s="36" t="str">
        <x:v>REINE_WIEDERERKENNUNG</x:v>
      </x:c>
      <x:c r="P596" s="36" t="str">
        <x:v>KERNAUSSAGE</x:v>
      </x:c>
      <x:c r="Q596" s="36" t="str">
        <x:v>Wie beschreibt Paulus wahre Beschneidung?</x:v>
      </x:c>
      <x:c r="R596" s="36" t="str">
        <x:v>Als rein körperliches Zeichen ohne innere Bedeutung.</x:v>
      </x:c>
      <x:c r="S596" s="36" t="str">
        <x:v>Als Voraussetzung für römisches Bürgerrecht.</x:v>
      </x:c>
      <x:c r="T596" s="36" t="str">
        <x:v>Als Aufgabe ausschließlich der Priester.</x:v>
      </x:c>
      <x:c r="U596" s="36" t="str">
        <x:v>Als Beschneidung des Herzens im Geist, nicht nur als äußeres Zeichen.</x:v>
      </x:c>
      <x:c r="V596" s="36" t="n">
        <x:v>3</x:v>
      </x:c>
      <x:c r="W596" s="36" t="str">
        <x:f>CHOOSE(V596+1,R596,S596,T596,U596)</x:f>
        <x:v>Als Beschneidung des Herzens im Geist, nicht nur als äußeres Zeichen.</x:v>
      </x:c>
      <x:c r="X596" s="36" t="str">
        <x:v>Römer 2,28–29</x:v>
      </x:c>
      <x:c r="Y596" s="36" t="str">
        <x:v>Paulus verlagert den Schwerpunkt vom äußeren Zeichen auf die innere Wirklichkeit des Herzens.</x:v>
      </x:c>
      <x:c r="Z596" s="36" t="str">
        <x:v>JA</x:v>
      </x:c>
      <x:c r="AA596" s="36" t="str">
        <x:v>JA</x:v>
      </x:c>
      <x:c r="AB596" s="36" t="str">
        <x:v>JA</x:v>
      </x:c>
      <x:c r="AC596" s="36" t="str">
        <x:v>JA</x:v>
      </x:c>
      <x:c r="AD596" s="36" t="str">
        <x:v>JA</x:v>
      </x:c>
      <x:c r="AE596" s="36" t="str">
        <x:v>JA</x:v>
      </x:c>
      <x:c r="AF596" s="36" t="str">
        <x:v>JA</x:v>
      </x:c>
      <x:c r="AG596" s="36" t="str">
        <x:v>FREIGEGEBEN</x:v>
      </x:c>
      <x:c r="AH596" s="36" t="str">
        <x:v>GPT-5.6 Sol · Buchprüfung Römer · L1912/OTB</x:v>
      </x:c>
      <x:c r="AI596" s="36" t="str">
        <x:v>FREIGEGEBEN</x:v>
      </x:c>
      <x:c r="AJ596" s="36" t="str">
        <x:v>Römer 2: repetitive Wiedererkennungsfrage durch KERNAUSSAGE-Frage ersetzt.</x:v>
      </x:c>
      <x:c r="AK596" s="36" t="str">
        <x:v>FaithPath repo develop/v4 · data/stories.json · data/bibles/l1912/ROM.json · data/bibles/otb/ROM.json</x:v>
      </x:c>
      <x:c r="AL596" t="str">
        <x:f>IF(AND(AG596="FREIGEGEBEN",AI596="FREIGEGEBEN",Q596&lt;&gt;"",R596&lt;&gt;"",S596&lt;&gt;"",T596&lt;&gt;"",U596&lt;&gt;"",ISNUMBER(V596),X596&lt;&gt;"",Y596&lt;&gt;"",AA596="JA",AB596="JA",AC596="JA",AD596="JA",AE596="JA",AF596="JA"),"JA","NEIN")</x:f>
        <x:v>JA</x:v>
      </x:c>
    </x:row>
    <x:row r="597">
      <x:c r="A597" t="str">
        <x:v>FP-0856</x:v>
      </x:c>
      <x:c r="B597" t="str">
        <x:v>ROM</x:v>
      </x:c>
      <x:c r="C597" t="str">
        <x:v>Römer</x:v>
      </x:c>
      <x:c r="D597" t="n">
        <x:v>3</x:v>
      </x:c>
      <x:c r="E597" t="n">
        <x:v>1</x:v>
      </x:c>
      <x:c r="F597" t="str">
        <x:v>ROM-003</x:v>
      </x:c>
      <x:c r="G597" t="n">
        <x:v>120</x:v>
      </x:c>
      <x:c r="H597" t="str">
        <x:v>CQ-A06</x:v>
      </x:c>
      <x:c r="I597" s="36" t="str">
        <x:v>Welche dieser Aussagen stammt aus Römer 3?</x:v>
      </x:c>
      <x:c r="J597" s="36" t="str"/>
      <x:c r="K597" s="36" t="str"/>
      <x:c r="L597" s="36" t="str">
        <x:v>REPO_VERIFIZIERT_FRAGEFORM</x:v>
      </x:c>
      <x:c r="M597" s="36" t="str">
        <x:v>ERSETZEN</x:v>
      </x:c>
      <x:c r="N597" s="36" t="str">
        <x:v>REPETITIVE_FRAGEFORM</x:v>
      </x:c>
      <x:c r="O597" s="36" t="str">
        <x:v>REINE_WIEDERERKENNUNG</x:v>
      </x:c>
      <x:c r="P597" s="36" t="str">
        <x:v>KERNAUSSAGE</x:v>
      </x:c>
      <x:c r="Q597" s="36" t="str">
        <x:v>Zu welchem Ergebnis kommt Paulus über Juden und Griechen im Blick auf die Sünde?</x:v>
      </x:c>
      <x:c r="R597" s="36" t="str">
        <x:v>Alle stehen unter der Sünde, und kein Mensch wird durch Gesetzeswerke vor Gott gerecht.</x:v>
      </x:c>
      <x:c r="S597" s="36" t="str">
        <x:v>Nur Nichtjuden stehen unter der Sünde.</x:v>
      </x:c>
      <x:c r="T597" s="36" t="str">
        <x:v>Nur Juden brauchen Vergebung.</x:v>
      </x:c>
      <x:c r="U597" s="36" t="str">
        <x:v>Wer das Gesetz kennt, ist automatisch gerecht.</x:v>
      </x:c>
      <x:c r="V597" s="36" t="n">
        <x:v>0</x:v>
      </x:c>
      <x:c r="W597" s="36" t="str">
        <x:f>CHOOSE(V597+1,R597,S597,T597,U597)</x:f>
        <x:v>Alle stehen unter der Sünde, und kein Mensch wird durch Gesetzeswerke vor Gott gerecht.</x:v>
      </x:c>
      <x:c r="X597" s="36" t="str">
        <x:v>Römer 3,9–20</x:v>
      </x:c>
      <x:c r="Y597" s="36" t="str">
        <x:v>Paulus fasst die universale Sündhaftigkeit zusammen und erklärt, dass das Gesetz Sünde erkenntlich macht, aber nicht durch Werke rechtfertigt.</x:v>
      </x:c>
      <x:c r="Z597" s="36" t="str">
        <x:v>JA</x:v>
      </x:c>
      <x:c r="AA597" s="36" t="str">
        <x:v>JA</x:v>
      </x:c>
      <x:c r="AB597" s="36" t="str">
        <x:v>JA</x:v>
      </x:c>
      <x:c r="AC597" s="36" t="str">
        <x:v>JA</x:v>
      </x:c>
      <x:c r="AD597" s="36" t="str">
        <x:v>JA</x:v>
      </x:c>
      <x:c r="AE597" s="36" t="str">
        <x:v>JA</x:v>
      </x:c>
      <x:c r="AF597" s="36" t="str">
        <x:v>JA</x:v>
      </x:c>
      <x:c r="AG597" s="36" t="str">
        <x:v>FREIGEGEBEN</x:v>
      </x:c>
      <x:c r="AH597" s="36" t="str">
        <x:v>GPT-5.6 Sol · Buchprüfung Römer · L1912/OTB</x:v>
      </x:c>
      <x:c r="AI597" s="36" t="str">
        <x:v>FREIGEGEBEN</x:v>
      </x:c>
      <x:c r="AJ597" s="36" t="str">
        <x:v>Römer 3: repetitive Wiedererkennungsfrage durch KERNAUSSAGE-Frage ersetzt.</x:v>
      </x:c>
      <x:c r="AK597" s="36" t="str">
        <x:v>FaithPath repo develop/v4 · data/stories.json · data/bibles/l1912/ROM.json · data/bibles/otb/ROM.json</x:v>
      </x:c>
      <x:c r="AL597" t="str">
        <x:f>IF(AND(AG597="FREIGEGEBEN",AI597="FREIGEGEBEN",Q597&lt;&gt;"",R597&lt;&gt;"",S597&lt;&gt;"",T597&lt;&gt;"",U597&lt;&gt;"",ISNUMBER(V597),X597&lt;&gt;"",Y597&lt;&gt;"",AA597="JA",AB597="JA",AC597="JA",AD597="JA",AE597="JA",AF597="JA"),"JA","NEIN")</x:f>
        <x:v>JA</x:v>
      </x:c>
    </x:row>
    <x:row r="598">
      <x:c r="A598" t="str">
        <x:v>FP-0857</x:v>
      </x:c>
      <x:c r="B598" t="str">
        <x:v>ROM</x:v>
      </x:c>
      <x:c r="C598" t="str">
        <x:v>Römer</x:v>
      </x:c>
      <x:c r="D598" t="n">
        <x:v>3</x:v>
      </x:c>
      <x:c r="E598" t="n">
        <x:v>2</x:v>
      </x:c>
      <x:c r="F598" t="str">
        <x:v>ROM-003</x:v>
      </x:c>
      <x:c r="G598" t="n">
        <x:v>120</x:v>
      </x:c>
      <x:c r="H598" t="str">
        <x:v>CQ-A06</x:v>
      </x:c>
      <x:c r="I598" s="36" t="str">
        <x:v>Welche dieser Aussagen stammt aus Römer 3?</x:v>
      </x:c>
      <x:c r="J598" s="36" t="str"/>
      <x:c r="K598" s="36" t="str"/>
      <x:c r="L598" s="36" t="str">
        <x:v>REPO_VERIFIZIERT_FRAGEFORM</x:v>
      </x:c>
      <x:c r="M598" s="36" t="str">
        <x:v>ERSETZEN</x:v>
      </x:c>
      <x:c r="N598" s="36" t="str">
        <x:v>REPETITIVE_FRAGEFORM</x:v>
      </x:c>
      <x:c r="O598" s="36" t="str">
        <x:v>REINE_WIEDERERKENNUNG</x:v>
      </x:c>
      <x:c r="P598" s="36" t="str">
        <x:v>KERNAUSSAGE</x:v>
      </x:c>
      <x:c r="Q598" s="36" t="str">
        <x:v>Wie wird Gottes Gerechtigkeit nach Römer 3 offenbar?</x:v>
      </x:c>
      <x:c r="R598" s="36" t="str">
        <x:v>Ausschließlich durch menschliche Leistung.</x:v>
      </x:c>
      <x:c r="S598" s="36" t="str">
        <x:v>Unabhängig von Gesetzeswerken, durch Glauben an Jesus Christus für die Glaubenden.</x:v>
      </x:c>
      <x:c r="T598" s="36" t="str">
        <x:v>Nur durch Abstammung von Abraham.</x:v>
      </x:c>
      <x:c r="U598" s="36" t="str">
        <x:v>Durch politischen Gehorsam gegenüber Rom.</x:v>
      </x:c>
      <x:c r="V598" s="36" t="n">
        <x:v>1</x:v>
      </x:c>
      <x:c r="W598" s="36" t="str">
        <x:f>CHOOSE(V598+1,R598,S598,T598,U598)</x:f>
        <x:v>Unabhängig von Gesetzeswerken, durch Glauben an Jesus Christus für die Glaubenden.</x:v>
      </x:c>
      <x:c r="X598" s="36" t="str">
        <x:v>Römer 3,21–24</x:v>
      </x:c>
      <x:c r="Y598" s="36" t="str">
        <x:v>Paulus beschreibt eine von Gesetzeswerken unabhängige Gerechtigkeit Gottes, die durch Glauben zugänglich ist.</x:v>
      </x:c>
      <x:c r="Z598" s="36" t="str">
        <x:v>JA</x:v>
      </x:c>
      <x:c r="AA598" s="36" t="str">
        <x:v>JA</x:v>
      </x:c>
      <x:c r="AB598" s="36" t="str">
        <x:v>JA</x:v>
      </x:c>
      <x:c r="AC598" s="36" t="str">
        <x:v>JA</x:v>
      </x:c>
      <x:c r="AD598" s="36" t="str">
        <x:v>JA</x:v>
      </x:c>
      <x:c r="AE598" s="36" t="str">
        <x:v>JA</x:v>
      </x:c>
      <x:c r="AF598" s="36" t="str">
        <x:v>JA</x:v>
      </x:c>
      <x:c r="AG598" s="36" t="str">
        <x:v>FREIGEGEBEN</x:v>
      </x:c>
      <x:c r="AH598" s="36" t="str">
        <x:v>GPT-5.6 Sol · Buchprüfung Römer · L1912/OTB</x:v>
      </x:c>
      <x:c r="AI598" s="36" t="str">
        <x:v>FREIGEGEBEN</x:v>
      </x:c>
      <x:c r="AJ598" s="36" t="str">
        <x:v>Römer 3: repetitive Wiedererkennungsfrage durch KERNAUSSAGE-Frage ersetzt.</x:v>
      </x:c>
      <x:c r="AK598" s="36" t="str">
        <x:v>FaithPath repo develop/v4 · data/stories.json · data/bibles/l1912/ROM.json · data/bibles/otb/ROM.json</x:v>
      </x:c>
      <x:c r="AL598" t="str">
        <x:f>IF(AND(AG598="FREIGEGEBEN",AI598="FREIGEGEBEN",Q598&lt;&gt;"",R598&lt;&gt;"",S598&lt;&gt;"",T598&lt;&gt;"",U598&lt;&gt;"",ISNUMBER(V598),X598&lt;&gt;"",Y598&lt;&gt;"",AA598="JA",AB598="JA",AC598="JA",AD598="JA",AE598="JA",AF598="JA"),"JA","NEIN")</x:f>
        <x:v>JA</x:v>
      </x:c>
    </x:row>
    <x:row r="599">
      <x:c r="A599" t="str">
        <x:v>FP-0858</x:v>
      </x:c>
      <x:c r="B599" t="str">
        <x:v>ROM</x:v>
      </x:c>
      <x:c r="C599" t="str">
        <x:v>Römer</x:v>
      </x:c>
      <x:c r="D599" t="n">
        <x:v>3</x:v>
      </x:c>
      <x:c r="E599" t="n">
        <x:v>3</x:v>
      </x:c>
      <x:c r="F599" t="str">
        <x:v>ROM-003</x:v>
      </x:c>
      <x:c r="G599" t="n">
        <x:v>120</x:v>
      </x:c>
      <x:c r="H599" t="str">
        <x:v>CQ-A06</x:v>
      </x:c>
      <x:c r="I599" s="36" t="str">
        <x:v>Welche dieser Aussagen stammt aus Römer 3?</x:v>
      </x:c>
      <x:c r="J599" s="36" t="str"/>
      <x:c r="K599" s="36" t="str"/>
      <x:c r="L599" s="36" t="str">
        <x:v>REPO_VERIFIZIERT_FRAGEFORM</x:v>
      </x:c>
      <x:c r="M599" s="36" t="str">
        <x:v>ERSETZEN</x:v>
      </x:c>
      <x:c r="N599" s="36" t="str">
        <x:v>REPETITIVE_FRAGEFORM</x:v>
      </x:c>
      <x:c r="O599" s="36" t="str">
        <x:v>REINE_WIEDERERKENNUNG</x:v>
      </x:c>
      <x:c r="P599" s="36" t="str">
        <x:v>ZUSAMMENHANG</x:v>
      </x:c>
      <x:c r="Q599" s="36" t="str">
        <x:v>Was zeigt Gott nach Paulus durch Christus als Sühne?</x:v>
      </x:c>
      <x:c r="R599" s="36" t="str">
        <x:v>Dass Sünde bedeutungslos ist.</x:v>
      </x:c>
      <x:c r="S599" s="36" t="str">
        <x:v>Dass nur Israel Vergebung braucht.</x:v>
      </x:c>
      <x:c r="T599" s="36" t="str">
        <x:v>Seine eigene Gerechtigkeit, indem er Sünde nicht einfach ignoriert und zugleich gerecht macht.</x:v>
      </x:c>
      <x:c r="U599" s="36" t="str">
        <x:v>Dass Gerechtigkeit ausschließlich Strafe bedeutet.</x:v>
      </x:c>
      <x:c r="V599" s="36" t="n">
        <x:v>2</x:v>
      </x:c>
      <x:c r="W599" s="36" t="str">
        <x:f>CHOOSE(V599+1,R599,S599,T599,U599)</x:f>
        <x:v>Seine eigene Gerechtigkeit, indem er Sünde nicht einfach ignoriert und zugleich gerecht macht.</x:v>
      </x:c>
      <x:c r="X599" s="36" t="str">
        <x:v>Römer 3,25–26</x:v>
      </x:c>
      <x:c r="Y599" s="36" t="str">
        <x:v>Paulus verbindet Gottes Geduld, die Sühne durch Christus und Gottes eigene Gerechtigkeit.</x:v>
      </x:c>
      <x:c r="Z599" s="36" t="str">
        <x:v>JA</x:v>
      </x:c>
      <x:c r="AA599" s="36" t="str">
        <x:v>JA</x:v>
      </x:c>
      <x:c r="AB599" s="36" t="str">
        <x:v>JA</x:v>
      </x:c>
      <x:c r="AC599" s="36" t="str">
        <x:v>JA</x:v>
      </x:c>
      <x:c r="AD599" s="36" t="str">
        <x:v>JA</x:v>
      </x:c>
      <x:c r="AE599" s="36" t="str">
        <x:v>JA</x:v>
      </x:c>
      <x:c r="AF599" s="36" t="str">
        <x:v>JA</x:v>
      </x:c>
      <x:c r="AG599" s="36" t="str">
        <x:v>FREIGEGEBEN</x:v>
      </x:c>
      <x:c r="AH599" s="36" t="str">
        <x:v>GPT-5.6 Sol · Buchprüfung Römer · L1912/OTB</x:v>
      </x:c>
      <x:c r="AI599" s="36" t="str">
        <x:v>FREIGEGEBEN</x:v>
      </x:c>
      <x:c r="AJ599" s="36" t="str">
        <x:v>Römer 3: repetitive Wiedererkennungsfrage durch ZUSAMMENHANG-Frage ersetzt.</x:v>
      </x:c>
      <x:c r="AK599" s="36" t="str">
        <x:v>FaithPath repo develop/v4 · data/stories.json · data/bibles/l1912/ROM.json · data/bibles/otb/ROM.json</x:v>
      </x:c>
      <x:c r="AL599" t="str">
        <x:f>IF(AND(AG599="FREIGEGEBEN",AI599="FREIGEGEBEN",Q599&lt;&gt;"",R599&lt;&gt;"",S599&lt;&gt;"",T599&lt;&gt;"",U599&lt;&gt;"",ISNUMBER(V599),X599&lt;&gt;"",Y599&lt;&gt;"",AA599="JA",AB599="JA",AC599="JA",AD599="JA",AE599="JA",AF599="JA"),"JA","NEIN")</x:f>
        <x:v>JA</x:v>
      </x:c>
    </x:row>
    <x:row r="600">
      <x:c r="A600" t="str">
        <x:v>FP-0859</x:v>
      </x:c>
      <x:c r="B600" t="str">
        <x:v>ROM</x:v>
      </x:c>
      <x:c r="C600" t="str">
        <x:v>Römer</x:v>
      </x:c>
      <x:c r="D600" t="n">
        <x:v>3</x:v>
      </x:c>
      <x:c r="E600" t="n">
        <x:v>4</x:v>
      </x:c>
      <x:c r="F600" t="str">
        <x:v>ROM-003</x:v>
      </x:c>
      <x:c r="G600" t="n">
        <x:v>120</x:v>
      </x:c>
      <x:c r="H600" t="str">
        <x:v>CQ-A06</x:v>
      </x:c>
      <x:c r="I600" s="36" t="str">
        <x:v>Welche dieser Aussagen stammt aus Römer 3?</x:v>
      </x:c>
      <x:c r="J600" s="36" t="str"/>
      <x:c r="K600" s="36" t="str"/>
      <x:c r="L600" s="36" t="str">
        <x:v>REPO_VERIFIZIERT_FRAGEFORM</x:v>
      </x:c>
      <x:c r="M600" s="36" t="str">
        <x:v>ERSETZEN</x:v>
      </x:c>
      <x:c r="N600" s="36" t="str">
        <x:v>REPETITIVE_FRAGEFORM</x:v>
      </x:c>
      <x:c r="O600" s="36" t="str">
        <x:v>REINE_WIEDERERKENNUNG</x:v>
      </x:c>
      <x:c r="P600" s="36" t="str">
        <x:v>KERNAUSSAGE</x:v>
      </x:c>
      <x:c r="Q600" s="36" t="str">
        <x:v>Warum ist menschliches Rühmen ausgeschlossen?</x:v>
      </x:c>
      <x:c r="R600" s="36" t="str">
        <x:v>Weil niemand gute Werke tun darf.</x:v>
      </x:c>
      <x:c r="S600" s="36" t="str">
        <x:v>Weil nur Paulus sich rühmen darf.</x:v>
      </x:c>
      <x:c r="T600" s="36" t="str">
        <x:v>Weil das Gesetz völlig bedeutungslos geworden ist.</x:v>
      </x:c>
      <x:c r="U600" s="36" t="str">
        <x:v>Weil der Mensch durch Glauben gerechtfertigt wird und nicht aufgrund von Gesetzeswerken.</x:v>
      </x:c>
      <x:c r="V600" s="36" t="n">
        <x:v>3</x:v>
      </x:c>
      <x:c r="W600" s="36" t="str">
        <x:f>CHOOSE(V600+1,R600,S600,T600,U600)</x:f>
        <x:v>Weil der Mensch durch Glauben gerechtfertigt wird und nicht aufgrund von Gesetzeswerken.</x:v>
      </x:c>
      <x:c r="X600" s="36" t="str">
        <x:v>Römer 3,27–28</x:v>
      </x:c>
      <x:c r="Y600" s="36" t="str">
        <x:v>Paulus schließt Selbstverdienst aus und stellt den Glauben der Rechtfertigung durch Werke gegenüber.</x:v>
      </x:c>
      <x:c r="Z600" s="36" t="str">
        <x:v>JA</x:v>
      </x:c>
      <x:c r="AA600" s="36" t="str">
        <x:v>JA</x:v>
      </x:c>
      <x:c r="AB600" s="36" t="str">
        <x:v>JA</x:v>
      </x:c>
      <x:c r="AC600" s="36" t="str">
        <x:v>JA</x:v>
      </x:c>
      <x:c r="AD600" s="36" t="str">
        <x:v>JA</x:v>
      </x:c>
      <x:c r="AE600" s="36" t="str">
        <x:v>JA</x:v>
      </x:c>
      <x:c r="AF600" s="36" t="str">
        <x:v>JA</x:v>
      </x:c>
      <x:c r="AG600" s="36" t="str">
        <x:v>FREIGEGEBEN</x:v>
      </x:c>
      <x:c r="AH600" s="36" t="str">
        <x:v>GPT-5.6 Sol · Buchprüfung Römer · L1912/OTB</x:v>
      </x:c>
      <x:c r="AI600" s="36" t="str">
        <x:v>FREIGEGEBEN</x:v>
      </x:c>
      <x:c r="AJ600" s="36" t="str">
        <x:v>Römer 3: repetitive Wiedererkennungsfrage durch KERNAUSSAGE-Frage ersetzt.</x:v>
      </x:c>
      <x:c r="AK600" s="36" t="str">
        <x:v>FaithPath repo develop/v4 · data/stories.json · data/bibles/l1912/ROM.json · data/bibles/otb/ROM.json</x:v>
      </x:c>
      <x:c r="AL600" t="str">
        <x:f>IF(AND(AG600="FREIGEGEBEN",AI600="FREIGEGEBEN",Q600&lt;&gt;"",R600&lt;&gt;"",S600&lt;&gt;"",T600&lt;&gt;"",U600&lt;&gt;"",ISNUMBER(V600),X600&lt;&gt;"",Y600&lt;&gt;"",AA600="JA",AB600="JA",AC600="JA",AD600="JA",AE600="JA",AF600="JA"),"JA","NEIN")</x:f>
        <x:v>JA</x:v>
      </x:c>
    </x:row>
    <x:row r="601">
      <x:c r="A601" t="str">
        <x:v>FP-0860</x:v>
      </x:c>
      <x:c r="B601" t="str">
        <x:v>ROM</x:v>
      </x:c>
      <x:c r="C601" t="str">
        <x:v>Römer</x:v>
      </x:c>
      <x:c r="D601" t="n">
        <x:v>3</x:v>
      </x:c>
      <x:c r="E601" t="n">
        <x:v>5</x:v>
      </x:c>
      <x:c r="F601" t="str">
        <x:v>ROM-003</x:v>
      </x:c>
      <x:c r="G601" t="n">
        <x:v>120</x:v>
      </x:c>
      <x:c r="H601" t="str">
        <x:v>CQ-A06</x:v>
      </x:c>
      <x:c r="I601" s="36" t="str">
        <x:v>Welche dieser Aussagen stammt aus Römer 3?</x:v>
      </x:c>
      <x:c r="J601" s="36" t="str"/>
      <x:c r="K601" s="36" t="str"/>
      <x:c r="L601" s="36" t="str">
        <x:v>REPO_VERIFIZIERT_FRAGEFORM</x:v>
      </x:c>
      <x:c r="M601" s="36" t="str">
        <x:v>ERSETZEN</x:v>
      </x:c>
      <x:c r="N601" s="36" t="str">
        <x:v>REPETITIVE_FRAGEFORM</x:v>
      </x:c>
      <x:c r="O601" s="36" t="str">
        <x:v>REINE_WIEDERERKENNUNG</x:v>
      </x:c>
      <x:c r="P601" s="36" t="str">
        <x:v>KERNAUSSAGE</x:v>
      </x:c>
      <x:c r="Q601" s="36" t="str">
        <x:v>Was folgert Paulus daraus, dass es nur einen Gott gibt?</x:v>
      </x:c>
      <x:c r="R601" s="36" t="str">
        <x:v>Gott ist Gott von Juden und Nichtjuden und rechtfertigt beide durch Glauben.</x:v>
      </x:c>
      <x:c r="S601" s="36" t="str">
        <x:v>Gott ist nur der Gott Israels.</x:v>
      </x:c>
      <x:c r="T601" s="36" t="str">
        <x:v>Nichtjuden benötigen einen anderen Weg zu Gott.</x:v>
      </x:c>
      <x:c r="U601" s="36" t="str">
        <x:v>Das Gesetz wird durch Glauben abgeschafft.</x:v>
      </x:c>
      <x:c r="V601" s="36" t="n">
        <x:v>0</x:v>
      </x:c>
      <x:c r="W601" s="36" t="str">
        <x:f>CHOOSE(V601+1,R601,S601,T601,U601)</x:f>
        <x:v>Gott ist Gott von Juden und Nichtjuden und rechtfertigt beide durch Glauben.</x:v>
      </x:c>
      <x:c r="X601" s="36" t="str">
        <x:v>Römer 3,29–31</x:v>
      </x:c>
      <x:c r="Y601" s="36" t="str">
        <x:v>Paulus verbindet den einen Gott mit einem gemeinsamen Weg der Rechtfertigung und sagt zugleich, dass der Glaube das Gesetz nicht aufhebt.</x:v>
      </x:c>
      <x:c r="Z601" s="36" t="str">
        <x:v>JA</x:v>
      </x:c>
      <x:c r="AA601" s="36" t="str">
        <x:v>JA</x:v>
      </x:c>
      <x:c r="AB601" s="36" t="str">
        <x:v>JA</x:v>
      </x:c>
      <x:c r="AC601" s="36" t="str">
        <x:v>JA</x:v>
      </x:c>
      <x:c r="AD601" s="36" t="str">
        <x:v>JA</x:v>
      </x:c>
      <x:c r="AE601" s="36" t="str">
        <x:v>JA</x:v>
      </x:c>
      <x:c r="AF601" s="36" t="str">
        <x:v>JA</x:v>
      </x:c>
      <x:c r="AG601" s="36" t="str">
        <x:v>FREIGEGEBEN</x:v>
      </x:c>
      <x:c r="AH601" s="36" t="str">
        <x:v>GPT-5.6 Sol · Buchprüfung Römer · L1912/OTB</x:v>
      </x:c>
      <x:c r="AI601" s="36" t="str">
        <x:v>FREIGEGEBEN</x:v>
      </x:c>
      <x:c r="AJ601" s="36" t="str">
        <x:v>Römer 3: repetitive Wiedererkennungsfrage durch KERNAUSSAGE-Frage ersetzt.</x:v>
      </x:c>
      <x:c r="AK601" s="36" t="str">
        <x:v>FaithPath repo develop/v4 · data/stories.json · data/bibles/l1912/ROM.json · data/bibles/otb/ROM.json</x:v>
      </x:c>
      <x:c r="AL601" t="str">
        <x:f>IF(AND(AG601="FREIGEGEBEN",AI601="FREIGEGEBEN",Q601&lt;&gt;"",R601&lt;&gt;"",S601&lt;&gt;"",T601&lt;&gt;"",U601&lt;&gt;"",ISNUMBER(V601),X601&lt;&gt;"",Y601&lt;&gt;"",AA601="JA",AB601="JA",AC601="JA",AD601="JA",AE601="JA",AF601="JA"),"JA","NEIN")</x:f>
        <x:v>JA</x:v>
      </x:c>
    </x:row>
    <x:row r="602">
      <x:c r="A602" t="str">
        <x:v>FP-0861</x:v>
      </x:c>
      <x:c r="B602" t="str">
        <x:v>ROM</x:v>
      </x:c>
      <x:c r="C602" t="str">
        <x:v>Römer</x:v>
      </x:c>
      <x:c r="D602" t="n">
        <x:v>4</x:v>
      </x:c>
      <x:c r="E602" t="n">
        <x:v>1</x:v>
      </x:c>
      <x:c r="F602" t="str">
        <x:v>ROM-004</x:v>
      </x:c>
      <x:c r="G602" t="n">
        <x:v>121</x:v>
      </x:c>
      <x:c r="H602" t="str">
        <x:v>CQ-A07</x:v>
      </x:c>
      <x:c r="I602" s="36" t="str">
        <x:v>Welche dieser Aussagen stammt aus Römer 4?</x:v>
      </x:c>
      <x:c r="J602" s="36" t="str"/>
      <x:c r="K602" s="36" t="str"/>
      <x:c r="L602" s="36" t="str">
        <x:v>REPO_VERIFIZIERT_FRAGEFORM</x:v>
      </x:c>
      <x:c r="M602" s="36" t="str">
        <x:v>ERSETZEN</x:v>
      </x:c>
      <x:c r="N602" s="36" t="str">
        <x:v>REPETITIVE_FRAGEFORM</x:v>
      </x:c>
      <x:c r="O602" s="36" t="str">
        <x:v>REINE_WIEDERERKENNUNG</x:v>
      </x:c>
      <x:c r="P602" s="36" t="str">
        <x:v>KERNAUSSAGE</x:v>
      </x:c>
      <x:c r="Q602" s="36" t="str">
        <x:v>Warum kann Abraham sich nach Paulus nicht vor Gott aufgrund seiner Werke rühmen?</x:v>
      </x:c>
      <x:c r="R602" s="36" t="str">
        <x:v>Abraham hatte überhaupt keine Werke.</x:v>
      </x:c>
      <x:c r="S602" s="36" t="str">
        <x:v>Die Schrift sagt, dass ihm sein Glaube als Gerechtigkeit angerechnet wurde.</x:v>
      </x:c>
      <x:c r="T602" s="36" t="str">
        <x:v>Abraham kannte Gott nicht.</x:v>
      </x:c>
      <x:c r="U602" s="36" t="str">
        <x:v>Abraham wurde erst durch Beschneidung gerecht.</x:v>
      </x:c>
      <x:c r="V602" s="36" t="n">
        <x:v>1</x:v>
      </x:c>
      <x:c r="W602" s="36" t="str">
        <x:f>CHOOSE(V602+1,R602,S602,T602,U602)</x:f>
        <x:v>Die Schrift sagt, dass ihm sein Glaube als Gerechtigkeit angerechnet wurde.</x:v>
      </x:c>
      <x:c r="X602" s="36" t="str">
        <x:v>Römer 4,1–5</x:v>
      </x:c>
      <x:c r="Y602" s="36" t="str">
        <x:v>Paulus beruft sich auf Genesis: Abraham glaubte Gott, und dies wurde ihm als Gerechtigkeit angerechnet.</x:v>
      </x:c>
      <x:c r="Z602" s="36" t="str">
        <x:v>JA</x:v>
      </x:c>
      <x:c r="AA602" s="36" t="str">
        <x:v>JA</x:v>
      </x:c>
      <x:c r="AB602" s="36" t="str">
        <x:v>JA</x:v>
      </x:c>
      <x:c r="AC602" s="36" t="str">
        <x:v>JA</x:v>
      </x:c>
      <x:c r="AD602" s="36" t="str">
        <x:v>JA</x:v>
      </x:c>
      <x:c r="AE602" s="36" t="str">
        <x:v>JA</x:v>
      </x:c>
      <x:c r="AF602" s="36" t="str">
        <x:v>JA</x:v>
      </x:c>
      <x:c r="AG602" s="36" t="str">
        <x:v>FREIGEGEBEN</x:v>
      </x:c>
      <x:c r="AH602" s="36" t="str">
        <x:v>GPT-5.6 Sol · Buchprüfung Römer · L1912/OTB</x:v>
      </x:c>
      <x:c r="AI602" s="36" t="str">
        <x:v>FREIGEGEBEN</x:v>
      </x:c>
      <x:c r="AJ602" s="36" t="str">
        <x:v>Römer 4: repetitive Wiedererkennungsfrage durch KERNAUSSAGE-Frage ersetzt.</x:v>
      </x:c>
      <x:c r="AK602" s="36" t="str">
        <x:v>FaithPath repo develop/v4 · data/stories.json · data/bibles/l1912/ROM.json · data/bibles/otb/ROM.json</x:v>
      </x:c>
      <x:c r="AL602" t="str">
        <x:f>IF(AND(AG602="FREIGEGEBEN",AI602="FREIGEGEBEN",Q602&lt;&gt;"",R602&lt;&gt;"",S602&lt;&gt;"",T602&lt;&gt;"",U602&lt;&gt;"",ISNUMBER(V602),X602&lt;&gt;"",Y602&lt;&gt;"",AA602="JA",AB602="JA",AC602="JA",AD602="JA",AE602="JA",AF602="JA"),"JA","NEIN")</x:f>
        <x:v>JA</x:v>
      </x:c>
    </x:row>
    <x:row r="603">
      <x:c r="A603" t="str">
        <x:v>FP-0862</x:v>
      </x:c>
      <x:c r="B603" t="str">
        <x:v>ROM</x:v>
      </x:c>
      <x:c r="C603" t="str">
        <x:v>Römer</x:v>
      </x:c>
      <x:c r="D603" t="n">
        <x:v>4</x:v>
      </x:c>
      <x:c r="E603" t="n">
        <x:v>2</x:v>
      </x:c>
      <x:c r="F603" t="str">
        <x:v>ROM-004</x:v>
      </x:c>
      <x:c r="G603" t="n">
        <x:v>121</x:v>
      </x:c>
      <x:c r="H603" t="str">
        <x:v>CQ-A07</x:v>
      </x:c>
      <x:c r="I603" s="36" t="str">
        <x:v>Welche dieser Aussagen stammt aus Römer 4?</x:v>
      </x:c>
      <x:c r="J603" s="36" t="str"/>
      <x:c r="K603" s="36" t="str"/>
      <x:c r="L603" s="36" t="str">
        <x:v>REPO_VERIFIZIERT_FRAGEFORM</x:v>
      </x:c>
      <x:c r="M603" s="36" t="str">
        <x:v>ERSETZEN</x:v>
      </x:c>
      <x:c r="N603" s="36" t="str">
        <x:v>REPETITIVE_FRAGEFORM</x:v>
      </x:c>
      <x:c r="O603" s="36" t="str">
        <x:v>REINE_WIEDERERKENNUNG</x:v>
      </x:c>
      <x:c r="P603" s="36" t="str">
        <x:v>ZUSAMMENHANG</x:v>
      </x:c>
      <x:c r="Q603" s="36" t="str">
        <x:v>Warum ist Abrahams Beschneidung für Paulus nicht die Grundlage seiner Rechtfertigung?</x:v>
      </x:c>
      <x:c r="R603" s="36" t="str">
        <x:v>Weil Abraham nie beschnitten wurde.</x:v>
      </x:c>
      <x:c r="S603" s="36" t="str">
        <x:v>Weil Beschneidung erst nach Mose erfunden wurde.</x:v>
      </x:c>
      <x:c r="T603" s="36" t="str">
        <x:v>Weil ihm der Glaube schon vor der Beschneidung als Gerechtigkeit angerechnet wurde.</x:v>
      </x:c>
      <x:c r="U603" s="36" t="str">
        <x:v>Weil Abraham kein Nachkomme Israels war.</x:v>
      </x:c>
      <x:c r="V603" s="36" t="n">
        <x:v>2</x:v>
      </x:c>
      <x:c r="W603" s="36" t="str">
        <x:f>CHOOSE(V603+1,R603,S603,T603,U603)</x:f>
        <x:v>Weil ihm der Glaube schon vor der Beschneidung als Gerechtigkeit angerechnet wurde.</x:v>
      </x:c>
      <x:c r="X603" s="36" t="str">
        <x:v>Römer 4,9–12</x:v>
      </x:c>
      <x:c r="Y603" s="36" t="str">
        <x:v>Paulus betont die zeitliche Reihenfolge: Glaubensgerechtigkeit geht der Beschneidung voraus.</x:v>
      </x:c>
      <x:c r="Z603" s="36" t="str">
        <x:v>JA</x:v>
      </x:c>
      <x:c r="AA603" s="36" t="str">
        <x:v>JA</x:v>
      </x:c>
      <x:c r="AB603" s="36" t="str">
        <x:v>JA</x:v>
      </x:c>
      <x:c r="AC603" s="36" t="str">
        <x:v>JA</x:v>
      </x:c>
      <x:c r="AD603" s="36" t="str">
        <x:v>JA</x:v>
      </x:c>
      <x:c r="AE603" s="36" t="str">
        <x:v>JA</x:v>
      </x:c>
      <x:c r="AF603" s="36" t="str">
        <x:v>JA</x:v>
      </x:c>
      <x:c r="AG603" s="36" t="str">
        <x:v>FREIGEGEBEN</x:v>
      </x:c>
      <x:c r="AH603" s="36" t="str">
        <x:v>GPT-5.6 Sol · Buchprüfung Römer · L1912/OTB</x:v>
      </x:c>
      <x:c r="AI603" s="36" t="str">
        <x:v>FREIGEGEBEN</x:v>
      </x:c>
      <x:c r="AJ603" s="36" t="str">
        <x:v>Römer 4: repetitive Wiedererkennungsfrage durch ZUSAMMENHANG-Frage ersetzt.</x:v>
      </x:c>
      <x:c r="AK603" s="36" t="str">
        <x:v>FaithPath repo develop/v4 · data/stories.json · data/bibles/l1912/ROM.json · data/bibles/otb/ROM.json</x:v>
      </x:c>
      <x:c r="AL603" t="str">
        <x:f>IF(AND(AG603="FREIGEGEBEN",AI603="FREIGEGEBEN",Q603&lt;&gt;"",R603&lt;&gt;"",S603&lt;&gt;"",T603&lt;&gt;"",U603&lt;&gt;"",ISNUMBER(V603),X603&lt;&gt;"",Y603&lt;&gt;"",AA603="JA",AB603="JA",AC603="JA",AD603="JA",AE603="JA",AF603="JA"),"JA","NEIN")</x:f>
        <x:v>JA</x:v>
      </x:c>
    </x:row>
    <x:row r="604">
      <x:c r="A604" t="str">
        <x:v>FP-0863</x:v>
      </x:c>
      <x:c r="B604" t="str">
        <x:v>ROM</x:v>
      </x:c>
      <x:c r="C604" t="str">
        <x:v>Römer</x:v>
      </x:c>
      <x:c r="D604" t="n">
        <x:v>4</x:v>
      </x:c>
      <x:c r="E604" t="n">
        <x:v>3</x:v>
      </x:c>
      <x:c r="F604" t="str">
        <x:v>ROM-004</x:v>
      </x:c>
      <x:c r="G604" t="n">
        <x:v>121</x:v>
      </x:c>
      <x:c r="H604" t="str">
        <x:v>CQ-A07</x:v>
      </x:c>
      <x:c r="I604" s="36" t="str">
        <x:v>Welche dieser Aussagen stammt aus Römer 4?</x:v>
      </x:c>
      <x:c r="J604" s="36" t="str"/>
      <x:c r="K604" s="36" t="str"/>
      <x:c r="L604" s="36" t="str">
        <x:v>REPO_VERIFIZIERT_FRAGEFORM</x:v>
      </x:c>
      <x:c r="M604" s="36" t="str">
        <x:v>ERSETZEN</x:v>
      </x:c>
      <x:c r="N604" s="36" t="str">
        <x:v>REPETITIVE_FRAGEFORM</x:v>
      </x:c>
      <x:c r="O604" s="36" t="str">
        <x:v>REINE_WIEDERERKENNUNG</x:v>
      </x:c>
      <x:c r="P604" s="36" t="str">
        <x:v>KERNAUSSAGE</x:v>
      </x:c>
      <x:c r="Q604" s="36" t="str">
        <x:v>Wodurch empfing Abraham nach Paulus die Verheißung, Erbe der Welt zu sein?</x:v>
      </x:c>
      <x:c r="R604" s="36" t="str">
        <x:v>Durch militärische Stärke.</x:v>
      </x:c>
      <x:c r="S604" s="36" t="str">
        <x:v>Durch die Beschneidung allein.</x:v>
      </x:c>
      <x:c r="T604" s="36" t="str">
        <x:v>Durch die Gesetzgebung am Sinai.</x:v>
      </x:c>
      <x:c r="U604" s="36" t="str">
        <x:v>Durch die Gerechtigkeit des Glaubens, nicht durch das Gesetz.</x:v>
      </x:c>
      <x:c r="V604" s="36" t="n">
        <x:v>3</x:v>
      </x:c>
      <x:c r="W604" s="36" t="str">
        <x:f>CHOOSE(V604+1,R604,S604,T604,U604)</x:f>
        <x:v>Durch die Gerechtigkeit des Glaubens, nicht durch das Gesetz.</x:v>
      </x:c>
      <x:c r="X604" s="36" t="str">
        <x:v>Römer 4,13–17</x:v>
      </x:c>
      <x:c r="Y604" s="36" t="str">
        <x:v>Die Verheißung wird nicht an Gesetzeswerke gebunden, sondern an Glauben und Gnade.</x:v>
      </x:c>
      <x:c r="Z604" s="36" t="str">
        <x:v>JA</x:v>
      </x:c>
      <x:c r="AA604" s="36" t="str">
        <x:v>JA</x:v>
      </x:c>
      <x:c r="AB604" s="36" t="str">
        <x:v>JA</x:v>
      </x:c>
      <x:c r="AC604" s="36" t="str">
        <x:v>JA</x:v>
      </x:c>
      <x:c r="AD604" s="36" t="str">
        <x:v>JA</x:v>
      </x:c>
      <x:c r="AE604" s="36" t="str">
        <x:v>JA</x:v>
      </x:c>
      <x:c r="AF604" s="36" t="str">
        <x:v>JA</x:v>
      </x:c>
      <x:c r="AG604" s="36" t="str">
        <x:v>FREIGEGEBEN</x:v>
      </x:c>
      <x:c r="AH604" s="36" t="str">
        <x:v>GPT-5.6 Sol · Buchprüfung Römer · L1912/OTB</x:v>
      </x:c>
      <x:c r="AI604" s="36" t="str">
        <x:v>FREIGEGEBEN</x:v>
      </x:c>
      <x:c r="AJ604" s="36" t="str">
        <x:v>Römer 4: repetitive Wiedererkennungsfrage durch KERNAUSSAGE-Frage ersetzt.</x:v>
      </x:c>
      <x:c r="AK604" s="36" t="str">
        <x:v>FaithPath repo develop/v4 · data/stories.json · data/bibles/l1912/ROM.json · data/bibles/otb/ROM.json</x:v>
      </x:c>
      <x:c r="AL604" t="str">
        <x:f>IF(AND(AG604="FREIGEGEBEN",AI604="FREIGEGEBEN",Q604&lt;&gt;"",R604&lt;&gt;"",S604&lt;&gt;"",T604&lt;&gt;"",U604&lt;&gt;"",ISNUMBER(V604),X604&lt;&gt;"",Y604&lt;&gt;"",AA604="JA",AB604="JA",AC604="JA",AD604="JA",AE604="JA",AF604="JA"),"JA","NEIN")</x:f>
        <x:v>JA</x:v>
      </x:c>
    </x:row>
    <x:row r="605">
      <x:c r="A605" t="str">
        <x:v>FP-0864</x:v>
      </x:c>
      <x:c r="B605" t="str">
        <x:v>ROM</x:v>
      </x:c>
      <x:c r="C605" t="str">
        <x:v>Römer</x:v>
      </x:c>
      <x:c r="D605" t="n">
        <x:v>4</x:v>
      </x:c>
      <x:c r="E605" t="n">
        <x:v>4</x:v>
      </x:c>
      <x:c r="F605" t="str">
        <x:v>ROM-004</x:v>
      </x:c>
      <x:c r="G605" t="n">
        <x:v>121</x:v>
      </x:c>
      <x:c r="H605" t="str">
        <x:v>CQ-A07</x:v>
      </x:c>
      <x:c r="I605" s="36" t="str">
        <x:v>Welche dieser Aussagen stammt aus Römer 4?</x:v>
      </x:c>
      <x:c r="J605" s="36" t="str"/>
      <x:c r="K605" s="36" t="str"/>
      <x:c r="L605" s="36" t="str">
        <x:v>REPO_VERIFIZIERT_FRAGEFORM</x:v>
      </x:c>
      <x:c r="M605" s="36" t="str">
        <x:v>ERSETZEN</x:v>
      </x:c>
      <x:c r="N605" s="36" t="str">
        <x:v>REPETITIVE_FRAGEFORM</x:v>
      </x:c>
      <x:c r="O605" s="36" t="str">
        <x:v>REINE_WIEDERERKENNUNG</x:v>
      </x:c>
      <x:c r="P605" s="36" t="str">
        <x:v>ZUSAMMENHANG</x:v>
      </x:c>
      <x:c r="Q605" s="36" t="str">
        <x:v>Was kennzeichnet Abrahams Glauben trotz seiner menschlich aussichtslosen Lage?</x:v>
      </x:c>
      <x:c r="R605" s="36" t="str">
        <x:v>Er hält an Gottes Verheißung fest und gibt Gott die Ehre.</x:v>
      </x:c>
      <x:c r="S605" s="36" t="str">
        <x:v>Er ignoriert Gottes Zusage.</x:v>
      </x:c>
      <x:c r="T605" s="36" t="str">
        <x:v>Er vertraut nur auf seine eigene Kraft.</x:v>
      </x:c>
      <x:c r="U605" s="36" t="str">
        <x:v>Er verlangt zuerst ein politisches Zeichen.</x:v>
      </x:c>
      <x:c r="V605" s="36" t="n">
        <x:v>0</x:v>
      </x:c>
      <x:c r="W605" s="36" t="str">
        <x:f>CHOOSE(V605+1,R605,S605,T605,U605)</x:f>
        <x:v>Er hält an Gottes Verheißung fest und gibt Gott die Ehre.</x:v>
      </x:c>
      <x:c r="X605" s="36" t="str">
        <x:v>Römer 4,18–22</x:v>
      </x:c>
      <x:c r="Y605" s="36" t="str">
        <x:v>Paulus beschreibt Abraham als einen, der entgegen menschlicher Hoffnung an Gottes Zusage festhält.</x:v>
      </x:c>
      <x:c r="Z605" s="36" t="str">
        <x:v>JA</x:v>
      </x:c>
      <x:c r="AA605" s="36" t="str">
        <x:v>JA</x:v>
      </x:c>
      <x:c r="AB605" s="36" t="str">
        <x:v>JA</x:v>
      </x:c>
      <x:c r="AC605" s="36" t="str">
        <x:v>JA</x:v>
      </x:c>
      <x:c r="AD605" s="36" t="str">
        <x:v>JA</x:v>
      </x:c>
      <x:c r="AE605" s="36" t="str">
        <x:v>JA</x:v>
      </x:c>
      <x:c r="AF605" s="36" t="str">
        <x:v>JA</x:v>
      </x:c>
      <x:c r="AG605" s="36" t="str">
        <x:v>FREIGEGEBEN</x:v>
      </x:c>
      <x:c r="AH605" s="36" t="str">
        <x:v>GPT-5.6 Sol · Buchprüfung Römer · L1912/OTB</x:v>
      </x:c>
      <x:c r="AI605" s="36" t="str">
        <x:v>FREIGEGEBEN</x:v>
      </x:c>
      <x:c r="AJ605" s="36" t="str">
        <x:v>Römer 4: repetitive Wiedererkennungsfrage durch ZUSAMMENHANG-Frage ersetzt.</x:v>
      </x:c>
      <x:c r="AK605" s="36" t="str">
        <x:v>FaithPath repo develop/v4 · data/stories.json · data/bibles/l1912/ROM.json · data/bibles/otb/ROM.json</x:v>
      </x:c>
      <x:c r="AL605" t="str">
        <x:f>IF(AND(AG605="FREIGEGEBEN",AI605="FREIGEGEBEN",Q605&lt;&gt;"",R605&lt;&gt;"",S605&lt;&gt;"",T605&lt;&gt;"",U605&lt;&gt;"",ISNUMBER(V605),X605&lt;&gt;"",Y605&lt;&gt;"",AA605="JA",AB605="JA",AC605="JA",AD605="JA",AE605="JA",AF605="JA"),"JA","NEIN")</x:f>
        <x:v>JA</x:v>
      </x:c>
    </x:row>
    <x:row r="606">
      <x:c r="A606" t="str">
        <x:v>FP-0865</x:v>
      </x:c>
      <x:c r="B606" t="str">
        <x:v>ROM</x:v>
      </x:c>
      <x:c r="C606" t="str">
        <x:v>Römer</x:v>
      </x:c>
      <x:c r="D606" t="n">
        <x:v>4</x:v>
      </x:c>
      <x:c r="E606" t="n">
        <x:v>5</x:v>
      </x:c>
      <x:c r="F606" t="str">
        <x:v>ROM-004</x:v>
      </x:c>
      <x:c r="G606" t="n">
        <x:v>121</x:v>
      </x:c>
      <x:c r="H606" t="str">
        <x:v>CQ-A07</x:v>
      </x:c>
      <x:c r="I606" s="36" t="str">
        <x:v>Welche dieser Aussagen stammt aus Römer 4?</x:v>
      </x:c>
      <x:c r="J606" s="36" t="str"/>
      <x:c r="K606" s="36" t="str"/>
      <x:c r="L606" s="36" t="str">
        <x:v>REPO_VERIFIZIERT_FRAGEFORM</x:v>
      </x:c>
      <x:c r="M606" s="36" t="str">
        <x:v>ERSETZEN</x:v>
      </x:c>
      <x:c r="N606" s="36" t="str">
        <x:v>REPETITIVE_FRAGEFORM</x:v>
      </x:c>
      <x:c r="O606" s="36" t="str">
        <x:v>REINE_WIEDERERKENNUNG</x:v>
      </x:c>
      <x:c r="P606" s="36" t="str">
        <x:v>KERNAUSSAGE</x:v>
      </x:c>
      <x:c r="Q606" s="36" t="str">
        <x:v>Warum erzählt Paulus, dass Abrahams Glaube ihm angerechnet wurde?</x:v>
      </x:c>
      <x:c r="R606" s="36" t="str">
        <x:v>Nur um Abrahams Geschichte zu vervollständigen.</x:v>
      </x:c>
      <x:c r="S606" s="36" t="str">
        <x:v>Nicht nur wegen Abraham, sondern auch für die, die an den auferweckenden Gott glauben.</x:v>
      </x:c>
      <x:c r="T606" s="36" t="str">
        <x:v>Um zu zeigen, dass Jesus keine Rolle spielt.</x:v>
      </x:c>
      <x:c r="U606" s="36" t="str">
        <x:v>Um die Beschneidung als Heilsgrund einzuführen.</x:v>
      </x:c>
      <x:c r="V606" s="36" t="n">
        <x:v>1</x:v>
      </x:c>
      <x:c r="W606" s="36" t="str">
        <x:f>CHOOSE(V606+1,R606,S606,T606,U606)</x:f>
        <x:v>Nicht nur wegen Abraham, sondern auch für die, die an den auferweckenden Gott glauben.</x:v>
      </x:c>
      <x:c r="X606" s="36" t="str">
        <x:v>Römer 4,23–25</x:v>
      </x:c>
      <x:c r="Y606" s="36" t="str">
        <x:v>Paulus wendet Abrahams Beispiel auf Glaubende an, die an den Gott glauben, der Jesus auferweckt hat.</x:v>
      </x:c>
      <x:c r="Z606" s="36" t="str">
        <x:v>JA</x:v>
      </x:c>
      <x:c r="AA606" s="36" t="str">
        <x:v>JA</x:v>
      </x:c>
      <x:c r="AB606" s="36" t="str">
        <x:v>JA</x:v>
      </x:c>
      <x:c r="AC606" s="36" t="str">
        <x:v>JA</x:v>
      </x:c>
      <x:c r="AD606" s="36" t="str">
        <x:v>JA</x:v>
      </x:c>
      <x:c r="AE606" s="36" t="str">
        <x:v>JA</x:v>
      </x:c>
      <x:c r="AF606" s="36" t="str">
        <x:v>JA</x:v>
      </x:c>
      <x:c r="AG606" s="36" t="str">
        <x:v>FREIGEGEBEN</x:v>
      </x:c>
      <x:c r="AH606" s="36" t="str">
        <x:v>GPT-5.6 Sol · Buchprüfung Römer · L1912/OTB</x:v>
      </x:c>
      <x:c r="AI606" s="36" t="str">
        <x:v>FREIGEGEBEN</x:v>
      </x:c>
      <x:c r="AJ606" s="36" t="str">
        <x:v>Römer 4: repetitive Wiedererkennungsfrage durch KERNAUSSAGE-Frage ersetzt.</x:v>
      </x:c>
      <x:c r="AK606" s="36" t="str">
        <x:v>FaithPath repo develop/v4 · data/stories.json · data/bibles/l1912/ROM.json · data/bibles/otb/ROM.json</x:v>
      </x:c>
      <x:c r="AL606" t="str">
        <x:f>IF(AND(AG606="FREIGEGEBEN",AI606="FREIGEGEBEN",Q606&lt;&gt;"",R606&lt;&gt;"",S606&lt;&gt;"",T606&lt;&gt;"",U606&lt;&gt;"",ISNUMBER(V606),X606&lt;&gt;"",Y606&lt;&gt;"",AA606="JA",AB606="JA",AC606="JA",AD606="JA",AE606="JA",AF606="JA"),"JA","NEIN")</x:f>
        <x:v>JA</x:v>
      </x:c>
    </x:row>
    <x:row r="607">
      <x:c r="A607" t="str">
        <x:v>FP-0866</x:v>
      </x:c>
      <x:c r="B607" t="str">
        <x:v>ROM</x:v>
      </x:c>
      <x:c r="C607" t="str">
        <x:v>Römer</x:v>
      </x:c>
      <x:c r="D607" t="n">
        <x:v>5</x:v>
      </x:c>
      <x:c r="E607" t="n">
        <x:v>1</x:v>
      </x:c>
      <x:c r="F607" t="str">
        <x:v>ROM-005</x:v>
      </x:c>
      <x:c r="G607" t="n">
        <x:v>122</x:v>
      </x:c>
      <x:c r="H607" t="str">
        <x:v>CQ-A07</x:v>
      </x:c>
      <x:c r="I607" s="36" t="str">
        <x:v>Welche dieser Aussagen stammt aus Römer 5?</x:v>
      </x:c>
      <x:c r="J607" s="36" t="str"/>
      <x:c r="K607" s="36" t="str"/>
      <x:c r="L607" s="36" t="str">
        <x:v>REPO_VERIFIZIERT_FRAGEFORM</x:v>
      </x:c>
      <x:c r="M607" s="36" t="str">
        <x:v>ERSETZEN</x:v>
      </x:c>
      <x:c r="N607" s="36" t="str">
        <x:v>REPETITIVE_FRAGEFORM</x:v>
      </x:c>
      <x:c r="O607" s="36" t="str">
        <x:v>REINE_WIEDERERKENNUNG</x:v>
      </x:c>
      <x:c r="P607" s="36" t="str">
        <x:v>KERNAUSSAGE</x:v>
      </x:c>
      <x:c r="Q607" s="36" t="str">
        <x:v>Welche Folge der Rechtfertigung durch Glauben nennt Paulus zuerst?</x:v>
      </x:c>
      <x:c r="R607" s="36" t="str">
        <x:v>Politische Freiheit von Rom.</x:v>
      </x:c>
      <x:c r="S607" s="36" t="str">
        <x:v>Ein Leben ohne jede Bedrängnis.</x:v>
      </x:c>
      <x:c r="T607" s="36" t="str">
        <x:v>Frieden mit Gott durch Jesus Christus.</x:v>
      </x:c>
      <x:c r="U607" s="36" t="str">
        <x:v>Automatischen materiellen Wohlstand.</x:v>
      </x:c>
      <x:c r="V607" s="36" t="n">
        <x:v>2</x:v>
      </x:c>
      <x:c r="W607" s="36" t="str">
        <x:f>CHOOSE(V607+1,R607,S607,T607,U607)</x:f>
        <x:v>Frieden mit Gott durch Jesus Christus.</x:v>
      </x:c>
      <x:c r="X607" s="36" t="str">
        <x:v>Römer 5,1–5</x:v>
      </x:c>
      <x:c r="Y607" s="36" t="str">
        <x:v>Paulus beginnt mit Frieden mit Gott und beschreibt Zugang zur Gnade sowie Hoffnung.</x:v>
      </x:c>
      <x:c r="Z607" s="36" t="str">
        <x:v>JA</x:v>
      </x:c>
      <x:c r="AA607" s="36" t="str">
        <x:v>JA</x:v>
      </x:c>
      <x:c r="AB607" s="36" t="str">
        <x:v>JA</x:v>
      </x:c>
      <x:c r="AC607" s="36" t="str">
        <x:v>JA</x:v>
      </x:c>
      <x:c r="AD607" s="36" t="str">
        <x:v>JA</x:v>
      </x:c>
      <x:c r="AE607" s="36" t="str">
        <x:v>JA</x:v>
      </x:c>
      <x:c r="AF607" s="36" t="str">
        <x:v>JA</x:v>
      </x:c>
      <x:c r="AG607" s="36" t="str">
        <x:v>FREIGEGEBEN</x:v>
      </x:c>
      <x:c r="AH607" s="36" t="str">
        <x:v>GPT-5.6 Sol · Buchprüfung Römer · L1912/OTB</x:v>
      </x:c>
      <x:c r="AI607" s="36" t="str">
        <x:v>FREIGEGEBEN</x:v>
      </x:c>
      <x:c r="AJ607" s="36" t="str">
        <x:v>Römer 5: repetitive Wiedererkennungsfrage durch KERNAUSSAGE-Frage ersetzt.</x:v>
      </x:c>
      <x:c r="AK607" s="36" t="str">
        <x:v>FaithPath repo develop/v4 · data/stories.json · data/bibles/l1912/ROM.json · data/bibles/otb/ROM.json</x:v>
      </x:c>
      <x:c r="AL607" t="str">
        <x:f>IF(AND(AG607="FREIGEGEBEN",AI607="FREIGEGEBEN",Q607&lt;&gt;"",R607&lt;&gt;"",S607&lt;&gt;"",T607&lt;&gt;"",U607&lt;&gt;"",ISNUMBER(V607),X607&lt;&gt;"",Y607&lt;&gt;"",AA607="JA",AB607="JA",AC607="JA",AD607="JA",AE607="JA",AF607="JA"),"JA","NEIN")</x:f>
        <x:v>JA</x:v>
      </x:c>
    </x:row>
    <x:row r="608">
      <x:c r="A608" t="str">
        <x:v>FP-0867</x:v>
      </x:c>
      <x:c r="B608" t="str">
        <x:v>ROM</x:v>
      </x:c>
      <x:c r="C608" t="str">
        <x:v>Römer</x:v>
      </x:c>
      <x:c r="D608" t="n">
        <x:v>5</x:v>
      </x:c>
      <x:c r="E608" t="n">
        <x:v>2</x:v>
      </x:c>
      <x:c r="F608" t="str">
        <x:v>ROM-005</x:v>
      </x:c>
      <x:c r="G608" t="n">
        <x:v>122</x:v>
      </x:c>
      <x:c r="H608" t="str">
        <x:v>CQ-A07</x:v>
      </x:c>
      <x:c r="I608" s="36" t="str">
        <x:v>Welche dieser Aussagen stammt aus Römer 5?</x:v>
      </x:c>
      <x:c r="J608" s="36" t="str"/>
      <x:c r="K608" s="36" t="str"/>
      <x:c r="L608" s="36" t="str">
        <x:v>REPO_VERIFIZIERT_FRAGEFORM</x:v>
      </x:c>
      <x:c r="M608" s="36" t="str">
        <x:v>ERSETZEN</x:v>
      </x:c>
      <x:c r="N608" s="36" t="str">
        <x:v>REPETITIVE_FRAGEFORM</x:v>
      </x:c>
      <x:c r="O608" s="36" t="str">
        <x:v>REINE_WIEDERERKENNUNG</x:v>
      </x:c>
      <x:c r="P608" s="36" t="str">
        <x:v>KERNAUSSAGE</x:v>
      </x:c>
      <x:c r="Q608" s="36" t="str">
        <x:v>Woran zeigt Gott seine Liebe besonders?</x:v>
      </x:c>
      <x:c r="R608" s="36" t="str">
        <x:v>Gott verhindert jede Schwierigkeit.</x:v>
      </x:c>
      <x:c r="S608" s="36" t="str">
        <x:v>Nur Gerechte werden von Christus geliebt.</x:v>
      </x:c>
      <x:c r="T608" s="36" t="str">
        <x:v>Liebe zeigt sich vor allem in Wohlstand.</x:v>
      </x:c>
      <x:c r="U608" s="36" t="str">
        <x:v>Christus starb für uns, als wir noch Sünder waren.</x:v>
      </x:c>
      <x:c r="V608" s="36" t="n">
        <x:v>3</x:v>
      </x:c>
      <x:c r="W608" s="36" t="str">
        <x:f>CHOOSE(V608+1,R608,S608,T608,U608)</x:f>
        <x:v>Christus starb für uns, als wir noch Sünder waren.</x:v>
      </x:c>
      <x:c r="X608" s="36" t="str">
        <x:v>Römer 5,6–8</x:v>
      </x:c>
      <x:c r="Y608" s="36" t="str">
        <x:v>Die Liebe Gottes zeigt sich darin, dass Christus nicht für bereits Gerechte, sondern für Sünder starb.</x:v>
      </x:c>
      <x:c r="Z608" s="36" t="str">
        <x:v>JA</x:v>
      </x:c>
      <x:c r="AA608" s="36" t="str">
        <x:v>JA</x:v>
      </x:c>
      <x:c r="AB608" s="36" t="str">
        <x:v>JA</x:v>
      </x:c>
      <x:c r="AC608" s="36" t="str">
        <x:v>JA</x:v>
      </x:c>
      <x:c r="AD608" s="36" t="str">
        <x:v>JA</x:v>
      </x:c>
      <x:c r="AE608" s="36" t="str">
        <x:v>JA</x:v>
      </x:c>
      <x:c r="AF608" s="36" t="str">
        <x:v>JA</x:v>
      </x:c>
      <x:c r="AG608" s="36" t="str">
        <x:v>FREIGEGEBEN</x:v>
      </x:c>
      <x:c r="AH608" s="36" t="str">
        <x:v>GPT-5.6 Sol · Buchprüfung Römer · L1912/OTB</x:v>
      </x:c>
      <x:c r="AI608" s="36" t="str">
        <x:v>FREIGEGEBEN</x:v>
      </x:c>
      <x:c r="AJ608" s="36" t="str">
        <x:v>Römer 5: repetitive Wiedererkennungsfrage durch KERNAUSSAGE-Frage ersetzt.</x:v>
      </x:c>
      <x:c r="AK608" s="36" t="str">
        <x:v>FaithPath repo develop/v4 · data/stories.json · data/bibles/l1912/ROM.json · data/bibles/otb/ROM.json</x:v>
      </x:c>
      <x:c r="AL608" t="str">
        <x:f>IF(AND(AG608="FREIGEGEBEN",AI608="FREIGEGEBEN",Q608&lt;&gt;"",R608&lt;&gt;"",S608&lt;&gt;"",T608&lt;&gt;"",U608&lt;&gt;"",ISNUMBER(V608),X608&lt;&gt;"",Y608&lt;&gt;"",AA608="JA",AB608="JA",AC608="JA",AD608="JA",AE608="JA",AF608="JA"),"JA","NEIN")</x:f>
        <x:v>JA</x:v>
      </x:c>
    </x:row>
    <x:row r="609">
      <x:c r="A609" t="str">
        <x:v>FP-0868</x:v>
      </x:c>
      <x:c r="B609" t="str">
        <x:v>ROM</x:v>
      </x:c>
      <x:c r="C609" t="str">
        <x:v>Römer</x:v>
      </x:c>
      <x:c r="D609" t="n">
        <x:v>5</x:v>
      </x:c>
      <x:c r="E609" t="n">
        <x:v>3</x:v>
      </x:c>
      <x:c r="F609" t="str">
        <x:v>ROM-005</x:v>
      </x:c>
      <x:c r="G609" t="n">
        <x:v>122</x:v>
      </x:c>
      <x:c r="H609" t="str">
        <x:v>CQ-A07</x:v>
      </x:c>
      <x:c r="I609" s="36" t="str">
        <x:v>Welche dieser Aussagen stammt aus Römer 5?</x:v>
      </x:c>
      <x:c r="J609" s="36" t="str"/>
      <x:c r="K609" s="36" t="str"/>
      <x:c r="L609" s="36" t="str">
        <x:v>REPO_VERIFIZIERT_FRAGEFORM</x:v>
      </x:c>
      <x:c r="M609" s="36" t="str">
        <x:v>ERSETZEN</x:v>
      </x:c>
      <x:c r="N609" s="36" t="str">
        <x:v>REPETITIVE_FRAGEFORM</x:v>
      </x:c>
      <x:c r="O609" s="36" t="str">
        <x:v>REINE_WIEDERERKENNUNG</x:v>
      </x:c>
      <x:c r="P609" s="36" t="str">
        <x:v>ZUSAMMENHANG</x:v>
      </x:c>
      <x:c r="Q609" s="36" t="str">
        <x:v>Welche Hoffnung begründet Paulus mit der bereits geschehenen Versöhnung durch Christi Tod?</x:v>
      </x:c>
      <x:c r="R609" s="36" t="str">
        <x:v>Wenn Gott uns als Feinde versöhnt hat, werden wir umso mehr durch Christi Leben gerettet werden.</x:v>
      </x:c>
      <x:c r="S609" s="36" t="str">
        <x:v>Versöhnung macht zukünftige Rettung unnötig.</x:v>
      </x:c>
      <x:c r="T609" s="36" t="str">
        <x:v>Nur der Tod Christi ist wichtig, seine Auferstehung nicht.</x:v>
      </x:c>
      <x:c r="U609" s="36" t="str">
        <x:v>Versöhnte Menschen brauchen Gott danach nicht mehr.</x:v>
      </x:c>
      <x:c r="V609" s="36" t="n">
        <x:v>0</x:v>
      </x:c>
      <x:c r="W609" s="36" t="str">
        <x:f>CHOOSE(V609+1,R609,S609,T609,U609)</x:f>
        <x:v>Wenn Gott uns als Feinde versöhnt hat, werden wir umso mehr durch Christi Leben gerettet werden.</x:v>
      </x:c>
      <x:c r="X609" s="36" t="str">
        <x:v>Römer 5,9–11</x:v>
      </x:c>
      <x:c r="Y609" s="36" t="str">
        <x:v>Paulus argumentiert vom Größeren zum Weiteren: Die bereits geschenkte Versöhnung begründet Zuversicht auf Rettung.</x:v>
      </x:c>
      <x:c r="Z609" s="36" t="str">
        <x:v>JA</x:v>
      </x:c>
      <x:c r="AA609" s="36" t="str">
        <x:v>JA</x:v>
      </x:c>
      <x:c r="AB609" s="36" t="str">
        <x:v>JA</x:v>
      </x:c>
      <x:c r="AC609" s="36" t="str">
        <x:v>JA</x:v>
      </x:c>
      <x:c r="AD609" s="36" t="str">
        <x:v>JA</x:v>
      </x:c>
      <x:c r="AE609" s="36" t="str">
        <x:v>JA</x:v>
      </x:c>
      <x:c r="AF609" s="36" t="str">
        <x:v>JA</x:v>
      </x:c>
      <x:c r="AG609" s="36" t="str">
        <x:v>FREIGEGEBEN</x:v>
      </x:c>
      <x:c r="AH609" s="36" t="str">
        <x:v>GPT-5.6 Sol · Buchprüfung Römer · L1912/OTB</x:v>
      </x:c>
      <x:c r="AI609" s="36" t="str">
        <x:v>FREIGEGEBEN</x:v>
      </x:c>
      <x:c r="AJ609" s="36" t="str">
        <x:v>Römer 5: repetitive Wiedererkennungsfrage durch ZUSAMMENHANG-Frage ersetzt.</x:v>
      </x:c>
      <x:c r="AK609" s="36" t="str">
        <x:v>FaithPath repo develop/v4 · data/stories.json · data/bibles/l1912/ROM.json · data/bibles/otb/ROM.json</x:v>
      </x:c>
      <x:c r="AL609" t="str">
        <x:f>IF(AND(AG609="FREIGEGEBEN",AI609="FREIGEGEBEN",Q609&lt;&gt;"",R609&lt;&gt;"",S609&lt;&gt;"",T609&lt;&gt;"",U609&lt;&gt;"",ISNUMBER(V609),X609&lt;&gt;"",Y609&lt;&gt;"",AA609="JA",AB609="JA",AC609="JA",AD609="JA",AE609="JA",AF609="JA"),"JA","NEIN")</x:f>
        <x:v>JA</x:v>
      </x:c>
    </x:row>
    <x:row r="610">
      <x:c r="A610" t="str">
        <x:v>FP-0869</x:v>
      </x:c>
      <x:c r="B610" t="str">
        <x:v>ROM</x:v>
      </x:c>
      <x:c r="C610" t="str">
        <x:v>Römer</x:v>
      </x:c>
      <x:c r="D610" t="n">
        <x:v>5</x:v>
      </x:c>
      <x:c r="E610" t="n">
        <x:v>4</x:v>
      </x:c>
      <x:c r="F610" t="str">
        <x:v>ROM-005</x:v>
      </x:c>
      <x:c r="G610" t="n">
        <x:v>122</x:v>
      </x:c>
      <x:c r="H610" t="str">
        <x:v>CQ-A07</x:v>
      </x:c>
      <x:c r="I610" s="36" t="str">
        <x:v>Welche dieser Aussagen stammt aus Römer 5?</x:v>
      </x:c>
      <x:c r="J610" s="36" t="str"/>
      <x:c r="K610" s="36" t="str"/>
      <x:c r="L610" s="36" t="str">
        <x:v>REPO_VERIFIZIERT_FRAGEFORM</x:v>
      </x:c>
      <x:c r="M610" s="36" t="str">
        <x:v>ERSETZEN</x:v>
      </x:c>
      <x:c r="N610" s="36" t="str">
        <x:v>REPETITIVE_FRAGEFORM</x:v>
      </x:c>
      <x:c r="O610" s="36" t="str">
        <x:v>REINE_WIEDERERKENNUNG</x:v>
      </x:c>
      <x:c r="P610" s="36" t="str">
        <x:v>ZUSAMMENHANG</x:v>
      </x:c>
      <x:c r="Q610" s="36" t="str">
        <x:v>Welche Verbindung stellt Paulus zwischen Adam, Sünde und Tod her?</x:v>
      </x:c>
      <x:c r="R610" s="36" t="str">
        <x:v>Der Tod existierte nach Paulus nur für Israel.</x:v>
      </x:c>
      <x:c r="S610" s="36" t="str">
        <x:v>Durch einen Menschen kam die Sünde in die Welt und durch die Sünde der Tod.</x:v>
      </x:c>
      <x:c r="T610" s="36" t="str">
        <x:v>Adam hatte mit der Sünde nichts zu tun.</x:v>
      </x:c>
      <x:c r="U610" s="36" t="str">
        <x:v>Das Gesetz des Mose brachte erstmals Sünde in die Welt.</x:v>
      </x:c>
      <x:c r="V610" s="36" t="n">
        <x:v>1</x:v>
      </x:c>
      <x:c r="W610" s="36" t="str">
        <x:f>CHOOSE(V610+1,R610,S610,T610,U610)</x:f>
        <x:v>Durch einen Menschen kam die Sünde in die Welt und durch die Sünde der Tod.</x:v>
      </x:c>
      <x:c r="X610" s="36" t="str">
        <x:v>Römer 5,12–14</x:v>
      </x:c>
      <x:c r="Y610" s="36" t="str">
        <x:v>Paulus beschreibt Adam als Ausgangspunkt einer Sünden- und Todeswirklichkeit, die alle Menschen betrifft.</x:v>
      </x:c>
      <x:c r="Z610" s="36" t="str">
        <x:v>JA</x:v>
      </x:c>
      <x:c r="AA610" s="36" t="str">
        <x:v>JA</x:v>
      </x:c>
      <x:c r="AB610" s="36" t="str">
        <x:v>JA</x:v>
      </x:c>
      <x:c r="AC610" s="36" t="str">
        <x:v>JA</x:v>
      </x:c>
      <x:c r="AD610" s="36" t="str">
        <x:v>JA</x:v>
      </x:c>
      <x:c r="AE610" s="36" t="str">
        <x:v>JA</x:v>
      </x:c>
      <x:c r="AF610" s="36" t="str">
        <x:v>JA</x:v>
      </x:c>
      <x:c r="AG610" s="36" t="str">
        <x:v>FREIGEGEBEN</x:v>
      </x:c>
      <x:c r="AH610" s="36" t="str">
        <x:v>GPT-5.6 Sol · Buchprüfung Römer · L1912/OTB</x:v>
      </x:c>
      <x:c r="AI610" s="36" t="str">
        <x:v>FREIGEGEBEN</x:v>
      </x:c>
      <x:c r="AJ610" s="36" t="str">
        <x:v>Römer 5: repetitive Wiedererkennungsfrage durch ZUSAMMENHANG-Frage ersetzt.</x:v>
      </x:c>
      <x:c r="AK610" s="36" t="str">
        <x:v>FaithPath repo develop/v4 · data/stories.json · data/bibles/l1912/ROM.json · data/bibles/otb/ROM.json</x:v>
      </x:c>
      <x:c r="AL610" t="str">
        <x:f>IF(AND(AG610="FREIGEGEBEN",AI610="FREIGEGEBEN",Q610&lt;&gt;"",R610&lt;&gt;"",S610&lt;&gt;"",T610&lt;&gt;"",U610&lt;&gt;"",ISNUMBER(V610),X610&lt;&gt;"",Y610&lt;&gt;"",AA610="JA",AB610="JA",AC610="JA",AD610="JA",AE610="JA",AF610="JA"),"JA","NEIN")</x:f>
        <x:v>JA</x:v>
      </x:c>
    </x:row>
    <x:row r="611">
      <x:c r="A611" t="str">
        <x:v>FP-0870</x:v>
      </x:c>
      <x:c r="B611" t="str">
        <x:v>ROM</x:v>
      </x:c>
      <x:c r="C611" t="str">
        <x:v>Römer</x:v>
      </x:c>
      <x:c r="D611" t="n">
        <x:v>5</x:v>
      </x:c>
      <x:c r="E611" t="n">
        <x:v>5</x:v>
      </x:c>
      <x:c r="F611" t="str">
        <x:v>ROM-005</x:v>
      </x:c>
      <x:c r="G611" t="n">
        <x:v>122</x:v>
      </x:c>
      <x:c r="H611" t="str">
        <x:v>CQ-A07</x:v>
      </x:c>
      <x:c r="I611" s="36" t="str">
        <x:v>Welche dieser Aussagen stammt aus Römer 5?</x:v>
      </x:c>
      <x:c r="J611" s="36" t="str"/>
      <x:c r="K611" s="36" t="str"/>
      <x:c r="L611" s="36" t="str">
        <x:v>REPO_VERIFIZIERT_FRAGEFORM</x:v>
      </x:c>
      <x:c r="M611" s="36" t="str">
        <x:v>ERSETZEN</x:v>
      </x:c>
      <x:c r="N611" s="36" t="str">
        <x:v>REPETITIVE_FRAGEFORM</x:v>
      </x:c>
      <x:c r="O611" s="36" t="str">
        <x:v>REINE_WIEDERERKENNUNG</x:v>
      </x:c>
      <x:c r="P611" s="36" t="str">
        <x:v>KERNAUSSAGE</x:v>
      </x:c>
      <x:c r="Q611" s="36" t="str">
        <x:v>Wie stellt Paulus Adam und Christus am Ende von Römer 5 gegenüber?</x:v>
      </x:c>
      <x:c r="R611" s="36" t="str">
        <x:v>Beide haben dieselbe Wirkung auf die Menschheit.</x:v>
      </x:c>
      <x:c r="S611" s="36" t="str">
        <x:v>Adam bringt Leben, Christus das Gesetz.</x:v>
      </x:c>
      <x:c r="T611" s="36" t="str">
        <x:v>Wie durch den Ungehorsam des einen Sünde und Verurteilung kamen, so kommen durch Christi Gehorsam Gerechtigkeit und Leben.</x:v>
      </x:c>
      <x:c r="U611" s="36" t="str">
        <x:v>Christus macht Adams Handeln bedeutungslos, ohne selbst etwas zu bewirken.</x:v>
      </x:c>
      <x:c r="V611" s="36" t="n">
        <x:v>2</x:v>
      </x:c>
      <x:c r="W611" s="36" t="str">
        <x:f>CHOOSE(V611+1,R611,S611,T611,U611)</x:f>
        <x:v>Wie durch den Ungehorsam des einen Sünde und Verurteilung kamen, so kommen durch Christi Gehorsam Gerechtigkeit und Leben.</x:v>
      </x:c>
      <x:c r="X611" s="36" t="str">
        <x:v>Römer 5,18–21</x:v>
      </x:c>
      <x:c r="Y611" s="36" t="str">
        <x:v>Paulus stellt zwei Repräsentanten gegenüber: Adams Ungehorsam und Christi gehorsame Tat.</x:v>
      </x:c>
      <x:c r="Z611" s="36" t="str">
        <x:v>JA</x:v>
      </x:c>
      <x:c r="AA611" s="36" t="str">
        <x:v>JA</x:v>
      </x:c>
      <x:c r="AB611" s="36" t="str">
        <x:v>JA</x:v>
      </x:c>
      <x:c r="AC611" s="36" t="str">
        <x:v>JA</x:v>
      </x:c>
      <x:c r="AD611" s="36" t="str">
        <x:v>JA</x:v>
      </x:c>
      <x:c r="AE611" s="36" t="str">
        <x:v>JA</x:v>
      </x:c>
      <x:c r="AF611" s="36" t="str">
        <x:v>JA</x:v>
      </x:c>
      <x:c r="AG611" s="36" t="str">
        <x:v>FREIGEGEBEN</x:v>
      </x:c>
      <x:c r="AH611" s="36" t="str">
        <x:v>GPT-5.6 Sol · Buchprüfung Römer · L1912/OTB</x:v>
      </x:c>
      <x:c r="AI611" s="36" t="str">
        <x:v>FREIGEGEBEN</x:v>
      </x:c>
      <x:c r="AJ611" s="36" t="str">
        <x:v>Römer 5: repetitive Wiedererkennungsfrage durch KERNAUSSAGE-Frage ersetzt.</x:v>
      </x:c>
      <x:c r="AK611" s="36" t="str">
        <x:v>FaithPath repo develop/v4 · data/stories.json · data/bibles/l1912/ROM.json · data/bibles/otb/ROM.json</x:v>
      </x:c>
      <x:c r="AL611" t="str">
        <x:f>IF(AND(AG611="FREIGEGEBEN",AI611="FREIGEGEBEN",Q611&lt;&gt;"",R611&lt;&gt;"",S611&lt;&gt;"",T611&lt;&gt;"",U611&lt;&gt;"",ISNUMBER(V611),X611&lt;&gt;"",Y611&lt;&gt;"",AA611="JA",AB611="JA",AC611="JA",AD611="JA",AE611="JA",AF611="JA"),"JA","NEIN")</x:f>
        <x:v>JA</x:v>
      </x:c>
    </x:row>
    <x:row r="612">
      <x:c r="A612" t="str">
        <x:v>FP-0871</x:v>
      </x:c>
      <x:c r="B612" t="str">
        <x:v>ROM</x:v>
      </x:c>
      <x:c r="C612" t="str">
        <x:v>Römer</x:v>
      </x:c>
      <x:c r="D612" t="n">
        <x:v>6</x:v>
      </x:c>
      <x:c r="E612" t="n">
        <x:v>1</x:v>
      </x:c>
      <x:c r="F612" t="str">
        <x:v>ROM-006</x:v>
      </x:c>
      <x:c r="G612" t="n">
        <x:v>123</x:v>
      </x:c>
      <x:c r="H612" t="str">
        <x:v>CQ-A07</x:v>
      </x:c>
      <x:c r="I612" s="36" t="str">
        <x:v>Welche dieser Aussagen stammt aus Römer 6?</x:v>
      </x:c>
      <x:c r="J612" s="36" t="str"/>
      <x:c r="K612" s="36" t="str"/>
      <x:c r="L612" s="36" t="str">
        <x:v>REPO_VERIFIZIERT_FRAGEFORM</x:v>
      </x:c>
      <x:c r="M612" s="36" t="str">
        <x:v>ERSETZEN</x:v>
      </x:c>
      <x:c r="N612" s="36" t="str">
        <x:v>REPETITIVE_FRAGEFORM</x:v>
      </x:c>
      <x:c r="O612" s="36" t="str">
        <x:v>REINE_WIEDERERKENNUNG</x:v>
      </x:c>
      <x:c r="P612" s="36" t="str">
        <x:v>KERNAUSSAGE</x:v>
      </x:c>
      <x:c r="Q612" s="36" t="str">
        <x:v>Warum lehnt Paulus die Idee ab, in der Sünde zu bleiben, damit die Gnade größer werde?</x:v>
      </x:c>
      <x:c r="R612" s="36" t="str">
        <x:v>Weil Gnade nur für Menschen ohne Sünde gilt.</x:v>
      </x:c>
      <x:c r="S612" s="36" t="str">
        <x:v>Weil Sünde nach der Taufe unmöglich wird.</x:v>
      </x:c>
      <x:c r="T612" s="36" t="str">
        <x:v>Weil Christen nie mehr versucht werden.</x:v>
      </x:c>
      <x:c r="U612" s="36" t="str">
        <x:v>Wer mit Christus verbunden ist, ist der Sünde gestorben und soll in neuem Leben wandeln.</x:v>
      </x:c>
      <x:c r="V612" s="36" t="n">
        <x:v>3</x:v>
      </x:c>
      <x:c r="W612" s="36" t="str">
        <x:f>CHOOSE(V612+1,R612,S612,T612,U612)</x:f>
        <x:v>Wer mit Christus verbunden ist, ist der Sünde gestorben und soll in neuem Leben wandeln.</x:v>
      </x:c>
      <x:c r="X612" s="36" t="str">
        <x:v>Römer 6,1–4</x:v>
      </x:c>
      <x:c r="Y612" s="36" t="str">
        <x:v>Paulus verbindet Taufe, Tod Christi und ein neues Leben; Gnade ist kein Argument für bewusstes Verharren in Sünde.</x:v>
      </x:c>
      <x:c r="Z612" s="36" t="str">
        <x:v>JA</x:v>
      </x:c>
      <x:c r="AA612" s="36" t="str">
        <x:v>JA</x:v>
      </x:c>
      <x:c r="AB612" s="36" t="str">
        <x:v>JA</x:v>
      </x:c>
      <x:c r="AC612" s="36" t="str">
        <x:v>JA</x:v>
      </x:c>
      <x:c r="AD612" s="36" t="str">
        <x:v>JA</x:v>
      </x:c>
      <x:c r="AE612" s="36" t="str">
        <x:v>JA</x:v>
      </x:c>
      <x:c r="AF612" s="36" t="str">
        <x:v>JA</x:v>
      </x:c>
      <x:c r="AG612" s="36" t="str">
        <x:v>FREIGEGEBEN</x:v>
      </x:c>
      <x:c r="AH612" s="36" t="str">
        <x:v>GPT-5.6 Sol · Buchprüfung Römer · L1912/OTB</x:v>
      </x:c>
      <x:c r="AI612" s="36" t="str">
        <x:v>FREIGEGEBEN</x:v>
      </x:c>
      <x:c r="AJ612" s="36" t="str">
        <x:v>Römer 6: repetitive Wiedererkennungsfrage durch KERNAUSSAGE-Frage ersetzt.</x:v>
      </x:c>
      <x:c r="AK612" s="36" t="str">
        <x:v>FaithPath repo develop/v4 · data/stories.json · data/bibles/l1912/ROM.json · data/bibles/otb/ROM.json</x:v>
      </x:c>
      <x:c r="AL612" t="str">
        <x:f>IF(AND(AG612="FREIGEGEBEN",AI612="FREIGEGEBEN",Q612&lt;&gt;"",R612&lt;&gt;"",S612&lt;&gt;"",T612&lt;&gt;"",U612&lt;&gt;"",ISNUMBER(V612),X612&lt;&gt;"",Y612&lt;&gt;"",AA612="JA",AB612="JA",AC612="JA",AD612="JA",AE612="JA",AF612="JA"),"JA","NEIN")</x:f>
        <x:v>JA</x:v>
      </x:c>
    </x:row>
    <x:row r="613">
      <x:c r="A613" t="str">
        <x:v>FP-0872</x:v>
      </x:c>
      <x:c r="B613" t="str">
        <x:v>ROM</x:v>
      </x:c>
      <x:c r="C613" t="str">
        <x:v>Römer</x:v>
      </x:c>
      <x:c r="D613" t="n">
        <x:v>6</x:v>
      </x:c>
      <x:c r="E613" t="n">
        <x:v>2</x:v>
      </x:c>
      <x:c r="F613" t="str">
        <x:v>ROM-006</x:v>
      </x:c>
      <x:c r="G613" t="n">
        <x:v>123</x:v>
      </x:c>
      <x:c r="H613" t="str">
        <x:v>CQ-A07</x:v>
      </x:c>
      <x:c r="I613" s="36" t="str">
        <x:v>Welche dieser Aussagen stammt aus Römer 6?</x:v>
      </x:c>
      <x:c r="J613" s="36" t="str"/>
      <x:c r="K613" s="36" t="str"/>
      <x:c r="L613" s="36" t="str">
        <x:v>REPO_VERIFIZIERT_FRAGEFORM</x:v>
      </x:c>
      <x:c r="M613" s="36" t="str">
        <x:v>ERSETZEN</x:v>
      </x:c>
      <x:c r="N613" s="36" t="str">
        <x:v>REPETITIVE_FRAGEFORM</x:v>
      </x:c>
      <x:c r="O613" s="36" t="str">
        <x:v>REINE_WIEDERERKENNUNG</x:v>
      </x:c>
      <x:c r="P613" s="36" t="str">
        <x:v>KERNAUSSAGE</x:v>
      </x:c>
      <x:c r="Q613" s="36" t="str">
        <x:v>Was bedeutet die Verbindung mit Christi Tod und Auferstehung für den „alten Menschen“?</x:v>
      </x:c>
      <x:c r="R613" s="36" t="str">
        <x:v>Der alte Mensch ist mitgekreuzigt, damit die Herrschaft der Sünde gebrochen wird.</x:v>
      </x:c>
      <x:c r="S613" s="36" t="str">
        <x:v>Der alte Mensch soll weiter über den Glaubenden herrschen.</x:v>
      </x:c>
      <x:c r="T613" s="36" t="str">
        <x:v>Die Auferstehung betrifft nur Jesus.</x:v>
      </x:c>
      <x:c r="U613" s="36" t="str">
        <x:v>Christen haben keinerlei Verantwortung mehr.</x:v>
      </x:c>
      <x:c r="V613" s="36" t="n">
        <x:v>0</x:v>
      </x:c>
      <x:c r="W613" s="36" t="str">
        <x:f>CHOOSE(V613+1,R613,S613,T613,U613)</x:f>
        <x:v>Der alte Mensch ist mitgekreuzigt, damit die Herrschaft der Sünde gebrochen wird.</x:v>
      </x:c>
      <x:c r="X613" s="36" t="str">
        <x:v>Römer 6,5–11</x:v>
      </x:c>
      <x:c r="Y613" s="36" t="str">
        <x:v>Paulus beschreibt die Identifikation mit Christi Tod und Auferstehung als Grundlage eines neuen Verhältnisses zur Sünde.</x:v>
      </x:c>
      <x:c r="Z613" s="36" t="str">
        <x:v>JA</x:v>
      </x:c>
      <x:c r="AA613" s="36" t="str">
        <x:v>JA</x:v>
      </x:c>
      <x:c r="AB613" s="36" t="str">
        <x:v>JA</x:v>
      </x:c>
      <x:c r="AC613" s="36" t="str">
        <x:v>JA</x:v>
      </x:c>
      <x:c r="AD613" s="36" t="str">
        <x:v>JA</x:v>
      </x:c>
      <x:c r="AE613" s="36" t="str">
        <x:v>JA</x:v>
      </x:c>
      <x:c r="AF613" s="36" t="str">
        <x:v>JA</x:v>
      </x:c>
      <x:c r="AG613" s="36" t="str">
        <x:v>FREIGEGEBEN</x:v>
      </x:c>
      <x:c r="AH613" s="36" t="str">
        <x:v>GPT-5.6 Sol · Buchprüfung Römer · L1912/OTB</x:v>
      </x:c>
      <x:c r="AI613" s="36" t="str">
        <x:v>FREIGEGEBEN</x:v>
      </x:c>
      <x:c r="AJ613" s="36" t="str">
        <x:v>Römer 6: repetitive Wiedererkennungsfrage durch KERNAUSSAGE-Frage ersetzt.</x:v>
      </x:c>
      <x:c r="AK613" s="36" t="str">
        <x:v>FaithPath repo develop/v4 · data/stories.json · data/bibles/l1912/ROM.json · data/bibles/otb/ROM.json</x:v>
      </x:c>
      <x:c r="AL613" t="str">
        <x:f>IF(AND(AG613="FREIGEGEBEN",AI613="FREIGEGEBEN",Q613&lt;&gt;"",R613&lt;&gt;"",S613&lt;&gt;"",T613&lt;&gt;"",U613&lt;&gt;"",ISNUMBER(V613),X613&lt;&gt;"",Y613&lt;&gt;"",AA613="JA",AB613="JA",AC613="JA",AD613="JA",AE613="JA",AF613="JA"),"JA","NEIN")</x:f>
        <x:v>JA</x:v>
      </x:c>
    </x:row>
    <x:row r="614">
      <x:c r="A614" t="str">
        <x:v>FP-0873</x:v>
      </x:c>
      <x:c r="B614" t="str">
        <x:v>ROM</x:v>
      </x:c>
      <x:c r="C614" t="str">
        <x:v>Römer</x:v>
      </x:c>
      <x:c r="D614" t="n">
        <x:v>6</x:v>
      </x:c>
      <x:c r="E614" t="n">
        <x:v>3</x:v>
      </x:c>
      <x:c r="F614" t="str">
        <x:v>ROM-006</x:v>
      </x:c>
      <x:c r="G614" t="n">
        <x:v>123</x:v>
      </x:c>
      <x:c r="H614" t="str">
        <x:v>CQ-A07</x:v>
      </x:c>
      <x:c r="I614" s="36" t="str">
        <x:v>Welche dieser Aussagen stammt aus Römer 6?</x:v>
      </x:c>
      <x:c r="J614" s="36" t="str"/>
      <x:c r="K614" s="36" t="str"/>
      <x:c r="L614" s="36" t="str">
        <x:v>REPO_VERIFIZIERT_FRAGEFORM</x:v>
      </x:c>
      <x:c r="M614" s="36" t="str">
        <x:v>ERSETZEN</x:v>
      </x:c>
      <x:c r="N614" s="36" t="str">
        <x:v>REPETITIVE_FRAGEFORM</x:v>
      </x:c>
      <x:c r="O614" s="36" t="str">
        <x:v>REINE_WIEDERERKENNUNG</x:v>
      </x:c>
      <x:c r="P614" s="36" t="str">
        <x:v>KERNAUSSAGE</x:v>
      </x:c>
      <x:c r="Q614" s="36" t="str">
        <x:v>Wie sollen Glaubende mit ihrem Körper umgehen?</x:v>
      </x:c>
      <x:c r="R614" s="36" t="str">
        <x:v>Der Körper spielt im Glauben keine Rolle.</x:v>
      </x:c>
      <x:c r="S614" s="36" t="str">
        <x:v>Sie sollen sich Gott zur Verfügung stellen und ihre Glieder als Werkzeuge der Gerechtigkeit gebrauchen.</x:v>
      </x:c>
      <x:c r="T614" s="36" t="str">
        <x:v>Sie sollen den Körper ausschließlich der Sünde überlassen.</x:v>
      </x:c>
      <x:c r="U614" s="36" t="str">
        <x:v>Nur geistige Entscheidungen zählen.</x:v>
      </x:c>
      <x:c r="V614" s="36" t="n">
        <x:v>1</x:v>
      </x:c>
      <x:c r="W614" s="36" t="str">
        <x:f>CHOOSE(V614+1,R614,S614,T614,U614)</x:f>
        <x:v>Sie sollen sich Gott zur Verfügung stellen und ihre Glieder als Werkzeuge der Gerechtigkeit gebrauchen.</x:v>
      </x:c>
      <x:c r="X614" s="36" t="str">
        <x:v>Römer 6,12–14</x:v>
      </x:c>
      <x:c r="Y614" s="36" t="str">
        <x:v>Paulus ruft dazu auf, nicht der Sünde, sondern Gott die eigene Person und die eigenen Glieder zur Verfügung zu stellen.</x:v>
      </x:c>
      <x:c r="Z614" s="36" t="str">
        <x:v>JA</x:v>
      </x:c>
      <x:c r="AA614" s="36" t="str">
        <x:v>JA</x:v>
      </x:c>
      <x:c r="AB614" s="36" t="str">
        <x:v>JA</x:v>
      </x:c>
      <x:c r="AC614" s="36" t="str">
        <x:v>JA</x:v>
      </x:c>
      <x:c r="AD614" s="36" t="str">
        <x:v>JA</x:v>
      </x:c>
      <x:c r="AE614" s="36" t="str">
        <x:v>JA</x:v>
      </x:c>
      <x:c r="AF614" s="36" t="str">
        <x:v>JA</x:v>
      </x:c>
      <x:c r="AG614" s="36" t="str">
        <x:v>FREIGEGEBEN</x:v>
      </x:c>
      <x:c r="AH614" s="36" t="str">
        <x:v>GPT-5.6 Sol · Buchprüfung Römer · L1912/OTB</x:v>
      </x:c>
      <x:c r="AI614" s="36" t="str">
        <x:v>FREIGEGEBEN</x:v>
      </x:c>
      <x:c r="AJ614" s="36" t="str">
        <x:v>Römer 6: repetitive Wiedererkennungsfrage durch KERNAUSSAGE-Frage ersetzt.</x:v>
      </x:c>
      <x:c r="AK614" s="36" t="str">
        <x:v>FaithPath repo develop/v4 · data/stories.json · data/bibles/l1912/ROM.json · data/bibles/otb/ROM.json</x:v>
      </x:c>
      <x:c r="AL614" t="str">
        <x:f>IF(AND(AG614="FREIGEGEBEN",AI614="FREIGEGEBEN",Q614&lt;&gt;"",R614&lt;&gt;"",S614&lt;&gt;"",T614&lt;&gt;"",U614&lt;&gt;"",ISNUMBER(V614),X614&lt;&gt;"",Y614&lt;&gt;"",AA614="JA",AB614="JA",AC614="JA",AD614="JA",AE614="JA",AF614="JA"),"JA","NEIN")</x:f>
        <x:v>JA</x:v>
      </x:c>
    </x:row>
    <x:row r="615">
      <x:c r="A615" t="str">
        <x:v>FP-0874</x:v>
      </x:c>
      <x:c r="B615" t="str">
        <x:v>ROM</x:v>
      </x:c>
      <x:c r="C615" t="str">
        <x:v>Römer</x:v>
      </x:c>
      <x:c r="D615" t="n">
        <x:v>6</x:v>
      </x:c>
      <x:c r="E615" t="n">
        <x:v>4</x:v>
      </x:c>
      <x:c r="F615" t="str">
        <x:v>ROM-006</x:v>
      </x:c>
      <x:c r="G615" t="n">
        <x:v>123</x:v>
      </x:c>
      <x:c r="H615" t="str">
        <x:v>CQ-A07</x:v>
      </x:c>
      <x:c r="I615" s="36" t="str">
        <x:v>Welche dieser Aussagen stammt aus Römer 6?</x:v>
      </x:c>
      <x:c r="J615" s="36" t="str"/>
      <x:c r="K615" s="36" t="str"/>
      <x:c r="L615" s="36" t="str">
        <x:v>REPO_VERIFIZIERT_FRAGEFORM</x:v>
      </x:c>
      <x:c r="M615" s="36" t="str">
        <x:v>ERSETZEN</x:v>
      </x:c>
      <x:c r="N615" s="36" t="str">
        <x:v>REPETITIVE_FRAGEFORM</x:v>
      </x:c>
      <x:c r="O615" s="36" t="str">
        <x:v>REINE_WIEDERERKENNUNG</x:v>
      </x:c>
      <x:c r="P615" s="36" t="str">
        <x:v>ZUSAMMENHANG</x:v>
      </x:c>
      <x:c r="Q615" s="36" t="str">
        <x:v>Was zeigt Paulus mit dem Bild von Sklaverei und Gehorsam?</x:v>
      </x:c>
      <x:c r="R615" s="36" t="str">
        <x:v>Gnade bedeutet, dass Gehorsam keine Rolle spielt.</x:v>
      </x:c>
      <x:c r="S615" s="36" t="str">
        <x:v>Nur äußere Sklaverei ist gemeint.</x:v>
      </x:c>
      <x:c r="T615" s="36" t="str">
        <x:v>Wem man sich zum Gehorsam hingibt, dessen Herrschaft dient man – entweder der Sünde oder der Gerechtigkeit.</x:v>
      </x:c>
      <x:c r="U615" s="36" t="str">
        <x:v>Freiheit heißt, überhaupt keinem Einfluss zu folgen.</x:v>
      </x:c>
      <x:c r="V615" s="36" t="n">
        <x:v>2</x:v>
      </x:c>
      <x:c r="W615" s="36" t="str">
        <x:f>CHOOSE(V615+1,R615,S615,T615,U615)</x:f>
        <x:v>Wem man sich zum Gehorsam hingibt, dessen Herrschaft dient man – entweder der Sünde oder der Gerechtigkeit.</x:v>
      </x:c>
      <x:c r="X615" s="36" t="str">
        <x:v>Römer 6,15–18</x:v>
      </x:c>
      <x:c r="Y615" s="36" t="str">
        <x:v>Paulus nutzt das Sklavenbild, um zu zeigen, dass Freiheit von Sünde zu einem neuen Gehorsam gegenüber der Gerechtigkeit führt.</x:v>
      </x:c>
      <x:c r="Z615" s="36" t="str">
        <x:v>JA</x:v>
      </x:c>
      <x:c r="AA615" s="36" t="str">
        <x:v>JA</x:v>
      </x:c>
      <x:c r="AB615" s="36" t="str">
        <x:v>JA</x:v>
      </x:c>
      <x:c r="AC615" s="36" t="str">
        <x:v>JA</x:v>
      </x:c>
      <x:c r="AD615" s="36" t="str">
        <x:v>JA</x:v>
      </x:c>
      <x:c r="AE615" s="36" t="str">
        <x:v>JA</x:v>
      </x:c>
      <x:c r="AF615" s="36" t="str">
        <x:v>JA</x:v>
      </x:c>
      <x:c r="AG615" s="36" t="str">
        <x:v>FREIGEGEBEN</x:v>
      </x:c>
      <x:c r="AH615" s="36" t="str">
        <x:v>GPT-5.6 Sol · Buchprüfung Römer · L1912/OTB</x:v>
      </x:c>
      <x:c r="AI615" s="36" t="str">
        <x:v>FREIGEGEBEN</x:v>
      </x:c>
      <x:c r="AJ615" s="36" t="str">
        <x:v>Römer 6: repetitive Wiedererkennungsfrage durch ZUSAMMENHANG-Frage ersetzt.</x:v>
      </x:c>
      <x:c r="AK615" s="36" t="str">
        <x:v>FaithPath repo develop/v4 · data/stories.json · data/bibles/l1912/ROM.json · data/bibles/otb/ROM.json</x:v>
      </x:c>
      <x:c r="AL615" t="str">
        <x:f>IF(AND(AG615="FREIGEGEBEN",AI615="FREIGEGEBEN",Q615&lt;&gt;"",R615&lt;&gt;"",S615&lt;&gt;"",T615&lt;&gt;"",U615&lt;&gt;"",ISNUMBER(V615),X615&lt;&gt;"",Y615&lt;&gt;"",AA615="JA",AB615="JA",AC615="JA",AD615="JA",AE615="JA",AF615="JA"),"JA","NEIN")</x:f>
        <x:v>JA</x:v>
      </x:c>
    </x:row>
    <x:row r="616">
      <x:c r="A616" t="str">
        <x:v>FP-0875</x:v>
      </x:c>
      <x:c r="B616" t="str">
        <x:v>ROM</x:v>
      </x:c>
      <x:c r="C616" t="str">
        <x:v>Römer</x:v>
      </x:c>
      <x:c r="D616" t="n">
        <x:v>6</x:v>
      </x:c>
      <x:c r="E616" t="n">
        <x:v>5</x:v>
      </x:c>
      <x:c r="F616" t="str">
        <x:v>ROM-006</x:v>
      </x:c>
      <x:c r="G616" t="n">
        <x:v>123</x:v>
      </x:c>
      <x:c r="H616" t="str">
        <x:v>CQ-A07</x:v>
      </x:c>
      <x:c r="I616" s="36" t="str">
        <x:v>Welche dieser Aussagen stammt aus Römer 6?</x:v>
      </x:c>
      <x:c r="J616" s="36" t="str"/>
      <x:c r="K616" s="36" t="str"/>
      <x:c r="L616" s="36" t="str">
        <x:v>REPO_VERIFIZIERT_FRAGEFORM</x:v>
      </x:c>
      <x:c r="M616" s="36" t="str">
        <x:v>ERSETZEN</x:v>
      </x:c>
      <x:c r="N616" s="36" t="str">
        <x:v>REPETITIVE_FRAGEFORM</x:v>
      </x:c>
      <x:c r="O616" s="36" t="str">
        <x:v>REINE_WIEDERERKENNUNG</x:v>
      </x:c>
      <x:c r="P616" s="36" t="str">
        <x:v>TEXTGENAUIGKEIT</x:v>
      </x:c>
      <x:c r="Q616" s="36" t="str">
        <x:v>Wie lautet die berühmte Gegenüberstellung am Ende von Römer 6?</x:v>
      </x:c>
      <x:c r="R616" s="36" t="str">
        <x:v>Der Lohn der Sünde ist Armut, Gottes Gabe aber Reichtum.</x:v>
      </x:c>
      <x:c r="S616" s="36" t="str">
        <x:v>Der Lohn der Sünde ist Krankheit, Gottes Gabe aber Gesundheit.</x:v>
      </x:c>
      <x:c r="T616" s="36" t="str">
        <x:v>Der Lohn der Sünde ist Gesetz, Gottes Gabe aber Freiheit von Verantwortung.</x:v>
      </x:c>
      <x:c r="U616" s="36" t="str">
        <x:v>Der Lohn der Sünde ist der Tod, Gottes Gabe aber ewiges Leben in Christus Jesus.</x:v>
      </x:c>
      <x:c r="V616" s="36" t="n">
        <x:v>3</x:v>
      </x:c>
      <x:c r="W616" s="36" t="str">
        <x:f>CHOOSE(V616+1,R616,S616,T616,U616)</x:f>
        <x:v>Der Lohn der Sünde ist der Tod, Gottes Gabe aber ewiges Leben in Christus Jesus.</x:v>
      </x:c>
      <x:c r="X616" s="36" t="str">
        <x:v>Römer 6,20–23</x:v>
      </x:c>
      <x:c r="Y616" s="36" t="str">
        <x:v>Paulus stellt das Ergebnis der Sünde der freien Gabe Gottes in Christus gegenüber.</x:v>
      </x:c>
      <x:c r="Z616" s="36" t="str">
        <x:v>JA</x:v>
      </x:c>
      <x:c r="AA616" s="36" t="str">
        <x:v>JA</x:v>
      </x:c>
      <x:c r="AB616" s="36" t="str">
        <x:v>JA</x:v>
      </x:c>
      <x:c r="AC616" s="36" t="str">
        <x:v>JA</x:v>
      </x:c>
      <x:c r="AD616" s="36" t="str">
        <x:v>JA</x:v>
      </x:c>
      <x:c r="AE616" s="36" t="str">
        <x:v>JA</x:v>
      </x:c>
      <x:c r="AF616" s="36" t="str">
        <x:v>JA</x:v>
      </x:c>
      <x:c r="AG616" s="36" t="str">
        <x:v>FREIGEGEBEN</x:v>
      </x:c>
      <x:c r="AH616" s="36" t="str">
        <x:v>GPT-5.6 Sol · Buchprüfung Römer · L1912/OTB</x:v>
      </x:c>
      <x:c r="AI616" s="36" t="str">
        <x:v>FREIGEGEBEN</x:v>
      </x:c>
      <x:c r="AJ616" s="36" t="str">
        <x:v>Römer 6: repetitive Wiedererkennungsfrage durch TEXTGENAUIGKEIT-Frage ersetzt.</x:v>
      </x:c>
      <x:c r="AK616" s="36" t="str">
        <x:v>FaithPath repo develop/v4 · data/stories.json · data/bibles/l1912/ROM.json · data/bibles/otb/ROM.json</x:v>
      </x:c>
      <x:c r="AL616" t="str">
        <x:f>IF(AND(AG616="FREIGEGEBEN",AI616="FREIGEGEBEN",Q616&lt;&gt;"",R616&lt;&gt;"",S616&lt;&gt;"",T616&lt;&gt;"",U616&lt;&gt;"",ISNUMBER(V616),X616&lt;&gt;"",Y616&lt;&gt;"",AA616="JA",AB616="JA",AC616="JA",AD616="JA",AE616="JA",AF616="JA"),"JA","NEIN")</x:f>
        <x:v>JA</x:v>
      </x:c>
    </x:row>
    <x:row r="617">
      <x:c r="A617" t="str">
        <x:v>FP-0876</x:v>
      </x:c>
      <x:c r="B617" t="str">
        <x:v>ROM</x:v>
      </x:c>
      <x:c r="C617" t="str">
        <x:v>Römer</x:v>
      </x:c>
      <x:c r="D617" t="n">
        <x:v>7</x:v>
      </x:c>
      <x:c r="E617" t="n">
        <x:v>1</x:v>
      </x:c>
      <x:c r="F617" t="str">
        <x:v>ROM-007</x:v>
      </x:c>
      <x:c r="G617" t="n">
        <x:v>124</x:v>
      </x:c>
      <x:c r="H617" t="str">
        <x:v>CQ-A07</x:v>
      </x:c>
      <x:c r="I617" s="36" t="str">
        <x:v>Welche dieser Aussagen stammt aus Römer 7?</x:v>
      </x:c>
      <x:c r="J617" s="36" t="str"/>
      <x:c r="K617" s="36" t="str"/>
      <x:c r="L617" s="36" t="str">
        <x:v>REPO_VERIFIZIERT_FRAGEFORM</x:v>
      </x:c>
      <x:c r="M617" s="36" t="str">
        <x:v>ERSETZEN</x:v>
      </x:c>
      <x:c r="N617" s="36" t="str">
        <x:v>REPETITIVE_FRAGEFORM</x:v>
      </x:c>
      <x:c r="O617" s="36" t="str">
        <x:v>REINE_WIEDERERKENNUNG</x:v>
      </x:c>
      <x:c r="P617" s="36" t="str">
        <x:v>ZUSAMMENHANG</x:v>
      </x:c>
      <x:c r="Q617" s="36" t="str">
        <x:v>Welches Bild verwendet Paulus zu Beginn von Römer 7, um eine veränderte Bindung zu erklären?</x:v>
      </x:c>
      <x:c r="R617" s="36" t="str">
        <x:v>Das Beispiel einer verheirateten Frau, deren gesetzliche Bindung durch den Tod des Mannes endet.</x:v>
      </x:c>
      <x:c r="S617" s="36" t="str">
        <x:v>Das Bild eines Hirten und seiner Schafe.</x:v>
      </x:c>
      <x:c r="T617" s="36" t="str">
        <x:v>Das Bild eines Baumes und seiner Früchte.</x:v>
      </x:c>
      <x:c r="U617" s="36" t="str">
        <x:v>Das Bild eines Königs und seiner Soldaten.</x:v>
      </x:c>
      <x:c r="V617" s="36" t="n">
        <x:v>0</x:v>
      </x:c>
      <x:c r="W617" s="36" t="str">
        <x:f>CHOOSE(V617+1,R617,S617,T617,U617)</x:f>
        <x:v>Das Beispiel einer verheirateten Frau, deren gesetzliche Bindung durch den Tod des Mannes endet.</x:v>
      </x:c>
      <x:c r="X617" s="36" t="str">
        <x:v>Römer 7,1–6</x:v>
      </x:c>
      <x:c r="Y617" s="36" t="str">
        <x:v>Paulus nutzt die Ehe als Analogie für eine durch Tod veränderte Rechtsbindung und überträgt dies auf die Beziehung zum Gesetz.</x:v>
      </x:c>
      <x:c r="Z617" s="36" t="str">
        <x:v>JA</x:v>
      </x:c>
      <x:c r="AA617" s="36" t="str">
        <x:v>JA</x:v>
      </x:c>
      <x:c r="AB617" s="36" t="str">
        <x:v>JA</x:v>
      </x:c>
      <x:c r="AC617" s="36" t="str">
        <x:v>JA</x:v>
      </x:c>
      <x:c r="AD617" s="36" t="str">
        <x:v>JA</x:v>
      </x:c>
      <x:c r="AE617" s="36" t="str">
        <x:v>JA</x:v>
      </x:c>
      <x:c r="AF617" s="36" t="str">
        <x:v>JA</x:v>
      </x:c>
      <x:c r="AG617" s="36" t="str">
        <x:v>FREIGEGEBEN</x:v>
      </x:c>
      <x:c r="AH617" s="36" t="str">
        <x:v>GPT-5.6 Sol · Buchprüfung Römer · L1912/OTB</x:v>
      </x:c>
      <x:c r="AI617" s="36" t="str">
        <x:v>FREIGEGEBEN</x:v>
      </x:c>
      <x:c r="AJ617" s="36" t="str">
        <x:v>Römer 7: repetitive Wiedererkennungsfrage durch ZUSAMMENHANG-Frage ersetzt.</x:v>
      </x:c>
      <x:c r="AK617" s="36" t="str">
        <x:v>FaithPath repo develop/v4 · data/stories.json · data/bibles/l1912/ROM.json · data/bibles/otb/ROM.json</x:v>
      </x:c>
      <x:c r="AL617" t="str">
        <x:f>IF(AND(AG617="FREIGEGEBEN",AI617="FREIGEGEBEN",Q617&lt;&gt;"",R617&lt;&gt;"",S617&lt;&gt;"",T617&lt;&gt;"",U617&lt;&gt;"",ISNUMBER(V617),X617&lt;&gt;"",Y617&lt;&gt;"",AA617="JA",AB617="JA",AC617="JA",AD617="JA",AE617="JA",AF617="JA"),"JA","NEIN")</x:f>
        <x:v>JA</x:v>
      </x:c>
    </x:row>
    <x:row r="618">
      <x:c r="A618" t="str">
        <x:v>FP-0877</x:v>
      </x:c>
      <x:c r="B618" t="str">
        <x:v>ROM</x:v>
      </x:c>
      <x:c r="C618" t="str">
        <x:v>Römer</x:v>
      </x:c>
      <x:c r="D618" t="n">
        <x:v>7</x:v>
      </x:c>
      <x:c r="E618" t="n">
        <x:v>2</x:v>
      </x:c>
      <x:c r="F618" t="str">
        <x:v>ROM-007</x:v>
      </x:c>
      <x:c r="G618" t="n">
        <x:v>124</x:v>
      </x:c>
      <x:c r="H618" t="str">
        <x:v>CQ-A07</x:v>
      </x:c>
      <x:c r="I618" s="36" t="str">
        <x:v>Welche dieser Aussagen stammt aus Römer 7?</x:v>
      </x:c>
      <x:c r="J618" s="36" t="str"/>
      <x:c r="K618" s="36" t="str"/>
      <x:c r="L618" s="36" t="str">
        <x:v>REPO_VERIFIZIERT_FRAGEFORM</x:v>
      </x:c>
      <x:c r="M618" s="36" t="str">
        <x:v>ERSETZEN</x:v>
      </x:c>
      <x:c r="N618" s="36" t="str">
        <x:v>REPETITIVE_FRAGEFORM</x:v>
      </x:c>
      <x:c r="O618" s="36" t="str">
        <x:v>REINE_WIEDERERKENNUNG</x:v>
      </x:c>
      <x:c r="P618" s="36" t="str">
        <x:v>KERNAUSSAGE</x:v>
      </x:c>
      <x:c r="Q618" s="36" t="str">
        <x:v>Ist das Gesetz nach Paulus selbst Sünde?</x:v>
      </x:c>
      <x:c r="R618" s="36" t="str">
        <x:v>Ja, das Gesetz ist die eigentliche Quelle des Bösen.</x:v>
      </x:c>
      <x:c r="S618" s="36" t="str">
        <x:v>Nein; das Gesetz macht Sünde erkennbar und ist heilig, gerecht und gut.</x:v>
      </x:c>
      <x:c r="T618" s="36" t="str">
        <x:v>Ja, jedes Gebot führt automatisch zur Sünde.</x:v>
      </x:c>
      <x:c r="U618" s="36" t="str">
        <x:v>Paulus beantwortet die Frage nicht.</x:v>
      </x:c>
      <x:c r="V618" s="36" t="n">
        <x:v>1</x:v>
      </x:c>
      <x:c r="W618" s="36" t="str">
        <x:f>CHOOSE(V618+1,R618,S618,T618,U618)</x:f>
        <x:v>Nein; das Gesetz macht Sünde erkennbar und ist heilig, gerecht und gut.</x:v>
      </x:c>
      <x:c r="X618" s="36" t="str">
        <x:v>Römer 7,7–12</x:v>
      </x:c>
      <x:c r="Y618" s="36" t="str">
        <x:v>Paulus weist die Gleichsetzung von Gesetz und Sünde zurück und erklärt, wie das Gebot Sünde sichtbar macht.</x:v>
      </x:c>
      <x:c r="Z618" s="36" t="str">
        <x:v>JA</x:v>
      </x:c>
      <x:c r="AA618" s="36" t="str">
        <x:v>JA</x:v>
      </x:c>
      <x:c r="AB618" s="36" t="str">
        <x:v>JA</x:v>
      </x:c>
      <x:c r="AC618" s="36" t="str">
        <x:v>JA</x:v>
      </x:c>
      <x:c r="AD618" s="36" t="str">
        <x:v>JA</x:v>
      </x:c>
      <x:c r="AE618" s="36" t="str">
        <x:v>JA</x:v>
      </x:c>
      <x:c r="AF618" s="36" t="str">
        <x:v>JA</x:v>
      </x:c>
      <x:c r="AG618" s="36" t="str">
        <x:v>FREIGEGEBEN</x:v>
      </x:c>
      <x:c r="AH618" s="36" t="str">
        <x:v>GPT-5.6 Sol · Buchprüfung Römer · L1912/OTB</x:v>
      </x:c>
      <x:c r="AI618" s="36" t="str">
        <x:v>FREIGEGEBEN</x:v>
      </x:c>
      <x:c r="AJ618" s="36" t="str">
        <x:v>Römer 7: repetitive Wiedererkennungsfrage durch KERNAUSSAGE-Frage ersetzt.</x:v>
      </x:c>
      <x:c r="AK618" s="36" t="str">
        <x:v>FaithPath repo develop/v4 · data/stories.json · data/bibles/l1912/ROM.json · data/bibles/otb/ROM.json</x:v>
      </x:c>
      <x:c r="AL618" t="str">
        <x:f>IF(AND(AG618="FREIGEGEBEN",AI618="FREIGEGEBEN",Q618&lt;&gt;"",R618&lt;&gt;"",S618&lt;&gt;"",T618&lt;&gt;"",U618&lt;&gt;"",ISNUMBER(V618),X618&lt;&gt;"",Y618&lt;&gt;"",AA618="JA",AB618="JA",AC618="JA",AD618="JA",AE618="JA",AF618="JA"),"JA","NEIN")</x:f>
        <x:v>JA</x:v>
      </x:c>
    </x:row>
    <x:row r="619">
      <x:c r="A619" t="str">
        <x:v>FP-0878</x:v>
      </x:c>
      <x:c r="B619" t="str">
        <x:v>ROM</x:v>
      </x:c>
      <x:c r="C619" t="str">
        <x:v>Römer</x:v>
      </x:c>
      <x:c r="D619" t="n">
        <x:v>7</x:v>
      </x:c>
      <x:c r="E619" t="n">
        <x:v>3</x:v>
      </x:c>
      <x:c r="F619" t="str">
        <x:v>ROM-007</x:v>
      </x:c>
      <x:c r="G619" t="n">
        <x:v>124</x:v>
      </x:c>
      <x:c r="H619" t="str">
        <x:v>CQ-A07</x:v>
      </x:c>
      <x:c r="I619" s="36" t="str">
        <x:v>Welche dieser Aussagen stammt aus Römer 7?</x:v>
      </x:c>
      <x:c r="J619" s="36" t="str"/>
      <x:c r="K619" s="36" t="str"/>
      <x:c r="L619" s="36" t="str">
        <x:v>REPO_VERIFIZIERT_FRAGEFORM</x:v>
      </x:c>
      <x:c r="M619" s="36" t="str">
        <x:v>ERSETZEN</x:v>
      </x:c>
      <x:c r="N619" s="36" t="str">
        <x:v>REPETITIVE_FRAGEFORM</x:v>
      </x:c>
      <x:c r="O619" s="36" t="str">
        <x:v>REINE_WIEDERERKENNUNG</x:v>
      </x:c>
      <x:c r="P619" s="36" t="str">
        <x:v>ZUSAMMENHANG</x:v>
      </x:c>
      <x:c r="Q619" s="36" t="str">
        <x:v>Welchen inneren Konflikt beschreibt Paulus in Römer 7?</x:v>
      </x:c>
      <x:c r="R619" s="36" t="str">
        <x:v>Er weiß nie, was gut oder böse ist.</x:v>
      </x:c>
      <x:c r="S619" s="36" t="str">
        <x:v>Er möchte das Böse tun und tut immer das Gute.</x:v>
      </x:c>
      <x:c r="T619" s="36" t="str">
        <x:v>Er tut nicht das Gute, das er will, sondern erlebt die Macht der Sünde gegen seinen Willen.</x:v>
      </x:c>
      <x:c r="U619" s="36" t="str">
        <x:v>Er beschreibt ausschließlich einen politischen Konflikt.</x:v>
      </x:c>
      <x:c r="V619" s="36" t="n">
        <x:v>2</x:v>
      </x:c>
      <x:c r="W619" s="36" t="str">
        <x:f>CHOOSE(V619+1,R619,S619,T619,U619)</x:f>
        <x:v>Er tut nicht das Gute, das er will, sondern erlebt die Macht der Sünde gegen seinen Willen.</x:v>
      </x:c>
      <x:c r="X619" s="36" t="str">
        <x:v>Römer 7,14–20</x:v>
      </x:c>
      <x:c r="Y619" s="36" t="str">
        <x:v>Der Abschnitt schildert die Spannung zwischen dem Wollen des Guten und dem tatsächlichen Tun unter der Macht der Sünde.</x:v>
      </x:c>
      <x:c r="Z619" s="36" t="str">
        <x:v>JA</x:v>
      </x:c>
      <x:c r="AA619" s="36" t="str">
        <x:v>JA</x:v>
      </x:c>
      <x:c r="AB619" s="36" t="str">
        <x:v>JA</x:v>
      </x:c>
      <x:c r="AC619" s="36" t="str">
        <x:v>JA</x:v>
      </x:c>
      <x:c r="AD619" s="36" t="str">
        <x:v>JA</x:v>
      </x:c>
      <x:c r="AE619" s="36" t="str">
        <x:v>JA</x:v>
      </x:c>
      <x:c r="AF619" s="36" t="str">
        <x:v>JA</x:v>
      </x:c>
      <x:c r="AG619" s="36" t="str">
        <x:v>FREIGEGEBEN</x:v>
      </x:c>
      <x:c r="AH619" s="36" t="str">
        <x:v>GPT-5.6 Sol · Buchprüfung Römer · L1912/OTB</x:v>
      </x:c>
      <x:c r="AI619" s="36" t="str">
        <x:v>FREIGEGEBEN</x:v>
      </x:c>
      <x:c r="AJ619" s="36" t="str">
        <x:v>Römer 7: repetitive Wiedererkennungsfrage durch ZUSAMMENHANG-Frage ersetzt.</x:v>
      </x:c>
      <x:c r="AK619" s="36" t="str">
        <x:v>FaithPath repo develop/v4 · data/stories.json · data/bibles/l1912/ROM.json · data/bibles/otb/ROM.json</x:v>
      </x:c>
      <x:c r="AL619" t="str">
        <x:f>IF(AND(AG619="FREIGEGEBEN",AI619="FREIGEGEBEN",Q619&lt;&gt;"",R619&lt;&gt;"",S619&lt;&gt;"",T619&lt;&gt;"",U619&lt;&gt;"",ISNUMBER(V619),X619&lt;&gt;"",Y619&lt;&gt;"",AA619="JA",AB619="JA",AC619="JA",AD619="JA",AE619="JA",AF619="JA"),"JA","NEIN")</x:f>
        <x:v>JA</x:v>
      </x:c>
    </x:row>
    <x:row r="620">
      <x:c r="A620" t="str">
        <x:v>FP-0879</x:v>
      </x:c>
      <x:c r="B620" t="str">
        <x:v>ROM</x:v>
      </x:c>
      <x:c r="C620" t="str">
        <x:v>Römer</x:v>
      </x:c>
      <x:c r="D620" t="n">
        <x:v>7</x:v>
      </x:c>
      <x:c r="E620" t="n">
        <x:v>4</x:v>
      </x:c>
      <x:c r="F620" t="str">
        <x:v>ROM-007</x:v>
      </x:c>
      <x:c r="G620" t="n">
        <x:v>124</x:v>
      </x:c>
      <x:c r="H620" t="str">
        <x:v>CQ-A07</x:v>
      </x:c>
      <x:c r="I620" s="36" t="str">
        <x:v>Welche dieser Aussagen stammt aus Römer 7?</x:v>
      </x:c>
      <x:c r="J620" s="36" t="str"/>
      <x:c r="K620" s="36" t="str"/>
      <x:c r="L620" s="36" t="str">
        <x:v>REPO_VERIFIZIERT_FRAGEFORM</x:v>
      </x:c>
      <x:c r="M620" s="36" t="str">
        <x:v>ERSETZEN</x:v>
      </x:c>
      <x:c r="N620" s="36" t="str">
        <x:v>REPETITIVE_FRAGEFORM</x:v>
      </x:c>
      <x:c r="O620" s="36" t="str">
        <x:v>REINE_WIEDERERKENNUNG</x:v>
      </x:c>
      <x:c r="P620" s="36" t="str">
        <x:v>PERSON_AUSSAGE</x:v>
      </x:c>
      <x:c r="Q620" s="36" t="str">
        <x:v>Welche verzweifelte Frage stellt Paulus angesichts dieses inneren Konflikts?</x:v>
      </x:c>
      <x:c r="R620" s="36" t="str">
        <x:v>Wer wird mir das Gesetz erklären?</x:v>
      </x:c>
      <x:c r="S620" s="36" t="str">
        <x:v>Wer wird mich nach Rom bringen?</x:v>
      </x:c>
      <x:c r="T620" s="36" t="str">
        <x:v>Wer wird mir einen neuen Beruf geben?</x:v>
      </x:c>
      <x:c r="U620" s="36" t="str">
        <x:v>Wer wird mich erlösen von diesem Leib des Todes?</x:v>
      </x:c>
      <x:c r="V620" s="36" t="n">
        <x:v>3</x:v>
      </x:c>
      <x:c r="W620" s="36" t="str">
        <x:f>CHOOSE(V620+1,R620,S620,T620,U620)</x:f>
        <x:v>Wer wird mich erlösen von diesem Leib des Todes?</x:v>
      </x:c>
      <x:c r="X620" s="36" t="str">
        <x:v>Römer 7,21–24</x:v>
      </x:c>
      <x:c r="Y620" s="36" t="str">
        <x:v>Paulus verdichtet den Konflikt in dem Ruf nach Befreiung.</x:v>
      </x:c>
      <x:c r="Z620" s="36" t="str">
        <x:v>JA</x:v>
      </x:c>
      <x:c r="AA620" s="36" t="str">
        <x:v>JA</x:v>
      </x:c>
      <x:c r="AB620" s="36" t="str">
        <x:v>JA</x:v>
      </x:c>
      <x:c r="AC620" s="36" t="str">
        <x:v>JA</x:v>
      </x:c>
      <x:c r="AD620" s="36" t="str">
        <x:v>JA</x:v>
      </x:c>
      <x:c r="AE620" s="36" t="str">
        <x:v>JA</x:v>
      </x:c>
      <x:c r="AF620" s="36" t="str">
        <x:v>JA</x:v>
      </x:c>
      <x:c r="AG620" s="36" t="str">
        <x:v>FREIGEGEBEN</x:v>
      </x:c>
      <x:c r="AH620" s="36" t="str">
        <x:v>GPT-5.6 Sol · Buchprüfung Römer · L1912/OTB</x:v>
      </x:c>
      <x:c r="AI620" s="36" t="str">
        <x:v>FREIGEGEBEN</x:v>
      </x:c>
      <x:c r="AJ620" s="36" t="str">
        <x:v>Römer 7: repetitive Wiedererkennungsfrage durch PERSON_AUSSAGE-Frage ersetzt.</x:v>
      </x:c>
      <x:c r="AK620" s="36" t="str">
        <x:v>FaithPath repo develop/v4 · data/stories.json · data/bibles/l1912/ROM.json · data/bibles/otb/ROM.json</x:v>
      </x:c>
      <x:c r="AL620" t="str">
        <x:f>IF(AND(AG620="FREIGEGEBEN",AI620="FREIGEGEBEN",Q620&lt;&gt;"",R620&lt;&gt;"",S620&lt;&gt;"",T620&lt;&gt;"",U620&lt;&gt;"",ISNUMBER(V620),X620&lt;&gt;"",Y620&lt;&gt;"",AA620="JA",AB620="JA",AC620="JA",AD620="JA",AE620="JA",AF620="JA"),"JA","NEIN")</x:f>
        <x:v>JA</x:v>
      </x:c>
    </x:row>
    <x:row r="621">
      <x:c r="A621" t="str">
        <x:v>FP-0880</x:v>
      </x:c>
      <x:c r="B621" t="str">
        <x:v>ROM</x:v>
      </x:c>
      <x:c r="C621" t="str">
        <x:v>Römer</x:v>
      </x:c>
      <x:c r="D621" t="n">
        <x:v>7</x:v>
      </x:c>
      <x:c r="E621" t="n">
        <x:v>5</x:v>
      </x:c>
      <x:c r="F621" t="str">
        <x:v>ROM-007</x:v>
      </x:c>
      <x:c r="G621" t="n">
        <x:v>124</x:v>
      </x:c>
      <x:c r="H621" t="str">
        <x:v>CQ-A07</x:v>
      </x:c>
      <x:c r="I621" s="36" t="str">
        <x:v>Welche dieser Aussagen stammt aus Römer 7?</x:v>
      </x:c>
      <x:c r="J621" s="36" t="str"/>
      <x:c r="K621" s="36" t="str"/>
      <x:c r="L621" s="36" t="str">
        <x:v>REPO_VERIFIZIERT_FRAGEFORM</x:v>
      </x:c>
      <x:c r="M621" s="36" t="str">
        <x:v>ERSETZEN</x:v>
      </x:c>
      <x:c r="N621" s="36" t="str">
        <x:v>REPETITIVE_FRAGEFORM</x:v>
      </x:c>
      <x:c r="O621" s="36" t="str">
        <x:v>REINE_WIEDERERKENNUNG</x:v>
      </x:c>
      <x:c r="P621" s="36" t="str">
        <x:v>PERSON_AUSSAGE</x:v>
      </x:c>
      <x:c r="Q621" s="36" t="str">
        <x:v>Wem dankt Paulus unmittelbar nach seinem Ruf nach Rettung?</x:v>
      </x:c>
      <x:c r="R621" s="36" t="str">
        <x:v>Gott durch Jesus Christus, unseren Herrn.</x:v>
      </x:c>
      <x:c r="S621" s="36" t="str">
        <x:v>Mose.</x:v>
      </x:c>
      <x:c r="T621" s="36" t="str">
        <x:v>Dem Hohen Rat.</x:v>
      </x:c>
      <x:c r="U621" s="36" t="str">
        <x:v>Den römischen Behörden.</x:v>
      </x:c>
      <x:c r="V621" s="36" t="n">
        <x:v>0</x:v>
      </x:c>
      <x:c r="W621" s="36" t="str">
        <x:f>CHOOSE(V621+1,R621,S621,T621,U621)</x:f>
        <x:v>Gott durch Jesus Christus, unseren Herrn.</x:v>
      </x:c>
      <x:c r="X621" s="36" t="str">
        <x:v>Römer 7,25</x:v>
      </x:c>
      <x:c r="Y621" s="36" t="str">
        <x:v>Paulus antwortet auf den Hilferuf mit Dank an Gott durch Jesus Christus.</x:v>
      </x:c>
      <x:c r="Z621" s="36" t="str">
        <x:v>JA</x:v>
      </x:c>
      <x:c r="AA621" s="36" t="str">
        <x:v>JA</x:v>
      </x:c>
      <x:c r="AB621" s="36" t="str">
        <x:v>JA</x:v>
      </x:c>
      <x:c r="AC621" s="36" t="str">
        <x:v>JA</x:v>
      </x:c>
      <x:c r="AD621" s="36" t="str">
        <x:v>JA</x:v>
      </x:c>
      <x:c r="AE621" s="36" t="str">
        <x:v>JA</x:v>
      </x:c>
      <x:c r="AF621" s="36" t="str">
        <x:v>JA</x:v>
      </x:c>
      <x:c r="AG621" s="36" t="str">
        <x:v>FREIGEGEBEN</x:v>
      </x:c>
      <x:c r="AH621" s="36" t="str">
        <x:v>GPT-5.6 Sol · Buchprüfung Römer · L1912/OTB</x:v>
      </x:c>
      <x:c r="AI621" s="36" t="str">
        <x:v>FREIGEGEBEN</x:v>
      </x:c>
      <x:c r="AJ621" s="36" t="str">
        <x:v>Römer 7: repetitive Wiedererkennungsfrage durch PERSON_AUSSAGE-Frage ersetzt.</x:v>
      </x:c>
      <x:c r="AK621" s="36" t="str">
        <x:v>FaithPath repo develop/v4 · data/stories.json · data/bibles/l1912/ROM.json · data/bibles/otb/ROM.json</x:v>
      </x:c>
      <x:c r="AL621" t="str">
        <x:f>IF(AND(AG621="FREIGEGEBEN",AI621="FREIGEGEBEN",Q621&lt;&gt;"",R621&lt;&gt;"",S621&lt;&gt;"",T621&lt;&gt;"",U621&lt;&gt;"",ISNUMBER(V621),X621&lt;&gt;"",Y621&lt;&gt;"",AA621="JA",AB621="JA",AC621="JA",AD621="JA",AE621="JA",AF621="JA"),"JA","NEIN")</x:f>
        <x:v>JA</x:v>
      </x:c>
    </x:row>
    <x:row r="622">
      <x:c r="A622" t="str">
        <x:v>FP-0881</x:v>
      </x:c>
      <x:c r="B622" t="str">
        <x:v>ROM</x:v>
      </x:c>
      <x:c r="C622" t="str">
        <x:v>Römer</x:v>
      </x:c>
      <x:c r="D622" t="n">
        <x:v>8</x:v>
      </x:c>
      <x:c r="E622" t="n">
        <x:v>1</x:v>
      </x:c>
      <x:c r="F622" t="str">
        <x:v>ROM-008</x:v>
      </x:c>
      <x:c r="G622" t="n">
        <x:v>125</x:v>
      </x:c>
      <x:c r="H622" t="str">
        <x:v>CQ-A07</x:v>
      </x:c>
      <x:c r="I622" s="36" t="str">
        <x:v>Welche dieser Aussagen stammt aus Römer 8?</x:v>
      </x:c>
      <x:c r="J622" s="36" t="str"/>
      <x:c r="K622" s="36" t="str"/>
      <x:c r="L622" s="36" t="str">
        <x:v>REPO_VERIFIZIERT_FRAGEFORM</x:v>
      </x:c>
      <x:c r="M622" s="36" t="str">
        <x:v>ERSETZEN</x:v>
      </x:c>
      <x:c r="N622" s="36" t="str">
        <x:v>REPETITIVE_FRAGEFORM</x:v>
      </x:c>
      <x:c r="O622" s="36" t="str">
        <x:v>REINE_WIEDERERKENNUNG</x:v>
      </x:c>
      <x:c r="P622" s="36" t="str">
        <x:v>KERNAUSSAGE</x:v>
      </x:c>
      <x:c r="Q622" s="36" t="str">
        <x:v>Welche Zusage steht am Anfang von Römer 8?</x:v>
      </x:c>
      <x:c r="R622" s="36" t="str">
        <x:v>Glaubende erleben keine Schwierigkeiten mehr.</x:v>
      </x:c>
      <x:c r="S622" s="36" t="str">
        <x:v>Für die, die in Christus Jesus sind, gibt es keine Verdammnis.</x:v>
      </x:c>
      <x:c r="T622" s="36" t="str">
        <x:v>Das Gesetz hat nie eine Rolle gespielt.</x:v>
      </x:c>
      <x:c r="U622" s="36" t="str">
        <x:v>Nur Apostel sind von Verdammnis frei.</x:v>
      </x:c>
      <x:c r="V622" s="36" t="n">
        <x:v>1</x:v>
      </x:c>
      <x:c r="W622" s="36" t="str">
        <x:f>CHOOSE(V622+1,R622,S622,T622,U622)</x:f>
        <x:v>Für die, die in Christus Jesus sind, gibt es keine Verdammnis.</x:v>
      </x:c>
      <x:c r="X622" s="36" t="str">
        <x:v>Römer 8,1–4</x:v>
      </x:c>
      <x:c r="Y622" s="36" t="str">
        <x:v>Paulus beginnt das Kapitel mit der Zusage der Nichtverdammnis in Christus und dem befreienden Wirken des Geistes.</x:v>
      </x:c>
      <x:c r="Z622" s="36" t="str">
        <x:v>JA</x:v>
      </x:c>
      <x:c r="AA622" s="36" t="str">
        <x:v>JA</x:v>
      </x:c>
      <x:c r="AB622" s="36" t="str">
        <x:v>JA</x:v>
      </x:c>
      <x:c r="AC622" s="36" t="str">
        <x:v>JA</x:v>
      </x:c>
      <x:c r="AD622" s="36" t="str">
        <x:v>JA</x:v>
      </x:c>
      <x:c r="AE622" s="36" t="str">
        <x:v>JA</x:v>
      </x:c>
      <x:c r="AF622" s="36" t="str">
        <x:v>JA</x:v>
      </x:c>
      <x:c r="AG622" s="36" t="str">
        <x:v>FREIGEGEBEN</x:v>
      </x:c>
      <x:c r="AH622" s="36" t="str">
        <x:v>GPT-5.6 Sol · Buchprüfung Römer · L1912/OTB</x:v>
      </x:c>
      <x:c r="AI622" s="36" t="str">
        <x:v>FREIGEGEBEN</x:v>
      </x:c>
      <x:c r="AJ622" s="36" t="str">
        <x:v>Römer 8: repetitive Wiedererkennungsfrage durch KERNAUSSAGE-Frage ersetzt.</x:v>
      </x:c>
      <x:c r="AK622" s="36" t="str">
        <x:v>FaithPath repo develop/v4 · data/stories.json · data/bibles/l1912/ROM.json · data/bibles/otb/ROM.json</x:v>
      </x:c>
      <x:c r="AL622" t="str">
        <x:f>IF(AND(AG622="FREIGEGEBEN",AI622="FREIGEGEBEN",Q622&lt;&gt;"",R622&lt;&gt;"",S622&lt;&gt;"",T622&lt;&gt;"",U622&lt;&gt;"",ISNUMBER(V622),X622&lt;&gt;"",Y622&lt;&gt;"",AA622="JA",AB622="JA",AC622="JA",AD622="JA",AE622="JA",AF622="JA"),"JA","NEIN")</x:f>
        <x:v>JA</x:v>
      </x:c>
    </x:row>
    <x:row r="623">
      <x:c r="A623" t="str">
        <x:v>FP-0882</x:v>
      </x:c>
      <x:c r="B623" t="str">
        <x:v>ROM</x:v>
      </x:c>
      <x:c r="C623" t="str">
        <x:v>Römer</x:v>
      </x:c>
      <x:c r="D623" t="n">
        <x:v>8</x:v>
      </x:c>
      <x:c r="E623" t="n">
        <x:v>2</x:v>
      </x:c>
      <x:c r="F623" t="str">
        <x:v>ROM-008</x:v>
      </x:c>
      <x:c r="G623" t="n">
        <x:v>125</x:v>
      </x:c>
      <x:c r="H623" t="str">
        <x:v>CQ-A07</x:v>
      </x:c>
      <x:c r="I623" s="36" t="str">
        <x:v>Welche dieser Aussagen stammt aus Römer 8?</x:v>
      </x:c>
      <x:c r="J623" s="36" t="str"/>
      <x:c r="K623" s="36" t="str"/>
      <x:c r="L623" s="36" t="str">
        <x:v>REPO_VERIFIZIERT_FRAGEFORM</x:v>
      </x:c>
      <x:c r="M623" s="36" t="str">
        <x:v>ERSETZEN</x:v>
      </x:c>
      <x:c r="N623" s="36" t="str">
        <x:v>REPETITIVE_FRAGEFORM</x:v>
      </x:c>
      <x:c r="O623" s="36" t="str">
        <x:v>REINE_WIEDERERKENNUNG</x:v>
      </x:c>
      <x:c r="P623" s="36" t="str">
        <x:v>KERNAUSSAGE</x:v>
      </x:c>
      <x:c r="Q623" s="36" t="str">
        <x:v>Welche Hoffnung verbindet Paulus mit dem Geist Gottes, der in Glaubenden wohnt?</x:v>
      </x:c>
      <x:c r="R623" s="36" t="str">
        <x:v>Der Körper wird für Gott bedeutungslos.</x:v>
      </x:c>
      <x:c r="S623" s="36" t="str">
        <x:v>Nur die Seele wird von Gott beachtet.</x:v>
      </x:c>
      <x:c r="T623" s="36" t="str">
        <x:v>Der Geist dessen, der Jesus auferweckte, wird auch ihre sterblichen Leiber lebendig machen.</x:v>
      </x:c>
      <x:c r="U623" s="36" t="str">
        <x:v>Auferstehung betrifft ausschließlich Jesus.</x:v>
      </x:c>
      <x:c r="V623" s="36" t="n">
        <x:v>2</x:v>
      </x:c>
      <x:c r="W623" s="36" t="str">
        <x:f>CHOOSE(V623+1,R623,S623,T623,U623)</x:f>
        <x:v>Der Geist dessen, der Jesus auferweckte, wird auch ihre sterblichen Leiber lebendig machen.</x:v>
      </x:c>
      <x:c r="X623" s="36" t="str">
        <x:v>Römer 8,9–11</x:v>
      </x:c>
      <x:c r="Y623" s="36" t="str">
        <x:v>Paulus verbindet die Gegenwart des Geistes mit der Hoffnung auf zukünftige Lebendigmachung.</x:v>
      </x:c>
      <x:c r="Z623" s="36" t="str">
        <x:v>JA</x:v>
      </x:c>
      <x:c r="AA623" s="36" t="str">
        <x:v>JA</x:v>
      </x:c>
      <x:c r="AB623" s="36" t="str">
        <x:v>JA</x:v>
      </x:c>
      <x:c r="AC623" s="36" t="str">
        <x:v>JA</x:v>
      </x:c>
      <x:c r="AD623" s="36" t="str">
        <x:v>JA</x:v>
      </x:c>
      <x:c r="AE623" s="36" t="str">
        <x:v>JA</x:v>
      </x:c>
      <x:c r="AF623" s="36" t="str">
        <x:v>JA</x:v>
      </x:c>
      <x:c r="AG623" s="36" t="str">
        <x:v>FREIGEGEBEN</x:v>
      </x:c>
      <x:c r="AH623" s="36" t="str">
        <x:v>GPT-5.6 Sol · Buchprüfung Römer · L1912/OTB</x:v>
      </x:c>
      <x:c r="AI623" s="36" t="str">
        <x:v>FREIGEGEBEN</x:v>
      </x:c>
      <x:c r="AJ623" s="36" t="str">
        <x:v>Römer 8: repetitive Wiedererkennungsfrage durch KERNAUSSAGE-Frage ersetzt.</x:v>
      </x:c>
      <x:c r="AK623" s="36" t="str">
        <x:v>FaithPath repo develop/v4 · data/stories.json · data/bibles/l1912/ROM.json · data/bibles/otb/ROM.json</x:v>
      </x:c>
      <x:c r="AL623" t="str">
        <x:f>IF(AND(AG623="FREIGEGEBEN",AI623="FREIGEGEBEN",Q623&lt;&gt;"",R623&lt;&gt;"",S623&lt;&gt;"",T623&lt;&gt;"",U623&lt;&gt;"",ISNUMBER(V623),X623&lt;&gt;"",Y623&lt;&gt;"",AA623="JA",AB623="JA",AC623="JA",AD623="JA",AE623="JA",AF623="JA"),"JA","NEIN")</x:f>
        <x:v>JA</x:v>
      </x:c>
    </x:row>
    <x:row r="624">
      <x:c r="A624" t="str">
        <x:v>FP-0883</x:v>
      </x:c>
      <x:c r="B624" t="str">
        <x:v>ROM</x:v>
      </x:c>
      <x:c r="C624" t="str">
        <x:v>Römer</x:v>
      </x:c>
      <x:c r="D624" t="n">
        <x:v>8</x:v>
      </x:c>
      <x:c r="E624" t="n">
        <x:v>3</x:v>
      </x:c>
      <x:c r="F624" t="str">
        <x:v>ROM-008</x:v>
      </x:c>
      <x:c r="G624" t="n">
        <x:v>125</x:v>
      </x:c>
      <x:c r="H624" t="str">
        <x:v>CQ-A07</x:v>
      </x:c>
      <x:c r="I624" s="36" t="str">
        <x:v>Welche dieser Aussagen stammt aus Römer 8?</x:v>
      </x:c>
      <x:c r="J624" s="36" t="str"/>
      <x:c r="K624" s="36" t="str"/>
      <x:c r="L624" s="36" t="str">
        <x:v>REPO_VERIFIZIERT_FRAGEFORM</x:v>
      </x:c>
      <x:c r="M624" s="36" t="str">
        <x:v>ERSETZEN</x:v>
      </x:c>
      <x:c r="N624" s="36" t="str">
        <x:v>REPETITIVE_FRAGEFORM</x:v>
      </x:c>
      <x:c r="O624" s="36" t="str">
        <x:v>REINE_WIEDERERKENNUNG</x:v>
      </x:c>
      <x:c r="P624" s="36" t="str">
        <x:v>KERNAUSSAGE</x:v>
      </x:c>
      <x:c r="Q624" s="36" t="str">
        <x:v>Was bezeugt der Geist in Römer 8 über die Glaubenden?</x:v>
      </x:c>
      <x:c r="R624" s="36" t="str">
        <x:v>Sie sind nur Diener ohne Beziehung zu Gott.</x:v>
      </x:c>
      <x:c r="S624" s="36" t="str">
        <x:v>Sie müssen ständig in Angst vor Gott leben.</x:v>
      </x:c>
      <x:c r="T624" s="36" t="str">
        <x:v>Nur Israel darf Gott Vater nennen.</x:v>
      </x:c>
      <x:c r="U624" s="36" t="str">
        <x:v>Sie sind Kinder Gottes und dürfen Gott als Vater anrufen.</x:v>
      </x:c>
      <x:c r="V624" s="36" t="n">
        <x:v>3</x:v>
      </x:c>
      <x:c r="W624" s="36" t="str">
        <x:f>CHOOSE(V624+1,R624,S624,T624,U624)</x:f>
        <x:v>Sie sind Kinder Gottes und dürfen Gott als Vater anrufen.</x:v>
      </x:c>
      <x:c r="X624" s="36" t="str">
        <x:v>Römer 8,14–17</x:v>
      </x:c>
      <x:c r="Y624" s="36" t="str">
        <x:v>Paulus spricht vom Geist der Sohnschaft und von der gemeinsamen Erbschaft mit Christus.</x:v>
      </x:c>
      <x:c r="Z624" s="36" t="str">
        <x:v>JA</x:v>
      </x:c>
      <x:c r="AA624" s="36" t="str">
        <x:v>JA</x:v>
      </x:c>
      <x:c r="AB624" s="36" t="str">
        <x:v>JA</x:v>
      </x:c>
      <x:c r="AC624" s="36" t="str">
        <x:v>JA</x:v>
      </x:c>
      <x:c r="AD624" s="36" t="str">
        <x:v>JA</x:v>
      </x:c>
      <x:c r="AE624" s="36" t="str">
        <x:v>JA</x:v>
      </x:c>
      <x:c r="AF624" s="36" t="str">
        <x:v>JA</x:v>
      </x:c>
      <x:c r="AG624" s="36" t="str">
        <x:v>FREIGEGEBEN</x:v>
      </x:c>
      <x:c r="AH624" s="36" t="str">
        <x:v>GPT-5.6 Sol · Buchprüfung Römer · L1912/OTB</x:v>
      </x:c>
      <x:c r="AI624" s="36" t="str">
        <x:v>FREIGEGEBEN</x:v>
      </x:c>
      <x:c r="AJ624" s="36" t="str">
        <x:v>Römer 8: repetitive Wiedererkennungsfrage durch KERNAUSSAGE-Frage ersetzt.</x:v>
      </x:c>
      <x:c r="AK624" s="36" t="str">
        <x:v>FaithPath repo develop/v4 · data/stories.json · data/bibles/l1912/ROM.json · data/bibles/otb/ROM.json</x:v>
      </x:c>
      <x:c r="AL624" t="str">
        <x:f>IF(AND(AG624="FREIGEGEBEN",AI624="FREIGEGEBEN",Q624&lt;&gt;"",R624&lt;&gt;"",S624&lt;&gt;"",T624&lt;&gt;"",U624&lt;&gt;"",ISNUMBER(V624),X624&lt;&gt;"",Y624&lt;&gt;"",AA624="JA",AB624="JA",AC624="JA",AD624="JA",AE624="JA",AF624="JA"),"JA","NEIN")</x:f>
        <x:v>JA</x:v>
      </x:c>
    </x:row>
    <x:row r="625">
      <x:c r="A625" t="str">
        <x:v>FP-0884</x:v>
      </x:c>
      <x:c r="B625" t="str">
        <x:v>ROM</x:v>
      </x:c>
      <x:c r="C625" t="str">
        <x:v>Römer</x:v>
      </x:c>
      <x:c r="D625" t="n">
        <x:v>8</x:v>
      </x:c>
      <x:c r="E625" t="n">
        <x:v>4</x:v>
      </x:c>
      <x:c r="F625" t="str">
        <x:v>ROM-008</x:v>
      </x:c>
      <x:c r="G625" t="n">
        <x:v>125</x:v>
      </x:c>
      <x:c r="H625" t="str">
        <x:v>CQ-A07</x:v>
      </x:c>
      <x:c r="I625" s="36" t="str">
        <x:v>Welche dieser Aussagen stammt aus Römer 8?</x:v>
      </x:c>
      <x:c r="J625" s="36" t="str"/>
      <x:c r="K625" s="36" t="str"/>
      <x:c r="L625" s="36" t="str">
        <x:v>REPO_VERIFIZIERT_FRAGEFORM</x:v>
      </x:c>
      <x:c r="M625" s="36" t="str">
        <x:v>ERSETZEN</x:v>
      </x:c>
      <x:c r="N625" s="36" t="str">
        <x:v>REPETITIVE_FRAGEFORM</x:v>
      </x:c>
      <x:c r="O625" s="36" t="str">
        <x:v>REINE_WIEDERERKENNUNG</x:v>
      </x:c>
      <x:c r="P625" s="36" t="str">
        <x:v>ZUSAMMENHANG</x:v>
      </x:c>
      <x:c r="Q625" s="36" t="str">
        <x:v>Wie beschreibt Paulus die gegenwärtige Schöpfung und die Hoffnung der Glaubenden?</x:v>
      </x:c>
      <x:c r="R625" s="36" t="str">
        <x:v>Die Schöpfung seufzt und wartet auf Erlösung; auch Glaubende warten hoffend auf die Erlösung des Leibes.</x:v>
      </x:c>
      <x:c r="S625" s="36" t="str">
        <x:v>Die Schöpfung ist bereits vollständig erneuert.</x:v>
      </x:c>
      <x:c r="T625" s="36" t="str">
        <x:v>Nur Menschen, nicht aber die Schöpfung, sind von Vergänglichkeit betroffen.</x:v>
      </x:c>
      <x:c r="U625" s="36" t="str">
        <x:v>Hoffnung ist für Paulus nur eine unsichere Vermutung ohne Zukunftsbezug.</x:v>
      </x:c>
      <x:c r="V625" s="36" t="n">
        <x:v>0</x:v>
      </x:c>
      <x:c r="W625" s="36" t="str">
        <x:f>CHOOSE(V625+1,R625,S625,T625,U625)</x:f>
        <x:v>Die Schöpfung seufzt und wartet auf Erlösung; auch Glaubende warten hoffend auf die Erlösung des Leibes.</x:v>
      </x:c>
      <x:c r="X625" s="36" t="str">
        <x:v>Römer 8,18–25</x:v>
      </x:c>
      <x:c r="Y625" s="36" t="str">
        <x:v>Paulus verbindet gegenwärtiges Leiden und Seufzen mit einer zukünftigen Herrlichkeit und Erlösung.</x:v>
      </x:c>
      <x:c r="Z625" s="36" t="str">
        <x:v>JA</x:v>
      </x:c>
      <x:c r="AA625" s="36" t="str">
        <x:v>JA</x:v>
      </x:c>
      <x:c r="AB625" s="36" t="str">
        <x:v>JA</x:v>
      </x:c>
      <x:c r="AC625" s="36" t="str">
        <x:v>JA</x:v>
      </x:c>
      <x:c r="AD625" s="36" t="str">
        <x:v>JA</x:v>
      </x:c>
      <x:c r="AE625" s="36" t="str">
        <x:v>JA</x:v>
      </x:c>
      <x:c r="AF625" s="36" t="str">
        <x:v>JA</x:v>
      </x:c>
      <x:c r="AG625" s="36" t="str">
        <x:v>FREIGEGEBEN</x:v>
      </x:c>
      <x:c r="AH625" s="36" t="str">
        <x:v>GPT-5.6 Sol · Buchprüfung Römer · L1912/OTB</x:v>
      </x:c>
      <x:c r="AI625" s="36" t="str">
        <x:v>FREIGEGEBEN</x:v>
      </x:c>
      <x:c r="AJ625" s="36" t="str">
        <x:v>Römer 8: repetitive Wiedererkennungsfrage durch ZUSAMMENHANG-Frage ersetzt.</x:v>
      </x:c>
      <x:c r="AK625" s="36" t="str">
        <x:v>FaithPath repo develop/v4 · data/stories.json · data/bibles/l1912/ROM.json · data/bibles/otb/ROM.json</x:v>
      </x:c>
      <x:c r="AL625" t="str">
        <x:f>IF(AND(AG625="FREIGEGEBEN",AI625="FREIGEGEBEN",Q625&lt;&gt;"",R625&lt;&gt;"",S625&lt;&gt;"",T625&lt;&gt;"",U625&lt;&gt;"",ISNUMBER(V625),X625&lt;&gt;"",Y625&lt;&gt;"",AA625="JA",AB625="JA",AC625="JA",AD625="JA",AE625="JA",AF625="JA"),"JA","NEIN")</x:f>
        <x:v>JA</x:v>
      </x:c>
    </x:row>
    <x:row r="626">
      <x:c r="A626" t="str">
        <x:v>FP-0885</x:v>
      </x:c>
      <x:c r="B626" t="str">
        <x:v>ROM</x:v>
      </x:c>
      <x:c r="C626" t="str">
        <x:v>Römer</x:v>
      </x:c>
      <x:c r="D626" t="n">
        <x:v>8</x:v>
      </x:c>
      <x:c r="E626" t="n">
        <x:v>5</x:v>
      </x:c>
      <x:c r="F626" t="str">
        <x:v>ROM-008</x:v>
      </x:c>
      <x:c r="G626" t="n">
        <x:v>125</x:v>
      </x:c>
      <x:c r="H626" t="str">
        <x:v>CQ-A07</x:v>
      </x:c>
      <x:c r="I626" s="36" t="str">
        <x:v>Welche dieser Aussagen stammt aus Römer 8?</x:v>
      </x:c>
      <x:c r="J626" s="36" t="str"/>
      <x:c r="K626" s="36" t="str"/>
      <x:c r="L626" s="36" t="str">
        <x:v>REPO_VERIFIZIERT_FRAGEFORM</x:v>
      </x:c>
      <x:c r="M626" s="36" t="str">
        <x:v>ERSETZEN</x:v>
      </x:c>
      <x:c r="N626" s="36" t="str">
        <x:v>REPETITIVE_FRAGEFORM</x:v>
      </x:c>
      <x:c r="O626" s="36" t="str">
        <x:v>REINE_WIEDERERKENNUNG</x:v>
      </x:c>
      <x:c r="P626" s="36" t="str">
        <x:v>KERNAUSSAGE</x:v>
      </x:c>
      <x:c r="Q626" s="36" t="str">
        <x:v>Welche Sicherheit betont Paulus am Ende von Römer 8?</x:v>
      </x:c>
      <x:c r="R626" s="36" t="str">
        <x:v>Nur menschliche Entscheidungen können Gottes Liebe erhalten.</x:v>
      </x:c>
      <x:c r="S626" s="36" t="str">
        <x:v>Nichts kann die Glaubenden von der Liebe Gottes in Christus Jesus trennen.</x:v>
      </x:c>
      <x:c r="T626" s="36" t="str">
        <x:v>Verfolgung beweist, dass Gott fern ist.</x:v>
      </x:c>
      <x:c r="U626" s="36" t="str">
        <x:v>Nur Engel stehen außerhalb von Gottes Liebe.</x:v>
      </x:c>
      <x:c r="V626" s="36" t="n">
        <x:v>1</x:v>
      </x:c>
      <x:c r="W626" s="36" t="str">
        <x:f>CHOOSE(V626+1,R626,S626,T626,U626)</x:f>
        <x:v>Nichts kann die Glaubenden von der Liebe Gottes in Christus Jesus trennen.</x:v>
      </x:c>
      <x:c r="X626" s="36" t="str">
        <x:v>Römer 8,31–39</x:v>
      </x:c>
      <x:c r="Y626" s="36" t="str">
        <x:v>Paulus zählt zahlreiche mögliche Bedrohungen auf und schließt, dass nichts von Gottes Liebe in Christus trennen kann.</x:v>
      </x:c>
      <x:c r="Z626" s="36" t="str">
        <x:v>JA</x:v>
      </x:c>
      <x:c r="AA626" s="36" t="str">
        <x:v>JA</x:v>
      </x:c>
      <x:c r="AB626" s="36" t="str">
        <x:v>JA</x:v>
      </x:c>
      <x:c r="AC626" s="36" t="str">
        <x:v>JA</x:v>
      </x:c>
      <x:c r="AD626" s="36" t="str">
        <x:v>JA</x:v>
      </x:c>
      <x:c r="AE626" s="36" t="str">
        <x:v>JA</x:v>
      </x:c>
      <x:c r="AF626" s="36" t="str">
        <x:v>JA</x:v>
      </x:c>
      <x:c r="AG626" s="36" t="str">
        <x:v>FREIGEGEBEN</x:v>
      </x:c>
      <x:c r="AH626" s="36" t="str">
        <x:v>GPT-5.6 Sol · Buchprüfung Römer · L1912/OTB</x:v>
      </x:c>
      <x:c r="AI626" s="36" t="str">
        <x:v>FREIGEGEBEN</x:v>
      </x:c>
      <x:c r="AJ626" s="36" t="str">
        <x:v>Römer 8: repetitive Wiedererkennungsfrage durch KERNAUSSAGE-Frage ersetzt.</x:v>
      </x:c>
      <x:c r="AK626" s="36" t="str">
        <x:v>FaithPath repo develop/v4 · data/stories.json · data/bibles/l1912/ROM.json · data/bibles/otb/ROM.json</x:v>
      </x:c>
      <x:c r="AL626" t="str">
        <x:f>IF(AND(AG626="FREIGEGEBEN",AI626="FREIGEGEBEN",Q626&lt;&gt;"",R626&lt;&gt;"",S626&lt;&gt;"",T626&lt;&gt;"",U626&lt;&gt;"",ISNUMBER(V626),X626&lt;&gt;"",Y626&lt;&gt;"",AA626="JA",AB626="JA",AC626="JA",AD626="JA",AE626="JA",AF626="JA"),"JA","NEIN")</x:f>
        <x:v>JA</x:v>
      </x:c>
    </x:row>
    <x:row r="627">
      <x:c r="A627" t="str">
        <x:v>FP-0886</x:v>
      </x:c>
      <x:c r="B627" t="str">
        <x:v>ROM</x:v>
      </x:c>
      <x:c r="C627" t="str">
        <x:v>Römer</x:v>
      </x:c>
      <x:c r="D627" t="n">
        <x:v>9</x:v>
      </x:c>
      <x:c r="E627" t="n">
        <x:v>1</x:v>
      </x:c>
      <x:c r="F627" t="str">
        <x:v>ROM-009</x:v>
      </x:c>
      <x:c r="G627" t="n">
        <x:v>126</x:v>
      </x:c>
      <x:c r="H627" t="str">
        <x:v>CQ-A07</x:v>
      </x:c>
      <x:c r="I627" s="36" t="str">
        <x:v>Welche dieser Aussagen stammt aus Römer 9?</x:v>
      </x:c>
      <x:c r="J627" s="36" t="str"/>
      <x:c r="K627" s="36" t="str"/>
      <x:c r="L627" s="36" t="str">
        <x:v>REPO_VERIFIZIERT_FRAGEFORM</x:v>
      </x:c>
      <x:c r="M627" s="36" t="str">
        <x:v>ERSETZEN</x:v>
      </x:c>
      <x:c r="N627" s="36" t="str">
        <x:v>REPETITIVE_FRAGEFORM</x:v>
      </x:c>
      <x:c r="O627" s="36" t="str">
        <x:v>REINE_WIEDERERKENNUNG</x:v>
      </x:c>
      <x:c r="P627" s="36" t="str">
        <x:v>PERSON_AUSSAGE</x:v>
      </x:c>
      <x:c r="Q627" s="36" t="str">
        <x:v>Wie beschreibt Paulus seine Haltung gegenüber seinen israelitischen Geschwistern?</x:v>
      </x:c>
      <x:c r="R627" s="36" t="str">
        <x:v>Mit Gleichgültigkeit.</x:v>
      </x:c>
      <x:c r="S627" s="36" t="str">
        <x:v>Mit Freude über ihre Ablehnung.</x:v>
      </x:c>
      <x:c r="T627" s="36" t="str">
        <x:v>Mit großer Traurigkeit und anhaltendem Schmerz wegen ihres Zustands.</x:v>
      </x:c>
      <x:c r="U627" s="36" t="str">
        <x:v>Mit dem Wunsch, jede Verbindung zu ihnen abzubrechen.</x:v>
      </x:c>
      <x:c r="V627" s="36" t="n">
        <x:v>2</x:v>
      </x:c>
      <x:c r="W627" s="36" t="str">
        <x:f>CHOOSE(V627+1,R627,S627,T627,U627)</x:f>
        <x:v>Mit großer Traurigkeit und anhaltendem Schmerz wegen ihres Zustands.</x:v>
      </x:c>
      <x:c r="X627" s="36" t="str">
        <x:v>Römer 9,1–5</x:v>
      </x:c>
      <x:c r="Y627" s="36" t="str">
        <x:v>Paulus beginnt den schwierigen Abschnitt mit tiefer persönlicher Trauer und Verbundenheit mit Israel.</x:v>
      </x:c>
      <x:c r="Z627" s="36" t="str">
        <x:v>JA</x:v>
      </x:c>
      <x:c r="AA627" s="36" t="str">
        <x:v>JA</x:v>
      </x:c>
      <x:c r="AB627" s="36" t="str">
        <x:v>JA</x:v>
      </x:c>
      <x:c r="AC627" s="36" t="str">
        <x:v>JA</x:v>
      </x:c>
      <x:c r="AD627" s="36" t="str">
        <x:v>JA</x:v>
      </x:c>
      <x:c r="AE627" s="36" t="str">
        <x:v>JA</x:v>
      </x:c>
      <x:c r="AF627" s="36" t="str">
        <x:v>JA</x:v>
      </x:c>
      <x:c r="AG627" s="36" t="str">
        <x:v>FREIGEGEBEN</x:v>
      </x:c>
      <x:c r="AH627" s="36" t="str">
        <x:v>GPT-5.6 Sol · Buchprüfung Römer · L1912/OTB</x:v>
      </x:c>
      <x:c r="AI627" s="36" t="str">
        <x:v>FREIGEGEBEN</x:v>
      </x:c>
      <x:c r="AJ627" s="36" t="str">
        <x:v>Römer 9: repetitive Wiedererkennungsfrage durch PERSON_AUSSAGE-Frage ersetzt.</x:v>
      </x:c>
      <x:c r="AK627" s="36" t="str">
        <x:v>FaithPath repo develop/v4 · data/stories.json · data/bibles/l1912/ROM.json · data/bibles/otb/ROM.json</x:v>
      </x:c>
      <x:c r="AL627" t="str">
        <x:f>IF(AND(AG627="FREIGEGEBEN",AI627="FREIGEGEBEN",Q627&lt;&gt;"",R627&lt;&gt;"",S627&lt;&gt;"",T627&lt;&gt;"",U627&lt;&gt;"",ISNUMBER(V627),X627&lt;&gt;"",Y627&lt;&gt;"",AA627="JA",AB627="JA",AC627="JA",AD627="JA",AE627="JA",AF627="JA"),"JA","NEIN")</x:f>
        <x:v>JA</x:v>
      </x:c>
    </x:row>
    <x:row r="628">
      <x:c r="A628" t="str">
        <x:v>FP-0887</x:v>
      </x:c>
      <x:c r="B628" t="str">
        <x:v>ROM</x:v>
      </x:c>
      <x:c r="C628" t="str">
        <x:v>Römer</x:v>
      </x:c>
      <x:c r="D628" t="n">
        <x:v>9</x:v>
      </x:c>
      <x:c r="E628" t="n">
        <x:v>2</x:v>
      </x:c>
      <x:c r="F628" t="str">
        <x:v>ROM-009</x:v>
      </x:c>
      <x:c r="G628" t="n">
        <x:v>126</x:v>
      </x:c>
      <x:c r="H628" t="str">
        <x:v>CQ-A07</x:v>
      </x:c>
      <x:c r="I628" s="36" t="str">
        <x:v>Welche dieser Aussagen stammt aus Römer 9?</x:v>
      </x:c>
      <x:c r="J628" s="36" t="str"/>
      <x:c r="K628" s="36" t="str"/>
      <x:c r="L628" s="36" t="str">
        <x:v>REPO_VERIFIZIERT_FRAGEFORM</x:v>
      </x:c>
      <x:c r="M628" s="36" t="str">
        <x:v>ERSETZEN</x:v>
      </x:c>
      <x:c r="N628" s="36" t="str">
        <x:v>REPETITIVE_FRAGEFORM</x:v>
      </x:c>
      <x:c r="O628" s="36" t="str">
        <x:v>REINE_WIEDERERKENNUNG</x:v>
      </x:c>
      <x:c r="P628" s="36" t="str">
        <x:v>KERNAUSSAGE</x:v>
      </x:c>
      <x:c r="Q628" s="36" t="str">
        <x:v>Warum bedeutet Israels Situation für Paulus nicht, dass Gottes Wort gescheitert ist?</x:v>
      </x:c>
      <x:c r="R628" s="36" t="str">
        <x:v>Weil Gottes Verheißungen nie Israel galten.</x:v>
      </x:c>
      <x:c r="S628" s="36" t="str">
        <x:v>Weil Abstammung grundsätzlich unwichtig ist.</x:v>
      </x:c>
      <x:c r="T628" s="36" t="str">
        <x:v>Weil Paulus alle früheren Verheißungen zurücknimmt.</x:v>
      </x:c>
      <x:c r="U628" s="36" t="str">
        <x:v>Weil nicht alle, die äußerlich von Israel abstammen, damit schon das verheißene Israel bilden.</x:v>
      </x:c>
      <x:c r="V628" s="36" t="n">
        <x:v>3</x:v>
      </x:c>
      <x:c r="W628" s="36" t="str">
        <x:f>CHOOSE(V628+1,R628,S628,T628,U628)</x:f>
        <x:v>Weil nicht alle, die äußerlich von Israel abstammen, damit schon das verheißene Israel bilden.</x:v>
      </x:c>
      <x:c r="X628" s="36" t="str">
        <x:v>Römer 9,6–13</x:v>
      </x:c>
      <x:c r="Y628" s="36" t="str">
        <x:v>Paulus unterscheidet zwischen natürlicher Abstammung und der Linie der Verheißung.</x:v>
      </x:c>
      <x:c r="Z628" s="36" t="str">
        <x:v>JA</x:v>
      </x:c>
      <x:c r="AA628" s="36" t="str">
        <x:v>JA</x:v>
      </x:c>
      <x:c r="AB628" s="36" t="str">
        <x:v>JA</x:v>
      </x:c>
      <x:c r="AC628" s="36" t="str">
        <x:v>JA</x:v>
      </x:c>
      <x:c r="AD628" s="36" t="str">
        <x:v>JA</x:v>
      </x:c>
      <x:c r="AE628" s="36" t="str">
        <x:v>JA</x:v>
      </x:c>
      <x:c r="AF628" s="36" t="str">
        <x:v>JA</x:v>
      </x:c>
      <x:c r="AG628" s="36" t="str">
        <x:v>FREIGEGEBEN</x:v>
      </x:c>
      <x:c r="AH628" s="36" t="str">
        <x:v>GPT-5.6 Sol · Buchprüfung Römer · L1912/OTB</x:v>
      </x:c>
      <x:c r="AI628" s="36" t="str">
        <x:v>FREIGEGEBEN</x:v>
      </x:c>
      <x:c r="AJ628" s="36" t="str">
        <x:v>Römer 9: repetitive Wiedererkennungsfrage durch KERNAUSSAGE-Frage ersetzt.</x:v>
      </x:c>
      <x:c r="AK628" s="36" t="str">
        <x:v>FaithPath repo develop/v4 · data/stories.json · data/bibles/l1912/ROM.json · data/bibles/otb/ROM.json</x:v>
      </x:c>
      <x:c r="AL628" t="str">
        <x:f>IF(AND(AG628="FREIGEGEBEN",AI628="FREIGEGEBEN",Q628&lt;&gt;"",R628&lt;&gt;"",S628&lt;&gt;"",T628&lt;&gt;"",U628&lt;&gt;"",ISNUMBER(V628),X628&lt;&gt;"",Y628&lt;&gt;"",AA628="JA",AB628="JA",AC628="JA",AD628="JA",AE628="JA",AF628="JA"),"JA","NEIN")</x:f>
        <x:v>JA</x:v>
      </x:c>
    </x:row>
    <x:row r="629">
      <x:c r="A629" t="str">
        <x:v>FP-0888</x:v>
      </x:c>
      <x:c r="B629" t="str">
        <x:v>ROM</x:v>
      </x:c>
      <x:c r="C629" t="str">
        <x:v>Römer</x:v>
      </x:c>
      <x:c r="D629" t="n">
        <x:v>9</x:v>
      </x:c>
      <x:c r="E629" t="n">
        <x:v>3</x:v>
      </x:c>
      <x:c r="F629" t="str">
        <x:v>ROM-009</x:v>
      </x:c>
      <x:c r="G629" t="n">
        <x:v>126</x:v>
      </x:c>
      <x:c r="H629" t="str">
        <x:v>CQ-A07</x:v>
      </x:c>
      <x:c r="I629" s="36" t="str">
        <x:v>Welche dieser Aussagen stammt aus Römer 9?</x:v>
      </x:c>
      <x:c r="J629" s="36" t="str"/>
      <x:c r="K629" s="36" t="str"/>
      <x:c r="L629" s="36" t="str">
        <x:v>REPO_VERIFIZIERT_FRAGEFORM</x:v>
      </x:c>
      <x:c r="M629" s="36" t="str">
        <x:v>ERSETZEN</x:v>
      </x:c>
      <x:c r="N629" s="36" t="str">
        <x:v>REPETITIVE_FRAGEFORM</x:v>
      </x:c>
      <x:c r="O629" s="36" t="str">
        <x:v>REINE_WIEDERERKENNUNG</x:v>
      </x:c>
      <x:c r="P629" s="36" t="str">
        <x:v>KERNAUSSAGE</x:v>
      </x:c>
      <x:c r="Q629" s="36" t="str">
        <x:v>Wie antwortet Paulus auf den Einwand, Gott sei ungerecht?</x:v>
      </x:c>
      <x:c r="R629" s="36" t="str">
        <x:v>Er weist ihn zurück und betont Gottes freie Barmherzigkeit.</x:v>
      </x:c>
      <x:c r="S629" s="36" t="str">
        <x:v>Er gibt zu, dass Gott ungerecht handelt.</x:v>
      </x:c>
      <x:c r="T629" s="36" t="str">
        <x:v>Er sagt, Gerechtigkeit sei bedeutungslos.</x:v>
      </x:c>
      <x:c r="U629" s="36" t="str">
        <x:v>Er verweist ausschließlich auf menschlichen Verdienst.</x:v>
      </x:c>
      <x:c r="V629" s="36" t="n">
        <x:v>0</x:v>
      </x:c>
      <x:c r="W629" s="36" t="str">
        <x:f>CHOOSE(V629+1,R629,S629,T629,U629)</x:f>
        <x:v>Er weist ihn zurück und betont Gottes freie Barmherzigkeit.</x:v>
      </x:c>
      <x:c r="X629" s="36" t="str">
        <x:v>Römer 9,14–18</x:v>
      </x:c>
      <x:c r="Y629" s="36" t="str">
        <x:v>Paulus verteidigt Gottes Freiheit, Barmherzigkeit zu erweisen.</x:v>
      </x:c>
      <x:c r="Z629" s="36" t="str">
        <x:v>JA</x:v>
      </x:c>
      <x:c r="AA629" s="36" t="str">
        <x:v>JA</x:v>
      </x:c>
      <x:c r="AB629" s="36" t="str">
        <x:v>JA</x:v>
      </x:c>
      <x:c r="AC629" s="36" t="str">
        <x:v>JA</x:v>
      </x:c>
      <x:c r="AD629" s="36" t="str">
        <x:v>JA</x:v>
      </x:c>
      <x:c r="AE629" s="36" t="str">
        <x:v>JA</x:v>
      </x:c>
      <x:c r="AF629" s="36" t="str">
        <x:v>JA</x:v>
      </x:c>
      <x:c r="AG629" s="36" t="str">
        <x:v>FREIGEGEBEN</x:v>
      </x:c>
      <x:c r="AH629" s="36" t="str">
        <x:v>GPT-5.6 Sol · Buchprüfung Römer · L1912/OTB</x:v>
      </x:c>
      <x:c r="AI629" s="36" t="str">
        <x:v>FREIGEGEBEN</x:v>
      </x:c>
      <x:c r="AJ629" s="36" t="str">
        <x:v>Römer 9: repetitive Wiedererkennungsfrage durch KERNAUSSAGE-Frage ersetzt.</x:v>
      </x:c>
      <x:c r="AK629" s="36" t="str">
        <x:v>FaithPath repo develop/v4 · data/stories.json · data/bibles/l1912/ROM.json · data/bibles/otb/ROM.json</x:v>
      </x:c>
      <x:c r="AL629" t="str">
        <x:f>IF(AND(AG629="FREIGEGEBEN",AI629="FREIGEGEBEN",Q629&lt;&gt;"",R629&lt;&gt;"",S629&lt;&gt;"",T629&lt;&gt;"",U629&lt;&gt;"",ISNUMBER(V629),X629&lt;&gt;"",Y629&lt;&gt;"",AA629="JA",AB629="JA",AC629="JA",AD629="JA",AE629="JA",AF629="JA"),"JA","NEIN")</x:f>
        <x:v>JA</x:v>
      </x:c>
    </x:row>
    <x:row r="630">
      <x:c r="A630" t="str">
        <x:v>FP-0889</x:v>
      </x:c>
      <x:c r="B630" t="str">
        <x:v>ROM</x:v>
      </x:c>
      <x:c r="C630" t="str">
        <x:v>Römer</x:v>
      </x:c>
      <x:c r="D630" t="n">
        <x:v>9</x:v>
      </x:c>
      <x:c r="E630" t="n">
        <x:v>4</x:v>
      </x:c>
      <x:c r="F630" t="str">
        <x:v>ROM-009</x:v>
      </x:c>
      <x:c r="G630" t="n">
        <x:v>126</x:v>
      </x:c>
      <x:c r="H630" t="str">
        <x:v>CQ-A07</x:v>
      </x:c>
      <x:c r="I630" s="36" t="str">
        <x:v>Welche dieser Aussagen stammt aus Römer 9?</x:v>
      </x:c>
      <x:c r="J630" s="36" t="str"/>
      <x:c r="K630" s="36" t="str"/>
      <x:c r="L630" s="36" t="str">
        <x:v>REPO_VERIFIZIERT_FRAGEFORM</x:v>
      </x:c>
      <x:c r="M630" s="36" t="str">
        <x:v>ERSETZEN</x:v>
      </x:c>
      <x:c r="N630" s="36" t="str">
        <x:v>REPETITIVE_FRAGEFORM</x:v>
      </x:c>
      <x:c r="O630" s="36" t="str">
        <x:v>REINE_WIEDERERKENNUNG</x:v>
      </x:c>
      <x:c r="P630" s="36" t="str">
        <x:v>ZUSAMMENHANG</x:v>
      </x:c>
      <x:c r="Q630" s="36" t="str">
        <x:v>Welches Bild verwendet Paulus, um die Beziehung zwischen Gott und Mensch in dieser Diskussion zu beschreiben?</x:v>
      </x:c>
      <x:c r="R630" s="36" t="str">
        <x:v>Hirte und Schaf.</x:v>
      </x:c>
      <x:c r="S630" s="36" t="str">
        <x:v>Töpfer und Ton.</x:v>
      </x:c>
      <x:c r="T630" s="36" t="str">
        <x:v>Richter und Zeuge.</x:v>
      </x:c>
      <x:c r="U630" s="36" t="str">
        <x:v>Lehrer und Schüler.</x:v>
      </x:c>
      <x:c r="V630" s="36" t="n">
        <x:v>1</x:v>
      </x:c>
      <x:c r="W630" s="36" t="str">
        <x:f>CHOOSE(V630+1,R630,S630,T630,U630)</x:f>
        <x:v>Töpfer und Ton.</x:v>
      </x:c>
      <x:c r="X630" s="36" t="str">
        <x:v>Römer 9,19–24</x:v>
      </x:c>
      <x:c r="Y630" s="36" t="str">
        <x:v>Paulus nutzt das Bild des Töpfers und des Tons, um Gottes schöpferische Freiheit zu verdeutlichen.</x:v>
      </x:c>
      <x:c r="Z630" s="36" t="str">
        <x:v>JA</x:v>
      </x:c>
      <x:c r="AA630" s="36" t="str">
        <x:v>JA</x:v>
      </x:c>
      <x:c r="AB630" s="36" t="str">
        <x:v>JA</x:v>
      </x:c>
      <x:c r="AC630" s="36" t="str">
        <x:v>JA</x:v>
      </x:c>
      <x:c r="AD630" s="36" t="str">
        <x:v>JA</x:v>
      </x:c>
      <x:c r="AE630" s="36" t="str">
        <x:v>JA</x:v>
      </x:c>
      <x:c r="AF630" s="36" t="str">
        <x:v>JA</x:v>
      </x:c>
      <x:c r="AG630" s="36" t="str">
        <x:v>FREIGEGEBEN</x:v>
      </x:c>
      <x:c r="AH630" s="36" t="str">
        <x:v>GPT-5.6 Sol · Buchprüfung Römer · L1912/OTB</x:v>
      </x:c>
      <x:c r="AI630" s="36" t="str">
        <x:v>FREIGEGEBEN</x:v>
      </x:c>
      <x:c r="AJ630" s="36" t="str">
        <x:v>Römer 9: repetitive Wiedererkennungsfrage durch ZUSAMMENHANG-Frage ersetzt.</x:v>
      </x:c>
      <x:c r="AK630" s="36" t="str">
        <x:v>FaithPath repo develop/v4 · data/stories.json · data/bibles/l1912/ROM.json · data/bibles/otb/ROM.json</x:v>
      </x:c>
      <x:c r="AL630" t="str">
        <x:f>IF(AND(AG630="FREIGEGEBEN",AI630="FREIGEGEBEN",Q630&lt;&gt;"",R630&lt;&gt;"",S630&lt;&gt;"",T630&lt;&gt;"",U630&lt;&gt;"",ISNUMBER(V630),X630&lt;&gt;"",Y630&lt;&gt;"",AA630="JA",AB630="JA",AC630="JA",AD630="JA",AE630="JA",AF630="JA"),"JA","NEIN")</x:f>
        <x:v>JA</x:v>
      </x:c>
    </x:row>
    <x:row r="631">
      <x:c r="A631" t="str">
        <x:v>FP-0890</x:v>
      </x:c>
      <x:c r="B631" t="str">
        <x:v>ROM</x:v>
      </x:c>
      <x:c r="C631" t="str">
        <x:v>Römer</x:v>
      </x:c>
      <x:c r="D631" t="n">
        <x:v>9</x:v>
      </x:c>
      <x:c r="E631" t="n">
        <x:v>5</x:v>
      </x:c>
      <x:c r="F631" t="str">
        <x:v>ROM-009</x:v>
      </x:c>
      <x:c r="G631" t="n">
        <x:v>126</x:v>
      </x:c>
      <x:c r="H631" t="str">
        <x:v>CQ-A07</x:v>
      </x:c>
      <x:c r="I631" s="36" t="str">
        <x:v>Welche dieser Aussagen stammt aus Römer 9?</x:v>
      </x:c>
      <x:c r="J631" s="36" t="str"/>
      <x:c r="K631" s="36" t="str"/>
      <x:c r="L631" s="36" t="str">
        <x:v>REPO_VERIFIZIERT_FRAGEFORM</x:v>
      </x:c>
      <x:c r="M631" s="36" t="str">
        <x:v>ERSETZEN</x:v>
      </x:c>
      <x:c r="N631" s="36" t="str">
        <x:v>REPETITIVE_FRAGEFORM</x:v>
      </x:c>
      <x:c r="O631" s="36" t="str">
        <x:v>REINE_WIEDERERKENNUNG</x:v>
      </x:c>
      <x:c r="P631" s="36" t="str">
        <x:v>KERNAUSSAGE</x:v>
      </x:c>
      <x:c r="Q631" s="36" t="str">
        <x:v>Warum erreicht Israel nach Paulus die angestrebte Gerechtigkeit nicht?</x:v>
      </x:c>
      <x:c r="R631" s="36" t="str">
        <x:v>Weil Gott ihnen nie eine Verheißung gab.</x:v>
      </x:c>
      <x:c r="S631" s="36" t="str">
        <x:v>Weil sie keine religiösen Werke taten.</x:v>
      </x:c>
      <x:c r="T631" s="36" t="str">
        <x:v>Weil es sie wie aus Werken suchte und sich am Stein des Anstoßes stieß, während die Völker Gerechtigkeit aus Glauben erlangten.</x:v>
      </x:c>
      <x:c r="U631" s="36" t="str">
        <x:v>Weil Gerechtigkeit ausschließlich für Nichtjuden bestimmt ist.</x:v>
      </x:c>
      <x:c r="V631" s="36" t="n">
        <x:v>2</x:v>
      </x:c>
      <x:c r="W631" s="36" t="str">
        <x:f>CHOOSE(V631+1,R631,S631,T631,U631)</x:f>
        <x:v>Weil es sie wie aus Werken suchte und sich am Stein des Anstoßes stieß, während die Völker Gerechtigkeit aus Glauben erlangten.</x:v>
      </x:c>
      <x:c r="X631" s="36" t="str">
        <x:v>Römer 9,30–33</x:v>
      </x:c>
      <x:c r="Y631" s="36" t="str">
        <x:v>Paulus stellt Gerechtigkeit aus Glauben einer Suche nach Gerechtigkeit wie aus Werken gegenüber.</x:v>
      </x:c>
      <x:c r="Z631" s="36" t="str">
        <x:v>JA</x:v>
      </x:c>
      <x:c r="AA631" s="36" t="str">
        <x:v>JA</x:v>
      </x:c>
      <x:c r="AB631" s="36" t="str">
        <x:v>JA</x:v>
      </x:c>
      <x:c r="AC631" s="36" t="str">
        <x:v>JA</x:v>
      </x:c>
      <x:c r="AD631" s="36" t="str">
        <x:v>JA</x:v>
      </x:c>
      <x:c r="AE631" s="36" t="str">
        <x:v>JA</x:v>
      </x:c>
      <x:c r="AF631" s="36" t="str">
        <x:v>JA</x:v>
      </x:c>
      <x:c r="AG631" s="36" t="str">
        <x:v>FREIGEGEBEN</x:v>
      </x:c>
      <x:c r="AH631" s="36" t="str">
        <x:v>GPT-5.6 Sol · Buchprüfung Römer · L1912/OTB</x:v>
      </x:c>
      <x:c r="AI631" s="36" t="str">
        <x:v>FREIGEGEBEN</x:v>
      </x:c>
      <x:c r="AJ631" s="36" t="str">
        <x:v>Römer 9: repetitive Wiedererkennungsfrage durch KERNAUSSAGE-Frage ersetzt.</x:v>
      </x:c>
      <x:c r="AK631" s="36" t="str">
        <x:v>FaithPath repo develop/v4 · data/stories.json · data/bibles/l1912/ROM.json · data/bibles/otb/ROM.json</x:v>
      </x:c>
      <x:c r="AL631" t="str">
        <x:f>IF(AND(AG631="FREIGEGEBEN",AI631="FREIGEGEBEN",Q631&lt;&gt;"",R631&lt;&gt;"",S631&lt;&gt;"",T631&lt;&gt;"",U631&lt;&gt;"",ISNUMBER(V631),X631&lt;&gt;"",Y631&lt;&gt;"",AA631="JA",AB631="JA",AC631="JA",AD631="JA",AE631="JA",AF631="JA"),"JA","NEIN")</x:f>
        <x:v>JA</x:v>
      </x:c>
    </x:row>
    <x:row r="632">
      <x:c r="A632" t="str">
        <x:v>FP-0891</x:v>
      </x:c>
      <x:c r="B632" t="str">
        <x:v>ROM</x:v>
      </x:c>
      <x:c r="C632" t="str">
        <x:v>Römer</x:v>
      </x:c>
      <x:c r="D632" t="n">
        <x:v>10</x:v>
      </x:c>
      <x:c r="E632" t="n">
        <x:v>1</x:v>
      </x:c>
      <x:c r="F632" t="str">
        <x:v>ROM-010</x:v>
      </x:c>
      <x:c r="G632" t="n">
        <x:v>127</x:v>
      </x:c>
      <x:c r="H632" t="str">
        <x:v>CQ-A07</x:v>
      </x:c>
      <x:c r="I632" s="36" t="str">
        <x:v>Welche dieser Aussagen stammt aus Römer 10?</x:v>
      </x:c>
      <x:c r="J632" s="36" t="str"/>
      <x:c r="K632" s="36" t="str"/>
      <x:c r="L632" s="36" t="str">
        <x:v>REPO_VERIFIZIERT_FRAGEFORM</x:v>
      </x:c>
      <x:c r="M632" s="36" t="str">
        <x:v>ERSETZEN</x:v>
      </x:c>
      <x:c r="N632" s="36" t="str">
        <x:v>REPETITIVE_FRAGEFORM</x:v>
      </x:c>
      <x:c r="O632" s="36" t="str">
        <x:v>REINE_WIEDERERKENNUNG</x:v>
      </x:c>
      <x:c r="P632" s="36" t="str">
        <x:v>PERSON_AUSSAGE</x:v>
      </x:c>
      <x:c r="Q632" s="36" t="str">
        <x:v>Was ist Paulus' Herzenswunsch und Gebet für Israel?</x:v>
      </x:c>
      <x:c r="R632" s="36" t="str">
        <x:v>Dass sie Rom verlassen.</x:v>
      </x:c>
      <x:c r="S632" s="36" t="str">
        <x:v>Dass sie politische Macht gewinnen.</x:v>
      </x:c>
      <x:c r="T632" s="36" t="str">
        <x:v>Dass sie das Gesetz vergessen.</x:v>
      </x:c>
      <x:c r="U632" s="36" t="str">
        <x:v>Dass sie gerettet werden.</x:v>
      </x:c>
      <x:c r="V632" s="36" t="n">
        <x:v>3</x:v>
      </x:c>
      <x:c r="W632" s="36" t="str">
        <x:f>CHOOSE(V632+1,R632,S632,T632,U632)</x:f>
        <x:v>Dass sie gerettet werden.</x:v>
      </x:c>
      <x:c r="X632" s="36" t="str">
        <x:v>Römer 10,1–4</x:v>
      </x:c>
      <x:c r="Y632" s="36" t="str">
        <x:v>Paulus beginnt erneut mit seinem Wunsch nach Rettung für Israel und unterscheidet Eifer von richtiger Erkenntnis.</x:v>
      </x:c>
      <x:c r="Z632" s="36" t="str">
        <x:v>JA</x:v>
      </x:c>
      <x:c r="AA632" s="36" t="str">
        <x:v>JA</x:v>
      </x:c>
      <x:c r="AB632" s="36" t="str">
        <x:v>JA</x:v>
      </x:c>
      <x:c r="AC632" s="36" t="str">
        <x:v>JA</x:v>
      </x:c>
      <x:c r="AD632" s="36" t="str">
        <x:v>JA</x:v>
      </x:c>
      <x:c r="AE632" s="36" t="str">
        <x:v>JA</x:v>
      </x:c>
      <x:c r="AF632" s="36" t="str">
        <x:v>JA</x:v>
      </x:c>
      <x:c r="AG632" s="36" t="str">
        <x:v>FREIGEGEBEN</x:v>
      </x:c>
      <x:c r="AH632" s="36" t="str">
        <x:v>GPT-5.6 Sol · Buchprüfung Römer · L1912/OTB</x:v>
      </x:c>
      <x:c r="AI632" s="36" t="str">
        <x:v>FREIGEGEBEN</x:v>
      </x:c>
      <x:c r="AJ632" s="36" t="str">
        <x:v>Römer 10: repetitive Wiedererkennungsfrage durch PERSON_AUSSAGE-Frage ersetzt.</x:v>
      </x:c>
      <x:c r="AK632" s="36" t="str">
        <x:v>FaithPath repo develop/v4 · data/stories.json · data/bibles/l1912/ROM.json · data/bibles/otb/ROM.json</x:v>
      </x:c>
      <x:c r="AL632" t="str">
        <x:f>IF(AND(AG632="FREIGEGEBEN",AI632="FREIGEGEBEN",Q632&lt;&gt;"",R632&lt;&gt;"",S632&lt;&gt;"",T632&lt;&gt;"",U632&lt;&gt;"",ISNUMBER(V632),X632&lt;&gt;"",Y632&lt;&gt;"",AA632="JA",AB632="JA",AC632="JA",AD632="JA",AE632="JA",AF632="JA"),"JA","NEIN")</x:f>
        <x:v>JA</x:v>
      </x:c>
    </x:row>
    <x:row r="633">
      <x:c r="A633" t="str">
        <x:v>FP-0892</x:v>
      </x:c>
      <x:c r="B633" t="str">
        <x:v>ROM</x:v>
      </x:c>
      <x:c r="C633" t="str">
        <x:v>Römer</x:v>
      </x:c>
      <x:c r="D633" t="n">
        <x:v>10</x:v>
      </x:c>
      <x:c r="E633" t="n">
        <x:v>2</x:v>
      </x:c>
      <x:c r="F633" t="str">
        <x:v>ROM-010</x:v>
      </x:c>
      <x:c r="G633" t="n">
        <x:v>127</x:v>
      </x:c>
      <x:c r="H633" t="str">
        <x:v>CQ-A07</x:v>
      </x:c>
      <x:c r="I633" s="36" t="str">
        <x:v>Welche dieser Aussagen stammt aus Römer 10?</x:v>
      </x:c>
      <x:c r="J633" s="36" t="str"/>
      <x:c r="K633" s="36" t="str"/>
      <x:c r="L633" s="36" t="str">
        <x:v>REPO_VERIFIZIERT_FRAGEFORM</x:v>
      </x:c>
      <x:c r="M633" s="36" t="str">
        <x:v>ERSETZEN</x:v>
      </x:c>
      <x:c r="N633" s="36" t="str">
        <x:v>REPETITIVE_FRAGEFORM</x:v>
      </x:c>
      <x:c r="O633" s="36" t="str">
        <x:v>REINE_WIEDERERKENNUNG</x:v>
      </x:c>
      <x:c r="P633" s="36" t="str">
        <x:v>KERNAUSSAGE</x:v>
      </x:c>
      <x:c r="Q633" s="36" t="str">
        <x:v>Wie beschreibt Paulus die Antwort des Glaubens auf die Botschaft von Christus?</x:v>
      </x:c>
      <x:c r="R633" s="36" t="str">
        <x:v>Mit dem Herzen wird geglaubt und mit dem Mund Jesus als Herr bekannt.</x:v>
      </x:c>
      <x:c r="S633" s="36" t="str">
        <x:v>Glaube bleibt ausschließlich eine private Meinung.</x:v>
      </x:c>
      <x:c r="T633" s="36" t="str">
        <x:v>Nur öffentliche Werke führen zur Rettung.</x:v>
      </x:c>
      <x:c r="U633" s="36" t="str">
        <x:v>Das Bekenntnis des Mundes ist ohne Glauben ausreichend.</x:v>
      </x:c>
      <x:c r="V633" s="36" t="n">
        <x:v>0</x:v>
      </x:c>
      <x:c r="W633" s="36" t="str">
        <x:f>CHOOSE(V633+1,R633,S633,T633,U633)</x:f>
        <x:v>Mit dem Herzen wird geglaubt und mit dem Mund Jesus als Herr bekannt.</x:v>
      </x:c>
      <x:c r="X633" s="36" t="str">
        <x:v>Römer 10,5–10</x:v>
      </x:c>
      <x:c r="Y633" s="36" t="str">
        <x:v>Paulus verbindet Glauben an die Auferweckung Jesu und das Bekenntnis zu Jesus als Herrn.</x:v>
      </x:c>
      <x:c r="Z633" s="36" t="str">
        <x:v>JA</x:v>
      </x:c>
      <x:c r="AA633" s="36" t="str">
        <x:v>JA</x:v>
      </x:c>
      <x:c r="AB633" s="36" t="str">
        <x:v>JA</x:v>
      </x:c>
      <x:c r="AC633" s="36" t="str">
        <x:v>JA</x:v>
      </x:c>
      <x:c r="AD633" s="36" t="str">
        <x:v>JA</x:v>
      </x:c>
      <x:c r="AE633" s="36" t="str">
        <x:v>JA</x:v>
      </x:c>
      <x:c r="AF633" s="36" t="str">
        <x:v>JA</x:v>
      </x:c>
      <x:c r="AG633" s="36" t="str">
        <x:v>FREIGEGEBEN</x:v>
      </x:c>
      <x:c r="AH633" s="36" t="str">
        <x:v>GPT-5.6 Sol · Buchprüfung Römer · L1912/OTB</x:v>
      </x:c>
      <x:c r="AI633" s="36" t="str">
        <x:v>FREIGEGEBEN</x:v>
      </x:c>
      <x:c r="AJ633" s="36" t="str">
        <x:v>Römer 10: repetitive Wiedererkennungsfrage durch KERNAUSSAGE-Frage ersetzt.</x:v>
      </x:c>
      <x:c r="AK633" s="36" t="str">
        <x:v>FaithPath repo develop/v4 · data/stories.json · data/bibles/l1912/ROM.json · data/bibles/otb/ROM.json</x:v>
      </x:c>
      <x:c r="AL633" t="str">
        <x:f>IF(AND(AG633="FREIGEGEBEN",AI633="FREIGEGEBEN",Q633&lt;&gt;"",R633&lt;&gt;"",S633&lt;&gt;"",T633&lt;&gt;"",U633&lt;&gt;"",ISNUMBER(V633),X633&lt;&gt;"",Y633&lt;&gt;"",AA633="JA",AB633="JA",AC633="JA",AD633="JA",AE633="JA",AF633="JA"),"JA","NEIN")</x:f>
        <x:v>JA</x:v>
      </x:c>
    </x:row>
    <x:row r="634">
      <x:c r="A634" t="str">
        <x:v>FP-0893</x:v>
      </x:c>
      <x:c r="B634" t="str">
        <x:v>ROM</x:v>
      </x:c>
      <x:c r="C634" t="str">
        <x:v>Römer</x:v>
      </x:c>
      <x:c r="D634" t="n">
        <x:v>10</x:v>
      </x:c>
      <x:c r="E634" t="n">
        <x:v>3</x:v>
      </x:c>
      <x:c r="F634" t="str">
        <x:v>ROM-010</x:v>
      </x:c>
      <x:c r="G634" t="n">
        <x:v>127</x:v>
      </x:c>
      <x:c r="H634" t="str">
        <x:v>CQ-A07</x:v>
      </x:c>
      <x:c r="I634" s="36" t="str">
        <x:v>Welche dieser Aussagen stammt aus Römer 10?</x:v>
      </x:c>
      <x:c r="J634" s="36" t="str"/>
      <x:c r="K634" s="36" t="str"/>
      <x:c r="L634" s="36" t="str">
        <x:v>REPO_VERIFIZIERT_FRAGEFORM</x:v>
      </x:c>
      <x:c r="M634" s="36" t="str">
        <x:v>ERSETZEN</x:v>
      </x:c>
      <x:c r="N634" s="36" t="str">
        <x:v>REPETITIVE_FRAGEFORM</x:v>
      </x:c>
      <x:c r="O634" s="36" t="str">
        <x:v>REINE_WIEDERERKENNUNG</x:v>
      </x:c>
      <x:c r="P634" s="36" t="str">
        <x:v>KERNAUSSAGE</x:v>
      </x:c>
      <x:c r="Q634" s="36" t="str">
        <x:v>Für wen gilt nach Paulus die Zusage: „Wer den Namen des Herrn anruft, wird gerettet“?</x:v>
      </x:c>
      <x:c r="R634" s="36" t="str">
        <x:v>Nur für Juden.</x:v>
      </x:c>
      <x:c r="S634" s="36" t="str">
        <x:v>Für alle, ohne Unterschied zwischen Juden und Griechen.</x:v>
      </x:c>
      <x:c r="T634" s="36" t="str">
        <x:v>Nur für Apostel.</x:v>
      </x:c>
      <x:c r="U634" s="36" t="str">
        <x:v>Nur für Menschen in Jerusalem.</x:v>
      </x:c>
      <x:c r="V634" s="36" t="n">
        <x:v>1</x:v>
      </x:c>
      <x:c r="W634" s="36" t="str">
        <x:f>CHOOSE(V634+1,R634,S634,T634,U634)</x:f>
        <x:v>Für alle, ohne Unterschied zwischen Juden und Griechen.</x:v>
      </x:c>
      <x:c r="X634" s="36" t="str">
        <x:v>Römer 10,11–13</x:v>
      </x:c>
      <x:c r="Y634" s="36" t="str">
        <x:v>Paulus betont den einen Herrn, der reich ist für alle, die ihn anrufen.</x:v>
      </x:c>
      <x:c r="Z634" s="36" t="str">
        <x:v>JA</x:v>
      </x:c>
      <x:c r="AA634" s="36" t="str">
        <x:v>JA</x:v>
      </x:c>
      <x:c r="AB634" s="36" t="str">
        <x:v>JA</x:v>
      </x:c>
      <x:c r="AC634" s="36" t="str">
        <x:v>JA</x:v>
      </x:c>
      <x:c r="AD634" s="36" t="str">
        <x:v>JA</x:v>
      </x:c>
      <x:c r="AE634" s="36" t="str">
        <x:v>JA</x:v>
      </x:c>
      <x:c r="AF634" s="36" t="str">
        <x:v>JA</x:v>
      </x:c>
      <x:c r="AG634" s="36" t="str">
        <x:v>FREIGEGEBEN</x:v>
      </x:c>
      <x:c r="AH634" s="36" t="str">
        <x:v>GPT-5.6 Sol · Buchprüfung Römer · L1912/OTB</x:v>
      </x:c>
      <x:c r="AI634" s="36" t="str">
        <x:v>FREIGEGEBEN</x:v>
      </x:c>
      <x:c r="AJ634" s="36" t="str">
        <x:v>Römer 10: repetitive Wiedererkennungsfrage durch KERNAUSSAGE-Frage ersetzt.</x:v>
      </x:c>
      <x:c r="AK634" s="36" t="str">
        <x:v>FaithPath repo develop/v4 · data/stories.json · data/bibles/l1912/ROM.json · data/bibles/otb/ROM.json</x:v>
      </x:c>
      <x:c r="AL634" t="str">
        <x:f>IF(AND(AG634="FREIGEGEBEN",AI634="FREIGEGEBEN",Q634&lt;&gt;"",R634&lt;&gt;"",S634&lt;&gt;"",T634&lt;&gt;"",U634&lt;&gt;"",ISNUMBER(V634),X634&lt;&gt;"",Y634&lt;&gt;"",AA634="JA",AB634="JA",AC634="JA",AD634="JA",AE634="JA",AF634="JA"),"JA","NEIN")</x:f>
        <x:v>JA</x:v>
      </x:c>
    </x:row>
    <x:row r="635">
      <x:c r="A635" t="str">
        <x:v>FP-0894</x:v>
      </x:c>
      <x:c r="B635" t="str">
        <x:v>ROM</x:v>
      </x:c>
      <x:c r="C635" t="str">
        <x:v>Römer</x:v>
      </x:c>
      <x:c r="D635" t="n">
        <x:v>10</x:v>
      </x:c>
      <x:c r="E635" t="n">
        <x:v>4</x:v>
      </x:c>
      <x:c r="F635" t="str">
        <x:v>ROM-010</x:v>
      </x:c>
      <x:c r="G635" t="n">
        <x:v>127</x:v>
      </x:c>
      <x:c r="H635" t="str">
        <x:v>CQ-A07</x:v>
      </x:c>
      <x:c r="I635" s="36" t="str">
        <x:v>Welche dieser Aussagen stammt aus Römer 10?</x:v>
      </x:c>
      <x:c r="J635" s="36" t="str"/>
      <x:c r="K635" s="36" t="str"/>
      <x:c r="L635" s="36" t="str">
        <x:v>REPO_VERIFIZIERT_FRAGEFORM</x:v>
      </x:c>
      <x:c r="M635" s="36" t="str">
        <x:v>ERSETZEN</x:v>
      </x:c>
      <x:c r="N635" s="36" t="str">
        <x:v>REPETITIVE_FRAGEFORM</x:v>
      </x:c>
      <x:c r="O635" s="36" t="str">
        <x:v>REINE_WIEDERERKENNUNG</x:v>
      </x:c>
      <x:c r="P635" s="36" t="str">
        <x:v>ZUSAMMENHANG</x:v>
      </x:c>
      <x:c r="Q635" s="36" t="str">
        <x:v>Welche Kette beschreibt Paulus für die Ausbreitung des Glaubens?</x:v>
      </x:c>
      <x:c r="R635" s="36" t="str">
        <x:v>Menschen glauben ohne jemals etwas zu hören.</x:v>
      </x:c>
      <x:c r="S635" s="36" t="str">
        <x:v>Nur Zeichen erzeugen Glauben.</x:v>
      </x:c>
      <x:c r="T635" s="36" t="str">
        <x:v>Menschen müssen hören, dafür braucht es Verkündigung und Gesandte; der Glaube kommt aus dem Hören.</x:v>
      </x:c>
      <x:c r="U635" s="36" t="str">
        <x:v>Glauben entsteht ausschließlich durch Herkunft.</x:v>
      </x:c>
      <x:c r="V635" s="36" t="n">
        <x:v>2</x:v>
      </x:c>
      <x:c r="W635" s="36" t="str">
        <x:f>CHOOSE(V635+1,R635,S635,T635,U635)</x:f>
        <x:v>Menschen müssen hören, dafür braucht es Verkündigung und Gesandte; der Glaube kommt aus dem Hören.</x:v>
      </x:c>
      <x:c r="X635" s="36" t="str">
        <x:v>Römer 10,14–17</x:v>
      </x:c>
      <x:c r="Y635" s="36" t="str">
        <x:v>Paulus verbindet Anrufen, Glauben, Hören, Verkündigen und Gesandtsein.</x:v>
      </x:c>
      <x:c r="Z635" s="36" t="str">
        <x:v>JA</x:v>
      </x:c>
      <x:c r="AA635" s="36" t="str">
        <x:v>JA</x:v>
      </x:c>
      <x:c r="AB635" s="36" t="str">
        <x:v>JA</x:v>
      </x:c>
      <x:c r="AC635" s="36" t="str">
        <x:v>JA</x:v>
      </x:c>
      <x:c r="AD635" s="36" t="str">
        <x:v>JA</x:v>
      </x:c>
      <x:c r="AE635" s="36" t="str">
        <x:v>JA</x:v>
      </x:c>
      <x:c r="AF635" s="36" t="str">
        <x:v>JA</x:v>
      </x:c>
      <x:c r="AG635" s="36" t="str">
        <x:v>FREIGEGEBEN</x:v>
      </x:c>
      <x:c r="AH635" s="36" t="str">
        <x:v>GPT-5.6 Sol · Buchprüfung Römer · L1912/OTB</x:v>
      </x:c>
      <x:c r="AI635" s="36" t="str">
        <x:v>FREIGEGEBEN</x:v>
      </x:c>
      <x:c r="AJ635" s="36" t="str">
        <x:v>Römer 10: repetitive Wiedererkennungsfrage durch ZUSAMMENHANG-Frage ersetzt.</x:v>
      </x:c>
      <x:c r="AK635" s="36" t="str">
        <x:v>FaithPath repo develop/v4 · data/stories.json · data/bibles/l1912/ROM.json · data/bibles/otb/ROM.json</x:v>
      </x:c>
      <x:c r="AL635" t="str">
        <x:f>IF(AND(AG635="FREIGEGEBEN",AI635="FREIGEGEBEN",Q635&lt;&gt;"",R635&lt;&gt;"",S635&lt;&gt;"",T635&lt;&gt;"",U635&lt;&gt;"",ISNUMBER(V635),X635&lt;&gt;"",Y635&lt;&gt;"",AA635="JA",AB635="JA",AC635="JA",AD635="JA",AE635="JA",AF635="JA"),"JA","NEIN")</x:f>
        <x:v>JA</x:v>
      </x:c>
    </x:row>
    <x:row r="636">
      <x:c r="A636" t="str">
        <x:v>FP-0895</x:v>
      </x:c>
      <x:c r="B636" t="str">
        <x:v>ROM</x:v>
      </x:c>
      <x:c r="C636" t="str">
        <x:v>Römer</x:v>
      </x:c>
      <x:c r="D636" t="n">
        <x:v>10</x:v>
      </x:c>
      <x:c r="E636" t="n">
        <x:v>5</x:v>
      </x:c>
      <x:c r="F636" t="str">
        <x:v>ROM-010</x:v>
      </x:c>
      <x:c r="G636" t="n">
        <x:v>127</x:v>
      </x:c>
      <x:c r="H636" t="str">
        <x:v>CQ-A07</x:v>
      </x:c>
      <x:c r="I636" s="36" t="str">
        <x:v>Welche dieser Aussagen stammt aus Römer 10?</x:v>
      </x:c>
      <x:c r="J636" s="36" t="str"/>
      <x:c r="K636" s="36" t="str"/>
      <x:c r="L636" s="36" t="str">
        <x:v>REPO_VERIFIZIERT_FRAGEFORM</x:v>
      </x:c>
      <x:c r="M636" s="36" t="str">
        <x:v>ERSETZEN</x:v>
      </x:c>
      <x:c r="N636" s="36" t="str">
        <x:v>REPETITIVE_FRAGEFORM</x:v>
      </x:c>
      <x:c r="O636" s="36" t="str">
        <x:v>REINE_WIEDERERKENNUNG</x:v>
      </x:c>
      <x:c r="P636" s="36" t="str">
        <x:v>ZUSAMMENHANG</x:v>
      </x:c>
      <x:c r="Q636" s="36" t="str">
        <x:v>Wie beschreibt Paulus Gottes Haltung gegenüber einem ungehorsamen Israel am Ende des Kapitels?</x:v>
      </x:c>
      <x:c r="R636" s="36" t="str">
        <x:v>Gott spricht nie mehr zu Israel.</x:v>
      </x:c>
      <x:c r="S636" s="36" t="str">
        <x:v>Gott hat Israel nie gesucht.</x:v>
      </x:c>
      <x:c r="T636" s="36" t="str">
        <x:v>Israel hat die Botschaft überhaupt nicht gehört.</x:v>
      </x:c>
      <x:c r="U636" s="36" t="str">
        <x:v>Gott streckt den ganzen Tag seine Hände nach einem ungehorsamen und widersprechenden Volk aus.</x:v>
      </x:c>
      <x:c r="V636" s="36" t="n">
        <x:v>3</x:v>
      </x:c>
      <x:c r="W636" s="36" t="str">
        <x:f>CHOOSE(V636+1,R636,S636,T636,U636)</x:f>
        <x:v>Gott streckt den ganzen Tag seine Hände nach einem ungehorsamen und widersprechenden Volk aus.</x:v>
      </x:c>
      <x:c r="X636" s="36" t="str">
        <x:v>Römer 10,18–21</x:v>
      </x:c>
      <x:c r="Y636" s="36" t="str">
        <x:v>Paulus zitiert die Schrift, um sowohl die gehörte Botschaft als auch Gottes beharrliches Werben zu zeigen.</x:v>
      </x:c>
      <x:c r="Z636" s="36" t="str">
        <x:v>JA</x:v>
      </x:c>
      <x:c r="AA636" s="36" t="str">
        <x:v>JA</x:v>
      </x:c>
      <x:c r="AB636" s="36" t="str">
        <x:v>JA</x:v>
      </x:c>
      <x:c r="AC636" s="36" t="str">
        <x:v>JA</x:v>
      </x:c>
      <x:c r="AD636" s="36" t="str">
        <x:v>JA</x:v>
      </x:c>
      <x:c r="AE636" s="36" t="str">
        <x:v>JA</x:v>
      </x:c>
      <x:c r="AF636" s="36" t="str">
        <x:v>JA</x:v>
      </x:c>
      <x:c r="AG636" s="36" t="str">
        <x:v>FREIGEGEBEN</x:v>
      </x:c>
      <x:c r="AH636" s="36" t="str">
        <x:v>GPT-5.6 Sol · Buchprüfung Römer · L1912/OTB</x:v>
      </x:c>
      <x:c r="AI636" s="36" t="str">
        <x:v>FREIGEGEBEN</x:v>
      </x:c>
      <x:c r="AJ636" s="36" t="str">
        <x:v>Römer 10: repetitive Wiedererkennungsfrage durch ZUSAMMENHANG-Frage ersetzt.</x:v>
      </x:c>
      <x:c r="AK636" s="36" t="str">
        <x:v>FaithPath repo develop/v4 · data/stories.json · data/bibles/l1912/ROM.json · data/bibles/otb/ROM.json</x:v>
      </x:c>
      <x:c r="AL636" t="str">
        <x:f>IF(AND(AG636="FREIGEGEBEN",AI636="FREIGEGEBEN",Q636&lt;&gt;"",R636&lt;&gt;"",S636&lt;&gt;"",T636&lt;&gt;"",U636&lt;&gt;"",ISNUMBER(V636),X636&lt;&gt;"",Y636&lt;&gt;"",AA636="JA",AB636="JA",AC636="JA",AD636="JA",AE636="JA",AF636="JA"),"JA","NEIN")</x:f>
        <x:v>JA</x:v>
      </x:c>
    </x:row>
    <x:row r="637">
      <x:c r="A637" t="str">
        <x:v>FP-0896</x:v>
      </x:c>
      <x:c r="B637" t="str">
        <x:v>ROM</x:v>
      </x:c>
      <x:c r="C637" t="str">
        <x:v>Römer</x:v>
      </x:c>
      <x:c r="D637" t="n">
        <x:v>11</x:v>
      </x:c>
      <x:c r="E637" t="n">
        <x:v>1</x:v>
      </x:c>
      <x:c r="F637" t="str">
        <x:v>ROM-011</x:v>
      </x:c>
      <x:c r="G637" t="n">
        <x:v>128</x:v>
      </x:c>
      <x:c r="H637" t="str">
        <x:v>CQ-A07</x:v>
      </x:c>
      <x:c r="I637" s="36" t="str">
        <x:v>Welche dieser Aussagen stammt aus Römer 11?</x:v>
      </x:c>
      <x:c r="J637" s="36" t="str"/>
      <x:c r="K637" s="36" t="str"/>
      <x:c r="L637" s="36" t="str">
        <x:v>REPO_VERIFIZIERT_FRAGEFORM</x:v>
      </x:c>
      <x:c r="M637" s="36" t="str">
        <x:v>ERSETZEN</x:v>
      </x:c>
      <x:c r="N637" s="36" t="str">
        <x:v>REPETITIVE_FRAGEFORM</x:v>
      </x:c>
      <x:c r="O637" s="36" t="str">
        <x:v>REINE_WIEDERERKENNUNG</x:v>
      </x:c>
      <x:c r="P637" s="36" t="str">
        <x:v>KERNAUSSAGE</x:v>
      </x:c>
      <x:c r="Q637" s="36" t="str">
        <x:v>Hat Gott nach Paulus sein Volk Israel verstoßen?</x:v>
      </x:c>
      <x:c r="R637" s="36" t="str">
        <x:v>Nein; Paulus verweist auf sich selbst und auf einen Rest nach der Wahl der Gnade.</x:v>
      </x:c>
      <x:c r="S637" s="36" t="str">
        <x:v>Ja, vollständig und endgültig.</x:v>
      </x:c>
      <x:c r="T637" s="36" t="str">
        <x:v>Nur der Stamm Benjamin bleibt übrig.</x:v>
      </x:c>
      <x:c r="U637" s="36" t="str">
        <x:v>Paulus beantwortet die Frage nicht.</x:v>
      </x:c>
      <x:c r="V637" s="36" t="n">
        <x:v>0</x:v>
      </x:c>
      <x:c r="W637" s="36" t="str">
        <x:f>CHOOSE(V637+1,R637,S637,T637,U637)</x:f>
        <x:v>Nein; Paulus verweist auf sich selbst und auf einen Rest nach der Wahl der Gnade.</x:v>
      </x:c>
      <x:c r="X637" s="36" t="str">
        <x:v>Römer 11,1–6</x:v>
      </x:c>
      <x:c r="Y637" s="36" t="str">
        <x:v>Paulus weist die Vorstellung einer vollständigen Verwerfung zurück und spricht von einem Rest aus Gnade.</x:v>
      </x:c>
      <x:c r="Z637" s="36" t="str">
        <x:v>JA</x:v>
      </x:c>
      <x:c r="AA637" s="36" t="str">
        <x:v>JA</x:v>
      </x:c>
      <x:c r="AB637" s="36" t="str">
        <x:v>JA</x:v>
      </x:c>
      <x:c r="AC637" s="36" t="str">
        <x:v>JA</x:v>
      </x:c>
      <x:c r="AD637" s="36" t="str">
        <x:v>JA</x:v>
      </x:c>
      <x:c r="AE637" s="36" t="str">
        <x:v>JA</x:v>
      </x:c>
      <x:c r="AF637" s="36" t="str">
        <x:v>JA</x:v>
      </x:c>
      <x:c r="AG637" s="36" t="str">
        <x:v>FREIGEGEBEN</x:v>
      </x:c>
      <x:c r="AH637" s="36" t="str">
        <x:v>GPT-5.6 Sol · Buchprüfung Römer · L1912/OTB</x:v>
      </x:c>
      <x:c r="AI637" s="36" t="str">
        <x:v>FREIGEGEBEN</x:v>
      </x:c>
      <x:c r="AJ637" s="36" t="str">
        <x:v>Römer 11: repetitive Wiedererkennungsfrage durch KERNAUSSAGE-Frage ersetzt.</x:v>
      </x:c>
      <x:c r="AK637" s="36" t="str">
        <x:v>FaithPath repo develop/v4 · data/stories.json · data/bibles/l1912/ROM.json · data/bibles/otb/ROM.json</x:v>
      </x:c>
      <x:c r="AL637" t="str">
        <x:f>IF(AND(AG637="FREIGEGEBEN",AI637="FREIGEGEBEN",Q637&lt;&gt;"",R637&lt;&gt;"",S637&lt;&gt;"",T637&lt;&gt;"",U637&lt;&gt;"",ISNUMBER(V637),X637&lt;&gt;"",Y637&lt;&gt;"",AA637="JA",AB637="JA",AC637="JA",AD637="JA",AE637="JA",AF637="JA"),"JA","NEIN")</x:f>
        <x:v>JA</x:v>
      </x:c>
    </x:row>
    <x:row r="638">
      <x:c r="A638" t="str">
        <x:v>FP-0897</x:v>
      </x:c>
      <x:c r="B638" t="str">
        <x:v>ROM</x:v>
      </x:c>
      <x:c r="C638" t="str">
        <x:v>Römer</x:v>
      </x:c>
      <x:c r="D638" t="n">
        <x:v>11</x:v>
      </x:c>
      <x:c r="E638" t="n">
        <x:v>2</x:v>
      </x:c>
      <x:c r="F638" t="str">
        <x:v>ROM-011</x:v>
      </x:c>
      <x:c r="G638" t="n">
        <x:v>128</x:v>
      </x:c>
      <x:c r="H638" t="str">
        <x:v>CQ-A07</x:v>
      </x:c>
      <x:c r="I638" s="36" t="str">
        <x:v>Welche dieser Aussagen stammt aus Römer 11?</x:v>
      </x:c>
      <x:c r="J638" s="36" t="str"/>
      <x:c r="K638" s="36" t="str"/>
      <x:c r="L638" s="36" t="str">
        <x:v>REPO_VERIFIZIERT_FRAGEFORM</x:v>
      </x:c>
      <x:c r="M638" s="36" t="str">
        <x:v>ERSETZEN</x:v>
      </x:c>
      <x:c r="N638" s="36" t="str">
        <x:v>REPETITIVE_FRAGEFORM</x:v>
      </x:c>
      <x:c r="O638" s="36" t="str">
        <x:v>REINE_WIEDERERKENNUNG</x:v>
      </x:c>
      <x:c r="P638" s="36" t="str">
        <x:v>ZUSAMMENHANG</x:v>
      </x:c>
      <x:c r="Q638" s="36" t="str">
        <x:v>Welche Wirkung hat Israels Fehltritt nach Paulus auf die Völker?</x:v>
      </x:c>
      <x:c r="R638" s="36" t="str">
        <x:v>Die Völker verlieren jede Hoffnung.</x:v>
      </x:c>
      <x:c r="S638" s="36" t="str">
        <x:v>Das Heil kommt zu den Nichtjuden, und dies soll zugleich Israel zur Eifersucht reizen.</x:v>
      </x:c>
      <x:c r="T638" s="36" t="str">
        <x:v>Das Evangelium bleibt nun nur bei Israel.</x:v>
      </x:c>
      <x:c r="U638" s="36" t="str">
        <x:v>Der Fehltritt hat keinerlei Wirkung.</x:v>
      </x:c>
      <x:c r="V638" s="36" t="n">
        <x:v>1</x:v>
      </x:c>
      <x:c r="W638" s="36" t="str">
        <x:f>CHOOSE(V638+1,R638,S638,T638,U638)</x:f>
        <x:v>Das Heil kommt zu den Nichtjuden, und dies soll zugleich Israel zur Eifersucht reizen.</x:v>
      </x:c>
      <x:c r="X638" s="36" t="str">
        <x:v>Römer 11,11–15</x:v>
      </x:c>
      <x:c r="Y638" s="36" t="str">
        <x:v>Paulus sieht in Israels Fehltritt eine Ausweitung des Heils zu den Völkern und zugleich eine zukünftige Hoffnung.</x:v>
      </x:c>
      <x:c r="Z638" s="36" t="str">
        <x:v>JA</x:v>
      </x:c>
      <x:c r="AA638" s="36" t="str">
        <x:v>JA</x:v>
      </x:c>
      <x:c r="AB638" s="36" t="str">
        <x:v>JA</x:v>
      </x:c>
      <x:c r="AC638" s="36" t="str">
        <x:v>JA</x:v>
      </x:c>
      <x:c r="AD638" s="36" t="str">
        <x:v>JA</x:v>
      </x:c>
      <x:c r="AE638" s="36" t="str">
        <x:v>JA</x:v>
      </x:c>
      <x:c r="AF638" s="36" t="str">
        <x:v>JA</x:v>
      </x:c>
      <x:c r="AG638" s="36" t="str">
        <x:v>FREIGEGEBEN</x:v>
      </x:c>
      <x:c r="AH638" s="36" t="str">
        <x:v>GPT-5.6 Sol · Buchprüfung Römer · L1912/OTB</x:v>
      </x:c>
      <x:c r="AI638" s="36" t="str">
        <x:v>FREIGEGEBEN</x:v>
      </x:c>
      <x:c r="AJ638" s="36" t="str">
        <x:v>Römer 11: repetitive Wiedererkennungsfrage durch ZUSAMMENHANG-Frage ersetzt.</x:v>
      </x:c>
      <x:c r="AK638" s="36" t="str">
        <x:v>FaithPath repo develop/v4 · data/stories.json · data/bibles/l1912/ROM.json · data/bibles/otb/ROM.json</x:v>
      </x:c>
      <x:c r="AL638" t="str">
        <x:f>IF(AND(AG638="FREIGEGEBEN",AI638="FREIGEGEBEN",Q638&lt;&gt;"",R638&lt;&gt;"",S638&lt;&gt;"",T638&lt;&gt;"",U638&lt;&gt;"",ISNUMBER(V638),X638&lt;&gt;"",Y638&lt;&gt;"",AA638="JA",AB638="JA",AC638="JA",AD638="JA",AE638="JA",AF638="JA"),"JA","NEIN")</x:f>
        <x:v>JA</x:v>
      </x:c>
    </x:row>
    <x:row r="639">
      <x:c r="A639" t="str">
        <x:v>FP-0898</x:v>
      </x:c>
      <x:c r="B639" t="str">
        <x:v>ROM</x:v>
      </x:c>
      <x:c r="C639" t="str">
        <x:v>Römer</x:v>
      </x:c>
      <x:c r="D639" t="n">
        <x:v>11</x:v>
      </x:c>
      <x:c r="E639" t="n">
        <x:v>3</x:v>
      </x:c>
      <x:c r="F639" t="str">
        <x:v>ROM-011</x:v>
      </x:c>
      <x:c r="G639" t="n">
        <x:v>128</x:v>
      </x:c>
      <x:c r="H639" t="str">
        <x:v>CQ-A07</x:v>
      </x:c>
      <x:c r="I639" s="36" t="str">
        <x:v>Welche dieser Aussagen stammt aus Römer 11?</x:v>
      </x:c>
      <x:c r="J639" s="36" t="str"/>
      <x:c r="K639" s="36" t="str"/>
      <x:c r="L639" s="36" t="str">
        <x:v>REPO_VERIFIZIERT_FRAGEFORM</x:v>
      </x:c>
      <x:c r="M639" s="36" t="str">
        <x:v>ERSETZEN</x:v>
      </x:c>
      <x:c r="N639" s="36" t="str">
        <x:v>REPETITIVE_FRAGEFORM</x:v>
      </x:c>
      <x:c r="O639" s="36" t="str">
        <x:v>REINE_WIEDERERKENNUNG</x:v>
      </x:c>
      <x:c r="P639" s="36" t="str">
        <x:v>KERNAUSSAGE</x:v>
      </x:c>
      <x:c r="Q639" s="36" t="str">
        <x:v>Welche Warnung richtet Paulus im Bild vom Ölbaum an nichtjüdische Glaubende?</x:v>
      </x:c>
      <x:c r="R639" s="36" t="str">
        <x:v>Sie sollen Israel verachten.</x:v>
      </x:c>
      <x:c r="S639" s="36" t="str">
        <x:v>Sie tragen die Wurzel und nicht umgekehrt.</x:v>
      </x:c>
      <x:c r="T639" s="36" t="str">
        <x:v>Sie sollen sich nicht über die natürlichen Zweige erheben, sondern in Demut und Glauben bleiben.</x:v>
      </x:c>
      <x:c r="U639" s="36" t="str">
        <x:v>Sie können niemals wieder abgeschnitten werden.</x:v>
      </x:c>
      <x:c r="V639" s="36" t="n">
        <x:v>2</x:v>
      </x:c>
      <x:c r="W639" s="36" t="str">
        <x:f>CHOOSE(V639+1,R639,S639,T639,U639)</x:f>
        <x:v>Sie sollen sich nicht über die natürlichen Zweige erheben, sondern in Demut und Glauben bleiben.</x:v>
      </x:c>
      <x:c r="X639" s="36" t="str">
        <x:v>Römer 11,17–24</x:v>
      </x:c>
      <x:c r="Y639" s="36" t="str">
        <x:v>Paulus verwendet den eingepfropften wilden Ölzweig als Warnung vor Überheblichkeit.</x:v>
      </x:c>
      <x:c r="Z639" s="36" t="str">
        <x:v>JA</x:v>
      </x:c>
      <x:c r="AA639" s="36" t="str">
        <x:v>JA</x:v>
      </x:c>
      <x:c r="AB639" s="36" t="str">
        <x:v>JA</x:v>
      </x:c>
      <x:c r="AC639" s="36" t="str">
        <x:v>JA</x:v>
      </x:c>
      <x:c r="AD639" s="36" t="str">
        <x:v>JA</x:v>
      </x:c>
      <x:c r="AE639" s="36" t="str">
        <x:v>JA</x:v>
      </x:c>
      <x:c r="AF639" s="36" t="str">
        <x:v>JA</x:v>
      </x:c>
      <x:c r="AG639" s="36" t="str">
        <x:v>FREIGEGEBEN</x:v>
      </x:c>
      <x:c r="AH639" s="36" t="str">
        <x:v>GPT-5.6 Sol · Buchprüfung Römer · L1912/OTB</x:v>
      </x:c>
      <x:c r="AI639" s="36" t="str">
        <x:v>FREIGEGEBEN</x:v>
      </x:c>
      <x:c r="AJ639" s="36" t="str">
        <x:v>Römer 11: repetitive Wiedererkennungsfrage durch KERNAUSSAGE-Frage ersetzt.</x:v>
      </x:c>
      <x:c r="AK639" s="36" t="str">
        <x:v>FaithPath repo develop/v4 · data/stories.json · data/bibles/l1912/ROM.json · data/bibles/otb/ROM.json</x:v>
      </x:c>
      <x:c r="AL639" t="str">
        <x:f>IF(AND(AG639="FREIGEGEBEN",AI639="FREIGEGEBEN",Q639&lt;&gt;"",R639&lt;&gt;"",S639&lt;&gt;"",T639&lt;&gt;"",U639&lt;&gt;"",ISNUMBER(V639),X639&lt;&gt;"",Y639&lt;&gt;"",AA639="JA",AB639="JA",AC639="JA",AD639="JA",AE639="JA",AF639="JA"),"JA","NEIN")</x:f>
        <x:v>JA</x:v>
      </x:c>
    </x:row>
    <x:row r="640">
      <x:c r="A640" t="str">
        <x:v>FP-0899</x:v>
      </x:c>
      <x:c r="B640" t="str">
        <x:v>ROM</x:v>
      </x:c>
      <x:c r="C640" t="str">
        <x:v>Römer</x:v>
      </x:c>
      <x:c r="D640" t="n">
        <x:v>11</x:v>
      </x:c>
      <x:c r="E640" t="n">
        <x:v>4</x:v>
      </x:c>
      <x:c r="F640" t="str">
        <x:v>ROM-011</x:v>
      </x:c>
      <x:c r="G640" t="n">
        <x:v>128</x:v>
      </x:c>
      <x:c r="H640" t="str">
        <x:v>CQ-A07</x:v>
      </x:c>
      <x:c r="I640" s="36" t="str">
        <x:v>Welche dieser Aussagen stammt aus Römer 11?</x:v>
      </x:c>
      <x:c r="J640" s="36" t="str"/>
      <x:c r="K640" s="36" t="str"/>
      <x:c r="L640" s="36" t="str">
        <x:v>REPO_VERIFIZIERT_FRAGEFORM</x:v>
      </x:c>
      <x:c r="M640" s="36" t="str">
        <x:v>ERSETZEN</x:v>
      </x:c>
      <x:c r="N640" s="36" t="str">
        <x:v>REPETITIVE_FRAGEFORM</x:v>
      </x:c>
      <x:c r="O640" s="36" t="str">
        <x:v>REINE_WIEDERERKENNUNG</x:v>
      </x:c>
      <x:c r="P640" s="36" t="str">
        <x:v>KERNAUSSAGE</x:v>
      </x:c>
      <x:c r="Q640" s="36" t="str">
        <x:v>Welches „Geheimnis“ nennt Paulus, damit die nichtjüdischen Glaubenden nicht selbstweise werden?</x:v>
      </x:c>
      <x:c r="R640" s="36" t="str">
        <x:v>Israel hat keinerlei weitere Bedeutung.</x:v>
      </x:c>
      <x:c r="S640" s="36" t="str">
        <x:v>Die Völker ersetzen Israel vollständig.</x:v>
      </x:c>
      <x:c r="T640" s="36" t="str">
        <x:v>Nur ein einziger Stamm kann gerettet werden.</x:v>
      </x:c>
      <x:c r="U640" s="36" t="str">
        <x:v>Israel ist teilweise Verhärtung widerfahren, bis die Fülle der Völker eingegangen ist.</x:v>
      </x:c>
      <x:c r="V640" s="36" t="n">
        <x:v>3</x:v>
      </x:c>
      <x:c r="W640" s="36" t="str">
        <x:f>CHOOSE(V640+1,R640,S640,T640,U640)</x:f>
        <x:v>Israel ist teilweise Verhärtung widerfahren, bis die Fülle der Völker eingegangen ist.</x:v>
      </x:c>
      <x:c r="X640" s="36" t="str">
        <x:v>Römer 11,25–27</x:v>
      </x:c>
      <x:c r="Y640" s="36" t="str">
        <x:v>Paulus spricht von einer zeitlich und teilweise beschriebenen Verhärtung und verbindet sie mit Gottes Heilsplan.</x:v>
      </x:c>
      <x:c r="Z640" s="36" t="str">
        <x:v>JA</x:v>
      </x:c>
      <x:c r="AA640" s="36" t="str">
        <x:v>JA</x:v>
      </x:c>
      <x:c r="AB640" s="36" t="str">
        <x:v>JA</x:v>
      </x:c>
      <x:c r="AC640" s="36" t="str">
        <x:v>JA</x:v>
      </x:c>
      <x:c r="AD640" s="36" t="str">
        <x:v>JA</x:v>
      </x:c>
      <x:c r="AE640" s="36" t="str">
        <x:v>JA</x:v>
      </x:c>
      <x:c r="AF640" s="36" t="str">
        <x:v>JA</x:v>
      </x:c>
      <x:c r="AG640" s="36" t="str">
        <x:v>FREIGEGEBEN</x:v>
      </x:c>
      <x:c r="AH640" s="36" t="str">
        <x:v>GPT-5.6 Sol · Buchprüfung Römer · L1912/OTB</x:v>
      </x:c>
      <x:c r="AI640" s="36" t="str">
        <x:v>FREIGEGEBEN</x:v>
      </x:c>
      <x:c r="AJ640" s="36" t="str">
        <x:v>Römer 11: repetitive Wiedererkennungsfrage durch KERNAUSSAGE-Frage ersetzt.</x:v>
      </x:c>
      <x:c r="AK640" s="36" t="str">
        <x:v>FaithPath repo develop/v4 · data/stories.json · data/bibles/l1912/ROM.json · data/bibles/otb/ROM.json</x:v>
      </x:c>
      <x:c r="AL640" t="str">
        <x:f>IF(AND(AG640="FREIGEGEBEN",AI640="FREIGEGEBEN",Q640&lt;&gt;"",R640&lt;&gt;"",S640&lt;&gt;"",T640&lt;&gt;"",U640&lt;&gt;"",ISNUMBER(V640),X640&lt;&gt;"",Y640&lt;&gt;"",AA640="JA",AB640="JA",AC640="JA",AD640="JA",AE640="JA",AF640="JA"),"JA","NEIN")</x:f>
        <x:v>JA</x:v>
      </x:c>
    </x:row>
    <x:row r="641">
      <x:c r="A641" t="str">
        <x:v>FP-0900</x:v>
      </x:c>
      <x:c r="B641" t="str">
        <x:v>ROM</x:v>
      </x:c>
      <x:c r="C641" t="str">
        <x:v>Römer</x:v>
      </x:c>
      <x:c r="D641" t="n">
        <x:v>11</x:v>
      </x:c>
      <x:c r="E641" t="n">
        <x:v>5</x:v>
      </x:c>
      <x:c r="F641" t="str">
        <x:v>ROM-011</x:v>
      </x:c>
      <x:c r="G641" t="n">
        <x:v>128</x:v>
      </x:c>
      <x:c r="H641" t="str">
        <x:v>CQ-A07</x:v>
      </x:c>
      <x:c r="I641" s="36" t="str">
        <x:v>Welche dieser Aussagen stammt aus Römer 11?</x:v>
      </x:c>
      <x:c r="J641" s="36" t="str"/>
      <x:c r="K641" s="36" t="str"/>
      <x:c r="L641" s="36" t="str">
        <x:v>REPO_VERIFIZIERT_FRAGEFORM</x:v>
      </x:c>
      <x:c r="M641" s="36" t="str">
        <x:v>ERSETZEN</x:v>
      </x:c>
      <x:c r="N641" s="36" t="str">
        <x:v>REPETITIVE_FRAGEFORM</x:v>
      </x:c>
      <x:c r="O641" s="36" t="str">
        <x:v>REINE_WIEDERERKENNUNG</x:v>
      </x:c>
      <x:c r="P641" s="36" t="str">
        <x:v>KERNAUSSAGE</x:v>
      </x:c>
      <x:c r="Q641" s="36" t="str">
        <x:v>Wie endet Paulus seine Überlegungen in Römer 11?</x:v>
      </x:c>
      <x:c r="R641" s="36" t="str">
        <x:v>Mit einem Lobpreis der unergründlichen Weisheit und Wege Gottes.</x:v>
      </x:c>
      <x:c r="S641" s="36" t="str">
        <x:v>Mit einer politischen Analyse Roms.</x:v>
      </x:c>
      <x:c r="T641" s="36" t="str">
        <x:v>Mit einem Aufruf, Israel zu verurteilen.</x:v>
      </x:c>
      <x:c r="U641" s="36" t="str">
        <x:v>Mit einer Liste neuer Gesetze.</x:v>
      </x:c>
      <x:c r="V641" s="36" t="n">
        <x:v>0</x:v>
      </x:c>
      <x:c r="W641" s="36" t="str">
        <x:f>CHOOSE(V641+1,R641,S641,T641,U641)</x:f>
        <x:v>Mit einem Lobpreis der unergründlichen Weisheit und Wege Gottes.</x:v>
      </x:c>
      <x:c r="X641" s="36" t="str">
        <x:v>Römer 11,33–36</x:v>
      </x:c>
      <x:c r="Y641" s="36" t="str">
        <x:v>Paulus schließt die Kapitel 9–11 nicht mit Selbstsicherheit, sondern mit Doxologie und Staunen über Gott.</x:v>
      </x:c>
      <x:c r="Z641" s="36" t="str">
        <x:v>JA</x:v>
      </x:c>
      <x:c r="AA641" s="36" t="str">
        <x:v>JA</x:v>
      </x:c>
      <x:c r="AB641" s="36" t="str">
        <x:v>JA</x:v>
      </x:c>
      <x:c r="AC641" s="36" t="str">
        <x:v>JA</x:v>
      </x:c>
      <x:c r="AD641" s="36" t="str">
        <x:v>JA</x:v>
      </x:c>
      <x:c r="AE641" s="36" t="str">
        <x:v>JA</x:v>
      </x:c>
      <x:c r="AF641" s="36" t="str">
        <x:v>JA</x:v>
      </x:c>
      <x:c r="AG641" s="36" t="str">
        <x:v>FREIGEGEBEN</x:v>
      </x:c>
      <x:c r="AH641" s="36" t="str">
        <x:v>GPT-5.6 Sol · Buchprüfung Römer · L1912/OTB</x:v>
      </x:c>
      <x:c r="AI641" s="36" t="str">
        <x:v>FREIGEGEBEN</x:v>
      </x:c>
      <x:c r="AJ641" s="36" t="str">
        <x:v>Römer 11: repetitive Wiedererkennungsfrage durch KERNAUSSAGE-Frage ersetzt.</x:v>
      </x:c>
      <x:c r="AK641" s="36" t="str">
        <x:v>FaithPath repo develop/v4 · data/stories.json · data/bibles/l1912/ROM.json · data/bibles/otb/ROM.json</x:v>
      </x:c>
      <x:c r="AL641" t="str">
        <x:f>IF(AND(AG641="FREIGEGEBEN",AI641="FREIGEGEBEN",Q641&lt;&gt;"",R641&lt;&gt;"",S641&lt;&gt;"",T641&lt;&gt;"",U641&lt;&gt;"",ISNUMBER(V641),X641&lt;&gt;"",Y641&lt;&gt;"",AA641="JA",AB641="JA",AC641="JA",AD641="JA",AE641="JA",AF641="JA"),"JA","NEIN")</x:f>
        <x:v>JA</x:v>
      </x:c>
    </x:row>
    <x:row r="642">
      <x:c r="A642" t="str">
        <x:v>FP-0901</x:v>
      </x:c>
      <x:c r="B642" t="str">
        <x:v>ROM</x:v>
      </x:c>
      <x:c r="C642" t="str">
        <x:v>Römer</x:v>
      </x:c>
      <x:c r="D642" t="n">
        <x:v>12</x:v>
      </x:c>
      <x:c r="E642" t="n">
        <x:v>1</x:v>
      </x:c>
      <x:c r="F642" t="str">
        <x:v>ROM-012</x:v>
      </x:c>
      <x:c r="G642" t="n">
        <x:v>129</x:v>
      </x:c>
      <x:c r="H642" t="str">
        <x:v>CQ-A07</x:v>
      </x:c>
      <x:c r="I642" s="36" t="str">
        <x:v>Welche dieser Aussagen stammt aus Römer 12?</x:v>
      </x:c>
      <x:c r="J642" s="36" t="str"/>
      <x:c r="K642" s="36" t="str"/>
      <x:c r="L642" s="36" t="str">
        <x:v>REPO_VERIFIZIERT_FRAGEFORM</x:v>
      </x:c>
      <x:c r="M642" s="36" t="str">
        <x:v>ERSETZEN</x:v>
      </x:c>
      <x:c r="N642" s="36" t="str">
        <x:v>REPETITIVE_FRAGEFORM</x:v>
      </x:c>
      <x:c r="O642" s="36" t="str">
        <x:v>REINE_WIEDERERKENNUNG</x:v>
      </x:c>
      <x:c r="P642" s="36" t="str">
        <x:v>KERNAUSSAGE</x:v>
      </x:c>
      <x:c r="Q642" s="36" t="str">
        <x:v>Was bezeichnet Paulus als vernünftigen beziehungsweise geistlichen Gottesdienst?</x:v>
      </x:c>
      <x:c r="R642" s="36" t="str">
        <x:v>Nur Opfer im Jerusalemer Tempel zu bringen.</x:v>
      </x:c>
      <x:c r="S642" s="36" t="str">
        <x:v>Den eigenen Leib als lebendiges, heiliges und Gott wohlgefälliges Opfer darzubringen.</x:v>
      </x:c>
      <x:c r="T642" s="36" t="str">
        <x:v>Sich vollständig aus dem Alltag zurückzuziehen.</x:v>
      </x:c>
      <x:c r="U642" s="36" t="str">
        <x:v>Ausschließlich religiöse Worte zu sprechen.</x:v>
      </x:c>
      <x:c r="V642" s="36" t="n">
        <x:v>1</x:v>
      </x:c>
      <x:c r="W642" s="36" t="str">
        <x:f>CHOOSE(V642+1,R642,S642,T642,U642)</x:f>
        <x:v>Den eigenen Leib als lebendiges, heiliges und Gott wohlgefälliges Opfer darzubringen.</x:v>
      </x:c>
      <x:c r="X642" s="36" t="str">
        <x:v>Römer 12,1–2</x:v>
      </x:c>
      <x:c r="Y642" s="36" t="str">
        <x:v>Paulus verbindet Gottes Barmherzigkeit mit einer ganzheitlichen Hingabe und der Erneuerung des Denkens.</x:v>
      </x:c>
      <x:c r="Z642" s="36" t="str">
        <x:v>JA</x:v>
      </x:c>
      <x:c r="AA642" s="36" t="str">
        <x:v>JA</x:v>
      </x:c>
      <x:c r="AB642" s="36" t="str">
        <x:v>JA</x:v>
      </x:c>
      <x:c r="AC642" s="36" t="str">
        <x:v>JA</x:v>
      </x:c>
      <x:c r="AD642" s="36" t="str">
        <x:v>JA</x:v>
      </x:c>
      <x:c r="AE642" s="36" t="str">
        <x:v>JA</x:v>
      </x:c>
      <x:c r="AF642" s="36" t="str">
        <x:v>JA</x:v>
      </x:c>
      <x:c r="AG642" s="36" t="str">
        <x:v>FREIGEGEBEN</x:v>
      </x:c>
      <x:c r="AH642" s="36" t="str">
        <x:v>GPT-5.6 Sol · Buchprüfung Römer · L1912/OTB</x:v>
      </x:c>
      <x:c r="AI642" s="36" t="str">
        <x:v>FREIGEGEBEN</x:v>
      </x:c>
      <x:c r="AJ642" s="36" t="str">
        <x:v>Römer 12: repetitive Wiedererkennungsfrage durch KERNAUSSAGE-Frage ersetzt.</x:v>
      </x:c>
      <x:c r="AK642" s="36" t="str">
        <x:v>FaithPath repo develop/v4 · data/stories.json · data/bibles/l1912/ROM.json · data/bibles/otb/ROM.json</x:v>
      </x:c>
      <x:c r="AL642" t="str">
        <x:f>IF(AND(AG642="FREIGEGEBEN",AI642="FREIGEGEBEN",Q642&lt;&gt;"",R642&lt;&gt;"",S642&lt;&gt;"",T642&lt;&gt;"",U642&lt;&gt;"",ISNUMBER(V642),X642&lt;&gt;"",Y642&lt;&gt;"",AA642="JA",AB642="JA",AC642="JA",AD642="JA",AE642="JA",AF642="JA"),"JA","NEIN")</x:f>
        <x:v>JA</x:v>
      </x:c>
    </x:row>
    <x:row r="643">
      <x:c r="A643" t="str">
        <x:v>FP-0902</x:v>
      </x:c>
      <x:c r="B643" t="str">
        <x:v>ROM</x:v>
      </x:c>
      <x:c r="C643" t="str">
        <x:v>Römer</x:v>
      </x:c>
      <x:c r="D643" t="n">
        <x:v>12</x:v>
      </x:c>
      <x:c r="E643" t="n">
        <x:v>2</x:v>
      </x:c>
      <x:c r="F643" t="str">
        <x:v>ROM-012</x:v>
      </x:c>
      <x:c r="G643" t="n">
        <x:v>129</x:v>
      </x:c>
      <x:c r="H643" t="str">
        <x:v>CQ-A07</x:v>
      </x:c>
      <x:c r="I643" s="36" t="str">
        <x:v>Welche dieser Aussagen stammt aus Römer 12?</x:v>
      </x:c>
      <x:c r="J643" s="36" t="str"/>
      <x:c r="K643" s="36" t="str"/>
      <x:c r="L643" s="36" t="str">
        <x:v>REPO_VERIFIZIERT_FRAGEFORM</x:v>
      </x:c>
      <x:c r="M643" s="36" t="str">
        <x:v>ERSETZEN</x:v>
      </x:c>
      <x:c r="N643" s="36" t="str">
        <x:v>REPETITIVE_FRAGEFORM</x:v>
      </x:c>
      <x:c r="O643" s="36" t="str">
        <x:v>REINE_WIEDERERKENNUNG</x:v>
      </x:c>
      <x:c r="P643" s="36" t="str">
        <x:v>KERNAUSSAGE</x:v>
      </x:c>
      <x:c r="Q643" s="36" t="str">
        <x:v>Wie sollen Glaubende über sich selbst und ihre unterschiedlichen Gaben denken?</x:v>
      </x:c>
      <x:c r="R643" s="36" t="str">
        <x:v>Jeder soll sich für wichtiger als die anderen halten.</x:v>
      </x:c>
      <x:c r="S643" s="36" t="str">
        <x:v>Nur eine Gabe ist in der Gemeinde wertvoll.</x:v>
      </x:c>
      <x:c r="T643" s="36" t="str">
        <x:v>Nüchtern und demütig; verschiedene Gaben sollen entsprechend der gegebenen Gnade eingesetzt werden.</x:v>
      </x:c>
      <x:c r="U643" s="36" t="str">
        <x:v>Gaben dürfen nicht praktisch eingesetzt werden.</x:v>
      </x:c>
      <x:c r="V643" s="36" t="n">
        <x:v>2</x:v>
      </x:c>
      <x:c r="W643" s="36" t="str">
        <x:f>CHOOSE(V643+1,R643,S643,T643,U643)</x:f>
        <x:v>Nüchtern und demütig; verschiedene Gaben sollen entsprechend der gegebenen Gnade eingesetzt werden.</x:v>
      </x:c>
      <x:c r="X643" s="36" t="str">
        <x:v>Römer 12,3–8</x:v>
      </x:c>
      <x:c r="Y643" s="36" t="str">
        <x:v>Paulus verbindet das Bild des einen Leibes mit unterschiedlichen Gliedern und Gaben.</x:v>
      </x:c>
      <x:c r="Z643" s="36" t="str">
        <x:v>JA</x:v>
      </x:c>
      <x:c r="AA643" s="36" t="str">
        <x:v>JA</x:v>
      </x:c>
      <x:c r="AB643" s="36" t="str">
        <x:v>JA</x:v>
      </x:c>
      <x:c r="AC643" s="36" t="str">
        <x:v>JA</x:v>
      </x:c>
      <x:c r="AD643" s="36" t="str">
        <x:v>JA</x:v>
      </x:c>
      <x:c r="AE643" s="36" t="str">
        <x:v>JA</x:v>
      </x:c>
      <x:c r="AF643" s="36" t="str">
        <x:v>JA</x:v>
      </x:c>
      <x:c r="AG643" s="36" t="str">
        <x:v>FREIGEGEBEN</x:v>
      </x:c>
      <x:c r="AH643" s="36" t="str">
        <x:v>GPT-5.6 Sol · Buchprüfung Römer · L1912/OTB</x:v>
      </x:c>
      <x:c r="AI643" s="36" t="str">
        <x:v>FREIGEGEBEN</x:v>
      </x:c>
      <x:c r="AJ643" s="36" t="str">
        <x:v>Römer 12: repetitive Wiedererkennungsfrage durch KERNAUSSAGE-Frage ersetzt.</x:v>
      </x:c>
      <x:c r="AK643" s="36" t="str">
        <x:v>FaithPath repo develop/v4 · data/stories.json · data/bibles/l1912/ROM.json · data/bibles/otb/ROM.json</x:v>
      </x:c>
      <x:c r="AL643" t="str">
        <x:f>IF(AND(AG643="FREIGEGEBEN",AI643="FREIGEGEBEN",Q643&lt;&gt;"",R643&lt;&gt;"",S643&lt;&gt;"",T643&lt;&gt;"",U643&lt;&gt;"",ISNUMBER(V643),X643&lt;&gt;"",Y643&lt;&gt;"",AA643="JA",AB643="JA",AC643="JA",AD643="JA",AE643="JA",AF643="JA"),"JA","NEIN")</x:f>
        <x:v>JA</x:v>
      </x:c>
    </x:row>
    <x:row r="644">
      <x:c r="A644" t="str">
        <x:v>FP-0903</x:v>
      </x:c>
      <x:c r="B644" t="str">
        <x:v>ROM</x:v>
      </x:c>
      <x:c r="C644" t="str">
        <x:v>Römer</x:v>
      </x:c>
      <x:c r="D644" t="n">
        <x:v>12</x:v>
      </x:c>
      <x:c r="E644" t="n">
        <x:v>3</x:v>
      </x:c>
      <x:c r="F644" t="str">
        <x:v>ROM-012</x:v>
      </x:c>
      <x:c r="G644" t="n">
        <x:v>129</x:v>
      </x:c>
      <x:c r="H644" t="str">
        <x:v>CQ-A07</x:v>
      </x:c>
      <x:c r="I644" s="36" t="str">
        <x:v>Welche dieser Aussagen stammt aus Römer 12?</x:v>
      </x:c>
      <x:c r="J644" s="36" t="str"/>
      <x:c r="K644" s="36" t="str"/>
      <x:c r="L644" s="36" t="str">
        <x:v>REPO_VERIFIZIERT_FRAGEFORM</x:v>
      </x:c>
      <x:c r="M644" s="36" t="str">
        <x:v>ERSETZEN</x:v>
      </x:c>
      <x:c r="N644" s="36" t="str">
        <x:v>REPETITIVE_FRAGEFORM</x:v>
      </x:c>
      <x:c r="O644" s="36" t="str">
        <x:v>REINE_WIEDERERKENNUNG</x:v>
      </x:c>
      <x:c r="P644" s="36" t="str">
        <x:v>KERNAUSSAGE</x:v>
      </x:c>
      <x:c r="Q644" s="36" t="str">
        <x:v>Wie soll christliche Liebe nach Römer 12 aussehen?</x:v>
      </x:c>
      <x:c r="R644" s="36" t="str">
        <x:v>Nur gegenüber engen Freunden.</x:v>
      </x:c>
      <x:c r="S644" s="36" t="str">
        <x:v>Vor allem öffentlich sichtbar, unabhängig vom Herzen.</x:v>
      </x:c>
      <x:c r="T644" s="36" t="str">
        <x:v>Ohne praktische Konsequenzen.</x:v>
      </x:c>
      <x:c r="U644" s="36" t="str">
        <x:v>Ungeheuchelt, dem Guten zugewandt, herzlich und hilfsbereit.</x:v>
      </x:c>
      <x:c r="V644" s="36" t="n">
        <x:v>3</x:v>
      </x:c>
      <x:c r="W644" s="36" t="str">
        <x:f>CHOOSE(V644+1,R644,S644,T644,U644)</x:f>
        <x:v>Ungeheuchelt, dem Guten zugewandt, herzlich und hilfsbereit.</x:v>
      </x:c>
      <x:c r="X644" s="36" t="str">
        <x:v>Römer 12,9–13</x:v>
      </x:c>
      <x:c r="Y644" s="36" t="str">
        <x:v>Paulus entfaltet Liebe in konkreten Haltungen wie Ehre, Hoffnung, Geduld, Gebet und Gastfreundschaft.</x:v>
      </x:c>
      <x:c r="Z644" s="36" t="str">
        <x:v>JA</x:v>
      </x:c>
      <x:c r="AA644" s="36" t="str">
        <x:v>JA</x:v>
      </x:c>
      <x:c r="AB644" s="36" t="str">
        <x:v>JA</x:v>
      </x:c>
      <x:c r="AC644" s="36" t="str">
        <x:v>JA</x:v>
      </x:c>
      <x:c r="AD644" s="36" t="str">
        <x:v>JA</x:v>
      </x:c>
      <x:c r="AE644" s="36" t="str">
        <x:v>JA</x:v>
      </x:c>
      <x:c r="AF644" s="36" t="str">
        <x:v>JA</x:v>
      </x:c>
      <x:c r="AG644" s="36" t="str">
        <x:v>FREIGEGEBEN</x:v>
      </x:c>
      <x:c r="AH644" s="36" t="str">
        <x:v>GPT-5.6 Sol · Buchprüfung Römer · L1912/OTB</x:v>
      </x:c>
      <x:c r="AI644" s="36" t="str">
        <x:v>FREIGEGEBEN</x:v>
      </x:c>
      <x:c r="AJ644" s="36" t="str">
        <x:v>Römer 12: repetitive Wiedererkennungsfrage durch KERNAUSSAGE-Frage ersetzt.</x:v>
      </x:c>
      <x:c r="AK644" s="36" t="str">
        <x:v>FaithPath repo develop/v4 · data/stories.json · data/bibles/l1912/ROM.json · data/bibles/otb/ROM.json</x:v>
      </x:c>
      <x:c r="AL644" t="str">
        <x:f>IF(AND(AG644="FREIGEGEBEN",AI644="FREIGEGEBEN",Q644&lt;&gt;"",R644&lt;&gt;"",S644&lt;&gt;"",T644&lt;&gt;"",U644&lt;&gt;"",ISNUMBER(V644),X644&lt;&gt;"",Y644&lt;&gt;"",AA644="JA",AB644="JA",AC644="JA",AD644="JA",AE644="JA",AF644="JA"),"JA","NEIN")</x:f>
        <x:v>JA</x:v>
      </x:c>
    </x:row>
    <x:row r="645">
      <x:c r="A645" t="str">
        <x:v>FP-0904</x:v>
      </x:c>
      <x:c r="B645" t="str">
        <x:v>ROM</x:v>
      </x:c>
      <x:c r="C645" t="str">
        <x:v>Römer</x:v>
      </x:c>
      <x:c r="D645" t="n">
        <x:v>12</x:v>
      </x:c>
      <x:c r="E645" t="n">
        <x:v>4</x:v>
      </x:c>
      <x:c r="F645" t="str">
        <x:v>ROM-012</x:v>
      </x:c>
      <x:c r="G645" t="n">
        <x:v>129</x:v>
      </x:c>
      <x:c r="H645" t="str">
        <x:v>CQ-A07</x:v>
      </x:c>
      <x:c r="I645" s="36" t="str">
        <x:v>Welche dieser Aussagen stammt aus Römer 12?</x:v>
      </x:c>
      <x:c r="J645" s="36" t="str"/>
      <x:c r="K645" s="36" t="str"/>
      <x:c r="L645" s="36" t="str">
        <x:v>REPO_VERIFIZIERT_FRAGEFORM</x:v>
      </x:c>
      <x:c r="M645" s="36" t="str">
        <x:v>ERSETZEN</x:v>
      </x:c>
      <x:c r="N645" s="36" t="str">
        <x:v>REPETITIVE_FRAGEFORM</x:v>
      </x:c>
      <x:c r="O645" s="36" t="str">
        <x:v>REINE_WIEDERERKENNUNG</x:v>
      </x:c>
      <x:c r="P645" s="36" t="str">
        <x:v>KERNAUSSAGE</x:v>
      </x:c>
      <x:c r="Q645" s="36" t="str">
        <x:v>Wie sollen Glaubende auf Verfolgung und Konflikt reagieren?</x:v>
      </x:c>
      <x:c r="R645" s="36" t="str">
        <x:v>Segnen statt fluchen und, soweit möglich, mit allen Menschen Frieden halten.</x:v>
      </x:c>
      <x:c r="S645" s="36" t="str">
        <x:v>Sofort Vergeltung suchen.</x:v>
      </x:c>
      <x:c r="T645" s="36" t="str">
        <x:v>Jeden Kontakt abbrechen.</x:v>
      </x:c>
      <x:c r="U645" s="36" t="str">
        <x:v>Nur Gleichgesinnte respektieren.</x:v>
      </x:c>
      <x:c r="V645" s="36" t="n">
        <x:v>0</x:v>
      </x:c>
      <x:c r="W645" s="36" t="str">
        <x:f>CHOOSE(V645+1,R645,S645,T645,U645)</x:f>
        <x:v>Segnen statt fluchen und, soweit möglich, mit allen Menschen Frieden halten.</x:v>
      </x:c>
      <x:c r="X645" s="36" t="str">
        <x:v>Römer 12,14–18</x:v>
      </x:c>
      <x:c r="Y645" s="36" t="str">
        <x:v>Paulus verbindet Segen gegenüber Verfolgern mit Empathie, Demut und Friedfertigkeit.</x:v>
      </x:c>
      <x:c r="Z645" s="36" t="str">
        <x:v>JA</x:v>
      </x:c>
      <x:c r="AA645" s="36" t="str">
        <x:v>JA</x:v>
      </x:c>
      <x:c r="AB645" s="36" t="str">
        <x:v>JA</x:v>
      </x:c>
      <x:c r="AC645" s="36" t="str">
        <x:v>JA</x:v>
      </x:c>
      <x:c r="AD645" s="36" t="str">
        <x:v>JA</x:v>
      </x:c>
      <x:c r="AE645" s="36" t="str">
        <x:v>JA</x:v>
      </x:c>
      <x:c r="AF645" s="36" t="str">
        <x:v>JA</x:v>
      </x:c>
      <x:c r="AG645" s="36" t="str">
        <x:v>FREIGEGEBEN</x:v>
      </x:c>
      <x:c r="AH645" s="36" t="str">
        <x:v>GPT-5.6 Sol · Buchprüfung Römer · L1912/OTB</x:v>
      </x:c>
      <x:c r="AI645" s="36" t="str">
        <x:v>FREIGEGEBEN</x:v>
      </x:c>
      <x:c r="AJ645" s="36" t="str">
        <x:v>Römer 12: repetitive Wiedererkennungsfrage durch KERNAUSSAGE-Frage ersetzt.</x:v>
      </x:c>
      <x:c r="AK645" s="36" t="str">
        <x:v>FaithPath repo develop/v4 · data/stories.json · data/bibles/l1912/ROM.json · data/bibles/otb/ROM.json</x:v>
      </x:c>
      <x:c r="AL645" t="str">
        <x:f>IF(AND(AG645="FREIGEGEBEN",AI645="FREIGEGEBEN",Q645&lt;&gt;"",R645&lt;&gt;"",S645&lt;&gt;"",T645&lt;&gt;"",U645&lt;&gt;"",ISNUMBER(V645),X645&lt;&gt;"",Y645&lt;&gt;"",AA645="JA",AB645="JA",AC645="JA",AD645="JA",AE645="JA",AF645="JA"),"JA","NEIN")</x:f>
        <x:v>JA</x:v>
      </x:c>
    </x:row>
    <x:row r="646">
      <x:c r="A646" t="str">
        <x:v>FP-0905</x:v>
      </x:c>
      <x:c r="B646" t="str">
        <x:v>ROM</x:v>
      </x:c>
      <x:c r="C646" t="str">
        <x:v>Römer</x:v>
      </x:c>
      <x:c r="D646" t="n">
        <x:v>12</x:v>
      </x:c>
      <x:c r="E646" t="n">
        <x:v>5</x:v>
      </x:c>
      <x:c r="F646" t="str">
        <x:v>ROM-012</x:v>
      </x:c>
      <x:c r="G646" t="n">
        <x:v>129</x:v>
      </x:c>
      <x:c r="H646" t="str">
        <x:v>CQ-A07</x:v>
      </x:c>
      <x:c r="I646" s="36" t="str">
        <x:v>Welche dieser Aussagen stammt aus Römer 12?</x:v>
      </x:c>
      <x:c r="J646" s="36" t="str"/>
      <x:c r="K646" s="36" t="str"/>
      <x:c r="L646" s="36" t="str">
        <x:v>REPO_VERIFIZIERT_FRAGEFORM</x:v>
      </x:c>
      <x:c r="M646" s="36" t="str">
        <x:v>ERSETZEN</x:v>
      </x:c>
      <x:c r="N646" s="36" t="str">
        <x:v>REPETITIVE_FRAGEFORM</x:v>
      </x:c>
      <x:c r="O646" s="36" t="str">
        <x:v>REINE_WIEDERERKENNUNG</x:v>
      </x:c>
      <x:c r="P646" s="36" t="str">
        <x:v>KERNAUSSAGE</x:v>
      </x:c>
      <x:c r="Q646" s="36" t="str">
        <x:v>Wie soll nach Paulus das Böse überwunden werden?</x:v>
      </x:c>
      <x:c r="R646" s="36" t="str">
        <x:v>Durch stärkere Vergeltung.</x:v>
      </x:c>
      <x:c r="S646" s="36" t="str">
        <x:v>Durch das Gute.</x:v>
      </x:c>
      <x:c r="T646" s="36" t="str">
        <x:v>Durch Gleichgültigkeit.</x:v>
      </x:c>
      <x:c r="U646" s="36" t="str">
        <x:v>Durch vollständigen Rückzug.</x:v>
      </x:c>
      <x:c r="V646" s="36" t="n">
        <x:v>1</x:v>
      </x:c>
      <x:c r="W646" s="36" t="str">
        <x:f>CHOOSE(V646+1,R646,S646,T646,U646)</x:f>
        <x:v>Durch das Gute.</x:v>
      </x:c>
      <x:c r="X646" s="36" t="str">
        <x:v>Römer 12,19–21</x:v>
      </x:c>
      <x:c r="Y646" s="36" t="str">
        <x:v>Paulus verbietet persönliche Rache, fordert Fürsorge sogar für Feinde und schließt mit der Überwindung des Bösen durch das Gute.</x:v>
      </x:c>
      <x:c r="Z646" s="36" t="str">
        <x:v>JA</x:v>
      </x:c>
      <x:c r="AA646" s="36" t="str">
        <x:v>JA</x:v>
      </x:c>
      <x:c r="AB646" s="36" t="str">
        <x:v>JA</x:v>
      </x:c>
      <x:c r="AC646" s="36" t="str">
        <x:v>JA</x:v>
      </x:c>
      <x:c r="AD646" s="36" t="str">
        <x:v>JA</x:v>
      </x:c>
      <x:c r="AE646" s="36" t="str">
        <x:v>JA</x:v>
      </x:c>
      <x:c r="AF646" s="36" t="str">
        <x:v>JA</x:v>
      </x:c>
      <x:c r="AG646" s="36" t="str">
        <x:v>FREIGEGEBEN</x:v>
      </x:c>
      <x:c r="AH646" s="36" t="str">
        <x:v>GPT-5.6 Sol · Buchprüfung Römer · L1912/OTB</x:v>
      </x:c>
      <x:c r="AI646" s="36" t="str">
        <x:v>FREIGEGEBEN</x:v>
      </x:c>
      <x:c r="AJ646" s="36" t="str">
        <x:v>Römer 12: repetitive Wiedererkennungsfrage durch KERNAUSSAGE-Frage ersetzt.</x:v>
      </x:c>
      <x:c r="AK646" s="36" t="str">
        <x:v>FaithPath repo develop/v4 · data/stories.json · data/bibles/l1912/ROM.json · data/bibles/otb/ROM.json</x:v>
      </x:c>
      <x:c r="AL646" t="str">
        <x:f>IF(AND(AG646="FREIGEGEBEN",AI646="FREIGEGEBEN",Q646&lt;&gt;"",R646&lt;&gt;"",S646&lt;&gt;"",T646&lt;&gt;"",U646&lt;&gt;"",ISNUMBER(V646),X646&lt;&gt;"",Y646&lt;&gt;"",AA646="JA",AB646="JA",AC646="JA",AD646="JA",AE646="JA",AF646="JA"),"JA","NEIN")</x:f>
        <x:v>JA</x:v>
      </x:c>
    </x:row>
    <x:row r="647">
      <x:c r="A647" t="str">
        <x:v>FP-0906</x:v>
      </x:c>
      <x:c r="B647" t="str">
        <x:v>ROM</x:v>
      </x:c>
      <x:c r="C647" t="str">
        <x:v>Römer</x:v>
      </x:c>
      <x:c r="D647" t="n">
        <x:v>13</x:v>
      </x:c>
      <x:c r="E647" t="n">
        <x:v>1</x:v>
      </x:c>
      <x:c r="F647" t="str">
        <x:v>ROM-013</x:v>
      </x:c>
      <x:c r="G647" t="n">
        <x:v>130</x:v>
      </x:c>
      <x:c r="H647" t="str">
        <x:v>CQ-A07</x:v>
      </x:c>
      <x:c r="I647" s="36" t="str">
        <x:v>Welche dieser Aussagen stammt aus Römer 13?</x:v>
      </x:c>
      <x:c r="J647" s="36" t="str"/>
      <x:c r="K647" s="36" t="str"/>
      <x:c r="L647" s="36" t="str">
        <x:v>REPO_VERIFIZIERT_FRAGEFORM</x:v>
      </x:c>
      <x:c r="M647" s="36" t="str">
        <x:v>ERSETZEN</x:v>
      </x:c>
      <x:c r="N647" s="36" t="str">
        <x:v>REPETITIVE_FRAGEFORM</x:v>
      </x:c>
      <x:c r="O647" s="36" t="str">
        <x:v>REINE_WIEDERERKENNUNG</x:v>
      </x:c>
      <x:c r="P647" s="36" t="str">
        <x:v>KERNAUSSAGE</x:v>
      </x:c>
      <x:c r="Q647" s="36" t="str">
        <x:v>Wie begründet Paulus grundsätzlich die Unterordnung unter staatliche Autoritäten?</x:v>
      </x:c>
      <x:c r="R647" s="36" t="str">
        <x:v>Jede Regierung ist in allem automatisch moralisch richtig.</x:v>
      </x:c>
      <x:c r="S647" s="36" t="str">
        <x:v>Christen dürfen staatliche Ordnung nie kritisch beurteilen.</x:v>
      </x:c>
      <x:c r="T647" s="36" t="str">
        <x:v>Autorität steht unter Gottes Ordnung und soll dem Guten dienen und Böses begrenzen.</x:v>
      </x:c>
      <x:c r="U647" s="36" t="str">
        <x:v>Nur römische Bürger müssen sich Behörden unterordnen.</x:v>
      </x:c>
      <x:c r="V647" s="36" t="n">
        <x:v>2</x:v>
      </x:c>
      <x:c r="W647" s="36" t="str">
        <x:f>CHOOSE(V647+1,R647,S647,T647,U647)</x:f>
        <x:v>Autorität steht unter Gottes Ordnung und soll dem Guten dienen und Böses begrenzen.</x:v>
      </x:c>
      <x:c r="X647" s="36" t="str">
        <x:v>Römer 13,1–4</x:v>
      </x:c>
      <x:c r="Y647" s="36" t="str">
        <x:v>Paulus beschreibt staatliche Autorität als in Gottes Ordnung stehend und mit einer Funktion gegenüber Gut und Böse.</x:v>
      </x:c>
      <x:c r="Z647" s="36" t="str">
        <x:v>JA</x:v>
      </x:c>
      <x:c r="AA647" s="36" t="str">
        <x:v>JA</x:v>
      </x:c>
      <x:c r="AB647" s="36" t="str">
        <x:v>JA</x:v>
      </x:c>
      <x:c r="AC647" s="36" t="str">
        <x:v>JA</x:v>
      </x:c>
      <x:c r="AD647" s="36" t="str">
        <x:v>JA</x:v>
      </x:c>
      <x:c r="AE647" s="36" t="str">
        <x:v>JA</x:v>
      </x:c>
      <x:c r="AF647" s="36" t="str">
        <x:v>JA</x:v>
      </x:c>
      <x:c r="AG647" s="36" t="str">
        <x:v>FREIGEGEBEN</x:v>
      </x:c>
      <x:c r="AH647" s="36" t="str">
        <x:v>GPT-5.6 Sol · Buchprüfung Römer · L1912/OTB</x:v>
      </x:c>
      <x:c r="AI647" s="36" t="str">
        <x:v>FREIGEGEBEN</x:v>
      </x:c>
      <x:c r="AJ647" s="36" t="str">
        <x:v>Römer 13: repetitive Wiedererkennungsfrage durch KERNAUSSAGE-Frage ersetzt.</x:v>
      </x:c>
      <x:c r="AK647" s="36" t="str">
        <x:v>FaithPath repo develop/v4 · data/stories.json · data/bibles/l1912/ROM.json · data/bibles/otb/ROM.json</x:v>
      </x:c>
      <x:c r="AL647" t="str">
        <x:f>IF(AND(AG647="FREIGEGEBEN",AI647="FREIGEGEBEN",Q647&lt;&gt;"",R647&lt;&gt;"",S647&lt;&gt;"",T647&lt;&gt;"",U647&lt;&gt;"",ISNUMBER(V647),X647&lt;&gt;"",Y647&lt;&gt;"",AA647="JA",AB647="JA",AC647="JA",AD647="JA",AE647="JA",AF647="JA"),"JA","NEIN")</x:f>
        <x:v>JA</x:v>
      </x:c>
    </x:row>
    <x:row r="648">
      <x:c r="A648" t="str">
        <x:v>FP-0907</x:v>
      </x:c>
      <x:c r="B648" t="str">
        <x:v>ROM</x:v>
      </x:c>
      <x:c r="C648" t="str">
        <x:v>Römer</x:v>
      </x:c>
      <x:c r="D648" t="n">
        <x:v>13</x:v>
      </x:c>
      <x:c r="E648" t="n">
        <x:v>2</x:v>
      </x:c>
      <x:c r="F648" t="str">
        <x:v>ROM-013</x:v>
      </x:c>
      <x:c r="G648" t="n">
        <x:v>130</x:v>
      </x:c>
      <x:c r="H648" t="str">
        <x:v>CQ-A07</x:v>
      </x:c>
      <x:c r="I648" s="36" t="str">
        <x:v>Welche dieser Aussagen stammt aus Römer 13?</x:v>
      </x:c>
      <x:c r="J648" s="36" t="str"/>
      <x:c r="K648" s="36" t="str"/>
      <x:c r="L648" s="36" t="str">
        <x:v>REPO_VERIFIZIERT_FRAGEFORM</x:v>
      </x:c>
      <x:c r="M648" s="36" t="str">
        <x:v>ERSETZEN</x:v>
      </x:c>
      <x:c r="N648" s="36" t="str">
        <x:v>REPETITIVE_FRAGEFORM</x:v>
      </x:c>
      <x:c r="O648" s="36" t="str">
        <x:v>REINE_WIEDERERKENNUNG</x:v>
      </x:c>
      <x:c r="P648" s="36" t="str">
        <x:v>KERNAUSSAGE</x:v>
      </x:c>
      <x:c r="Q648" s="36" t="str">
        <x:v>Warum nennt Paulus neben möglicher Strafe auch das Gewissen als Grund für Unterordnung und Abgaben?</x:v>
      </x:c>
      <x:c r="R648" s="36" t="str">
        <x:v>Weil Steuern freiwillig sind.</x:v>
      </x:c>
      <x:c r="S648" s="36" t="str">
        <x:v>Weil nur Priester ein Gewissen besitzen.</x:v>
      </x:c>
      <x:c r="T648" s="36" t="str">
        <x:v>Weil staatliche Autorität nie Fehler machen kann.</x:v>
      </x:c>
      <x:c r="U648" s="36" t="str">
        <x:v>Weil Gehorsam nicht nur aus Angst, sondern auch aus innerer Verantwortung erfolgen soll.</x:v>
      </x:c>
      <x:c r="V648" s="36" t="n">
        <x:v>3</x:v>
      </x:c>
      <x:c r="W648" s="36" t="str">
        <x:f>CHOOSE(V648+1,R648,S648,T648,U648)</x:f>
        <x:v>Weil Gehorsam nicht nur aus Angst, sondern auch aus innerer Verantwortung erfolgen soll.</x:v>
      </x:c>
      <x:c r="X648" s="36" t="str">
        <x:v>Römer 13,5–7</x:v>
      </x:c>
      <x:c r="Y648" s="36" t="str">
        <x:v>Paulus verbindet Unterordnung mit Gewissensverantwortung und nennt Steuern, Abgaben, Respekt und Ehre.</x:v>
      </x:c>
      <x:c r="Z648" s="36" t="str">
        <x:v>JA</x:v>
      </x:c>
      <x:c r="AA648" s="36" t="str">
        <x:v>JA</x:v>
      </x:c>
      <x:c r="AB648" s="36" t="str">
        <x:v>JA</x:v>
      </x:c>
      <x:c r="AC648" s="36" t="str">
        <x:v>JA</x:v>
      </x:c>
      <x:c r="AD648" s="36" t="str">
        <x:v>JA</x:v>
      </x:c>
      <x:c r="AE648" s="36" t="str">
        <x:v>JA</x:v>
      </x:c>
      <x:c r="AF648" s="36" t="str">
        <x:v>JA</x:v>
      </x:c>
      <x:c r="AG648" s="36" t="str">
        <x:v>FREIGEGEBEN</x:v>
      </x:c>
      <x:c r="AH648" s="36" t="str">
        <x:v>GPT-5.6 Sol · Buchprüfung Römer · L1912/OTB</x:v>
      </x:c>
      <x:c r="AI648" s="36" t="str">
        <x:v>FREIGEGEBEN</x:v>
      </x:c>
      <x:c r="AJ648" s="36" t="str">
        <x:v>Römer 13: repetitive Wiedererkennungsfrage durch KERNAUSSAGE-Frage ersetzt.</x:v>
      </x:c>
      <x:c r="AK648" s="36" t="str">
        <x:v>FaithPath repo develop/v4 · data/stories.json · data/bibles/l1912/ROM.json · data/bibles/otb/ROM.json</x:v>
      </x:c>
      <x:c r="AL648" t="str">
        <x:f>IF(AND(AG648="FREIGEGEBEN",AI648="FREIGEGEBEN",Q648&lt;&gt;"",R648&lt;&gt;"",S648&lt;&gt;"",T648&lt;&gt;"",U648&lt;&gt;"",ISNUMBER(V648),X648&lt;&gt;"",Y648&lt;&gt;"",AA648="JA",AB648="JA",AC648="JA",AD648="JA",AE648="JA",AF648="JA"),"JA","NEIN")</x:f>
        <x:v>JA</x:v>
      </x:c>
    </x:row>
    <x:row r="649">
      <x:c r="A649" t="str">
        <x:v>FP-0908</x:v>
      </x:c>
      <x:c r="B649" t="str">
        <x:v>ROM</x:v>
      </x:c>
      <x:c r="C649" t="str">
        <x:v>Römer</x:v>
      </x:c>
      <x:c r="D649" t="n">
        <x:v>13</x:v>
      </x:c>
      <x:c r="E649" t="n">
        <x:v>3</x:v>
      </x:c>
      <x:c r="F649" t="str">
        <x:v>ROM-013</x:v>
      </x:c>
      <x:c r="G649" t="n">
        <x:v>130</x:v>
      </x:c>
      <x:c r="H649" t="str">
        <x:v>CQ-A07</x:v>
      </x:c>
      <x:c r="I649" s="36" t="str">
        <x:v>Welche dieser Aussagen stammt aus Römer 13?</x:v>
      </x:c>
      <x:c r="J649" s="36" t="str"/>
      <x:c r="K649" s="36" t="str"/>
      <x:c r="L649" s="36" t="str">
        <x:v>REPO_VERIFIZIERT_FRAGEFORM</x:v>
      </x:c>
      <x:c r="M649" s="36" t="str">
        <x:v>ERSETZEN</x:v>
      </x:c>
      <x:c r="N649" s="36" t="str">
        <x:v>REPETITIVE_FRAGEFORM</x:v>
      </x:c>
      <x:c r="O649" s="36" t="str">
        <x:v>REINE_WIEDERERKENNUNG</x:v>
      </x:c>
      <x:c r="P649" s="36" t="str">
        <x:v>KERNAUSSAGE</x:v>
      </x:c>
      <x:c r="Q649" s="36" t="str">
        <x:v>Welche Schuld soll nach Paulus immer bestehen bleiben?</x:v>
      </x:c>
      <x:c r="R649" s="36" t="str">
        <x:v>Die Verpflichtung, einander zu lieben.</x:v>
      </x:c>
      <x:c r="S649" s="36" t="str">
        <x:v>Die Pflicht, Geld zu leihen.</x:v>
      </x:c>
      <x:c r="T649" s="36" t="str">
        <x:v>Die Schuld gegenüber dem Kaiser allein.</x:v>
      </x:c>
      <x:c r="U649" s="36" t="str">
        <x:v>Die Pflicht zu Tempelopfern.</x:v>
      </x:c>
      <x:c r="V649" s="36" t="n">
        <x:v>0</x:v>
      </x:c>
      <x:c r="W649" s="36" t="str">
        <x:f>CHOOSE(V649+1,R649,S649,T649,U649)</x:f>
        <x:v>Die Verpflichtung, einander zu lieben.</x:v>
      </x:c>
      <x:c r="X649" s="36" t="str">
        <x:v>Römer 13,8–10</x:v>
      </x:c>
      <x:c r="Y649" s="36" t="str">
        <x:v>Paulus beschreibt Liebe als Erfüllung des Gesetzes, weil sie dem Nächsten nichts Böses tut.</x:v>
      </x:c>
      <x:c r="Z649" s="36" t="str">
        <x:v>JA</x:v>
      </x:c>
      <x:c r="AA649" s="36" t="str">
        <x:v>JA</x:v>
      </x:c>
      <x:c r="AB649" s="36" t="str">
        <x:v>JA</x:v>
      </x:c>
      <x:c r="AC649" s="36" t="str">
        <x:v>JA</x:v>
      </x:c>
      <x:c r="AD649" s="36" t="str">
        <x:v>JA</x:v>
      </x:c>
      <x:c r="AE649" s="36" t="str">
        <x:v>JA</x:v>
      </x:c>
      <x:c r="AF649" s="36" t="str">
        <x:v>JA</x:v>
      </x:c>
      <x:c r="AG649" s="36" t="str">
        <x:v>FREIGEGEBEN</x:v>
      </x:c>
      <x:c r="AH649" s="36" t="str">
        <x:v>GPT-5.6 Sol · Buchprüfung Römer · L1912/OTB</x:v>
      </x:c>
      <x:c r="AI649" s="36" t="str">
        <x:v>FREIGEGEBEN</x:v>
      </x:c>
      <x:c r="AJ649" s="36" t="str">
        <x:v>Römer 13: repetitive Wiedererkennungsfrage durch KERNAUSSAGE-Frage ersetzt.</x:v>
      </x:c>
      <x:c r="AK649" s="36" t="str">
        <x:v>FaithPath repo develop/v4 · data/stories.json · data/bibles/l1912/ROM.json · data/bibles/otb/ROM.json</x:v>
      </x:c>
      <x:c r="AL649" t="str">
        <x:f>IF(AND(AG649="FREIGEGEBEN",AI649="FREIGEGEBEN",Q649&lt;&gt;"",R649&lt;&gt;"",S649&lt;&gt;"",T649&lt;&gt;"",U649&lt;&gt;"",ISNUMBER(V649),X649&lt;&gt;"",Y649&lt;&gt;"",AA649="JA",AB649="JA",AC649="JA",AD649="JA",AE649="JA",AF649="JA"),"JA","NEIN")</x:f>
        <x:v>JA</x:v>
      </x:c>
    </x:row>
    <x:row r="650">
      <x:c r="A650" t="str">
        <x:v>FP-0909</x:v>
      </x:c>
      <x:c r="B650" t="str">
        <x:v>ROM</x:v>
      </x:c>
      <x:c r="C650" t="str">
        <x:v>Römer</x:v>
      </x:c>
      <x:c r="D650" t="n">
        <x:v>13</x:v>
      </x:c>
      <x:c r="E650" t="n">
        <x:v>4</x:v>
      </x:c>
      <x:c r="F650" t="str">
        <x:v>ROM-013</x:v>
      </x:c>
      <x:c r="G650" t="n">
        <x:v>130</x:v>
      </x:c>
      <x:c r="H650" t="str">
        <x:v>CQ-A07</x:v>
      </x:c>
      <x:c r="I650" s="36" t="str">
        <x:v>Welche dieser Aussagen stammt aus Römer 13?</x:v>
      </x:c>
      <x:c r="J650" s="36" t="str"/>
      <x:c r="K650" s="36" t="str"/>
      <x:c r="L650" s="36" t="str">
        <x:v>REPO_VERIFIZIERT_FRAGEFORM</x:v>
      </x:c>
      <x:c r="M650" s="36" t="str">
        <x:v>ERSETZEN</x:v>
      </x:c>
      <x:c r="N650" s="36" t="str">
        <x:v>REPETITIVE_FRAGEFORM</x:v>
      </x:c>
      <x:c r="O650" s="36" t="str">
        <x:v>REINE_WIEDERERKENNUNG</x:v>
      </x:c>
      <x:c r="P650" s="36" t="str">
        <x:v>ZUSAMMENHANG</x:v>
      </x:c>
      <x:c r="Q650" s="36" t="str">
        <x:v>Welche Haltung leitet Paulus aus der Nähe des kommenden Tages ab?</x:v>
      </x:c>
      <x:c r="R650" s="36" t="str">
        <x:v>Alle Arbeit einzustellen.</x:v>
      </x:c>
      <x:c r="S650" s="36" t="str">
        <x:v>Aus dem Schlaf aufzuwachen, Werke der Finsternis abzulegen und Waffen des Lichts anzuziehen.</x:v>
      </x:c>
      <x:c r="T650" s="36" t="str">
        <x:v>Den genauen Tag zu berechnen.</x:v>
      </x:c>
      <x:c r="U650" s="36" t="str">
        <x:v>Rom sofort zu verlassen.</x:v>
      </x:c>
      <x:c r="V650" s="36" t="n">
        <x:v>1</x:v>
      </x:c>
      <x:c r="W650" s="36" t="str">
        <x:f>CHOOSE(V650+1,R650,S650,T650,U650)</x:f>
        <x:v>Aus dem Schlaf aufzuwachen, Werke der Finsternis abzulegen und Waffen des Lichts anzuziehen.</x:v>
      </x:c>
      <x:c r="X650" s="36" t="str">
        <x:v>Römer 13,11–12</x:v>
      </x:c>
      <x:c r="Y650" s="36" t="str">
        <x:v>Paulus verwendet Nacht und Tag als Bild für wache, erneuerte Lebensführung.</x:v>
      </x:c>
      <x:c r="Z650" s="36" t="str">
        <x:v>JA</x:v>
      </x:c>
      <x:c r="AA650" s="36" t="str">
        <x:v>JA</x:v>
      </x:c>
      <x:c r="AB650" s="36" t="str">
        <x:v>JA</x:v>
      </x:c>
      <x:c r="AC650" s="36" t="str">
        <x:v>JA</x:v>
      </x:c>
      <x:c r="AD650" s="36" t="str">
        <x:v>JA</x:v>
      </x:c>
      <x:c r="AE650" s="36" t="str">
        <x:v>JA</x:v>
      </x:c>
      <x:c r="AF650" s="36" t="str">
        <x:v>JA</x:v>
      </x:c>
      <x:c r="AG650" s="36" t="str">
        <x:v>FREIGEGEBEN</x:v>
      </x:c>
      <x:c r="AH650" s="36" t="str">
        <x:v>GPT-5.6 Sol · Buchprüfung Römer · L1912/OTB</x:v>
      </x:c>
      <x:c r="AI650" s="36" t="str">
        <x:v>FREIGEGEBEN</x:v>
      </x:c>
      <x:c r="AJ650" s="36" t="str">
        <x:v>Römer 13: repetitive Wiedererkennungsfrage durch ZUSAMMENHANG-Frage ersetzt.</x:v>
      </x:c>
      <x:c r="AK650" s="36" t="str">
        <x:v>FaithPath repo develop/v4 · data/stories.json · data/bibles/l1912/ROM.json · data/bibles/otb/ROM.json</x:v>
      </x:c>
      <x:c r="AL650" t="str">
        <x:f>IF(AND(AG650="FREIGEGEBEN",AI650="FREIGEGEBEN",Q650&lt;&gt;"",R650&lt;&gt;"",S650&lt;&gt;"",T650&lt;&gt;"",U650&lt;&gt;"",ISNUMBER(V650),X650&lt;&gt;"",Y650&lt;&gt;"",AA650="JA",AB650="JA",AC650="JA",AD650="JA",AE650="JA",AF650="JA"),"JA","NEIN")</x:f>
        <x:v>JA</x:v>
      </x:c>
    </x:row>
    <x:row r="651">
      <x:c r="A651" t="str">
        <x:v>FP-0910</x:v>
      </x:c>
      <x:c r="B651" t="str">
        <x:v>ROM</x:v>
      </x:c>
      <x:c r="C651" t="str">
        <x:v>Römer</x:v>
      </x:c>
      <x:c r="D651" t="n">
        <x:v>13</x:v>
      </x:c>
      <x:c r="E651" t="n">
        <x:v>5</x:v>
      </x:c>
      <x:c r="F651" t="str">
        <x:v>ROM-013</x:v>
      </x:c>
      <x:c r="G651" t="n">
        <x:v>130</x:v>
      </x:c>
      <x:c r="H651" t="str">
        <x:v>CQ-A07</x:v>
      </x:c>
      <x:c r="I651" s="36" t="str">
        <x:v>Welche dieser Aussagen stammt aus Römer 13?</x:v>
      </x:c>
      <x:c r="J651" s="36" t="str"/>
      <x:c r="K651" s="36" t="str"/>
      <x:c r="L651" s="36" t="str">
        <x:v>REPO_VERIFIZIERT_FRAGEFORM</x:v>
      </x:c>
      <x:c r="M651" s="36" t="str">
        <x:v>ERSETZEN</x:v>
      </x:c>
      <x:c r="N651" s="36" t="str">
        <x:v>REPETITIVE_FRAGEFORM</x:v>
      </x:c>
      <x:c r="O651" s="36" t="str">
        <x:v>REINE_WIEDERERKENNUNG</x:v>
      </x:c>
      <x:c r="P651" s="36" t="str">
        <x:v>KERNAUSSAGE</x:v>
      </x:c>
      <x:c r="Q651" s="36" t="str">
        <x:v>Wie fasst Paulus die positive Alternative zu einem ungeordneten Lebensstil zusammen?</x:v>
      </x:c>
      <x:c r="R651" s="36" t="str">
        <x:v>Möglichst streng über andere zu urteilen.</x:v>
      </x:c>
      <x:c r="S651" s="36" t="str">
        <x:v>Nur äußerlich religiös zu erscheinen.</x:v>
      </x:c>
      <x:c r="T651" s="36" t="str">
        <x:v>Den Herrn Jesus Christus anzuziehen und den Begierden des Fleisches keinen Raum zu geben.</x:v>
      </x:c>
      <x:c r="U651" s="36" t="str">
        <x:v>Jede Freude zu vermeiden.</x:v>
      </x:c>
      <x:c r="V651" s="36" t="n">
        <x:v>2</x:v>
      </x:c>
      <x:c r="W651" s="36" t="str">
        <x:f>CHOOSE(V651+1,R651,S651,T651,U651)</x:f>
        <x:v>Den Herrn Jesus Christus anzuziehen und den Begierden des Fleisches keinen Raum zu geben.</x:v>
      </x:c>
      <x:c r="X651" s="36" t="str">
        <x:v>Römer 13,13–14</x:v>
      </x:c>
      <x:c r="Y651" s="36" t="str">
        <x:v>Paulus stellt einem Leben in Ausschweifung und Streit das bewusste Anziehen Christi gegenüber.</x:v>
      </x:c>
      <x:c r="Z651" s="36" t="str">
        <x:v>JA</x:v>
      </x:c>
      <x:c r="AA651" s="36" t="str">
        <x:v>JA</x:v>
      </x:c>
      <x:c r="AB651" s="36" t="str">
        <x:v>JA</x:v>
      </x:c>
      <x:c r="AC651" s="36" t="str">
        <x:v>JA</x:v>
      </x:c>
      <x:c r="AD651" s="36" t="str">
        <x:v>JA</x:v>
      </x:c>
      <x:c r="AE651" s="36" t="str">
        <x:v>JA</x:v>
      </x:c>
      <x:c r="AF651" s="36" t="str">
        <x:v>JA</x:v>
      </x:c>
      <x:c r="AG651" s="36" t="str">
        <x:v>FREIGEGEBEN</x:v>
      </x:c>
      <x:c r="AH651" s="36" t="str">
        <x:v>GPT-5.6 Sol · Buchprüfung Römer · L1912/OTB</x:v>
      </x:c>
      <x:c r="AI651" s="36" t="str">
        <x:v>FREIGEGEBEN</x:v>
      </x:c>
      <x:c r="AJ651" s="36" t="str">
        <x:v>Römer 13: repetitive Wiedererkennungsfrage durch KERNAUSSAGE-Frage ersetzt.</x:v>
      </x:c>
      <x:c r="AK651" s="36" t="str">
        <x:v>FaithPath repo develop/v4 · data/stories.json · data/bibles/l1912/ROM.json · data/bibles/otb/ROM.json</x:v>
      </x:c>
      <x:c r="AL651" t="str">
        <x:f>IF(AND(AG651="FREIGEGEBEN",AI651="FREIGEGEBEN",Q651&lt;&gt;"",R651&lt;&gt;"",S651&lt;&gt;"",T651&lt;&gt;"",U651&lt;&gt;"",ISNUMBER(V651),X651&lt;&gt;"",Y651&lt;&gt;"",AA651="JA",AB651="JA",AC651="JA",AD651="JA",AE651="JA",AF651="JA"),"JA","NEIN")</x:f>
        <x:v>JA</x:v>
      </x:c>
    </x:row>
    <x:row r="652">
      <x:c r="A652" t="str">
        <x:v>FP-0911</x:v>
      </x:c>
      <x:c r="B652" t="str">
        <x:v>ROM</x:v>
      </x:c>
      <x:c r="C652" t="str">
        <x:v>Römer</x:v>
      </x:c>
      <x:c r="D652" t="n">
        <x:v>14</x:v>
      </x:c>
      <x:c r="E652" t="n">
        <x:v>1</x:v>
      </x:c>
      <x:c r="F652" t="str">
        <x:v>ROM-014</x:v>
      </x:c>
      <x:c r="G652" t="n">
        <x:v>131</x:v>
      </x:c>
      <x:c r="H652" t="str">
        <x:v>CQ-A07</x:v>
      </x:c>
      <x:c r="I652" s="36" t="str">
        <x:v>Welche dieser Aussagen stammt aus Römer 14?</x:v>
      </x:c>
      <x:c r="J652" s="36" t="str"/>
      <x:c r="K652" s="36" t="str"/>
      <x:c r="L652" s="36" t="str">
        <x:v>REPO_VERIFIZIERT_FRAGEFORM</x:v>
      </x:c>
      <x:c r="M652" s="36" t="str">
        <x:v>ERSETZEN</x:v>
      </x:c>
      <x:c r="N652" s="36" t="str">
        <x:v>REPETITIVE_FRAGEFORM</x:v>
      </x:c>
      <x:c r="O652" s="36" t="str">
        <x:v>REINE_WIEDERERKENNUNG</x:v>
      </x:c>
      <x:c r="P652" s="36" t="str">
        <x:v>KERNAUSSAGE</x:v>
      </x:c>
      <x:c r="Q652" s="36" t="str">
        <x:v>Wie sollen Glaubende mit unterschiedlichen Überzeugungen über Essen umgehen?</x:v>
      </x:c>
      <x:c r="R652" s="36" t="str">
        <x:v>Die stärkere Gruppe soll die schwächere ausschließen.</x:v>
      </x:c>
      <x:c r="S652" s="36" t="str">
        <x:v>Alle müssen dieselbe Speiseordnung übernehmen.</x:v>
      </x:c>
      <x:c r="T652" s="36" t="str">
        <x:v>Nur Paulus darf darüber entscheiden.</x:v>
      </x:c>
      <x:c r="U652" s="36" t="str">
        <x:v>Sie sollen einander annehmen und weder verachten noch richten.</x:v>
      </x:c>
      <x:c r="V652" s="36" t="n">
        <x:v>3</x:v>
      </x:c>
      <x:c r="W652" s="36" t="str">
        <x:f>CHOOSE(V652+1,R652,S652,T652,U652)</x:f>
        <x:v>Sie sollen einander annehmen und weder verachten noch richten.</x:v>
      </x:c>
      <x:c r="X652" s="36" t="str">
        <x:v>Römer 14,1–4</x:v>
      </x:c>
      <x:c r="Y652" s="36" t="str">
        <x:v>Paulus fordert Annahme statt Streit über Meinungsfragen und erinnert daran, dass jeder seinem Herrn verantwortlich ist.</x:v>
      </x:c>
      <x:c r="Z652" s="36" t="str">
        <x:v>JA</x:v>
      </x:c>
      <x:c r="AA652" s="36" t="str">
        <x:v>JA</x:v>
      </x:c>
      <x:c r="AB652" s="36" t="str">
        <x:v>JA</x:v>
      </x:c>
      <x:c r="AC652" s="36" t="str">
        <x:v>JA</x:v>
      </x:c>
      <x:c r="AD652" s="36" t="str">
        <x:v>JA</x:v>
      </x:c>
      <x:c r="AE652" s="36" t="str">
        <x:v>JA</x:v>
      </x:c>
      <x:c r="AF652" s="36" t="str">
        <x:v>JA</x:v>
      </x:c>
      <x:c r="AG652" s="36" t="str">
        <x:v>FREIGEGEBEN</x:v>
      </x:c>
      <x:c r="AH652" s="36" t="str">
        <x:v>GPT-5.6 Sol · Buchprüfung Römer · L1912/OTB</x:v>
      </x:c>
      <x:c r="AI652" s="36" t="str">
        <x:v>FREIGEGEBEN</x:v>
      </x:c>
      <x:c r="AJ652" s="36" t="str">
        <x:v>Römer 14: repetitive Wiedererkennungsfrage durch KERNAUSSAGE-Frage ersetzt.</x:v>
      </x:c>
      <x:c r="AK652" s="36" t="str">
        <x:v>FaithPath repo develop/v4 · data/stories.json · data/bibles/l1912/ROM.json · data/bibles/otb/ROM.json</x:v>
      </x:c>
      <x:c r="AL652" t="str">
        <x:f>IF(AND(AG652="FREIGEGEBEN",AI652="FREIGEGEBEN",Q652&lt;&gt;"",R652&lt;&gt;"",S652&lt;&gt;"",T652&lt;&gt;"",U652&lt;&gt;"",ISNUMBER(V652),X652&lt;&gt;"",Y652&lt;&gt;"",AA652="JA",AB652="JA",AC652="JA",AD652="JA",AE652="JA",AF652="JA"),"JA","NEIN")</x:f>
        <x:v>JA</x:v>
      </x:c>
    </x:row>
    <x:row r="653">
      <x:c r="A653" t="str">
        <x:v>FP-0912</x:v>
      </x:c>
      <x:c r="B653" t="str">
        <x:v>ROM</x:v>
      </x:c>
      <x:c r="C653" t="str">
        <x:v>Römer</x:v>
      </x:c>
      <x:c r="D653" t="n">
        <x:v>14</x:v>
      </x:c>
      <x:c r="E653" t="n">
        <x:v>2</x:v>
      </x:c>
      <x:c r="F653" t="str">
        <x:v>ROM-014</x:v>
      </x:c>
      <x:c r="G653" t="n">
        <x:v>131</x:v>
      </x:c>
      <x:c r="H653" t="str">
        <x:v>CQ-A07</x:v>
      </x:c>
      <x:c r="I653" s="36" t="str">
        <x:v>Welche dieser Aussagen stammt aus Römer 14?</x:v>
      </x:c>
      <x:c r="J653" s="36" t="str"/>
      <x:c r="K653" s="36" t="str"/>
      <x:c r="L653" s="36" t="str">
        <x:v>REPO_VERIFIZIERT_FRAGEFORM</x:v>
      </x:c>
      <x:c r="M653" s="36" t="str">
        <x:v>ERSETZEN</x:v>
      </x:c>
      <x:c r="N653" s="36" t="str">
        <x:v>REPETITIVE_FRAGEFORM</x:v>
      </x:c>
      <x:c r="O653" s="36" t="str">
        <x:v>REINE_WIEDERERKENNUNG</x:v>
      </x:c>
      <x:c r="P653" s="36" t="str">
        <x:v>KERNAUSSAGE</x:v>
      </x:c>
      <x:c r="Q653" s="36" t="str">
        <x:v>Welches Prinzip nennt Paulus bei unterschiedlichen Bewertungen von Tagen und Speisen?</x:v>
      </x:c>
      <x:c r="R653" s="36" t="str">
        <x:v>Jeder soll in seiner eigenen Überzeugung gewiss sein und das, was er tut, für den Herrn tun.</x:v>
      </x:c>
      <x:c r="S653" s="36" t="str">
        <x:v>Nur ein bestimmter Tag darf beachtet werden.</x:v>
      </x:c>
      <x:c r="T653" s="36" t="str">
        <x:v>Unterschiedliche Gewissensentscheidungen sind nie erlaubt.</x:v>
      </x:c>
      <x:c r="U653" s="36" t="str">
        <x:v>Essen und Tage haben keinerlei Bezug zum Glauben.</x:v>
      </x:c>
      <x:c r="V653" s="36" t="n">
        <x:v>0</x:v>
      </x:c>
      <x:c r="W653" s="36" t="str">
        <x:f>CHOOSE(V653+1,R653,S653,T653,U653)</x:f>
        <x:v>Jeder soll in seiner eigenen Überzeugung gewiss sein und das, was er tut, für den Herrn tun.</x:v>
      </x:c>
      <x:c r="X653" s="36" t="str">
        <x:v>Römer 14,5–9</x:v>
      </x:c>
      <x:c r="Y653" s="36" t="str">
        <x:v>Paulus richtet den Blick von der jeweiligen Praxis auf die Ausrichtung auf den Herrn.</x:v>
      </x:c>
      <x:c r="Z653" s="36" t="str">
        <x:v>JA</x:v>
      </x:c>
      <x:c r="AA653" s="36" t="str">
        <x:v>JA</x:v>
      </x:c>
      <x:c r="AB653" s="36" t="str">
        <x:v>JA</x:v>
      </x:c>
      <x:c r="AC653" s="36" t="str">
        <x:v>JA</x:v>
      </x:c>
      <x:c r="AD653" s="36" t="str">
        <x:v>JA</x:v>
      </x:c>
      <x:c r="AE653" s="36" t="str">
        <x:v>JA</x:v>
      </x:c>
      <x:c r="AF653" s="36" t="str">
        <x:v>JA</x:v>
      </x:c>
      <x:c r="AG653" s="36" t="str">
        <x:v>FREIGEGEBEN</x:v>
      </x:c>
      <x:c r="AH653" s="36" t="str">
        <x:v>GPT-5.6 Sol · Buchprüfung Römer · L1912/OTB</x:v>
      </x:c>
      <x:c r="AI653" s="36" t="str">
        <x:v>FREIGEGEBEN</x:v>
      </x:c>
      <x:c r="AJ653" s="36" t="str">
        <x:v>Römer 14: repetitive Wiedererkennungsfrage durch KERNAUSSAGE-Frage ersetzt.</x:v>
      </x:c>
      <x:c r="AK653" s="36" t="str">
        <x:v>FaithPath repo develop/v4 · data/stories.json · data/bibles/l1912/ROM.json · data/bibles/otb/ROM.json</x:v>
      </x:c>
      <x:c r="AL653" t="str">
        <x:f>IF(AND(AG653="FREIGEGEBEN",AI653="FREIGEGEBEN",Q653&lt;&gt;"",R653&lt;&gt;"",S653&lt;&gt;"",T653&lt;&gt;"",U653&lt;&gt;"",ISNUMBER(V653),X653&lt;&gt;"",Y653&lt;&gt;"",AA653="JA",AB653="JA",AC653="JA",AD653="JA",AE653="JA",AF653="JA"),"JA","NEIN")</x:f>
        <x:v>JA</x:v>
      </x:c>
    </x:row>
    <x:row r="654">
      <x:c r="A654" t="str">
        <x:v>FP-0913</x:v>
      </x:c>
      <x:c r="B654" t="str">
        <x:v>ROM</x:v>
      </x:c>
      <x:c r="C654" t="str">
        <x:v>Römer</x:v>
      </x:c>
      <x:c r="D654" t="n">
        <x:v>14</x:v>
      </x:c>
      <x:c r="E654" t="n">
        <x:v>3</x:v>
      </x:c>
      <x:c r="F654" t="str">
        <x:v>ROM-014</x:v>
      </x:c>
      <x:c r="G654" t="n">
        <x:v>131</x:v>
      </x:c>
      <x:c r="H654" t="str">
        <x:v>CQ-A07</x:v>
      </x:c>
      <x:c r="I654" s="36" t="str">
        <x:v>Welche dieser Aussagen stammt aus Römer 14?</x:v>
      </x:c>
      <x:c r="J654" s="36" t="str"/>
      <x:c r="K654" s="36" t="str"/>
      <x:c r="L654" s="36" t="str">
        <x:v>REPO_VERIFIZIERT_FRAGEFORM</x:v>
      </x:c>
      <x:c r="M654" s="36" t="str">
        <x:v>ERSETZEN</x:v>
      </x:c>
      <x:c r="N654" s="36" t="str">
        <x:v>REPETITIVE_FRAGEFORM</x:v>
      </x:c>
      <x:c r="O654" s="36" t="str">
        <x:v>REINE_WIEDERERKENNUNG</x:v>
      </x:c>
      <x:c r="P654" s="36" t="str">
        <x:v>KERNAUSSAGE</x:v>
      </x:c>
      <x:c r="Q654" s="36" t="str">
        <x:v>Warum sollen Glaubende einander nicht richten oder verachten?</x:v>
      </x:c>
      <x:c r="R654" s="36" t="str">
        <x:v>Weil Verhalten niemals beurteilt werden kann.</x:v>
      </x:c>
      <x:c r="S654" s="36" t="str">
        <x:v>Weil alle vor Gottes Richterstuhl stehen und jeder für sich Rechenschaft geben wird.</x:v>
      </x:c>
      <x:c r="T654" s="36" t="str">
        <x:v>Weil nur Apostel Rechenschaft geben müssen.</x:v>
      </x:c>
      <x:c r="U654" s="36" t="str">
        <x:v>Weil es keine Verantwortung vor Gott gibt.</x:v>
      </x:c>
      <x:c r="V654" s="36" t="n">
        <x:v>1</x:v>
      </x:c>
      <x:c r="W654" s="36" t="str">
        <x:f>CHOOSE(V654+1,R654,S654,T654,U654)</x:f>
        <x:v>Weil alle vor Gottes Richterstuhl stehen und jeder für sich Rechenschaft geben wird.</x:v>
      </x:c>
      <x:c r="X654" s="36" t="str">
        <x:v>Römer 14,10–13</x:v>
      </x:c>
      <x:c r="Y654" s="36" t="str">
        <x:v>Paulus verlagert die letzte Beurteilung auf Gott und fordert stattdessen, dem Bruder keinen Anstoß zu bereiten.</x:v>
      </x:c>
      <x:c r="Z654" s="36" t="str">
        <x:v>JA</x:v>
      </x:c>
      <x:c r="AA654" s="36" t="str">
        <x:v>JA</x:v>
      </x:c>
      <x:c r="AB654" s="36" t="str">
        <x:v>JA</x:v>
      </x:c>
      <x:c r="AC654" s="36" t="str">
        <x:v>JA</x:v>
      </x:c>
      <x:c r="AD654" s="36" t="str">
        <x:v>JA</x:v>
      </x:c>
      <x:c r="AE654" s="36" t="str">
        <x:v>JA</x:v>
      </x:c>
      <x:c r="AF654" s="36" t="str">
        <x:v>JA</x:v>
      </x:c>
      <x:c r="AG654" s="36" t="str">
        <x:v>FREIGEGEBEN</x:v>
      </x:c>
      <x:c r="AH654" s="36" t="str">
        <x:v>GPT-5.6 Sol · Buchprüfung Römer · L1912/OTB</x:v>
      </x:c>
      <x:c r="AI654" s="36" t="str">
        <x:v>FREIGEGEBEN</x:v>
      </x:c>
      <x:c r="AJ654" s="36" t="str">
        <x:v>Römer 14: repetitive Wiedererkennungsfrage durch KERNAUSSAGE-Frage ersetzt.</x:v>
      </x:c>
      <x:c r="AK654" s="36" t="str">
        <x:v>FaithPath repo develop/v4 · data/stories.json · data/bibles/l1912/ROM.json · data/bibles/otb/ROM.json</x:v>
      </x:c>
      <x:c r="AL654" t="str">
        <x:f>IF(AND(AG654="FREIGEGEBEN",AI654="FREIGEGEBEN",Q654&lt;&gt;"",R654&lt;&gt;"",S654&lt;&gt;"",T654&lt;&gt;"",U654&lt;&gt;"",ISNUMBER(V654),X654&lt;&gt;"",Y654&lt;&gt;"",AA654="JA",AB654="JA",AC654="JA",AD654="JA",AE654="JA",AF654="JA"),"JA","NEIN")</x:f>
        <x:v>JA</x:v>
      </x:c>
    </x:row>
    <x:row r="655">
      <x:c r="A655" t="str">
        <x:v>FP-0914</x:v>
      </x:c>
      <x:c r="B655" t="str">
        <x:v>ROM</x:v>
      </x:c>
      <x:c r="C655" t="str">
        <x:v>Römer</x:v>
      </x:c>
      <x:c r="D655" t="n">
        <x:v>14</x:v>
      </x:c>
      <x:c r="E655" t="n">
        <x:v>4</x:v>
      </x:c>
      <x:c r="F655" t="str">
        <x:v>ROM-014</x:v>
      </x:c>
      <x:c r="G655" t="n">
        <x:v>131</x:v>
      </x:c>
      <x:c r="H655" t="str">
        <x:v>CQ-A07</x:v>
      </x:c>
      <x:c r="I655" s="36" t="str">
        <x:v>Welche dieser Aussagen stammt aus Römer 14?</x:v>
      </x:c>
      <x:c r="J655" s="36" t="str"/>
      <x:c r="K655" s="36" t="str"/>
      <x:c r="L655" s="36" t="str">
        <x:v>REPO_VERIFIZIERT_FRAGEFORM</x:v>
      </x:c>
      <x:c r="M655" s="36" t="str">
        <x:v>ERSETZEN</x:v>
      </x:c>
      <x:c r="N655" s="36" t="str">
        <x:v>REPETITIVE_FRAGEFORM</x:v>
      </x:c>
      <x:c r="O655" s="36" t="str">
        <x:v>REINE_WIEDERERKENNUNG</x:v>
      </x:c>
      <x:c r="P655" s="36" t="str">
        <x:v>KERNAUSSAGE</x:v>
      </x:c>
      <x:c r="Q655" s="36" t="str">
        <x:v>Was ist wichtiger als Essen und Trinken im Reich Gottes?</x:v>
      </x:c>
      <x:c r="R655" s="36" t="str">
        <x:v>Möglichst strenge Speiseregeln.</x:v>
      </x:c>
      <x:c r="S655" s="36" t="str">
        <x:v>Die öffentliche Durchsetzung der eigenen Meinung.</x:v>
      </x:c>
      <x:c r="T655" s="36" t="str">
        <x:v>Gerechtigkeit, Frieden und Freude im Heiligen Geist.</x:v>
      </x:c>
      <x:c r="U655" s="36" t="str">
        <x:v>Der Verzicht auf jede Mahlzeit.</x:v>
      </x:c>
      <x:c r="V655" s="36" t="n">
        <x:v>2</x:v>
      </x:c>
      <x:c r="W655" s="36" t="str">
        <x:f>CHOOSE(V655+1,R655,S655,T655,U655)</x:f>
        <x:v>Gerechtigkeit, Frieden und Freude im Heiligen Geist.</x:v>
      </x:c>
      <x:c r="X655" s="36" t="str">
        <x:v>Römer 14,14–18</x:v>
      </x:c>
      <x:c r="Y655" s="36" t="str">
        <x:v>Paulus relativiert Streitfragen um Speise gegenüber den zentralen Wirklichkeiten von Gottes Reich.</x:v>
      </x:c>
      <x:c r="Z655" s="36" t="str">
        <x:v>JA</x:v>
      </x:c>
      <x:c r="AA655" s="36" t="str">
        <x:v>JA</x:v>
      </x:c>
      <x:c r="AB655" s="36" t="str">
        <x:v>JA</x:v>
      </x:c>
      <x:c r="AC655" s="36" t="str">
        <x:v>JA</x:v>
      </x:c>
      <x:c r="AD655" s="36" t="str">
        <x:v>JA</x:v>
      </x:c>
      <x:c r="AE655" s="36" t="str">
        <x:v>JA</x:v>
      </x:c>
      <x:c r="AF655" s="36" t="str">
        <x:v>JA</x:v>
      </x:c>
      <x:c r="AG655" s="36" t="str">
        <x:v>FREIGEGEBEN</x:v>
      </x:c>
      <x:c r="AH655" s="36" t="str">
        <x:v>GPT-5.6 Sol · Buchprüfung Römer · L1912/OTB</x:v>
      </x:c>
      <x:c r="AI655" s="36" t="str">
        <x:v>FREIGEGEBEN</x:v>
      </x:c>
      <x:c r="AJ655" s="36" t="str">
        <x:v>Römer 14: repetitive Wiedererkennungsfrage durch KERNAUSSAGE-Frage ersetzt.</x:v>
      </x:c>
      <x:c r="AK655" s="36" t="str">
        <x:v>FaithPath repo develop/v4 · data/stories.json · data/bibles/l1912/ROM.json · data/bibles/otb/ROM.json</x:v>
      </x:c>
      <x:c r="AL655" t="str">
        <x:f>IF(AND(AG655="FREIGEGEBEN",AI655="FREIGEGEBEN",Q655&lt;&gt;"",R655&lt;&gt;"",S655&lt;&gt;"",T655&lt;&gt;"",U655&lt;&gt;"",ISNUMBER(V655),X655&lt;&gt;"",Y655&lt;&gt;"",AA655="JA",AB655="JA",AC655="JA",AD655="JA",AE655="JA",AF655="JA"),"JA","NEIN")</x:f>
        <x:v>JA</x:v>
      </x:c>
    </x:row>
    <x:row r="656">
      <x:c r="A656" t="str">
        <x:v>FP-0915</x:v>
      </x:c>
      <x:c r="B656" t="str">
        <x:v>ROM</x:v>
      </x:c>
      <x:c r="C656" t="str">
        <x:v>Römer</x:v>
      </x:c>
      <x:c r="D656" t="n">
        <x:v>14</x:v>
      </x:c>
      <x:c r="E656" t="n">
        <x:v>5</x:v>
      </x:c>
      <x:c r="F656" t="str">
        <x:v>ROM-014</x:v>
      </x:c>
      <x:c r="G656" t="n">
        <x:v>131</x:v>
      </x:c>
      <x:c r="H656" t="str">
        <x:v>CQ-A07</x:v>
      </x:c>
      <x:c r="I656" s="36" t="str">
        <x:v>Welche dieser Aussagen stammt aus Römer 14?</x:v>
      </x:c>
      <x:c r="J656" s="36" t="str"/>
      <x:c r="K656" s="36" t="str"/>
      <x:c r="L656" s="36" t="str">
        <x:v>REPO_VERIFIZIERT_FRAGEFORM</x:v>
      </x:c>
      <x:c r="M656" s="36" t="str">
        <x:v>ERSETZEN</x:v>
      </x:c>
      <x:c r="N656" s="36" t="str">
        <x:v>REPETITIVE_FRAGEFORM</x:v>
      </x:c>
      <x:c r="O656" s="36" t="str">
        <x:v>REINE_WIEDERERKENNUNG</x:v>
      </x:c>
      <x:c r="P656" s="36" t="str">
        <x:v>KERNAUSSAGE</x:v>
      </x:c>
      <x:c r="Q656" s="36" t="str">
        <x:v>Wonach sollen Glaubende in strittigen Gewissensfragen besonders streben?</x:v>
      </x:c>
      <x:c r="R656" s="36" t="str">
        <x:v>Nach dem Sieg der eigenen Meinung.</x:v>
      </x:c>
      <x:c r="S656" s="36" t="str">
        <x:v>Nach möglichst vielen öffentlichen Debatten.</x:v>
      </x:c>
      <x:c r="T656" s="36" t="str">
        <x:v>Danach, das Gewissen anderer zu ignorieren.</x:v>
      </x:c>
      <x:c r="U656" s="36" t="str">
        <x:v>Nach dem, was Frieden und gegenseitige Erbauung fördert.</x:v>
      </x:c>
      <x:c r="V656" s="36" t="n">
        <x:v>3</x:v>
      </x:c>
      <x:c r="W656" s="36" t="str">
        <x:f>CHOOSE(V656+1,R656,S656,T656,U656)</x:f>
        <x:v>Nach dem, was Frieden und gegenseitige Erbauung fördert.</x:v>
      </x:c>
      <x:c r="X656" s="36" t="str">
        <x:v>Römer 14,19–23</x:v>
      </x:c>
      <x:c r="Y656" s="36" t="str">
        <x:v>Paulus fordert dazu auf, die Gemeinschaft nicht wegen Essen zu zerstören und das Gewissen ernst zu nehmen.</x:v>
      </x:c>
      <x:c r="Z656" s="36" t="str">
        <x:v>JA</x:v>
      </x:c>
      <x:c r="AA656" s="36" t="str">
        <x:v>JA</x:v>
      </x:c>
      <x:c r="AB656" s="36" t="str">
        <x:v>JA</x:v>
      </x:c>
      <x:c r="AC656" s="36" t="str">
        <x:v>JA</x:v>
      </x:c>
      <x:c r="AD656" s="36" t="str">
        <x:v>JA</x:v>
      </x:c>
      <x:c r="AE656" s="36" t="str">
        <x:v>JA</x:v>
      </x:c>
      <x:c r="AF656" s="36" t="str">
        <x:v>JA</x:v>
      </x:c>
      <x:c r="AG656" s="36" t="str">
        <x:v>FREIGEGEBEN</x:v>
      </x:c>
      <x:c r="AH656" s="36" t="str">
        <x:v>GPT-5.6 Sol · Buchprüfung Römer · L1912/OTB</x:v>
      </x:c>
      <x:c r="AI656" s="36" t="str">
        <x:v>FREIGEGEBEN</x:v>
      </x:c>
      <x:c r="AJ656" s="36" t="str">
        <x:v>Römer 14: repetitive Wiedererkennungsfrage durch KERNAUSSAGE-Frage ersetzt.</x:v>
      </x:c>
      <x:c r="AK656" s="36" t="str">
        <x:v>FaithPath repo develop/v4 · data/stories.json · data/bibles/l1912/ROM.json · data/bibles/otb/ROM.json</x:v>
      </x:c>
      <x:c r="AL656" t="str">
        <x:f>IF(AND(AG656="FREIGEGEBEN",AI656="FREIGEGEBEN",Q656&lt;&gt;"",R656&lt;&gt;"",S656&lt;&gt;"",T656&lt;&gt;"",U656&lt;&gt;"",ISNUMBER(V656),X656&lt;&gt;"",Y656&lt;&gt;"",AA656="JA",AB656="JA",AC656="JA",AD656="JA",AE656="JA",AF656="JA"),"JA","NEIN")</x:f>
        <x:v>JA</x:v>
      </x:c>
    </x:row>
    <x:row r="657">
      <x:c r="A657" t="str">
        <x:v>FP-0916</x:v>
      </x:c>
      <x:c r="B657" t="str">
        <x:v>ROM</x:v>
      </x:c>
      <x:c r="C657" t="str">
        <x:v>Römer</x:v>
      </x:c>
      <x:c r="D657" t="n">
        <x:v>15</x:v>
      </x:c>
      <x:c r="E657" t="n">
        <x:v>1</x:v>
      </x:c>
      <x:c r="F657" t="str">
        <x:v>ROM-015</x:v>
      </x:c>
      <x:c r="G657" t="n">
        <x:v>132</x:v>
      </x:c>
      <x:c r="H657" t="str">
        <x:v>CQ-A07</x:v>
      </x:c>
      <x:c r="I657" s="36" t="str">
        <x:v>Welche dieser Aussagen stammt aus Römer 15?</x:v>
      </x:c>
      <x:c r="J657" s="36" t="str"/>
      <x:c r="K657" s="36" t="str"/>
      <x:c r="L657" s="36" t="str">
        <x:v>REPO_VERIFIZIERT_FRAGEFORM</x:v>
      </x:c>
      <x:c r="M657" s="36" t="str">
        <x:v>ERSETZEN</x:v>
      </x:c>
      <x:c r="N657" s="36" t="str">
        <x:v>REPETITIVE_FRAGEFORM</x:v>
      </x:c>
      <x:c r="O657" s="36" t="str">
        <x:v>REINE_WIEDERERKENNUNG</x:v>
      </x:c>
      <x:c r="P657" s="36" t="str">
        <x:v>KERNAUSSAGE</x:v>
      </x:c>
      <x:c r="Q657" s="36" t="str">
        <x:v>Welche Verantwortung haben die „Starken“ gegenüber den „Schwachen“?</x:v>
      </x:c>
      <x:c r="R657" s="36" t="str">
        <x:v>Sie sollen deren Schwächen tragen und nicht nur sich selbst gefallen.</x:v>
      </x:c>
      <x:c r="S657" s="36" t="str">
        <x:v>Sie sollen sich von ihnen trennen.</x:v>
      </x:c>
      <x:c r="T657" s="36" t="str">
        <x:v>Sie sollen ihre Freiheit demonstrativ durchsetzen.</x:v>
      </x:c>
      <x:c r="U657" s="36" t="str">
        <x:v>Sie sollen jede Verantwortung abgeben.</x:v>
      </x:c>
      <x:c r="V657" s="36" t="n">
        <x:v>0</x:v>
      </x:c>
      <x:c r="W657" s="36" t="str">
        <x:f>CHOOSE(V657+1,R657,S657,T657,U657)</x:f>
        <x:v>Sie sollen deren Schwächen tragen und nicht nur sich selbst gefallen.</x:v>
      </x:c>
      <x:c r="X657" s="36" t="str">
        <x:v>Römer 15,1–6</x:v>
      </x:c>
      <x:c r="Y657" s="36" t="str">
        <x:v>Paulus nimmt Christus als Vorbild und verbindet Rücksichtnahme mit gemeinsamer Hoffnung und Einheit.</x:v>
      </x:c>
      <x:c r="Z657" s="36" t="str">
        <x:v>JA</x:v>
      </x:c>
      <x:c r="AA657" s="36" t="str">
        <x:v>JA</x:v>
      </x:c>
      <x:c r="AB657" s="36" t="str">
        <x:v>JA</x:v>
      </x:c>
      <x:c r="AC657" s="36" t="str">
        <x:v>JA</x:v>
      </x:c>
      <x:c r="AD657" s="36" t="str">
        <x:v>JA</x:v>
      </x:c>
      <x:c r="AE657" s="36" t="str">
        <x:v>JA</x:v>
      </x:c>
      <x:c r="AF657" s="36" t="str">
        <x:v>JA</x:v>
      </x:c>
      <x:c r="AG657" s="36" t="str">
        <x:v>FREIGEGEBEN</x:v>
      </x:c>
      <x:c r="AH657" s="36" t="str">
        <x:v>GPT-5.6 Sol · Buchprüfung Römer · L1912/OTB</x:v>
      </x:c>
      <x:c r="AI657" s="36" t="str">
        <x:v>FREIGEGEBEN</x:v>
      </x:c>
      <x:c r="AJ657" s="36" t="str">
        <x:v>Römer 15: repetitive Wiedererkennungsfrage durch KERNAUSSAGE-Frage ersetzt.</x:v>
      </x:c>
      <x:c r="AK657" s="36" t="str">
        <x:v>FaithPath repo develop/v4 · data/stories.json · data/bibles/l1912/ROM.json · data/bibles/otb/ROM.json</x:v>
      </x:c>
      <x:c r="AL657" t="str">
        <x:f>IF(AND(AG657="FREIGEGEBEN",AI657="FREIGEGEBEN",Q657&lt;&gt;"",R657&lt;&gt;"",S657&lt;&gt;"",T657&lt;&gt;"",U657&lt;&gt;"",ISNUMBER(V657),X657&lt;&gt;"",Y657&lt;&gt;"",AA657="JA",AB657="JA",AC657="JA",AD657="JA",AE657="JA",AF657="JA"),"JA","NEIN")</x:f>
        <x:v>JA</x:v>
      </x:c>
    </x:row>
    <x:row r="658">
      <x:c r="A658" t="str">
        <x:v>FP-0917</x:v>
      </x:c>
      <x:c r="B658" t="str">
        <x:v>ROM</x:v>
      </x:c>
      <x:c r="C658" t="str">
        <x:v>Römer</x:v>
      </x:c>
      <x:c r="D658" t="n">
        <x:v>15</x:v>
      </x:c>
      <x:c r="E658" t="n">
        <x:v>2</x:v>
      </x:c>
      <x:c r="F658" t="str">
        <x:v>ROM-015</x:v>
      </x:c>
      <x:c r="G658" t="n">
        <x:v>132</x:v>
      </x:c>
      <x:c r="H658" t="str">
        <x:v>CQ-A07</x:v>
      </x:c>
      <x:c r="I658" s="36" t="str">
        <x:v>Welche dieser Aussagen stammt aus Römer 15?</x:v>
      </x:c>
      <x:c r="J658" s="36" t="str"/>
      <x:c r="K658" s="36" t="str"/>
      <x:c r="L658" s="36" t="str">
        <x:v>REPO_VERIFIZIERT_FRAGEFORM</x:v>
      </x:c>
      <x:c r="M658" s="36" t="str">
        <x:v>ERSETZEN</x:v>
      </x:c>
      <x:c r="N658" s="36" t="str">
        <x:v>REPETITIVE_FRAGEFORM</x:v>
      </x:c>
      <x:c r="O658" s="36" t="str">
        <x:v>REINE_WIEDERERKENNUNG</x:v>
      </x:c>
      <x:c r="P658" s="36" t="str">
        <x:v>KERNAUSSAGE</x:v>
      </x:c>
      <x:c r="Q658" s="36" t="str">
        <x:v>Warum sollen die Glaubenden einander annehmen?</x:v>
      </x:c>
      <x:c r="R658" s="36" t="str">
        <x:v>Weil Unterschiede bedeutungslos sind.</x:v>
      </x:c>
      <x:c r="S658" s="36" t="str">
        <x:v>Wie Christus sie angenommen hat, zur Ehre Gottes.</x:v>
      </x:c>
      <x:c r="T658" s="36" t="str">
        <x:v>Nur weil Paulus es persönlich wünscht.</x:v>
      </x:c>
      <x:c r="U658" s="36" t="str">
        <x:v>Damit keine Gemeinde mehr eigene Entscheidungen trifft.</x:v>
      </x:c>
      <x:c r="V658" s="36" t="n">
        <x:v>1</x:v>
      </x:c>
      <x:c r="W658" s="36" t="str">
        <x:f>CHOOSE(V658+1,R658,S658,T658,U658)</x:f>
        <x:v>Wie Christus sie angenommen hat, zur Ehre Gottes.</x:v>
      </x:c>
      <x:c r="X658" s="36" t="str">
        <x:v>Römer 15,7–13</x:v>
      </x:c>
      <x:c r="Y658" s="36" t="str">
        <x:v>Paulus verbindet gegenseitige Annahme mit Christi Dienst und der Hoffnung für Juden und Völker.</x:v>
      </x:c>
      <x:c r="Z658" s="36" t="str">
        <x:v>JA</x:v>
      </x:c>
      <x:c r="AA658" s="36" t="str">
        <x:v>JA</x:v>
      </x:c>
      <x:c r="AB658" s="36" t="str">
        <x:v>JA</x:v>
      </x:c>
      <x:c r="AC658" s="36" t="str">
        <x:v>JA</x:v>
      </x:c>
      <x:c r="AD658" s="36" t="str">
        <x:v>JA</x:v>
      </x:c>
      <x:c r="AE658" s="36" t="str">
        <x:v>JA</x:v>
      </x:c>
      <x:c r="AF658" s="36" t="str">
        <x:v>JA</x:v>
      </x:c>
      <x:c r="AG658" s="36" t="str">
        <x:v>FREIGEGEBEN</x:v>
      </x:c>
      <x:c r="AH658" s="36" t="str">
        <x:v>GPT-5.6 Sol · Buchprüfung Römer · L1912/OTB</x:v>
      </x:c>
      <x:c r="AI658" s="36" t="str">
        <x:v>FREIGEGEBEN</x:v>
      </x:c>
      <x:c r="AJ658" s="36" t="str">
        <x:v>Römer 15: repetitive Wiedererkennungsfrage durch KERNAUSSAGE-Frage ersetzt.</x:v>
      </x:c>
      <x:c r="AK658" s="36" t="str">
        <x:v>FaithPath repo develop/v4 · data/stories.json · data/bibles/l1912/ROM.json · data/bibles/otb/ROM.json</x:v>
      </x:c>
      <x:c r="AL658" t="str">
        <x:f>IF(AND(AG658="FREIGEGEBEN",AI658="FREIGEGEBEN",Q658&lt;&gt;"",R658&lt;&gt;"",S658&lt;&gt;"",T658&lt;&gt;"",U658&lt;&gt;"",ISNUMBER(V658),X658&lt;&gt;"",Y658&lt;&gt;"",AA658="JA",AB658="JA",AC658="JA",AD658="JA",AE658="JA",AF658="JA"),"JA","NEIN")</x:f>
        <x:v>JA</x:v>
      </x:c>
    </x:row>
    <x:row r="659">
      <x:c r="A659" t="str">
        <x:v>FP-0918</x:v>
      </x:c>
      <x:c r="B659" t="str">
        <x:v>ROM</x:v>
      </x:c>
      <x:c r="C659" t="str">
        <x:v>Römer</x:v>
      </x:c>
      <x:c r="D659" t="n">
        <x:v>15</x:v>
      </x:c>
      <x:c r="E659" t="n">
        <x:v>3</x:v>
      </x:c>
      <x:c r="F659" t="str">
        <x:v>ROM-015</x:v>
      </x:c>
      <x:c r="G659" t="n">
        <x:v>132</x:v>
      </x:c>
      <x:c r="H659" t="str">
        <x:v>CQ-A07</x:v>
      </x:c>
      <x:c r="I659" s="36" t="str">
        <x:v>Welche dieser Aussagen stammt aus Römer 15?</x:v>
      </x:c>
      <x:c r="J659" s="36" t="str"/>
      <x:c r="K659" s="36" t="str"/>
      <x:c r="L659" s="36" t="str">
        <x:v>REPO_VERIFIZIERT_FRAGEFORM</x:v>
      </x:c>
      <x:c r="M659" s="36" t="str">
        <x:v>ERSETZEN</x:v>
      </x:c>
      <x:c r="N659" s="36" t="str">
        <x:v>REPETITIVE_FRAGEFORM</x:v>
      </x:c>
      <x:c r="O659" s="36" t="str">
        <x:v>REINE_WIEDERERKENNUNG</x:v>
      </x:c>
      <x:c r="P659" s="36" t="str">
        <x:v>ZUSAMMENHANG</x:v>
      </x:c>
      <x:c r="Q659" s="36" t="str">
        <x:v>Wie beschreibt Paulus seinen besonderen Dienst unter den Nichtjuden?</x:v>
      </x:c>
      <x:c r="R659" s="36" t="str">
        <x:v>Als politischen Auftrag Roms.</x:v>
      </x:c>
      <x:c r="S659" s="36" t="str">
        <x:v>Als Ersatz für die Gemeinde in Jerusalem.</x:v>
      </x:c>
      <x:c r="T659" s="36" t="str">
        <x:v>Als priesterlichen Dienst am Evangelium Gottes, damit die Völker zu einer Gott wohlgefälligen Gabe werden.</x:v>
      </x:c>
      <x:c r="U659" s="36" t="str">
        <x:v>Als Dienst ausschließlich an jüdischen Gemeinden.</x:v>
      </x:c>
      <x:c r="V659" s="36" t="n">
        <x:v>2</x:v>
      </x:c>
      <x:c r="W659" s="36" t="str">
        <x:f>CHOOSE(V659+1,R659,S659,T659,U659)</x:f>
        <x:v>Als priesterlichen Dienst am Evangelium Gottes, damit die Völker zu einer Gott wohlgefälligen Gabe werden.</x:v>
      </x:c>
      <x:c r="X659" s="36" t="str">
        <x:v>Römer 15,14–21</x:v>
      </x:c>
      <x:c r="Y659" s="36" t="str">
        <x:v>Paulus versteht seine Mission als von Christus gegebenen Dienst und möchte dort verkündigen, wo Christus noch nicht bekannt ist.</x:v>
      </x:c>
      <x:c r="Z659" s="36" t="str">
        <x:v>JA</x:v>
      </x:c>
      <x:c r="AA659" s="36" t="str">
        <x:v>JA</x:v>
      </x:c>
      <x:c r="AB659" s="36" t="str">
        <x:v>JA</x:v>
      </x:c>
      <x:c r="AC659" s="36" t="str">
        <x:v>JA</x:v>
      </x:c>
      <x:c r="AD659" s="36" t="str">
        <x:v>JA</x:v>
      </x:c>
      <x:c r="AE659" s="36" t="str">
        <x:v>JA</x:v>
      </x:c>
      <x:c r="AF659" s="36" t="str">
        <x:v>JA</x:v>
      </x:c>
      <x:c r="AG659" s="36" t="str">
        <x:v>FREIGEGEBEN</x:v>
      </x:c>
      <x:c r="AH659" s="36" t="str">
        <x:v>GPT-5.6 Sol · Buchprüfung Römer · L1912/OTB</x:v>
      </x:c>
      <x:c r="AI659" s="36" t="str">
        <x:v>FREIGEGEBEN</x:v>
      </x:c>
      <x:c r="AJ659" s="36" t="str">
        <x:v>Römer 15: repetitive Wiedererkennungsfrage durch ZUSAMMENHANG-Frage ersetzt.</x:v>
      </x:c>
      <x:c r="AK659" s="36" t="str">
        <x:v>FaithPath repo develop/v4 · data/stories.json · data/bibles/l1912/ROM.json · data/bibles/otb/ROM.json</x:v>
      </x:c>
      <x:c r="AL659" t="str">
        <x:f>IF(AND(AG659="FREIGEGEBEN",AI659="FREIGEGEBEN",Q659&lt;&gt;"",R659&lt;&gt;"",S659&lt;&gt;"",T659&lt;&gt;"",U659&lt;&gt;"",ISNUMBER(V659),X659&lt;&gt;"",Y659&lt;&gt;"",AA659="JA",AB659="JA",AC659="JA",AD659="JA",AE659="JA",AF659="JA"),"JA","NEIN")</x:f>
        <x:v>JA</x:v>
      </x:c>
    </x:row>
    <x:row r="660">
      <x:c r="A660" t="str">
        <x:v>FP-0919</x:v>
      </x:c>
      <x:c r="B660" t="str">
        <x:v>ROM</x:v>
      </x:c>
      <x:c r="C660" t="str">
        <x:v>Römer</x:v>
      </x:c>
      <x:c r="D660" t="n">
        <x:v>15</x:v>
      </x:c>
      <x:c r="E660" t="n">
        <x:v>4</x:v>
      </x:c>
      <x:c r="F660" t="str">
        <x:v>ROM-015</x:v>
      </x:c>
      <x:c r="G660" t="n">
        <x:v>132</x:v>
      </x:c>
      <x:c r="H660" t="str">
        <x:v>CQ-A07</x:v>
      </x:c>
      <x:c r="I660" s="36" t="str">
        <x:v>Welche dieser Aussagen stammt aus Römer 15?</x:v>
      </x:c>
      <x:c r="J660" s="36" t="str"/>
      <x:c r="K660" s="36" t="str"/>
      <x:c r="L660" s="36" t="str">
        <x:v>REPO_VERIFIZIERT_FRAGEFORM</x:v>
      </x:c>
      <x:c r="M660" s="36" t="str">
        <x:v>ERSETZEN</x:v>
      </x:c>
      <x:c r="N660" s="36" t="str">
        <x:v>REPETITIVE_FRAGEFORM</x:v>
      </x:c>
      <x:c r="O660" s="36" t="str">
        <x:v>REINE_WIEDERERKENNUNG</x:v>
      </x:c>
      <x:c r="P660" s="36" t="str">
        <x:v>GESCHEHEN</x:v>
      </x:c>
      <x:c r="Q660" s="36" t="str">
        <x:v>Welche Reisepläne nennt Paulus für die Zeit nach seinem Dienst in Jerusalem?</x:v>
      </x:c>
      <x:c r="R660" s="36" t="str">
        <x:v>Er will dauerhaft in Jerusalem bleiben.</x:v>
      </x:c>
      <x:c r="S660" s="36" t="str">
        <x:v>Er möchte nach Ägypten auswandern.</x:v>
      </x:c>
      <x:c r="T660" s="36" t="str">
        <x:v>Er plant, seinen Dienst vollständig zu beenden.</x:v>
      </x:c>
      <x:c r="U660" s="36" t="str">
        <x:v>Er möchte über Rom nach Spanien reisen.</x:v>
      </x:c>
      <x:c r="V660" s="36" t="n">
        <x:v>3</x:v>
      </x:c>
      <x:c r="W660" s="36" t="str">
        <x:f>CHOOSE(V660+1,R660,S660,T660,U660)</x:f>
        <x:v>Er möchte über Rom nach Spanien reisen.</x:v>
      </x:c>
      <x:c r="X660" s="36" t="str">
        <x:v>Römer 15,22–29</x:v>
      </x:c>
      <x:c r="Y660" s="36" t="str">
        <x:v>Paulus beschreibt Rom als Zwischenstation auf dem Weg zu einem geplanten Dienst in Spanien.</x:v>
      </x:c>
      <x:c r="Z660" s="36" t="str">
        <x:v>JA</x:v>
      </x:c>
      <x:c r="AA660" s="36" t="str">
        <x:v>JA</x:v>
      </x:c>
      <x:c r="AB660" s="36" t="str">
        <x:v>JA</x:v>
      </x:c>
      <x:c r="AC660" s="36" t="str">
        <x:v>JA</x:v>
      </x:c>
      <x:c r="AD660" s="36" t="str">
        <x:v>JA</x:v>
      </x:c>
      <x:c r="AE660" s="36" t="str">
        <x:v>JA</x:v>
      </x:c>
      <x:c r="AF660" s="36" t="str">
        <x:v>JA</x:v>
      </x:c>
      <x:c r="AG660" s="36" t="str">
        <x:v>FREIGEGEBEN</x:v>
      </x:c>
      <x:c r="AH660" s="36" t="str">
        <x:v>GPT-5.6 Sol · Buchprüfung Römer · L1912/OTB</x:v>
      </x:c>
      <x:c r="AI660" s="36" t="str">
        <x:v>FREIGEGEBEN</x:v>
      </x:c>
      <x:c r="AJ660" s="36" t="str">
        <x:v>Römer 15: repetitive Wiedererkennungsfrage durch GESCHEHEN-Frage ersetzt.</x:v>
      </x:c>
      <x:c r="AK660" s="36" t="str">
        <x:v>FaithPath repo develop/v4 · data/stories.json · data/bibles/l1912/ROM.json · data/bibles/otb/ROM.json</x:v>
      </x:c>
      <x:c r="AL660" t="str">
        <x:f>IF(AND(AG660="FREIGEGEBEN",AI660="FREIGEGEBEN",Q660&lt;&gt;"",R660&lt;&gt;"",S660&lt;&gt;"",T660&lt;&gt;"",U660&lt;&gt;"",ISNUMBER(V660),X660&lt;&gt;"",Y660&lt;&gt;"",AA660="JA",AB660="JA",AC660="JA",AD660="JA",AE660="JA",AF660="JA"),"JA","NEIN")</x:f>
        <x:v>JA</x:v>
      </x:c>
    </x:row>
    <x:row r="661">
      <x:c r="A661" t="str">
        <x:v>FP-0920</x:v>
      </x:c>
      <x:c r="B661" t="str">
        <x:v>ROM</x:v>
      </x:c>
      <x:c r="C661" t="str">
        <x:v>Römer</x:v>
      </x:c>
      <x:c r="D661" t="n">
        <x:v>15</x:v>
      </x:c>
      <x:c r="E661" t="n">
        <x:v>5</x:v>
      </x:c>
      <x:c r="F661" t="str">
        <x:v>ROM-015</x:v>
      </x:c>
      <x:c r="G661" t="n">
        <x:v>132</x:v>
      </x:c>
      <x:c r="H661" t="str">
        <x:v>CQ-A07</x:v>
      </x:c>
      <x:c r="I661" s="36" t="str">
        <x:v>Welche dieser Aussagen stammt aus Römer 15?</x:v>
      </x:c>
      <x:c r="J661" s="36" t="str"/>
      <x:c r="K661" s="36" t="str"/>
      <x:c r="L661" s="36" t="str">
        <x:v>REPO_VERIFIZIERT_FRAGEFORM</x:v>
      </x:c>
      <x:c r="M661" s="36" t="str">
        <x:v>ERSETZEN</x:v>
      </x:c>
      <x:c r="N661" s="36" t="str">
        <x:v>REPETITIVE_FRAGEFORM</x:v>
      </x:c>
      <x:c r="O661" s="36" t="str">
        <x:v>REINE_WIEDERERKENNUNG</x:v>
      </x:c>
      <x:c r="P661" s="36" t="str">
        <x:v>PERSON_AUSSAGE</x:v>
      </x:c>
      <x:c r="Q661" s="36" t="str">
        <x:v>Worum bittet Paulus die Gemeinde in Rom im Blick auf seine bevorstehende Reise?</x:v>
      </x:c>
      <x:c r="R661" s="36" t="str">
        <x:v>Sie soll im Gebet mit ihm kämpfen, damit er vor Gegnern bewahrt wird und sein Dienst angenommen wird.</x:v>
      </x:c>
      <x:c r="S661" s="36" t="str">
        <x:v>Sie soll ihm militärischen Schutz schicken.</x:v>
      </x:c>
      <x:c r="T661" s="36" t="str">
        <x:v>Sie soll seine Reise finanzieren, ohne zu beten.</x:v>
      </x:c>
      <x:c r="U661" s="36" t="str">
        <x:v>Sie soll ihn von der Reise abhalten.</x:v>
      </x:c>
      <x:c r="V661" s="36" t="n">
        <x:v>0</x:v>
      </x:c>
      <x:c r="W661" s="36" t="str">
        <x:f>CHOOSE(V661+1,R661,S661,T661,U661)</x:f>
        <x:v>Sie soll im Gebet mit ihm kämpfen, damit er vor Gegnern bewahrt wird und sein Dienst angenommen wird.</x:v>
      </x:c>
      <x:c r="X661" s="36" t="str">
        <x:v>Römer 15,30–33</x:v>
      </x:c>
      <x:c r="Y661" s="36" t="str">
        <x:v>Paulus bittet konkret um Fürbitte für Schutz, Annahme seines Dienstes und eine freudige Ankunft.</x:v>
      </x:c>
      <x:c r="Z661" s="36" t="str">
        <x:v>JA</x:v>
      </x:c>
      <x:c r="AA661" s="36" t="str">
        <x:v>JA</x:v>
      </x:c>
      <x:c r="AB661" s="36" t="str">
        <x:v>JA</x:v>
      </x:c>
      <x:c r="AC661" s="36" t="str">
        <x:v>JA</x:v>
      </x:c>
      <x:c r="AD661" s="36" t="str">
        <x:v>JA</x:v>
      </x:c>
      <x:c r="AE661" s="36" t="str">
        <x:v>JA</x:v>
      </x:c>
      <x:c r="AF661" s="36" t="str">
        <x:v>JA</x:v>
      </x:c>
      <x:c r="AG661" s="36" t="str">
        <x:v>FREIGEGEBEN</x:v>
      </x:c>
      <x:c r="AH661" s="36" t="str">
        <x:v>GPT-5.6 Sol · Buchprüfung Römer · L1912/OTB</x:v>
      </x:c>
      <x:c r="AI661" s="36" t="str">
        <x:v>FREIGEGEBEN</x:v>
      </x:c>
      <x:c r="AJ661" s="36" t="str">
        <x:v>Römer 15: repetitive Wiedererkennungsfrage durch PERSON_AUSSAGE-Frage ersetzt.</x:v>
      </x:c>
      <x:c r="AK661" s="36" t="str">
        <x:v>FaithPath repo develop/v4 · data/stories.json · data/bibles/l1912/ROM.json · data/bibles/otb/ROM.json</x:v>
      </x:c>
      <x:c r="AL661" t="str">
        <x:f>IF(AND(AG661="FREIGEGEBEN",AI661="FREIGEGEBEN",Q661&lt;&gt;"",R661&lt;&gt;"",S661&lt;&gt;"",T661&lt;&gt;"",U661&lt;&gt;"",ISNUMBER(V661),X661&lt;&gt;"",Y661&lt;&gt;"",AA661="JA",AB661="JA",AC661="JA",AD661="JA",AE661="JA",AF661="JA"),"JA","NEIN")</x:f>
        <x:v>JA</x:v>
      </x:c>
    </x:row>
    <x:row r="662">
      <x:c r="A662" t="str">
        <x:v>FP-0921</x:v>
      </x:c>
      <x:c r="B662" t="str">
        <x:v>ROM</x:v>
      </x:c>
      <x:c r="C662" t="str">
        <x:v>Römer</x:v>
      </x:c>
      <x:c r="D662" t="n">
        <x:v>16</x:v>
      </x:c>
      <x:c r="E662" t="n">
        <x:v>1</x:v>
      </x:c>
      <x:c r="F662" t="str">
        <x:v>ROM-016</x:v>
      </x:c>
      <x:c r="G662" t="n">
        <x:v>133</x:v>
      </x:c>
      <x:c r="H662" t="str">
        <x:v>CQ-A07</x:v>
      </x:c>
      <x:c r="I662" s="36" t="str">
        <x:v>Welche dieser Aussagen stammt aus Römer 16?</x:v>
      </x:c>
      <x:c r="J662" s="36" t="str"/>
      <x:c r="K662" s="36" t="str"/>
      <x:c r="L662" s="36" t="str">
        <x:v>REPO_VERIFIZIERT_FRAGEFORM</x:v>
      </x:c>
      <x:c r="M662" s="36" t="str">
        <x:v>ERSETZEN</x:v>
      </x:c>
      <x:c r="N662" s="36" t="str">
        <x:v>REPETITIVE_FRAGEFORM</x:v>
      </x:c>
      <x:c r="O662" s="36" t="str">
        <x:v>REINE_WIEDERERKENNUNG</x:v>
      </x:c>
      <x:c r="P662" s="36" t="str">
        <x:v>PERSON_AUSSAGE</x:v>
      </x:c>
      <x:c r="Q662" s="36" t="str">
        <x:v>Wie stellt Paulus Phöbe der Gemeinde in Rom vor?</x:v>
      </x:c>
      <x:c r="R662" s="36" t="str">
        <x:v>Als römische Beamtin.</x:v>
      </x:c>
      <x:c r="S662" s="36" t="str">
        <x:v>Als Schwester und Dienerin der Gemeinde in Kenchreä, die Unterstützung verdient.</x:v>
      </x:c>
      <x:c r="T662" s="36" t="str">
        <x:v>Als seine leibliche Schwester.</x:v>
      </x:c>
      <x:c r="U662" s="36" t="str">
        <x:v>Als Leiterin der Gemeinde in Jerusalem.</x:v>
      </x:c>
      <x:c r="V662" s="36" t="n">
        <x:v>1</x:v>
      </x:c>
      <x:c r="W662" s="36" t="str">
        <x:f>CHOOSE(V662+1,R662,S662,T662,U662)</x:f>
        <x:v>Als Schwester und Dienerin der Gemeinde in Kenchreä, die Unterstützung verdient.</x:v>
      </x:c>
      <x:c r="X662" s="36" t="str">
        <x:v>Römer 16,1–2</x:v>
      </x:c>
      <x:c r="Y662" s="36" t="str">
        <x:v>Paulus empfiehlt Phöbe ausdrücklich und bittet die Gemeinde, sie würdig aufzunehmen und ihr beizustehen.</x:v>
      </x:c>
      <x:c r="Z662" s="36" t="str">
        <x:v>JA</x:v>
      </x:c>
      <x:c r="AA662" s="36" t="str">
        <x:v>JA</x:v>
      </x:c>
      <x:c r="AB662" s="36" t="str">
        <x:v>JA</x:v>
      </x:c>
      <x:c r="AC662" s="36" t="str">
        <x:v>JA</x:v>
      </x:c>
      <x:c r="AD662" s="36" t="str">
        <x:v>JA</x:v>
      </x:c>
      <x:c r="AE662" s="36" t="str">
        <x:v>JA</x:v>
      </x:c>
      <x:c r="AF662" s="36" t="str">
        <x:v>JA</x:v>
      </x:c>
      <x:c r="AG662" s="36" t="str">
        <x:v>FREIGEGEBEN</x:v>
      </x:c>
      <x:c r="AH662" s="36" t="str">
        <x:v>GPT-5.6 Sol · Buchprüfung Römer · L1912/OTB</x:v>
      </x:c>
      <x:c r="AI662" s="36" t="str">
        <x:v>FREIGEGEBEN</x:v>
      </x:c>
      <x:c r="AJ662" s="36" t="str">
        <x:v>Römer 16: repetitive Wiedererkennungsfrage durch PERSON_AUSSAGE-Frage ersetzt.</x:v>
      </x:c>
      <x:c r="AK662" s="36" t="str">
        <x:v>FaithPath repo develop/v4 · data/stories.json · data/bibles/l1912/ROM.json · data/bibles/otb/ROM.json</x:v>
      </x:c>
      <x:c r="AL662" t="str">
        <x:f>IF(AND(AG662="FREIGEGEBEN",AI662="FREIGEGEBEN",Q662&lt;&gt;"",R662&lt;&gt;"",S662&lt;&gt;"",T662&lt;&gt;"",U662&lt;&gt;"",ISNUMBER(V662),X662&lt;&gt;"",Y662&lt;&gt;"",AA662="JA",AB662="JA",AC662="JA",AD662="JA",AE662="JA",AF662="JA"),"JA","NEIN")</x:f>
        <x:v>JA</x:v>
      </x:c>
    </x:row>
    <x:row r="663">
      <x:c r="A663" t="str">
        <x:v>FP-0922</x:v>
      </x:c>
      <x:c r="B663" t="str">
        <x:v>ROM</x:v>
      </x:c>
      <x:c r="C663" t="str">
        <x:v>Römer</x:v>
      </x:c>
      <x:c r="D663" t="n">
        <x:v>16</x:v>
      </x:c>
      <x:c r="E663" t="n">
        <x:v>2</x:v>
      </x:c>
      <x:c r="F663" t="str">
        <x:v>ROM-016</x:v>
      </x:c>
      <x:c r="G663" t="n">
        <x:v>133</x:v>
      </x:c>
      <x:c r="H663" t="str">
        <x:v>CQ-A07</x:v>
      </x:c>
      <x:c r="I663" s="36" t="str">
        <x:v>Welche dieser Aussagen stammt aus Römer 16?</x:v>
      </x:c>
      <x:c r="J663" s="36" t="str"/>
      <x:c r="K663" s="36" t="str"/>
      <x:c r="L663" s="36" t="str">
        <x:v>REPO_VERIFIZIERT_FRAGEFORM</x:v>
      </x:c>
      <x:c r="M663" s="36" t="str">
        <x:v>ERSETZEN</x:v>
      </x:c>
      <x:c r="N663" s="36" t="str">
        <x:v>REPETITIVE_FRAGEFORM</x:v>
      </x:c>
      <x:c r="O663" s="36" t="str">
        <x:v>REINE_WIEDERERKENNUNG</x:v>
      </x:c>
      <x:c r="P663" s="36" t="str">
        <x:v>ZUSAMMENHANG</x:v>
      </x:c>
      <x:c r="Q663" s="36" t="str">
        <x:v>Warum dankt Paulus Priscilla und Aquila besonders?</x:v>
      </x:c>
      <x:c r="R663" s="36" t="str">
        <x:v>Sie haben ihm römisches Bürgerrecht verschafft.</x:v>
      </x:c>
      <x:c r="S663" s="36" t="str">
        <x:v>Sie haben den Tempel finanziert.</x:v>
      </x:c>
      <x:c r="T663" s="36" t="str">
        <x:v>Sie haben für sein Leben ihren eigenen Hals riskiert und dienen mit einer Hausgemeinde.</x:v>
      </x:c>
      <x:c r="U663" s="36" t="str">
        <x:v>Sie haben Paulus aus dem Gefängnis in Rom befreit.</x:v>
      </x:c>
      <x:c r="V663" s="36" t="n">
        <x:v>2</x:v>
      </x:c>
      <x:c r="W663" s="36" t="str">
        <x:f>CHOOSE(V663+1,R663,S663,T663,U663)</x:f>
        <x:v>Sie haben für sein Leben ihren eigenen Hals riskiert und dienen mit einer Hausgemeinde.</x:v>
      </x:c>
      <x:c r="X663" s="36" t="str">
        <x:v>Römer 16,3–5</x:v>
      </x:c>
      <x:c r="Y663" s="36" t="str">
        <x:v>Paulus würdigt das Ehepaar als Mitarbeiter, die für ihn ihr Leben riskiert haben; in ihrem Haus trifft sich eine Gemeinde.</x:v>
      </x:c>
      <x:c r="Z663" s="36" t="str">
        <x:v>JA</x:v>
      </x:c>
      <x:c r="AA663" s="36" t="str">
        <x:v>JA</x:v>
      </x:c>
      <x:c r="AB663" s="36" t="str">
        <x:v>JA</x:v>
      </x:c>
      <x:c r="AC663" s="36" t="str">
        <x:v>JA</x:v>
      </x:c>
      <x:c r="AD663" s="36" t="str">
        <x:v>JA</x:v>
      </x:c>
      <x:c r="AE663" s="36" t="str">
        <x:v>JA</x:v>
      </x:c>
      <x:c r="AF663" s="36" t="str">
        <x:v>JA</x:v>
      </x:c>
      <x:c r="AG663" s="36" t="str">
        <x:v>FREIGEGEBEN</x:v>
      </x:c>
      <x:c r="AH663" s="36" t="str">
        <x:v>GPT-5.6 Sol · Buchprüfung Römer · L1912/OTB</x:v>
      </x:c>
      <x:c r="AI663" s="36" t="str">
        <x:v>FREIGEGEBEN</x:v>
      </x:c>
      <x:c r="AJ663" s="36" t="str">
        <x:v>Römer 16: repetitive Wiedererkennungsfrage durch ZUSAMMENHANG-Frage ersetzt.</x:v>
      </x:c>
      <x:c r="AK663" s="36" t="str">
        <x:v>FaithPath repo develop/v4 · data/stories.json · data/bibles/l1912/ROM.json · data/bibles/otb/ROM.json</x:v>
      </x:c>
      <x:c r="AL663" t="str">
        <x:f>IF(AND(AG663="FREIGEGEBEN",AI663="FREIGEGEBEN",Q663&lt;&gt;"",R663&lt;&gt;"",S663&lt;&gt;"",T663&lt;&gt;"",U663&lt;&gt;"",ISNUMBER(V663),X663&lt;&gt;"",Y663&lt;&gt;"",AA663="JA",AB663="JA",AC663="JA",AD663="JA",AE663="JA",AF663="JA"),"JA","NEIN")</x:f>
        <x:v>JA</x:v>
      </x:c>
    </x:row>
    <x:row r="664">
      <x:c r="A664" t="str">
        <x:v>FP-0923</x:v>
      </x:c>
      <x:c r="B664" t="str">
        <x:v>ROM</x:v>
      </x:c>
      <x:c r="C664" t="str">
        <x:v>Römer</x:v>
      </x:c>
      <x:c r="D664" t="n">
        <x:v>16</x:v>
      </x:c>
      <x:c r="E664" t="n">
        <x:v>3</x:v>
      </x:c>
      <x:c r="F664" t="str">
        <x:v>ROM-016</x:v>
      </x:c>
      <x:c r="G664" t="n">
        <x:v>133</x:v>
      </x:c>
      <x:c r="H664" t="str">
        <x:v>CQ-A07</x:v>
      </x:c>
      <x:c r="I664" s="36" t="str">
        <x:v>Welche dieser Aussagen stammt aus Römer 16?</x:v>
      </x:c>
      <x:c r="J664" s="36" t="str"/>
      <x:c r="K664" s="36" t="str"/>
      <x:c r="L664" s="36" t="str">
        <x:v>REPO_VERIFIZIERT_FRAGEFORM</x:v>
      </x:c>
      <x:c r="M664" s="36" t="str">
        <x:v>ERSETZEN</x:v>
      </x:c>
      <x:c r="N664" s="36" t="str">
        <x:v>REPETITIVE_FRAGEFORM</x:v>
      </x:c>
      <x:c r="O664" s="36" t="str">
        <x:v>REINE_WIEDERERKENNUNG</x:v>
      </x:c>
      <x:c r="P664" s="36" t="str">
        <x:v>KERNAUSSAGE</x:v>
      </x:c>
      <x:c r="Q664" s="36" t="str">
        <x:v>Wie sollen die Römer mit Menschen umgehen, die entgegen der empfangenen Lehre Spaltungen und Ärgernisse verursachen?</x:v>
      </x:c>
      <x:c r="R664" s="36" t="str">
        <x:v>Sie sollen jede Lehre ungeprüft akzeptieren.</x:v>
      </x:c>
      <x:c r="S664" s="36" t="str">
        <x:v>Sie sollen ihnen automatisch Leitungsverantwortung geben.</x:v>
      </x:c>
      <x:c r="T664" s="36" t="str">
        <x:v>Sie sollen überhaupt nicht mehr miteinander reden.</x:v>
      </x:c>
      <x:c r="U664" s="36" t="str">
        <x:v>Sie sollen aufmerksam sein und sich von solchen Einflüssen fernhalten.</x:v>
      </x:c>
      <x:c r="V664" s="36" t="n">
        <x:v>3</x:v>
      </x:c>
      <x:c r="W664" s="36" t="str">
        <x:f>CHOOSE(V664+1,R664,S664,T664,U664)</x:f>
        <x:v>Sie sollen aufmerksam sein und sich von solchen Einflüssen fernhalten.</x:v>
      </x:c>
      <x:c r="X664" s="36" t="str">
        <x:v>Römer 16,17–20</x:v>
      </x:c>
      <x:c r="Y664" s="36" t="str">
        <x:v>Paulus warnt vor spaltenden Lehrern und verbindet Wachsamkeit mit der Hoffnung, dass Gott den Satan zertreten wird.</x:v>
      </x:c>
      <x:c r="Z664" s="36" t="str">
        <x:v>JA</x:v>
      </x:c>
      <x:c r="AA664" s="36" t="str">
        <x:v>JA</x:v>
      </x:c>
      <x:c r="AB664" s="36" t="str">
        <x:v>JA</x:v>
      </x:c>
      <x:c r="AC664" s="36" t="str">
        <x:v>JA</x:v>
      </x:c>
      <x:c r="AD664" s="36" t="str">
        <x:v>JA</x:v>
      </x:c>
      <x:c r="AE664" s="36" t="str">
        <x:v>JA</x:v>
      </x:c>
      <x:c r="AF664" s="36" t="str">
        <x:v>JA</x:v>
      </x:c>
      <x:c r="AG664" s="36" t="str">
        <x:v>FREIGEGEBEN</x:v>
      </x:c>
      <x:c r="AH664" s="36" t="str">
        <x:v>GPT-5.6 Sol · Buchprüfung Römer · L1912/OTB</x:v>
      </x:c>
      <x:c r="AI664" s="36" t="str">
        <x:v>FREIGEGEBEN</x:v>
      </x:c>
      <x:c r="AJ664" s="36" t="str">
        <x:v>Römer 16: repetitive Wiedererkennungsfrage durch KERNAUSSAGE-Frage ersetzt.</x:v>
      </x:c>
      <x:c r="AK664" s="36" t="str">
        <x:v>FaithPath repo develop/v4 · data/stories.json · data/bibles/l1912/ROM.json · data/bibles/otb/ROM.json</x:v>
      </x:c>
      <x:c r="AL664" t="str">
        <x:f>IF(AND(AG664="FREIGEGEBEN",AI664="FREIGEGEBEN",Q664&lt;&gt;"",R664&lt;&gt;"",S664&lt;&gt;"",T664&lt;&gt;"",U664&lt;&gt;"",ISNUMBER(V664),X664&lt;&gt;"",Y664&lt;&gt;"",AA664="JA",AB664="JA",AC664="JA",AD664="JA",AE664="JA",AF664="JA"),"JA","NEIN")</x:f>
        <x:v>JA</x:v>
      </x:c>
    </x:row>
    <x:row r="665">
      <x:c r="A665" t="str">
        <x:v>FP-0924</x:v>
      </x:c>
      <x:c r="B665" t="str">
        <x:v>ROM</x:v>
      </x:c>
      <x:c r="C665" t="str">
        <x:v>Römer</x:v>
      </x:c>
      <x:c r="D665" t="n">
        <x:v>16</x:v>
      </x:c>
      <x:c r="E665" t="n">
        <x:v>4</x:v>
      </x:c>
      <x:c r="F665" t="str">
        <x:v>ROM-016</x:v>
      </x:c>
      <x:c r="G665" t="n">
        <x:v>133</x:v>
      </x:c>
      <x:c r="H665" t="str">
        <x:v>CQ-A07</x:v>
      </x:c>
      <x:c r="I665" s="36" t="str">
        <x:v>Welche dieser Aussagen stammt aus Römer 16?</x:v>
      </x:c>
      <x:c r="J665" s="36" t="str"/>
      <x:c r="K665" s="36" t="str"/>
      <x:c r="L665" s="36" t="str">
        <x:v>REPO_VERIFIZIERT_FRAGEFORM</x:v>
      </x:c>
      <x:c r="M665" s="36" t="str">
        <x:v>ERSETZEN</x:v>
      </x:c>
      <x:c r="N665" s="36" t="str">
        <x:v>REPETITIVE_FRAGEFORM</x:v>
      </x:c>
      <x:c r="O665" s="36" t="str">
        <x:v>REINE_WIEDERERKENNUNG</x:v>
      </x:c>
      <x:c r="P665" s="36" t="str">
        <x:v>DETAIL</x:v>
      </x:c>
      <x:c r="Q665" s="36" t="str">
        <x:v>Wer nennt sich in den Schlussgrüßen ausdrücklich als derjenige, der den Brief niedergeschrieben hat?</x:v>
      </x:c>
      <x:c r="R665" s="36" t="str">
        <x:v>Tertius.</x:v>
      </x:c>
      <x:c r="S665" s="36" t="str">
        <x:v>Timotheus.</x:v>
      </x:c>
      <x:c r="T665" s="36" t="str">
        <x:v>Gajus.</x:v>
      </x:c>
      <x:c r="U665" s="36" t="str">
        <x:v>Sosipater.</x:v>
      </x:c>
      <x:c r="V665" s="36" t="n">
        <x:v>0</x:v>
      </x:c>
      <x:c r="W665" s="36" t="str">
        <x:f>CHOOSE(V665+1,R665,S665,T665,U665)</x:f>
        <x:v>Tertius.</x:v>
      </x:c>
      <x:c r="X665" s="36" t="str">
        <x:v>Römer 16,21–24</x:v>
      </x:c>
      <x:c r="Y665" s="36" t="str">
        <x:v>Tertius fügt einen eigenen Gruß ein und sagt, dass er den Brief geschrieben beziehungsweise niedergeschrieben hat.</x:v>
      </x:c>
      <x:c r="Z665" s="36" t="str">
        <x:v>JA</x:v>
      </x:c>
      <x:c r="AA665" s="36" t="str">
        <x:v>JA</x:v>
      </x:c>
      <x:c r="AB665" s="36" t="str">
        <x:v>JA</x:v>
      </x:c>
      <x:c r="AC665" s="36" t="str">
        <x:v>JA</x:v>
      </x:c>
      <x:c r="AD665" s="36" t="str">
        <x:v>JA</x:v>
      </x:c>
      <x:c r="AE665" s="36" t="str">
        <x:v>JA</x:v>
      </x:c>
      <x:c r="AF665" s="36" t="str">
        <x:v>JA</x:v>
      </x:c>
      <x:c r="AG665" s="36" t="str">
        <x:v>FREIGEGEBEN</x:v>
      </x:c>
      <x:c r="AH665" s="36" t="str">
        <x:v>GPT-5.6 Sol · Buchprüfung Römer · L1912/OTB</x:v>
      </x:c>
      <x:c r="AI665" s="36" t="str">
        <x:v>FREIGEGEBEN</x:v>
      </x:c>
      <x:c r="AJ665" s="36" t="str">
        <x:v>Römer 16: repetitive Wiedererkennungsfrage durch DETAIL-Frage ersetzt.</x:v>
      </x:c>
      <x:c r="AK665" s="36" t="str">
        <x:v>FaithPath repo develop/v4 · data/stories.json · data/bibles/l1912/ROM.json · data/bibles/otb/ROM.json</x:v>
      </x:c>
      <x:c r="AL665" t="str">
        <x:f>IF(AND(AG665="FREIGEGEBEN",AI665="FREIGEGEBEN",Q665&lt;&gt;"",R665&lt;&gt;"",S665&lt;&gt;"",T665&lt;&gt;"",U665&lt;&gt;"",ISNUMBER(V665),X665&lt;&gt;"",Y665&lt;&gt;"",AA665="JA",AB665="JA",AC665="JA",AD665="JA",AE665="JA",AF665="JA"),"JA","NEIN")</x:f>
        <x:v>JA</x:v>
      </x:c>
    </x:row>
    <x:row r="666">
      <x:c r="A666" t="str">
        <x:v>FP-0925</x:v>
      </x:c>
      <x:c r="B666" t="str">
        <x:v>ROM</x:v>
      </x:c>
      <x:c r="C666" t="str">
        <x:v>Römer</x:v>
      </x:c>
      <x:c r="D666" t="n">
        <x:v>16</x:v>
      </x:c>
      <x:c r="E666" t="n">
        <x:v>5</x:v>
      </x:c>
      <x:c r="F666" t="str">
        <x:v>ROM-016</x:v>
      </x:c>
      <x:c r="G666" t="n">
        <x:v>133</x:v>
      </x:c>
      <x:c r="H666" t="str">
        <x:v>CQ-A07</x:v>
      </x:c>
      <x:c r="I666" s="36" t="str">
        <x:v>Welche dieser Aussagen stammt aus Römer 16?</x:v>
      </x:c>
      <x:c r="J666" s="36" t="str"/>
      <x:c r="K666" s="36" t="str"/>
      <x:c r="L666" s="36" t="str">
        <x:v>REPO_VERIFIZIERT_FRAGEFORM</x:v>
      </x:c>
      <x:c r="M666" s="36" t="str">
        <x:v>ERSETZEN</x:v>
      </x:c>
      <x:c r="N666" s="36" t="str">
        <x:v>REPETITIVE_FRAGEFORM</x:v>
      </x:c>
      <x:c r="O666" s="36" t="str">
        <x:v>REINE_WIEDERERKENNUNG</x:v>
      </x:c>
      <x:c r="P666" s="36" t="str">
        <x:v>KERNAUSSAGE</x:v>
      </x:c>
      <x:c r="Q666" s="36" t="str">
        <x:v>Wem gilt der abschließende Lobpreis des Römerbriefs?</x:v>
      </x:c>
      <x:c r="R666" s="36" t="str">
        <x:v>Paulus selbst.</x:v>
      </x:c>
      <x:c r="S666" s="36" t="str">
        <x:v>Dem Gott, der die Glaubenden durch das Evangelium von Jesus Christus stärken kann.</x:v>
      </x:c>
      <x:c r="T666" s="36" t="str">
        <x:v>Der Gemeinde in Jerusalem.</x:v>
      </x:c>
      <x:c r="U666" s="36" t="str">
        <x:v>Dem römischen Kaiser.</x:v>
      </x:c>
      <x:c r="V666" s="36" t="n">
        <x:v>1</x:v>
      </x:c>
      <x:c r="W666" s="36" t="str">
        <x:f>CHOOSE(V666+1,R666,S666,T666,U666)</x:f>
        <x:v>Dem Gott, der die Glaubenden durch das Evangelium von Jesus Christus stärken kann.</x:v>
      </x:c>
      <x:c r="X666" s="36" t="str">
        <x:v>Römer 16,25–27</x:v>
      </x:c>
      <x:c r="Y666" s="36" t="str">
        <x:v>Paulus beendet den Brief mit einer Doxologie an den allein weisen Gott, der durch das Evangelium stärkt.</x:v>
      </x:c>
      <x:c r="Z666" s="36" t="str">
        <x:v>JA</x:v>
      </x:c>
      <x:c r="AA666" s="36" t="str">
        <x:v>JA</x:v>
      </x:c>
      <x:c r="AB666" s="36" t="str">
        <x:v>JA</x:v>
      </x:c>
      <x:c r="AC666" s="36" t="str">
        <x:v>JA</x:v>
      </x:c>
      <x:c r="AD666" s="36" t="str">
        <x:v>JA</x:v>
      </x:c>
      <x:c r="AE666" s="36" t="str">
        <x:v>JA</x:v>
      </x:c>
      <x:c r="AF666" s="36" t="str">
        <x:v>JA</x:v>
      </x:c>
      <x:c r="AG666" s="36" t="str">
        <x:v>FREIGEGEBEN</x:v>
      </x:c>
      <x:c r="AH666" s="36" t="str">
        <x:v>GPT-5.6 Sol · Buchprüfung Römer · L1912/OTB</x:v>
      </x:c>
      <x:c r="AI666" s="36" t="str">
        <x:v>FREIGEGEBEN</x:v>
      </x:c>
      <x:c r="AJ666" s="36" t="str">
        <x:v>Römer 16: repetitive Wiedererkennungsfrage durch KERNAUSSAGE-Frage ersetzt.</x:v>
      </x:c>
      <x:c r="AK666" s="36" t="str">
        <x:v>FaithPath repo develop/v4 · data/stories.json · data/bibles/l1912/ROM.json · data/bibles/otb/ROM.json</x:v>
      </x:c>
      <x:c r="AL666" t="str">
        <x:f>IF(AND(AG666="FREIGEGEBEN",AI666="FREIGEGEBEN",Q666&lt;&gt;"",R666&lt;&gt;"",S666&lt;&gt;"",T666&lt;&gt;"",U666&lt;&gt;"",ISNUMBER(V666),X666&lt;&gt;"",Y666&lt;&gt;"",AA666="JA",AB666="JA",AC666="JA",AD666="JA",AE666="JA",AF666="JA"),"JA","NEIN")</x:f>
        <x:v>JA</x:v>
      </x:c>
    </x:row>
    <x:row r="667">
      <x:c r="A667" t="str">
        <x:v>FP-0926</x:v>
      </x:c>
      <x:c r="B667" t="str">
        <x:v>1CO</x:v>
      </x:c>
      <x:c r="C667" t="str">
        <x:v>1. Korinther</x:v>
      </x:c>
      <x:c r="D667" t="n">
        <x:v>1</x:v>
      </x:c>
      <x:c r="E667" t="n">
        <x:v>1</x:v>
      </x:c>
      <x:c r="F667" t="str">
        <x:v>1CO-001</x:v>
      </x:c>
      <x:c r="G667" t="n">
        <x:v>134</x:v>
      </x:c>
      <x:c r="H667" t="str">
        <x:v>CQ-A07</x:v>
      </x:c>
      <x:c r="I667" s="36" t="str">
        <x:v>Welche dieser Aussagen stammt aus 1. Korinther 1?</x:v>
      </x:c>
      <x:c r="J667" s="36" t="str"/>
      <x:c r="K667" s="36" t="str"/>
      <x:c r="L667" s="36" t="str">
        <x:v>REPO_VERIFIZIERT_FRAGEFORM</x:v>
      </x:c>
      <x:c r="M667" s="36" t="str">
        <x:v>ERSETZEN</x:v>
      </x:c>
      <x:c r="N667" s="36" t="str">
        <x:v>REPETITIVE_FRAGEFORM</x:v>
      </x:c>
      <x:c r="O667" s="36" t="str">
        <x:v>REINE_WIEDERERKENNUNG</x:v>
      </x:c>
      <x:c r="P667" s="36" t="str">
        <x:v>ZUSAMMENHANG</x:v>
      </x:c>
      <x:c r="Q667" s="36" t="str">
        <x:v>Welches Problem spricht Paulus mit den Gruppen „Ich gehöre zu Paulus“, „zu Apollos“ oder „zu Kephas“ an?</x:v>
      </x:c>
      <x:c r="R667" s="36" t="str">
        <x:v>Unterschiedliche Reisepläne der Apostel.</x:v>
      </x:c>
      <x:c r="S667" s="36" t="str">
        <x:v>Eine Debatte über Speisegebote.</x:v>
      </x:c>
      <x:c r="T667" s="36" t="str">
        <x:v>Die Frage, wer taufen darf.</x:v>
      </x:c>
      <x:c r="U667" s="36" t="str">
        <x:v>Spaltungen in der Gemeinde, die Christus nicht zerteilen darf.</x:v>
      </x:c>
      <x:c r="V667" s="36" t="n">
        <x:v>3</x:v>
      </x:c>
      <x:c r="W667" s="36" t="str">
        <x:f>CHOOSE(V667+1,R667,S667,T667,U667)</x:f>
        <x:v>Spaltungen in der Gemeinde, die Christus nicht zerteilen darf.</x:v>
      </x:c>
      <x:c r="X667" s="36" t="str">
        <x:v>1. Korinther 1,10–13</x:v>
      </x:c>
      <x:c r="Y667" s="36" t="str">
        <x:v>Paulus ruft zu Einmütigkeit auf und kritisiert Personenkulte, weil Christus nicht geteilt ist.</x:v>
      </x:c>
      <x:c r="Z667" s="36" t="str">
        <x:v>JA</x:v>
      </x:c>
      <x:c r="AA667" s="36" t="str">
        <x:v>JA</x:v>
      </x:c>
      <x:c r="AB667" s="36" t="str">
        <x:v>JA</x:v>
      </x:c>
      <x:c r="AC667" s="36" t="str">
        <x:v>JA</x:v>
      </x:c>
      <x:c r="AD667" s="36" t="str">
        <x:v>JA</x:v>
      </x:c>
      <x:c r="AE667" s="36" t="str">
        <x:v>JA</x:v>
      </x:c>
      <x:c r="AF667" s="36" t="str">
        <x:v>JA</x:v>
      </x:c>
      <x:c r="AG667" s="36" t="str">
        <x:v>FREIGEGEBEN</x:v>
      </x:c>
      <x:c r="AH667" s="36" t="str">
        <x:v>GPT-5.6 Sol · Buchprüfung 1. Korinther · L1912/OTB</x:v>
      </x:c>
      <x:c r="AI667" s="36" t="str">
        <x:v>FREIGEGEBEN</x:v>
      </x:c>
      <x:c r="AJ667" s="36" t="str">
        <x:v>1. Korinther 1: repetitive Wiedererkennungsfrage durch ZUSAMMENHANG-Frage ersetzt.</x:v>
      </x:c>
      <x:c r="AK667" s="36" t="str">
        <x:v>FaithPath repo develop/v4 · data/stories.json · data/bibles/l1912/1CO.json · data/bibles/otb/1CO.json</x:v>
      </x:c>
      <x:c r="AL667" t="str">
        <x:f>IF(AND(AG667="FREIGEGEBEN",AI667="FREIGEGEBEN",Q667&lt;&gt;"",R667&lt;&gt;"",S667&lt;&gt;"",T667&lt;&gt;"",U667&lt;&gt;"",ISNUMBER(V667),X667&lt;&gt;"",Y667&lt;&gt;"",AA667="JA",AB667="JA",AC667="JA",AD667="JA",AE667="JA",AF667="JA"),"JA","NEIN")</x:f>
        <x:v>JA</x:v>
      </x:c>
    </x:row>
    <x:row r="668">
      <x:c r="A668" t="str">
        <x:v>FP-0927</x:v>
      </x:c>
      <x:c r="B668" t="str">
        <x:v>1CO</x:v>
      </x:c>
      <x:c r="C668" t="str">
        <x:v>1. Korinther</x:v>
      </x:c>
      <x:c r="D668" t="n">
        <x:v>1</x:v>
      </x:c>
      <x:c r="E668" t="n">
        <x:v>2</x:v>
      </x:c>
      <x:c r="F668" t="str">
        <x:v>1CO-001</x:v>
      </x:c>
      <x:c r="G668" t="n">
        <x:v>134</x:v>
      </x:c>
      <x:c r="H668" t="str">
        <x:v>CQ-A07</x:v>
      </x:c>
      <x:c r="I668" s="36" t="str">
        <x:v>Welche dieser Aussagen stammt aus 1. Korinther 1?</x:v>
      </x:c>
      <x:c r="J668" s="36" t="str"/>
      <x:c r="K668" s="36" t="str"/>
      <x:c r="L668" s="36" t="str">
        <x:v>REPO_VERIFIZIERT_FRAGEFORM</x:v>
      </x:c>
      <x:c r="M668" s="36" t="str">
        <x:v>ERSETZEN</x:v>
      </x:c>
      <x:c r="N668" s="36" t="str">
        <x:v>REPETITIVE_FRAGEFORM</x:v>
      </x:c>
      <x:c r="O668" s="36" t="str">
        <x:v>REINE_WIEDERERKENNUNG</x:v>
      </x:c>
      <x:c r="P668" s="36" t="str">
        <x:v>KERNAUSSAGE</x:v>
      </x:c>
      <x:c r="Q668" s="36" t="str">
        <x:v>Warum will Paulus das Evangelium nicht mit menschlicher Redekunst verkündigen?</x:v>
      </x:c>
      <x:c r="R668" s="36" t="str">
        <x:v>Damit das Kreuz Christi nicht seiner Kraft entleert wird.</x:v>
      </x:c>
      <x:c r="S668" s="36" t="str">
        <x:v>Weil Bildung für Christen verboten ist.</x:v>
      </x:c>
      <x:c r="T668" s="36" t="str">
        <x:v>Weil Paulus nicht sprechen konnte.</x:v>
      </x:c>
      <x:c r="U668" s="36" t="str">
        <x:v>Damit niemand getauft wird.</x:v>
      </x:c>
      <x:c r="V668" s="36" t="n">
        <x:v>0</x:v>
      </x:c>
      <x:c r="W668" s="36" t="str">
        <x:f>CHOOSE(V668+1,R668,S668,T668,U668)</x:f>
        <x:v>Damit das Kreuz Christi nicht seiner Kraft entleert wird.</x:v>
      </x:c>
      <x:c r="X668" s="36" t="str">
        <x:v>1. Korinther 1,17–18</x:v>
      </x:c>
      <x:c r="Y668" s="36" t="str">
        <x:v>Paulus stellt die Botschaft vom Kreuz über rhetorische Selbstdarstellung.</x:v>
      </x:c>
      <x:c r="Z668" s="36" t="str">
        <x:v>JA</x:v>
      </x:c>
      <x:c r="AA668" s="36" t="str">
        <x:v>JA</x:v>
      </x:c>
      <x:c r="AB668" s="36" t="str">
        <x:v>JA</x:v>
      </x:c>
      <x:c r="AC668" s="36" t="str">
        <x:v>JA</x:v>
      </x:c>
      <x:c r="AD668" s="36" t="str">
        <x:v>JA</x:v>
      </x:c>
      <x:c r="AE668" s="36" t="str">
        <x:v>JA</x:v>
      </x:c>
      <x:c r="AF668" s="36" t="str">
        <x:v>JA</x:v>
      </x:c>
      <x:c r="AG668" s="36" t="str">
        <x:v>FREIGEGEBEN</x:v>
      </x:c>
      <x:c r="AH668" s="36" t="str">
        <x:v>GPT-5.6 Sol · Buchprüfung 1. Korinther · L1912/OTB</x:v>
      </x:c>
      <x:c r="AI668" s="36" t="str">
        <x:v>FREIGEGEBEN</x:v>
      </x:c>
      <x:c r="AJ668" s="36" t="str">
        <x:v>1. Korinther 1: repetitive Wiedererkennungsfrage durch KERNAUSSAGE-Frage ersetzt.</x:v>
      </x:c>
      <x:c r="AK668" s="36" t="str">
        <x:v>FaithPath repo develop/v4 · data/stories.json · data/bibles/l1912/1CO.json · data/bibles/otb/1CO.json</x:v>
      </x:c>
      <x:c r="AL668" t="str">
        <x:f>IF(AND(AG668="FREIGEGEBEN",AI668="FREIGEGEBEN",Q668&lt;&gt;"",R668&lt;&gt;"",S668&lt;&gt;"",T668&lt;&gt;"",U668&lt;&gt;"",ISNUMBER(V668),X668&lt;&gt;"",Y668&lt;&gt;"",AA668="JA",AB668="JA",AC668="JA",AD668="JA",AE668="JA",AF668="JA"),"JA","NEIN")</x:f>
        <x:v>JA</x:v>
      </x:c>
    </x:row>
    <x:row r="669">
      <x:c r="A669" t="str">
        <x:v>FP-0928</x:v>
      </x:c>
      <x:c r="B669" t="str">
        <x:v>1CO</x:v>
      </x:c>
      <x:c r="C669" t="str">
        <x:v>1. Korinther</x:v>
      </x:c>
      <x:c r="D669" t="n">
        <x:v>1</x:v>
      </x:c>
      <x:c r="E669" t="n">
        <x:v>3</x:v>
      </x:c>
      <x:c r="F669" t="str">
        <x:v>1CO-001</x:v>
      </x:c>
      <x:c r="G669" t="n">
        <x:v>134</x:v>
      </x:c>
      <x:c r="H669" t="str">
        <x:v>CQ-A07</x:v>
      </x:c>
      <x:c r="I669" s="36" t="str">
        <x:v>Welche dieser Aussagen stammt aus 1. Korinther 1?</x:v>
      </x:c>
      <x:c r="J669" s="36" t="str"/>
      <x:c r="K669" s="36" t="str"/>
      <x:c r="L669" s="36" t="str">
        <x:v>REPO_VERIFIZIERT_FRAGEFORM</x:v>
      </x:c>
      <x:c r="M669" s="36" t="str">
        <x:v>ERSETZEN</x:v>
      </x:c>
      <x:c r="N669" s="36" t="str">
        <x:v>REPETITIVE_FRAGEFORM</x:v>
      </x:c>
      <x:c r="O669" s="36" t="str">
        <x:v>REINE_WIEDERERKENNUNG</x:v>
      </x:c>
      <x:c r="P669" s="36" t="str">
        <x:v>ZUSAMMENHANG</x:v>
      </x:c>
      <x:c r="Q669" s="36" t="str">
        <x:v>Wie beschreibt Paulus die Reaktionen auf die Botschaft vom gekreuzigten Christus?</x:v>
      </x:c>
      <x:c r="R669" s="36" t="str">
        <x:v>Alle Menschen erkennen sie sofort als überzeugend.</x:v>
      </x:c>
      <x:c r="S669" s="36" t="str">
        <x:v>Juden fordern Zeichen und Griechen suchen Weisheit; Christus erscheint vielen als Anstoß oder Torheit, ist den Berufenen aber Gottes Kraft und Weisheit.</x:v>
      </x:c>
      <x:c r="T669" s="36" t="str">
        <x:v>Nur Griechen lehnen sie ab.</x:v>
      </x:c>
      <x:c r="U669" s="36" t="str">
        <x:v>Nur Juden halten sie für Weisheit.</x:v>
      </x:c>
      <x:c r="V669" s="36" t="n">
        <x:v>1</x:v>
      </x:c>
      <x:c r="W669" s="36" t="str">
        <x:f>CHOOSE(V669+1,R669,S669,T669,U669)</x:f>
        <x:v>Juden fordern Zeichen und Griechen suchen Weisheit; Christus erscheint vielen als Anstoß oder Torheit, ist den Berufenen aber Gottes Kraft und Weisheit.</x:v>
      </x:c>
      <x:c r="X669" s="36" t="str">
        <x:v>1. Korinther 1,22–25</x:v>
      </x:c>
      <x:c r="Y669" s="36" t="str">
        <x:v>Paulus kontrastiert menschliche Erwartungen mit Gottes Weisheit im gekreuzigten Christus.</x:v>
      </x:c>
      <x:c r="Z669" s="36" t="str">
        <x:v>JA</x:v>
      </x:c>
      <x:c r="AA669" s="36" t="str">
        <x:v>JA</x:v>
      </x:c>
      <x:c r="AB669" s="36" t="str">
        <x:v>JA</x:v>
      </x:c>
      <x:c r="AC669" s="36" t="str">
        <x:v>JA</x:v>
      </x:c>
      <x:c r="AD669" s="36" t="str">
        <x:v>JA</x:v>
      </x:c>
      <x:c r="AE669" s="36" t="str">
        <x:v>JA</x:v>
      </x:c>
      <x:c r="AF669" s="36" t="str">
        <x:v>JA</x:v>
      </x:c>
      <x:c r="AG669" s="36" t="str">
        <x:v>FREIGEGEBEN</x:v>
      </x:c>
      <x:c r="AH669" s="36" t="str">
        <x:v>GPT-5.6 Sol · Buchprüfung 1. Korinther · L1912/OTB</x:v>
      </x:c>
      <x:c r="AI669" s="36" t="str">
        <x:v>FREIGEGEBEN</x:v>
      </x:c>
      <x:c r="AJ669" s="36" t="str">
        <x:v>1. Korinther 1: repetitive Wiedererkennungsfrage durch ZUSAMMENHANG-Frage ersetzt.</x:v>
      </x:c>
      <x:c r="AK669" s="36" t="str">
        <x:v>FaithPath repo develop/v4 · data/stories.json · data/bibles/l1912/1CO.json · data/bibles/otb/1CO.json</x:v>
      </x:c>
      <x:c r="AL669" t="str">
        <x:f>IF(AND(AG669="FREIGEGEBEN",AI669="FREIGEGEBEN",Q669&lt;&gt;"",R669&lt;&gt;"",S669&lt;&gt;"",T669&lt;&gt;"",U669&lt;&gt;"",ISNUMBER(V669),X669&lt;&gt;"",Y669&lt;&gt;"",AA669="JA",AB669="JA",AC669="JA",AD669="JA",AE669="JA",AF669="JA"),"JA","NEIN")</x:f>
        <x:v>JA</x:v>
      </x:c>
    </x:row>
    <x:row r="670">
      <x:c r="A670" t="str">
        <x:v>FP-0929</x:v>
      </x:c>
      <x:c r="B670" t="str">
        <x:v>1CO</x:v>
      </x:c>
      <x:c r="C670" t="str">
        <x:v>1. Korinther</x:v>
      </x:c>
      <x:c r="D670" t="n">
        <x:v>1</x:v>
      </x:c>
      <x:c r="E670" t="n">
        <x:v>4</x:v>
      </x:c>
      <x:c r="F670" t="str">
        <x:v>1CO-001</x:v>
      </x:c>
      <x:c r="G670" t="n">
        <x:v>134</x:v>
      </x:c>
      <x:c r="H670" t="str">
        <x:v>CQ-A07</x:v>
      </x:c>
      <x:c r="I670" s="36" t="str">
        <x:v>Welche dieser Aussagen stammt aus 1. Korinther 1?</x:v>
      </x:c>
      <x:c r="J670" s="36" t="str"/>
      <x:c r="K670" s="36" t="str"/>
      <x:c r="L670" s="36" t="str">
        <x:v>REPO_VERIFIZIERT_FRAGEFORM</x:v>
      </x:c>
      <x:c r="M670" s="36" t="str">
        <x:v>ERSETZEN</x:v>
      </x:c>
      <x:c r="N670" s="36" t="str">
        <x:v>REPETITIVE_FRAGEFORM</x:v>
      </x:c>
      <x:c r="O670" s="36" t="str">
        <x:v>REINE_WIEDERERKENNUNG</x:v>
      </x:c>
      <x:c r="P670" s="36" t="str">
        <x:v>KERNAUSSAGE</x:v>
      </x:c>
      <x:c r="Q670" s="36" t="str">
        <x:v>Warum erinnert Paulus die Korinther daran, dass nicht viele Weise, Mächtige oder Vornehme berufen wurden?</x:v>
      </x:c>
      <x:c r="R670" s="36" t="str">
        <x:v>Damit Christen Bildung vermeiden.</x:v>
      </x:c>
      <x:c r="S670" s="36" t="str">
        <x:v>Damit nur Arme Gemeindeleiter werden.</x:v>
      </x:c>
      <x:c r="T670" s="36" t="str">
        <x:v>Damit sich kein Mensch vor Gott rühmen kann.</x:v>
      </x:c>
      <x:c r="U670" s="36" t="str">
        <x:v>Damit gesellschaftliche Unterschiede größer werden.</x:v>
      </x:c>
      <x:c r="V670" s="36" t="n">
        <x:v>2</x:v>
      </x:c>
      <x:c r="W670" s="36" t="str">
        <x:f>CHOOSE(V670+1,R670,S670,T670,U670)</x:f>
        <x:v>Damit sich kein Mensch vor Gott rühmen kann.</x:v>
      </x:c>
      <x:c r="X670" s="36" t="str">
        <x:v>1. Korinther 1,26–29</x:v>
      </x:c>
      <x:c r="Y670" s="36" t="str">
        <x:v>Gottes Erwählung durchkreuzt menschliche Maßstäbe und schließt Selbstüberhebung aus.</x:v>
      </x:c>
      <x:c r="Z670" s="36" t="str">
        <x:v>JA</x:v>
      </x:c>
      <x:c r="AA670" s="36" t="str">
        <x:v>JA</x:v>
      </x:c>
      <x:c r="AB670" s="36" t="str">
        <x:v>JA</x:v>
      </x:c>
      <x:c r="AC670" s="36" t="str">
        <x:v>JA</x:v>
      </x:c>
      <x:c r="AD670" s="36" t="str">
        <x:v>JA</x:v>
      </x:c>
      <x:c r="AE670" s="36" t="str">
        <x:v>JA</x:v>
      </x:c>
      <x:c r="AF670" s="36" t="str">
        <x:v>JA</x:v>
      </x:c>
      <x:c r="AG670" s="36" t="str">
        <x:v>FREIGEGEBEN</x:v>
      </x:c>
      <x:c r="AH670" s="36" t="str">
        <x:v>GPT-5.6 Sol · Buchprüfung 1. Korinther · L1912/OTB</x:v>
      </x:c>
      <x:c r="AI670" s="36" t="str">
        <x:v>FREIGEGEBEN</x:v>
      </x:c>
      <x:c r="AJ670" s="36" t="str">
        <x:v>1. Korinther 1: repetitive Wiedererkennungsfrage durch KERNAUSSAGE-Frage ersetzt.</x:v>
      </x:c>
      <x:c r="AK670" s="36" t="str">
        <x:v>FaithPath repo develop/v4 · data/stories.json · data/bibles/l1912/1CO.json · data/bibles/otb/1CO.json</x:v>
      </x:c>
      <x:c r="AL670" t="str">
        <x:f>IF(AND(AG670="FREIGEGEBEN",AI670="FREIGEGEBEN",Q670&lt;&gt;"",R670&lt;&gt;"",S670&lt;&gt;"",T670&lt;&gt;"",U670&lt;&gt;"",ISNUMBER(V670),X670&lt;&gt;"",Y670&lt;&gt;"",AA670="JA",AB670="JA",AC670="JA",AD670="JA",AE670="JA",AF670="JA"),"JA","NEIN")</x:f>
        <x:v>JA</x:v>
      </x:c>
    </x:row>
    <x:row r="671">
      <x:c r="A671" t="str">
        <x:v>FP-0930</x:v>
      </x:c>
      <x:c r="B671" t="str">
        <x:v>1CO</x:v>
      </x:c>
      <x:c r="C671" t="str">
        <x:v>1. Korinther</x:v>
      </x:c>
      <x:c r="D671" t="n">
        <x:v>1</x:v>
      </x:c>
      <x:c r="E671" t="n">
        <x:v>5</x:v>
      </x:c>
      <x:c r="F671" t="str">
        <x:v>1CO-001</x:v>
      </x:c>
      <x:c r="G671" t="n">
        <x:v>134</x:v>
      </x:c>
      <x:c r="H671" t="str">
        <x:v>CQ-A07</x:v>
      </x:c>
      <x:c r="I671" s="36" t="str">
        <x:v>Welche dieser Aussagen stammt aus 1. Korinther 1?</x:v>
      </x:c>
      <x:c r="J671" s="36" t="str"/>
      <x:c r="K671" s="36" t="str"/>
      <x:c r="L671" s="36" t="str">
        <x:v>REPO_VERIFIZIERT_FRAGEFORM</x:v>
      </x:c>
      <x:c r="M671" s="36" t="str">
        <x:v>ERSETZEN</x:v>
      </x:c>
      <x:c r="N671" s="36" t="str">
        <x:v>REPETITIVE_FRAGEFORM</x:v>
      </x:c>
      <x:c r="O671" s="36" t="str">
        <x:v>REINE_WIEDERERKENNUNG</x:v>
      </x:c>
      <x:c r="P671" s="36" t="str">
        <x:v>KERNAUSSAGE</x:v>
      </x:c>
      <x:c r="Q671" s="36" t="str">
        <x:v>Was ist Christus den Glaubenden nach Paulus von Gott geworden?</x:v>
      </x:c>
      <x:c r="R671" s="36" t="str">
        <x:v>Nur ein moralisches Vorbild.</x:v>
      </x:c>
      <x:c r="S671" s="36" t="str">
        <x:v>Ein politischer Befreier von Rom.</x:v>
      </x:c>
      <x:c r="T671" s="36" t="str">
        <x:v>Ein neuer Gesetzgeber ohne Bezug zur Erlösung.</x:v>
      </x:c>
      <x:c r="U671" s="36" t="str">
        <x:v>Weisheit, Gerechtigkeit, Heiligung und Erlösung.</x:v>
      </x:c>
      <x:c r="V671" s="36" t="n">
        <x:v>3</x:v>
      </x:c>
      <x:c r="W671" s="36" t="str">
        <x:f>CHOOSE(V671+1,R671,S671,T671,U671)</x:f>
        <x:v>Weisheit, Gerechtigkeit, Heiligung und Erlösung.</x:v>
      </x:c>
      <x:c r="X671" s="36" t="str">
        <x:v>1. Korinther 1,30–31</x:v>
      </x:c>
      <x:c r="Y671" s="36" t="str">
        <x:v>Paulus fasst Christi Bedeutung mit vier Begriffen zusammen und schließt mit dem Aufruf, sich im Herrn zu rühmen.</x:v>
      </x:c>
      <x:c r="Z671" s="36" t="str">
        <x:v>JA</x:v>
      </x:c>
      <x:c r="AA671" s="36" t="str">
        <x:v>JA</x:v>
      </x:c>
      <x:c r="AB671" s="36" t="str">
        <x:v>JA</x:v>
      </x:c>
      <x:c r="AC671" s="36" t="str">
        <x:v>JA</x:v>
      </x:c>
      <x:c r="AD671" s="36" t="str">
        <x:v>JA</x:v>
      </x:c>
      <x:c r="AE671" s="36" t="str">
        <x:v>JA</x:v>
      </x:c>
      <x:c r="AF671" s="36" t="str">
        <x:v>JA</x:v>
      </x:c>
      <x:c r="AG671" s="36" t="str">
        <x:v>FREIGEGEBEN</x:v>
      </x:c>
      <x:c r="AH671" s="36" t="str">
        <x:v>GPT-5.6 Sol · Buchprüfung 1. Korinther · L1912/OTB</x:v>
      </x:c>
      <x:c r="AI671" s="36" t="str">
        <x:v>FREIGEGEBEN</x:v>
      </x:c>
      <x:c r="AJ671" s="36" t="str">
        <x:v>1. Korinther 1: repetitive Wiedererkennungsfrage durch KERNAUSSAGE-Frage ersetzt.</x:v>
      </x:c>
      <x:c r="AK671" s="36" t="str">
        <x:v>FaithPath repo develop/v4 · data/stories.json · data/bibles/l1912/1CO.json · data/bibles/otb/1CO.json</x:v>
      </x:c>
      <x:c r="AL671" t="str">
        <x:f>IF(AND(AG671="FREIGEGEBEN",AI671="FREIGEGEBEN",Q671&lt;&gt;"",R671&lt;&gt;"",S671&lt;&gt;"",T671&lt;&gt;"",U671&lt;&gt;"",ISNUMBER(V671),X671&lt;&gt;"",Y671&lt;&gt;"",AA671="JA",AB671="JA",AC671="JA",AD671="JA",AE671="JA",AF671="JA"),"JA","NEIN")</x:f>
        <x:v>JA</x:v>
      </x:c>
    </x:row>
    <x:row r="672">
      <x:c r="A672" t="str">
        <x:v>FP-0931</x:v>
      </x:c>
      <x:c r="B672" t="str">
        <x:v>1CO</x:v>
      </x:c>
      <x:c r="C672" t="str">
        <x:v>1. Korinther</x:v>
      </x:c>
      <x:c r="D672" t="n">
        <x:v>2</x:v>
      </x:c>
      <x:c r="E672" t="n">
        <x:v>1</x:v>
      </x:c>
      <x:c r="F672" t="str">
        <x:v>1CO-002</x:v>
      </x:c>
      <x:c r="G672" t="n">
        <x:v>135</x:v>
      </x:c>
      <x:c r="H672" t="str">
        <x:v>CQ-A07</x:v>
      </x:c>
      <x:c r="I672" s="36" t="str">
        <x:v>Welche dieser Aussagen stammt aus 1. Korinther 2?</x:v>
      </x:c>
      <x:c r="J672" s="36" t="str"/>
      <x:c r="K672" s="36" t="str"/>
      <x:c r="L672" s="36" t="str">
        <x:v>REPO_VERIFIZIERT_FRAGEFORM</x:v>
      </x:c>
      <x:c r="M672" s="36" t="str">
        <x:v>ERSETZEN</x:v>
      </x:c>
      <x:c r="N672" s="36" t="str">
        <x:v>REPETITIVE_FRAGEFORM</x:v>
      </x:c>
      <x:c r="O672" s="36" t="str">
        <x:v>REINE_WIEDERERKENNUNG</x:v>
      </x:c>
      <x:c r="P672" s="36" t="str">
        <x:v>ZUSAMMENHANG</x:v>
      </x:c>
      <x:c r="Q672" s="36" t="str">
        <x:v>Warum trat Paulus in Korinth nicht mit überragender Rede oder menschlicher Weisheit auf?</x:v>
      </x:c>
      <x:c r="R672" s="36" t="str">
        <x:v>Damit der Glaube nicht auf Menschenweisheit, sondern auf Gottes Kraft beruht.</x:v>
      </x:c>
      <x:c r="S672" s="36" t="str">
        <x:v>Weil er keine Botschaft hatte.</x:v>
      </x:c>
      <x:c r="T672" s="36" t="str">
        <x:v>Weil er nur privat sprechen durfte.</x:v>
      </x:c>
      <x:c r="U672" s="36" t="str">
        <x:v>Damit niemand Jesus kennenlernt.</x:v>
      </x:c>
      <x:c r="V672" s="36" t="n">
        <x:v>0</x:v>
      </x:c>
      <x:c r="W672" s="36" t="str">
        <x:f>CHOOSE(V672+1,R672,S672,T672,U672)</x:f>
        <x:v>Damit der Glaube nicht auf Menschenweisheit, sondern auf Gottes Kraft beruht.</x:v>
      </x:c>
      <x:c r="X672" s="36" t="str">
        <x:v>1. Korinther 2,1–5</x:v>
      </x:c>
      <x:c r="Y672" s="36" t="str">
        <x:v>Paulus wollte Christus den Gekreuzigten verkündigen, sodass Gottes Kraft und nicht rhetorische Wirkung den Glauben trägt.</x:v>
      </x:c>
      <x:c r="Z672" s="36" t="str">
        <x:v>JA</x:v>
      </x:c>
      <x:c r="AA672" s="36" t="str">
        <x:v>JA</x:v>
      </x:c>
      <x:c r="AB672" s="36" t="str">
        <x:v>JA</x:v>
      </x:c>
      <x:c r="AC672" s="36" t="str">
        <x:v>JA</x:v>
      </x:c>
      <x:c r="AD672" s="36" t="str">
        <x:v>JA</x:v>
      </x:c>
      <x:c r="AE672" s="36" t="str">
        <x:v>JA</x:v>
      </x:c>
      <x:c r="AF672" s="36" t="str">
        <x:v>JA</x:v>
      </x:c>
      <x:c r="AG672" s="36" t="str">
        <x:v>FREIGEGEBEN</x:v>
      </x:c>
      <x:c r="AH672" s="36" t="str">
        <x:v>GPT-5.6 Sol · Buchprüfung 1. Korinther · L1912/OTB</x:v>
      </x:c>
      <x:c r="AI672" s="36" t="str">
        <x:v>FREIGEGEBEN</x:v>
      </x:c>
      <x:c r="AJ672" s="36" t="str">
        <x:v>1. Korinther 2: repetitive Wiedererkennungsfrage durch ZUSAMMENHANG-Frage ersetzt.</x:v>
      </x:c>
      <x:c r="AK672" s="36" t="str">
        <x:v>FaithPath repo develop/v4 · data/stories.json · data/bibles/l1912/1CO.json · data/bibles/otb/1CO.json</x:v>
      </x:c>
      <x:c r="AL672" t="str">
        <x:f>IF(AND(AG672="FREIGEGEBEN",AI672="FREIGEGEBEN",Q672&lt;&gt;"",R672&lt;&gt;"",S672&lt;&gt;"",T672&lt;&gt;"",U672&lt;&gt;"",ISNUMBER(V672),X672&lt;&gt;"",Y672&lt;&gt;"",AA672="JA",AB672="JA",AC672="JA",AD672="JA",AE672="JA",AF672="JA"),"JA","NEIN")</x:f>
        <x:v>JA</x:v>
      </x:c>
    </x:row>
    <x:row r="673">
      <x:c r="A673" t="str">
        <x:v>FP-0932</x:v>
      </x:c>
      <x:c r="B673" t="str">
        <x:v>1CO</x:v>
      </x:c>
      <x:c r="C673" t="str">
        <x:v>1. Korinther</x:v>
      </x:c>
      <x:c r="D673" t="n">
        <x:v>2</x:v>
      </x:c>
      <x:c r="E673" t="n">
        <x:v>2</x:v>
      </x:c>
      <x:c r="F673" t="str">
        <x:v>1CO-002</x:v>
      </x:c>
      <x:c r="G673" t="n">
        <x:v>135</x:v>
      </x:c>
      <x:c r="H673" t="str">
        <x:v>CQ-A07</x:v>
      </x:c>
      <x:c r="I673" s="36" t="str">
        <x:v>Welche dieser Aussagen stammt aus 1. Korinther 2?</x:v>
      </x:c>
      <x:c r="J673" s="36" t="str"/>
      <x:c r="K673" s="36" t="str"/>
      <x:c r="L673" s="36" t="str">
        <x:v>REPO_VERIFIZIERT_FRAGEFORM</x:v>
      </x:c>
      <x:c r="M673" s="36" t="str">
        <x:v>ERSETZEN</x:v>
      </x:c>
      <x:c r="N673" s="36" t="str">
        <x:v>REPETITIVE_FRAGEFORM</x:v>
      </x:c>
      <x:c r="O673" s="36" t="str">
        <x:v>REINE_WIEDERERKENNUNG</x:v>
      </x:c>
      <x:c r="P673" s="36" t="str">
        <x:v>KERNAUSSAGE</x:v>
      </x:c>
      <x:c r="Q673" s="36" t="str">
        <x:v>Welche Weisheit verkündet Paulus unter den geistlich Reiferen?</x:v>
      </x:c>
      <x:c r="R673" s="36" t="str">
        <x:v>Die politische Weisheit Roms.</x:v>
      </x:c>
      <x:c r="S673" s="36" t="str">
        <x:v>Gottes verborgene Weisheit, die kein Herrscher dieser Welt erkannt hat.</x:v>
      </x:c>
      <x:c r="T673" s="36" t="str">
        <x:v>Eine geheime Lehre ohne Bezug zu Christus.</x:v>
      </x:c>
      <x:c r="U673" s="36" t="str">
        <x:v>Nur griechische Philosophie.</x:v>
      </x:c>
      <x:c r="V673" s="36" t="n">
        <x:v>1</x:v>
      </x:c>
      <x:c r="W673" s="36" t="str">
        <x:f>CHOOSE(V673+1,R673,S673,T673,U673)</x:f>
        <x:v>Gottes verborgene Weisheit, die kein Herrscher dieser Welt erkannt hat.</x:v>
      </x:c>
      <x:c r="X673" s="36" t="str">
        <x:v>1. Korinther 2,6–10</x:v>
      </x:c>
      <x:c r="Y673" s="36" t="str">
        <x:v>Paulus unterscheidet Gottes verborgene Weisheit von der vergehenden Weisheit dieser Welt.</x:v>
      </x:c>
      <x:c r="Z673" s="36" t="str">
        <x:v>JA</x:v>
      </x:c>
      <x:c r="AA673" s="36" t="str">
        <x:v>JA</x:v>
      </x:c>
      <x:c r="AB673" s="36" t="str">
        <x:v>JA</x:v>
      </x:c>
      <x:c r="AC673" s="36" t="str">
        <x:v>JA</x:v>
      </x:c>
      <x:c r="AD673" s="36" t="str">
        <x:v>JA</x:v>
      </x:c>
      <x:c r="AE673" s="36" t="str">
        <x:v>JA</x:v>
      </x:c>
      <x:c r="AF673" s="36" t="str">
        <x:v>JA</x:v>
      </x:c>
      <x:c r="AG673" s="36" t="str">
        <x:v>FREIGEGEBEN</x:v>
      </x:c>
      <x:c r="AH673" s="36" t="str">
        <x:v>GPT-5.6 Sol · Buchprüfung 1. Korinther · L1912/OTB</x:v>
      </x:c>
      <x:c r="AI673" s="36" t="str">
        <x:v>FREIGEGEBEN</x:v>
      </x:c>
      <x:c r="AJ673" s="36" t="str">
        <x:v>1. Korinther 2: repetitive Wiedererkennungsfrage durch KERNAUSSAGE-Frage ersetzt.</x:v>
      </x:c>
      <x:c r="AK673" s="36" t="str">
        <x:v>FaithPath repo develop/v4 · data/stories.json · data/bibles/l1912/1CO.json · data/bibles/otb/1CO.json</x:v>
      </x:c>
      <x:c r="AL673" t="str">
        <x:f>IF(AND(AG673="FREIGEGEBEN",AI673="FREIGEGEBEN",Q673&lt;&gt;"",R673&lt;&gt;"",S673&lt;&gt;"",T673&lt;&gt;"",U673&lt;&gt;"",ISNUMBER(V673),X673&lt;&gt;"",Y673&lt;&gt;"",AA673="JA",AB673="JA",AC673="JA",AD673="JA",AE673="JA",AF673="JA"),"JA","NEIN")</x:f>
        <x:v>JA</x:v>
      </x:c>
    </x:row>
    <x:row r="674">
      <x:c r="A674" t="str">
        <x:v>FP-0933</x:v>
      </x:c>
      <x:c r="B674" t="str">
        <x:v>1CO</x:v>
      </x:c>
      <x:c r="C674" t="str">
        <x:v>1. Korinther</x:v>
      </x:c>
      <x:c r="D674" t="n">
        <x:v>2</x:v>
      </x:c>
      <x:c r="E674" t="n">
        <x:v>3</x:v>
      </x:c>
      <x:c r="F674" t="str">
        <x:v>1CO-002</x:v>
      </x:c>
      <x:c r="G674" t="n">
        <x:v>135</x:v>
      </x:c>
      <x:c r="H674" t="str">
        <x:v>CQ-A07</x:v>
      </x:c>
      <x:c r="I674" s="36" t="str">
        <x:v>Welche dieser Aussagen stammt aus 1. Korinther 2?</x:v>
      </x:c>
      <x:c r="J674" s="36" t="str"/>
      <x:c r="K674" s="36" t="str"/>
      <x:c r="L674" s="36" t="str">
        <x:v>REPO_VERIFIZIERT_FRAGEFORM</x:v>
      </x:c>
      <x:c r="M674" s="36" t="str">
        <x:v>ERSETZEN</x:v>
      </x:c>
      <x:c r="N674" s="36" t="str">
        <x:v>REPETITIVE_FRAGEFORM</x:v>
      </x:c>
      <x:c r="O674" s="36" t="str">
        <x:v>REINE_WIEDERERKENNUNG</x:v>
      </x:c>
      <x:c r="P674" s="36" t="str">
        <x:v>KERNAUSSAGE</x:v>
      </x:c>
      <x:c r="Q674" s="36" t="str">
        <x:v>Warum kann der Heilige Geist Gottes Tiefen offenbaren?</x:v>
      </x:c>
      <x:c r="R674" s="36" t="str">
        <x:v>Weil er nur menschliche Gedanken wiederholt.</x:v>
      </x:c>
      <x:c r="S674" s="36" t="str">
        <x:v>Weil jeder Mensch Gott ohne Offenbarung vollständig kennt.</x:v>
      </x:c>
      <x:c r="T674" s="36" t="str">
        <x:v>Weil der Geist alles erforscht, auch die Tiefen Gottes.</x:v>
      </x:c>
      <x:c r="U674" s="36" t="str">
        <x:v>Weil die Herrscher dieser Welt ihn unterrichten.</x:v>
      </x:c>
      <x:c r="V674" s="36" t="n">
        <x:v>2</x:v>
      </x:c>
      <x:c r="W674" s="36" t="str">
        <x:f>CHOOSE(V674+1,R674,S674,T674,U674)</x:f>
        <x:v>Weil der Geist alles erforscht, auch die Tiefen Gottes.</x:v>
      </x:c>
      <x:c r="X674" s="36" t="str">
        <x:v>1. Korinther 2,10–13</x:v>
      </x:c>
      <x:c r="Y674" s="36" t="str">
        <x:v>Paulus begründet geistliche Erkenntnis mit dem Wirken des Geistes, der Gottes Tiefen kennt.</x:v>
      </x:c>
      <x:c r="Z674" s="36" t="str">
        <x:v>JA</x:v>
      </x:c>
      <x:c r="AA674" s="36" t="str">
        <x:v>JA</x:v>
      </x:c>
      <x:c r="AB674" s="36" t="str">
        <x:v>JA</x:v>
      </x:c>
      <x:c r="AC674" s="36" t="str">
        <x:v>JA</x:v>
      </x:c>
      <x:c r="AD674" s="36" t="str">
        <x:v>JA</x:v>
      </x:c>
      <x:c r="AE674" s="36" t="str">
        <x:v>JA</x:v>
      </x:c>
      <x:c r="AF674" s="36" t="str">
        <x:v>JA</x:v>
      </x:c>
      <x:c r="AG674" s="36" t="str">
        <x:v>FREIGEGEBEN</x:v>
      </x:c>
      <x:c r="AH674" s="36" t="str">
        <x:v>GPT-5.6 Sol · Buchprüfung 1. Korinther · L1912/OTB</x:v>
      </x:c>
      <x:c r="AI674" s="36" t="str">
        <x:v>FREIGEGEBEN</x:v>
      </x:c>
      <x:c r="AJ674" s="36" t="str">
        <x:v>1. Korinther 2: repetitive Wiedererkennungsfrage durch KERNAUSSAGE-Frage ersetzt.</x:v>
      </x:c>
      <x:c r="AK674" s="36" t="str">
        <x:v>FaithPath repo develop/v4 · data/stories.json · data/bibles/l1912/1CO.json · data/bibles/otb/1CO.json</x:v>
      </x:c>
      <x:c r="AL674" t="str">
        <x:f>IF(AND(AG674="FREIGEGEBEN",AI674="FREIGEGEBEN",Q674&lt;&gt;"",R674&lt;&gt;"",S674&lt;&gt;"",T674&lt;&gt;"",U674&lt;&gt;"",ISNUMBER(V674),X674&lt;&gt;"",Y674&lt;&gt;"",AA674="JA",AB674="JA",AC674="JA",AD674="JA",AE674="JA",AF674="JA"),"JA","NEIN")</x:f>
        <x:v>JA</x:v>
      </x:c>
    </x:row>
    <x:row r="675">
      <x:c r="A675" t="str">
        <x:v>FP-0934</x:v>
      </x:c>
      <x:c r="B675" t="str">
        <x:v>1CO</x:v>
      </x:c>
      <x:c r="C675" t="str">
        <x:v>1. Korinther</x:v>
      </x:c>
      <x:c r="D675" t="n">
        <x:v>2</x:v>
      </x:c>
      <x:c r="E675" t="n">
        <x:v>4</x:v>
      </x:c>
      <x:c r="F675" t="str">
        <x:v>1CO-002</x:v>
      </x:c>
      <x:c r="G675" t="n">
        <x:v>135</x:v>
      </x:c>
      <x:c r="H675" t="str">
        <x:v>CQ-A07</x:v>
      </x:c>
      <x:c r="I675" s="36" t="str">
        <x:v>Welche dieser Aussagen stammt aus 1. Korinther 2?</x:v>
      </x:c>
      <x:c r="J675" s="36" t="str"/>
      <x:c r="K675" s="36" t="str"/>
      <x:c r="L675" s="36" t="str">
        <x:v>REPO_VERIFIZIERT_FRAGEFORM</x:v>
      </x:c>
      <x:c r="M675" s="36" t="str">
        <x:v>ERSETZEN</x:v>
      </x:c>
      <x:c r="N675" s="36" t="str">
        <x:v>REPETITIVE_FRAGEFORM</x:v>
      </x:c>
      <x:c r="O675" s="36" t="str">
        <x:v>REINE_WIEDERERKENNUNG</x:v>
      </x:c>
      <x:c r="P675" s="36" t="str">
        <x:v>ZUSAMMENHANG</x:v>
      </x:c>
      <x:c r="Q675" s="36" t="str">
        <x:v>Warum versteht der „natürliche Mensch“ nach Paulus die Dinge des Geistes Gottes nicht?</x:v>
      </x:c>
      <x:c r="R675" s="36" t="str">
        <x:v>Weil sie nur in lateinischer Sprache erklärt werden.</x:v>
      </x:c>
      <x:c r="S675" s="36" t="str">
        <x:v>Weil nur Apostel denken dürfen.</x:v>
      </x:c>
      <x:c r="T675" s="36" t="str">
        <x:v>Weil Gott grundsätzlich unerkennbar ist.</x:v>
      </x:c>
      <x:c r="U675" s="36" t="str">
        <x:v>Weil sie geistlich beurteilt werden und ihm als Torheit erscheinen.</x:v>
      </x:c>
      <x:c r="V675" s="36" t="n">
        <x:v>3</x:v>
      </x:c>
      <x:c r="W675" s="36" t="str">
        <x:f>CHOOSE(V675+1,R675,S675,T675,U675)</x:f>
        <x:v>Weil sie geistlich beurteilt werden und ihm als Torheit erscheinen.</x:v>
      </x:c>
      <x:c r="X675" s="36" t="str">
        <x:v>1. Korinther 2,14–16</x:v>
      </x:c>
      <x:c r="Y675" s="36" t="str">
        <x:v>Paulus stellt natürliche und geistliche Beurteilung gegenüber und schließt mit dem „Sinn Christi“.</x:v>
      </x:c>
      <x:c r="Z675" s="36" t="str">
        <x:v>JA</x:v>
      </x:c>
      <x:c r="AA675" s="36" t="str">
        <x:v>JA</x:v>
      </x:c>
      <x:c r="AB675" s="36" t="str">
        <x:v>JA</x:v>
      </x:c>
      <x:c r="AC675" s="36" t="str">
        <x:v>JA</x:v>
      </x:c>
      <x:c r="AD675" s="36" t="str">
        <x:v>JA</x:v>
      </x:c>
      <x:c r="AE675" s="36" t="str">
        <x:v>JA</x:v>
      </x:c>
      <x:c r="AF675" s="36" t="str">
        <x:v>JA</x:v>
      </x:c>
      <x:c r="AG675" s="36" t="str">
        <x:v>FREIGEGEBEN</x:v>
      </x:c>
      <x:c r="AH675" s="36" t="str">
        <x:v>GPT-5.6 Sol · Buchprüfung 1. Korinther · L1912/OTB</x:v>
      </x:c>
      <x:c r="AI675" s="36" t="str">
        <x:v>FREIGEGEBEN</x:v>
      </x:c>
      <x:c r="AJ675" s="36" t="str">
        <x:v>1. Korinther 2: repetitive Wiedererkennungsfrage durch ZUSAMMENHANG-Frage ersetzt.</x:v>
      </x:c>
      <x:c r="AK675" s="36" t="str">
        <x:v>FaithPath repo develop/v4 · data/stories.json · data/bibles/l1912/1CO.json · data/bibles/otb/1CO.json</x:v>
      </x:c>
      <x:c r="AL675" t="str">
        <x:f>IF(AND(AG675="FREIGEGEBEN",AI675="FREIGEGEBEN",Q675&lt;&gt;"",R675&lt;&gt;"",S675&lt;&gt;"",T675&lt;&gt;"",U675&lt;&gt;"",ISNUMBER(V675),X675&lt;&gt;"",Y675&lt;&gt;"",AA675="JA",AB675="JA",AC675="JA",AD675="JA",AE675="JA",AF675="JA"),"JA","NEIN")</x:f>
        <x:v>JA</x:v>
      </x:c>
    </x:row>
    <x:row r="676">
      <x:c r="A676" t="str">
        <x:v>FP-0935</x:v>
      </x:c>
      <x:c r="B676" t="str">
        <x:v>1CO</x:v>
      </x:c>
      <x:c r="C676" t="str">
        <x:v>1. Korinther</x:v>
      </x:c>
      <x:c r="D676" t="n">
        <x:v>2</x:v>
      </x:c>
      <x:c r="E676" t="n">
        <x:v>5</x:v>
      </x:c>
      <x:c r="F676" t="str">
        <x:v>1CO-002</x:v>
      </x:c>
      <x:c r="G676" t="n">
        <x:v>135</x:v>
      </x:c>
      <x:c r="H676" t="str">
        <x:v>CQ-A07</x:v>
      </x:c>
      <x:c r="I676" s="36" t="str">
        <x:v>Welche dieser Aussagen stammt aus 1. Korinther 2?</x:v>
      </x:c>
      <x:c r="J676" s="36" t="str"/>
      <x:c r="K676" s="36" t="str"/>
      <x:c r="L676" s="36" t="str">
        <x:v>REPO_VERIFIZIERT_FRAGEFORM</x:v>
      </x:c>
      <x:c r="M676" s="36" t="str">
        <x:v>ERSETZEN</x:v>
      </x:c>
      <x:c r="N676" s="36" t="str">
        <x:v>REPETITIVE_FRAGEFORM</x:v>
      </x:c>
      <x:c r="O676" s="36" t="str">
        <x:v>REINE_WIEDERERKENNUNG</x:v>
      </x:c>
      <x:c r="P676" s="36" t="str">
        <x:v>KERNAUSSAGE</x:v>
      </x:c>
      <x:c r="Q676" s="36" t="str">
        <x:v>Wozu haben Glaubende nach Paulus den Geist aus Gott empfangen?</x:v>
      </x:c>
      <x:c r="R676" s="36" t="str">
        <x:v>Damit sie erkennen, was ihnen von Gott geschenkt ist.</x:v>
      </x:c>
      <x:c r="S676" s="36" t="str">
        <x:v>Damit sie menschliche Weisheit besser beherrschen.</x:v>
      </x:c>
      <x:c r="T676" s="36" t="str">
        <x:v>Damit sie keine Fragen mehr stellen.</x:v>
      </x:c>
      <x:c r="U676" s="36" t="str">
        <x:v>Damit sie sich über andere erheben.</x:v>
      </x:c>
      <x:c r="V676" s="36" t="n">
        <x:v>0</x:v>
      </x:c>
      <x:c r="W676" s="36" t="str">
        <x:f>CHOOSE(V676+1,R676,S676,T676,U676)</x:f>
        <x:v>Damit sie erkennen, was ihnen von Gott geschenkt ist.</x:v>
      </x:c>
      <x:c r="X676" s="36" t="str">
        <x:v>1. Korinther 2,12</x:v>
      </x:c>
      <x:c r="Y676" s="36" t="str">
        <x:v>Der Geist ermöglicht, Gottes geschenkte Gaben und Wirklichkeiten zu erkennen.</x:v>
      </x:c>
      <x:c r="Z676" s="36" t="str">
        <x:v>JA</x:v>
      </x:c>
      <x:c r="AA676" s="36" t="str">
        <x:v>JA</x:v>
      </x:c>
      <x:c r="AB676" s="36" t="str">
        <x:v>JA</x:v>
      </x:c>
      <x:c r="AC676" s="36" t="str">
        <x:v>JA</x:v>
      </x:c>
      <x:c r="AD676" s="36" t="str">
        <x:v>JA</x:v>
      </x:c>
      <x:c r="AE676" s="36" t="str">
        <x:v>JA</x:v>
      </x:c>
      <x:c r="AF676" s="36" t="str">
        <x:v>JA</x:v>
      </x:c>
      <x:c r="AG676" s="36" t="str">
        <x:v>FREIGEGEBEN</x:v>
      </x:c>
      <x:c r="AH676" s="36" t="str">
        <x:v>GPT-5.6 Sol · Buchprüfung 1. Korinther · L1912/OTB</x:v>
      </x:c>
      <x:c r="AI676" s="36" t="str">
        <x:v>FREIGEGEBEN</x:v>
      </x:c>
      <x:c r="AJ676" s="36" t="str">
        <x:v>1. Korinther 2: repetitive Wiedererkennungsfrage durch KERNAUSSAGE-Frage ersetzt.</x:v>
      </x:c>
      <x:c r="AK676" s="36" t="str">
        <x:v>FaithPath repo develop/v4 · data/stories.json · data/bibles/l1912/1CO.json · data/bibles/otb/1CO.json</x:v>
      </x:c>
      <x:c r="AL676" t="str">
        <x:f>IF(AND(AG676="FREIGEGEBEN",AI676="FREIGEGEBEN",Q676&lt;&gt;"",R676&lt;&gt;"",S676&lt;&gt;"",T676&lt;&gt;"",U676&lt;&gt;"",ISNUMBER(V676),X676&lt;&gt;"",Y676&lt;&gt;"",AA676="JA",AB676="JA",AC676="JA",AD676="JA",AE676="JA",AF676="JA"),"JA","NEIN")</x:f>
        <x:v>JA</x:v>
      </x:c>
    </x:row>
    <x:row r="677">
      <x:c r="A677" t="str">
        <x:v>FP-0936</x:v>
      </x:c>
      <x:c r="B677" t="str">
        <x:v>1CO</x:v>
      </x:c>
      <x:c r="C677" t="str">
        <x:v>1. Korinther</x:v>
      </x:c>
      <x:c r="D677" t="n">
        <x:v>3</x:v>
      </x:c>
      <x:c r="E677" t="n">
        <x:v>1</x:v>
      </x:c>
      <x:c r="F677" t="str">
        <x:v>1CO-003</x:v>
      </x:c>
      <x:c r="G677" t="n">
        <x:v>136</x:v>
      </x:c>
      <x:c r="H677" t="str">
        <x:v>CQ-A07</x:v>
      </x:c>
      <x:c r="I677" s="36" t="str">
        <x:v>Welche dieser Aussagen stammt aus 1. Korinther 3?</x:v>
      </x:c>
      <x:c r="J677" s="36" t="str"/>
      <x:c r="K677" s="36" t="str"/>
      <x:c r="L677" s="36" t="str">
        <x:v>REPO_VERIFIZIERT_FRAGEFORM</x:v>
      </x:c>
      <x:c r="M677" s="36" t="str">
        <x:v>ERSETZEN</x:v>
      </x:c>
      <x:c r="N677" s="36" t="str">
        <x:v>REPETITIVE_FRAGEFORM</x:v>
      </x:c>
      <x:c r="O677" s="36" t="str">
        <x:v>REINE_WIEDERERKENNUNG</x:v>
      </x:c>
      <x:c r="P677" s="36" t="str">
        <x:v>ZUSAMMENHANG</x:v>
      </x:c>
      <x:c r="Q677" s="36" t="str">
        <x:v>Woran erkennt Paulus, dass die Korinther noch fleischlich beziehungsweise unreif handeln?</x:v>
      </x:c>
      <x:c r="R677" s="36" t="str">
        <x:v>Daran, dass sie überhaupt Fragen stellen.</x:v>
      </x:c>
      <x:c r="S677" s="36" t="str">
        <x:v>An Eifersucht und Streit sowie daran, dass sie sich nach menschlichen Leitern gruppieren.</x:v>
      </x:c>
      <x:c r="T677" s="36" t="str">
        <x:v>Daran, dass sie unterschiedliche Berufe haben.</x:v>
      </x:c>
      <x:c r="U677" s="36" t="str">
        <x:v>Daran, dass sie nicht alle dieselben Gaben besitzen.</x:v>
      </x:c>
      <x:c r="V677" s="36" t="n">
        <x:v>1</x:v>
      </x:c>
      <x:c r="W677" s="36" t="str">
        <x:f>CHOOSE(V677+1,R677,S677,T677,U677)</x:f>
        <x:v>An Eifersucht und Streit sowie daran, dass sie sich nach menschlichen Leitern gruppieren.</x:v>
      </x:c>
      <x:c r="X677" s="36" t="str">
        <x:v>1. Korinther 3,1–4</x:v>
      </x:c>
      <x:c r="Y677" s="36" t="str">
        <x:v>Paulus nennt Eifersucht, Streit und Parteibildung als Zeichen geistlicher Unreife.</x:v>
      </x:c>
      <x:c r="Z677" s="36" t="str">
        <x:v>JA</x:v>
      </x:c>
      <x:c r="AA677" s="36" t="str">
        <x:v>JA</x:v>
      </x:c>
      <x:c r="AB677" s="36" t="str">
        <x:v>JA</x:v>
      </x:c>
      <x:c r="AC677" s="36" t="str">
        <x:v>JA</x:v>
      </x:c>
      <x:c r="AD677" s="36" t="str">
        <x:v>JA</x:v>
      </x:c>
      <x:c r="AE677" s="36" t="str">
        <x:v>JA</x:v>
      </x:c>
      <x:c r="AF677" s="36" t="str">
        <x:v>JA</x:v>
      </x:c>
      <x:c r="AG677" s="36" t="str">
        <x:v>FREIGEGEBEN</x:v>
      </x:c>
      <x:c r="AH677" s="36" t="str">
        <x:v>GPT-5.6 Sol · Buchprüfung 1. Korinther · L1912/OTB</x:v>
      </x:c>
      <x:c r="AI677" s="36" t="str">
        <x:v>FREIGEGEBEN</x:v>
      </x:c>
      <x:c r="AJ677" s="36" t="str">
        <x:v>1. Korinther 3: repetitive Wiedererkennungsfrage durch ZUSAMMENHANG-Frage ersetzt.</x:v>
      </x:c>
      <x:c r="AK677" s="36" t="str">
        <x:v>FaithPath repo develop/v4 · data/stories.json · data/bibles/l1912/1CO.json · data/bibles/otb/1CO.json</x:v>
      </x:c>
      <x:c r="AL677" t="str">
        <x:f>IF(AND(AG677="FREIGEGEBEN",AI677="FREIGEGEBEN",Q677&lt;&gt;"",R677&lt;&gt;"",S677&lt;&gt;"",T677&lt;&gt;"",U677&lt;&gt;"",ISNUMBER(V677),X677&lt;&gt;"",Y677&lt;&gt;"",AA677="JA",AB677="JA",AC677="JA",AD677="JA",AE677="JA",AF677="JA"),"JA","NEIN")</x:f>
        <x:v>JA</x:v>
      </x:c>
    </x:row>
    <x:row r="678">
      <x:c r="A678" t="str">
        <x:v>FP-0937</x:v>
      </x:c>
      <x:c r="B678" t="str">
        <x:v>1CO</x:v>
      </x:c>
      <x:c r="C678" t="str">
        <x:v>1. Korinther</x:v>
      </x:c>
      <x:c r="D678" t="n">
        <x:v>3</x:v>
      </x:c>
      <x:c r="E678" t="n">
        <x:v>2</x:v>
      </x:c>
      <x:c r="F678" t="str">
        <x:v>1CO-003</x:v>
      </x:c>
      <x:c r="G678" t="n">
        <x:v>136</x:v>
      </x:c>
      <x:c r="H678" t="str">
        <x:v>CQ-A07</x:v>
      </x:c>
      <x:c r="I678" s="36" t="str">
        <x:v>Welche dieser Aussagen stammt aus 1. Korinther 3?</x:v>
      </x:c>
      <x:c r="J678" s="36" t="str"/>
      <x:c r="K678" s="36" t="str"/>
      <x:c r="L678" s="36" t="str">
        <x:v>REPO_VERIFIZIERT_FRAGEFORM</x:v>
      </x:c>
      <x:c r="M678" s="36" t="str">
        <x:v>ERSETZEN</x:v>
      </x:c>
      <x:c r="N678" s="36" t="str">
        <x:v>REPETITIVE_FRAGEFORM</x:v>
      </x:c>
      <x:c r="O678" s="36" t="str">
        <x:v>REINE_WIEDERERKENNUNG</x:v>
      </x:c>
      <x:c r="P678" s="36" t="str">
        <x:v>KERNAUSSAGE</x:v>
      </x:c>
      <x:c r="Q678" s="36" t="str">
        <x:v>Wie ordnet Paulus seinen Dienst und den des Apollos ein?</x:v>
      </x:c>
      <x:c r="R678" s="36" t="str">
        <x:v>Paulus gibt das Wachstum, Apollos ist überflüssig.</x:v>
      </x:c>
      <x:c r="S678" s="36" t="str">
        <x:v>Apollos ist der eigentliche Herr der Gemeinde.</x:v>
      </x:c>
      <x:c r="T678" s="36" t="str">
        <x:v>Beide sind Diener; Paulus pflanzt, Apollos begießt, aber Gott gibt das Wachstum.</x:v>
      </x:c>
      <x:c r="U678" s="36" t="str">
        <x:v>Beide arbeiten unabhängig von Gott.</x:v>
      </x:c>
      <x:c r="V678" s="36" t="n">
        <x:v>2</x:v>
      </x:c>
      <x:c r="W678" s="36" t="str">
        <x:f>CHOOSE(V678+1,R678,S678,T678,U678)</x:f>
        <x:v>Beide sind Diener; Paulus pflanzt, Apollos begießt, aber Gott gibt das Wachstum.</x:v>
      </x:c>
      <x:c r="X678" s="36" t="str">
        <x:v>1. Korinther 3,5–9</x:v>
      </x:c>
      <x:c r="Y678" s="36" t="str">
        <x:v>Paulus relativiert menschliche Leiter und betont Gottes entscheidendes Wirken.</x:v>
      </x:c>
      <x:c r="Z678" s="36" t="str">
        <x:v>JA</x:v>
      </x:c>
      <x:c r="AA678" s="36" t="str">
        <x:v>JA</x:v>
      </x:c>
      <x:c r="AB678" s="36" t="str">
        <x:v>JA</x:v>
      </x:c>
      <x:c r="AC678" s="36" t="str">
        <x:v>JA</x:v>
      </x:c>
      <x:c r="AD678" s="36" t="str">
        <x:v>JA</x:v>
      </x:c>
      <x:c r="AE678" s="36" t="str">
        <x:v>JA</x:v>
      </x:c>
      <x:c r="AF678" s="36" t="str">
        <x:v>JA</x:v>
      </x:c>
      <x:c r="AG678" s="36" t="str">
        <x:v>FREIGEGEBEN</x:v>
      </x:c>
      <x:c r="AH678" s="36" t="str">
        <x:v>GPT-5.6 Sol · Buchprüfung 1. Korinther · L1912/OTB</x:v>
      </x:c>
      <x:c r="AI678" s="36" t="str">
        <x:v>FREIGEGEBEN</x:v>
      </x:c>
      <x:c r="AJ678" s="36" t="str">
        <x:v>1. Korinther 3: repetitive Wiedererkennungsfrage durch KERNAUSSAGE-Frage ersetzt.</x:v>
      </x:c>
      <x:c r="AK678" s="36" t="str">
        <x:v>FaithPath repo develop/v4 · data/stories.json · data/bibles/l1912/1CO.json · data/bibles/otb/1CO.json</x:v>
      </x:c>
      <x:c r="AL678" t="str">
        <x:f>IF(AND(AG678="FREIGEGEBEN",AI678="FREIGEGEBEN",Q678&lt;&gt;"",R678&lt;&gt;"",S678&lt;&gt;"",T678&lt;&gt;"",U678&lt;&gt;"",ISNUMBER(V678),X678&lt;&gt;"",Y678&lt;&gt;"",AA678="JA",AB678="JA",AC678="JA",AD678="JA",AE678="JA",AF678="JA"),"JA","NEIN")</x:f>
        <x:v>JA</x:v>
      </x:c>
    </x:row>
    <x:row r="679">
      <x:c r="A679" t="str">
        <x:v>FP-0938</x:v>
      </x:c>
      <x:c r="B679" t="str">
        <x:v>1CO</x:v>
      </x:c>
      <x:c r="C679" t="str">
        <x:v>1. Korinther</x:v>
      </x:c>
      <x:c r="D679" t="n">
        <x:v>3</x:v>
      </x:c>
      <x:c r="E679" t="n">
        <x:v>3</x:v>
      </x:c>
      <x:c r="F679" t="str">
        <x:v>1CO-003</x:v>
      </x:c>
      <x:c r="G679" t="n">
        <x:v>136</x:v>
      </x:c>
      <x:c r="H679" t="str">
        <x:v>CQ-A07</x:v>
      </x:c>
      <x:c r="I679" s="36" t="str">
        <x:v>Welche dieser Aussagen stammt aus 1. Korinther 3?</x:v>
      </x:c>
      <x:c r="J679" s="36" t="str"/>
      <x:c r="K679" s="36" t="str"/>
      <x:c r="L679" s="36" t="str">
        <x:v>REPO_VERIFIZIERT_FRAGEFORM</x:v>
      </x:c>
      <x:c r="M679" s="36" t="str">
        <x:v>ERSETZEN</x:v>
      </x:c>
      <x:c r="N679" s="36" t="str">
        <x:v>REPETITIVE_FRAGEFORM</x:v>
      </x:c>
      <x:c r="O679" s="36" t="str">
        <x:v>REINE_WIEDERERKENNUNG</x:v>
      </x:c>
      <x:c r="P679" s="36" t="str">
        <x:v>KERNAUSSAGE</x:v>
      </x:c>
      <x:c r="Q679" s="36" t="str">
        <x:v>Welches Fundament kann nach Paulus niemand durch ein anderes ersetzen?</x:v>
      </x:c>
      <x:c r="R679" s="36" t="str">
        <x:v>Paulus.</x:v>
      </x:c>
      <x:c r="S679" s="36" t="str">
        <x:v>Die griechische Weisheit.</x:v>
      </x:c>
      <x:c r="T679" s="36" t="str">
        <x:v>Den Tempel in Jerusalem.</x:v>
      </x:c>
      <x:c r="U679" s="36" t="str">
        <x:v>Jesus Christus.</x:v>
      </x:c>
      <x:c r="V679" s="36" t="n">
        <x:v>3</x:v>
      </x:c>
      <x:c r="W679" s="36" t="str">
        <x:f>CHOOSE(V679+1,R679,S679,T679,U679)</x:f>
        <x:v>Jesus Christus.</x:v>
      </x:c>
      <x:c r="X679" s="36" t="str">
        <x:v>1. Korinther 3,10–15</x:v>
      </x:c>
      <x:c r="Y679" s="36" t="str">
        <x:v>Paulus beschreibt Christus als einziges Fundament; die Qualität des darauf gebauten Werkes wird geprüft.</x:v>
      </x:c>
      <x:c r="Z679" s="36" t="str">
        <x:v>JA</x:v>
      </x:c>
      <x:c r="AA679" s="36" t="str">
        <x:v>JA</x:v>
      </x:c>
      <x:c r="AB679" s="36" t="str">
        <x:v>JA</x:v>
      </x:c>
      <x:c r="AC679" s="36" t="str">
        <x:v>JA</x:v>
      </x:c>
      <x:c r="AD679" s="36" t="str">
        <x:v>JA</x:v>
      </x:c>
      <x:c r="AE679" s="36" t="str">
        <x:v>JA</x:v>
      </x:c>
      <x:c r="AF679" s="36" t="str">
        <x:v>JA</x:v>
      </x:c>
      <x:c r="AG679" s="36" t="str">
        <x:v>FREIGEGEBEN</x:v>
      </x:c>
      <x:c r="AH679" s="36" t="str">
        <x:v>GPT-5.6 Sol · Buchprüfung 1. Korinther · L1912/OTB</x:v>
      </x:c>
      <x:c r="AI679" s="36" t="str">
        <x:v>FREIGEGEBEN</x:v>
      </x:c>
      <x:c r="AJ679" s="36" t="str">
        <x:v>1. Korinther 3: repetitive Wiedererkennungsfrage durch KERNAUSSAGE-Frage ersetzt.</x:v>
      </x:c>
      <x:c r="AK679" s="36" t="str">
        <x:v>FaithPath repo develop/v4 · data/stories.json · data/bibles/l1912/1CO.json · data/bibles/otb/1CO.json</x:v>
      </x:c>
      <x:c r="AL679" t="str">
        <x:f>IF(AND(AG679="FREIGEGEBEN",AI679="FREIGEGEBEN",Q679&lt;&gt;"",R679&lt;&gt;"",S679&lt;&gt;"",T679&lt;&gt;"",U679&lt;&gt;"",ISNUMBER(V679),X679&lt;&gt;"",Y679&lt;&gt;"",AA679="JA",AB679="JA",AC679="JA",AD679="JA",AE679="JA",AF679="JA"),"JA","NEIN")</x:f>
        <x:v>JA</x:v>
      </x:c>
    </x:row>
    <x:row r="680">
      <x:c r="A680" t="str">
        <x:v>FP-0939</x:v>
      </x:c>
      <x:c r="B680" t="str">
        <x:v>1CO</x:v>
      </x:c>
      <x:c r="C680" t="str">
        <x:v>1. Korinther</x:v>
      </x:c>
      <x:c r="D680" t="n">
        <x:v>3</x:v>
      </x:c>
      <x:c r="E680" t="n">
        <x:v>4</x:v>
      </x:c>
      <x:c r="F680" t="str">
        <x:v>1CO-003</x:v>
      </x:c>
      <x:c r="G680" t="n">
        <x:v>136</x:v>
      </x:c>
      <x:c r="H680" t="str">
        <x:v>CQ-A07</x:v>
      </x:c>
      <x:c r="I680" s="36" t="str">
        <x:v>Welche dieser Aussagen stammt aus 1. Korinther 3?</x:v>
      </x:c>
      <x:c r="J680" s="36" t="str"/>
      <x:c r="K680" s="36" t="str"/>
      <x:c r="L680" s="36" t="str">
        <x:v>REPO_VERIFIZIERT_FRAGEFORM</x:v>
      </x:c>
      <x:c r="M680" s="36" t="str">
        <x:v>ERSETZEN</x:v>
      </x:c>
      <x:c r="N680" s="36" t="str">
        <x:v>REPETITIVE_FRAGEFORM</x:v>
      </x:c>
      <x:c r="O680" s="36" t="str">
        <x:v>REINE_WIEDERERKENNUNG</x:v>
      </x:c>
      <x:c r="P680" s="36" t="str">
        <x:v>KERNAUSSAGE</x:v>
      </x:c>
      <x:c r="Q680" s="36" t="str">
        <x:v>Was sagt Paulus über die Gemeinde als Tempel?</x:v>
      </x:c>
      <x:c r="R680" s="36" t="str">
        <x:v>Sie ist Gottes Tempel, und Gottes Geist wohnt in ihr.</x:v>
      </x:c>
      <x:c r="S680" s="36" t="str">
        <x:v>Nur das Jerusalemer Gebäude kann Gottes Tempel sein.</x:v>
      </x:c>
      <x:c r="T680" s="36" t="str">
        <x:v>Jeder Tempel ist unabhängig von Gott heilig.</x:v>
      </x:c>
      <x:c r="U680" s="36" t="str">
        <x:v>Gottes Geist wohnt nur in Aposteln.</x:v>
      </x:c>
      <x:c r="V680" s="36" t="n">
        <x:v>0</x:v>
      </x:c>
      <x:c r="W680" s="36" t="str">
        <x:f>CHOOSE(V680+1,R680,S680,T680,U680)</x:f>
        <x:v>Sie ist Gottes Tempel, und Gottes Geist wohnt in ihr.</x:v>
      </x:c>
      <x:c r="X680" s="36" t="str">
        <x:v>1. Korinther 3,16–17</x:v>
      </x:c>
      <x:c r="Y680" s="36" t="str">
        <x:v>Paulus wendet das Tempelbild auf die Gemeinde an und unterstreicht ihre Heiligkeit.</x:v>
      </x:c>
      <x:c r="Z680" s="36" t="str">
        <x:v>JA</x:v>
      </x:c>
      <x:c r="AA680" s="36" t="str">
        <x:v>JA</x:v>
      </x:c>
      <x:c r="AB680" s="36" t="str">
        <x:v>JA</x:v>
      </x:c>
      <x:c r="AC680" s="36" t="str">
        <x:v>JA</x:v>
      </x:c>
      <x:c r="AD680" s="36" t="str">
        <x:v>JA</x:v>
      </x:c>
      <x:c r="AE680" s="36" t="str">
        <x:v>JA</x:v>
      </x:c>
      <x:c r="AF680" s="36" t="str">
        <x:v>JA</x:v>
      </x:c>
      <x:c r="AG680" s="36" t="str">
        <x:v>FREIGEGEBEN</x:v>
      </x:c>
      <x:c r="AH680" s="36" t="str">
        <x:v>GPT-5.6 Sol · Buchprüfung 1. Korinther · L1912/OTB</x:v>
      </x:c>
      <x:c r="AI680" s="36" t="str">
        <x:v>FREIGEGEBEN</x:v>
      </x:c>
      <x:c r="AJ680" s="36" t="str">
        <x:v>1. Korinther 3: repetitive Wiedererkennungsfrage durch KERNAUSSAGE-Frage ersetzt.</x:v>
      </x:c>
      <x:c r="AK680" s="36" t="str">
        <x:v>FaithPath repo develop/v4 · data/stories.json · data/bibles/l1912/1CO.json · data/bibles/otb/1CO.json</x:v>
      </x:c>
      <x:c r="AL680" t="str">
        <x:f>IF(AND(AG680="FREIGEGEBEN",AI680="FREIGEGEBEN",Q680&lt;&gt;"",R680&lt;&gt;"",S680&lt;&gt;"",T680&lt;&gt;"",U680&lt;&gt;"",ISNUMBER(V680),X680&lt;&gt;"",Y680&lt;&gt;"",AA680="JA",AB680="JA",AC680="JA",AD680="JA",AE680="JA",AF680="JA"),"JA","NEIN")</x:f>
        <x:v>JA</x:v>
      </x:c>
    </x:row>
    <x:row r="681">
      <x:c r="A681" t="str">
        <x:v>FP-0940</x:v>
      </x:c>
      <x:c r="B681" t="str">
        <x:v>1CO</x:v>
      </x:c>
      <x:c r="C681" t="str">
        <x:v>1. Korinther</x:v>
      </x:c>
      <x:c r="D681" t="n">
        <x:v>3</x:v>
      </x:c>
      <x:c r="E681" t="n">
        <x:v>5</x:v>
      </x:c>
      <x:c r="F681" t="str">
        <x:v>1CO-003</x:v>
      </x:c>
      <x:c r="G681" t="n">
        <x:v>136</x:v>
      </x:c>
      <x:c r="H681" t="str">
        <x:v>CQ-A07</x:v>
      </x:c>
      <x:c r="I681" s="36" t="str">
        <x:v>Welche dieser Aussagen stammt aus 1. Korinther 3?</x:v>
      </x:c>
      <x:c r="J681" s="36" t="str"/>
      <x:c r="K681" s="36" t="str"/>
      <x:c r="L681" s="36" t="str">
        <x:v>REPO_VERIFIZIERT_FRAGEFORM</x:v>
      </x:c>
      <x:c r="M681" s="36" t="str">
        <x:v>ERSETZEN</x:v>
      </x:c>
      <x:c r="N681" s="36" t="str">
        <x:v>REPETITIVE_FRAGEFORM</x:v>
      </x:c>
      <x:c r="O681" s="36" t="str">
        <x:v>REINE_WIEDERERKENNUNG</x:v>
      </x:c>
      <x:c r="P681" s="36" t="str">
        <x:v>KERNAUSSAGE</x:v>
      </x:c>
      <x:c r="Q681" s="36" t="str">
        <x:v>Wie sollen die Korinther mit menschlicher Weisheit und dem Rühmen über Leiter umgehen?</x:v>
      </x:c>
      <x:c r="R681" s="36" t="str">
        <x:v>Sie sollen den klügsten Leiter zum eigentlichen Herrn machen.</x:v>
      </x:c>
      <x:c r="S681" s="36" t="str">
        <x:v>Sie sollen sich nicht selbst täuschen und sich nicht mit Menschen rühmen, denn alles gehört ihnen, sie aber Christus.</x:v>
      </x:c>
      <x:c r="T681" s="36" t="str">
        <x:v>Sie sollen nur Paulus folgen.</x:v>
      </x:c>
      <x:c r="U681" s="36" t="str">
        <x:v>Sie sollen Weisheit grundsätzlich ablehnen.</x:v>
      </x:c>
      <x:c r="V681" s="36" t="n">
        <x:v>1</x:v>
      </x:c>
      <x:c r="W681" s="36" t="str">
        <x:f>CHOOSE(V681+1,R681,S681,T681,U681)</x:f>
        <x:v>Sie sollen sich nicht selbst täuschen und sich nicht mit Menschen rühmen, denn alles gehört ihnen, sie aber Christus.</x:v>
      </x:c>
      <x:c r="X681" s="36" t="str">
        <x:v>1. Korinther 3,18–23</x:v>
      </x:c>
      <x:c r="Y681" s="36" t="str">
        <x:v>Paulus erklärt Weltweisheit vor Gott für Torheit und beendet die Parteibildung mit der Zugehörigkeit zu Christus.</x:v>
      </x:c>
      <x:c r="Z681" s="36" t="str">
        <x:v>JA</x:v>
      </x:c>
      <x:c r="AA681" s="36" t="str">
        <x:v>JA</x:v>
      </x:c>
      <x:c r="AB681" s="36" t="str">
        <x:v>JA</x:v>
      </x:c>
      <x:c r="AC681" s="36" t="str">
        <x:v>JA</x:v>
      </x:c>
      <x:c r="AD681" s="36" t="str">
        <x:v>JA</x:v>
      </x:c>
      <x:c r="AE681" s="36" t="str">
        <x:v>JA</x:v>
      </x:c>
      <x:c r="AF681" s="36" t="str">
        <x:v>JA</x:v>
      </x:c>
      <x:c r="AG681" s="36" t="str">
        <x:v>FREIGEGEBEN</x:v>
      </x:c>
      <x:c r="AH681" s="36" t="str">
        <x:v>GPT-5.6 Sol · Buchprüfung 1. Korinther · L1912/OTB</x:v>
      </x:c>
      <x:c r="AI681" s="36" t="str">
        <x:v>FREIGEGEBEN</x:v>
      </x:c>
      <x:c r="AJ681" s="36" t="str">
        <x:v>1. Korinther 3: repetitive Wiedererkennungsfrage durch KERNAUSSAGE-Frage ersetzt.</x:v>
      </x:c>
      <x:c r="AK681" s="36" t="str">
        <x:v>FaithPath repo develop/v4 · data/stories.json · data/bibles/l1912/1CO.json · data/bibles/otb/1CO.json</x:v>
      </x:c>
      <x:c r="AL681" t="str">
        <x:f>IF(AND(AG681="FREIGEGEBEN",AI681="FREIGEGEBEN",Q681&lt;&gt;"",R681&lt;&gt;"",S681&lt;&gt;"",T681&lt;&gt;"",U681&lt;&gt;"",ISNUMBER(V681),X681&lt;&gt;"",Y681&lt;&gt;"",AA681="JA",AB681="JA",AC681="JA",AD681="JA",AE681="JA",AF681="JA"),"JA","NEIN")</x:f>
        <x:v>JA</x:v>
      </x:c>
    </x:row>
    <x:row r="682">
      <x:c r="A682" t="str">
        <x:v>FP-0941</x:v>
      </x:c>
      <x:c r="B682" t="str">
        <x:v>1CO</x:v>
      </x:c>
      <x:c r="C682" t="str">
        <x:v>1. Korinther</x:v>
      </x:c>
      <x:c r="D682" t="n">
        <x:v>4</x:v>
      </x:c>
      <x:c r="E682" t="n">
        <x:v>1</x:v>
      </x:c>
      <x:c r="F682" t="str">
        <x:v>1CO-004</x:v>
      </x:c>
      <x:c r="G682" t="n">
        <x:v>137</x:v>
      </x:c>
      <x:c r="H682" t="str">
        <x:v>CQ-A07</x:v>
      </x:c>
      <x:c r="I682" s="36" t="str">
        <x:v>Welche dieser Aussagen stammt aus 1. Korinther 4?</x:v>
      </x:c>
      <x:c r="J682" s="36" t="str"/>
      <x:c r="K682" s="36" t="str"/>
      <x:c r="L682" s="36" t="str">
        <x:v>REPO_VERIFIZIERT_FRAGEFORM</x:v>
      </x:c>
      <x:c r="M682" s="36" t="str">
        <x:v>ERSETZEN</x:v>
      </x:c>
      <x:c r="N682" s="36" t="str">
        <x:v>REPETITIVE_FRAGEFORM</x:v>
      </x:c>
      <x:c r="O682" s="36" t="str">
        <x:v>REINE_WIEDERERKENNUNG</x:v>
      </x:c>
      <x:c r="P682" s="36" t="str">
        <x:v>KERNAUSSAGE</x:v>
      </x:c>
      <x:c r="Q682" s="36" t="str">
        <x:v>Wie sollen Apostel und andere Diener nach Paulus betrachtet werden?</x:v>
      </x:c>
      <x:c r="R682" s="36" t="str">
        <x:v>Als Besitzer der Gemeinde.</x:v>
      </x:c>
      <x:c r="S682" s="36" t="str">
        <x:v>Als Menschen, die keiner Rechenschaft unterliegen.</x:v>
      </x:c>
      <x:c r="T682" s="36" t="str">
        <x:v>Als Diener Christi und Verwalter von Gottes Geheimnissen, von denen Treue erwartet wird.</x:v>
      </x:c>
      <x:c r="U682" s="36" t="str">
        <x:v>Als politische Herrscher.</x:v>
      </x:c>
      <x:c r="V682" s="36" t="n">
        <x:v>2</x:v>
      </x:c>
      <x:c r="W682" s="36" t="str">
        <x:f>CHOOSE(V682+1,R682,S682,T682,U682)</x:f>
        <x:v>Als Diener Christi und Verwalter von Gottes Geheimnissen, von denen Treue erwartet wird.</x:v>
      </x:c>
      <x:c r="X682" s="36" t="str">
        <x:v>1. Korinther 4,1–5</x:v>
      </x:c>
      <x:c r="Y682" s="36" t="str">
        <x:v>Paulus betont Treue und verweist die endgültige Beurteilung des Dienstes auf den Herrn.</x:v>
      </x:c>
      <x:c r="Z682" s="36" t="str">
        <x:v>JA</x:v>
      </x:c>
      <x:c r="AA682" s="36" t="str">
        <x:v>JA</x:v>
      </x:c>
      <x:c r="AB682" s="36" t="str">
        <x:v>JA</x:v>
      </x:c>
      <x:c r="AC682" s="36" t="str">
        <x:v>JA</x:v>
      </x:c>
      <x:c r="AD682" s="36" t="str">
        <x:v>JA</x:v>
      </x:c>
      <x:c r="AE682" s="36" t="str">
        <x:v>JA</x:v>
      </x:c>
      <x:c r="AF682" s="36" t="str">
        <x:v>JA</x:v>
      </x:c>
      <x:c r="AG682" s="36" t="str">
        <x:v>FREIGEGEBEN</x:v>
      </x:c>
      <x:c r="AH682" s="36" t="str">
        <x:v>GPT-5.6 Sol · Buchprüfung 1. Korinther · L1912/OTB</x:v>
      </x:c>
      <x:c r="AI682" s="36" t="str">
        <x:v>FREIGEGEBEN</x:v>
      </x:c>
      <x:c r="AJ682" s="36" t="str">
        <x:v>1. Korinther 4: repetitive Wiedererkennungsfrage durch KERNAUSSAGE-Frage ersetzt.</x:v>
      </x:c>
      <x:c r="AK682" s="36" t="str">
        <x:v>FaithPath repo develop/v4 · data/stories.json · data/bibles/l1912/1CO.json · data/bibles/otb/1CO.json</x:v>
      </x:c>
      <x:c r="AL682" t="str">
        <x:f>IF(AND(AG682="FREIGEGEBEN",AI682="FREIGEGEBEN",Q682&lt;&gt;"",R682&lt;&gt;"",S682&lt;&gt;"",T682&lt;&gt;"",U682&lt;&gt;"",ISNUMBER(V682),X682&lt;&gt;"",Y682&lt;&gt;"",AA682="JA",AB682="JA",AC682="JA",AD682="JA",AE682="JA",AF682="JA"),"JA","NEIN")</x:f>
        <x:v>JA</x:v>
      </x:c>
    </x:row>
    <x:row r="683">
      <x:c r="A683" t="str">
        <x:v>FP-0942</x:v>
      </x:c>
      <x:c r="B683" t="str">
        <x:v>1CO</x:v>
      </x:c>
      <x:c r="C683" t="str">
        <x:v>1. Korinther</x:v>
      </x:c>
      <x:c r="D683" t="n">
        <x:v>4</x:v>
      </x:c>
      <x:c r="E683" t="n">
        <x:v>2</x:v>
      </x:c>
      <x:c r="F683" t="str">
        <x:v>1CO-004</x:v>
      </x:c>
      <x:c r="G683" t="n">
        <x:v>137</x:v>
      </x:c>
      <x:c r="H683" t="str">
        <x:v>CQ-A07</x:v>
      </x:c>
      <x:c r="I683" s="36" t="str">
        <x:v>Welche dieser Aussagen stammt aus 1. Korinther 4?</x:v>
      </x:c>
      <x:c r="J683" s="36" t="str"/>
      <x:c r="K683" s="36" t="str"/>
      <x:c r="L683" s="36" t="str">
        <x:v>REPO_VERIFIZIERT_FRAGEFORM</x:v>
      </x:c>
      <x:c r="M683" s="36" t="str">
        <x:v>ERSETZEN</x:v>
      </x:c>
      <x:c r="N683" s="36" t="str">
        <x:v>REPETITIVE_FRAGEFORM</x:v>
      </x:c>
      <x:c r="O683" s="36" t="str">
        <x:v>REINE_WIEDERERKENNUNG</x:v>
      </x:c>
      <x:c r="P683" s="36" t="str">
        <x:v>KERNAUSSAGE</x:v>
      </x:c>
      <x:c r="Q683" s="36" t="str">
        <x:v>Welche Frage soll Überheblichkeit in der Gemeinde entkräften?</x:v>
      </x:c>
      <x:c r="R683" s="36" t="str">
        <x:v>Wer besitzt das meiste Wissen?</x:v>
      </x:c>
      <x:c r="S683" s="36" t="str">
        <x:v>Wer wurde zuerst getauft?</x:v>
      </x:c>
      <x:c r="T683" s="36" t="str">
        <x:v>Wer ist gesellschaftlich am angesehensten?</x:v>
      </x:c>
      <x:c r="U683" s="36" t="str">
        <x:v>Was hast du, das du nicht empfangen hast?</x:v>
      </x:c>
      <x:c r="V683" s="36" t="n">
        <x:v>3</x:v>
      </x:c>
      <x:c r="W683" s="36" t="str">
        <x:f>CHOOSE(V683+1,R683,S683,T683,U683)</x:f>
        <x:v>Was hast du, das du nicht empfangen hast?</x:v>
      </x:c>
      <x:c r="X683" s="36" t="str">
        <x:v>1. Korinther 4,6–7</x:v>
      </x:c>
      <x:c r="Y683" s="36" t="str">
        <x:v>Paulus erinnert daran, dass alles Empfangene Gnade ist und daher kein Grund zur Überheblichkeit besteht.</x:v>
      </x:c>
      <x:c r="Z683" s="36" t="str">
        <x:v>JA</x:v>
      </x:c>
      <x:c r="AA683" s="36" t="str">
        <x:v>JA</x:v>
      </x:c>
      <x:c r="AB683" s="36" t="str">
        <x:v>JA</x:v>
      </x:c>
      <x:c r="AC683" s="36" t="str">
        <x:v>JA</x:v>
      </x:c>
      <x:c r="AD683" s="36" t="str">
        <x:v>JA</x:v>
      </x:c>
      <x:c r="AE683" s="36" t="str">
        <x:v>JA</x:v>
      </x:c>
      <x:c r="AF683" s="36" t="str">
        <x:v>JA</x:v>
      </x:c>
      <x:c r="AG683" s="36" t="str">
        <x:v>FREIGEGEBEN</x:v>
      </x:c>
      <x:c r="AH683" s="36" t="str">
        <x:v>GPT-5.6 Sol · Buchprüfung 1. Korinther · L1912/OTB</x:v>
      </x:c>
      <x:c r="AI683" s="36" t="str">
        <x:v>FREIGEGEBEN</x:v>
      </x:c>
      <x:c r="AJ683" s="36" t="str">
        <x:v>1. Korinther 4: repetitive Wiedererkennungsfrage durch KERNAUSSAGE-Frage ersetzt.</x:v>
      </x:c>
      <x:c r="AK683" s="36" t="str">
        <x:v>FaithPath repo develop/v4 · data/stories.json · data/bibles/l1912/1CO.json · data/bibles/otb/1CO.json</x:v>
      </x:c>
      <x:c r="AL683" t="str">
        <x:f>IF(AND(AG683="FREIGEGEBEN",AI683="FREIGEGEBEN",Q683&lt;&gt;"",R683&lt;&gt;"",S683&lt;&gt;"",T683&lt;&gt;"",U683&lt;&gt;"",ISNUMBER(V683),X683&lt;&gt;"",Y683&lt;&gt;"",AA683="JA",AB683="JA",AC683="JA",AD683="JA",AE683="JA",AF683="JA"),"JA","NEIN")</x:f>
        <x:v>JA</x:v>
      </x:c>
    </x:row>
    <x:row r="684">
      <x:c r="A684" t="str">
        <x:v>FP-0943</x:v>
      </x:c>
      <x:c r="B684" t="str">
        <x:v>1CO</x:v>
      </x:c>
      <x:c r="C684" t="str">
        <x:v>1. Korinther</x:v>
      </x:c>
      <x:c r="D684" t="n">
        <x:v>4</x:v>
      </x:c>
      <x:c r="E684" t="n">
        <x:v>3</x:v>
      </x:c>
      <x:c r="F684" t="str">
        <x:v>1CO-004</x:v>
      </x:c>
      <x:c r="G684" t="n">
        <x:v>137</x:v>
      </x:c>
      <x:c r="H684" t="str">
        <x:v>CQ-A07</x:v>
      </x:c>
      <x:c r="I684" s="36" t="str">
        <x:v>Welche dieser Aussagen stammt aus 1. Korinther 4?</x:v>
      </x:c>
      <x:c r="J684" s="36" t="str"/>
      <x:c r="K684" s="36" t="str"/>
      <x:c r="L684" s="36" t="str">
        <x:v>REPO_VERIFIZIERT_FRAGEFORM</x:v>
      </x:c>
      <x:c r="M684" s="36" t="str">
        <x:v>ERSETZEN</x:v>
      </x:c>
      <x:c r="N684" s="36" t="str">
        <x:v>REPETITIVE_FRAGEFORM</x:v>
      </x:c>
      <x:c r="O684" s="36" t="str">
        <x:v>REINE_WIEDERERKENNUNG</x:v>
      </x:c>
      <x:c r="P684" s="36" t="str">
        <x:v>ZUSAMMENHANG</x:v>
      </x:c>
      <x:c r="Q684" s="36" t="str">
        <x:v>Wie beschreibt Paulus den Kontrast zwischen der Selbstwahrnehmung der Korinther und dem Leben der Apostel?</x:v>
      </x:c>
      <x:c r="R684" s="36" t="str">
        <x:v>Die Korinther fühlen sich satt und reich, während die Apostel Schwachheit, Verachtung und Entbehrung erleben.</x:v>
      </x:c>
      <x:c r="S684" s="36" t="str">
        <x:v>Die Apostel leben im Luxus, die Korinther in Armut.</x:v>
      </x:c>
      <x:c r="T684" s="36" t="str">
        <x:v>Beide Gruppen erleben genau dasselbe.</x:v>
      </x:c>
      <x:c r="U684" s="36" t="str">
        <x:v>Die Apostel vermeiden jeden öffentlichen Widerstand.</x:v>
      </x:c>
      <x:c r="V684" s="36" t="n">
        <x:v>0</x:v>
      </x:c>
      <x:c r="W684" s="36" t="str">
        <x:f>CHOOSE(V684+1,R684,S684,T684,U684)</x:f>
        <x:v>Die Korinther fühlen sich satt und reich, während die Apostel Schwachheit, Verachtung und Entbehrung erleben.</x:v>
      </x:c>
      <x:c r="X684" s="36" t="str">
        <x:v>1. Korinther 4,8–13</x:v>
      </x:c>
      <x:c r="Y684" s="36" t="str">
        <x:v>Paulus benutzt scharfe Ironie und beschreibt den leidenden apostolischen Dienst.</x:v>
      </x:c>
      <x:c r="Z684" s="36" t="str">
        <x:v>JA</x:v>
      </x:c>
      <x:c r="AA684" s="36" t="str">
        <x:v>JA</x:v>
      </x:c>
      <x:c r="AB684" s="36" t="str">
        <x:v>JA</x:v>
      </x:c>
      <x:c r="AC684" s="36" t="str">
        <x:v>JA</x:v>
      </x:c>
      <x:c r="AD684" s="36" t="str">
        <x:v>JA</x:v>
      </x:c>
      <x:c r="AE684" s="36" t="str">
        <x:v>JA</x:v>
      </x:c>
      <x:c r="AF684" s="36" t="str">
        <x:v>JA</x:v>
      </x:c>
      <x:c r="AG684" s="36" t="str">
        <x:v>FREIGEGEBEN</x:v>
      </x:c>
      <x:c r="AH684" s="36" t="str">
        <x:v>GPT-5.6 Sol · Buchprüfung 1. Korinther · L1912/OTB</x:v>
      </x:c>
      <x:c r="AI684" s="36" t="str">
        <x:v>FREIGEGEBEN</x:v>
      </x:c>
      <x:c r="AJ684" s="36" t="str">
        <x:v>1. Korinther 4: repetitive Wiedererkennungsfrage durch ZUSAMMENHANG-Frage ersetzt.</x:v>
      </x:c>
      <x:c r="AK684" s="36" t="str">
        <x:v>FaithPath repo develop/v4 · data/stories.json · data/bibles/l1912/1CO.json · data/bibles/otb/1CO.json</x:v>
      </x:c>
      <x:c r="AL684" t="str">
        <x:f>IF(AND(AG684="FREIGEGEBEN",AI684="FREIGEGEBEN",Q684&lt;&gt;"",R684&lt;&gt;"",S684&lt;&gt;"",T684&lt;&gt;"",U684&lt;&gt;"",ISNUMBER(V684),X684&lt;&gt;"",Y684&lt;&gt;"",AA684="JA",AB684="JA",AC684="JA",AD684="JA",AE684="JA",AF684="JA"),"JA","NEIN")</x:f>
        <x:v>JA</x:v>
      </x:c>
    </x:row>
    <x:row r="685">
      <x:c r="A685" t="str">
        <x:v>FP-0944</x:v>
      </x:c>
      <x:c r="B685" t="str">
        <x:v>1CO</x:v>
      </x:c>
      <x:c r="C685" t="str">
        <x:v>1. Korinther</x:v>
      </x:c>
      <x:c r="D685" t="n">
        <x:v>4</x:v>
      </x:c>
      <x:c r="E685" t="n">
        <x:v>4</x:v>
      </x:c>
      <x:c r="F685" t="str">
        <x:v>1CO-004</x:v>
      </x:c>
      <x:c r="G685" t="n">
        <x:v>137</x:v>
      </x:c>
      <x:c r="H685" t="str">
        <x:v>CQ-A07</x:v>
      </x:c>
      <x:c r="I685" s="36" t="str">
        <x:v>Welche dieser Aussagen stammt aus 1. Korinther 4?</x:v>
      </x:c>
      <x:c r="J685" s="36" t="str"/>
      <x:c r="K685" s="36" t="str"/>
      <x:c r="L685" s="36" t="str">
        <x:v>REPO_VERIFIZIERT_FRAGEFORM</x:v>
      </x:c>
      <x:c r="M685" s="36" t="str">
        <x:v>ERSETZEN</x:v>
      </x:c>
      <x:c r="N685" s="36" t="str">
        <x:v>REPETITIVE_FRAGEFORM</x:v>
      </x:c>
      <x:c r="O685" s="36" t="str">
        <x:v>REINE_WIEDERERKENNUNG</x:v>
      </x:c>
      <x:c r="P685" s="36" t="str">
        <x:v>PERSON_AUSSAGE</x:v>
      </x:c>
      <x:c r="Q685" s="36" t="str">
        <x:v>Warum fordert Paulus die Korinther auf, seinem Beispiel zu folgen?</x:v>
      </x:c>
      <x:c r="R685" s="36" t="str">
        <x:v>Weil er sich selbst für unfehlbar hält.</x:v>
      </x:c>
      <x:c r="S685" s="36" t="str">
        <x:v>Weil er sie durch das Evangelium wie ein Vater in Christus hervorgebracht hat und Timotheus sie an seine Wege erinnern soll.</x:v>
      </x:c>
      <x:c r="T685" s="36" t="str">
        <x:v>Weil nur Paulus den Heiligen Geist besitzt.</x:v>
      </x:c>
      <x:c r="U685" s="36" t="str">
        <x:v>Weil Timotheus die Gemeinde ersetzen soll.</x:v>
      </x:c>
      <x:c r="V685" s="36" t="n">
        <x:v>1</x:v>
      </x:c>
      <x:c r="W685" s="36" t="str">
        <x:f>CHOOSE(V685+1,R685,S685,T685,U685)</x:f>
        <x:v>Weil er sie durch das Evangelium wie ein Vater in Christus hervorgebracht hat und Timotheus sie an seine Wege erinnern soll.</x:v>
      </x:c>
      <x:c r="X685" s="36" t="str">
        <x:v>1. Korinther 4,14–17</x:v>
      </x:c>
      <x:c r="Y685" s="36" t="str">
        <x:v>Paulus spricht in einer väterlichen Beziehung zur Gemeinde und verweist auf sein in Christus geprägtes Lebensbeispiel.</x:v>
      </x:c>
      <x:c r="Z685" s="36" t="str">
        <x:v>JA</x:v>
      </x:c>
      <x:c r="AA685" s="36" t="str">
        <x:v>JA</x:v>
      </x:c>
      <x:c r="AB685" s="36" t="str">
        <x:v>JA</x:v>
      </x:c>
      <x:c r="AC685" s="36" t="str">
        <x:v>JA</x:v>
      </x:c>
      <x:c r="AD685" s="36" t="str">
        <x:v>JA</x:v>
      </x:c>
      <x:c r="AE685" s="36" t="str">
        <x:v>JA</x:v>
      </x:c>
      <x:c r="AF685" s="36" t="str">
        <x:v>JA</x:v>
      </x:c>
      <x:c r="AG685" s="36" t="str">
        <x:v>FREIGEGEBEN</x:v>
      </x:c>
      <x:c r="AH685" s="36" t="str">
        <x:v>GPT-5.6 Sol · Buchprüfung 1. Korinther · L1912/OTB</x:v>
      </x:c>
      <x:c r="AI685" s="36" t="str">
        <x:v>FREIGEGEBEN</x:v>
      </x:c>
      <x:c r="AJ685" s="36" t="str">
        <x:v>1. Korinther 4: repetitive Wiedererkennungsfrage durch PERSON_AUSSAGE-Frage ersetzt.</x:v>
      </x:c>
      <x:c r="AK685" s="36" t="str">
        <x:v>FaithPath repo develop/v4 · data/stories.json · data/bibles/l1912/1CO.json · data/bibles/otb/1CO.json</x:v>
      </x:c>
      <x:c r="AL685" t="str">
        <x:f>IF(AND(AG685="FREIGEGEBEN",AI685="FREIGEGEBEN",Q685&lt;&gt;"",R685&lt;&gt;"",S685&lt;&gt;"",T685&lt;&gt;"",U685&lt;&gt;"",ISNUMBER(V685),X685&lt;&gt;"",Y685&lt;&gt;"",AA685="JA",AB685="JA",AC685="JA",AD685="JA",AE685="JA",AF685="JA"),"JA","NEIN")</x:f>
        <x:v>JA</x:v>
      </x:c>
    </x:row>
    <x:row r="686">
      <x:c r="A686" t="str">
        <x:v>FP-0945</x:v>
      </x:c>
      <x:c r="B686" t="str">
        <x:v>1CO</x:v>
      </x:c>
      <x:c r="C686" t="str">
        <x:v>1. Korinther</x:v>
      </x:c>
      <x:c r="D686" t="n">
        <x:v>4</x:v>
      </x:c>
      <x:c r="E686" t="n">
        <x:v>5</x:v>
      </x:c>
      <x:c r="F686" t="str">
        <x:v>1CO-004</x:v>
      </x:c>
      <x:c r="G686" t="n">
        <x:v>137</x:v>
      </x:c>
      <x:c r="H686" t="str">
        <x:v>CQ-A07</x:v>
      </x:c>
      <x:c r="I686" s="36" t="str">
        <x:v>Welche dieser Aussagen stammt aus 1. Korinther 4?</x:v>
      </x:c>
      <x:c r="J686" s="36" t="str"/>
      <x:c r="K686" s="36" t="str"/>
      <x:c r="L686" s="36" t="str">
        <x:v>REPO_VERIFIZIERT_FRAGEFORM</x:v>
      </x:c>
      <x:c r="M686" s="36" t="str">
        <x:v>ERSETZEN</x:v>
      </x:c>
      <x:c r="N686" s="36" t="str">
        <x:v>REPETITIVE_FRAGEFORM</x:v>
      </x:c>
      <x:c r="O686" s="36" t="str">
        <x:v>REINE_WIEDERERKENNUNG</x:v>
      </x:c>
      <x:c r="P686" s="36" t="str">
        <x:v>KERNAUSSAGE</x:v>
      </x:c>
      <x:c r="Q686" s="36" t="str">
        <x:v>Woran will Paulus bei überheblichen Leuten die Wirklichkeit ihres Anspruchs messen?</x:v>
      </x:c>
      <x:c r="R686" s="36" t="str">
        <x:v>Nur an ihrer Bildung.</x:v>
      </x:c>
      <x:c r="S686" s="36" t="str">
        <x:v>An ihrem Besitz.</x:v>
      </x:c>
      <x:c r="T686" s="36" t="str">
        <x:v>Nicht an ihren Worten, sondern an ihrer Kraft, denn Gottes Reich besteht nicht in Worten, sondern in Kraft.</x:v>
      </x:c>
      <x:c r="U686" s="36" t="str">
        <x:v>An ihrer Herkunft.</x:v>
      </x:c>
      <x:c r="V686" s="36" t="n">
        <x:v>2</x:v>
      </x:c>
      <x:c r="W686" s="36" t="str">
        <x:f>CHOOSE(V686+1,R686,S686,T686,U686)</x:f>
        <x:v>Nicht an ihren Worten, sondern an ihrer Kraft, denn Gottes Reich besteht nicht in Worten, sondern in Kraft.</x:v>
      </x:c>
      <x:c r="X686" s="36" t="str">
        <x:v>1. Korinther 4,18–21</x:v>
      </x:c>
      <x:c r="Y686" s="36" t="str">
        <x:v>Paulus kontrastiert bloße Rede mit der wirksamen Kraft, die Gottes Reich kennzeichnet.</x:v>
      </x:c>
      <x:c r="Z686" s="36" t="str">
        <x:v>JA</x:v>
      </x:c>
      <x:c r="AA686" s="36" t="str">
        <x:v>JA</x:v>
      </x:c>
      <x:c r="AB686" s="36" t="str">
        <x:v>JA</x:v>
      </x:c>
      <x:c r="AC686" s="36" t="str">
        <x:v>JA</x:v>
      </x:c>
      <x:c r="AD686" s="36" t="str">
        <x:v>JA</x:v>
      </x:c>
      <x:c r="AE686" s="36" t="str">
        <x:v>JA</x:v>
      </x:c>
      <x:c r="AF686" s="36" t="str">
        <x:v>JA</x:v>
      </x:c>
      <x:c r="AG686" s="36" t="str">
        <x:v>FREIGEGEBEN</x:v>
      </x:c>
      <x:c r="AH686" s="36" t="str">
        <x:v>GPT-5.6 Sol · Buchprüfung 1. Korinther · L1912/OTB</x:v>
      </x:c>
      <x:c r="AI686" s="36" t="str">
        <x:v>FREIGEGEBEN</x:v>
      </x:c>
      <x:c r="AJ686" s="36" t="str">
        <x:v>1. Korinther 4: repetitive Wiedererkennungsfrage durch KERNAUSSAGE-Frage ersetzt.</x:v>
      </x:c>
      <x:c r="AK686" s="36" t="str">
        <x:v>FaithPath repo develop/v4 · data/stories.json · data/bibles/l1912/1CO.json · data/bibles/otb/1CO.json</x:v>
      </x:c>
      <x:c r="AL686" t="str">
        <x:f>IF(AND(AG686="FREIGEGEBEN",AI686="FREIGEGEBEN",Q686&lt;&gt;"",R686&lt;&gt;"",S686&lt;&gt;"",T686&lt;&gt;"",U686&lt;&gt;"",ISNUMBER(V686),X686&lt;&gt;"",Y686&lt;&gt;"",AA686="JA",AB686="JA",AC686="JA",AD686="JA",AE686="JA",AF686="JA"),"JA","NEIN")</x:f>
        <x:v>JA</x:v>
      </x:c>
    </x:row>
    <x:row r="687">
      <x:c r="A687" t="str">
        <x:v>FP-0946</x:v>
      </x:c>
      <x:c r="B687" t="str">
        <x:v>1CO</x:v>
      </x:c>
      <x:c r="C687" t="str">
        <x:v>1. Korinther</x:v>
      </x:c>
      <x:c r="D687" t="n">
        <x:v>5</x:v>
      </x:c>
      <x:c r="E687" t="n">
        <x:v>1</x:v>
      </x:c>
      <x:c r="F687" t="str">
        <x:v>1CO-005</x:v>
      </x:c>
      <x:c r="G687" t="n">
        <x:v>138</x:v>
      </x:c>
      <x:c r="H687" t="str">
        <x:v>CQ-A07</x:v>
      </x:c>
      <x:c r="I687" s="36" t="str">
        <x:v>Welche dieser Aussagen stammt aus 1. Korinther 5?</x:v>
      </x:c>
      <x:c r="J687" s="36" t="str"/>
      <x:c r="K687" s="36" t="str"/>
      <x:c r="L687" s="36" t="str">
        <x:v>REPO_VERIFIZIERT_FRAGEFORM</x:v>
      </x:c>
      <x:c r="M687" s="36" t="str">
        <x:v>ERSETZEN</x:v>
      </x:c>
      <x:c r="N687" s="36" t="str">
        <x:v>REPETITIVE_FRAGEFORM</x:v>
      </x:c>
      <x:c r="O687" s="36" t="str">
        <x:v>REINE_WIEDERERKENNUNG</x:v>
      </x:c>
      <x:c r="P687" s="36" t="str">
        <x:v>ZUSAMMENHANG</x:v>
      </x:c>
      <x:c r="Q687" s="36" t="str">
        <x:v>Warum reagiert Paulus so scharf auf den Fall schwerer sexueller Unmoral in der Gemeinde?</x:v>
      </x:c>
      <x:c r="R687" s="36" t="str">
        <x:v>Weil nur Nichtchristen sündigen dürfen.</x:v>
      </x:c>
      <x:c r="S687" s="36" t="str">
        <x:v>Weil Paulus jede Ehe ablehnt.</x:v>
      </x:c>
      <x:c r="T687" s="36" t="str">
        <x:v>Weil es ausschließlich um gesellschaftlichen Ruf geht.</x:v>
      </x:c>
      <x:c r="U687" s="36" t="str">
        <x:v>Weil die Gemeinde sich damit sogar noch rühmt, statt die Sünde ernst zu nehmen und zu handeln.</x:v>
      </x:c>
      <x:c r="V687" s="36" t="n">
        <x:v>3</x:v>
      </x:c>
      <x:c r="W687" s="36" t="str">
        <x:f>CHOOSE(V687+1,R687,S687,T687,U687)</x:f>
        <x:v>Weil die Gemeinde sich damit sogar noch rühmt, statt die Sünde ernst zu nehmen und zu handeln.</x:v>
      </x:c>
      <x:c r="X687" s="36" t="str">
        <x:v>1. Korinther 5,1–5</x:v>
      </x:c>
      <x:c r="Y687" s="36" t="str">
        <x:v>Paulus verbindet die Schwere des Falls mit der falschen Haltung der Gemeinde und fordert konsequentes Handeln.</x:v>
      </x:c>
      <x:c r="Z687" s="36" t="str">
        <x:v>JA</x:v>
      </x:c>
      <x:c r="AA687" s="36" t="str">
        <x:v>JA</x:v>
      </x:c>
      <x:c r="AB687" s="36" t="str">
        <x:v>JA</x:v>
      </x:c>
      <x:c r="AC687" s="36" t="str">
        <x:v>JA</x:v>
      </x:c>
      <x:c r="AD687" s="36" t="str">
        <x:v>JA</x:v>
      </x:c>
      <x:c r="AE687" s="36" t="str">
        <x:v>JA</x:v>
      </x:c>
      <x:c r="AF687" s="36" t="str">
        <x:v>JA</x:v>
      </x:c>
      <x:c r="AG687" s="36" t="str">
        <x:v>FREIGEGEBEN</x:v>
      </x:c>
      <x:c r="AH687" s="36" t="str">
        <x:v>GPT-5.6 Sol · Buchprüfung 1. Korinther · L1912/OTB</x:v>
      </x:c>
      <x:c r="AI687" s="36" t="str">
        <x:v>FREIGEGEBEN</x:v>
      </x:c>
      <x:c r="AJ687" s="36" t="str">
        <x:v>1. Korinther 5: repetitive Wiedererkennungsfrage durch ZUSAMMENHANG-Frage ersetzt.</x:v>
      </x:c>
      <x:c r="AK687" s="36" t="str">
        <x:v>FaithPath repo develop/v4 · data/stories.json · data/bibles/l1912/1CO.json · data/bibles/otb/1CO.json</x:v>
      </x:c>
      <x:c r="AL687" t="str">
        <x:f>IF(AND(AG687="FREIGEGEBEN",AI687="FREIGEGEBEN",Q687&lt;&gt;"",R687&lt;&gt;"",S687&lt;&gt;"",T687&lt;&gt;"",U687&lt;&gt;"",ISNUMBER(V687),X687&lt;&gt;"",Y687&lt;&gt;"",AA687="JA",AB687="JA",AC687="JA",AD687="JA",AE687="JA",AF687="JA"),"JA","NEIN")</x:f>
        <x:v>JA</x:v>
      </x:c>
    </x:row>
    <x:row r="688">
      <x:c r="A688" t="str">
        <x:v>FP-0947</x:v>
      </x:c>
      <x:c r="B688" t="str">
        <x:v>1CO</x:v>
      </x:c>
      <x:c r="C688" t="str">
        <x:v>1. Korinther</x:v>
      </x:c>
      <x:c r="D688" t="n">
        <x:v>5</x:v>
      </x:c>
      <x:c r="E688" t="n">
        <x:v>2</x:v>
      </x:c>
      <x:c r="F688" t="str">
        <x:v>1CO-005</x:v>
      </x:c>
      <x:c r="G688" t="n">
        <x:v>138</x:v>
      </x:c>
      <x:c r="H688" t="str">
        <x:v>CQ-A07</x:v>
      </x:c>
      <x:c r="I688" s="36" t="str">
        <x:v>Welche dieser Aussagen stammt aus 1. Korinther 5?</x:v>
      </x:c>
      <x:c r="J688" s="36" t="str"/>
      <x:c r="K688" s="36" t="str"/>
      <x:c r="L688" s="36" t="str">
        <x:v>REPO_VERIFIZIERT_FRAGEFORM</x:v>
      </x:c>
      <x:c r="M688" s="36" t="str">
        <x:v>ERSETZEN</x:v>
      </x:c>
      <x:c r="N688" s="36" t="str">
        <x:v>REPETITIVE_FRAGEFORM</x:v>
      </x:c>
      <x:c r="O688" s="36" t="str">
        <x:v>REINE_WIEDERERKENNUNG</x:v>
      </x:c>
      <x:c r="P688" s="36" t="str">
        <x:v>KERNAUSSAGE</x:v>
      </x:c>
      <x:c r="Q688" s="36" t="str">
        <x:v>Was bedeutet das Bild vom „wenigen Sauerteig“ in diesem Kapitel?</x:v>
      </x:c>
      <x:c r="R688" s="36" t="str">
        <x:v>Unbehandelte Sünde kann die ganze Gemeinschaft durchdringen.</x:v>
      </x:c>
      <x:c r="S688" s="36" t="str">
        <x:v>Die Gemeinde soll mehr Brot backen.</x:v>
      </x:c>
      <x:c r="T688" s="36" t="str">
        <x:v>Nur äußere Speisevorschriften sind wichtig.</x:v>
      </x:c>
      <x:c r="U688" s="36" t="str">
        <x:v>Sauerteig steht hier für apostolische Lehre.</x:v>
      </x:c>
      <x:c r="V688" s="36" t="n">
        <x:v>0</x:v>
      </x:c>
      <x:c r="W688" s="36" t="str">
        <x:f>CHOOSE(V688+1,R688,S688,T688,U688)</x:f>
        <x:v>Unbehandelte Sünde kann die ganze Gemeinschaft durchdringen.</x:v>
      </x:c>
      <x:c r="X688" s="36" t="str">
        <x:v>1. Korinther 5,6–8</x:v>
      </x:c>
      <x:c r="Y688" s="36" t="str">
        <x:v>Paulus nutzt Sauerteig als Bild für den ausbreitenden Einfluss des Bösen und ruft zu Aufrichtigkeit und Wahrheit.</x:v>
      </x:c>
      <x:c r="Z688" s="36" t="str">
        <x:v>JA</x:v>
      </x:c>
      <x:c r="AA688" s="36" t="str">
        <x:v>JA</x:v>
      </x:c>
      <x:c r="AB688" s="36" t="str">
        <x:v>JA</x:v>
      </x:c>
      <x:c r="AC688" s="36" t="str">
        <x:v>JA</x:v>
      </x:c>
      <x:c r="AD688" s="36" t="str">
        <x:v>JA</x:v>
      </x:c>
      <x:c r="AE688" s="36" t="str">
        <x:v>JA</x:v>
      </x:c>
      <x:c r="AF688" s="36" t="str">
        <x:v>JA</x:v>
      </x:c>
      <x:c r="AG688" s="36" t="str">
        <x:v>FREIGEGEBEN</x:v>
      </x:c>
      <x:c r="AH688" s="36" t="str">
        <x:v>GPT-5.6 Sol · Buchprüfung 1. Korinther · L1912/OTB</x:v>
      </x:c>
      <x:c r="AI688" s="36" t="str">
        <x:v>FREIGEGEBEN</x:v>
      </x:c>
      <x:c r="AJ688" s="36" t="str">
        <x:v>1. Korinther 5: repetitive Wiedererkennungsfrage durch KERNAUSSAGE-Frage ersetzt.</x:v>
      </x:c>
      <x:c r="AK688" s="36" t="str">
        <x:v>FaithPath repo develop/v4 · data/stories.json · data/bibles/l1912/1CO.json · data/bibles/otb/1CO.json</x:v>
      </x:c>
      <x:c r="AL688" t="str">
        <x:f>IF(AND(AG688="FREIGEGEBEN",AI688="FREIGEGEBEN",Q688&lt;&gt;"",R688&lt;&gt;"",S688&lt;&gt;"",T688&lt;&gt;"",U688&lt;&gt;"",ISNUMBER(V688),X688&lt;&gt;"",Y688&lt;&gt;"",AA688="JA",AB688="JA",AC688="JA",AD688="JA",AE688="JA",AF688="JA"),"JA","NEIN")</x:f>
        <x:v>JA</x:v>
      </x:c>
    </x:row>
    <x:row r="689">
      <x:c r="A689" t="str">
        <x:v>FP-0948</x:v>
      </x:c>
      <x:c r="B689" t="str">
        <x:v>1CO</x:v>
      </x:c>
      <x:c r="C689" t="str">
        <x:v>1. Korinther</x:v>
      </x:c>
      <x:c r="D689" t="n">
        <x:v>5</x:v>
      </x:c>
      <x:c r="E689" t="n">
        <x:v>3</x:v>
      </x:c>
      <x:c r="F689" t="str">
        <x:v>1CO-005</x:v>
      </x:c>
      <x:c r="G689" t="n">
        <x:v>138</x:v>
      </x:c>
      <x:c r="H689" t="str">
        <x:v>CQ-A07</x:v>
      </x:c>
      <x:c r="I689" s="36" t="str">
        <x:v>Welche dieser Aussagen stammt aus 1. Korinther 5?</x:v>
      </x:c>
      <x:c r="J689" s="36" t="str"/>
      <x:c r="K689" s="36" t="str"/>
      <x:c r="L689" s="36" t="str">
        <x:v>REPO_VERIFIZIERT_FRAGEFORM</x:v>
      </x:c>
      <x:c r="M689" s="36" t="str">
        <x:v>ERSETZEN</x:v>
      </x:c>
      <x:c r="N689" s="36" t="str">
        <x:v>REPETITIVE_FRAGEFORM</x:v>
      </x:c>
      <x:c r="O689" s="36" t="str">
        <x:v>REINE_WIEDERERKENNUNG</x:v>
      </x:c>
      <x:c r="P689" s="36" t="str">
        <x:v>ZUSAMMENHANG</x:v>
      </x:c>
      <x:c r="Q689" s="36" t="str">
        <x:v>Von wem sollen sich die Korinther nach Paulus in besonderer Weise distanzieren?</x:v>
      </x:c>
      <x:c r="R689" s="36" t="str">
        <x:v>Von allen Menschen außerhalb der Gemeinde.</x:v>
      </x:c>
      <x:c r="S689" s="36" t="str">
        <x:v>Von jemandem, der sich Bruder nennt und zugleich bewusst in schwerer Unmoral verharrt.</x:v>
      </x:c>
      <x:c r="T689" s="36" t="str">
        <x:v>Von jedem, der einmal gesündigt hat.</x:v>
      </x:c>
      <x:c r="U689" s="36" t="str">
        <x:v>Von allen Nichtjuden.</x:v>
      </x:c>
      <x:c r="V689" s="36" t="n">
        <x:v>1</x:v>
      </x:c>
      <x:c r="W689" s="36" t="str">
        <x:f>CHOOSE(V689+1,R689,S689,T689,U689)</x:f>
        <x:v>Von jemandem, der sich Bruder nennt und zugleich bewusst in schwerer Unmoral verharrt.</x:v>
      </x:c>
      <x:c r="X689" s="36" t="str">
        <x:v>1. Korinther 5,9–11</x:v>
      </x:c>
      <x:c r="Y689" s="36" t="str">
        <x:v>Paulus stellt klar, dass er nicht vollständigen Rückzug aus der Welt meint, sondern Verantwortung innerhalb der Gemeinde.</x:v>
      </x:c>
      <x:c r="Z689" s="36" t="str">
        <x:v>JA</x:v>
      </x:c>
      <x:c r="AA689" s="36" t="str">
        <x:v>JA</x:v>
      </x:c>
      <x:c r="AB689" s="36" t="str">
        <x:v>JA</x:v>
      </x:c>
      <x:c r="AC689" s="36" t="str">
        <x:v>JA</x:v>
      </x:c>
      <x:c r="AD689" s="36" t="str">
        <x:v>JA</x:v>
      </x:c>
      <x:c r="AE689" s="36" t="str">
        <x:v>JA</x:v>
      </x:c>
      <x:c r="AF689" s="36" t="str">
        <x:v>JA</x:v>
      </x:c>
      <x:c r="AG689" s="36" t="str">
        <x:v>FREIGEGEBEN</x:v>
      </x:c>
      <x:c r="AH689" s="36" t="str">
        <x:v>GPT-5.6 Sol · Buchprüfung 1. Korinther · L1912/OTB</x:v>
      </x:c>
      <x:c r="AI689" s="36" t="str">
        <x:v>FREIGEGEBEN</x:v>
      </x:c>
      <x:c r="AJ689" s="36" t="str">
        <x:v>1. Korinther 5: repetitive Wiedererkennungsfrage durch ZUSAMMENHANG-Frage ersetzt.</x:v>
      </x:c>
      <x:c r="AK689" s="36" t="str">
        <x:v>FaithPath repo develop/v4 · data/stories.json · data/bibles/l1912/1CO.json · data/bibles/otb/1CO.json</x:v>
      </x:c>
      <x:c r="AL689" t="str">
        <x:f>IF(AND(AG689="FREIGEGEBEN",AI689="FREIGEGEBEN",Q689&lt;&gt;"",R689&lt;&gt;"",S689&lt;&gt;"",T689&lt;&gt;"",U689&lt;&gt;"",ISNUMBER(V689),X689&lt;&gt;"",Y689&lt;&gt;"",AA689="JA",AB689="JA",AC689="JA",AD689="JA",AE689="JA",AF689="JA"),"JA","NEIN")</x:f>
        <x:v>JA</x:v>
      </x:c>
    </x:row>
    <x:row r="690">
      <x:c r="A690" t="str">
        <x:v>FP-0949</x:v>
      </x:c>
      <x:c r="B690" t="str">
        <x:v>1CO</x:v>
      </x:c>
      <x:c r="C690" t="str">
        <x:v>1. Korinther</x:v>
      </x:c>
      <x:c r="D690" t="n">
        <x:v>5</x:v>
      </x:c>
      <x:c r="E690" t="n">
        <x:v>4</x:v>
      </x:c>
      <x:c r="F690" t="str">
        <x:v>1CO-005</x:v>
      </x:c>
      <x:c r="G690" t="n">
        <x:v>138</x:v>
      </x:c>
      <x:c r="H690" t="str">
        <x:v>CQ-A07</x:v>
      </x:c>
      <x:c r="I690" s="36" t="str">
        <x:v>Welche dieser Aussagen stammt aus 1. Korinther 5?</x:v>
      </x:c>
      <x:c r="J690" s="36" t="str"/>
      <x:c r="K690" s="36" t="str"/>
      <x:c r="L690" s="36" t="str">
        <x:v>REPO_VERIFIZIERT_FRAGEFORM</x:v>
      </x:c>
      <x:c r="M690" s="36" t="str">
        <x:v>ERSETZEN</x:v>
      </x:c>
      <x:c r="N690" s="36" t="str">
        <x:v>REPETITIVE_FRAGEFORM</x:v>
      </x:c>
      <x:c r="O690" s="36" t="str">
        <x:v>REINE_WIEDERERKENNUNG</x:v>
      </x:c>
      <x:c r="P690" s="36" t="str">
        <x:v>KERNAUSSAGE</x:v>
      </x:c>
      <x:c r="Q690" s="36" t="str">
        <x:v>Welche Grenze zieht Paulus beim Richten?</x:v>
      </x:c>
      <x:c r="R690" s="36" t="str">
        <x:v>Christen sollen jeden Menschen außerhalb der Gemeinde richten.</x:v>
      </x:c>
      <x:c r="S690" s="36" t="str">
        <x:v>Niemand darf Verhalten innerhalb der Gemeinde ansprechen.</x:v>
      </x:c>
      <x:c r="T690" s="36" t="str">
        <x:v>Die Gemeinde ist für die Verantwortung gegenüber denen drinnen zuständig; die draußen richtet Gott.</x:v>
      </x:c>
      <x:c r="U690" s="36" t="str">
        <x:v>Nur staatliche Gerichte dürfen Sünde beurteilen.</x:v>
      </x:c>
      <x:c r="V690" s="36" t="n">
        <x:v>2</x:v>
      </x:c>
      <x:c r="W690" s="36" t="str">
        <x:f>CHOOSE(V690+1,R690,S690,T690,U690)</x:f>
        <x:v>Die Gemeinde ist für die Verantwortung gegenüber denen drinnen zuständig; die draußen richtet Gott.</x:v>
      </x:c>
      <x:c r="X690" s="36" t="str">
        <x:v>1. Korinther 5,12–13</x:v>
      </x:c>
      <x:c r="Y690" s="36" t="str">
        <x:v>Paulus unterscheidet gemeindliche Verantwortung nach innen von Gottes Gericht über die Außenstehenden.</x:v>
      </x:c>
      <x:c r="Z690" s="36" t="str">
        <x:v>JA</x:v>
      </x:c>
      <x:c r="AA690" s="36" t="str">
        <x:v>JA</x:v>
      </x:c>
      <x:c r="AB690" s="36" t="str">
        <x:v>JA</x:v>
      </x:c>
      <x:c r="AC690" s="36" t="str">
        <x:v>JA</x:v>
      </x:c>
      <x:c r="AD690" s="36" t="str">
        <x:v>JA</x:v>
      </x:c>
      <x:c r="AE690" s="36" t="str">
        <x:v>JA</x:v>
      </x:c>
      <x:c r="AF690" s="36" t="str">
        <x:v>JA</x:v>
      </x:c>
      <x:c r="AG690" s="36" t="str">
        <x:v>FREIGEGEBEN</x:v>
      </x:c>
      <x:c r="AH690" s="36" t="str">
        <x:v>GPT-5.6 Sol · Buchprüfung 1. Korinther · L1912/OTB</x:v>
      </x:c>
      <x:c r="AI690" s="36" t="str">
        <x:v>FREIGEGEBEN</x:v>
      </x:c>
      <x:c r="AJ690" s="36" t="str">
        <x:v>1. Korinther 5: repetitive Wiedererkennungsfrage durch KERNAUSSAGE-Frage ersetzt.</x:v>
      </x:c>
      <x:c r="AK690" s="36" t="str">
        <x:v>FaithPath repo develop/v4 · data/stories.json · data/bibles/l1912/1CO.json · data/bibles/otb/1CO.json</x:v>
      </x:c>
      <x:c r="AL690" t="str">
        <x:f>IF(AND(AG690="FREIGEGEBEN",AI690="FREIGEGEBEN",Q690&lt;&gt;"",R690&lt;&gt;"",S690&lt;&gt;"",T690&lt;&gt;"",U690&lt;&gt;"",ISNUMBER(V690),X690&lt;&gt;"",Y690&lt;&gt;"",AA690="JA",AB690="JA",AC690="JA",AD690="JA",AE690="JA",AF690="JA"),"JA","NEIN")</x:f>
        <x:v>JA</x:v>
      </x:c>
    </x:row>
    <x:row r="691">
      <x:c r="A691" t="str">
        <x:v>FP-0950</x:v>
      </x:c>
      <x:c r="B691" t="str">
        <x:v>1CO</x:v>
      </x:c>
      <x:c r="C691" t="str">
        <x:v>1. Korinther</x:v>
      </x:c>
      <x:c r="D691" t="n">
        <x:v>5</x:v>
      </x:c>
      <x:c r="E691" t="n">
        <x:v>5</x:v>
      </x:c>
      <x:c r="F691" t="str">
        <x:v>1CO-005</x:v>
      </x:c>
      <x:c r="G691" t="n">
        <x:v>138</x:v>
      </x:c>
      <x:c r="H691" t="str">
        <x:v>CQ-A07</x:v>
      </x:c>
      <x:c r="I691" s="36" t="str">
        <x:v>Welche dieser Aussagen stammt aus 1. Korinther 5?</x:v>
      </x:c>
      <x:c r="J691" s="36" t="str"/>
      <x:c r="K691" s="36" t="str"/>
      <x:c r="L691" s="36" t="str">
        <x:v>REPO_VERIFIZIERT_FRAGEFORM</x:v>
      </x:c>
      <x:c r="M691" s="36" t="str">
        <x:v>ERSETZEN</x:v>
      </x:c>
      <x:c r="N691" s="36" t="str">
        <x:v>REPETITIVE_FRAGEFORM</x:v>
      </x:c>
      <x:c r="O691" s="36" t="str">
        <x:v>REINE_WIEDERERKENNUNG</x:v>
      </x:c>
      <x:c r="P691" s="36" t="str">
        <x:v>TEXTGENAUIGKEIT</x:v>
      </x:c>
      <x:c r="Q691" s="36" t="str">
        <x:v>Wen bezeichnet Paulus als unser Passahlamm, das geopfert wurde?</x:v>
      </x:c>
      <x:c r="R691" s="36" t="str">
        <x:v>Mose.</x:v>
      </x:c>
      <x:c r="S691" s="36" t="str">
        <x:v>Paulus.</x:v>
      </x:c>
      <x:c r="T691" s="36" t="str">
        <x:v>Johannes der Täufer.</x:v>
      </x:c>
      <x:c r="U691" s="36" t="str">
        <x:v>Christus.</x:v>
      </x:c>
      <x:c r="V691" s="36" t="n">
        <x:v>3</x:v>
      </x:c>
      <x:c r="W691" s="36" t="str">
        <x:f>CHOOSE(V691+1,R691,S691,T691,U691)</x:f>
        <x:v>Christus.</x:v>
      </x:c>
      <x:c r="X691" s="36" t="str">
        <x:v>1. Korinther 5,7</x:v>
      </x:c>
      <x:c r="Y691" s="36" t="str">
        <x:v>Paulus deutet Christus als das geopferte Passahlamm.</x:v>
      </x:c>
      <x:c r="Z691" s="36" t="str">
        <x:v>JA</x:v>
      </x:c>
      <x:c r="AA691" s="36" t="str">
        <x:v>JA</x:v>
      </x:c>
      <x:c r="AB691" s="36" t="str">
        <x:v>JA</x:v>
      </x:c>
      <x:c r="AC691" s="36" t="str">
        <x:v>JA</x:v>
      </x:c>
      <x:c r="AD691" s="36" t="str">
        <x:v>JA</x:v>
      </x:c>
      <x:c r="AE691" s="36" t="str">
        <x:v>JA</x:v>
      </x:c>
      <x:c r="AF691" s="36" t="str">
        <x:v>JA</x:v>
      </x:c>
      <x:c r="AG691" s="36" t="str">
        <x:v>FREIGEGEBEN</x:v>
      </x:c>
      <x:c r="AH691" s="36" t="str">
        <x:v>GPT-5.6 Sol · Buchprüfung 1. Korinther · L1912/OTB</x:v>
      </x:c>
      <x:c r="AI691" s="36" t="str">
        <x:v>FREIGEGEBEN</x:v>
      </x:c>
      <x:c r="AJ691" s="36" t="str">
        <x:v>1. Korinther 5: repetitive Wiedererkennungsfrage durch TEXTGENAUIGKEIT-Frage ersetzt.</x:v>
      </x:c>
      <x:c r="AK691" s="36" t="str">
        <x:v>FaithPath repo develop/v4 · data/stories.json · data/bibles/l1912/1CO.json · data/bibles/otb/1CO.json</x:v>
      </x:c>
      <x:c r="AL691" t="str">
        <x:f>IF(AND(AG691="FREIGEGEBEN",AI691="FREIGEGEBEN",Q691&lt;&gt;"",R691&lt;&gt;"",S691&lt;&gt;"",T691&lt;&gt;"",U691&lt;&gt;"",ISNUMBER(V691),X691&lt;&gt;"",Y691&lt;&gt;"",AA691="JA",AB691="JA",AC691="JA",AD691="JA",AE691="JA",AF691="JA"),"JA","NEIN")</x:f>
        <x:v>JA</x:v>
      </x:c>
    </x:row>
    <x:row r="692">
      <x:c r="A692" t="str">
        <x:v>FP-0951</x:v>
      </x:c>
      <x:c r="B692" t="str">
        <x:v>1CO</x:v>
      </x:c>
      <x:c r="C692" t="str">
        <x:v>1. Korinther</x:v>
      </x:c>
      <x:c r="D692" t="n">
        <x:v>6</x:v>
      </x:c>
      <x:c r="E692" t="n">
        <x:v>1</x:v>
      </x:c>
      <x:c r="F692" t="str">
        <x:v>1CO-006</x:v>
      </x:c>
      <x:c r="G692" t="n">
        <x:v>139</x:v>
      </x:c>
      <x:c r="H692" t="str">
        <x:v>CQ-A07</x:v>
      </x:c>
      <x:c r="I692" s="36" t="str">
        <x:v>Welche dieser Aussagen stammt aus 1. Korinther 6?</x:v>
      </x:c>
      <x:c r="J692" s="36" t="str"/>
      <x:c r="K692" s="36" t="str"/>
      <x:c r="L692" s="36" t="str">
        <x:v>REPO_VERIFIZIERT_FRAGEFORM</x:v>
      </x:c>
      <x:c r="M692" s="36" t="str">
        <x:v>ERSETZEN</x:v>
      </x:c>
      <x:c r="N692" s="36" t="str">
        <x:v>REPETITIVE_FRAGEFORM</x:v>
      </x:c>
      <x:c r="O692" s="36" t="str">
        <x:v>REINE_WIEDERERKENNUNG</x:v>
      </x:c>
      <x:c r="P692" s="36" t="str">
        <x:v>ZUSAMMENHANG</x:v>
      </x:c>
      <x:c r="Q692" s="36" t="str">
        <x:v>Was kritisiert Paulus an Rechtsstreitigkeiten zwischen Gemeindemitgliedern?</x:v>
      </x:c>
      <x:c r="R692" s="36" t="str">
        <x:v>Sie tragen ihre Streitigkeiten vor Ungläubige, statt sie innerhalb der Gemeinschaft weise zu klären.</x:v>
      </x:c>
      <x:c r="S692" s="36" t="str">
        <x:v>Sie führen zu wenige Prozesse.</x:v>
      </x:c>
      <x:c r="T692" s="36" t="str">
        <x:v>Sie respektieren römisches Recht zu sehr.</x:v>
      </x:c>
      <x:c r="U692" s="36" t="str">
        <x:v>Sie haben keine schriftlichen Verträge.</x:v>
      </x:c>
      <x:c r="V692" s="36" t="n">
        <x:v>0</x:v>
      </x:c>
      <x:c r="W692" s="36" t="str">
        <x:f>CHOOSE(V692+1,R692,S692,T692,U692)</x:f>
        <x:v>Sie tragen ihre Streitigkeiten vor Ungläubige, statt sie innerhalb der Gemeinschaft weise zu klären.</x:v>
      </x:c>
      <x:c r="X692" s="36" t="str">
        <x:v>1. Korinther 6,1–6</x:v>
      </x:c>
      <x:c r="Y692" s="36" t="str">
        <x:v>Paulus hält es für beschämend, dass Glaubende für interne Streitigkeiten keine weise Lösung finden.</x:v>
      </x:c>
      <x:c r="Z692" s="36" t="str">
        <x:v>JA</x:v>
      </x:c>
      <x:c r="AA692" s="36" t="str">
        <x:v>JA</x:v>
      </x:c>
      <x:c r="AB692" s="36" t="str">
        <x:v>JA</x:v>
      </x:c>
      <x:c r="AC692" s="36" t="str">
        <x:v>JA</x:v>
      </x:c>
      <x:c r="AD692" s="36" t="str">
        <x:v>JA</x:v>
      </x:c>
      <x:c r="AE692" s="36" t="str">
        <x:v>JA</x:v>
      </x:c>
      <x:c r="AF692" s="36" t="str">
        <x:v>JA</x:v>
      </x:c>
      <x:c r="AG692" s="36" t="str">
        <x:v>FREIGEGEBEN</x:v>
      </x:c>
      <x:c r="AH692" s="36" t="str">
        <x:v>GPT-5.6 Sol · Buchprüfung 1. Korinther · L1912/OTB</x:v>
      </x:c>
      <x:c r="AI692" s="36" t="str">
        <x:v>FREIGEGEBEN</x:v>
      </x:c>
      <x:c r="AJ692" s="36" t="str">
        <x:v>1. Korinther 6: repetitive Wiedererkennungsfrage durch ZUSAMMENHANG-Frage ersetzt.</x:v>
      </x:c>
      <x:c r="AK692" s="36" t="str">
        <x:v>FaithPath repo develop/v4 · data/stories.json · data/bibles/l1912/1CO.json · data/bibles/otb/1CO.json</x:v>
      </x:c>
      <x:c r="AL692" t="str">
        <x:f>IF(AND(AG692="FREIGEGEBEN",AI692="FREIGEGEBEN",Q692&lt;&gt;"",R692&lt;&gt;"",S692&lt;&gt;"",T692&lt;&gt;"",U692&lt;&gt;"",ISNUMBER(V692),X692&lt;&gt;"",Y692&lt;&gt;"",AA692="JA",AB692="JA",AC692="JA",AD692="JA",AE692="JA",AF692="JA"),"JA","NEIN")</x:f>
        <x:v>JA</x:v>
      </x:c>
    </x:row>
    <x:row r="693">
      <x:c r="A693" t="str">
        <x:v>FP-0952</x:v>
      </x:c>
      <x:c r="B693" t="str">
        <x:v>1CO</x:v>
      </x:c>
      <x:c r="C693" t="str">
        <x:v>1. Korinther</x:v>
      </x:c>
      <x:c r="D693" t="n">
        <x:v>6</x:v>
      </x:c>
      <x:c r="E693" t="n">
        <x:v>2</x:v>
      </x:c>
      <x:c r="F693" t="str">
        <x:v>1CO-006</x:v>
      </x:c>
      <x:c r="G693" t="n">
        <x:v>139</x:v>
      </x:c>
      <x:c r="H693" t="str">
        <x:v>CQ-A07</x:v>
      </x:c>
      <x:c r="I693" s="36" t="str">
        <x:v>Welche dieser Aussagen stammt aus 1. Korinther 6?</x:v>
      </x:c>
      <x:c r="J693" s="36" t="str"/>
      <x:c r="K693" s="36" t="str"/>
      <x:c r="L693" s="36" t="str">
        <x:v>REPO_VERIFIZIERT_FRAGEFORM</x:v>
      </x:c>
      <x:c r="M693" s="36" t="str">
        <x:v>ERSETZEN</x:v>
      </x:c>
      <x:c r="N693" s="36" t="str">
        <x:v>REPETITIVE_FRAGEFORM</x:v>
      </x:c>
      <x:c r="O693" s="36" t="str">
        <x:v>REINE_WIEDERERKENNUNG</x:v>
      </x:c>
      <x:c r="P693" s="36" t="str">
        <x:v>KERNAUSSAGE</x:v>
      </x:c>
      <x:c r="Q693" s="36" t="str">
        <x:v>Welche radikale Alternative nennt Paulus zu gegenseitigen Klagen und Betrug?</x:v>
      </x:c>
      <x:c r="R693" s="36" t="str">
        <x:v>Jede Beleidigung sofort öffentlich vergelten.</x:v>
      </x:c>
      <x:c r="S693" s="36" t="str">
        <x:v>Lieber Unrecht erleiden oder sich übervorteilen lassen, als selbst Unrecht zu tun.</x:v>
      </x:c>
      <x:c r="T693" s="36" t="str">
        <x:v>Alle Streitfälle an Paulus schicken.</x:v>
      </x:c>
      <x:c r="U693" s="36" t="str">
        <x:v>Nie wieder Verträge schließen.</x:v>
      </x:c>
      <x:c r="V693" s="36" t="n">
        <x:v>1</x:v>
      </x:c>
      <x:c r="W693" s="36" t="str">
        <x:f>CHOOSE(V693+1,R693,S693,T693,U693)</x:f>
        <x:v>Lieber Unrecht erleiden oder sich übervorteilen lassen, als selbst Unrecht zu tun.</x:v>
      </x:c>
      <x:c r="X693" s="36" t="str">
        <x:v>1. Korinther 6,7–8</x:v>
      </x:c>
      <x:c r="Y693" s="36" t="str">
        <x:v>Paulus zeigt, dass der eigentliche Verlust tiefer liegt, wenn Christen einander Unrecht tun.</x:v>
      </x:c>
      <x:c r="Z693" s="36" t="str">
        <x:v>JA</x:v>
      </x:c>
      <x:c r="AA693" s="36" t="str">
        <x:v>JA</x:v>
      </x:c>
      <x:c r="AB693" s="36" t="str">
        <x:v>JA</x:v>
      </x:c>
      <x:c r="AC693" s="36" t="str">
        <x:v>JA</x:v>
      </x:c>
      <x:c r="AD693" s="36" t="str">
        <x:v>JA</x:v>
      </x:c>
      <x:c r="AE693" s="36" t="str">
        <x:v>JA</x:v>
      </x:c>
      <x:c r="AF693" s="36" t="str">
        <x:v>JA</x:v>
      </x:c>
      <x:c r="AG693" s="36" t="str">
        <x:v>FREIGEGEBEN</x:v>
      </x:c>
      <x:c r="AH693" s="36" t="str">
        <x:v>GPT-5.6 Sol · Buchprüfung 1. Korinther · L1912/OTB</x:v>
      </x:c>
      <x:c r="AI693" s="36" t="str">
        <x:v>FREIGEGEBEN</x:v>
      </x:c>
      <x:c r="AJ693" s="36" t="str">
        <x:v>1. Korinther 6: repetitive Wiedererkennungsfrage durch KERNAUSSAGE-Frage ersetzt.</x:v>
      </x:c>
      <x:c r="AK693" s="36" t="str">
        <x:v>FaithPath repo develop/v4 · data/stories.json · data/bibles/l1912/1CO.json · data/bibles/otb/1CO.json</x:v>
      </x:c>
      <x:c r="AL693" t="str">
        <x:f>IF(AND(AG693="FREIGEGEBEN",AI693="FREIGEGEBEN",Q693&lt;&gt;"",R693&lt;&gt;"",S693&lt;&gt;"",T693&lt;&gt;"",U693&lt;&gt;"",ISNUMBER(V693),X693&lt;&gt;"",Y693&lt;&gt;"",AA693="JA",AB693="JA",AC693="JA",AD693="JA",AE693="JA",AF693="JA"),"JA","NEIN")</x:f>
        <x:v>JA</x:v>
      </x:c>
    </x:row>
    <x:row r="694">
      <x:c r="A694" t="str">
        <x:v>FP-0953</x:v>
      </x:c>
      <x:c r="B694" t="str">
        <x:v>1CO</x:v>
      </x:c>
      <x:c r="C694" t="str">
        <x:v>1. Korinther</x:v>
      </x:c>
      <x:c r="D694" t="n">
        <x:v>6</x:v>
      </x:c>
      <x:c r="E694" t="n">
        <x:v>3</x:v>
      </x:c>
      <x:c r="F694" t="str">
        <x:v>1CO-006</x:v>
      </x:c>
      <x:c r="G694" t="n">
        <x:v>139</x:v>
      </x:c>
      <x:c r="H694" t="str">
        <x:v>CQ-A07</x:v>
      </x:c>
      <x:c r="I694" s="36" t="str">
        <x:v>Welche dieser Aussagen stammt aus 1. Korinther 6?</x:v>
      </x:c>
      <x:c r="J694" s="36" t="str"/>
      <x:c r="K694" s="36" t="str"/>
      <x:c r="L694" s="36" t="str">
        <x:v>REPO_VERIFIZIERT_FRAGEFORM</x:v>
      </x:c>
      <x:c r="M694" s="36" t="str">
        <x:v>ERSETZEN</x:v>
      </x:c>
      <x:c r="N694" s="36" t="str">
        <x:v>REPETITIVE_FRAGEFORM</x:v>
      </x:c>
      <x:c r="O694" s="36" t="str">
        <x:v>REINE_WIEDERERKENNUNG</x:v>
      </x:c>
      <x:c r="P694" s="36" t="str">
        <x:v>KERNAUSSAGE</x:v>
      </x:c>
      <x:c r="Q694" s="36" t="str">
        <x:v>Welche Veränderung beschreibt Paulus nach der Liste früherer sündiger Lebensweisen?</x:v>
      </x:c>
      <x:c r="R694" s="36" t="str">
        <x:v>Ihr seid durch eigene Leistung vollkommen geworden.</x:v>
      </x:c>
      <x:c r="S694" s="36" t="str">
        <x:v>Ihr braucht keine weitere Veränderung.</x:v>
      </x:c>
      <x:c r="T694" s="36" t="str">
        <x:v>Ihr seid abgewaschen, geheiligt und gerechtfertigt im Namen Jesu und durch Gottes Geist.</x:v>
      </x:c>
      <x:c r="U694" s="36" t="str">
        <x:v>Nur eure gesellschaftliche Stellung hat sich geändert.</x:v>
      </x:c>
      <x:c r="V694" s="36" t="n">
        <x:v>2</x:v>
      </x:c>
      <x:c r="W694" s="36" t="str">
        <x:f>CHOOSE(V694+1,R694,S694,T694,U694)</x:f>
        <x:v>Ihr seid abgewaschen, geheiligt und gerechtfertigt im Namen Jesu und durch Gottes Geist.</x:v>
      </x:c>
      <x:c r="X694" s="36" t="str">
        <x:v>1. Korinther 6,9–11</x:v>
      </x:c>
      <x:c r="Y694" s="36" t="str">
        <x:v>Paulus erinnert die Gemeinde an ihre neue Identität nach früherem sündigem Leben.</x:v>
      </x:c>
      <x:c r="Z694" s="36" t="str">
        <x:v>JA</x:v>
      </x:c>
      <x:c r="AA694" s="36" t="str">
        <x:v>JA</x:v>
      </x:c>
      <x:c r="AB694" s="36" t="str">
        <x:v>JA</x:v>
      </x:c>
      <x:c r="AC694" s="36" t="str">
        <x:v>JA</x:v>
      </x:c>
      <x:c r="AD694" s="36" t="str">
        <x:v>JA</x:v>
      </x:c>
      <x:c r="AE694" s="36" t="str">
        <x:v>JA</x:v>
      </x:c>
      <x:c r="AF694" s="36" t="str">
        <x:v>JA</x:v>
      </x:c>
      <x:c r="AG694" s="36" t="str">
        <x:v>FREIGEGEBEN</x:v>
      </x:c>
      <x:c r="AH694" s="36" t="str">
        <x:v>GPT-5.6 Sol · Buchprüfung 1. Korinther · L1912/OTB</x:v>
      </x:c>
      <x:c r="AI694" s="36" t="str">
        <x:v>FREIGEGEBEN</x:v>
      </x:c>
      <x:c r="AJ694" s="36" t="str">
        <x:v>1. Korinther 6: repetitive Wiedererkennungsfrage durch KERNAUSSAGE-Frage ersetzt.</x:v>
      </x:c>
      <x:c r="AK694" s="36" t="str">
        <x:v>FaithPath repo develop/v4 · data/stories.json · data/bibles/l1912/1CO.json · data/bibles/otb/1CO.json</x:v>
      </x:c>
      <x:c r="AL694" t="str">
        <x:f>IF(AND(AG694="FREIGEGEBEN",AI694="FREIGEGEBEN",Q694&lt;&gt;"",R694&lt;&gt;"",S694&lt;&gt;"",T694&lt;&gt;"",U694&lt;&gt;"",ISNUMBER(V694),X694&lt;&gt;"",Y694&lt;&gt;"",AA694="JA",AB694="JA",AC694="JA",AD694="JA",AE694="JA",AF694="JA"),"JA","NEIN")</x:f>
        <x:v>JA</x:v>
      </x:c>
    </x:row>
    <x:row r="695">
      <x:c r="A695" t="str">
        <x:v>FP-0954</x:v>
      </x:c>
      <x:c r="B695" t="str">
        <x:v>1CO</x:v>
      </x:c>
      <x:c r="C695" t="str">
        <x:v>1. Korinther</x:v>
      </x:c>
      <x:c r="D695" t="n">
        <x:v>6</x:v>
      </x:c>
      <x:c r="E695" t="n">
        <x:v>4</x:v>
      </x:c>
      <x:c r="F695" t="str">
        <x:v>1CO-006</x:v>
      </x:c>
      <x:c r="G695" t="n">
        <x:v>139</x:v>
      </x:c>
      <x:c r="H695" t="str">
        <x:v>CQ-A07</x:v>
      </x:c>
      <x:c r="I695" s="36" t="str">
        <x:v>Welche dieser Aussagen stammt aus 1. Korinther 6?</x:v>
      </x:c>
      <x:c r="J695" s="36" t="str"/>
      <x:c r="K695" s="36" t="str"/>
      <x:c r="L695" s="36" t="str">
        <x:v>REPO_VERIFIZIERT_FRAGEFORM</x:v>
      </x:c>
      <x:c r="M695" s="36" t="str">
        <x:v>ERSETZEN</x:v>
      </x:c>
      <x:c r="N695" s="36" t="str">
        <x:v>REPETITIVE_FRAGEFORM</x:v>
      </x:c>
      <x:c r="O695" s="36" t="str">
        <x:v>REINE_WIEDERERKENNUNG</x:v>
      </x:c>
      <x:c r="P695" s="36" t="str">
        <x:v>KERNAUSSAGE</x:v>
      </x:c>
      <x:c r="Q695" s="36" t="str">
        <x:v>Warum kann christliche Freiheit nach Paulus nicht einfach mit „Alles ist mir erlaubt“ beendet werden?</x:v>
      </x:c>
      <x:c r="R695" s="36" t="str">
        <x:v>Weil jede Freiheit grundsätzlich Sünde ist.</x:v>
      </x:c>
      <x:c r="S695" s="36" t="str">
        <x:v>Weil nur Apostel Freiheit besitzen.</x:v>
      </x:c>
      <x:c r="T695" s="36" t="str">
        <x:v>Weil Essen immer unrein ist.</x:v>
      </x:c>
      <x:c r="U695" s="36" t="str">
        <x:v>Nicht alles ist nützlich, nichts soll den Menschen beherrschen, und der Leib gehört dem Herrn.</x:v>
      </x:c>
      <x:c r="V695" s="36" t="n">
        <x:v>3</x:v>
      </x:c>
      <x:c r="W695" s="36" t="str">
        <x:f>CHOOSE(V695+1,R695,S695,T695,U695)</x:f>
        <x:v>Nicht alles ist nützlich, nichts soll den Menschen beherrschen, und der Leib gehört dem Herrn.</x:v>
      </x:c>
      <x:c r="X695" s="36" t="str">
        <x:v>1. Korinther 6,12–17</x:v>
      </x:c>
      <x:c r="Y695" s="36" t="str">
        <x:v>Paulus begrenzt Freiheit durch Nutzen, Selbstbeherrschung und die Zugehörigkeit des Leibes zu Christus.</x:v>
      </x:c>
      <x:c r="Z695" s="36" t="str">
        <x:v>JA</x:v>
      </x:c>
      <x:c r="AA695" s="36" t="str">
        <x:v>JA</x:v>
      </x:c>
      <x:c r="AB695" s="36" t="str">
        <x:v>JA</x:v>
      </x:c>
      <x:c r="AC695" s="36" t="str">
        <x:v>JA</x:v>
      </x:c>
      <x:c r="AD695" s="36" t="str">
        <x:v>JA</x:v>
      </x:c>
      <x:c r="AE695" s="36" t="str">
        <x:v>JA</x:v>
      </x:c>
      <x:c r="AF695" s="36" t="str">
        <x:v>JA</x:v>
      </x:c>
      <x:c r="AG695" s="36" t="str">
        <x:v>FREIGEGEBEN</x:v>
      </x:c>
      <x:c r="AH695" s="36" t="str">
        <x:v>GPT-5.6 Sol · Buchprüfung 1. Korinther · L1912/OTB</x:v>
      </x:c>
      <x:c r="AI695" s="36" t="str">
        <x:v>FREIGEGEBEN</x:v>
      </x:c>
      <x:c r="AJ695" s="36" t="str">
        <x:v>1. Korinther 6: repetitive Wiedererkennungsfrage durch KERNAUSSAGE-Frage ersetzt.</x:v>
      </x:c>
      <x:c r="AK695" s="36" t="str">
        <x:v>FaithPath repo develop/v4 · data/stories.json · data/bibles/l1912/1CO.json · data/bibles/otb/1CO.json</x:v>
      </x:c>
      <x:c r="AL695" t="str">
        <x:f>IF(AND(AG695="FREIGEGEBEN",AI695="FREIGEGEBEN",Q695&lt;&gt;"",R695&lt;&gt;"",S695&lt;&gt;"",T695&lt;&gt;"",U695&lt;&gt;"",ISNUMBER(V695),X695&lt;&gt;"",Y695&lt;&gt;"",AA695="JA",AB695="JA",AC695="JA",AD695="JA",AE695="JA",AF695="JA"),"JA","NEIN")</x:f>
        <x:v>JA</x:v>
      </x:c>
    </x:row>
    <x:row r="696">
      <x:c r="A696" t="str">
        <x:v>FP-0955</x:v>
      </x:c>
      <x:c r="B696" t="str">
        <x:v>1CO</x:v>
      </x:c>
      <x:c r="C696" t="str">
        <x:v>1. Korinther</x:v>
      </x:c>
      <x:c r="D696" t="n">
        <x:v>6</x:v>
      </x:c>
      <x:c r="E696" t="n">
        <x:v>5</x:v>
      </x:c>
      <x:c r="F696" t="str">
        <x:v>1CO-006</x:v>
      </x:c>
      <x:c r="G696" t="n">
        <x:v>139</x:v>
      </x:c>
      <x:c r="H696" t="str">
        <x:v>CQ-A07</x:v>
      </x:c>
      <x:c r="I696" s="36" t="str">
        <x:v>Welche dieser Aussagen stammt aus 1. Korinther 6?</x:v>
      </x:c>
      <x:c r="J696" s="36" t="str"/>
      <x:c r="K696" s="36" t="str"/>
      <x:c r="L696" s="36" t="str">
        <x:v>REPO_VERIFIZIERT_FRAGEFORM</x:v>
      </x:c>
      <x:c r="M696" s="36" t="str">
        <x:v>ERSETZEN</x:v>
      </x:c>
      <x:c r="N696" s="36" t="str">
        <x:v>REPETITIVE_FRAGEFORM</x:v>
      </x:c>
      <x:c r="O696" s="36" t="str">
        <x:v>REINE_WIEDERERKENNUNG</x:v>
      </x:c>
      <x:c r="P696" s="36" t="str">
        <x:v>KERNAUSSAGE</x:v>
      </x:c>
      <x:c r="Q696" s="36" t="str">
        <x:v>Welche Begründung gibt Paulus dafür, sexuelle Unmoral zu meiden und Gott mit dem Leib zu ehren?</x:v>
      </x:c>
      <x:c r="R696" s="36" t="str">
        <x:v>Der Leib ist Tempel des Heiligen Geistes und die Glaubenden sind um einen Preis erkauft.</x:v>
      </x:c>
      <x:c r="S696" s="36" t="str">
        <x:v>Der Leib ist für Gott bedeutungslos.</x:v>
      </x:c>
      <x:c r="T696" s="36" t="str">
        <x:v>Nur der Geist gehört Gott.</x:v>
      </x:c>
      <x:c r="U696" s="36" t="str">
        <x:v>Der menschliche Körper ist grundsätzlich böse.</x:v>
      </x:c>
      <x:c r="V696" s="36" t="n">
        <x:v>0</x:v>
      </x:c>
      <x:c r="W696" s="36" t="str">
        <x:f>CHOOSE(V696+1,R696,S696,T696,U696)</x:f>
        <x:v>Der Leib ist Tempel des Heiligen Geistes und die Glaubenden sind um einen Preis erkauft.</x:v>
      </x:c>
      <x:c r="X696" s="36" t="str">
        <x:v>1. Korinther 6,18–20</x:v>
      </x:c>
      <x:c r="Y696" s="36" t="str">
        <x:v>Paulus verbindet körperliche Heiligkeit mit der Gegenwart des Geistes und der Zugehörigkeit zu Gott.</x:v>
      </x:c>
      <x:c r="Z696" s="36" t="str">
        <x:v>JA</x:v>
      </x:c>
      <x:c r="AA696" s="36" t="str">
        <x:v>JA</x:v>
      </x:c>
      <x:c r="AB696" s="36" t="str">
        <x:v>JA</x:v>
      </x:c>
      <x:c r="AC696" s="36" t="str">
        <x:v>JA</x:v>
      </x:c>
      <x:c r="AD696" s="36" t="str">
        <x:v>JA</x:v>
      </x:c>
      <x:c r="AE696" s="36" t="str">
        <x:v>JA</x:v>
      </x:c>
      <x:c r="AF696" s="36" t="str">
        <x:v>JA</x:v>
      </x:c>
      <x:c r="AG696" s="36" t="str">
        <x:v>FREIGEGEBEN</x:v>
      </x:c>
      <x:c r="AH696" s="36" t="str">
        <x:v>GPT-5.6 Sol · Buchprüfung 1. Korinther · L1912/OTB</x:v>
      </x:c>
      <x:c r="AI696" s="36" t="str">
        <x:v>FREIGEGEBEN</x:v>
      </x:c>
      <x:c r="AJ696" s="36" t="str">
        <x:v>1. Korinther 6: repetitive Wiedererkennungsfrage durch KERNAUSSAGE-Frage ersetzt.</x:v>
      </x:c>
      <x:c r="AK696" s="36" t="str">
        <x:v>FaithPath repo develop/v4 · data/stories.json · data/bibles/l1912/1CO.json · data/bibles/otb/1CO.json</x:v>
      </x:c>
      <x:c r="AL696" t="str">
        <x:f>IF(AND(AG696="FREIGEGEBEN",AI696="FREIGEGEBEN",Q696&lt;&gt;"",R696&lt;&gt;"",S696&lt;&gt;"",T696&lt;&gt;"",U696&lt;&gt;"",ISNUMBER(V696),X696&lt;&gt;"",Y696&lt;&gt;"",AA696="JA",AB696="JA",AC696="JA",AD696="JA",AE696="JA",AF696="JA"),"JA","NEIN")</x:f>
        <x:v>JA</x:v>
      </x:c>
    </x:row>
    <x:row r="697">
      <x:c r="A697" t="str">
        <x:v>FP-0956</x:v>
      </x:c>
      <x:c r="B697" t="str">
        <x:v>1CO</x:v>
      </x:c>
      <x:c r="C697" t="str">
        <x:v>1. Korinther</x:v>
      </x:c>
      <x:c r="D697" t="n">
        <x:v>7</x:v>
      </x:c>
      <x:c r="E697" t="n">
        <x:v>1</x:v>
      </x:c>
      <x:c r="F697" t="str">
        <x:v>1CO-007</x:v>
      </x:c>
      <x:c r="G697" t="n">
        <x:v>140</x:v>
      </x:c>
      <x:c r="H697" t="str">
        <x:v>CQ-A07</x:v>
      </x:c>
      <x:c r="I697" s="36" t="str">
        <x:v>Welche dieser Aussagen stammt aus 1. Korinther 7?</x:v>
      </x:c>
      <x:c r="J697" s="36" t="str"/>
      <x:c r="K697" s="36" t="str"/>
      <x:c r="L697" s="36" t="str">
        <x:v>REPO_VERIFIZIERT_FRAGEFORM</x:v>
      </x:c>
      <x:c r="M697" s="36" t="str">
        <x:v>ERSETZEN</x:v>
      </x:c>
      <x:c r="N697" s="36" t="str">
        <x:v>REPETITIVE_FRAGEFORM</x:v>
      </x:c>
      <x:c r="O697" s="36" t="str">
        <x:v>REINE_WIEDERERKENNUNG</x:v>
      </x:c>
      <x:c r="P697" s="36" t="str">
        <x:v>KERNAUSSAGE</x:v>
      </x:c>
      <x:c r="Q697" s="36" t="str">
        <x:v>Wie beschreibt Paulus die gegenseitige Verantwortung von Ehepartnern in ihrer sexuellen Beziehung?</x:v>
      </x:c>
      <x:c r="R697" s="36" t="str">
        <x:v>Nur der Mann hat Verantwortung.</x:v>
      </x:c>
      <x:c r="S697" s="36" t="str">
        <x:v>Beide sollen einander die eheliche Zuwendung geben und nicht einseitig über den eigenen Leib verfügen.</x:v>
      </x:c>
      <x:c r="T697" s="36" t="str">
        <x:v>Nur die Frau entscheidet über die Beziehung.</x:v>
      </x:c>
      <x:c r="U697" s="36" t="str">
        <x:v>Sexuelle Gemeinschaft hat in der Ehe keinen Platz.</x:v>
      </x:c>
      <x:c r="V697" s="36" t="n">
        <x:v>1</x:v>
      </x:c>
      <x:c r="W697" s="36" t="str">
        <x:f>CHOOSE(V697+1,R697,S697,T697,U697)</x:f>
        <x:v>Beide sollen einander die eheliche Zuwendung geben und nicht einseitig über den eigenen Leib verfügen.</x:v>
      </x:c>
      <x:c r="X697" s="36" t="str">
        <x:v>1. Korinther 7,1–5</x:v>
      </x:c>
      <x:c r="Y697" s="36" t="str">
        <x:v>Paulus spricht auffällig wechselseitig über Rechte und Verantwortung beider Ehepartner.</x:v>
      </x:c>
      <x:c r="Z697" s="36" t="str">
        <x:v>JA</x:v>
      </x:c>
      <x:c r="AA697" s="36" t="str">
        <x:v>JA</x:v>
      </x:c>
      <x:c r="AB697" s="36" t="str">
        <x:v>JA</x:v>
      </x:c>
      <x:c r="AC697" s="36" t="str">
        <x:v>JA</x:v>
      </x:c>
      <x:c r="AD697" s="36" t="str">
        <x:v>JA</x:v>
      </x:c>
      <x:c r="AE697" s="36" t="str">
        <x:v>JA</x:v>
      </x:c>
      <x:c r="AF697" s="36" t="str">
        <x:v>JA</x:v>
      </x:c>
      <x:c r="AG697" s="36" t="str">
        <x:v>FREIGEGEBEN</x:v>
      </x:c>
      <x:c r="AH697" s="36" t="str">
        <x:v>GPT-5.6 Sol · Buchprüfung 1. Korinther · L1912/OTB</x:v>
      </x:c>
      <x:c r="AI697" s="36" t="str">
        <x:v>FREIGEGEBEN</x:v>
      </x:c>
      <x:c r="AJ697" s="36" t="str">
        <x:v>1. Korinther 7: repetitive Wiedererkennungsfrage durch KERNAUSSAGE-Frage ersetzt.</x:v>
      </x:c>
      <x:c r="AK697" s="36" t="str">
        <x:v>FaithPath repo develop/v4 · data/stories.json · data/bibles/l1912/1CO.json · data/bibles/otb/1CO.json</x:v>
      </x:c>
      <x:c r="AL697" t="str">
        <x:f>IF(AND(AG697="FREIGEGEBEN",AI697="FREIGEGEBEN",Q697&lt;&gt;"",R697&lt;&gt;"",S697&lt;&gt;"",T697&lt;&gt;"",U697&lt;&gt;"",ISNUMBER(V697),X697&lt;&gt;"",Y697&lt;&gt;"",AA697="JA",AB697="JA",AC697="JA",AD697="JA",AE697="JA",AF697="JA"),"JA","NEIN")</x:f>
        <x:v>JA</x:v>
      </x:c>
    </x:row>
    <x:row r="698">
      <x:c r="A698" t="str">
        <x:v>FP-0957</x:v>
      </x:c>
      <x:c r="B698" t="str">
        <x:v>1CO</x:v>
      </x:c>
      <x:c r="C698" t="str">
        <x:v>1. Korinther</x:v>
      </x:c>
      <x:c r="D698" t="n">
        <x:v>7</x:v>
      </x:c>
      <x:c r="E698" t="n">
        <x:v>2</x:v>
      </x:c>
      <x:c r="F698" t="str">
        <x:v>1CO-007</x:v>
      </x:c>
      <x:c r="G698" t="n">
        <x:v>140</x:v>
      </x:c>
      <x:c r="H698" t="str">
        <x:v>CQ-A07</x:v>
      </x:c>
      <x:c r="I698" s="36" t="str">
        <x:v>Welche dieser Aussagen stammt aus 1. Korinther 7?</x:v>
      </x:c>
      <x:c r="J698" s="36" t="str"/>
      <x:c r="K698" s="36" t="str"/>
      <x:c r="L698" s="36" t="str">
        <x:v>REPO_VERIFIZIERT_FRAGEFORM</x:v>
      </x:c>
      <x:c r="M698" s="36" t="str">
        <x:v>ERSETZEN</x:v>
      </x:c>
      <x:c r="N698" s="36" t="str">
        <x:v>REPETITIVE_FRAGEFORM</x:v>
      </x:c>
      <x:c r="O698" s="36" t="str">
        <x:v>REINE_WIEDERERKENNUNG</x:v>
      </x:c>
      <x:c r="P698" s="36" t="str">
        <x:v>KERNAUSSAGE</x:v>
      </x:c>
      <x:c r="Q698" s="36" t="str">
        <x:v>Welchen Rat gibt Paulus Unverheirateten und Witwen, die nicht enthaltsam leben können?</x:v>
      </x:c>
      <x:c r="R698" s="36" t="str">
        <x:v>Sie dürfen niemals heiraten.</x:v>
      </x:c>
      <x:c r="S698" s="36" t="str">
        <x:v>Sie müssen sofort eine Ehe eingehen.</x:v>
      </x:c>
      <x:c r="T698" s="36" t="str">
        <x:v>Sie sollen heiraten; zugleich hält er auch das unverheiratete Leben für eine gute Möglichkeit.</x:v>
      </x:c>
      <x:c r="U698" s="36" t="str">
        <x:v>Sie sollen die Gemeinde verlassen.</x:v>
      </x:c>
      <x:c r="V698" s="36" t="n">
        <x:v>2</x:v>
      </x:c>
      <x:c r="W698" s="36" t="str">
        <x:f>CHOOSE(V698+1,R698,S698,T698,U698)</x:f>
        <x:v>Sie sollen heiraten; zugleich hält er auch das unverheiratete Leben für eine gute Möglichkeit.</x:v>
      </x:c>
      <x:c r="X698" s="36" t="str">
        <x:v>1. Korinther 7,8–11</x:v>
      </x:c>
      <x:c r="Y698" s="36" t="str">
        <x:v>Paulus würdigt Ehelosigkeit, sieht aber die Ehe als guten Weg, wenn Enthaltsamkeit nicht gelebt werden kann.</x:v>
      </x:c>
      <x:c r="Z698" s="36" t="str">
        <x:v>JA</x:v>
      </x:c>
      <x:c r="AA698" s="36" t="str">
        <x:v>JA</x:v>
      </x:c>
      <x:c r="AB698" s="36" t="str">
        <x:v>JA</x:v>
      </x:c>
      <x:c r="AC698" s="36" t="str">
        <x:v>JA</x:v>
      </x:c>
      <x:c r="AD698" s="36" t="str">
        <x:v>JA</x:v>
      </x:c>
      <x:c r="AE698" s="36" t="str">
        <x:v>JA</x:v>
      </x:c>
      <x:c r="AF698" s="36" t="str">
        <x:v>JA</x:v>
      </x:c>
      <x:c r="AG698" s="36" t="str">
        <x:v>FREIGEGEBEN</x:v>
      </x:c>
      <x:c r="AH698" s="36" t="str">
        <x:v>GPT-5.6 Sol · Buchprüfung 1. Korinther · L1912/OTB</x:v>
      </x:c>
      <x:c r="AI698" s="36" t="str">
        <x:v>FREIGEGEBEN</x:v>
      </x:c>
      <x:c r="AJ698" s="36" t="str">
        <x:v>1. Korinther 7: repetitive Wiedererkennungsfrage durch KERNAUSSAGE-Frage ersetzt.</x:v>
      </x:c>
      <x:c r="AK698" s="36" t="str">
        <x:v>FaithPath repo develop/v4 · data/stories.json · data/bibles/l1912/1CO.json · data/bibles/otb/1CO.json</x:v>
      </x:c>
      <x:c r="AL698" t="str">
        <x:f>IF(AND(AG698="FREIGEGEBEN",AI698="FREIGEGEBEN",Q698&lt;&gt;"",R698&lt;&gt;"",S698&lt;&gt;"",T698&lt;&gt;"",U698&lt;&gt;"",ISNUMBER(V698),X698&lt;&gt;"",Y698&lt;&gt;"",AA698="JA",AB698="JA",AC698="JA",AD698="JA",AE698="JA",AF698="JA"),"JA","NEIN")</x:f>
        <x:v>JA</x:v>
      </x:c>
    </x:row>
    <x:row r="699">
      <x:c r="A699" t="str">
        <x:v>FP-0958</x:v>
      </x:c>
      <x:c r="B699" t="str">
        <x:v>1CO</x:v>
      </x:c>
      <x:c r="C699" t="str">
        <x:v>1. Korinther</x:v>
      </x:c>
      <x:c r="D699" t="n">
        <x:v>7</x:v>
      </x:c>
      <x:c r="E699" t="n">
        <x:v>3</x:v>
      </x:c>
      <x:c r="F699" t="str">
        <x:v>1CO-007</x:v>
      </x:c>
      <x:c r="G699" t="n">
        <x:v>140</x:v>
      </x:c>
      <x:c r="H699" t="str">
        <x:v>CQ-A07</x:v>
      </x:c>
      <x:c r="I699" s="36" t="str">
        <x:v>Welche dieser Aussagen stammt aus 1. Korinther 7?</x:v>
      </x:c>
      <x:c r="J699" s="36" t="str"/>
      <x:c r="K699" s="36" t="str"/>
      <x:c r="L699" s="36" t="str">
        <x:v>REPO_VERIFIZIERT_FRAGEFORM</x:v>
      </x:c>
      <x:c r="M699" s="36" t="str">
        <x:v>ERSETZEN</x:v>
      </x:c>
      <x:c r="N699" s="36" t="str">
        <x:v>REPETITIVE_FRAGEFORM</x:v>
      </x:c>
      <x:c r="O699" s="36" t="str">
        <x:v>REINE_WIEDERERKENNUNG</x:v>
      </x:c>
      <x:c r="P699" s="36" t="str">
        <x:v>ZUSAMMENHANG</x:v>
      </x:c>
      <x:c r="Q699" s="36" t="str">
        <x:v>Was rät Paulus einem gläubigen Ehepartner, dessen nichtgläubiger Partner weiter in der Ehe leben möchte?</x:v>
      </x:c>
      <x:c r="R699" s="36" t="str">
        <x:v>Sofort die Scheidung einzureichen.</x:v>
      </x:c>
      <x:c r="S699" s="36" t="str">
        <x:v>Nur noch getrennt zu wohnen.</x:v>
      </x:c>
      <x:c r="T699" s="36" t="str">
        <x:v>Den Partner zur Taufe zu zwingen.</x:v>
      </x:c>
      <x:c r="U699" s="36" t="str">
        <x:v>Die Ehe nicht aufzulösen.</x:v>
      </x:c>
      <x:c r="V699" s="36" t="n">
        <x:v>3</x:v>
      </x:c>
      <x:c r="W699" s="36" t="str">
        <x:f>CHOOSE(V699+1,R699,S699,T699,U699)</x:f>
        <x:v>Die Ehe nicht aufzulösen.</x:v>
      </x:c>
      <x:c r="X699" s="36" t="str">
        <x:v>1. Korinther 7,12–16</x:v>
      </x:c>
      <x:c r="Y699" s="36" t="str">
        <x:v>Paulus rät zum Fortbestand der Ehe, wenn der nichtgläubige Partner bereit ist, zusammenzuleben.</x:v>
      </x:c>
      <x:c r="Z699" s="36" t="str">
        <x:v>JA</x:v>
      </x:c>
      <x:c r="AA699" s="36" t="str">
        <x:v>JA</x:v>
      </x:c>
      <x:c r="AB699" s="36" t="str">
        <x:v>JA</x:v>
      </x:c>
      <x:c r="AC699" s="36" t="str">
        <x:v>JA</x:v>
      </x:c>
      <x:c r="AD699" s="36" t="str">
        <x:v>JA</x:v>
      </x:c>
      <x:c r="AE699" s="36" t="str">
        <x:v>JA</x:v>
      </x:c>
      <x:c r="AF699" s="36" t="str">
        <x:v>JA</x:v>
      </x:c>
      <x:c r="AG699" s="36" t="str">
        <x:v>FREIGEGEBEN</x:v>
      </x:c>
      <x:c r="AH699" s="36" t="str">
        <x:v>GPT-5.6 Sol · Buchprüfung 1. Korinther · L1912/OTB</x:v>
      </x:c>
      <x:c r="AI699" s="36" t="str">
        <x:v>FREIGEGEBEN</x:v>
      </x:c>
      <x:c r="AJ699" s="36" t="str">
        <x:v>1. Korinther 7: repetitive Wiedererkennungsfrage durch ZUSAMMENHANG-Frage ersetzt.</x:v>
      </x:c>
      <x:c r="AK699" s="36" t="str">
        <x:v>FaithPath repo develop/v4 · data/stories.json · data/bibles/l1912/1CO.json · data/bibles/otb/1CO.json</x:v>
      </x:c>
      <x:c r="AL699" t="str">
        <x:f>IF(AND(AG699="FREIGEGEBEN",AI699="FREIGEGEBEN",Q699&lt;&gt;"",R699&lt;&gt;"",S699&lt;&gt;"",T699&lt;&gt;"",U699&lt;&gt;"",ISNUMBER(V699),X699&lt;&gt;"",Y699&lt;&gt;"",AA699="JA",AB699="JA",AC699="JA",AD699="JA",AE699="JA",AF699="JA"),"JA","NEIN")</x:f>
        <x:v>JA</x:v>
      </x:c>
    </x:row>
    <x:row r="700">
      <x:c r="A700" t="str">
        <x:v>FP-0959</x:v>
      </x:c>
      <x:c r="B700" t="str">
        <x:v>1CO</x:v>
      </x:c>
      <x:c r="C700" t="str">
        <x:v>1. Korinther</x:v>
      </x:c>
      <x:c r="D700" t="n">
        <x:v>7</x:v>
      </x:c>
      <x:c r="E700" t="n">
        <x:v>4</x:v>
      </x:c>
      <x:c r="F700" t="str">
        <x:v>1CO-007</x:v>
      </x:c>
      <x:c r="G700" t="n">
        <x:v>140</x:v>
      </x:c>
      <x:c r="H700" t="str">
        <x:v>CQ-A07</x:v>
      </x:c>
      <x:c r="I700" s="36" t="str">
        <x:v>Welche dieser Aussagen stammt aus 1. Korinther 7?</x:v>
      </x:c>
      <x:c r="J700" s="36" t="str"/>
      <x:c r="K700" s="36" t="str"/>
      <x:c r="L700" s="36" t="str">
        <x:v>REPO_VERIFIZIERT_FRAGEFORM</x:v>
      </x:c>
      <x:c r="M700" s="36" t="str">
        <x:v>ERSETZEN</x:v>
      </x:c>
      <x:c r="N700" s="36" t="str">
        <x:v>REPETITIVE_FRAGEFORM</x:v>
      </x:c>
      <x:c r="O700" s="36" t="str">
        <x:v>REINE_WIEDERERKENNUNG</x:v>
      </x:c>
      <x:c r="P700" s="36" t="str">
        <x:v>KERNAUSSAGE</x:v>
      </x:c>
      <x:c r="Q700" s="36" t="str">
        <x:v>Welches allgemeine Prinzip wiederholt Paulus im Blick auf Beschneidung, soziale Stellung und Berufung?</x:v>
      </x:c>
      <x:c r="R700" s="36" t="str">
        <x:v>Jeder soll grundsätzlich in der Lebenssituation mit Gott leben, in der er berufen wurde.</x:v>
      </x:c>
      <x:c r="S700" s="36" t="str">
        <x:v>Jeder muss nach der Bekehrung seinen sozialen Status wechseln.</x:v>
      </x:c>
      <x:c r="T700" s="36" t="str">
        <x:v>Sklaven dürfen nie frei werden.</x:v>
      </x:c>
      <x:c r="U700" s="36" t="str">
        <x:v>Beschneidung entscheidet über den Wert vor Gott.</x:v>
      </x:c>
      <x:c r="V700" s="36" t="n">
        <x:v>0</x:v>
      </x:c>
      <x:c r="W700" s="36" t="str">
        <x:f>CHOOSE(V700+1,R700,S700,T700,U700)</x:f>
        <x:v>Jeder soll grundsätzlich in der Lebenssituation mit Gott leben, in der er berufen wurde.</x:v>
      </x:c>
      <x:c r="X700" s="36" t="str">
        <x:v>1. Korinther 7,17–24</x:v>
      </x:c>
      <x:c r="Y700" s="36" t="str">
        <x:v>Paulus warnt vor unnötigem Statuswechsel als geistlichem Ziel und richtet den Blick auf die Zugehörigkeit zu Gott.</x:v>
      </x:c>
      <x:c r="Z700" s="36" t="str">
        <x:v>JA</x:v>
      </x:c>
      <x:c r="AA700" s="36" t="str">
        <x:v>JA</x:v>
      </x:c>
      <x:c r="AB700" s="36" t="str">
        <x:v>JA</x:v>
      </x:c>
      <x:c r="AC700" s="36" t="str">
        <x:v>JA</x:v>
      </x:c>
      <x:c r="AD700" s="36" t="str">
        <x:v>JA</x:v>
      </x:c>
      <x:c r="AE700" s="36" t="str">
        <x:v>JA</x:v>
      </x:c>
      <x:c r="AF700" s="36" t="str">
        <x:v>JA</x:v>
      </x:c>
      <x:c r="AG700" s="36" t="str">
        <x:v>FREIGEGEBEN</x:v>
      </x:c>
      <x:c r="AH700" s="36" t="str">
        <x:v>GPT-5.6 Sol · Buchprüfung 1. Korinther · L1912/OTB</x:v>
      </x:c>
      <x:c r="AI700" s="36" t="str">
        <x:v>FREIGEGEBEN</x:v>
      </x:c>
      <x:c r="AJ700" s="36" t="str">
        <x:v>1. Korinther 7: repetitive Wiedererkennungsfrage durch KERNAUSSAGE-Frage ersetzt.</x:v>
      </x:c>
      <x:c r="AK700" s="36" t="str">
        <x:v>FaithPath repo develop/v4 · data/stories.json · data/bibles/l1912/1CO.json · data/bibles/otb/1CO.json</x:v>
      </x:c>
      <x:c r="AL700" t="str">
        <x:f>IF(AND(AG700="FREIGEGEBEN",AI700="FREIGEGEBEN",Q700&lt;&gt;"",R700&lt;&gt;"",S700&lt;&gt;"",T700&lt;&gt;"",U700&lt;&gt;"",ISNUMBER(V700),X700&lt;&gt;"",Y700&lt;&gt;"",AA700="JA",AB700="JA",AC700="JA",AD700="JA",AE700="JA",AF700="JA"),"JA","NEIN")</x:f>
        <x:v>JA</x:v>
      </x:c>
    </x:row>
    <x:row r="701">
      <x:c r="A701" t="str">
        <x:v>FP-0960</x:v>
      </x:c>
      <x:c r="B701" t="str">
        <x:v>1CO</x:v>
      </x:c>
      <x:c r="C701" t="str">
        <x:v>1. Korinther</x:v>
      </x:c>
      <x:c r="D701" t="n">
        <x:v>7</x:v>
      </x:c>
      <x:c r="E701" t="n">
        <x:v>5</x:v>
      </x:c>
      <x:c r="F701" t="str">
        <x:v>1CO-007</x:v>
      </x:c>
      <x:c r="G701" t="n">
        <x:v>140</x:v>
      </x:c>
      <x:c r="H701" t="str">
        <x:v>CQ-A07</x:v>
      </x:c>
      <x:c r="I701" s="36" t="str">
        <x:v>Welche dieser Aussagen stammt aus 1. Korinther 7?</x:v>
      </x:c>
      <x:c r="J701" s="36" t="str"/>
      <x:c r="K701" s="36" t="str"/>
      <x:c r="L701" s="36" t="str">
        <x:v>REPO_VERIFIZIERT_FRAGEFORM</x:v>
      </x:c>
      <x:c r="M701" s="36" t="str">
        <x:v>ERSETZEN</x:v>
      </x:c>
      <x:c r="N701" s="36" t="str">
        <x:v>REPETITIVE_FRAGEFORM</x:v>
      </x:c>
      <x:c r="O701" s="36" t="str">
        <x:v>REINE_WIEDERERKENNUNG</x:v>
      </x:c>
      <x:c r="P701" s="36" t="str">
        <x:v>ZUSAMMENHANG</x:v>
      </x:c>
      <x:c r="Q701" s="36" t="str">
        <x:v>Warum beschreibt Paulus das unverheiratete Leben als mögliche Hilfe für ungeteilte Hingabe?</x:v>
      </x:c>
      <x:c r="R701" s="36" t="str">
        <x:v>Weil Ehe grundsätzlich geistlich minderwertig ist.</x:v>
      </x:c>
      <x:c r="S701" s="36" t="str">
        <x:v>Weil unverheiratete Menschen weniger ehebezogene Sorgen haben und sich stärker auf die Angelegenheiten des Herrn konzentrieren können.</x:v>
      </x:c>
      <x:c r="T701" s="36" t="str">
        <x:v>Weil verheiratete Menschen Gott nicht dienen können.</x:v>
      </x:c>
      <x:c r="U701" s="36" t="str">
        <x:v>Weil nur Unverheiratete geistliche Gaben erhalten.</x:v>
      </x:c>
      <x:c r="V701" s="36" t="n">
        <x:v>1</x:v>
      </x:c>
      <x:c r="W701" s="36" t="str">
        <x:f>CHOOSE(V701+1,R701,S701,T701,U701)</x:f>
        <x:v>Weil unverheiratete Menschen weniger ehebezogene Sorgen haben und sich stärker auf die Angelegenheiten des Herrn konzentrieren können.</x:v>
      </x:c>
      <x:c r="X701" s="36" t="str">
        <x:v>1. Korinther 7,32–35</x:v>
      </x:c>
      <x:c r="Y701" s="36" t="str">
        <x:v>Paulus erklärt seine Überlegung ausdrücklich mit ungeteilter Hingabe, nicht um eine Falle aufzulegen.</x:v>
      </x:c>
      <x:c r="Z701" s="36" t="str">
        <x:v>JA</x:v>
      </x:c>
      <x:c r="AA701" s="36" t="str">
        <x:v>JA</x:v>
      </x:c>
      <x:c r="AB701" s="36" t="str">
        <x:v>JA</x:v>
      </x:c>
      <x:c r="AC701" s="36" t="str">
        <x:v>JA</x:v>
      </x:c>
      <x:c r="AD701" s="36" t="str">
        <x:v>JA</x:v>
      </x:c>
      <x:c r="AE701" s="36" t="str">
        <x:v>JA</x:v>
      </x:c>
      <x:c r="AF701" s="36" t="str">
        <x:v>JA</x:v>
      </x:c>
      <x:c r="AG701" s="36" t="str">
        <x:v>FREIGEGEBEN</x:v>
      </x:c>
      <x:c r="AH701" s="36" t="str">
        <x:v>GPT-5.6 Sol · Buchprüfung 1. Korinther · L1912/OTB</x:v>
      </x:c>
      <x:c r="AI701" s="36" t="str">
        <x:v>FREIGEGEBEN</x:v>
      </x:c>
      <x:c r="AJ701" s="36" t="str">
        <x:v>1. Korinther 7: repetitive Wiedererkennungsfrage durch ZUSAMMENHANG-Frage ersetzt.</x:v>
      </x:c>
      <x:c r="AK701" s="36" t="str">
        <x:v>FaithPath repo develop/v4 · data/stories.json · data/bibles/l1912/1CO.json · data/bibles/otb/1CO.json</x:v>
      </x:c>
      <x:c r="AL701" t="str">
        <x:f>IF(AND(AG701="FREIGEGEBEN",AI701="FREIGEGEBEN",Q701&lt;&gt;"",R701&lt;&gt;"",S701&lt;&gt;"",T701&lt;&gt;"",U701&lt;&gt;"",ISNUMBER(V701),X701&lt;&gt;"",Y701&lt;&gt;"",AA701="JA",AB701="JA",AC701="JA",AD701="JA",AE701="JA",AF701="JA"),"JA","NEIN")</x:f>
        <x:v>JA</x:v>
      </x:c>
    </x:row>
    <x:row r="702">
      <x:c r="A702" t="str">
        <x:v>FP-0961</x:v>
      </x:c>
      <x:c r="B702" t="str">
        <x:v>1CO</x:v>
      </x:c>
      <x:c r="C702" t="str">
        <x:v>1. Korinther</x:v>
      </x:c>
      <x:c r="D702" t="n">
        <x:v>8</x:v>
      </x:c>
      <x:c r="E702" t="n">
        <x:v>1</x:v>
      </x:c>
      <x:c r="F702" t="str">
        <x:v>1CO-008</x:v>
      </x:c>
      <x:c r="G702" t="n">
        <x:v>141</x:v>
      </x:c>
      <x:c r="H702" t="str">
        <x:v>CQ-A08</x:v>
      </x:c>
      <x:c r="I702" s="36" t="str">
        <x:v>Welche dieser Aussagen stammt aus 1. Korinther 8?</x:v>
      </x:c>
      <x:c r="J702" s="36" t="str"/>
      <x:c r="K702" s="36" t="str"/>
      <x:c r="L702" s="36" t="str">
        <x:v>REPO_VERIFIZIERT_FRAGEFORM</x:v>
      </x:c>
      <x:c r="M702" s="36" t="str">
        <x:v>ERSETZEN</x:v>
      </x:c>
      <x:c r="N702" s="36" t="str">
        <x:v>REPETITIVE_FRAGEFORM</x:v>
      </x:c>
      <x:c r="O702" s="36" t="str">
        <x:v>REINE_WIEDERERKENNUNG</x:v>
      </x:c>
      <x:c r="P702" s="36" t="str">
        <x:v>KERNAUSSAGE</x:v>
      </x:c>
      <x:c r="Q702" s="36" t="str">
        <x:v>Welche Grenze setzt Paulus bloßer Erkenntnis?</x:v>
      </x:c>
      <x:c r="R702" s="36" t="str">
        <x:v>Erkenntnis ist immer schädlich.</x:v>
      </x:c>
      <x:c r="S702" s="36" t="str">
        <x:v>Liebe braucht keine Wahrheit.</x:v>
      </x:c>
      <x:c r="T702" s="36" t="str">
        <x:v>Erkenntnis bläht auf, Liebe aber baut auf.</x:v>
      </x:c>
      <x:c r="U702" s="36" t="str">
        <x:v>Nur Unwissende können lieben.</x:v>
      </x:c>
      <x:c r="V702" s="36" t="n">
        <x:v>2</x:v>
      </x:c>
      <x:c r="W702" s="36" t="str">
        <x:f>CHOOSE(V702+1,R702,S702,T702,U702)</x:f>
        <x:v>Erkenntnis bläht auf, Liebe aber baut auf.</x:v>
      </x:c>
      <x:c r="X702" s="36" t="str">
        <x:v>1. Korinther 8,1–3</x:v>
      </x:c>
      <x:c r="Y702" s="36" t="str">
        <x:v>Paulus stellt nicht Erkenntnis an sich infrage, sondern Erkenntnis ohne Liebe.</x:v>
      </x:c>
      <x:c r="Z702" s="36" t="str">
        <x:v>JA</x:v>
      </x:c>
      <x:c r="AA702" s="36" t="str">
        <x:v>JA</x:v>
      </x:c>
      <x:c r="AB702" s="36" t="str">
        <x:v>JA</x:v>
      </x:c>
      <x:c r="AC702" s="36" t="str">
        <x:v>JA</x:v>
      </x:c>
      <x:c r="AD702" s="36" t="str">
        <x:v>JA</x:v>
      </x:c>
      <x:c r="AE702" s="36" t="str">
        <x:v>JA</x:v>
      </x:c>
      <x:c r="AF702" s="36" t="str">
        <x:v>JA</x:v>
      </x:c>
      <x:c r="AG702" s="36" t="str">
        <x:v>FREIGEGEBEN</x:v>
      </x:c>
      <x:c r="AH702" s="36" t="str">
        <x:v>GPT-5.6 Sol · Buchprüfung 1. Korinther · L1912/OTB</x:v>
      </x:c>
      <x:c r="AI702" s="36" t="str">
        <x:v>FREIGEGEBEN</x:v>
      </x:c>
      <x:c r="AJ702" s="36" t="str">
        <x:v>1. Korinther 8: repetitive Wiedererkennungsfrage durch KERNAUSSAGE-Frage ersetzt.</x:v>
      </x:c>
      <x:c r="AK702" s="36" t="str">
        <x:v>FaithPath repo develop/v4 · data/stories.json · data/bibles/l1912/1CO.json · data/bibles/otb/1CO.json</x:v>
      </x:c>
      <x:c r="AL702" t="str">
        <x:f>IF(AND(AG702="FREIGEGEBEN",AI702="FREIGEGEBEN",Q702&lt;&gt;"",R702&lt;&gt;"",S702&lt;&gt;"",T702&lt;&gt;"",U702&lt;&gt;"",ISNUMBER(V702),X702&lt;&gt;"",Y702&lt;&gt;"",AA702="JA",AB702="JA",AC702="JA",AD702="JA",AE702="JA",AF702="JA"),"JA","NEIN")</x:f>
        <x:v>JA</x:v>
      </x:c>
    </x:row>
    <x:row r="703">
      <x:c r="A703" t="str">
        <x:v>FP-0962</x:v>
      </x:c>
      <x:c r="B703" t="str">
        <x:v>1CO</x:v>
      </x:c>
      <x:c r="C703" t="str">
        <x:v>1. Korinther</x:v>
      </x:c>
      <x:c r="D703" t="n">
        <x:v>8</x:v>
      </x:c>
      <x:c r="E703" t="n">
        <x:v>2</x:v>
      </x:c>
      <x:c r="F703" t="str">
        <x:v>1CO-008</x:v>
      </x:c>
      <x:c r="G703" t="n">
        <x:v>141</x:v>
      </x:c>
      <x:c r="H703" t="str">
        <x:v>CQ-A08</x:v>
      </x:c>
      <x:c r="I703" s="36" t="str">
        <x:v>Welche dieser Aussagen stammt aus 1. Korinther 8?</x:v>
      </x:c>
      <x:c r="J703" s="36" t="str"/>
      <x:c r="K703" s="36" t="str"/>
      <x:c r="L703" s="36" t="str">
        <x:v>REPO_VERIFIZIERT_FRAGEFORM</x:v>
      </x:c>
      <x:c r="M703" s="36" t="str">
        <x:v>ERSETZEN</x:v>
      </x:c>
      <x:c r="N703" s="36" t="str">
        <x:v>REPETITIVE_FRAGEFORM</x:v>
      </x:c>
      <x:c r="O703" s="36" t="str">
        <x:v>REINE_WIEDERERKENNUNG</x:v>
      </x:c>
      <x:c r="P703" s="36" t="str">
        <x:v>KERNAUSSAGE</x:v>
      </x:c>
      <x:c r="Q703" s="36" t="str">
        <x:v>Wie fasst Paulus den christlichen Glauben gegenüber den vielen sogenannten Göttern zusammen?</x:v>
      </x:c>
      <x:c r="R703" s="36" t="str">
        <x:v>Jeder Gott ist gleich wirklich.</x:v>
      </x:c>
      <x:c r="S703" s="36" t="str">
        <x:v>Christus ist nur einer unter vielen Göttern.</x:v>
      </x:c>
      <x:c r="T703" s="36" t="str">
        <x:v>Der Vater und Jesus haben nichts mit der Schöpfung zu tun.</x:v>
      </x:c>
      <x:c r="U703" s="36" t="str">
        <x:v>Es gibt einen Gott, den Vater, und einen Herrn, Jesus Christus.</x:v>
      </x:c>
      <x:c r="V703" s="36" t="n">
        <x:v>3</x:v>
      </x:c>
      <x:c r="W703" s="36" t="str">
        <x:f>CHOOSE(V703+1,R703,S703,T703,U703)</x:f>
        <x:v>Es gibt einen Gott, den Vater, und einen Herrn, Jesus Christus.</x:v>
      </x:c>
      <x:c r="X703" s="36" t="str">
        <x:v>1. Korinther 8,4–6</x:v>
      </x:c>
      <x:c r="Y703" s="36" t="str">
        <x:v>Paulus bekennt den einen Gott, den Vater, und den einen Herrn, Jesus Christus.</x:v>
      </x:c>
      <x:c r="Z703" s="36" t="str">
        <x:v>JA</x:v>
      </x:c>
      <x:c r="AA703" s="36" t="str">
        <x:v>JA</x:v>
      </x:c>
      <x:c r="AB703" s="36" t="str">
        <x:v>JA</x:v>
      </x:c>
      <x:c r="AC703" s="36" t="str">
        <x:v>JA</x:v>
      </x:c>
      <x:c r="AD703" s="36" t="str">
        <x:v>JA</x:v>
      </x:c>
      <x:c r="AE703" s="36" t="str">
        <x:v>JA</x:v>
      </x:c>
      <x:c r="AF703" s="36" t="str">
        <x:v>JA</x:v>
      </x:c>
      <x:c r="AG703" s="36" t="str">
        <x:v>FREIGEGEBEN</x:v>
      </x:c>
      <x:c r="AH703" s="36" t="str">
        <x:v>GPT-5.6 Sol · Buchprüfung 1. Korinther · L1912/OTB</x:v>
      </x:c>
      <x:c r="AI703" s="36" t="str">
        <x:v>FREIGEGEBEN</x:v>
      </x:c>
      <x:c r="AJ703" s="36" t="str">
        <x:v>1. Korinther 8: repetitive Wiedererkennungsfrage durch KERNAUSSAGE-Frage ersetzt.</x:v>
      </x:c>
      <x:c r="AK703" s="36" t="str">
        <x:v>FaithPath repo develop/v4 · data/stories.json · data/bibles/l1912/1CO.json · data/bibles/otb/1CO.json</x:v>
      </x:c>
      <x:c r="AL703" t="str">
        <x:f>IF(AND(AG703="FREIGEGEBEN",AI703="FREIGEGEBEN",Q703&lt;&gt;"",R703&lt;&gt;"",S703&lt;&gt;"",T703&lt;&gt;"",U703&lt;&gt;"",ISNUMBER(V703),X703&lt;&gt;"",Y703&lt;&gt;"",AA703="JA",AB703="JA",AC703="JA",AD703="JA",AE703="JA",AF703="JA"),"JA","NEIN")</x:f>
        <x:v>JA</x:v>
      </x:c>
    </x:row>
    <x:row r="704">
      <x:c r="A704" t="str">
        <x:v>FP-0963</x:v>
      </x:c>
      <x:c r="B704" t="str">
        <x:v>1CO</x:v>
      </x:c>
      <x:c r="C704" t="str">
        <x:v>1. Korinther</x:v>
      </x:c>
      <x:c r="D704" t="n">
        <x:v>8</x:v>
      </x:c>
      <x:c r="E704" t="n">
        <x:v>3</x:v>
      </x:c>
      <x:c r="F704" t="str">
        <x:v>1CO-008</x:v>
      </x:c>
      <x:c r="G704" t="n">
        <x:v>141</x:v>
      </x:c>
      <x:c r="H704" t="str">
        <x:v>CQ-A08</x:v>
      </x:c>
      <x:c r="I704" s="36" t="str">
        <x:v>Welche dieser Aussagen stammt aus 1. Korinther 8?</x:v>
      </x:c>
      <x:c r="J704" s="36" t="str"/>
      <x:c r="K704" s="36" t="str"/>
      <x:c r="L704" s="36" t="str">
        <x:v>REPO_VERIFIZIERT_FRAGEFORM</x:v>
      </x:c>
      <x:c r="M704" s="36" t="str">
        <x:v>ERSETZEN</x:v>
      </x:c>
      <x:c r="N704" s="36" t="str">
        <x:v>REPETITIVE_FRAGEFORM</x:v>
      </x:c>
      <x:c r="O704" s="36" t="str">
        <x:v>REINE_WIEDERERKENNUNG</x:v>
      </x:c>
      <x:c r="P704" s="36" t="str">
        <x:v>ZUSAMMENHANG</x:v>
      </x:c>
      <x:c r="Q704" s="36" t="str">
        <x:v>Warum kann das Essen von Götzenopferfleisch für manche Gläubige zum Problem werden?</x:v>
      </x:c>
      <x:c r="R704" s="36" t="str">
        <x:v>Weil ihr Gewissen durch ihre frühere Bindung an Götzen noch schwach und dadurch verletzt werden kann.</x:v>
      </x:c>
      <x:c r="S704" s="36" t="str">
        <x:v>Weil jedes Fleisch an sich geistlich unrein ist.</x:v>
      </x:c>
      <x:c r="T704" s="36" t="str">
        <x:v>Weil Paulus Vegetarismus vorschreibt.</x:v>
      </x:c>
      <x:c r="U704" s="36" t="str">
        <x:v>Weil nur Juden Fleisch essen dürfen.</x:v>
      </x:c>
      <x:c r="V704" s="36" t="n">
        <x:v>0</x:v>
      </x:c>
      <x:c r="W704" s="36" t="str">
        <x:f>CHOOSE(V704+1,R704,S704,T704,U704)</x:f>
        <x:v>Weil ihr Gewissen durch ihre frühere Bindung an Götzen noch schwach und dadurch verletzt werden kann.</x:v>
      </x:c>
      <x:c r="X704" s="36" t="str">
        <x:v>1. Korinther 8,7–10</x:v>
      </x:c>
      <x:c r="Y704" s="36" t="str">
        <x:v>Paulus berücksichtigt die unterschiedliche Gewissensprägung in der Gemeinde.</x:v>
      </x:c>
      <x:c r="Z704" s="36" t="str">
        <x:v>JA</x:v>
      </x:c>
      <x:c r="AA704" s="36" t="str">
        <x:v>JA</x:v>
      </x:c>
      <x:c r="AB704" s="36" t="str">
        <x:v>JA</x:v>
      </x:c>
      <x:c r="AC704" s="36" t="str">
        <x:v>JA</x:v>
      </x:c>
      <x:c r="AD704" s="36" t="str">
        <x:v>JA</x:v>
      </x:c>
      <x:c r="AE704" s="36" t="str">
        <x:v>JA</x:v>
      </x:c>
      <x:c r="AF704" s="36" t="str">
        <x:v>JA</x:v>
      </x:c>
      <x:c r="AG704" s="36" t="str">
        <x:v>FREIGEGEBEN</x:v>
      </x:c>
      <x:c r="AH704" s="36" t="str">
        <x:v>GPT-5.6 Sol · Buchprüfung 1. Korinther · L1912/OTB</x:v>
      </x:c>
      <x:c r="AI704" s="36" t="str">
        <x:v>FREIGEGEBEN</x:v>
      </x:c>
      <x:c r="AJ704" s="36" t="str">
        <x:v>1. Korinther 8: repetitive Wiedererkennungsfrage durch ZUSAMMENHANG-Frage ersetzt.</x:v>
      </x:c>
      <x:c r="AK704" s="36" t="str">
        <x:v>FaithPath repo develop/v4 · data/stories.json · data/bibles/l1912/1CO.json · data/bibles/otb/1CO.json</x:v>
      </x:c>
      <x:c r="AL704" t="str">
        <x:f>IF(AND(AG704="FREIGEGEBEN",AI704="FREIGEGEBEN",Q704&lt;&gt;"",R704&lt;&gt;"",S704&lt;&gt;"",T704&lt;&gt;"",U704&lt;&gt;"",ISNUMBER(V704),X704&lt;&gt;"",Y704&lt;&gt;"",AA704="JA",AB704="JA",AC704="JA",AD704="JA",AE704="JA",AF704="JA"),"JA","NEIN")</x:f>
        <x:v>JA</x:v>
      </x:c>
    </x:row>
    <x:row r="705">
      <x:c r="A705" t="str">
        <x:v>FP-0964</x:v>
      </x:c>
      <x:c r="B705" t="str">
        <x:v>1CO</x:v>
      </x:c>
      <x:c r="C705" t="str">
        <x:v>1. Korinther</x:v>
      </x:c>
      <x:c r="D705" t="n">
        <x:v>8</x:v>
      </x:c>
      <x:c r="E705" t="n">
        <x:v>4</x:v>
      </x:c>
      <x:c r="F705" t="str">
        <x:v>1CO-008</x:v>
      </x:c>
      <x:c r="G705" t="n">
        <x:v>141</x:v>
      </x:c>
      <x:c r="H705" t="str">
        <x:v>CQ-A08</x:v>
      </x:c>
      <x:c r="I705" s="36" t="str">
        <x:v>Welche dieser Aussagen stammt aus 1. Korinther 8?</x:v>
      </x:c>
      <x:c r="J705" s="36" t="str"/>
      <x:c r="K705" s="36" t="str"/>
      <x:c r="L705" s="36" t="str">
        <x:v>REPO_VERIFIZIERT_FRAGEFORM</x:v>
      </x:c>
      <x:c r="M705" s="36" t="str">
        <x:v>ERSETZEN</x:v>
      </x:c>
      <x:c r="N705" s="36" t="str">
        <x:v>REPETITIVE_FRAGEFORM</x:v>
      </x:c>
      <x:c r="O705" s="36" t="str">
        <x:v>REINE_WIEDERERKENNUNG</x:v>
      </x:c>
      <x:c r="P705" s="36" t="str">
        <x:v>KERNAUSSAGE</x:v>
      </x:c>
      <x:c r="Q705" s="36" t="str">
        <x:v>Wie weit ist Paulus bereit, seine Freiheit aus Rücksicht auf einen Bruder einzuschränken?</x:v>
      </x:c>
      <x:c r="R705" s="36" t="str">
        <x:v>Er würde seine Freiheit niemals einschränken.</x:v>
      </x:c>
      <x:c r="S705" s="36" t="str">
        <x:v>Wenn Essen den Bruder zu Fall bringt, würde er darauf verzichten.</x:v>
      </x:c>
      <x:c r="T705" s="36" t="str">
        <x:v>Er würde den Bruder aus der Gemeinde ausschließen.</x:v>
      </x:c>
      <x:c r="U705" s="36" t="str">
        <x:v>Er würde nur öffentlich auf Essen verzichten.</x:v>
      </x:c>
      <x:c r="V705" s="36" t="n">
        <x:v>1</x:v>
      </x:c>
      <x:c r="W705" s="36" t="str">
        <x:f>CHOOSE(V705+1,R705,S705,T705,U705)</x:f>
        <x:v>Wenn Essen den Bruder zu Fall bringt, würde er darauf verzichten.</x:v>
      </x:c>
      <x:c r="X705" s="36" t="str">
        <x:v>1. Korinther 8,11–13</x:v>
      </x:c>
      <x:c r="Y705" s="36" t="str">
        <x:v>Paulus ordnet persönliche Freiheit der Liebe und dem geistlichen Wohl des anderen unter.</x:v>
      </x:c>
      <x:c r="Z705" s="36" t="str">
        <x:v>JA</x:v>
      </x:c>
      <x:c r="AA705" s="36" t="str">
        <x:v>JA</x:v>
      </x:c>
      <x:c r="AB705" s="36" t="str">
        <x:v>JA</x:v>
      </x:c>
      <x:c r="AC705" s="36" t="str">
        <x:v>JA</x:v>
      </x:c>
      <x:c r="AD705" s="36" t="str">
        <x:v>JA</x:v>
      </x:c>
      <x:c r="AE705" s="36" t="str">
        <x:v>JA</x:v>
      </x:c>
      <x:c r="AF705" s="36" t="str">
        <x:v>JA</x:v>
      </x:c>
      <x:c r="AG705" s="36" t="str">
        <x:v>FREIGEGEBEN</x:v>
      </x:c>
      <x:c r="AH705" s="36" t="str">
        <x:v>GPT-5.6 Sol · Buchprüfung 1. Korinther · L1912/OTB</x:v>
      </x:c>
      <x:c r="AI705" s="36" t="str">
        <x:v>FREIGEGEBEN</x:v>
      </x:c>
      <x:c r="AJ705" s="36" t="str">
        <x:v>1. Korinther 8: repetitive Wiedererkennungsfrage durch KERNAUSSAGE-Frage ersetzt.</x:v>
      </x:c>
      <x:c r="AK705" s="36" t="str">
        <x:v>FaithPath repo develop/v4 · data/stories.json · data/bibles/l1912/1CO.json · data/bibles/otb/1CO.json</x:v>
      </x:c>
      <x:c r="AL705" t="str">
        <x:f>IF(AND(AG705="FREIGEGEBEN",AI705="FREIGEGEBEN",Q705&lt;&gt;"",R705&lt;&gt;"",S705&lt;&gt;"",T705&lt;&gt;"",U705&lt;&gt;"",ISNUMBER(V705),X705&lt;&gt;"",Y705&lt;&gt;"",AA705="JA",AB705="JA",AC705="JA",AD705="JA",AE705="JA",AF705="JA"),"JA","NEIN")</x:f>
        <x:v>JA</x:v>
      </x:c>
    </x:row>
    <x:row r="706">
      <x:c r="A706" t="str">
        <x:v>FP-0965</x:v>
      </x:c>
      <x:c r="B706" t="str">
        <x:v>1CO</x:v>
      </x:c>
      <x:c r="C706" t="str">
        <x:v>1. Korinther</x:v>
      </x:c>
      <x:c r="D706" t="n">
        <x:v>8</x:v>
      </x:c>
      <x:c r="E706" t="n">
        <x:v>5</x:v>
      </x:c>
      <x:c r="F706" t="str">
        <x:v>1CO-008</x:v>
      </x:c>
      <x:c r="G706" t="n">
        <x:v>141</x:v>
      </x:c>
      <x:c r="H706" t="str">
        <x:v>CQ-A08</x:v>
      </x:c>
      <x:c r="I706" s="36" t="str">
        <x:v>Welche dieser Aussagen stammt aus 1. Korinther 8?</x:v>
      </x:c>
      <x:c r="J706" s="36" t="str"/>
      <x:c r="K706" s="36" t="str"/>
      <x:c r="L706" s="36" t="str">
        <x:v>REPO_VERIFIZIERT_FRAGEFORM</x:v>
      </x:c>
      <x:c r="M706" s="36" t="str">
        <x:v>ERSETZEN</x:v>
      </x:c>
      <x:c r="N706" s="36" t="str">
        <x:v>REPETITIVE_FRAGEFORM</x:v>
      </x:c>
      <x:c r="O706" s="36" t="str">
        <x:v>REINE_WIEDERERKENNUNG</x:v>
      </x:c>
      <x:c r="P706" s="36" t="str">
        <x:v>KERNAUSSAGE</x:v>
      </x:c>
      <x:c r="Q706" s="36" t="str">
        <x:v>Wovor warnt Paulus die Korinther im Umgang mit ihrer Freiheit?</x:v>
      </x:c>
      <x:c r="R706" s="36" t="str">
        <x:v>Dass sie ihre Freiheit überhaupt nutzen.</x:v>
      </x:c>
      <x:c r="S706" s="36" t="str">
        <x:v>Dass sie andere über ihre Freiheit informieren.</x:v>
      </x:c>
      <x:c r="T706" s="36" t="str">
        <x:v>Dass ihre Freiheit für Schwache nicht zum Anstoß wird.</x:v>
      </x:c>
      <x:c r="U706" s="36" t="str">
        <x:v>Dass sie unterschiedliche Speisen essen.</x:v>
      </x:c>
      <x:c r="V706" s="36" t="n">
        <x:v>2</x:v>
      </x:c>
      <x:c r="W706" s="36" t="str">
        <x:f>CHOOSE(V706+1,R706,S706,T706,U706)</x:f>
        <x:v>Dass ihre Freiheit für Schwache nicht zum Anstoß wird.</x:v>
      </x:c>
      <x:c r="X706" s="36" t="str">
        <x:v>1. Korinther 8,9</x:v>
      </x:c>
      <x:c r="Y706" s="36" t="str">
        <x:v>Freiheit wird bei Paulus durch Verantwortung für das Gewissen anderer begrenzt.</x:v>
      </x:c>
      <x:c r="Z706" s="36" t="str">
        <x:v>JA</x:v>
      </x:c>
      <x:c r="AA706" s="36" t="str">
        <x:v>JA</x:v>
      </x:c>
      <x:c r="AB706" s="36" t="str">
        <x:v>JA</x:v>
      </x:c>
      <x:c r="AC706" s="36" t="str">
        <x:v>JA</x:v>
      </x:c>
      <x:c r="AD706" s="36" t="str">
        <x:v>JA</x:v>
      </x:c>
      <x:c r="AE706" s="36" t="str">
        <x:v>JA</x:v>
      </x:c>
      <x:c r="AF706" s="36" t="str">
        <x:v>JA</x:v>
      </x:c>
      <x:c r="AG706" s="36" t="str">
        <x:v>FREIGEGEBEN</x:v>
      </x:c>
      <x:c r="AH706" s="36" t="str">
        <x:v>GPT-5.6 Sol · Buchprüfung 1. Korinther · L1912/OTB</x:v>
      </x:c>
      <x:c r="AI706" s="36" t="str">
        <x:v>FREIGEGEBEN</x:v>
      </x:c>
      <x:c r="AJ706" s="36" t="str">
        <x:v>1. Korinther 8: repetitive Wiedererkennungsfrage durch KERNAUSSAGE-Frage ersetzt.</x:v>
      </x:c>
      <x:c r="AK706" s="36" t="str">
        <x:v>FaithPath repo develop/v4 · data/stories.json · data/bibles/l1912/1CO.json · data/bibles/otb/1CO.json</x:v>
      </x:c>
      <x:c r="AL706" t="str">
        <x:f>IF(AND(AG706="FREIGEGEBEN",AI706="FREIGEGEBEN",Q706&lt;&gt;"",R706&lt;&gt;"",S706&lt;&gt;"",T706&lt;&gt;"",U706&lt;&gt;"",ISNUMBER(V706),X706&lt;&gt;"",Y706&lt;&gt;"",AA706="JA",AB706="JA",AC706="JA",AD706="JA",AE706="JA",AF706="JA"),"JA","NEIN")</x:f>
        <x:v>JA</x:v>
      </x:c>
    </x:row>
    <x:row r="707">
      <x:c r="A707" t="str">
        <x:v>FP-0966</x:v>
      </x:c>
      <x:c r="B707" t="str">
        <x:v>1CO</x:v>
      </x:c>
      <x:c r="C707" t="str">
        <x:v>1. Korinther</x:v>
      </x:c>
      <x:c r="D707" t="n">
        <x:v>9</x:v>
      </x:c>
      <x:c r="E707" t="n">
        <x:v>1</x:v>
      </x:c>
      <x:c r="F707" t="str">
        <x:v>1CO-009</x:v>
      </x:c>
      <x:c r="G707" t="n">
        <x:v>142</x:v>
      </x:c>
      <x:c r="H707" t="str">
        <x:v>CQ-A08</x:v>
      </x:c>
      <x:c r="I707" s="36" t="str">
        <x:v>Welche dieser Aussagen stammt aus 1. Korinther 9?</x:v>
      </x:c>
      <x:c r="J707" s="36" t="str"/>
      <x:c r="K707" s="36" t="str"/>
      <x:c r="L707" s="36" t="str">
        <x:v>REPO_VERIFIZIERT_FRAGEFORM</x:v>
      </x:c>
      <x:c r="M707" s="36" t="str">
        <x:v>ERSETZEN</x:v>
      </x:c>
      <x:c r="N707" s="36" t="str">
        <x:v>REPETITIVE_FRAGEFORM</x:v>
      </x:c>
      <x:c r="O707" s="36" t="str">
        <x:v>REINE_WIEDERERKENNUNG</x:v>
      </x:c>
      <x:c r="P707" s="36" t="str">
        <x:v>ZUSAMMENHANG</x:v>
      </x:c>
      <x:c r="Q707" s="36" t="str">
        <x:v>Womit begründet Paulus seinen Anspruch, als Apostel anerkannt zu werden?</x:v>
      </x:c>
      <x:c r="R707" s="36" t="str">
        <x:v>Er besitzt die höchste griechische Ausbildung.</x:v>
      </x:c>
      <x:c r="S707" s="36" t="str">
        <x:v>Er wurde von Rom eingesetzt.</x:v>
      </x:c>
      <x:c r="T707" s="36" t="str">
        <x:v>Er stammt aus Korinth.</x:v>
      </x:c>
      <x:c r="U707" s="36" t="str">
        <x:v>Er hat Jesus den Herrn gesehen, und die Korinther selbst sind Frucht seines Dienstes.</x:v>
      </x:c>
      <x:c r="V707" s="36" t="n">
        <x:v>3</x:v>
      </x:c>
      <x:c r="W707" s="36" t="str">
        <x:f>CHOOSE(V707+1,R707,S707,T707,U707)</x:f>
        <x:v>Er hat Jesus den Herrn gesehen, und die Korinther selbst sind Frucht seines Dienstes.</x:v>
      </x:c>
      <x:c r="X707" s="36" t="str">
        <x:v>1. Korinther 9,1–6</x:v>
      </x:c>
      <x:c r="Y707" s="36" t="str">
        <x:v>Paulus verweist auf seine Begegnung mit dem Herrn und die Gemeinde als Siegel seines apostolischen Dienstes.</x:v>
      </x:c>
      <x:c r="Z707" s="36" t="str">
        <x:v>JA</x:v>
      </x:c>
      <x:c r="AA707" s="36" t="str">
        <x:v>JA</x:v>
      </x:c>
      <x:c r="AB707" s="36" t="str">
        <x:v>JA</x:v>
      </x:c>
      <x:c r="AC707" s="36" t="str">
        <x:v>JA</x:v>
      </x:c>
      <x:c r="AD707" s="36" t="str">
        <x:v>JA</x:v>
      </x:c>
      <x:c r="AE707" s="36" t="str">
        <x:v>JA</x:v>
      </x:c>
      <x:c r="AF707" s="36" t="str">
        <x:v>JA</x:v>
      </x:c>
      <x:c r="AG707" s="36" t="str">
        <x:v>FREIGEGEBEN</x:v>
      </x:c>
      <x:c r="AH707" s="36" t="str">
        <x:v>GPT-5.6 Sol · Buchprüfung 1. Korinther · L1912/OTB</x:v>
      </x:c>
      <x:c r="AI707" s="36" t="str">
        <x:v>FREIGEGEBEN</x:v>
      </x:c>
      <x:c r="AJ707" s="36" t="str">
        <x:v>1. Korinther 9: repetitive Wiedererkennungsfrage durch ZUSAMMENHANG-Frage ersetzt.</x:v>
      </x:c>
      <x:c r="AK707" s="36" t="str">
        <x:v>FaithPath repo develop/v4 · data/stories.json · data/bibles/l1912/1CO.json · data/bibles/otb/1CO.json</x:v>
      </x:c>
      <x:c r="AL707" t="str">
        <x:f>IF(AND(AG707="FREIGEGEBEN",AI707="FREIGEGEBEN",Q707&lt;&gt;"",R707&lt;&gt;"",S707&lt;&gt;"",T707&lt;&gt;"",U707&lt;&gt;"",ISNUMBER(V707),X707&lt;&gt;"",Y707&lt;&gt;"",AA707="JA",AB707="JA",AC707="JA",AD707="JA",AE707="JA",AF707="JA"),"JA","NEIN")</x:f>
        <x:v>JA</x:v>
      </x:c>
    </x:row>
    <x:row r="708">
      <x:c r="A708" t="str">
        <x:v>FP-0967</x:v>
      </x:c>
      <x:c r="B708" t="str">
        <x:v>1CO</x:v>
      </x:c>
      <x:c r="C708" t="str">
        <x:v>1. Korinther</x:v>
      </x:c>
      <x:c r="D708" t="n">
        <x:v>9</x:v>
      </x:c>
      <x:c r="E708" t="n">
        <x:v>2</x:v>
      </x:c>
      <x:c r="F708" t="str">
        <x:v>1CO-009</x:v>
      </x:c>
      <x:c r="G708" t="n">
        <x:v>142</x:v>
      </x:c>
      <x:c r="H708" t="str">
        <x:v>CQ-A08</x:v>
      </x:c>
      <x:c r="I708" s="36" t="str">
        <x:v>Welche dieser Aussagen stammt aus 1. Korinther 9?</x:v>
      </x:c>
      <x:c r="J708" s="36" t="str"/>
      <x:c r="K708" s="36" t="str"/>
      <x:c r="L708" s="36" t="str">
        <x:v>REPO_VERIFIZIERT_FRAGEFORM</x:v>
      </x:c>
      <x:c r="M708" s="36" t="str">
        <x:v>ERSETZEN</x:v>
      </x:c>
      <x:c r="N708" s="36" t="str">
        <x:v>REPETITIVE_FRAGEFORM</x:v>
      </x:c>
      <x:c r="O708" s="36" t="str">
        <x:v>REINE_WIEDERERKENNUNG</x:v>
      </x:c>
      <x:c r="P708" s="36" t="str">
        <x:v>KERNAUSSAGE</x:v>
      </x:c>
      <x:c r="Q708" s="36" t="str">
        <x:v>Welches Recht apostolischer Verkündiger verteidigt Paulus mit mehreren Beispielen?</x:v>
      </x:c>
      <x:c r="R708" s="36" t="str">
        <x:v>Das Recht, vom Dienst am Evangelium materiell unterstützt zu werden.</x:v>
      </x:c>
      <x:c r="S708" s="36" t="str">
        <x:v>Das Recht, politische Ämter zu übernehmen.</x:v>
      </x:c>
      <x:c r="T708" s="36" t="str">
        <x:v>Das Recht, niemals zu arbeiten.</x:v>
      </x:c>
      <x:c r="U708" s="36" t="str">
        <x:v>Das Recht, über jede Gemeinde allein zu herrschen.</x:v>
      </x:c>
      <x:c r="V708" s="36" t="n">
        <x:v>0</x:v>
      </x:c>
      <x:c r="W708" s="36" t="str">
        <x:f>CHOOSE(V708+1,R708,S708,T708,U708)</x:f>
        <x:v>Das Recht, vom Dienst am Evangelium materiell unterstützt zu werden.</x:v>
      </x:c>
      <x:c r="X708" s="36" t="str">
        <x:v>1. Korinther 9,7–14</x:v>
      </x:c>
      <x:c r="Y708" s="36" t="str">
        <x:v>Paulus begründet aus Alltag, Gesetz und Tempeldienst, dass Verkündiger vom Evangelium leben dürfen.</x:v>
      </x:c>
      <x:c r="Z708" s="36" t="str">
        <x:v>JA</x:v>
      </x:c>
      <x:c r="AA708" s="36" t="str">
        <x:v>JA</x:v>
      </x:c>
      <x:c r="AB708" s="36" t="str">
        <x:v>JA</x:v>
      </x:c>
      <x:c r="AC708" s="36" t="str">
        <x:v>JA</x:v>
      </x:c>
      <x:c r="AD708" s="36" t="str">
        <x:v>JA</x:v>
      </x:c>
      <x:c r="AE708" s="36" t="str">
        <x:v>JA</x:v>
      </x:c>
      <x:c r="AF708" s="36" t="str">
        <x:v>JA</x:v>
      </x:c>
      <x:c r="AG708" s="36" t="str">
        <x:v>FREIGEGEBEN</x:v>
      </x:c>
      <x:c r="AH708" s="36" t="str">
        <x:v>GPT-5.6 Sol · Buchprüfung 1. Korinther · L1912/OTB</x:v>
      </x:c>
      <x:c r="AI708" s="36" t="str">
        <x:v>FREIGEGEBEN</x:v>
      </x:c>
      <x:c r="AJ708" s="36" t="str">
        <x:v>1. Korinther 9: repetitive Wiedererkennungsfrage durch KERNAUSSAGE-Frage ersetzt.</x:v>
      </x:c>
      <x:c r="AK708" s="36" t="str">
        <x:v>FaithPath repo develop/v4 · data/stories.json · data/bibles/l1912/1CO.json · data/bibles/otb/1CO.json</x:v>
      </x:c>
      <x:c r="AL708" t="str">
        <x:f>IF(AND(AG708="FREIGEGEBEN",AI708="FREIGEGEBEN",Q708&lt;&gt;"",R708&lt;&gt;"",S708&lt;&gt;"",T708&lt;&gt;"",U708&lt;&gt;"",ISNUMBER(V708),X708&lt;&gt;"",Y708&lt;&gt;"",AA708="JA",AB708="JA",AC708="JA",AD708="JA",AE708="JA",AF708="JA"),"JA","NEIN")</x:f>
        <x:v>JA</x:v>
      </x:c>
    </x:row>
    <x:row r="709">
      <x:c r="A709" t="str">
        <x:v>FP-0968</x:v>
      </x:c>
      <x:c r="B709" t="str">
        <x:v>1CO</x:v>
      </x:c>
      <x:c r="C709" t="str">
        <x:v>1. Korinther</x:v>
      </x:c>
      <x:c r="D709" t="n">
        <x:v>9</x:v>
      </x:c>
      <x:c r="E709" t="n">
        <x:v>3</x:v>
      </x:c>
      <x:c r="F709" t="str">
        <x:v>1CO-009</x:v>
      </x:c>
      <x:c r="G709" t="n">
        <x:v>142</x:v>
      </x:c>
      <x:c r="H709" t="str">
        <x:v>CQ-A08</x:v>
      </x:c>
      <x:c r="I709" s="36" t="str">
        <x:v>Welche dieser Aussagen stammt aus 1. Korinther 9?</x:v>
      </x:c>
      <x:c r="J709" s="36" t="str"/>
      <x:c r="K709" s="36" t="str"/>
      <x:c r="L709" s="36" t="str">
        <x:v>REPO_VERIFIZIERT_FRAGEFORM</x:v>
      </x:c>
      <x:c r="M709" s="36" t="str">
        <x:v>ERSETZEN</x:v>
      </x:c>
      <x:c r="N709" s="36" t="str">
        <x:v>REPETITIVE_FRAGEFORM</x:v>
      </x:c>
      <x:c r="O709" s="36" t="str">
        <x:v>REINE_WIEDERERKENNUNG</x:v>
      </x:c>
      <x:c r="P709" s="36" t="str">
        <x:v>ZUSAMMENHANG</x:v>
      </x:c>
      <x:c r="Q709" s="36" t="str">
        <x:v>Warum macht Paulus von diesem Recht auf Unterstützung nicht vollständig Gebrauch?</x:v>
      </x:c>
      <x:c r="R709" s="36" t="str">
        <x:v>Er hält Unterstützung grundsätzlich für Sünde.</x:v>
      </x:c>
      <x:c r="S709" s="36" t="str">
        <x:v>Er möchte dem Evangelium kein Hindernis bereiten und es unentgeltlich verkündigen.</x:v>
      </x:c>
      <x:c r="T709" s="36" t="str">
        <x:v>Die Korinther besitzen nichts.</x:v>
      </x:c>
      <x:c r="U709" s="36" t="str">
        <x:v>Er darf als Apostel kein Geld annehmen.</x:v>
      </x:c>
      <x:c r="V709" s="36" t="n">
        <x:v>1</x:v>
      </x:c>
      <x:c r="W709" s="36" t="str">
        <x:f>CHOOSE(V709+1,R709,S709,T709,U709)</x:f>
        <x:v>Er möchte dem Evangelium kein Hindernis bereiten und es unentgeltlich verkündigen.</x:v>
      </x:c>
      <x:c r="X709" s="36" t="str">
        <x:v>1. Korinther 9,15–18</x:v>
      </x:c>
      <x:c r="Y709" s="36" t="str">
        <x:v>Paulus verzichtet freiwillig auf ein legitimes Recht, um die Verkündigung nicht zu belasten.</x:v>
      </x:c>
      <x:c r="Z709" s="36" t="str">
        <x:v>JA</x:v>
      </x:c>
      <x:c r="AA709" s="36" t="str">
        <x:v>JA</x:v>
      </x:c>
      <x:c r="AB709" s="36" t="str">
        <x:v>JA</x:v>
      </x:c>
      <x:c r="AC709" s="36" t="str">
        <x:v>JA</x:v>
      </x:c>
      <x:c r="AD709" s="36" t="str">
        <x:v>JA</x:v>
      </x:c>
      <x:c r="AE709" s="36" t="str">
        <x:v>JA</x:v>
      </x:c>
      <x:c r="AF709" s="36" t="str">
        <x:v>JA</x:v>
      </x:c>
      <x:c r="AG709" s="36" t="str">
        <x:v>FREIGEGEBEN</x:v>
      </x:c>
      <x:c r="AH709" s="36" t="str">
        <x:v>GPT-5.6 Sol · Buchprüfung 1. Korinther · L1912/OTB</x:v>
      </x:c>
      <x:c r="AI709" s="36" t="str">
        <x:v>FREIGEGEBEN</x:v>
      </x:c>
      <x:c r="AJ709" s="36" t="str">
        <x:v>1. Korinther 9: repetitive Wiedererkennungsfrage durch ZUSAMMENHANG-Frage ersetzt.</x:v>
      </x:c>
      <x:c r="AK709" s="36" t="str">
        <x:v>FaithPath repo develop/v4 · data/stories.json · data/bibles/l1912/1CO.json · data/bibles/otb/1CO.json</x:v>
      </x:c>
      <x:c r="AL709" t="str">
        <x:f>IF(AND(AG709="FREIGEGEBEN",AI709="FREIGEGEBEN",Q709&lt;&gt;"",R709&lt;&gt;"",S709&lt;&gt;"",T709&lt;&gt;"",U709&lt;&gt;"",ISNUMBER(V709),X709&lt;&gt;"",Y709&lt;&gt;"",AA709="JA",AB709="JA",AC709="JA",AD709="JA",AE709="JA",AF709="JA"),"JA","NEIN")</x:f>
        <x:v>JA</x:v>
      </x:c>
    </x:row>
    <x:row r="710">
      <x:c r="A710" t="str">
        <x:v>FP-0969</x:v>
      </x:c>
      <x:c r="B710" t="str">
        <x:v>1CO</x:v>
      </x:c>
      <x:c r="C710" t="str">
        <x:v>1. Korinther</x:v>
      </x:c>
      <x:c r="D710" t="n">
        <x:v>9</x:v>
      </x:c>
      <x:c r="E710" t="n">
        <x:v>4</x:v>
      </x:c>
      <x:c r="F710" t="str">
        <x:v>1CO-009</x:v>
      </x:c>
      <x:c r="G710" t="n">
        <x:v>142</x:v>
      </x:c>
      <x:c r="H710" t="str">
        <x:v>CQ-A08</x:v>
      </x:c>
      <x:c r="I710" s="36" t="str">
        <x:v>Welche dieser Aussagen stammt aus 1. Korinther 9?</x:v>
      </x:c>
      <x:c r="J710" s="36" t="str"/>
      <x:c r="K710" s="36" t="str"/>
      <x:c r="L710" s="36" t="str">
        <x:v>REPO_VERIFIZIERT_FRAGEFORM</x:v>
      </x:c>
      <x:c r="M710" s="36" t="str">
        <x:v>ERSETZEN</x:v>
      </x:c>
      <x:c r="N710" s="36" t="str">
        <x:v>REPETITIVE_FRAGEFORM</x:v>
      </x:c>
      <x:c r="O710" s="36" t="str">
        <x:v>REINE_WIEDERERKENNUNG</x:v>
      </x:c>
      <x:c r="P710" s="36" t="str">
        <x:v>KERNAUSSAGE</x:v>
      </x:c>
      <x:c r="Q710" s="36" t="str">
        <x:v>Was meint Paulus mit „allen alles geworden“?</x:v>
      </x:c>
      <x:c r="R710" s="36" t="str">
        <x:v>Er ändert seine Botschaft je nach Publikum vollständig.</x:v>
      </x:c>
      <x:c r="S710" s="36" t="str">
        <x:v>Er gibt jede eigene Überzeugung auf.</x:v>
      </x:c>
      <x:c r="T710" s="36" t="str">
        <x:v>Er passt sich Menschen soweit möglich an, um einige für das Evangelium zu gewinnen, ohne seinen Auftrag aufzugeben.</x:v>
      </x:c>
      <x:c r="U710" s="36" t="str">
        <x:v>Er übernimmt jede religiöse Praxis als wahr.</x:v>
      </x:c>
      <x:c r="V710" s="36" t="n">
        <x:v>2</x:v>
      </x:c>
      <x:c r="W710" s="36" t="str">
        <x:f>CHOOSE(V710+1,R710,S710,T710,U710)</x:f>
        <x:v>Er passt sich Menschen soweit möglich an, um einige für das Evangelium zu gewinnen, ohne seinen Auftrag aufzugeben.</x:v>
      </x:c>
      <x:c r="X710" s="36" t="str">
        <x:v>1. Korinther 9,19–23</x:v>
      </x:c>
      <x:c r="Y710" s="36" t="str">
        <x:v>Paulus beschreibt missionarische Anpassungsbereitschaft im Dienst am Evangelium.</x:v>
      </x:c>
      <x:c r="Z710" s="36" t="str">
        <x:v>JA</x:v>
      </x:c>
      <x:c r="AA710" s="36" t="str">
        <x:v>JA</x:v>
      </x:c>
      <x:c r="AB710" s="36" t="str">
        <x:v>JA</x:v>
      </x:c>
      <x:c r="AC710" s="36" t="str">
        <x:v>JA</x:v>
      </x:c>
      <x:c r="AD710" s="36" t="str">
        <x:v>JA</x:v>
      </x:c>
      <x:c r="AE710" s="36" t="str">
        <x:v>JA</x:v>
      </x:c>
      <x:c r="AF710" s="36" t="str">
        <x:v>JA</x:v>
      </x:c>
      <x:c r="AG710" s="36" t="str">
        <x:v>FREIGEGEBEN</x:v>
      </x:c>
      <x:c r="AH710" s="36" t="str">
        <x:v>GPT-5.6 Sol · Buchprüfung 1. Korinther · L1912/OTB</x:v>
      </x:c>
      <x:c r="AI710" s="36" t="str">
        <x:v>FREIGEGEBEN</x:v>
      </x:c>
      <x:c r="AJ710" s="36" t="str">
        <x:v>1. Korinther 9: repetitive Wiedererkennungsfrage durch KERNAUSSAGE-Frage ersetzt.</x:v>
      </x:c>
      <x:c r="AK710" s="36" t="str">
        <x:v>FaithPath repo develop/v4 · data/stories.json · data/bibles/l1912/1CO.json · data/bibles/otb/1CO.json</x:v>
      </x:c>
      <x:c r="AL710" t="str">
        <x:f>IF(AND(AG710="FREIGEGEBEN",AI710="FREIGEGEBEN",Q710&lt;&gt;"",R710&lt;&gt;"",S710&lt;&gt;"",T710&lt;&gt;"",U710&lt;&gt;"",ISNUMBER(V710),X710&lt;&gt;"",Y710&lt;&gt;"",AA710="JA",AB710="JA",AC710="JA",AD710="JA",AE710="JA",AF710="JA"),"JA","NEIN")</x:f>
        <x:v>JA</x:v>
      </x:c>
    </x:row>
    <x:row r="711">
      <x:c r="A711" t="str">
        <x:v>FP-0970</x:v>
      </x:c>
      <x:c r="B711" t="str">
        <x:v>1CO</x:v>
      </x:c>
      <x:c r="C711" t="str">
        <x:v>1. Korinther</x:v>
      </x:c>
      <x:c r="D711" t="n">
        <x:v>9</x:v>
      </x:c>
      <x:c r="E711" t="n">
        <x:v>5</x:v>
      </x:c>
      <x:c r="F711" t="str">
        <x:v>1CO-009</x:v>
      </x:c>
      <x:c r="G711" t="n">
        <x:v>142</x:v>
      </x:c>
      <x:c r="H711" t="str">
        <x:v>CQ-A08</x:v>
      </x:c>
      <x:c r="I711" s="36" t="str">
        <x:v>Welche dieser Aussagen stammt aus 1. Korinther 9?</x:v>
      </x:c>
      <x:c r="J711" s="36" t="str"/>
      <x:c r="K711" s="36" t="str"/>
      <x:c r="L711" s="36" t="str">
        <x:v>REPO_VERIFIZIERT_FRAGEFORM</x:v>
      </x:c>
      <x:c r="M711" s="36" t="str">
        <x:v>ERSETZEN</x:v>
      </x:c>
      <x:c r="N711" s="36" t="str">
        <x:v>REPETITIVE_FRAGEFORM</x:v>
      </x:c>
      <x:c r="O711" s="36" t="str">
        <x:v>REINE_WIEDERERKENNUNG</x:v>
      </x:c>
      <x:c r="P711" s="36" t="str">
        <x:v>ZUSAMMENHANG</x:v>
      </x:c>
      <x:c r="Q711" s="36" t="str">
        <x:v>Was will Paulus mit dem Bild von Läufern und Wettkämpfern vermitteln?</x:v>
      </x:c>
      <x:c r="R711" s="36" t="str">
        <x:v>Nur körperlicher Sport zählt vor Gott.</x:v>
      </x:c>
      <x:c r="S711" s="36" t="str">
        <x:v>Es gibt im Glauben nur einen geretteten Menschen.</x:v>
      </x:c>
      <x:c r="T711" s="36" t="str">
        <x:v>Apostel dürfen keinen Sport treiben.</x:v>
      </x:c>
      <x:c r="U711" s="36" t="str">
        <x:v>Christlicher Dienst verlangt Zielorientierung und Selbstbeherrschung.</x:v>
      </x:c>
      <x:c r="V711" s="36" t="n">
        <x:v>3</x:v>
      </x:c>
      <x:c r="W711" s="36" t="str">
        <x:f>CHOOSE(V711+1,R711,S711,T711,U711)</x:f>
        <x:v>Christlicher Dienst verlangt Zielorientierung und Selbstbeherrschung.</x:v>
      </x:c>
      <x:c r="X711" s="36" t="str">
        <x:v>1. Korinther 9,24–27</x:v>
      </x:c>
      <x:c r="Y711" s="36" t="str">
        <x:v>Paulus nutzt sportliche Disziplin als Bild für entschlossene und selbstbeherrschte Nachfolge.</x:v>
      </x:c>
      <x:c r="Z711" s="36" t="str">
        <x:v>JA</x:v>
      </x:c>
      <x:c r="AA711" s="36" t="str">
        <x:v>JA</x:v>
      </x:c>
      <x:c r="AB711" s="36" t="str">
        <x:v>JA</x:v>
      </x:c>
      <x:c r="AC711" s="36" t="str">
        <x:v>JA</x:v>
      </x:c>
      <x:c r="AD711" s="36" t="str">
        <x:v>JA</x:v>
      </x:c>
      <x:c r="AE711" s="36" t="str">
        <x:v>JA</x:v>
      </x:c>
      <x:c r="AF711" s="36" t="str">
        <x:v>JA</x:v>
      </x:c>
      <x:c r="AG711" s="36" t="str">
        <x:v>FREIGEGEBEN</x:v>
      </x:c>
      <x:c r="AH711" s="36" t="str">
        <x:v>GPT-5.6 Sol · Buchprüfung 1. Korinther · L1912/OTB</x:v>
      </x:c>
      <x:c r="AI711" s="36" t="str">
        <x:v>FREIGEGEBEN</x:v>
      </x:c>
      <x:c r="AJ711" s="36" t="str">
        <x:v>1. Korinther 9: repetitive Wiedererkennungsfrage durch ZUSAMMENHANG-Frage ersetzt.</x:v>
      </x:c>
      <x:c r="AK711" s="36" t="str">
        <x:v>FaithPath repo develop/v4 · data/stories.json · data/bibles/l1912/1CO.json · data/bibles/otb/1CO.json</x:v>
      </x:c>
      <x:c r="AL711" t="str">
        <x:f>IF(AND(AG711="FREIGEGEBEN",AI711="FREIGEGEBEN",Q711&lt;&gt;"",R711&lt;&gt;"",S711&lt;&gt;"",T711&lt;&gt;"",U711&lt;&gt;"",ISNUMBER(V711),X711&lt;&gt;"",Y711&lt;&gt;"",AA711="JA",AB711="JA",AC711="JA",AD711="JA",AE711="JA",AF711="JA"),"JA","NEIN")</x:f>
        <x:v>JA</x:v>
      </x:c>
    </x:row>
    <x:row r="712">
      <x:c r="A712" t="str">
        <x:v>FP-0971</x:v>
      </x:c>
      <x:c r="B712" t="str">
        <x:v>1CO</x:v>
      </x:c>
      <x:c r="C712" t="str">
        <x:v>1. Korinther</x:v>
      </x:c>
      <x:c r="D712" t="n">
        <x:v>10</x:v>
      </x:c>
      <x:c r="E712" t="n">
        <x:v>1</x:v>
      </x:c>
      <x:c r="F712" t="str">
        <x:v>1CO-010</x:v>
      </x:c>
      <x:c r="G712" t="n">
        <x:v>143</x:v>
      </x:c>
      <x:c r="H712" t="str">
        <x:v>CQ-A08</x:v>
      </x:c>
      <x:c r="I712" s="36" t="str">
        <x:v>Welche dieser Aussagen stammt aus 1. Korinther 10?</x:v>
      </x:c>
      <x:c r="J712" s="36" t="str"/>
      <x:c r="K712" s="36" t="str"/>
      <x:c r="L712" s="36" t="str">
        <x:v>REPO_VERIFIZIERT_FRAGEFORM</x:v>
      </x:c>
      <x:c r="M712" s="36" t="str">
        <x:v>ERSETZEN</x:v>
      </x:c>
      <x:c r="N712" s="36" t="str">
        <x:v>REPETITIVE_FRAGEFORM</x:v>
      </x:c>
      <x:c r="O712" s="36" t="str">
        <x:v>REINE_WIEDERERKENNUNG</x:v>
      </x:c>
      <x:c r="P712" s="36" t="str">
        <x:v>ZUSAMMENHANG</x:v>
      </x:c>
      <x:c r="Q712" s="36" t="str">
        <x:v>Warum erinnert Paulus an Israels Erfahrungen in der Wüste?</x:v>
      </x:c>
      <x:c r="R712" s="36" t="str">
        <x:v>Sie dienen als warnende Beispiele, damit die Glaubenden nicht nach Bösem verlangen.</x:v>
      </x:c>
      <x:c r="S712" s="36" t="str">
        <x:v>Um zu zeigen, dass Israel keine Beziehung zu Gott hatte.</x:v>
      </x:c>
      <x:c r="T712" s="36" t="str">
        <x:v>Weil nur historische Details wichtig sind.</x:v>
      </x:c>
      <x:c r="U712" s="36" t="str">
        <x:v>Um die Taufe abzuschaffen.</x:v>
      </x:c>
      <x:c r="V712" s="36" t="n">
        <x:v>0</x:v>
      </x:c>
      <x:c r="W712" s="36" t="str">
        <x:f>CHOOSE(V712+1,R712,S712,T712,U712)</x:f>
        <x:v>Sie dienen als warnende Beispiele, damit die Glaubenden nicht nach Bösem verlangen.</x:v>
      </x:c>
      <x:c r="X712" s="36" t="str">
        <x:v>1. Korinther 10,1–6</x:v>
      </x:c>
      <x:c r="Y712" s="36" t="str">
        <x:v>Paulus liest Israels Geschichte als Warnung für die Gemeinde.</x:v>
      </x:c>
      <x:c r="Z712" s="36" t="str">
        <x:v>JA</x:v>
      </x:c>
      <x:c r="AA712" s="36" t="str">
        <x:v>JA</x:v>
      </x:c>
      <x:c r="AB712" s="36" t="str">
        <x:v>JA</x:v>
      </x:c>
      <x:c r="AC712" s="36" t="str">
        <x:v>JA</x:v>
      </x:c>
      <x:c r="AD712" s="36" t="str">
        <x:v>JA</x:v>
      </x:c>
      <x:c r="AE712" s="36" t="str">
        <x:v>JA</x:v>
      </x:c>
      <x:c r="AF712" s="36" t="str">
        <x:v>JA</x:v>
      </x:c>
      <x:c r="AG712" s="36" t="str">
        <x:v>FREIGEGEBEN</x:v>
      </x:c>
      <x:c r="AH712" s="36" t="str">
        <x:v>GPT-5.6 Sol · Buchprüfung 1. Korinther · L1912/OTB</x:v>
      </x:c>
      <x:c r="AI712" s="36" t="str">
        <x:v>FREIGEGEBEN</x:v>
      </x:c>
      <x:c r="AJ712" s="36" t="str">
        <x:v>1. Korinther 10: repetitive Wiedererkennungsfrage durch ZUSAMMENHANG-Frage ersetzt.</x:v>
      </x:c>
      <x:c r="AK712" s="36" t="str">
        <x:v>FaithPath repo develop/v4 · data/stories.json · data/bibles/l1912/1CO.json · data/bibles/otb/1CO.json</x:v>
      </x:c>
      <x:c r="AL712" t="str">
        <x:f>IF(AND(AG712="FREIGEGEBEN",AI712="FREIGEGEBEN",Q712&lt;&gt;"",R712&lt;&gt;"",S712&lt;&gt;"",T712&lt;&gt;"",U712&lt;&gt;"",ISNUMBER(V712),X712&lt;&gt;"",Y712&lt;&gt;"",AA712="JA",AB712="JA",AC712="JA",AD712="JA",AE712="JA",AF712="JA"),"JA","NEIN")</x:f>
        <x:v>JA</x:v>
      </x:c>
    </x:row>
    <x:row r="713">
      <x:c r="A713" t="str">
        <x:v>FP-0972</x:v>
      </x:c>
      <x:c r="B713" t="str">
        <x:v>1CO</x:v>
      </x:c>
      <x:c r="C713" t="str">
        <x:v>1. Korinther</x:v>
      </x:c>
      <x:c r="D713" t="n">
        <x:v>10</x:v>
      </x:c>
      <x:c r="E713" t="n">
        <x:v>2</x:v>
      </x:c>
      <x:c r="F713" t="str">
        <x:v>1CO-010</x:v>
      </x:c>
      <x:c r="G713" t="n">
        <x:v>143</x:v>
      </x:c>
      <x:c r="H713" t="str">
        <x:v>CQ-A08</x:v>
      </x:c>
      <x:c r="I713" s="36" t="str">
        <x:v>Welche dieser Aussagen stammt aus 1. Korinther 10?</x:v>
      </x:c>
      <x:c r="J713" s="36" t="str"/>
      <x:c r="K713" s="36" t="str"/>
      <x:c r="L713" s="36" t="str">
        <x:v>REPO_VERIFIZIERT_FRAGEFORM</x:v>
      </x:c>
      <x:c r="M713" s="36" t="str">
        <x:v>ERSETZEN</x:v>
      </x:c>
      <x:c r="N713" s="36" t="str">
        <x:v>REPETITIVE_FRAGEFORM</x:v>
      </x:c>
      <x:c r="O713" s="36" t="str">
        <x:v>REINE_WIEDERERKENNUNG</x:v>
      </x:c>
      <x:c r="P713" s="36" t="str">
        <x:v>KERNAUSSAGE</x:v>
      </x:c>
      <x:c r="Q713" s="36" t="str">
        <x:v>Welche Ermutigung gibt Paulus im Blick auf Versuchung?</x:v>
      </x:c>
      <x:c r="R713" s="36" t="str">
        <x:v>Glaubende werden überhaupt nicht versucht.</x:v>
      </x:c>
      <x:c r="S713" s="36" t="str">
        <x:v>Gott ist treu und wird keine Versuchung zulassen, die über das Tragbare hinausgeht, sondern auch einen Ausgang schaffen.</x:v>
      </x:c>
      <x:c r="T713" s="36" t="str">
        <x:v>Jede Versuchung muss aus eigener Kraft besiegt werden.</x:v>
      </x:c>
      <x:c r="U713" s="36" t="str">
        <x:v>Versuchung beweist, dass Gott verlassen hat.</x:v>
      </x:c>
      <x:c r="V713" s="36" t="n">
        <x:v>1</x:v>
      </x:c>
      <x:c r="W713" s="36" t="str">
        <x:f>CHOOSE(V713+1,R713,S713,T713,U713)</x:f>
        <x:v>Gott ist treu und wird keine Versuchung zulassen, die über das Tragbare hinausgeht, sondern auch einen Ausgang schaffen.</x:v>
      </x:c>
      <x:c r="X713" s="36" t="str">
        <x:v>1. Korinther 10,11–13</x:v>
      </x:c>
      <x:c r="Y713" s="36" t="str">
        <x:v>Paulus verbindet Wachsamkeit mit der Treue Gottes und einer realen Möglichkeit zum Aushalten.</x:v>
      </x:c>
      <x:c r="Z713" s="36" t="str">
        <x:v>JA</x:v>
      </x:c>
      <x:c r="AA713" s="36" t="str">
        <x:v>JA</x:v>
      </x:c>
      <x:c r="AB713" s="36" t="str">
        <x:v>JA</x:v>
      </x:c>
      <x:c r="AC713" s="36" t="str">
        <x:v>JA</x:v>
      </x:c>
      <x:c r="AD713" s="36" t="str">
        <x:v>JA</x:v>
      </x:c>
      <x:c r="AE713" s="36" t="str">
        <x:v>JA</x:v>
      </x:c>
      <x:c r="AF713" s="36" t="str">
        <x:v>JA</x:v>
      </x:c>
      <x:c r="AG713" s="36" t="str">
        <x:v>FREIGEGEBEN</x:v>
      </x:c>
      <x:c r="AH713" s="36" t="str">
        <x:v>GPT-5.6 Sol · Buchprüfung 1. Korinther · L1912/OTB</x:v>
      </x:c>
      <x:c r="AI713" s="36" t="str">
        <x:v>FREIGEGEBEN</x:v>
      </x:c>
      <x:c r="AJ713" s="36" t="str">
        <x:v>1. Korinther 10: repetitive Wiedererkennungsfrage durch KERNAUSSAGE-Frage ersetzt.</x:v>
      </x:c>
      <x:c r="AK713" s="36" t="str">
        <x:v>FaithPath repo develop/v4 · data/stories.json · data/bibles/l1912/1CO.json · data/bibles/otb/1CO.json</x:v>
      </x:c>
      <x:c r="AL713" t="str">
        <x:f>IF(AND(AG713="FREIGEGEBEN",AI713="FREIGEGEBEN",Q713&lt;&gt;"",R713&lt;&gt;"",S713&lt;&gt;"",T713&lt;&gt;"",U713&lt;&gt;"",ISNUMBER(V713),X713&lt;&gt;"",Y713&lt;&gt;"",AA713="JA",AB713="JA",AC713="JA",AD713="JA",AE713="JA",AF713="JA"),"JA","NEIN")</x:f>
        <x:v>JA</x:v>
      </x:c>
    </x:row>
    <x:row r="714">
      <x:c r="A714" t="str">
        <x:v>FP-0973</x:v>
      </x:c>
      <x:c r="B714" t="str">
        <x:v>1CO</x:v>
      </x:c>
      <x:c r="C714" t="str">
        <x:v>1. Korinther</x:v>
      </x:c>
      <x:c r="D714" t="n">
        <x:v>10</x:v>
      </x:c>
      <x:c r="E714" t="n">
        <x:v>3</x:v>
      </x:c>
      <x:c r="F714" t="str">
        <x:v>1CO-010</x:v>
      </x:c>
      <x:c r="G714" t="n">
        <x:v>143</x:v>
      </x:c>
      <x:c r="H714" t="str">
        <x:v>CQ-A08</x:v>
      </x:c>
      <x:c r="I714" s="36" t="str">
        <x:v>Welche dieser Aussagen stammt aus 1. Korinther 10?</x:v>
      </x:c>
      <x:c r="J714" s="36" t="str"/>
      <x:c r="K714" s="36" t="str"/>
      <x:c r="L714" s="36" t="str">
        <x:v>REPO_VERIFIZIERT_FRAGEFORM</x:v>
      </x:c>
      <x:c r="M714" s="36" t="str">
        <x:v>ERSETZEN</x:v>
      </x:c>
      <x:c r="N714" s="36" t="str">
        <x:v>REPETITIVE_FRAGEFORM</x:v>
      </x:c>
      <x:c r="O714" s="36" t="str">
        <x:v>REINE_WIEDERERKENNUNG</x:v>
      </x:c>
      <x:c r="P714" s="36" t="str">
        <x:v>KERNAUSSAGE</x:v>
      </x:c>
      <x:c r="Q714" s="36" t="str">
        <x:v>Warum verbindet Paulus das Herrenmahl mit einer Warnung vor Götzendienst?</x:v>
      </x:c>
      <x:c r="R714" s="36" t="str">
        <x:v>Weil Brot und Wein selbst Götzen sind.</x:v>
      </x:c>
      <x:c r="S714" s="36" t="str">
        <x:v>Weil Christen niemals gemeinsam essen dürfen.</x:v>
      </x:c>
      <x:c r="T714" s="36" t="str">
        <x:v>Gemeinschaft am Tisch des Herrn lässt sich nicht mit bewusster Teilnahme am Götzentisch verbinden.</x:v>
      </x:c>
      <x:c r="U714" s="36" t="str">
        <x:v>Weil jede Mahlzeit ein Opfer ist.</x:v>
      </x:c>
      <x:c r="V714" s="36" t="n">
        <x:v>2</x:v>
      </x:c>
      <x:c r="W714" s="36" t="str">
        <x:f>CHOOSE(V714+1,R714,S714,T714,U714)</x:f>
        <x:v>Gemeinschaft am Tisch des Herrn lässt sich nicht mit bewusster Teilnahme am Götzentisch verbinden.</x:v>
      </x:c>
      <x:c r="X714" s="36" t="str">
        <x:v>1. Korinther 10,14–22</x:v>
      </x:c>
      <x:c r="Y714" s="36" t="str">
        <x:v>Paulus argumentiert aus der Gemeinschaft am Kelch und Brot gegen eine doppelte kultische Zugehörigkeit.</x:v>
      </x:c>
      <x:c r="Z714" s="36" t="str">
        <x:v>JA</x:v>
      </x:c>
      <x:c r="AA714" s="36" t="str">
        <x:v>JA</x:v>
      </x:c>
      <x:c r="AB714" s="36" t="str">
        <x:v>JA</x:v>
      </x:c>
      <x:c r="AC714" s="36" t="str">
        <x:v>JA</x:v>
      </x:c>
      <x:c r="AD714" s="36" t="str">
        <x:v>JA</x:v>
      </x:c>
      <x:c r="AE714" s="36" t="str">
        <x:v>JA</x:v>
      </x:c>
      <x:c r="AF714" s="36" t="str">
        <x:v>JA</x:v>
      </x:c>
      <x:c r="AG714" s="36" t="str">
        <x:v>FREIGEGEBEN</x:v>
      </x:c>
      <x:c r="AH714" s="36" t="str">
        <x:v>GPT-5.6 Sol · Buchprüfung 1. Korinther · L1912/OTB</x:v>
      </x:c>
      <x:c r="AI714" s="36" t="str">
        <x:v>FREIGEGEBEN</x:v>
      </x:c>
      <x:c r="AJ714" s="36" t="str">
        <x:v>1. Korinther 10: repetitive Wiedererkennungsfrage durch KERNAUSSAGE-Frage ersetzt.</x:v>
      </x:c>
      <x:c r="AK714" s="36" t="str">
        <x:v>FaithPath repo develop/v4 · data/stories.json · data/bibles/l1912/1CO.json · data/bibles/otb/1CO.json</x:v>
      </x:c>
      <x:c r="AL714" t="str">
        <x:f>IF(AND(AG714="FREIGEGEBEN",AI714="FREIGEGEBEN",Q714&lt;&gt;"",R714&lt;&gt;"",S714&lt;&gt;"",T714&lt;&gt;"",U714&lt;&gt;"",ISNUMBER(V714),X714&lt;&gt;"",Y714&lt;&gt;"",AA714="JA",AB714="JA",AC714="JA",AD714="JA",AE714="JA",AF714="JA"),"JA","NEIN")</x:f>
        <x:v>JA</x:v>
      </x:c>
    </x:row>
    <x:row r="715">
      <x:c r="A715" t="str">
        <x:v>FP-0974</x:v>
      </x:c>
      <x:c r="B715" t="str">
        <x:v>1CO</x:v>
      </x:c>
      <x:c r="C715" t="str">
        <x:v>1. Korinther</x:v>
      </x:c>
      <x:c r="D715" t="n">
        <x:v>10</x:v>
      </x:c>
      <x:c r="E715" t="n">
        <x:v>4</x:v>
      </x:c>
      <x:c r="F715" t="str">
        <x:v>1CO-010</x:v>
      </x:c>
      <x:c r="G715" t="n">
        <x:v>143</x:v>
      </x:c>
      <x:c r="H715" t="str">
        <x:v>CQ-A08</x:v>
      </x:c>
      <x:c r="I715" s="36" t="str">
        <x:v>Welche dieser Aussagen stammt aus 1. Korinther 10?</x:v>
      </x:c>
      <x:c r="J715" s="36" t="str"/>
      <x:c r="K715" s="36" t="str"/>
      <x:c r="L715" s="36" t="str">
        <x:v>REPO_VERIFIZIERT_FRAGEFORM</x:v>
      </x:c>
      <x:c r="M715" s="36" t="str">
        <x:v>ERSETZEN</x:v>
      </x:c>
      <x:c r="N715" s="36" t="str">
        <x:v>REPETITIVE_FRAGEFORM</x:v>
      </x:c>
      <x:c r="O715" s="36" t="str">
        <x:v>REINE_WIEDERERKENNUNG</x:v>
      </x:c>
      <x:c r="P715" s="36" t="str">
        <x:v>KERNAUSSAGE</x:v>
      </x:c>
      <x:c r="Q715" s="36" t="str">
        <x:v>Welche Grenze setzt Paulus erneut dem Satz „Alles ist erlaubt“?</x:v>
      </x:c>
      <x:c r="R715" s="36" t="str">
        <x:v>Alles Erlaubte ist automatisch gut.</x:v>
      </x:c>
      <x:c r="S715" s="36" t="str">
        <x:v>Nur Verbote können Christen leiten.</x:v>
      </x:c>
      <x:c r="T715" s="36" t="str">
        <x:v>Die Interessen anderer spielen keine Rolle.</x:v>
      </x:c>
      <x:c r="U715" s="36" t="str">
        <x:v>Nicht alles ist nützlich oder baut auf; man soll auch das Wohl des anderen suchen.</x:v>
      </x:c>
      <x:c r="V715" s="36" t="n">
        <x:v>3</x:v>
      </x:c>
      <x:c r="W715" s="36" t="str">
        <x:f>CHOOSE(V715+1,R715,S715,T715,U715)</x:f>
        <x:v>Nicht alles ist nützlich oder baut auf; man soll auch das Wohl des anderen suchen.</x:v>
      </x:c>
      <x:c r="X715" s="36" t="str">
        <x:v>1. Korinther 10,23–24</x:v>
      </x:c>
      <x:c r="Y715" s="36" t="str">
        <x:v>Paulus ordnet Freiheit dem Nutzen und der Erbauung anderer unter.</x:v>
      </x:c>
      <x:c r="Z715" s="36" t="str">
        <x:v>JA</x:v>
      </x:c>
      <x:c r="AA715" s="36" t="str">
        <x:v>JA</x:v>
      </x:c>
      <x:c r="AB715" s="36" t="str">
        <x:v>JA</x:v>
      </x:c>
      <x:c r="AC715" s="36" t="str">
        <x:v>JA</x:v>
      </x:c>
      <x:c r="AD715" s="36" t="str">
        <x:v>JA</x:v>
      </x:c>
      <x:c r="AE715" s="36" t="str">
        <x:v>JA</x:v>
      </x:c>
      <x:c r="AF715" s="36" t="str">
        <x:v>JA</x:v>
      </x:c>
      <x:c r="AG715" s="36" t="str">
        <x:v>FREIGEGEBEN</x:v>
      </x:c>
      <x:c r="AH715" s="36" t="str">
        <x:v>GPT-5.6 Sol · Buchprüfung 1. Korinther · L1912/OTB</x:v>
      </x:c>
      <x:c r="AI715" s="36" t="str">
        <x:v>FREIGEGEBEN</x:v>
      </x:c>
      <x:c r="AJ715" s="36" t="str">
        <x:v>1. Korinther 10: repetitive Wiedererkennungsfrage durch KERNAUSSAGE-Frage ersetzt.</x:v>
      </x:c>
      <x:c r="AK715" s="36" t="str">
        <x:v>FaithPath repo develop/v4 · data/stories.json · data/bibles/l1912/1CO.json · data/bibles/otb/1CO.json</x:v>
      </x:c>
      <x:c r="AL715" t="str">
        <x:f>IF(AND(AG715="FREIGEGEBEN",AI715="FREIGEGEBEN",Q715&lt;&gt;"",R715&lt;&gt;"",S715&lt;&gt;"",T715&lt;&gt;"",U715&lt;&gt;"",ISNUMBER(V715),X715&lt;&gt;"",Y715&lt;&gt;"",AA715="JA",AB715="JA",AC715="JA",AD715="JA",AE715="JA",AF715="JA"),"JA","NEIN")</x:f>
        <x:v>JA</x:v>
      </x:c>
    </x:row>
    <x:row r="716">
      <x:c r="A716" t="str">
        <x:v>FP-0975</x:v>
      </x:c>
      <x:c r="B716" t="str">
        <x:v>1CO</x:v>
      </x:c>
      <x:c r="C716" t="str">
        <x:v>1. Korinther</x:v>
      </x:c>
      <x:c r="D716" t="n">
        <x:v>10</x:v>
      </x:c>
      <x:c r="E716" t="n">
        <x:v>5</x:v>
      </x:c>
      <x:c r="F716" t="str">
        <x:v>1CO-010</x:v>
      </x:c>
      <x:c r="G716" t="n">
        <x:v>143</x:v>
      </x:c>
      <x:c r="H716" t="str">
        <x:v>CQ-A08</x:v>
      </x:c>
      <x:c r="I716" s="36" t="str">
        <x:v>Welche dieser Aussagen stammt aus 1. Korinther 10?</x:v>
      </x:c>
      <x:c r="J716" s="36" t="str"/>
      <x:c r="K716" s="36" t="str"/>
      <x:c r="L716" s="36" t="str">
        <x:v>REPO_VERIFIZIERT_FRAGEFORM</x:v>
      </x:c>
      <x:c r="M716" s="36" t="str">
        <x:v>ERSETZEN</x:v>
      </x:c>
      <x:c r="N716" s="36" t="str">
        <x:v>REPETITIVE_FRAGEFORM</x:v>
      </x:c>
      <x:c r="O716" s="36" t="str">
        <x:v>REINE_WIEDERERKENNUNG</x:v>
      </x:c>
      <x:c r="P716" s="36" t="str">
        <x:v>KERNAUSSAGE</x:v>
      </x:c>
      <x:c r="Q716" s="36" t="str">
        <x:v>Welcher Grundsatz soll Essen, Trinken und jedes andere Handeln bestimmen?</x:v>
      </x:c>
      <x:c r="R716" s="36" t="str">
        <x:v>Alles soll zur Ehre Gottes geschehen.</x:v>
      </x:c>
      <x:c r="S716" s="36" t="str">
        <x:v>Alles soll dem eigenen Ruf dienen.</x:v>
      </x:c>
      <x:c r="T716" s="36" t="str">
        <x:v>Alles soll möglichst verborgen geschehen.</x:v>
      </x:c>
      <x:c r="U716" s="36" t="str">
        <x:v>Nur religiöse Tätigkeiten können Gott ehren.</x:v>
      </x:c>
      <x:c r="V716" s="36" t="n">
        <x:v>0</x:v>
      </x:c>
      <x:c r="W716" s="36" t="str">
        <x:f>CHOOSE(V716+1,R716,S716,T716,U716)</x:f>
        <x:v>Alles soll zur Ehre Gottes geschehen.</x:v>
      </x:c>
      <x:c r="X716" s="36" t="str">
        <x:v>1. Korinther 10,31–33</x:v>
      </x:c>
      <x:c r="Y716" s="36" t="str">
        <x:v>Paulus weitet die Gottes-Ehre auf den gesamten Alltag aus und verbindet sie mit Rücksicht auf andere.</x:v>
      </x:c>
      <x:c r="Z716" s="36" t="str">
        <x:v>JA</x:v>
      </x:c>
      <x:c r="AA716" s="36" t="str">
        <x:v>JA</x:v>
      </x:c>
      <x:c r="AB716" s="36" t="str">
        <x:v>JA</x:v>
      </x:c>
      <x:c r="AC716" s="36" t="str">
        <x:v>JA</x:v>
      </x:c>
      <x:c r="AD716" s="36" t="str">
        <x:v>JA</x:v>
      </x:c>
      <x:c r="AE716" s="36" t="str">
        <x:v>JA</x:v>
      </x:c>
      <x:c r="AF716" s="36" t="str">
        <x:v>JA</x:v>
      </x:c>
      <x:c r="AG716" s="36" t="str">
        <x:v>FREIGEGEBEN</x:v>
      </x:c>
      <x:c r="AH716" s="36" t="str">
        <x:v>GPT-5.6 Sol · Buchprüfung 1. Korinther · L1912/OTB</x:v>
      </x:c>
      <x:c r="AI716" s="36" t="str">
        <x:v>FREIGEGEBEN</x:v>
      </x:c>
      <x:c r="AJ716" s="36" t="str">
        <x:v>1. Korinther 10: repetitive Wiedererkennungsfrage durch KERNAUSSAGE-Frage ersetzt.</x:v>
      </x:c>
      <x:c r="AK716" s="36" t="str">
        <x:v>FaithPath repo develop/v4 · data/stories.json · data/bibles/l1912/1CO.json · data/bibles/otb/1CO.json</x:v>
      </x:c>
      <x:c r="AL716" t="str">
        <x:f>IF(AND(AG716="FREIGEGEBEN",AI716="FREIGEGEBEN",Q716&lt;&gt;"",R716&lt;&gt;"",S716&lt;&gt;"",T716&lt;&gt;"",U716&lt;&gt;"",ISNUMBER(V716),X716&lt;&gt;"",Y716&lt;&gt;"",AA716="JA",AB716="JA",AC716="JA",AD716="JA",AE716="JA",AF716="JA"),"JA","NEIN")</x:f>
        <x:v>JA</x:v>
      </x:c>
    </x:row>
    <x:row r="717">
      <x:c r="A717" t="str">
        <x:v>FP-0976</x:v>
      </x:c>
      <x:c r="B717" t="str">
        <x:v>1CO</x:v>
      </x:c>
      <x:c r="C717" t="str">
        <x:v>1. Korinther</x:v>
      </x:c>
      <x:c r="D717" t="n">
        <x:v>11</x:v>
      </x:c>
      <x:c r="E717" t="n">
        <x:v>1</x:v>
      </x:c>
      <x:c r="F717" t="str">
        <x:v>1CO-011</x:v>
      </x:c>
      <x:c r="G717" t="n">
        <x:v>144</x:v>
      </x:c>
      <x:c r="H717" t="str">
        <x:v>CQ-A08</x:v>
      </x:c>
      <x:c r="I717" s="36" t="str">
        <x:v>Welche dieser Aussagen stammt aus 1. Korinther 11?</x:v>
      </x:c>
      <x:c r="J717" s="36" t="str"/>
      <x:c r="K717" s="36" t="str"/>
      <x:c r="L717" s="36" t="str">
        <x:v>REPO_VERIFIZIERT_FRAGEFORM</x:v>
      </x:c>
      <x:c r="M717" s="36" t="str">
        <x:v>ERSETZEN</x:v>
      </x:c>
      <x:c r="N717" s="36" t="str">
        <x:v>REPETITIVE_FRAGEFORM</x:v>
      </x:c>
      <x:c r="O717" s="36" t="str">
        <x:v>REINE_WIEDERERKENNUNG</x:v>
      </x:c>
      <x:c r="P717" s="36" t="str">
        <x:v>PERSON_AUSSAGE</x:v>
      </x:c>
      <x:c r="Q717" s="36" t="str">
        <x:v>Wofür lobt Paulus die Korinther zu Beginn seiner Ausführungen?</x:v>
      </x:c>
      <x:c r="R717" s="36" t="str">
        <x:v>Dass sie niemals Fragen stellen.</x:v>
      </x:c>
      <x:c r="S717" s="36" t="str">
        <x:v>Dass sie an ihn denken und die überlieferten Anweisungen festhalten.</x:v>
      </x:c>
      <x:c r="T717" s="36" t="str">
        <x:v>Dass sie jede Tradition aus Korinth übernehmen.</x:v>
      </x:c>
      <x:c r="U717" s="36" t="str">
        <x:v>Dass sie keine gemeinsamen Gottesdienste mehr feiern.</x:v>
      </x:c>
      <x:c r="V717" s="36" t="n">
        <x:v>1</x:v>
      </x:c>
      <x:c r="W717" s="36" t="str">
        <x:f>CHOOSE(V717+1,R717,S717,T717,U717)</x:f>
        <x:v>Dass sie an ihn denken und die überlieferten Anweisungen festhalten.</x:v>
      </x:c>
      <x:c r="X717" s="36" t="str">
        <x:v>1. Korinther 11,2</x:v>
      </x:c>
      <x:c r="Y717" s="36" t="str">
        <x:v>Paulus beginnt mit Anerkennung dafür, dass die Gemeinde die empfangenen Überlieferungen bewahrt.</x:v>
      </x:c>
      <x:c r="Z717" s="36" t="str">
        <x:v>JA</x:v>
      </x:c>
      <x:c r="AA717" s="36" t="str">
        <x:v>JA</x:v>
      </x:c>
      <x:c r="AB717" s="36" t="str">
        <x:v>JA</x:v>
      </x:c>
      <x:c r="AC717" s="36" t="str">
        <x:v>JA</x:v>
      </x:c>
      <x:c r="AD717" s="36" t="str">
        <x:v>JA</x:v>
      </x:c>
      <x:c r="AE717" s="36" t="str">
        <x:v>JA</x:v>
      </x:c>
      <x:c r="AF717" s="36" t="str">
        <x:v>JA</x:v>
      </x:c>
      <x:c r="AG717" s="36" t="str">
        <x:v>FREIGEGEBEN</x:v>
      </x:c>
      <x:c r="AH717" s="36" t="str">
        <x:v>GPT-5.6 Sol · Buchprüfung 1. Korinther · L1912/OTB</x:v>
      </x:c>
      <x:c r="AI717" s="36" t="str">
        <x:v>FREIGEGEBEN</x:v>
      </x:c>
      <x:c r="AJ717" s="36" t="str">
        <x:v>1. Korinther 11: repetitive Wiedererkennungsfrage durch PERSON_AUSSAGE-Frage ersetzt.</x:v>
      </x:c>
      <x:c r="AK717" s="36" t="str">
        <x:v>FaithPath repo develop/v4 · data/stories.json · data/bibles/l1912/1CO.json · data/bibles/otb/1CO.json</x:v>
      </x:c>
      <x:c r="AL717" t="str">
        <x:f>IF(AND(AG717="FREIGEGEBEN",AI717="FREIGEGEBEN",Q717&lt;&gt;"",R717&lt;&gt;"",S717&lt;&gt;"",T717&lt;&gt;"",U717&lt;&gt;"",ISNUMBER(V717),X717&lt;&gt;"",Y717&lt;&gt;"",AA717="JA",AB717="JA",AC717="JA",AD717="JA",AE717="JA",AF717="JA"),"JA","NEIN")</x:f>
        <x:v>JA</x:v>
      </x:c>
    </x:row>
    <x:row r="718">
      <x:c r="A718" t="str">
        <x:v>FP-0977</x:v>
      </x:c>
      <x:c r="B718" t="str">
        <x:v>1CO</x:v>
      </x:c>
      <x:c r="C718" t="str">
        <x:v>1. Korinther</x:v>
      </x:c>
      <x:c r="D718" t="n">
        <x:v>11</x:v>
      </x:c>
      <x:c r="E718" t="n">
        <x:v>2</x:v>
      </x:c>
      <x:c r="F718" t="str">
        <x:v>1CO-011</x:v>
      </x:c>
      <x:c r="G718" t="n">
        <x:v>144</x:v>
      </x:c>
      <x:c r="H718" t="str">
        <x:v>CQ-A08</x:v>
      </x:c>
      <x:c r="I718" s="36" t="str">
        <x:v>Welche dieser Aussagen stammt aus 1. Korinther 11?</x:v>
      </x:c>
      <x:c r="J718" s="36" t="str"/>
      <x:c r="K718" s="36" t="str"/>
      <x:c r="L718" s="36" t="str">
        <x:v>REPO_VERIFIZIERT_FRAGEFORM</x:v>
      </x:c>
      <x:c r="M718" s="36" t="str">
        <x:v>ERSETZEN</x:v>
      </x:c>
      <x:c r="N718" s="36" t="str">
        <x:v>REPETITIVE_FRAGEFORM</x:v>
      </x:c>
      <x:c r="O718" s="36" t="str">
        <x:v>REINE_WIEDERERKENNUNG</x:v>
      </x:c>
      <x:c r="P718" s="36" t="str">
        <x:v>ZUSAMMENHANG</x:v>
      </x:c>
      <x:c r="Q718" s="36" t="str">
        <x:v>Warum kann Paulus die Zusammenkünfte der Korinther beim Herrenmahl nicht loben?</x:v>
      </x:c>
      <x:c r="R718" s="36" t="str">
        <x:v>Weil sie überhaupt gemeinsam essen.</x:v>
      </x:c>
      <x:c r="S718" s="36" t="str">
        <x:v>Weil Brot und Wein fehlen.</x:v>
      </x:c>
      <x:c r="T718" s="36" t="str">
        <x:v>Weil Spaltungen und soziale Rücksichtslosigkeit dazu führen, dass manche satt oder betrunken sind und andere hungrig bleiben.</x:v>
      </x:c>
      <x:c r="U718" s="36" t="str">
        <x:v>Weil nur Apostel am Mahl teilnehmen dürfen.</x:v>
      </x:c>
      <x:c r="V718" s="36" t="n">
        <x:v>2</x:v>
      </x:c>
      <x:c r="W718" s="36" t="str">
        <x:f>CHOOSE(V718+1,R718,S718,T718,U718)</x:f>
        <x:v>Weil Spaltungen und soziale Rücksichtslosigkeit dazu führen, dass manche satt oder betrunken sind und andere hungrig bleiben.</x:v>
      </x:c>
      <x:c r="X718" s="36" t="str">
        <x:v>1. Korinther 11,17–22</x:v>
      </x:c>
      <x:c r="Y718" s="36" t="str">
        <x:v>Das Mahl wird durch Spaltungen und beschämende Ungleichheit entstellt.</x:v>
      </x:c>
      <x:c r="Z718" s="36" t="str">
        <x:v>JA</x:v>
      </x:c>
      <x:c r="AA718" s="36" t="str">
        <x:v>JA</x:v>
      </x:c>
      <x:c r="AB718" s="36" t="str">
        <x:v>JA</x:v>
      </x:c>
      <x:c r="AC718" s="36" t="str">
        <x:v>JA</x:v>
      </x:c>
      <x:c r="AD718" s="36" t="str">
        <x:v>JA</x:v>
      </x:c>
      <x:c r="AE718" s="36" t="str">
        <x:v>JA</x:v>
      </x:c>
      <x:c r="AF718" s="36" t="str">
        <x:v>JA</x:v>
      </x:c>
      <x:c r="AG718" s="36" t="str">
        <x:v>FREIGEGEBEN</x:v>
      </x:c>
      <x:c r="AH718" s="36" t="str">
        <x:v>GPT-5.6 Sol · Buchprüfung 1. Korinther · L1912/OTB</x:v>
      </x:c>
      <x:c r="AI718" s="36" t="str">
        <x:v>FREIGEGEBEN</x:v>
      </x:c>
      <x:c r="AJ718" s="36" t="str">
        <x:v>1. Korinther 11: repetitive Wiedererkennungsfrage durch ZUSAMMENHANG-Frage ersetzt.</x:v>
      </x:c>
      <x:c r="AK718" s="36" t="str">
        <x:v>FaithPath repo develop/v4 · data/stories.json · data/bibles/l1912/1CO.json · data/bibles/otb/1CO.json</x:v>
      </x:c>
      <x:c r="AL718" t="str">
        <x:f>IF(AND(AG718="FREIGEGEBEN",AI718="FREIGEGEBEN",Q718&lt;&gt;"",R718&lt;&gt;"",S718&lt;&gt;"",T718&lt;&gt;"",U718&lt;&gt;"",ISNUMBER(V718),X718&lt;&gt;"",Y718&lt;&gt;"",AA718="JA",AB718="JA",AC718="JA",AD718="JA",AE718="JA",AF718="JA"),"JA","NEIN")</x:f>
        <x:v>JA</x:v>
      </x:c>
    </x:row>
    <x:row r="719">
      <x:c r="A719" t="str">
        <x:v>FP-0978</x:v>
      </x:c>
      <x:c r="B719" t="str">
        <x:v>1CO</x:v>
      </x:c>
      <x:c r="C719" t="str">
        <x:v>1. Korinther</x:v>
      </x:c>
      <x:c r="D719" t="n">
        <x:v>11</x:v>
      </x:c>
      <x:c r="E719" t="n">
        <x:v>3</x:v>
      </x:c>
      <x:c r="F719" t="str">
        <x:v>1CO-011</x:v>
      </x:c>
      <x:c r="G719" t="n">
        <x:v>144</x:v>
      </x:c>
      <x:c r="H719" t="str">
        <x:v>CQ-A08</x:v>
      </x:c>
      <x:c r="I719" s="36" t="str">
        <x:v>Welche dieser Aussagen stammt aus 1. Korinther 11?</x:v>
      </x:c>
      <x:c r="J719" s="36" t="str"/>
      <x:c r="K719" s="36" t="str"/>
      <x:c r="L719" s="36" t="str">
        <x:v>REPO_VERIFIZIERT_FRAGEFORM</x:v>
      </x:c>
      <x:c r="M719" s="36" t="str">
        <x:v>ERSETZEN</x:v>
      </x:c>
      <x:c r="N719" s="36" t="str">
        <x:v>REPETITIVE_FRAGEFORM</x:v>
      </x:c>
      <x:c r="O719" s="36" t="str">
        <x:v>REINE_WIEDERERKENNUNG</x:v>
      </x:c>
      <x:c r="P719" s="36" t="str">
        <x:v>KERNAUSSAGE</x:v>
      </x:c>
      <x:c r="Q719" s="36" t="str">
        <x:v>Was verkündigt die Gemeinde nach Paulus jedes Mal, wenn sie beim Herrenmahl Brot isst und den Kelch trinkt?</x:v>
      </x:c>
      <x:c r="R719" s="36" t="str">
        <x:v>Die Geburt Jesu.</x:v>
      </x:c>
      <x:c r="S719" s="36" t="str">
        <x:v>Die Geschichte Israels am Sinai.</x:v>
      </x:c>
      <x:c r="T719" s="36" t="str">
        <x:v>Die Wahl der Apostel.</x:v>
      </x:c>
      <x:c r="U719" s="36" t="str">
        <x:v>Den Tod des Herrn, bis er kommt.</x:v>
      </x:c>
      <x:c r="V719" s="36" t="n">
        <x:v>3</x:v>
      </x:c>
      <x:c r="W719" s="36" t="str">
        <x:f>CHOOSE(V719+1,R719,S719,T719,U719)</x:f>
        <x:v>Den Tod des Herrn, bis er kommt.</x:v>
      </x:c>
      <x:c r="X719" s="36" t="str">
        <x:v>1. Korinther 11,23–26</x:v>
      </x:c>
      <x:c r="Y719" s="36" t="str">
        <x:v>Paulus überliefert die Worte Jesu und beschreibt das Mahl als Verkündigung seines Todes bis zur Wiederkunft.</x:v>
      </x:c>
      <x:c r="Z719" s="36" t="str">
        <x:v>JA</x:v>
      </x:c>
      <x:c r="AA719" s="36" t="str">
        <x:v>JA</x:v>
      </x:c>
      <x:c r="AB719" s="36" t="str">
        <x:v>JA</x:v>
      </x:c>
      <x:c r="AC719" s="36" t="str">
        <x:v>JA</x:v>
      </x:c>
      <x:c r="AD719" s="36" t="str">
        <x:v>JA</x:v>
      </x:c>
      <x:c r="AE719" s="36" t="str">
        <x:v>JA</x:v>
      </x:c>
      <x:c r="AF719" s="36" t="str">
        <x:v>JA</x:v>
      </x:c>
      <x:c r="AG719" s="36" t="str">
        <x:v>FREIGEGEBEN</x:v>
      </x:c>
      <x:c r="AH719" s="36" t="str">
        <x:v>GPT-5.6 Sol · Buchprüfung 1. Korinther · L1912/OTB</x:v>
      </x:c>
      <x:c r="AI719" s="36" t="str">
        <x:v>FREIGEGEBEN</x:v>
      </x:c>
      <x:c r="AJ719" s="36" t="str">
        <x:v>1. Korinther 11: repetitive Wiedererkennungsfrage durch KERNAUSSAGE-Frage ersetzt.</x:v>
      </x:c>
      <x:c r="AK719" s="36" t="str">
        <x:v>FaithPath repo develop/v4 · data/stories.json · data/bibles/l1912/1CO.json · data/bibles/otb/1CO.json</x:v>
      </x:c>
      <x:c r="AL719" t="str">
        <x:f>IF(AND(AG719="FREIGEGEBEN",AI719="FREIGEGEBEN",Q719&lt;&gt;"",R719&lt;&gt;"",S719&lt;&gt;"",T719&lt;&gt;"",U719&lt;&gt;"",ISNUMBER(V719),X719&lt;&gt;"",Y719&lt;&gt;"",AA719="JA",AB719="JA",AC719="JA",AD719="JA",AE719="JA",AF719="JA"),"JA","NEIN")</x:f>
        <x:v>JA</x:v>
      </x:c>
    </x:row>
    <x:row r="720">
      <x:c r="A720" t="str">
        <x:v>FP-0979</x:v>
      </x:c>
      <x:c r="B720" t="str">
        <x:v>1CO</x:v>
      </x:c>
      <x:c r="C720" t="str">
        <x:v>1. Korinther</x:v>
      </x:c>
      <x:c r="D720" t="n">
        <x:v>11</x:v>
      </x:c>
      <x:c r="E720" t="n">
        <x:v>4</x:v>
      </x:c>
      <x:c r="F720" t="str">
        <x:v>1CO-011</x:v>
      </x:c>
      <x:c r="G720" t="n">
        <x:v>144</x:v>
      </x:c>
      <x:c r="H720" t="str">
        <x:v>CQ-A08</x:v>
      </x:c>
      <x:c r="I720" s="36" t="str">
        <x:v>Welche dieser Aussagen stammt aus 1. Korinther 11?</x:v>
      </x:c>
      <x:c r="J720" s="36" t="str"/>
      <x:c r="K720" s="36" t="str"/>
      <x:c r="L720" s="36" t="str">
        <x:v>REPO_VERIFIZIERT_FRAGEFORM</x:v>
      </x:c>
      <x:c r="M720" s="36" t="str">
        <x:v>ERSETZEN</x:v>
      </x:c>
      <x:c r="N720" s="36" t="str">
        <x:v>REPETITIVE_FRAGEFORM</x:v>
      </x:c>
      <x:c r="O720" s="36" t="str">
        <x:v>REINE_WIEDERERKENNUNG</x:v>
      </x:c>
      <x:c r="P720" s="36" t="str">
        <x:v>KERNAUSSAGE</x:v>
      </x:c>
      <x:c r="Q720" s="36" t="str">
        <x:v>Welche Haltung fordert Paulus vor der Teilnahme am Herrenmahl?</x:v>
      </x:c>
      <x:c r="R720" s="36" t="str">
        <x:v>Der Mensch soll sich selbst prüfen und den Leib des Herrn angemessen unterscheiden.</x:v>
      </x:c>
      <x:c r="S720" s="36" t="str">
        <x:v>Niemand soll sich selbst prüfen.</x:v>
      </x:c>
      <x:c r="T720" s="36" t="str">
        <x:v>Nur die Leiter tragen Verantwortung.</x:v>
      </x:c>
      <x:c r="U720" s="36" t="str">
        <x:v>Die Teilnahme hängt vom gesellschaftlichen Rang ab.</x:v>
      </x:c>
      <x:c r="V720" s="36" t="n">
        <x:v>0</x:v>
      </x:c>
      <x:c r="W720" s="36" t="str">
        <x:f>CHOOSE(V720+1,R720,S720,T720,U720)</x:f>
        <x:v>Der Mensch soll sich selbst prüfen und den Leib des Herrn angemessen unterscheiden.</x:v>
      </x:c>
      <x:c r="X720" s="36" t="str">
        <x:v>1. Korinther 11,27–29</x:v>
      </x:c>
      <x:c r="Y720" s="36" t="str">
        <x:v>Paulus verbindet die Teilnahme am Mahl mit Selbstprüfung und verantwortlichem Umgang.</x:v>
      </x:c>
      <x:c r="Z720" s="36" t="str">
        <x:v>JA</x:v>
      </x:c>
      <x:c r="AA720" s="36" t="str">
        <x:v>JA</x:v>
      </x:c>
      <x:c r="AB720" s="36" t="str">
        <x:v>JA</x:v>
      </x:c>
      <x:c r="AC720" s="36" t="str">
        <x:v>JA</x:v>
      </x:c>
      <x:c r="AD720" s="36" t="str">
        <x:v>JA</x:v>
      </x:c>
      <x:c r="AE720" s="36" t="str">
        <x:v>JA</x:v>
      </x:c>
      <x:c r="AF720" s="36" t="str">
        <x:v>JA</x:v>
      </x:c>
      <x:c r="AG720" s="36" t="str">
        <x:v>FREIGEGEBEN</x:v>
      </x:c>
      <x:c r="AH720" s="36" t="str">
        <x:v>GPT-5.6 Sol · Buchprüfung 1. Korinther · L1912/OTB</x:v>
      </x:c>
      <x:c r="AI720" s="36" t="str">
        <x:v>FREIGEGEBEN</x:v>
      </x:c>
      <x:c r="AJ720" s="36" t="str">
        <x:v>1. Korinther 11: repetitive Wiedererkennungsfrage durch KERNAUSSAGE-Frage ersetzt.</x:v>
      </x:c>
      <x:c r="AK720" s="36" t="str">
        <x:v>FaithPath repo develop/v4 · data/stories.json · data/bibles/l1912/1CO.json · data/bibles/otb/1CO.json</x:v>
      </x:c>
      <x:c r="AL720" t="str">
        <x:f>IF(AND(AG720="FREIGEGEBEN",AI720="FREIGEGEBEN",Q720&lt;&gt;"",R720&lt;&gt;"",S720&lt;&gt;"",T720&lt;&gt;"",U720&lt;&gt;"",ISNUMBER(V720),X720&lt;&gt;"",Y720&lt;&gt;"",AA720="JA",AB720="JA",AC720="JA",AD720="JA",AE720="JA",AF720="JA"),"JA","NEIN")</x:f>
        <x:v>JA</x:v>
      </x:c>
    </x:row>
    <x:row r="721">
      <x:c r="A721" t="str">
        <x:v>FP-0980</x:v>
      </x:c>
      <x:c r="B721" t="str">
        <x:v>1CO</x:v>
      </x:c>
      <x:c r="C721" t="str">
        <x:v>1. Korinther</x:v>
      </x:c>
      <x:c r="D721" t="n">
        <x:v>11</x:v>
      </x:c>
      <x:c r="E721" t="n">
        <x:v>5</x:v>
      </x:c>
      <x:c r="F721" t="str">
        <x:v>1CO-011</x:v>
      </x:c>
      <x:c r="G721" t="n">
        <x:v>144</x:v>
      </x:c>
      <x:c r="H721" t="str">
        <x:v>CQ-A08</x:v>
      </x:c>
      <x:c r="I721" s="36" t="str">
        <x:v>Welche dieser Aussagen stammt aus 1. Korinther 11?</x:v>
      </x:c>
      <x:c r="J721" s="36" t="str"/>
      <x:c r="K721" s="36" t="str"/>
      <x:c r="L721" s="36" t="str">
        <x:v>REPO_VERIFIZIERT_FRAGEFORM</x:v>
      </x:c>
      <x:c r="M721" s="36" t="str">
        <x:v>ERSETZEN</x:v>
      </x:c>
      <x:c r="N721" s="36" t="str">
        <x:v>REPETITIVE_FRAGEFORM</x:v>
      </x:c>
      <x:c r="O721" s="36" t="str">
        <x:v>REINE_WIEDERERKENNUNG</x:v>
      </x:c>
      <x:c r="P721" s="36" t="str">
        <x:v>KERNAUSSAGE</x:v>
      </x:c>
      <x:c r="Q721" s="36" t="str">
        <x:v>Welche praktische Korrektur gibt Paulus für das gemeinsame Essen?</x:v>
      </x:c>
      <x:c r="R721" s="36" t="str">
        <x:v>Jeder soll möglichst früh allein essen.</x:v>
      </x:c>
      <x:c r="S721" s="36" t="str">
        <x:v>Beim Zusammenkommen sollen sie aufeinander warten; wer nur seinen Hunger stillen will, soll zu Hause essen.</x:v>
      </x:c>
      <x:c r="T721" s="36" t="str">
        <x:v>Die Wohlhabenden sollen zuerst essen.</x:v>
      </x:c>
      <x:c r="U721" s="36" t="str">
        <x:v>Das gemeinsame Mahl soll vollständig abgeschafft werden.</x:v>
      </x:c>
      <x:c r="V721" s="36" t="n">
        <x:v>1</x:v>
      </x:c>
      <x:c r="W721" s="36" t="str">
        <x:f>CHOOSE(V721+1,R721,S721,T721,U721)</x:f>
        <x:v>Beim Zusammenkommen sollen sie aufeinander warten; wer nur seinen Hunger stillen will, soll zu Hause essen.</x:v>
      </x:c>
      <x:c r="X721" s="36" t="str">
        <x:v>1. Korinther 11,33–34</x:v>
      </x:c>
      <x:c r="Y721" s="36" t="str">
        <x:v>Paulus zielt auf Rücksicht und Gemeinschaft statt egoistischer Mahlpraxis.</x:v>
      </x:c>
      <x:c r="Z721" s="36" t="str">
        <x:v>JA</x:v>
      </x:c>
      <x:c r="AA721" s="36" t="str">
        <x:v>JA</x:v>
      </x:c>
      <x:c r="AB721" s="36" t="str">
        <x:v>JA</x:v>
      </x:c>
      <x:c r="AC721" s="36" t="str">
        <x:v>JA</x:v>
      </x:c>
      <x:c r="AD721" s="36" t="str">
        <x:v>JA</x:v>
      </x:c>
      <x:c r="AE721" s="36" t="str">
        <x:v>JA</x:v>
      </x:c>
      <x:c r="AF721" s="36" t="str">
        <x:v>JA</x:v>
      </x:c>
      <x:c r="AG721" s="36" t="str">
        <x:v>FREIGEGEBEN</x:v>
      </x:c>
      <x:c r="AH721" s="36" t="str">
        <x:v>GPT-5.6 Sol · Buchprüfung 1. Korinther · L1912/OTB</x:v>
      </x:c>
      <x:c r="AI721" s="36" t="str">
        <x:v>FREIGEGEBEN</x:v>
      </x:c>
      <x:c r="AJ721" s="36" t="str">
        <x:v>1. Korinther 11: repetitive Wiedererkennungsfrage durch KERNAUSSAGE-Frage ersetzt.</x:v>
      </x:c>
      <x:c r="AK721" s="36" t="str">
        <x:v>FaithPath repo develop/v4 · data/stories.json · data/bibles/l1912/1CO.json · data/bibles/otb/1CO.json</x:v>
      </x:c>
      <x:c r="AL721" t="str">
        <x:f>IF(AND(AG721="FREIGEGEBEN",AI721="FREIGEGEBEN",Q721&lt;&gt;"",R721&lt;&gt;"",S721&lt;&gt;"",T721&lt;&gt;"",U721&lt;&gt;"",ISNUMBER(V721),X721&lt;&gt;"",Y721&lt;&gt;"",AA721="JA",AB721="JA",AC721="JA",AD721="JA",AE721="JA",AF721="JA"),"JA","NEIN")</x:f>
        <x:v>JA</x:v>
      </x:c>
    </x:row>
    <x:row r="722">
      <x:c r="A722" t="str">
        <x:v>FP-0981</x:v>
      </x:c>
      <x:c r="B722" t="str">
        <x:v>1CO</x:v>
      </x:c>
      <x:c r="C722" t="str">
        <x:v>1. Korinther</x:v>
      </x:c>
      <x:c r="D722" t="n">
        <x:v>12</x:v>
      </x:c>
      <x:c r="E722" t="n">
        <x:v>1</x:v>
      </x:c>
      <x:c r="F722" t="str">
        <x:v>1CO-012</x:v>
      </x:c>
      <x:c r="G722" t="n">
        <x:v>145</x:v>
      </x:c>
      <x:c r="H722" t="str">
        <x:v>CQ-A08</x:v>
      </x:c>
      <x:c r="I722" s="36" t="str">
        <x:v>Welche dieser Aussagen stammt aus 1. Korinther 12?</x:v>
      </x:c>
      <x:c r="J722" s="36" t="str"/>
      <x:c r="K722" s="36" t="str"/>
      <x:c r="L722" s="36" t="str">
        <x:v>REPO_VERIFIZIERT_FRAGEFORM</x:v>
      </x:c>
      <x:c r="M722" s="36" t="str">
        <x:v>ERSETZEN</x:v>
      </x:c>
      <x:c r="N722" s="36" t="str">
        <x:v>REPETITIVE_FRAGEFORM</x:v>
      </x:c>
      <x:c r="O722" s="36" t="str">
        <x:v>REINE_WIEDERERKENNUNG</x:v>
      </x:c>
      <x:c r="P722" s="36" t="str">
        <x:v>KERNAUSSAGE</x:v>
      </x:c>
      <x:c r="Q722" s="36" t="str">
        <x:v>Welche grundlegende Aussage über Jesus verbindet Paulus mit dem Wirken des Heiligen Geistes?</x:v>
      </x:c>
      <x:c r="R722" s="36" t="str">
        <x:v>Der Geist lenkt Menschen dazu, Jesus zu verfluchen.</x:v>
      </x:c>
      <x:c r="S722" s="36" t="str">
        <x:v>Nur Apostel dürfen Jesus Herr nennen.</x:v>
      </x:c>
      <x:c r="T722" s="36" t="str">
        <x:v>Niemand kann wirklich sagen „Jesus ist Herr“ außer durch den Heiligen Geist.</x:v>
      </x:c>
      <x:c r="U722" s="36" t="str">
        <x:v>Das Bekenntnis zu Jesus hat mit dem Geist nichts zu tun.</x:v>
      </x:c>
      <x:c r="V722" s="36" t="n">
        <x:v>2</x:v>
      </x:c>
      <x:c r="W722" s="36" t="str">
        <x:f>CHOOSE(V722+1,R722,S722,T722,U722)</x:f>
        <x:v>Niemand kann wirklich sagen „Jesus ist Herr“ außer durch den Heiligen Geist.</x:v>
      </x:c>
      <x:c r="X722" s="36" t="str">
        <x:v>1. Korinther 12,1–3</x:v>
      </x:c>
      <x:c r="Y722" s="36" t="str">
        <x:v>Paulus gibt ein grundlegendes Unterscheidungsmerkmal geistlichen Wirkens: das Bekenntnis zu Jesus als Herrn.</x:v>
      </x:c>
      <x:c r="Z722" s="36" t="str">
        <x:v>JA</x:v>
      </x:c>
      <x:c r="AA722" s="36" t="str">
        <x:v>JA</x:v>
      </x:c>
      <x:c r="AB722" s="36" t="str">
        <x:v>JA</x:v>
      </x:c>
      <x:c r="AC722" s="36" t="str">
        <x:v>JA</x:v>
      </x:c>
      <x:c r="AD722" s="36" t="str">
        <x:v>JA</x:v>
      </x:c>
      <x:c r="AE722" s="36" t="str">
        <x:v>JA</x:v>
      </x:c>
      <x:c r="AF722" s="36" t="str">
        <x:v>JA</x:v>
      </x:c>
      <x:c r="AG722" s="36" t="str">
        <x:v>FREIGEGEBEN</x:v>
      </x:c>
      <x:c r="AH722" s="36" t="str">
        <x:v>GPT-5.6 Sol · Buchprüfung 1. Korinther · L1912/OTB</x:v>
      </x:c>
      <x:c r="AI722" s="36" t="str">
        <x:v>FREIGEGEBEN</x:v>
      </x:c>
      <x:c r="AJ722" s="36" t="str">
        <x:v>1. Korinther 12: repetitive Wiedererkennungsfrage durch KERNAUSSAGE-Frage ersetzt.</x:v>
      </x:c>
      <x:c r="AK722" s="36" t="str">
        <x:v>FaithPath repo develop/v4 · data/stories.json · data/bibles/l1912/1CO.json · data/bibles/otb/1CO.json</x:v>
      </x:c>
      <x:c r="AL722" t="str">
        <x:f>IF(AND(AG722="FREIGEGEBEN",AI722="FREIGEGEBEN",Q722&lt;&gt;"",R722&lt;&gt;"",S722&lt;&gt;"",T722&lt;&gt;"",U722&lt;&gt;"",ISNUMBER(V722),X722&lt;&gt;"",Y722&lt;&gt;"",AA722="JA",AB722="JA",AC722="JA",AD722="JA",AE722="JA",AF722="JA"),"JA","NEIN")</x:f>
        <x:v>JA</x:v>
      </x:c>
    </x:row>
    <x:row r="723">
      <x:c r="A723" t="str">
        <x:v>FP-0982</x:v>
      </x:c>
      <x:c r="B723" t="str">
        <x:v>1CO</x:v>
      </x:c>
      <x:c r="C723" t="str">
        <x:v>1. Korinther</x:v>
      </x:c>
      <x:c r="D723" t="n">
        <x:v>12</x:v>
      </x:c>
      <x:c r="E723" t="n">
        <x:v>2</x:v>
      </x:c>
      <x:c r="F723" t="str">
        <x:v>1CO-012</x:v>
      </x:c>
      <x:c r="G723" t="n">
        <x:v>145</x:v>
      </x:c>
      <x:c r="H723" t="str">
        <x:v>CQ-A08</x:v>
      </x:c>
      <x:c r="I723" s="36" t="str">
        <x:v>Welche dieser Aussagen stammt aus 1. Korinther 12?</x:v>
      </x:c>
      <x:c r="J723" s="36" t="str"/>
      <x:c r="K723" s="36" t="str"/>
      <x:c r="L723" s="36" t="str">
        <x:v>REPO_VERIFIZIERT_FRAGEFORM</x:v>
      </x:c>
      <x:c r="M723" s="36" t="str">
        <x:v>ERSETZEN</x:v>
      </x:c>
      <x:c r="N723" s="36" t="str">
        <x:v>REPETITIVE_FRAGEFORM</x:v>
      </x:c>
      <x:c r="O723" s="36" t="str">
        <x:v>REINE_WIEDERERKENNUNG</x:v>
      </x:c>
      <x:c r="P723" s="36" t="str">
        <x:v>KERNAUSSAGE</x:v>
      </x:c>
      <x:c r="Q723" s="36" t="str">
        <x:v>Was bleibt trotz der Vielfalt geistlicher Gaben gleich?</x:v>
      </x:c>
      <x:c r="R723" s="36" t="str">
        <x:v>Jede Gabe stammt von einem anderen Gott.</x:v>
      </x:c>
      <x:c r="S723" s="36" t="str">
        <x:v>Alle müssen dieselbe Gabe haben.</x:v>
      </x:c>
      <x:c r="T723" s="36" t="str">
        <x:v>Gaben entstehen nur durch menschliches Training.</x:v>
      </x:c>
      <x:c r="U723" s="36" t="str">
        <x:v>Derselbe Geist, derselbe Herr und derselbe Gott wirken in der Vielfalt.</x:v>
      </x:c>
      <x:c r="V723" s="36" t="n">
        <x:v>3</x:v>
      </x:c>
      <x:c r="W723" s="36" t="str">
        <x:f>CHOOSE(V723+1,R723,S723,T723,U723)</x:f>
        <x:v>Derselbe Geist, derselbe Herr und derselbe Gott wirken in der Vielfalt.</x:v>
      </x:c>
      <x:c r="X723" s="36" t="str">
        <x:v>1. Korinther 12,4–11</x:v>
      </x:c>
      <x:c r="Y723" s="36" t="str">
        <x:v>Paulus betont Vielfalt der Gaben bei Einheit ihres göttlichen Ursprungs und Zweckes.</x:v>
      </x:c>
      <x:c r="Z723" s="36" t="str">
        <x:v>JA</x:v>
      </x:c>
      <x:c r="AA723" s="36" t="str">
        <x:v>JA</x:v>
      </x:c>
      <x:c r="AB723" s="36" t="str">
        <x:v>JA</x:v>
      </x:c>
      <x:c r="AC723" s="36" t="str">
        <x:v>JA</x:v>
      </x:c>
      <x:c r="AD723" s="36" t="str">
        <x:v>JA</x:v>
      </x:c>
      <x:c r="AE723" s="36" t="str">
        <x:v>JA</x:v>
      </x:c>
      <x:c r="AF723" s="36" t="str">
        <x:v>JA</x:v>
      </x:c>
      <x:c r="AG723" s="36" t="str">
        <x:v>FREIGEGEBEN</x:v>
      </x:c>
      <x:c r="AH723" s="36" t="str">
        <x:v>GPT-5.6 Sol · Buchprüfung 1. Korinther · L1912/OTB</x:v>
      </x:c>
      <x:c r="AI723" s="36" t="str">
        <x:v>FREIGEGEBEN</x:v>
      </x:c>
      <x:c r="AJ723" s="36" t="str">
        <x:v>1. Korinther 12: repetitive Wiedererkennungsfrage durch KERNAUSSAGE-Frage ersetzt.</x:v>
      </x:c>
      <x:c r="AK723" s="36" t="str">
        <x:v>FaithPath repo develop/v4 · data/stories.json · data/bibles/l1912/1CO.json · data/bibles/otb/1CO.json</x:v>
      </x:c>
      <x:c r="AL723" t="str">
        <x:f>IF(AND(AG723="FREIGEGEBEN",AI723="FREIGEGEBEN",Q723&lt;&gt;"",R723&lt;&gt;"",S723&lt;&gt;"",T723&lt;&gt;"",U723&lt;&gt;"",ISNUMBER(V723),X723&lt;&gt;"",Y723&lt;&gt;"",AA723="JA",AB723="JA",AC723="JA",AD723="JA",AE723="JA",AF723="JA"),"JA","NEIN")</x:f>
        <x:v>JA</x:v>
      </x:c>
    </x:row>
    <x:row r="724">
      <x:c r="A724" t="str">
        <x:v>FP-0983</x:v>
      </x:c>
      <x:c r="B724" t="str">
        <x:v>1CO</x:v>
      </x:c>
      <x:c r="C724" t="str">
        <x:v>1. Korinther</x:v>
      </x:c>
      <x:c r="D724" t="n">
        <x:v>12</x:v>
      </x:c>
      <x:c r="E724" t="n">
        <x:v>3</x:v>
      </x:c>
      <x:c r="F724" t="str">
        <x:v>1CO-012</x:v>
      </x:c>
      <x:c r="G724" t="n">
        <x:v>145</x:v>
      </x:c>
      <x:c r="H724" t="str">
        <x:v>CQ-A08</x:v>
      </x:c>
      <x:c r="I724" s="36" t="str">
        <x:v>Welche dieser Aussagen stammt aus 1. Korinther 12?</x:v>
      </x:c>
      <x:c r="J724" s="36" t="str"/>
      <x:c r="K724" s="36" t="str"/>
      <x:c r="L724" s="36" t="str">
        <x:v>REPO_VERIFIZIERT_FRAGEFORM</x:v>
      </x:c>
      <x:c r="M724" s="36" t="str">
        <x:v>ERSETZEN</x:v>
      </x:c>
      <x:c r="N724" s="36" t="str">
        <x:v>REPETITIVE_FRAGEFORM</x:v>
      </x:c>
      <x:c r="O724" s="36" t="str">
        <x:v>REINE_WIEDERERKENNUNG</x:v>
      </x:c>
      <x:c r="P724" s="36" t="str">
        <x:v>ZUSAMMENHANG</x:v>
      </x:c>
      <x:c r="Q724" s="36" t="str">
        <x:v>Was soll das Bild vom einen Leib mit vielen Gliedern verdeutlichen?</x:v>
      </x:c>
      <x:c r="R724" s="36" t="str">
        <x:v>Die Gemeinde ist trotz vieler unterschiedlicher Glieder ein Leib in Christus.</x:v>
      </x:c>
      <x:c r="S724" s="36" t="str">
        <x:v>Alle Gemeindemitglieder müssen dieselbe Aufgabe haben.</x:v>
      </x:c>
      <x:c r="T724" s="36" t="str">
        <x:v>Einzelne Glieder können unabhängig vom Leib leben.</x:v>
      </x:c>
      <x:c r="U724" s="36" t="str">
        <x:v>Nur besonders sichtbare Gaben gehören zum Leib.</x:v>
      </x:c>
      <x:c r="V724" s="36" t="n">
        <x:v>0</x:v>
      </x:c>
      <x:c r="W724" s="36" t="str">
        <x:f>CHOOSE(V724+1,R724,S724,T724,U724)</x:f>
        <x:v>Die Gemeinde ist trotz vieler unterschiedlicher Glieder ein Leib in Christus.</x:v>
      </x:c>
      <x:c r="X724" s="36" t="str">
        <x:v>1. Korinther 12,12–20</x:v>
      </x:c>
      <x:c r="Y724" s="36" t="str">
        <x:v>Paulus verbindet Einheit und Unterschiedlichkeit: viele Glieder gehören durch einen Geist zu einem Leib.</x:v>
      </x:c>
      <x:c r="Z724" s="36" t="str">
        <x:v>JA</x:v>
      </x:c>
      <x:c r="AA724" s="36" t="str">
        <x:v>JA</x:v>
      </x:c>
      <x:c r="AB724" s="36" t="str">
        <x:v>JA</x:v>
      </x:c>
      <x:c r="AC724" s="36" t="str">
        <x:v>JA</x:v>
      </x:c>
      <x:c r="AD724" s="36" t="str">
        <x:v>JA</x:v>
      </x:c>
      <x:c r="AE724" s="36" t="str">
        <x:v>JA</x:v>
      </x:c>
      <x:c r="AF724" s="36" t="str">
        <x:v>JA</x:v>
      </x:c>
      <x:c r="AG724" s="36" t="str">
        <x:v>FREIGEGEBEN</x:v>
      </x:c>
      <x:c r="AH724" s="36" t="str">
        <x:v>GPT-5.6 Sol · Buchprüfung 1. Korinther · L1912/OTB</x:v>
      </x:c>
      <x:c r="AI724" s="36" t="str">
        <x:v>FREIGEGEBEN</x:v>
      </x:c>
      <x:c r="AJ724" s="36" t="str">
        <x:v>1. Korinther 12: repetitive Wiedererkennungsfrage durch ZUSAMMENHANG-Frage ersetzt.</x:v>
      </x:c>
      <x:c r="AK724" s="36" t="str">
        <x:v>FaithPath repo develop/v4 · data/stories.json · data/bibles/l1912/1CO.json · data/bibles/otb/1CO.json</x:v>
      </x:c>
      <x:c r="AL724" t="str">
        <x:f>IF(AND(AG724="FREIGEGEBEN",AI724="FREIGEGEBEN",Q724&lt;&gt;"",R724&lt;&gt;"",S724&lt;&gt;"",T724&lt;&gt;"",U724&lt;&gt;"",ISNUMBER(V724),X724&lt;&gt;"",Y724&lt;&gt;"",AA724="JA",AB724="JA",AC724="JA",AD724="JA",AE724="JA",AF724="JA"),"JA","NEIN")</x:f>
        <x:v>JA</x:v>
      </x:c>
    </x:row>
    <x:row r="725">
      <x:c r="A725" t="str">
        <x:v>FP-0984</x:v>
      </x:c>
      <x:c r="B725" t="str">
        <x:v>1CO</x:v>
      </x:c>
      <x:c r="C725" t="str">
        <x:v>1. Korinther</x:v>
      </x:c>
      <x:c r="D725" t="n">
        <x:v>12</x:v>
      </x:c>
      <x:c r="E725" t="n">
        <x:v>4</x:v>
      </x:c>
      <x:c r="F725" t="str">
        <x:v>1CO-012</x:v>
      </x:c>
      <x:c r="G725" t="n">
        <x:v>145</x:v>
      </x:c>
      <x:c r="H725" t="str">
        <x:v>CQ-A08</x:v>
      </x:c>
      <x:c r="I725" s="36" t="str">
        <x:v>Welche dieser Aussagen stammt aus 1. Korinther 12?</x:v>
      </x:c>
      <x:c r="J725" s="36" t="str"/>
      <x:c r="K725" s="36" t="str"/>
      <x:c r="L725" s="36" t="str">
        <x:v>REPO_VERIFIZIERT_FRAGEFORM</x:v>
      </x:c>
      <x:c r="M725" s="36" t="str">
        <x:v>ERSETZEN</x:v>
      </x:c>
      <x:c r="N725" s="36" t="str">
        <x:v>REPETITIVE_FRAGEFORM</x:v>
      </x:c>
      <x:c r="O725" s="36" t="str">
        <x:v>REINE_WIEDERERKENNUNG</x:v>
      </x:c>
      <x:c r="P725" s="36" t="str">
        <x:v>KERNAUSSAGE</x:v>
      </x:c>
      <x:c r="Q725" s="36" t="str">
        <x:v>Warum kann das Auge nicht zur Hand sagen: „Ich brauche dich nicht“?</x:v>
      </x:c>
      <x:c r="R725" s="36" t="str">
        <x:v>Weil nur die Hand geistliche Gaben hat.</x:v>
      </x:c>
      <x:c r="S725" s="36" t="str">
        <x:v>Weil auch scheinbar schwächere Glieder notwendig sind und im Leib gegenseitige Fürsorge gelten soll.</x:v>
      </x:c>
      <x:c r="T725" s="36" t="str">
        <x:v>Weil jedes Glied völlig unabhängig ist.</x:v>
      </x:c>
      <x:c r="U725" s="36" t="str">
        <x:v>Weil nur sichtbare Aufgaben zählen.</x:v>
      </x:c>
      <x:c r="V725" s="36" t="n">
        <x:v>1</x:v>
      </x:c>
      <x:c r="W725" s="36" t="str">
        <x:f>CHOOSE(V725+1,R725,S725,T725,U725)</x:f>
        <x:v>Weil auch scheinbar schwächere Glieder notwendig sind und im Leib gegenseitige Fürsorge gelten soll.</x:v>
      </x:c>
      <x:c r="X725" s="36" t="str">
        <x:v>1. Korinther 12,21–26</x:v>
      </x:c>
      <x:c r="Y725" s="36" t="str">
        <x:v>Paulus widerspricht Überheblichkeit und fordert besondere Ehre und Fürsorge für verletzliche Glieder.</x:v>
      </x:c>
      <x:c r="Z725" s="36" t="str">
        <x:v>JA</x:v>
      </x:c>
      <x:c r="AA725" s="36" t="str">
        <x:v>JA</x:v>
      </x:c>
      <x:c r="AB725" s="36" t="str">
        <x:v>JA</x:v>
      </x:c>
      <x:c r="AC725" s="36" t="str">
        <x:v>JA</x:v>
      </x:c>
      <x:c r="AD725" s="36" t="str">
        <x:v>JA</x:v>
      </x:c>
      <x:c r="AE725" s="36" t="str">
        <x:v>JA</x:v>
      </x:c>
      <x:c r="AF725" s="36" t="str">
        <x:v>JA</x:v>
      </x:c>
      <x:c r="AG725" s="36" t="str">
        <x:v>FREIGEGEBEN</x:v>
      </x:c>
      <x:c r="AH725" s="36" t="str">
        <x:v>GPT-5.6 Sol · Buchprüfung 1. Korinther · L1912/OTB</x:v>
      </x:c>
      <x:c r="AI725" s="36" t="str">
        <x:v>FREIGEGEBEN</x:v>
      </x:c>
      <x:c r="AJ725" s="36" t="str">
        <x:v>1. Korinther 12: repetitive Wiedererkennungsfrage durch KERNAUSSAGE-Frage ersetzt.</x:v>
      </x:c>
      <x:c r="AK725" s="36" t="str">
        <x:v>FaithPath repo develop/v4 · data/stories.json · data/bibles/l1912/1CO.json · data/bibles/otb/1CO.json</x:v>
      </x:c>
      <x:c r="AL725" t="str">
        <x:f>IF(AND(AG725="FREIGEGEBEN",AI725="FREIGEGEBEN",Q725&lt;&gt;"",R725&lt;&gt;"",S725&lt;&gt;"",T725&lt;&gt;"",U725&lt;&gt;"",ISNUMBER(V725),X725&lt;&gt;"",Y725&lt;&gt;"",AA725="JA",AB725="JA",AC725="JA",AD725="JA",AE725="JA",AF725="JA"),"JA","NEIN")</x:f>
        <x:v>JA</x:v>
      </x:c>
    </x:row>
    <x:row r="726">
      <x:c r="A726" t="str">
        <x:v>FP-0985</x:v>
      </x:c>
      <x:c r="B726" t="str">
        <x:v>1CO</x:v>
      </x:c>
      <x:c r="C726" t="str">
        <x:v>1. Korinther</x:v>
      </x:c>
      <x:c r="D726" t="n">
        <x:v>12</x:v>
      </x:c>
      <x:c r="E726" t="n">
        <x:v>5</x:v>
      </x:c>
      <x:c r="F726" t="str">
        <x:v>1CO-012</x:v>
      </x:c>
      <x:c r="G726" t="n">
        <x:v>145</x:v>
      </x:c>
      <x:c r="H726" t="str">
        <x:v>CQ-A08</x:v>
      </x:c>
      <x:c r="I726" s="36" t="str">
        <x:v>Welche dieser Aussagen stammt aus 1. Korinther 12?</x:v>
      </x:c>
      <x:c r="J726" s="36" t="str"/>
      <x:c r="K726" s="36" t="str"/>
      <x:c r="L726" s="36" t="str">
        <x:v>REPO_VERIFIZIERT_FRAGEFORM</x:v>
      </x:c>
      <x:c r="M726" s="36" t="str">
        <x:v>ERSETZEN</x:v>
      </x:c>
      <x:c r="N726" s="36" t="str">
        <x:v>REPETITIVE_FRAGEFORM</x:v>
      </x:c>
      <x:c r="O726" s="36" t="str">
        <x:v>REINE_WIEDERERKENNUNG</x:v>
      </x:c>
      <x:c r="P726" s="36" t="str">
        <x:v>KERNAUSSAGE</x:v>
      </x:c>
      <x:c r="Q726" s="36" t="str">
        <x:v>Wie fasst Paulus die Gemeinde am Ende des Kapitels zusammen?</x:v>
      </x:c>
      <x:c r="R726" s="36" t="str">
        <x:v>Nur Apostel gehören zum Leib Christi.</x:v>
      </x:c>
      <x:c r="S726" s="36" t="str">
        <x:v>Jede Gemeinde braucht dieselbe Gabenverteilung.</x:v>
      </x:c>
      <x:c r="T726" s="36" t="str">
        <x:v>Ihr seid Christi Leib, einzelne Glieder davon, und Gott hat unterschiedliche Dienste und Gaben eingesetzt.</x:v>
      </x:c>
      <x:c r="U726" s="36" t="str">
        <x:v>Unterschiedliche Gaben sind ein Zeichen von Uneinigkeit.</x:v>
      </x:c>
      <x:c r="V726" s="36" t="n">
        <x:v>2</x:v>
      </x:c>
      <x:c r="W726" s="36" t="str">
        <x:f>CHOOSE(V726+1,R726,S726,T726,U726)</x:f>
        <x:v>Ihr seid Christi Leib, einzelne Glieder davon, und Gott hat unterschiedliche Dienste und Gaben eingesetzt.</x:v>
      </x:c>
      <x:c r="X726" s="36" t="str">
        <x:v>1. Korinther 12,27–31</x:v>
      </x:c>
      <x:c r="Y726" s="36" t="str">
        <x:v>Paulus nennt verschiedene von Gott gesetzte Dienste und führt zur noch besseren Wegweisung der Liebe über.</x:v>
      </x:c>
      <x:c r="Z726" s="36" t="str">
        <x:v>JA</x:v>
      </x:c>
      <x:c r="AA726" s="36" t="str">
        <x:v>JA</x:v>
      </x:c>
      <x:c r="AB726" s="36" t="str">
        <x:v>JA</x:v>
      </x:c>
      <x:c r="AC726" s="36" t="str">
        <x:v>JA</x:v>
      </x:c>
      <x:c r="AD726" s="36" t="str">
        <x:v>JA</x:v>
      </x:c>
      <x:c r="AE726" s="36" t="str">
        <x:v>JA</x:v>
      </x:c>
      <x:c r="AF726" s="36" t="str">
        <x:v>JA</x:v>
      </x:c>
      <x:c r="AG726" s="36" t="str">
        <x:v>FREIGEGEBEN</x:v>
      </x:c>
      <x:c r="AH726" s="36" t="str">
        <x:v>GPT-5.6 Sol · Buchprüfung 1. Korinther · L1912/OTB</x:v>
      </x:c>
      <x:c r="AI726" s="36" t="str">
        <x:v>FREIGEGEBEN</x:v>
      </x:c>
      <x:c r="AJ726" s="36" t="str">
        <x:v>1. Korinther 12: repetitive Wiedererkennungsfrage durch KERNAUSSAGE-Frage ersetzt.</x:v>
      </x:c>
      <x:c r="AK726" s="36" t="str">
        <x:v>FaithPath repo develop/v4 · data/stories.json · data/bibles/l1912/1CO.json · data/bibles/otb/1CO.json</x:v>
      </x:c>
      <x:c r="AL726" t="str">
        <x:f>IF(AND(AG726="FREIGEGEBEN",AI726="FREIGEGEBEN",Q726&lt;&gt;"",R726&lt;&gt;"",S726&lt;&gt;"",T726&lt;&gt;"",U726&lt;&gt;"",ISNUMBER(V726),X726&lt;&gt;"",Y726&lt;&gt;"",AA726="JA",AB726="JA",AC726="JA",AD726="JA",AE726="JA",AF726="JA"),"JA","NEIN")</x:f>
        <x:v>JA</x:v>
      </x:c>
    </x:row>
    <x:row r="727">
      <x:c r="A727" t="str">
        <x:v>FP-0986</x:v>
      </x:c>
      <x:c r="B727" t="str">
        <x:v>1CO</x:v>
      </x:c>
      <x:c r="C727" t="str">
        <x:v>1. Korinther</x:v>
      </x:c>
      <x:c r="D727" t="n">
        <x:v>13</x:v>
      </x:c>
      <x:c r="E727" t="n">
        <x:v>1</x:v>
      </x:c>
      <x:c r="F727" t="str">
        <x:v>1CO-013</x:v>
      </x:c>
      <x:c r="G727" t="n">
        <x:v>146</x:v>
      </x:c>
      <x:c r="H727" t="str">
        <x:v>CQ-A08</x:v>
      </x:c>
      <x:c r="I727" s="36" t="str">
        <x:v>Welche dieser Aussagen stammt aus 1. Korinther 13?</x:v>
      </x:c>
      <x:c r="J727" s="36" t="str"/>
      <x:c r="K727" s="36" t="str"/>
      <x:c r="L727" s="36" t="str">
        <x:v>REPO_VERIFIZIERT_FRAGEFORM</x:v>
      </x:c>
      <x:c r="M727" s="36" t="str">
        <x:v>ERSETZEN</x:v>
      </x:c>
      <x:c r="N727" s="36" t="str">
        <x:v>REPETITIVE_FRAGEFORM</x:v>
      </x:c>
      <x:c r="O727" s="36" t="str">
        <x:v>REINE_WIEDERERKENNUNG</x:v>
      </x:c>
      <x:c r="P727" s="36" t="str">
        <x:v>KERNAUSSAGE</x:v>
      </x:c>
      <x:c r="Q727" s="36" t="str">
        <x:v>Was sind selbst außergewöhnliche geistliche Fähigkeiten ohne Liebe wert?</x:v>
      </x:c>
      <x:c r="R727" s="36" t="str">
        <x:v>Sie sind automatisch größer als Liebe.</x:v>
      </x:c>
      <x:c r="S727" s="36" t="str">
        <x:v>Sie ersetzen Charakter und Beziehung.</x:v>
      </x:c>
      <x:c r="T727" s="36" t="str">
        <x:v>Nur Sprachenrede braucht Liebe.</x:v>
      </x:c>
      <x:c r="U727" s="36" t="str">
        <x:v>Ohne Liebe sind sie letztlich nichts und bringen keinen bleibenden Gewinn.</x:v>
      </x:c>
      <x:c r="V727" s="36" t="n">
        <x:v>3</x:v>
      </x:c>
      <x:c r="W727" s="36" t="str">
        <x:f>CHOOSE(V727+1,R727,S727,T727,U727)</x:f>
        <x:v>Ohne Liebe sind sie letztlich nichts und bringen keinen bleibenden Gewinn.</x:v>
      </x:c>
      <x:c r="X727" s="36" t="str">
        <x:v>1. Korinther 13,1–3</x:v>
      </x:c>
      <x:c r="Y727" s="36" t="str">
        <x:v>Paulus nennt Sprachen, Erkenntnis, Glauben und extreme Hingabe und erklärt, dass sie ohne Liebe wertlos bleiben.</x:v>
      </x:c>
      <x:c r="Z727" s="36" t="str">
        <x:v>JA</x:v>
      </x:c>
      <x:c r="AA727" s="36" t="str">
        <x:v>JA</x:v>
      </x:c>
      <x:c r="AB727" s="36" t="str">
        <x:v>JA</x:v>
      </x:c>
      <x:c r="AC727" s="36" t="str">
        <x:v>JA</x:v>
      </x:c>
      <x:c r="AD727" s="36" t="str">
        <x:v>JA</x:v>
      </x:c>
      <x:c r="AE727" s="36" t="str">
        <x:v>JA</x:v>
      </x:c>
      <x:c r="AF727" s="36" t="str">
        <x:v>JA</x:v>
      </x:c>
      <x:c r="AG727" s="36" t="str">
        <x:v>FREIGEGEBEN</x:v>
      </x:c>
      <x:c r="AH727" s="36" t="str">
        <x:v>GPT-5.6 Sol · Buchprüfung 1. Korinther · L1912/OTB</x:v>
      </x:c>
      <x:c r="AI727" s="36" t="str">
        <x:v>FREIGEGEBEN</x:v>
      </x:c>
      <x:c r="AJ727" s="36" t="str">
        <x:v>1. Korinther 13: repetitive Wiedererkennungsfrage durch KERNAUSSAGE-Frage ersetzt.</x:v>
      </x:c>
      <x:c r="AK727" s="36" t="str">
        <x:v>FaithPath repo develop/v4 · data/stories.json · data/bibles/l1912/1CO.json · data/bibles/otb/1CO.json</x:v>
      </x:c>
      <x:c r="AL727" t="str">
        <x:f>IF(AND(AG727="FREIGEGEBEN",AI727="FREIGEGEBEN",Q727&lt;&gt;"",R727&lt;&gt;"",S727&lt;&gt;"",T727&lt;&gt;"",U727&lt;&gt;"",ISNUMBER(V727),X727&lt;&gt;"",Y727&lt;&gt;"",AA727="JA",AB727="JA",AC727="JA",AD727="JA",AE727="JA",AF727="JA"),"JA","NEIN")</x:f>
        <x:v>JA</x:v>
      </x:c>
    </x:row>
    <x:row r="728">
      <x:c r="A728" t="str">
        <x:v>FP-0987</x:v>
      </x:c>
      <x:c r="B728" t="str">
        <x:v>1CO</x:v>
      </x:c>
      <x:c r="C728" t="str">
        <x:v>1. Korinther</x:v>
      </x:c>
      <x:c r="D728" t="n">
        <x:v>13</x:v>
      </x:c>
      <x:c r="E728" t="n">
        <x:v>2</x:v>
      </x:c>
      <x:c r="F728" t="str">
        <x:v>1CO-013</x:v>
      </x:c>
      <x:c r="G728" t="n">
        <x:v>146</x:v>
      </x:c>
      <x:c r="H728" t="str">
        <x:v>CQ-A08</x:v>
      </x:c>
      <x:c r="I728" s="36" t="str">
        <x:v>Welche dieser Aussagen stammt aus 1. Korinther 13?</x:v>
      </x:c>
      <x:c r="J728" s="36" t="str"/>
      <x:c r="K728" s="36" t="str"/>
      <x:c r="L728" s="36" t="str">
        <x:v>REPO_VERIFIZIERT_FRAGEFORM</x:v>
      </x:c>
      <x:c r="M728" s="36" t="str">
        <x:v>ERSETZEN</x:v>
      </x:c>
      <x:c r="N728" s="36" t="str">
        <x:v>REPETITIVE_FRAGEFORM</x:v>
      </x:c>
      <x:c r="O728" s="36" t="str">
        <x:v>REINE_WIEDERERKENNUNG</x:v>
      </x:c>
      <x:c r="P728" s="36" t="str">
        <x:v>TEXTGENAUIGKEIT</x:v>
      </x:c>
      <x:c r="Q728" s="36" t="str">
        <x:v>Welche Beschreibung passt zur Liebe in 1. Korinther 13?</x:v>
      </x:c>
      <x:c r="R728" s="36" t="str">
        <x:v>Sie ist geduldig und freundlich, sucht nicht das Ihre und trägt, glaubt, hofft und erduldet.</x:v>
      </x:c>
      <x:c r="S728" s="36" t="str">
        <x:v>Sie ist neidisch und sucht Anerkennung.</x:v>
      </x:c>
      <x:c r="T728" s="36" t="str">
        <x:v>Sie freut sich über Unrecht.</x:v>
      </x:c>
      <x:c r="U728" s="36" t="str">
        <x:v>Sie ist schnell gereizt und nachtragend.</x:v>
      </x:c>
      <x:c r="V728" s="36" t="n">
        <x:v>0</x:v>
      </x:c>
      <x:c r="W728" s="36" t="str">
        <x:f>CHOOSE(V728+1,R728,S728,T728,U728)</x:f>
        <x:v>Sie ist geduldig und freundlich, sucht nicht das Ihre und trägt, glaubt, hofft und erduldet.</x:v>
      </x:c>
      <x:c r="X728" s="36" t="str">
        <x:v>1. Korinther 13,4–7</x:v>
      </x:c>
      <x:c r="Y728" s="36" t="str">
        <x:v>Paulus beschreibt Liebe durch konkrete Haltungen und Verhaltensweisen.</x:v>
      </x:c>
      <x:c r="Z728" s="36" t="str">
        <x:v>JA</x:v>
      </x:c>
      <x:c r="AA728" s="36" t="str">
        <x:v>JA</x:v>
      </x:c>
      <x:c r="AB728" s="36" t="str">
        <x:v>JA</x:v>
      </x:c>
      <x:c r="AC728" s="36" t="str">
        <x:v>JA</x:v>
      </x:c>
      <x:c r="AD728" s="36" t="str">
        <x:v>JA</x:v>
      </x:c>
      <x:c r="AE728" s="36" t="str">
        <x:v>JA</x:v>
      </x:c>
      <x:c r="AF728" s="36" t="str">
        <x:v>JA</x:v>
      </x:c>
      <x:c r="AG728" s="36" t="str">
        <x:v>FREIGEGEBEN</x:v>
      </x:c>
      <x:c r="AH728" s="36" t="str">
        <x:v>GPT-5.6 Sol · Buchprüfung 1. Korinther · L1912/OTB</x:v>
      </x:c>
      <x:c r="AI728" s="36" t="str">
        <x:v>FREIGEGEBEN</x:v>
      </x:c>
      <x:c r="AJ728" s="36" t="str">
        <x:v>1. Korinther 13: repetitive Wiedererkennungsfrage durch TEXTGENAUIGKEIT-Frage ersetzt.</x:v>
      </x:c>
      <x:c r="AK728" s="36" t="str">
        <x:v>FaithPath repo develop/v4 · data/stories.json · data/bibles/l1912/1CO.json · data/bibles/otb/1CO.json</x:v>
      </x:c>
      <x:c r="AL728" t="str">
        <x:f>IF(AND(AG728="FREIGEGEBEN",AI728="FREIGEGEBEN",Q728&lt;&gt;"",R728&lt;&gt;"",S728&lt;&gt;"",T728&lt;&gt;"",U728&lt;&gt;"",ISNUMBER(V728),X728&lt;&gt;"",Y728&lt;&gt;"",AA728="JA",AB728="JA",AC728="JA",AD728="JA",AE728="JA",AF728="JA"),"JA","NEIN")</x:f>
        <x:v>JA</x:v>
      </x:c>
    </x:row>
    <x:row r="729">
      <x:c r="A729" t="str">
        <x:v>FP-0988</x:v>
      </x:c>
      <x:c r="B729" t="str">
        <x:v>1CO</x:v>
      </x:c>
      <x:c r="C729" t="str">
        <x:v>1. Korinther</x:v>
      </x:c>
      <x:c r="D729" t="n">
        <x:v>13</x:v>
      </x:c>
      <x:c r="E729" t="n">
        <x:v>3</x:v>
      </x:c>
      <x:c r="F729" t="str">
        <x:v>1CO-013</x:v>
      </x:c>
      <x:c r="G729" t="n">
        <x:v>146</x:v>
      </x:c>
      <x:c r="H729" t="str">
        <x:v>CQ-A08</x:v>
      </x:c>
      <x:c r="I729" s="36" t="str">
        <x:v>Welche dieser Aussagen stammt aus 1. Korinther 13?</x:v>
      </x:c>
      <x:c r="J729" s="36" t="str"/>
      <x:c r="K729" s="36" t="str"/>
      <x:c r="L729" s="36" t="str">
        <x:v>REPO_VERIFIZIERT_FRAGEFORM</x:v>
      </x:c>
      <x:c r="M729" s="36" t="str">
        <x:v>ERSETZEN</x:v>
      </x:c>
      <x:c r="N729" s="36" t="str">
        <x:v>REPETITIVE_FRAGEFORM</x:v>
      </x:c>
      <x:c r="O729" s="36" t="str">
        <x:v>REINE_WIEDERERKENNUNG</x:v>
      </x:c>
      <x:c r="P729" s="36" t="str">
        <x:v>KERNAUSSAGE</x:v>
      </x:c>
      <x:c r="Q729" s="36" t="str">
        <x:v>Warum stellt Paulus die Liebe über Prophetie, Sprachen und Erkenntnis?</x:v>
      </x:c>
      <x:c r="R729" s="36" t="str">
        <x:v>Weil geistliche Gaben grundsätzlich falsch sind.</x:v>
      </x:c>
      <x:c r="S729" s="36" t="str">
        <x:v>Weil diese begrenzt und vorläufig sind, die Liebe aber nicht aufhört.</x:v>
      </x:c>
      <x:c r="T729" s="36" t="str">
        <x:v>Weil Erkenntnis keine Gabe Gottes ist.</x:v>
      </x:c>
      <x:c r="U729" s="36" t="str">
        <x:v>Weil Liebe nur für das jetzige Leben gilt.</x:v>
      </x:c>
      <x:c r="V729" s="36" t="n">
        <x:v>1</x:v>
      </x:c>
      <x:c r="W729" s="36" t="str">
        <x:f>CHOOSE(V729+1,R729,S729,T729,U729)</x:f>
        <x:v>Weil diese begrenzt und vorläufig sind, die Liebe aber nicht aufhört.</x:v>
      </x:c>
      <x:c r="X729" s="36" t="str">
        <x:v>1. Korinther 13,8–10</x:v>
      </x:c>
      <x:c r="Y729" s="36" t="str">
        <x:v>Paulus kontrastiert die bleibende Liebe mit Gaben, die an eine unvollständige Erkenntnis gebunden sind.</x:v>
      </x:c>
      <x:c r="Z729" s="36" t="str">
        <x:v>JA</x:v>
      </x:c>
      <x:c r="AA729" s="36" t="str">
        <x:v>JA</x:v>
      </x:c>
      <x:c r="AB729" s="36" t="str">
        <x:v>JA</x:v>
      </x:c>
      <x:c r="AC729" s="36" t="str">
        <x:v>JA</x:v>
      </x:c>
      <x:c r="AD729" s="36" t="str">
        <x:v>JA</x:v>
      </x:c>
      <x:c r="AE729" s="36" t="str">
        <x:v>JA</x:v>
      </x:c>
      <x:c r="AF729" s="36" t="str">
        <x:v>JA</x:v>
      </x:c>
      <x:c r="AG729" s="36" t="str">
        <x:v>FREIGEGEBEN</x:v>
      </x:c>
      <x:c r="AH729" s="36" t="str">
        <x:v>GPT-5.6 Sol · Buchprüfung 1. Korinther · L1912/OTB</x:v>
      </x:c>
      <x:c r="AI729" s="36" t="str">
        <x:v>FREIGEGEBEN</x:v>
      </x:c>
      <x:c r="AJ729" s="36" t="str">
        <x:v>1. Korinther 13: repetitive Wiedererkennungsfrage durch KERNAUSSAGE-Frage ersetzt.</x:v>
      </x:c>
      <x:c r="AK729" s="36" t="str">
        <x:v>FaithPath repo develop/v4 · data/stories.json · data/bibles/l1912/1CO.json · data/bibles/otb/1CO.json</x:v>
      </x:c>
      <x:c r="AL729" t="str">
        <x:f>IF(AND(AG729="FREIGEGEBEN",AI729="FREIGEGEBEN",Q729&lt;&gt;"",R729&lt;&gt;"",S729&lt;&gt;"",T729&lt;&gt;"",U729&lt;&gt;"",ISNUMBER(V729),X729&lt;&gt;"",Y729&lt;&gt;"",AA729="JA",AB729="JA",AC729="JA",AD729="JA",AE729="JA",AF729="JA"),"JA","NEIN")</x:f>
        <x:v>JA</x:v>
      </x:c>
    </x:row>
    <x:row r="730">
      <x:c r="A730" t="str">
        <x:v>FP-0989</x:v>
      </x:c>
      <x:c r="B730" t="str">
        <x:v>1CO</x:v>
      </x:c>
      <x:c r="C730" t="str">
        <x:v>1. Korinther</x:v>
      </x:c>
      <x:c r="D730" t="n">
        <x:v>13</x:v>
      </x:c>
      <x:c r="E730" t="n">
        <x:v>4</x:v>
      </x:c>
      <x:c r="F730" t="str">
        <x:v>1CO-013</x:v>
      </x:c>
      <x:c r="G730" t="n">
        <x:v>146</x:v>
      </x:c>
      <x:c r="H730" t="str">
        <x:v>CQ-A08</x:v>
      </x:c>
      <x:c r="I730" s="36" t="str">
        <x:v>Welche dieser Aussagen stammt aus 1. Korinther 13?</x:v>
      </x:c>
      <x:c r="J730" s="36" t="str"/>
      <x:c r="K730" s="36" t="str"/>
      <x:c r="L730" s="36" t="str">
        <x:v>REPO_VERIFIZIERT_FRAGEFORM</x:v>
      </x:c>
      <x:c r="M730" s="36" t="str">
        <x:v>ERSETZEN</x:v>
      </x:c>
      <x:c r="N730" s="36" t="str">
        <x:v>REPETITIVE_FRAGEFORM</x:v>
      </x:c>
      <x:c r="O730" s="36" t="str">
        <x:v>REINE_WIEDERERKENNUNG</x:v>
      </x:c>
      <x:c r="P730" s="36" t="str">
        <x:v>ZUSAMMENHANG</x:v>
      </x:c>
      <x:c r="Q730" s="36" t="str">
        <x:v>Was will Paulus mit den Bildern vom Kindsein und vom Sehen wie in einem Spiegel ausdrücken?</x:v>
      </x:c>
      <x:c r="R730" s="36" t="str">
        <x:v>Erwachsene brauchen keinen Glauben mehr.</x:v>
      </x:c>
      <x:c r="S730" s="36" t="str">
        <x:v>Kinder verstehen Gott besser als Erwachsene.</x:v>
      </x:c>
      <x:c r="T730" s="36" t="str">
        <x:v>Unsere gegenwärtige Erkenntnis ist unvollständig und wird einmal einer volleren Erkenntnis weichen.</x:v>
      </x:c>
      <x:c r="U730" s="36" t="str">
        <x:v>Spiegel sind ein Symbol für Sünde.</x:v>
      </x:c>
      <x:c r="V730" s="36" t="n">
        <x:v>2</x:v>
      </x:c>
      <x:c r="W730" s="36" t="str">
        <x:f>CHOOSE(V730+1,R730,S730,T730,U730)</x:f>
        <x:v>Unsere gegenwärtige Erkenntnis ist unvollständig und wird einmal einer volleren Erkenntnis weichen.</x:v>
      </x:c>
      <x:c r="X730" s="36" t="str">
        <x:v>1. Korinther 13,11–12</x:v>
      </x:c>
      <x:c r="Y730" s="36" t="str">
        <x:v>Paulus beschreibt die Gegenwart als begrenztes Erkennen im Vergleich zur zukünftigen Vollendung.</x:v>
      </x:c>
      <x:c r="Z730" s="36" t="str">
        <x:v>JA</x:v>
      </x:c>
      <x:c r="AA730" s="36" t="str">
        <x:v>JA</x:v>
      </x:c>
      <x:c r="AB730" s="36" t="str">
        <x:v>JA</x:v>
      </x:c>
      <x:c r="AC730" s="36" t="str">
        <x:v>JA</x:v>
      </x:c>
      <x:c r="AD730" s="36" t="str">
        <x:v>JA</x:v>
      </x:c>
      <x:c r="AE730" s="36" t="str">
        <x:v>JA</x:v>
      </x:c>
      <x:c r="AF730" s="36" t="str">
        <x:v>JA</x:v>
      </x:c>
      <x:c r="AG730" s="36" t="str">
        <x:v>FREIGEGEBEN</x:v>
      </x:c>
      <x:c r="AH730" s="36" t="str">
        <x:v>GPT-5.6 Sol · Buchprüfung 1. Korinther · L1912/OTB</x:v>
      </x:c>
      <x:c r="AI730" s="36" t="str">
        <x:v>FREIGEGEBEN</x:v>
      </x:c>
      <x:c r="AJ730" s="36" t="str">
        <x:v>1. Korinther 13: repetitive Wiedererkennungsfrage durch ZUSAMMENHANG-Frage ersetzt.</x:v>
      </x:c>
      <x:c r="AK730" s="36" t="str">
        <x:v>FaithPath repo develop/v4 · data/stories.json · data/bibles/l1912/1CO.json · data/bibles/otb/1CO.json</x:v>
      </x:c>
      <x:c r="AL730" t="str">
        <x:f>IF(AND(AG730="FREIGEGEBEN",AI730="FREIGEGEBEN",Q730&lt;&gt;"",R730&lt;&gt;"",S730&lt;&gt;"",T730&lt;&gt;"",U730&lt;&gt;"",ISNUMBER(V730),X730&lt;&gt;"",Y730&lt;&gt;"",AA730="JA",AB730="JA",AC730="JA",AD730="JA",AE730="JA",AF730="JA"),"JA","NEIN")</x:f>
        <x:v>JA</x:v>
      </x:c>
    </x:row>
    <x:row r="731">
      <x:c r="A731" t="str">
        <x:v>FP-0990</x:v>
      </x:c>
      <x:c r="B731" t="str">
        <x:v>1CO</x:v>
      </x:c>
      <x:c r="C731" t="str">
        <x:v>1. Korinther</x:v>
      </x:c>
      <x:c r="D731" t="n">
        <x:v>13</x:v>
      </x:c>
      <x:c r="E731" t="n">
        <x:v>5</x:v>
      </x:c>
      <x:c r="F731" t="str">
        <x:v>1CO-013</x:v>
      </x:c>
      <x:c r="G731" t="n">
        <x:v>146</x:v>
      </x:c>
      <x:c r="H731" t="str">
        <x:v>CQ-A08</x:v>
      </x:c>
      <x:c r="I731" s="36" t="str">
        <x:v>Welche dieser Aussagen stammt aus 1. Korinther 13?</x:v>
      </x:c>
      <x:c r="J731" s="36" t="str"/>
      <x:c r="K731" s="36" t="str"/>
      <x:c r="L731" s="36" t="str">
        <x:v>REPO_VERIFIZIERT_FRAGEFORM</x:v>
      </x:c>
      <x:c r="M731" s="36" t="str">
        <x:v>ERSETZEN</x:v>
      </x:c>
      <x:c r="N731" s="36" t="str">
        <x:v>REPETITIVE_FRAGEFORM</x:v>
      </x:c>
      <x:c r="O731" s="36" t="str">
        <x:v>REINE_WIEDERERKENNUNG</x:v>
      </x:c>
      <x:c r="P731" s="36" t="str">
        <x:v>TEXTGENAUIGKEIT</x:v>
      </x:c>
      <x:c r="Q731" s="36" t="str">
        <x:v>Welche drei Dinge bleiben nach Paulus, und welches ist das größte?</x:v>
      </x:c>
      <x:c r="R731" s="36" t="str">
        <x:v>Glaube, Wissen und Macht; Wissen ist das größte.</x:v>
      </x:c>
      <x:c r="S731" s="36" t="str">
        <x:v>Hoffnung, Prophetie und Sprachen; Prophetie ist die größte.</x:v>
      </x:c>
      <x:c r="T731" s="36" t="str">
        <x:v>Liebe, Reichtum und Weisheit; Weisheit ist die größte.</x:v>
      </x:c>
      <x:c r="U731" s="36" t="str">
        <x:v>Glaube, Hoffnung und Liebe; die Liebe ist die größte.</x:v>
      </x:c>
      <x:c r="V731" s="36" t="n">
        <x:v>3</x:v>
      </x:c>
      <x:c r="W731" s="36" t="str">
        <x:f>CHOOSE(V731+1,R731,S731,T731,U731)</x:f>
        <x:v>Glaube, Hoffnung und Liebe; die Liebe ist die größte.</x:v>
      </x:c>
      <x:c r="X731" s="36" t="str">
        <x:v>1. Korinther 13,13</x:v>
      </x:c>
      <x:c r="Y731" s="36" t="str">
        <x:v>Paulus schließt mit Glaube, Hoffnung und Liebe und hebt die Liebe als die größte hervor.</x:v>
      </x:c>
      <x:c r="Z731" s="36" t="str">
        <x:v>JA</x:v>
      </x:c>
      <x:c r="AA731" s="36" t="str">
        <x:v>JA</x:v>
      </x:c>
      <x:c r="AB731" s="36" t="str">
        <x:v>JA</x:v>
      </x:c>
      <x:c r="AC731" s="36" t="str">
        <x:v>JA</x:v>
      </x:c>
      <x:c r="AD731" s="36" t="str">
        <x:v>JA</x:v>
      </x:c>
      <x:c r="AE731" s="36" t="str">
        <x:v>JA</x:v>
      </x:c>
      <x:c r="AF731" s="36" t="str">
        <x:v>JA</x:v>
      </x:c>
      <x:c r="AG731" s="36" t="str">
        <x:v>FREIGEGEBEN</x:v>
      </x:c>
      <x:c r="AH731" s="36" t="str">
        <x:v>GPT-5.6 Sol · Buchprüfung 1. Korinther · L1912/OTB</x:v>
      </x:c>
      <x:c r="AI731" s="36" t="str">
        <x:v>FREIGEGEBEN</x:v>
      </x:c>
      <x:c r="AJ731" s="36" t="str">
        <x:v>1. Korinther 13: repetitive Wiedererkennungsfrage durch TEXTGENAUIGKEIT-Frage ersetzt.</x:v>
      </x:c>
      <x:c r="AK731" s="36" t="str">
        <x:v>FaithPath repo develop/v4 · data/stories.json · data/bibles/l1912/1CO.json · data/bibles/otb/1CO.json</x:v>
      </x:c>
      <x:c r="AL731" t="str">
        <x:f>IF(AND(AG731="FREIGEGEBEN",AI731="FREIGEGEBEN",Q731&lt;&gt;"",R731&lt;&gt;"",S731&lt;&gt;"",T731&lt;&gt;"",U731&lt;&gt;"",ISNUMBER(V731),X731&lt;&gt;"",Y731&lt;&gt;"",AA731="JA",AB731="JA",AC731="JA",AD731="JA",AE731="JA",AF731="JA"),"JA","NEIN")</x:f>
        <x:v>JA</x:v>
      </x:c>
    </x:row>
    <x:row r="732">
      <x:c r="A732" t="str">
        <x:v>FP-0991</x:v>
      </x:c>
      <x:c r="B732" t="str">
        <x:v>1CO</x:v>
      </x:c>
      <x:c r="C732" t="str">
        <x:v>1. Korinther</x:v>
      </x:c>
      <x:c r="D732" t="n">
        <x:v>14</x:v>
      </x:c>
      <x:c r="E732" t="n">
        <x:v>1</x:v>
      </x:c>
      <x:c r="F732" t="str">
        <x:v>1CO-014</x:v>
      </x:c>
      <x:c r="G732" t="n">
        <x:v>147</x:v>
      </x:c>
      <x:c r="H732" t="str">
        <x:v>CQ-A08</x:v>
      </x:c>
      <x:c r="I732" s="36" t="str">
        <x:v>Welche dieser Aussagen stammt aus 1. Korinther 14?</x:v>
      </x:c>
      <x:c r="J732" s="36" t="str"/>
      <x:c r="K732" s="36" t="str"/>
      <x:c r="L732" s="36" t="str">
        <x:v>REPO_VERIFIZIERT_FRAGEFORM</x:v>
      </x:c>
      <x:c r="M732" s="36" t="str">
        <x:v>ERSETZEN</x:v>
      </x:c>
      <x:c r="N732" s="36" t="str">
        <x:v>REPETITIVE_FRAGEFORM</x:v>
      </x:c>
      <x:c r="O732" s="36" t="str">
        <x:v>REINE_WIEDERERKENNUNG</x:v>
      </x:c>
      <x:c r="P732" s="36" t="str">
        <x:v>KERNAUSSAGE</x:v>
      </x:c>
      <x:c r="Q732" s="36" t="str">
        <x:v>Warum bevorzugt Paulus in der versammelten Gemeinde verständliche Prophetie gegenüber nicht ausgelegter Sprachenrede?</x:v>
      </x:c>
      <x:c r="R732" s="36" t="str">
        <x:v>Weil verständliche Rede andere Menschen erbaut, ermahnt und tröstet.</x:v>
      </x:c>
      <x:c r="S732" s="36" t="str">
        <x:v>Weil Sprachenrede grundsätzlich verboten ist.</x:v>
      </x:c>
      <x:c r="T732" s="36" t="str">
        <x:v>Weil nur Propheten den Heiligen Geist besitzen.</x:v>
      </x:c>
      <x:c r="U732" s="36" t="str">
        <x:v>Weil persönliche Erbauung immer falsch ist.</x:v>
      </x:c>
      <x:c r="V732" s="36" t="n">
        <x:v>0</x:v>
      </x:c>
      <x:c r="W732" s="36" t="str">
        <x:f>CHOOSE(V732+1,R732,S732,T732,U732)</x:f>
        <x:v>Weil verständliche Rede andere Menschen erbaut, ermahnt und tröstet.</x:v>
      </x:c>
      <x:c r="X732" s="36" t="str">
        <x:v>1. Korinther 14,1–5</x:v>
      </x:c>
      <x:c r="Y732" s="36" t="str">
        <x:v>Paulus bewertet Gaben in der Gemeinde danach, ob sie anderen verständlich dienen und aufbauen.</x:v>
      </x:c>
      <x:c r="Z732" s="36" t="str">
        <x:v>JA</x:v>
      </x:c>
      <x:c r="AA732" s="36" t="str">
        <x:v>JA</x:v>
      </x:c>
      <x:c r="AB732" s="36" t="str">
        <x:v>JA</x:v>
      </x:c>
      <x:c r="AC732" s="36" t="str">
        <x:v>JA</x:v>
      </x:c>
      <x:c r="AD732" s="36" t="str">
        <x:v>JA</x:v>
      </x:c>
      <x:c r="AE732" s="36" t="str">
        <x:v>JA</x:v>
      </x:c>
      <x:c r="AF732" s="36" t="str">
        <x:v>JA</x:v>
      </x:c>
      <x:c r="AG732" s="36" t="str">
        <x:v>FREIGEGEBEN</x:v>
      </x:c>
      <x:c r="AH732" s="36" t="str">
        <x:v>GPT-5.6 Sol · Buchprüfung 1. Korinther · L1912/OTB</x:v>
      </x:c>
      <x:c r="AI732" s="36" t="str">
        <x:v>FREIGEGEBEN</x:v>
      </x:c>
      <x:c r="AJ732" s="36" t="str">
        <x:v>1. Korinther 14: repetitive Wiedererkennungsfrage durch KERNAUSSAGE-Frage ersetzt.</x:v>
      </x:c>
      <x:c r="AK732" s="36" t="str">
        <x:v>FaithPath repo develop/v4 · data/stories.json · data/bibles/l1912/1CO.json · data/bibles/otb/1CO.json</x:v>
      </x:c>
      <x:c r="AL732" t="str">
        <x:f>IF(AND(AG732="FREIGEGEBEN",AI732="FREIGEGEBEN",Q732&lt;&gt;"",R732&lt;&gt;"",S732&lt;&gt;"",T732&lt;&gt;"",U732&lt;&gt;"",ISNUMBER(V732),X732&lt;&gt;"",Y732&lt;&gt;"",AA732="JA",AB732="JA",AC732="JA",AD732="JA",AE732="JA",AF732="JA"),"JA","NEIN")</x:f>
        <x:v>JA</x:v>
      </x:c>
    </x:row>
    <x:row r="733">
      <x:c r="A733" t="str">
        <x:v>FP-0992</x:v>
      </x:c>
      <x:c r="B733" t="str">
        <x:v>1CO</x:v>
      </x:c>
      <x:c r="C733" t="str">
        <x:v>1. Korinther</x:v>
      </x:c>
      <x:c r="D733" t="n">
        <x:v>14</x:v>
      </x:c>
      <x:c r="E733" t="n">
        <x:v>2</x:v>
      </x:c>
      <x:c r="F733" t="str">
        <x:v>1CO-014</x:v>
      </x:c>
      <x:c r="G733" t="n">
        <x:v>147</x:v>
      </x:c>
      <x:c r="H733" t="str">
        <x:v>CQ-A08</x:v>
      </x:c>
      <x:c r="I733" s="36" t="str">
        <x:v>Welche dieser Aussagen stammt aus 1. Korinther 14?</x:v>
      </x:c>
      <x:c r="J733" s="36" t="str"/>
      <x:c r="K733" s="36" t="str"/>
      <x:c r="L733" s="36" t="str">
        <x:v>REPO_VERIFIZIERT_FRAGEFORM</x:v>
      </x:c>
      <x:c r="M733" s="36" t="str">
        <x:v>ERSETZEN</x:v>
      </x:c>
      <x:c r="N733" s="36" t="str">
        <x:v>REPETITIVE_FRAGEFORM</x:v>
      </x:c>
      <x:c r="O733" s="36" t="str">
        <x:v>REINE_WIEDERERKENNUNG</x:v>
      </x:c>
      <x:c r="P733" s="36" t="str">
        <x:v>ZUSAMMENHANG</x:v>
      </x:c>
      <x:c r="Q733" s="36" t="str">
        <x:v>Was zeigen Paulus' Beispiele von Flöte, Harfe und Trompete?</x:v>
      </x:c>
      <x:c r="R733" s="36" t="str">
        <x:v>Musik ist im Gottesdienst verboten.</x:v>
      </x:c>
      <x:c r="S733" s="36" t="str">
        <x:v>Ein unklarer Ton vermittelt keine verständliche Botschaft; ebenso muss Rede verständlich sein, um zu erbauen.</x:v>
      </x:c>
      <x:c r="T733" s="36" t="str">
        <x:v>Nur Instrumente können prophetisch sein.</x:v>
      </x:c>
      <x:c r="U733" s="36" t="str">
        <x:v>Jede geistliche Gabe braucht ein Musikinstrument.</x:v>
      </x:c>
      <x:c r="V733" s="36" t="n">
        <x:v>1</x:v>
      </x:c>
      <x:c r="W733" s="36" t="str">
        <x:f>CHOOSE(V733+1,R733,S733,T733,U733)</x:f>
        <x:v>Ein unklarer Ton vermittelt keine verständliche Botschaft; ebenso muss Rede verständlich sein, um zu erbauen.</x:v>
      </x:c>
      <x:c r="X733" s="36" t="str">
        <x:v>1. Korinther 14,6–12</x:v>
      </x:c>
      <x:c r="Y733" s="36" t="str">
        <x:v>Paulus verwendet akustische Beispiele, um die Bedeutung verständlicher Kommunikation zu erklären.</x:v>
      </x:c>
      <x:c r="Z733" s="36" t="str">
        <x:v>JA</x:v>
      </x:c>
      <x:c r="AA733" s="36" t="str">
        <x:v>JA</x:v>
      </x:c>
      <x:c r="AB733" s="36" t="str">
        <x:v>JA</x:v>
      </x:c>
      <x:c r="AC733" s="36" t="str">
        <x:v>JA</x:v>
      </x:c>
      <x:c r="AD733" s="36" t="str">
        <x:v>JA</x:v>
      </x:c>
      <x:c r="AE733" s="36" t="str">
        <x:v>JA</x:v>
      </x:c>
      <x:c r="AF733" s="36" t="str">
        <x:v>JA</x:v>
      </x:c>
      <x:c r="AG733" s="36" t="str">
        <x:v>FREIGEGEBEN</x:v>
      </x:c>
      <x:c r="AH733" s="36" t="str">
        <x:v>GPT-5.6 Sol · Buchprüfung 1. Korinther · L1912/OTB</x:v>
      </x:c>
      <x:c r="AI733" s="36" t="str">
        <x:v>FREIGEGEBEN</x:v>
      </x:c>
      <x:c r="AJ733" s="36" t="str">
        <x:v>1. Korinther 14: repetitive Wiedererkennungsfrage durch ZUSAMMENHANG-Frage ersetzt.</x:v>
      </x:c>
      <x:c r="AK733" s="36" t="str">
        <x:v>FaithPath repo develop/v4 · data/stories.json · data/bibles/l1912/1CO.json · data/bibles/otb/1CO.json</x:v>
      </x:c>
      <x:c r="AL733" t="str">
        <x:f>IF(AND(AG733="FREIGEGEBEN",AI733="FREIGEGEBEN",Q733&lt;&gt;"",R733&lt;&gt;"",S733&lt;&gt;"",T733&lt;&gt;"",U733&lt;&gt;"",ISNUMBER(V733),X733&lt;&gt;"",Y733&lt;&gt;"",AA733="JA",AB733="JA",AC733="JA",AD733="JA",AE733="JA",AF733="JA"),"JA","NEIN")</x:f>
        <x:v>JA</x:v>
      </x:c>
    </x:row>
    <x:row r="734">
      <x:c r="A734" t="str">
        <x:v>FP-0993</x:v>
      </x:c>
      <x:c r="B734" t="str">
        <x:v>1CO</x:v>
      </x:c>
      <x:c r="C734" t="str">
        <x:v>1. Korinther</x:v>
      </x:c>
      <x:c r="D734" t="n">
        <x:v>14</x:v>
      </x:c>
      <x:c r="E734" t="n">
        <x:v>3</x:v>
      </x:c>
      <x:c r="F734" t="str">
        <x:v>1CO-014</x:v>
      </x:c>
      <x:c r="G734" t="n">
        <x:v>147</x:v>
      </x:c>
      <x:c r="H734" t="str">
        <x:v>CQ-A08</x:v>
      </x:c>
      <x:c r="I734" s="36" t="str">
        <x:v>Welche dieser Aussagen stammt aus 1. Korinther 14?</x:v>
      </x:c>
      <x:c r="J734" s="36" t="str"/>
      <x:c r="K734" s="36" t="str"/>
      <x:c r="L734" s="36" t="str">
        <x:v>REPO_VERIFIZIERT_FRAGEFORM</x:v>
      </x:c>
      <x:c r="M734" s="36" t="str">
        <x:v>ERSETZEN</x:v>
      </x:c>
      <x:c r="N734" s="36" t="str">
        <x:v>REPETITIVE_FRAGEFORM</x:v>
      </x:c>
      <x:c r="O734" s="36" t="str">
        <x:v>REINE_WIEDERERKENNUNG</x:v>
      </x:c>
      <x:c r="P734" s="36" t="str">
        <x:v>KERNAUSSAGE</x:v>
      </x:c>
      <x:c r="Q734" s="36" t="str">
        <x:v>Wie will Paulus selbst beten und singen?</x:v>
      </x:c>
      <x:c r="R734" s="36" t="str">
        <x:v>Nur mit dem Verstand.</x:v>
      </x:c>
      <x:c r="S734" s="36" t="str">
        <x:v>Nur in einer unbekannten Sprache.</x:v>
      </x:c>
      <x:c r="T734" s="36" t="str">
        <x:v>Mit dem Geist und zugleich mit dem Verstand.</x:v>
      </x:c>
      <x:c r="U734" s="36" t="str">
        <x:v>Ohne Worte und ohne Verständnis.</x:v>
      </x:c>
      <x:c r="V734" s="36" t="n">
        <x:v>2</x:v>
      </x:c>
      <x:c r="W734" s="36" t="str">
        <x:f>CHOOSE(V734+1,R734,S734,T734,U734)</x:f>
        <x:v>Mit dem Geist und zugleich mit dem Verstand.</x:v>
      </x:c>
      <x:c r="X734" s="36" t="str">
        <x:v>1. Korinther 14,13–19</x:v>
      </x:c>
      <x:c r="Y734" s="36" t="str">
        <x:v>Paulus will geistliche Beteiligung und verständlichen Sinn miteinander verbinden.</x:v>
      </x:c>
      <x:c r="Z734" s="36" t="str">
        <x:v>JA</x:v>
      </x:c>
      <x:c r="AA734" s="36" t="str">
        <x:v>JA</x:v>
      </x:c>
      <x:c r="AB734" s="36" t="str">
        <x:v>JA</x:v>
      </x:c>
      <x:c r="AC734" s="36" t="str">
        <x:v>JA</x:v>
      </x:c>
      <x:c r="AD734" s="36" t="str">
        <x:v>JA</x:v>
      </x:c>
      <x:c r="AE734" s="36" t="str">
        <x:v>JA</x:v>
      </x:c>
      <x:c r="AF734" s="36" t="str">
        <x:v>JA</x:v>
      </x:c>
      <x:c r="AG734" s="36" t="str">
        <x:v>FREIGEGEBEN</x:v>
      </x:c>
      <x:c r="AH734" s="36" t="str">
        <x:v>GPT-5.6 Sol · Buchprüfung 1. Korinther · L1912/OTB</x:v>
      </x:c>
      <x:c r="AI734" s="36" t="str">
        <x:v>FREIGEGEBEN</x:v>
      </x:c>
      <x:c r="AJ734" s="36" t="str">
        <x:v>1. Korinther 14: repetitive Wiedererkennungsfrage durch KERNAUSSAGE-Frage ersetzt.</x:v>
      </x:c>
      <x:c r="AK734" s="36" t="str">
        <x:v>FaithPath repo develop/v4 · data/stories.json · data/bibles/l1912/1CO.json · data/bibles/otb/1CO.json</x:v>
      </x:c>
      <x:c r="AL734" t="str">
        <x:f>IF(AND(AG734="FREIGEGEBEN",AI734="FREIGEGEBEN",Q734&lt;&gt;"",R734&lt;&gt;"",S734&lt;&gt;"",T734&lt;&gt;"",U734&lt;&gt;"",ISNUMBER(V734),X734&lt;&gt;"",Y734&lt;&gt;"",AA734="JA",AB734="JA",AC734="JA",AD734="JA",AE734="JA",AF734="JA"),"JA","NEIN")</x:f>
        <x:v>JA</x:v>
      </x:c>
    </x:row>
    <x:row r="735">
      <x:c r="A735" t="str">
        <x:v>FP-0994</x:v>
      </x:c>
      <x:c r="B735" t="str">
        <x:v>1CO</x:v>
      </x:c>
      <x:c r="C735" t="str">
        <x:v>1. Korinther</x:v>
      </x:c>
      <x:c r="D735" t="n">
        <x:v>14</x:v>
      </x:c>
      <x:c r="E735" t="n">
        <x:v>4</x:v>
      </x:c>
      <x:c r="F735" t="str">
        <x:v>1CO-014</x:v>
      </x:c>
      <x:c r="G735" t="n">
        <x:v>147</x:v>
      </x:c>
      <x:c r="H735" t="str">
        <x:v>CQ-A08</x:v>
      </x:c>
      <x:c r="I735" s="36" t="str">
        <x:v>Welche dieser Aussagen stammt aus 1. Korinther 14?</x:v>
      </x:c>
      <x:c r="J735" s="36" t="str"/>
      <x:c r="K735" s="36" t="str"/>
      <x:c r="L735" s="36" t="str">
        <x:v>REPO_VERIFIZIERT_FRAGEFORM</x:v>
      </x:c>
      <x:c r="M735" s="36" t="str">
        <x:v>ERSETZEN</x:v>
      </x:c>
      <x:c r="N735" s="36" t="str">
        <x:v>REPETITIVE_FRAGEFORM</x:v>
      </x:c>
      <x:c r="O735" s="36" t="str">
        <x:v>REINE_WIEDERERKENNUNG</x:v>
      </x:c>
      <x:c r="P735" s="36" t="str">
        <x:v>KERNAUSSAGE</x:v>
      </x:c>
      <x:c r="Q735" s="36" t="str">
        <x:v>Welcher Grundsatz soll die Beiträge beim Zusammenkommen der Gemeinde bestimmen?</x:v>
      </x:c>
      <x:c r="R735" s="36" t="str">
        <x:v>Jeder soll gleichzeitig sprechen.</x:v>
      </x:c>
      <x:c r="S735" s="36" t="str">
        <x:v>Nur eine Person darf jemals etwas beitragen.</x:v>
      </x:c>
      <x:c r="T735" s="36" t="str">
        <x:v>Spontane Beiträge sind grundsätzlich verboten.</x:v>
      </x:c>
      <x:c r="U735" s="36" t="str">
        <x:v>Alles soll zur Erbauung geschehen und in geordneter Weise beitragen.</x:v>
      </x:c>
      <x:c r="V735" s="36" t="n">
        <x:v>3</x:v>
      </x:c>
      <x:c r="W735" s="36" t="str">
        <x:f>CHOOSE(V735+1,R735,S735,T735,U735)</x:f>
        <x:v>Alles soll zur Erbauung geschehen und in geordneter Weise beitragen.</x:v>
      </x:c>
      <x:c r="X735" s="36" t="str">
        <x:v>1. Korinther 14,26–33</x:v>
      </x:c>
      <x:c r="Y735" s="36" t="str">
        <x:v>Paulus erlaubt vielfältige Beiträge, ordnet sie aber dem Aufbau und dem Frieden in der Gemeinde unter.</x:v>
      </x:c>
      <x:c r="Z735" s="36" t="str">
        <x:v>JA</x:v>
      </x:c>
      <x:c r="AA735" s="36" t="str">
        <x:v>JA</x:v>
      </x:c>
      <x:c r="AB735" s="36" t="str">
        <x:v>JA</x:v>
      </x:c>
      <x:c r="AC735" s="36" t="str">
        <x:v>JA</x:v>
      </x:c>
      <x:c r="AD735" s="36" t="str">
        <x:v>JA</x:v>
      </x:c>
      <x:c r="AE735" s="36" t="str">
        <x:v>JA</x:v>
      </x:c>
      <x:c r="AF735" s="36" t="str">
        <x:v>JA</x:v>
      </x:c>
      <x:c r="AG735" s="36" t="str">
        <x:v>FREIGEGEBEN</x:v>
      </x:c>
      <x:c r="AH735" s="36" t="str">
        <x:v>GPT-5.6 Sol · Buchprüfung 1. Korinther · L1912/OTB</x:v>
      </x:c>
      <x:c r="AI735" s="36" t="str">
        <x:v>FREIGEGEBEN</x:v>
      </x:c>
      <x:c r="AJ735" s="36" t="str">
        <x:v>1. Korinther 14: repetitive Wiedererkennungsfrage durch KERNAUSSAGE-Frage ersetzt.</x:v>
      </x:c>
      <x:c r="AK735" s="36" t="str">
        <x:v>FaithPath repo develop/v4 · data/stories.json · data/bibles/l1912/1CO.json · data/bibles/otb/1CO.json</x:v>
      </x:c>
      <x:c r="AL735" t="str">
        <x:f>IF(AND(AG735="FREIGEGEBEN",AI735="FREIGEGEBEN",Q735&lt;&gt;"",R735&lt;&gt;"",S735&lt;&gt;"",T735&lt;&gt;"",U735&lt;&gt;"",ISNUMBER(V735),X735&lt;&gt;"",Y735&lt;&gt;"",AA735="JA",AB735="JA",AC735="JA",AD735="JA",AE735="JA",AF735="JA"),"JA","NEIN")</x:f>
        <x:v>JA</x:v>
      </x:c>
    </x:row>
    <x:row r="736">
      <x:c r="A736" t="str">
        <x:v>FP-0995</x:v>
      </x:c>
      <x:c r="B736" t="str">
        <x:v>1CO</x:v>
      </x:c>
      <x:c r="C736" t="str">
        <x:v>1. Korinther</x:v>
      </x:c>
      <x:c r="D736" t="n">
        <x:v>14</x:v>
      </x:c>
      <x:c r="E736" t="n">
        <x:v>5</x:v>
      </x:c>
      <x:c r="F736" t="str">
        <x:v>1CO-014</x:v>
      </x:c>
      <x:c r="G736" t="n">
        <x:v>147</x:v>
      </x:c>
      <x:c r="H736" t="str">
        <x:v>CQ-A08</x:v>
      </x:c>
      <x:c r="I736" s="36" t="str">
        <x:v>Welche dieser Aussagen stammt aus 1. Korinther 14?</x:v>
      </x:c>
      <x:c r="J736" s="36" t="str"/>
      <x:c r="K736" s="36" t="str"/>
      <x:c r="L736" s="36" t="str">
        <x:v>REPO_VERIFIZIERT_FRAGEFORM</x:v>
      </x:c>
      <x:c r="M736" s="36" t="str">
        <x:v>ERSETZEN</x:v>
      </x:c>
      <x:c r="N736" s="36" t="str">
        <x:v>REPETITIVE_FRAGEFORM</x:v>
      </x:c>
      <x:c r="O736" s="36" t="str">
        <x:v>REINE_WIEDERERKENNUNG</x:v>
      </x:c>
      <x:c r="P736" s="36" t="str">
        <x:v>KERNAUSSAGE</x:v>
      </x:c>
      <x:c r="Q736" s="36" t="str">
        <x:v>Wie fasst Paulus den Umgang mit Prophetie, Sprachenrede und Ordnung zusammen?</x:v>
      </x:c>
      <x:c r="R736" s="36" t="str">
        <x:v>Nach Prophetie streben, Sprachenrede nicht verbieten und alles anständig und geordnet geschehen lassen.</x:v>
      </x:c>
      <x:c r="S736" s="36" t="str">
        <x:v>Alle geistlichen Gaben abschaffen.</x:v>
      </x:c>
      <x:c r="T736" s="36" t="str">
        <x:v>Nur Sprachenrede zulassen.</x:v>
      </x:c>
      <x:c r="U736" s="36" t="str">
        <x:v>Ordnung ist weniger wichtig als spontane Unruhe.</x:v>
      </x:c>
      <x:c r="V736" s="36" t="n">
        <x:v>0</x:v>
      </x:c>
      <x:c r="W736" s="36" t="str">
        <x:f>CHOOSE(V736+1,R736,S736,T736,U736)</x:f>
        <x:v>Nach Prophetie streben, Sprachenrede nicht verbieten und alles anständig und geordnet geschehen lassen.</x:v>
      </x:c>
      <x:c r="X736" s="36" t="str">
        <x:v>1. Korinther 14,39–40</x:v>
      </x:c>
      <x:c r="Y736" s="36" t="str">
        <x:v>Paulus beendet den Abschnitt weder mit einem Verbot geistlicher Gaben noch mit Beliebigkeit, sondern mit geordneter Freiheit.</x:v>
      </x:c>
      <x:c r="Z736" s="36" t="str">
        <x:v>JA</x:v>
      </x:c>
      <x:c r="AA736" s="36" t="str">
        <x:v>JA</x:v>
      </x:c>
      <x:c r="AB736" s="36" t="str">
        <x:v>JA</x:v>
      </x:c>
      <x:c r="AC736" s="36" t="str">
        <x:v>JA</x:v>
      </x:c>
      <x:c r="AD736" s="36" t="str">
        <x:v>JA</x:v>
      </x:c>
      <x:c r="AE736" s="36" t="str">
        <x:v>JA</x:v>
      </x:c>
      <x:c r="AF736" s="36" t="str">
        <x:v>JA</x:v>
      </x:c>
      <x:c r="AG736" s="36" t="str">
        <x:v>FREIGEGEBEN</x:v>
      </x:c>
      <x:c r="AH736" s="36" t="str">
        <x:v>GPT-5.6 Sol · Buchprüfung 1. Korinther · L1912/OTB</x:v>
      </x:c>
      <x:c r="AI736" s="36" t="str">
        <x:v>FREIGEGEBEN</x:v>
      </x:c>
      <x:c r="AJ736" s="36" t="str">
        <x:v>1. Korinther 14: repetitive Wiedererkennungsfrage durch KERNAUSSAGE-Frage ersetzt.</x:v>
      </x:c>
      <x:c r="AK736" s="36" t="str">
        <x:v>FaithPath repo develop/v4 · data/stories.json · data/bibles/l1912/1CO.json · data/bibles/otb/1CO.json</x:v>
      </x:c>
      <x:c r="AL736" t="str">
        <x:f>IF(AND(AG736="FREIGEGEBEN",AI736="FREIGEGEBEN",Q736&lt;&gt;"",R736&lt;&gt;"",S736&lt;&gt;"",T736&lt;&gt;"",U736&lt;&gt;"",ISNUMBER(V736),X736&lt;&gt;"",Y736&lt;&gt;"",AA736="JA",AB736="JA",AC736="JA",AD736="JA",AE736="JA",AF736="JA"),"JA","NEIN")</x:f>
        <x:v>JA</x:v>
      </x:c>
    </x:row>
    <x:row r="737">
      <x:c r="A737" t="str">
        <x:v>FP-0996</x:v>
      </x:c>
      <x:c r="B737" t="str">
        <x:v>1CO</x:v>
      </x:c>
      <x:c r="C737" t="str">
        <x:v>1. Korinther</x:v>
      </x:c>
      <x:c r="D737" t="n">
        <x:v>15</x:v>
      </x:c>
      <x:c r="E737" t="n">
        <x:v>1</x:v>
      </x:c>
      <x:c r="F737" t="str">
        <x:v>1CO-015</x:v>
      </x:c>
      <x:c r="G737" t="n">
        <x:v>148</x:v>
      </x:c>
      <x:c r="H737" t="str">
        <x:v>CQ-A08</x:v>
      </x:c>
      <x:c r="I737" s="36" t="str">
        <x:v>Welche dieser Aussagen stammt aus 1. Korinther 15?</x:v>
      </x:c>
      <x:c r="J737" s="36" t="str"/>
      <x:c r="K737" s="36" t="str"/>
      <x:c r="L737" s="36" t="str">
        <x:v>REPO_VERIFIZIERT_FRAGEFORM</x:v>
      </x:c>
      <x:c r="M737" s="36" t="str">
        <x:v>ERSETZEN</x:v>
      </x:c>
      <x:c r="N737" s="36" t="str">
        <x:v>REPETITIVE_FRAGEFORM</x:v>
      </x:c>
      <x:c r="O737" s="36" t="str">
        <x:v>REINE_WIEDERERKENNUNG</x:v>
      </x:c>
      <x:c r="P737" s="36" t="str">
        <x:v>KERNAUSSAGE</x:v>
      </x:c>
      <x:c r="Q737" s="36" t="str">
        <x:v>Welche Ereignisse gehören nach Paulus zum Kern des Evangeliums, das er empfangen und weitergegeben hat?</x:v>
      </x:c>
      <x:c r="R737" s="36" t="str">
        <x:v>Jesus lehrte nur eine neue Ethik.</x:v>
      </x:c>
      <x:c r="S737" s="36" t="str">
        <x:v>Christus starb für unsere Sünden, wurde begraben, am dritten Tag auferweckt und erschien vielen Zeugen.</x:v>
      </x:c>
      <x:c r="T737" s="36" t="str">
        <x:v>Christus starb, blieb aber im Grab.</x:v>
      </x:c>
      <x:c r="U737" s="36" t="str">
        <x:v>Die Auferstehung ist lediglich ein Bild für Erinnerung.</x:v>
      </x:c>
      <x:c r="V737" s="36" t="n">
        <x:v>1</x:v>
      </x:c>
      <x:c r="W737" s="36" t="str">
        <x:f>CHOOSE(V737+1,R737,S737,T737,U737)</x:f>
        <x:v>Christus starb für unsere Sünden, wurde begraben, am dritten Tag auferweckt und erschien vielen Zeugen.</x:v>
      </x:c>
      <x:c r="X737" s="36" t="str">
        <x:v>1. Korinther 15,1–8</x:v>
      </x:c>
      <x:c r="Y737" s="36" t="str">
        <x:v>Paulus fasst das Evangelium mit Tod, Begräbnis, Auferstehung und Erscheinungen des auferstandenen Christus zusammen.</x:v>
      </x:c>
      <x:c r="Z737" s="36" t="str">
        <x:v>JA</x:v>
      </x:c>
      <x:c r="AA737" s="36" t="str">
        <x:v>JA</x:v>
      </x:c>
      <x:c r="AB737" s="36" t="str">
        <x:v>JA</x:v>
      </x:c>
      <x:c r="AC737" s="36" t="str">
        <x:v>JA</x:v>
      </x:c>
      <x:c r="AD737" s="36" t="str">
        <x:v>JA</x:v>
      </x:c>
      <x:c r="AE737" s="36" t="str">
        <x:v>JA</x:v>
      </x:c>
      <x:c r="AF737" s="36" t="str">
        <x:v>JA</x:v>
      </x:c>
      <x:c r="AG737" s="36" t="str">
        <x:v>FREIGEGEBEN</x:v>
      </x:c>
      <x:c r="AH737" s="36" t="str">
        <x:v>GPT-5.6 Sol · Buchprüfung 1. Korinther · L1912/OTB</x:v>
      </x:c>
      <x:c r="AI737" s="36" t="str">
        <x:v>FREIGEGEBEN</x:v>
      </x:c>
      <x:c r="AJ737" s="36" t="str">
        <x:v>1. Korinther 15: repetitive Wiedererkennungsfrage durch KERNAUSSAGE-Frage ersetzt.</x:v>
      </x:c>
      <x:c r="AK737" s="36" t="str">
        <x:v>FaithPath repo develop/v4 · data/stories.json · data/bibles/l1912/1CO.json · data/bibles/otb/1CO.json</x:v>
      </x:c>
      <x:c r="AL737" t="str">
        <x:f>IF(AND(AG737="FREIGEGEBEN",AI737="FREIGEGEBEN",Q737&lt;&gt;"",R737&lt;&gt;"",S737&lt;&gt;"",T737&lt;&gt;"",U737&lt;&gt;"",ISNUMBER(V737),X737&lt;&gt;"",Y737&lt;&gt;"",AA737="JA",AB737="JA",AC737="JA",AD737="JA",AE737="JA",AF737="JA"),"JA","NEIN")</x:f>
        <x:v>JA</x:v>
      </x:c>
    </x:row>
    <x:row r="738">
      <x:c r="A738" t="str">
        <x:v>FP-0997</x:v>
      </x:c>
      <x:c r="B738" t="str">
        <x:v>1CO</x:v>
      </x:c>
      <x:c r="C738" t="str">
        <x:v>1. Korinther</x:v>
      </x:c>
      <x:c r="D738" t="n">
        <x:v>15</x:v>
      </x:c>
      <x:c r="E738" t="n">
        <x:v>2</x:v>
      </x:c>
      <x:c r="F738" t="str">
        <x:v>1CO-015</x:v>
      </x:c>
      <x:c r="G738" t="n">
        <x:v>148</x:v>
      </x:c>
      <x:c r="H738" t="str">
        <x:v>CQ-A08</x:v>
      </x:c>
      <x:c r="I738" s="36" t="str">
        <x:v>Welche dieser Aussagen stammt aus 1. Korinther 15?</x:v>
      </x:c>
      <x:c r="J738" s="36" t="str"/>
      <x:c r="K738" s="36" t="str"/>
      <x:c r="L738" s="36" t="str">
        <x:v>REPO_VERIFIZIERT_FRAGEFORM</x:v>
      </x:c>
      <x:c r="M738" s="36" t="str">
        <x:v>ERSETZEN</x:v>
      </x:c>
      <x:c r="N738" s="36" t="str">
        <x:v>REPETITIVE_FRAGEFORM</x:v>
      </x:c>
      <x:c r="O738" s="36" t="str">
        <x:v>REINE_WIEDERERKENNUNG</x:v>
      </x:c>
      <x:c r="P738" s="36" t="str">
        <x:v>ZUSAMMENHANG</x:v>
      </x:c>
      <x:c r="Q738" s="36" t="str">
        <x:v>Welche Folgen hätte es nach Paulus, wenn es keine Auferstehung der Toten gäbe?</x:v>
      </x:c>
      <x:c r="R738" s="36" t="str">
        <x:v>Nur die Missionsreisen würden überflüssig.</x:v>
      </x:c>
      <x:c r="S738" s="36" t="str">
        <x:v>Der Glaube bliebe unverändert.</x:v>
      </x:c>
      <x:c r="T738" s="36" t="str">
        <x:v>Dann wäre Christus nicht auferweckt, die Verkündigung und der Glaube wären leer und die Glaubenden noch in ihren Sünden.</x:v>
      </x:c>
      <x:c r="U738" s="36" t="str">
        <x:v>Nur die Apostel wären betroffen.</x:v>
      </x:c>
      <x:c r="V738" s="36" t="n">
        <x:v>2</x:v>
      </x:c>
      <x:c r="W738" s="36" t="str">
        <x:f>CHOOSE(V738+1,R738,S738,T738,U738)</x:f>
        <x:v>Dann wäre Christus nicht auferweckt, die Verkündigung und der Glaube wären leer und die Glaubenden noch in ihren Sünden.</x:v>
      </x:c>
      <x:c r="X738" s="36" t="str">
        <x:v>1. Korinther 15,12–19</x:v>
      </x:c>
      <x:c r="Y738" s="36" t="str">
        <x:v>Paulus zeigt, dass die leibliche Auferstehung untrennbar mit dem christlichen Evangelium verbunden ist.</x:v>
      </x:c>
      <x:c r="Z738" s="36" t="str">
        <x:v>JA</x:v>
      </x:c>
      <x:c r="AA738" s="36" t="str">
        <x:v>JA</x:v>
      </x:c>
      <x:c r="AB738" s="36" t="str">
        <x:v>JA</x:v>
      </x:c>
      <x:c r="AC738" s="36" t="str">
        <x:v>JA</x:v>
      </x:c>
      <x:c r="AD738" s="36" t="str">
        <x:v>JA</x:v>
      </x:c>
      <x:c r="AE738" s="36" t="str">
        <x:v>JA</x:v>
      </x:c>
      <x:c r="AF738" s="36" t="str">
        <x:v>JA</x:v>
      </x:c>
      <x:c r="AG738" s="36" t="str">
        <x:v>FREIGEGEBEN</x:v>
      </x:c>
      <x:c r="AH738" s="36" t="str">
        <x:v>GPT-5.6 Sol · Buchprüfung 1. Korinther · L1912/OTB</x:v>
      </x:c>
      <x:c r="AI738" s="36" t="str">
        <x:v>FREIGEGEBEN</x:v>
      </x:c>
      <x:c r="AJ738" s="36" t="str">
        <x:v>1. Korinther 15: repetitive Wiedererkennungsfrage durch ZUSAMMENHANG-Frage ersetzt.</x:v>
      </x:c>
      <x:c r="AK738" s="36" t="str">
        <x:v>FaithPath repo develop/v4 · data/stories.json · data/bibles/l1912/1CO.json · data/bibles/otb/1CO.json</x:v>
      </x:c>
      <x:c r="AL738" t="str">
        <x:f>IF(AND(AG738="FREIGEGEBEN",AI738="FREIGEGEBEN",Q738&lt;&gt;"",R738&lt;&gt;"",S738&lt;&gt;"",T738&lt;&gt;"",U738&lt;&gt;"",ISNUMBER(V738),X738&lt;&gt;"",Y738&lt;&gt;"",AA738="JA",AB738="JA",AC738="JA",AD738="JA",AE738="JA",AF738="JA"),"JA","NEIN")</x:f>
        <x:v>JA</x:v>
      </x:c>
    </x:row>
    <x:row r="739">
      <x:c r="A739" t="str">
        <x:v>FP-0998</x:v>
      </x:c>
      <x:c r="B739" t="str">
        <x:v>1CO</x:v>
      </x:c>
      <x:c r="C739" t="str">
        <x:v>1. Korinther</x:v>
      </x:c>
      <x:c r="D739" t="n">
        <x:v>15</x:v>
      </x:c>
      <x:c r="E739" t="n">
        <x:v>3</x:v>
      </x:c>
      <x:c r="F739" t="str">
        <x:v>1CO-015</x:v>
      </x:c>
      <x:c r="G739" t="n">
        <x:v>148</x:v>
      </x:c>
      <x:c r="H739" t="str">
        <x:v>CQ-A08</x:v>
      </x:c>
      <x:c r="I739" s="36" t="str">
        <x:v>Welche dieser Aussagen stammt aus 1. Korinther 15?</x:v>
      </x:c>
      <x:c r="J739" s="36" t="str"/>
      <x:c r="K739" s="36" t="str"/>
      <x:c r="L739" s="36" t="str">
        <x:v>REPO_VERIFIZIERT_FRAGEFORM</x:v>
      </x:c>
      <x:c r="M739" s="36" t="str">
        <x:v>ERSETZEN</x:v>
      </x:c>
      <x:c r="N739" s="36" t="str">
        <x:v>REPETITIVE_FRAGEFORM</x:v>
      </x:c>
      <x:c r="O739" s="36" t="str">
        <x:v>REINE_WIEDERERKENNUNG</x:v>
      </x:c>
      <x:c r="P739" s="36" t="str">
        <x:v>KERNAUSSAGE</x:v>
      </x:c>
      <x:c r="Q739" s="36" t="str">
        <x:v>Was bedeutet es, dass Christus „Erstling“ der Entschlafenen ist?</x:v>
      </x:c>
      <x:c r="R739" s="36" t="str">
        <x:v>Nur Christus wird auferstehen.</x:v>
      </x:c>
      <x:c r="S739" s="36" t="str">
        <x:v>Er war der erste Mensch, der je wiederbelebt wurde.</x:v>
      </x:c>
      <x:c r="T739" s="36" t="str">
        <x:v>Auferstehung ist nur geistige Erinnerung.</x:v>
      </x:c>
      <x:c r="U739" s="36" t="str">
        <x:v>Seine Auferstehung eröffnet und garantiert die kommende Auferstehung derer, die zu ihm gehören.</x:v>
      </x:c>
      <x:c r="V739" s="36" t="n">
        <x:v>3</x:v>
      </x:c>
      <x:c r="W739" s="36" t="str">
        <x:f>CHOOSE(V739+1,R739,S739,T739,U739)</x:f>
        <x:v>Seine Auferstehung eröffnet und garantiert die kommende Auferstehung derer, die zu ihm gehören.</x:v>
      </x:c>
      <x:c r="X739" s="36" t="str">
        <x:v>1. Korinther 15,20–28</x:v>
      </x:c>
      <x:c r="Y739" s="36" t="str">
        <x:v>Paulus stellt Christus als Anfang einer kommenden Auferstehungsernte dar und ordnet alles auf Gottes endgültige Herrschaft hin.</x:v>
      </x:c>
      <x:c r="Z739" s="36" t="str">
        <x:v>JA</x:v>
      </x:c>
      <x:c r="AA739" s="36" t="str">
        <x:v>JA</x:v>
      </x:c>
      <x:c r="AB739" s="36" t="str">
        <x:v>JA</x:v>
      </x:c>
      <x:c r="AC739" s="36" t="str">
        <x:v>JA</x:v>
      </x:c>
      <x:c r="AD739" s="36" t="str">
        <x:v>JA</x:v>
      </x:c>
      <x:c r="AE739" s="36" t="str">
        <x:v>JA</x:v>
      </x:c>
      <x:c r="AF739" s="36" t="str">
        <x:v>JA</x:v>
      </x:c>
      <x:c r="AG739" s="36" t="str">
        <x:v>FREIGEGEBEN</x:v>
      </x:c>
      <x:c r="AH739" s="36" t="str">
        <x:v>GPT-5.6 Sol · Buchprüfung 1. Korinther · L1912/OTB</x:v>
      </x:c>
      <x:c r="AI739" s="36" t="str">
        <x:v>FREIGEGEBEN</x:v>
      </x:c>
      <x:c r="AJ739" s="36" t="str">
        <x:v>1. Korinther 15: repetitive Wiedererkennungsfrage durch KERNAUSSAGE-Frage ersetzt.</x:v>
      </x:c>
      <x:c r="AK739" s="36" t="str">
        <x:v>FaithPath repo develop/v4 · data/stories.json · data/bibles/l1912/1CO.json · data/bibles/otb/1CO.json</x:v>
      </x:c>
      <x:c r="AL739" t="str">
        <x:f>IF(AND(AG739="FREIGEGEBEN",AI739="FREIGEGEBEN",Q739&lt;&gt;"",R739&lt;&gt;"",S739&lt;&gt;"",T739&lt;&gt;"",U739&lt;&gt;"",ISNUMBER(V739),X739&lt;&gt;"",Y739&lt;&gt;"",AA739="JA",AB739="JA",AC739="JA",AD739="JA",AE739="JA",AF739="JA"),"JA","NEIN")</x:f>
        <x:v>JA</x:v>
      </x:c>
    </x:row>
    <x:row r="740">
      <x:c r="A740" t="str">
        <x:v>FP-0999</x:v>
      </x:c>
      <x:c r="B740" t="str">
        <x:v>1CO</x:v>
      </x:c>
      <x:c r="C740" t="str">
        <x:v>1. Korinther</x:v>
      </x:c>
      <x:c r="D740" t="n">
        <x:v>15</x:v>
      </x:c>
      <x:c r="E740" t="n">
        <x:v>4</x:v>
      </x:c>
      <x:c r="F740" t="str">
        <x:v>1CO-015</x:v>
      </x:c>
      <x:c r="G740" t="n">
        <x:v>148</x:v>
      </x:c>
      <x:c r="H740" t="str">
        <x:v>CQ-A08</x:v>
      </x:c>
      <x:c r="I740" s="36" t="str">
        <x:v>Welche dieser Aussagen stammt aus 1. Korinther 15?</x:v>
      </x:c>
      <x:c r="J740" s="36" t="str"/>
      <x:c r="K740" s="36" t="str"/>
      <x:c r="L740" s="36" t="str">
        <x:v>REPO_VERIFIZIERT_FRAGEFORM</x:v>
      </x:c>
      <x:c r="M740" s="36" t="str">
        <x:v>ERSETZEN</x:v>
      </x:c>
      <x:c r="N740" s="36" t="str">
        <x:v>REPETITIVE_FRAGEFORM</x:v>
      </x:c>
      <x:c r="O740" s="36" t="str">
        <x:v>REINE_WIEDERERKENNUNG</x:v>
      </x:c>
      <x:c r="P740" s="36" t="str">
        <x:v>ZUSAMMENHANG</x:v>
      </x:c>
      <x:c r="Q740" s="36" t="str">
        <x:v>Mit welchem Bild erklärt Paulus, dass der Auferstehungsleib zugleich derselbe Mensch und doch verwandelt sein wird?</x:v>
      </x:c>
      <x:c r="R740" s="36" t="str">
        <x:v>Mit einem gesäten Korn, aus dem Gott einen neuen Leib wachsen lässt.</x:v>
      </x:c>
      <x:c r="S740" s="36" t="str">
        <x:v>Mit einem Haus, das nur neu gestrichen wird.</x:v>
      </x:c>
      <x:c r="T740" s="36" t="str">
        <x:v>Mit einem Kleid, das unverändert bleibt.</x:v>
      </x:c>
      <x:c r="U740" s="36" t="str">
        <x:v>Mit einem Schiff, das denselben Hafen verlässt.</x:v>
      </x:c>
      <x:c r="V740" s="36" t="n">
        <x:v>0</x:v>
      </x:c>
      <x:c r="W740" s="36" t="str">
        <x:f>CHOOSE(V740+1,R740,S740,T740,U740)</x:f>
        <x:v>Mit einem gesäten Korn, aus dem Gott einen neuen Leib wachsen lässt.</x:v>
      </x:c>
      <x:c r="X740" s="36" t="str">
        <x:v>1. Korinther 15,35–44</x:v>
      </x:c>
      <x:c r="Y740" s="36" t="str">
        <x:v>Das Saatbild verdeutlicht Kontinuität und zugleich tiefgreifende Verwandlung zwischen Vergänglichkeit und Auferstehungsleib.</x:v>
      </x:c>
      <x:c r="Z740" s="36" t="str">
        <x:v>JA</x:v>
      </x:c>
      <x:c r="AA740" s="36" t="str">
        <x:v>JA</x:v>
      </x:c>
      <x:c r="AB740" s="36" t="str">
        <x:v>JA</x:v>
      </x:c>
      <x:c r="AC740" s="36" t="str">
        <x:v>JA</x:v>
      </x:c>
      <x:c r="AD740" s="36" t="str">
        <x:v>JA</x:v>
      </x:c>
      <x:c r="AE740" s="36" t="str">
        <x:v>JA</x:v>
      </x:c>
      <x:c r="AF740" s="36" t="str">
        <x:v>JA</x:v>
      </x:c>
      <x:c r="AG740" s="36" t="str">
        <x:v>FREIGEGEBEN</x:v>
      </x:c>
      <x:c r="AH740" s="36" t="str">
        <x:v>GPT-5.6 Sol · Buchprüfung 1. Korinther · L1912/OTB</x:v>
      </x:c>
      <x:c r="AI740" s="36" t="str">
        <x:v>FREIGEGEBEN</x:v>
      </x:c>
      <x:c r="AJ740" s="36" t="str">
        <x:v>1. Korinther 15: repetitive Wiedererkennungsfrage durch ZUSAMMENHANG-Frage ersetzt.</x:v>
      </x:c>
      <x:c r="AK740" s="36" t="str">
        <x:v>FaithPath repo develop/v4 · data/stories.json · data/bibles/l1912/1CO.json · data/bibles/otb/1CO.json</x:v>
      </x:c>
      <x:c r="AL740" t="str">
        <x:f>IF(AND(AG740="FREIGEGEBEN",AI740="FREIGEGEBEN",Q740&lt;&gt;"",R740&lt;&gt;"",S740&lt;&gt;"",T740&lt;&gt;"",U740&lt;&gt;"",ISNUMBER(V740),X740&lt;&gt;"",Y740&lt;&gt;"",AA740="JA",AB740="JA",AC740="JA",AD740="JA",AE740="JA",AF740="JA"),"JA","NEIN")</x:f>
        <x:v>JA</x:v>
      </x:c>
    </x:row>
    <x:row r="741">
      <x:c r="A741" t="str">
        <x:v>FP-1000</x:v>
      </x:c>
      <x:c r="B741" t="str">
        <x:v>1CO</x:v>
      </x:c>
      <x:c r="C741" t="str">
        <x:v>1. Korinther</x:v>
      </x:c>
      <x:c r="D741" t="n">
        <x:v>15</x:v>
      </x:c>
      <x:c r="E741" t="n">
        <x:v>5</x:v>
      </x:c>
      <x:c r="F741" t="str">
        <x:v>1CO-015</x:v>
      </x:c>
      <x:c r="G741" t="n">
        <x:v>148</x:v>
      </x:c>
      <x:c r="H741" t="str">
        <x:v>CQ-A08</x:v>
      </x:c>
      <x:c r="I741" s="36" t="str">
        <x:v>Welche dieser Aussagen stammt aus 1. Korinther 15?</x:v>
      </x:c>
      <x:c r="J741" s="36" t="str"/>
      <x:c r="K741" s="36" t="str"/>
      <x:c r="L741" s="36" t="str">
        <x:v>REPO_VERIFIZIERT_FRAGEFORM</x:v>
      </x:c>
      <x:c r="M741" s="36" t="str">
        <x:v>ERSETZEN</x:v>
      </x:c>
      <x:c r="N741" s="36" t="str">
        <x:v>REPETITIVE_FRAGEFORM</x:v>
      </x:c>
      <x:c r="O741" s="36" t="str">
        <x:v>REINE_WIEDERERKENNUNG</x:v>
      </x:c>
      <x:c r="P741" s="36" t="str">
        <x:v>KERNAUSSAGE</x:v>
      </x:c>
      <x:c r="Q741" s="36" t="str">
        <x:v>Welche Hoffnung verbindet Paulus mit der letzten Posaune?</x:v>
      </x:c>
      <x:c r="R741" s="36" t="str">
        <x:v>Nur die Apostel werden verwandelt.</x:v>
      </x:c>
      <x:c r="S741" s="36" t="str">
        <x:v>Die Toten werden unvergänglich auferweckt, die Lebenden verwandelt und der Tod wird im Sieg verschlungen.</x:v>
      </x:c>
      <x:c r="T741" s="36" t="str">
        <x:v>Der Tod bleibt für immer Sieger.</x:v>
      </x:c>
      <x:c r="U741" s="36" t="str">
        <x:v>Auferstehung betrifft nur die Seele.</x:v>
      </x:c>
      <x:c r="V741" s="36" t="n">
        <x:v>1</x:v>
      </x:c>
      <x:c r="W741" s="36" t="str">
        <x:f>CHOOSE(V741+1,R741,S741,T741,U741)</x:f>
        <x:v>Die Toten werden unvergänglich auferweckt, die Lebenden verwandelt und der Tod wird im Sieg verschlungen.</x:v>
      </x:c>
      <x:c r="X741" s="36" t="str">
        <x:v>1. Korinther 15,51–58</x:v>
      </x:c>
      <x:c r="Y741" s="36" t="str">
        <x:v>Paulus beschreibt die endgültige Verwandlung und schließt mit der Aufforderung, standhaft im Werk des Herrn zu bleiben.</x:v>
      </x:c>
      <x:c r="Z741" s="36" t="str">
        <x:v>JA</x:v>
      </x:c>
      <x:c r="AA741" s="36" t="str">
        <x:v>JA</x:v>
      </x:c>
      <x:c r="AB741" s="36" t="str">
        <x:v>JA</x:v>
      </x:c>
      <x:c r="AC741" s="36" t="str">
        <x:v>JA</x:v>
      </x:c>
      <x:c r="AD741" s="36" t="str">
        <x:v>JA</x:v>
      </x:c>
      <x:c r="AE741" s="36" t="str">
        <x:v>JA</x:v>
      </x:c>
      <x:c r="AF741" s="36" t="str">
        <x:v>JA</x:v>
      </x:c>
      <x:c r="AG741" s="36" t="str">
        <x:v>FREIGEGEBEN</x:v>
      </x:c>
      <x:c r="AH741" s="36" t="str">
        <x:v>GPT-5.6 Sol · Buchprüfung 1. Korinther · L1912/OTB</x:v>
      </x:c>
      <x:c r="AI741" s="36" t="str">
        <x:v>FREIGEGEBEN</x:v>
      </x:c>
      <x:c r="AJ741" s="36" t="str">
        <x:v>1. Korinther 15: repetitive Wiedererkennungsfrage durch KERNAUSSAGE-Frage ersetzt.</x:v>
      </x:c>
      <x:c r="AK741" s="36" t="str">
        <x:v>FaithPath repo develop/v4 · data/stories.json · data/bibles/l1912/1CO.json · data/bibles/otb/1CO.json</x:v>
      </x:c>
      <x:c r="AL741" t="str">
        <x:f>IF(AND(AG741="FREIGEGEBEN",AI741="FREIGEGEBEN",Q741&lt;&gt;"",R741&lt;&gt;"",S741&lt;&gt;"",T741&lt;&gt;"",U741&lt;&gt;"",ISNUMBER(V741),X741&lt;&gt;"",Y741&lt;&gt;"",AA741="JA",AB741="JA",AC741="JA",AD741="JA",AE741="JA",AF741="JA"),"JA","NEIN")</x:f>
        <x:v>JA</x:v>
      </x:c>
    </x:row>
    <x:row r="742">
      <x:c r="A742" t="str">
        <x:v>FP-1001</x:v>
      </x:c>
      <x:c r="B742" t="str">
        <x:v>1CO</x:v>
      </x:c>
      <x:c r="C742" t="str">
        <x:v>1. Korinther</x:v>
      </x:c>
      <x:c r="D742" t="n">
        <x:v>16</x:v>
      </x:c>
      <x:c r="E742" t="n">
        <x:v>1</x:v>
      </x:c>
      <x:c r="F742" t="str">
        <x:v>1CO-016</x:v>
      </x:c>
      <x:c r="G742" t="n">
        <x:v>149</x:v>
      </x:c>
      <x:c r="H742" t="str">
        <x:v>CQ-A08</x:v>
      </x:c>
      <x:c r="I742" s="36" t="str">
        <x:v>Welche dieser Aussagen stammt aus 1. Korinther 16?</x:v>
      </x:c>
      <x:c r="J742" s="36" t="str"/>
      <x:c r="K742" s="36" t="str"/>
      <x:c r="L742" s="36" t="str">
        <x:v>REPO_VERIFIZIERT_FRAGEFORM</x:v>
      </x:c>
      <x:c r="M742" s="36" t="str">
        <x:v>ERSETZEN</x:v>
      </x:c>
      <x:c r="N742" s="36" t="str">
        <x:v>REPETITIVE_FRAGEFORM</x:v>
      </x:c>
      <x:c r="O742" s="36" t="str">
        <x:v>REINE_WIEDERERKENNUNG</x:v>
      </x:c>
      <x:c r="P742" s="36" t="str">
        <x:v>GESCHEHEN</x:v>
      </x:c>
      <x:c r="Q742" s="36" t="str">
        <x:v>Wie soll die Sammlung für die Gläubigen organisiert werden?</x:v>
      </x:c>
      <x:c r="R742" s="36" t="str">
        <x:v>Nur Paulus soll Geld sammeln.</x:v>
      </x:c>
      <x:c r="S742" s="36" t="str">
        <x:v>Die Sammlung soll erst bei Paulus' Ankunft beginnen.</x:v>
      </x:c>
      <x:c r="T742" s="36" t="str">
        <x:v>Am ersten Tag jeder Woche soll jeder entsprechend seinem Gelingen etwas zurücklegen.</x:v>
      </x:c>
      <x:c r="U742" s="36" t="str">
        <x:v>Nur wohlhabende Menschen dürfen beitragen.</x:v>
      </x:c>
      <x:c r="V742" s="36" t="n">
        <x:v>2</x:v>
      </x:c>
      <x:c r="W742" s="36" t="str">
        <x:f>CHOOSE(V742+1,R742,S742,T742,U742)</x:f>
        <x:v>Am ersten Tag jeder Woche soll jeder entsprechend seinem Gelingen etwas zurücklegen.</x:v>
      </x:c>
      <x:c r="X742" s="36" t="str">
        <x:v>1. Korinther 16,1–4</x:v>
      </x:c>
      <x:c r="Y742" s="36" t="str">
        <x:v>Paulus empfiehlt regelmäßiges, vorbereitetes Zurücklegen, damit die Sammlung bei seiner Ankunft nicht erst beginnen muss.</x:v>
      </x:c>
      <x:c r="Z742" s="36" t="str">
        <x:v>JA</x:v>
      </x:c>
      <x:c r="AA742" s="36" t="str">
        <x:v>JA</x:v>
      </x:c>
      <x:c r="AB742" s="36" t="str">
        <x:v>JA</x:v>
      </x:c>
      <x:c r="AC742" s="36" t="str">
        <x:v>JA</x:v>
      </x:c>
      <x:c r="AD742" s="36" t="str">
        <x:v>JA</x:v>
      </x:c>
      <x:c r="AE742" s="36" t="str">
        <x:v>JA</x:v>
      </x:c>
      <x:c r="AF742" s="36" t="str">
        <x:v>JA</x:v>
      </x:c>
      <x:c r="AG742" s="36" t="str">
        <x:v>FREIGEGEBEN</x:v>
      </x:c>
      <x:c r="AH742" s="36" t="str">
        <x:v>GPT-5.6 Sol · Buchprüfung 1. Korinther · L1912/OTB</x:v>
      </x:c>
      <x:c r="AI742" s="36" t="str">
        <x:v>FREIGEGEBEN</x:v>
      </x:c>
      <x:c r="AJ742" s="36" t="str">
        <x:v>1. Korinther 16: repetitive Wiedererkennungsfrage durch GESCHEHEN-Frage ersetzt.</x:v>
      </x:c>
      <x:c r="AK742" s="36" t="str">
        <x:v>FaithPath repo develop/v4 · data/stories.json · data/bibles/l1912/1CO.json · data/bibles/otb/1CO.json</x:v>
      </x:c>
      <x:c r="AL742" t="str">
        <x:f>IF(AND(AG742="FREIGEGEBEN",AI742="FREIGEGEBEN",Q742&lt;&gt;"",R742&lt;&gt;"",S742&lt;&gt;"",T742&lt;&gt;"",U742&lt;&gt;"",ISNUMBER(V742),X742&lt;&gt;"",Y742&lt;&gt;"",AA742="JA",AB742="JA",AC742="JA",AD742="JA",AE742="JA",AF742="JA"),"JA","NEIN")</x:f>
        <x:v>JA</x:v>
      </x:c>
    </x:row>
    <x:row r="743">
      <x:c r="A743" t="str">
        <x:v>FP-1002</x:v>
      </x:c>
      <x:c r="B743" t="str">
        <x:v>1CO</x:v>
      </x:c>
      <x:c r="C743" t="str">
        <x:v>1. Korinther</x:v>
      </x:c>
      <x:c r="D743" t="n">
        <x:v>16</x:v>
      </x:c>
      <x:c r="E743" t="n">
        <x:v>2</x:v>
      </x:c>
      <x:c r="F743" t="str">
        <x:v>1CO-016</x:v>
      </x:c>
      <x:c r="G743" t="n">
        <x:v>149</x:v>
      </x:c>
      <x:c r="H743" t="str">
        <x:v>CQ-A08</x:v>
      </x:c>
      <x:c r="I743" s="36" t="str">
        <x:v>Welche dieser Aussagen stammt aus 1. Korinther 16?</x:v>
      </x:c>
      <x:c r="J743" s="36" t="str"/>
      <x:c r="K743" s="36" t="str"/>
      <x:c r="L743" s="36" t="str">
        <x:v>REPO_VERIFIZIERT_FRAGEFORM</x:v>
      </x:c>
      <x:c r="M743" s="36" t="str">
        <x:v>ERSETZEN</x:v>
      </x:c>
      <x:c r="N743" s="36" t="str">
        <x:v>REPETITIVE_FRAGEFORM</x:v>
      </x:c>
      <x:c r="O743" s="36" t="str">
        <x:v>REINE_WIEDERERKENNUNG</x:v>
      </x:c>
      <x:c r="P743" s="36" t="str">
        <x:v>ZUSAMMENHANG</x:v>
      </x:c>
      <x:c r="Q743" s="36" t="str">
        <x:v>Warum möchte Paulus trotz vieler Gegner noch eine Zeit in Ephesus bleiben?</x:v>
      </x:c>
      <x:c r="R743" s="36" t="str">
        <x:v>Weil es dort keine Schwierigkeiten gibt.</x:v>
      </x:c>
      <x:c r="S743" s="36" t="str">
        <x:v>Weil er seine Missionsarbeit beendet hat.</x:v>
      </x:c>
      <x:c r="T743" s="36" t="str">
        <x:v>Weil die Korinther ihn nicht sehen sollen.</x:v>
      </x:c>
      <x:c r="U743" s="36" t="str">
        <x:v>Weil sich ihm dort eine große und wirksame Tür zum Dienst geöffnet hat.</x:v>
      </x:c>
      <x:c r="V743" s="36" t="n">
        <x:v>3</x:v>
      </x:c>
      <x:c r="W743" s="36" t="str">
        <x:f>CHOOSE(V743+1,R743,S743,T743,U743)</x:f>
        <x:v>Weil sich ihm dort eine große und wirksame Tür zum Dienst geöffnet hat.</x:v>
      </x:c>
      <x:c r="X743" s="36" t="str">
        <x:v>1. Korinther 16,5–9</x:v>
      </x:c>
      <x:c r="Y743" s="36" t="str">
        <x:v>Paulus verbindet eine große Gelegenheit zum Dienst ausdrücklich mit gleichzeitigem Widerstand.</x:v>
      </x:c>
      <x:c r="Z743" s="36" t="str">
        <x:v>JA</x:v>
      </x:c>
      <x:c r="AA743" s="36" t="str">
        <x:v>JA</x:v>
      </x:c>
      <x:c r="AB743" s="36" t="str">
        <x:v>JA</x:v>
      </x:c>
      <x:c r="AC743" s="36" t="str">
        <x:v>JA</x:v>
      </x:c>
      <x:c r="AD743" s="36" t="str">
        <x:v>JA</x:v>
      </x:c>
      <x:c r="AE743" s="36" t="str">
        <x:v>JA</x:v>
      </x:c>
      <x:c r="AF743" s="36" t="str">
        <x:v>JA</x:v>
      </x:c>
      <x:c r="AG743" s="36" t="str">
        <x:v>FREIGEGEBEN</x:v>
      </x:c>
      <x:c r="AH743" s="36" t="str">
        <x:v>GPT-5.6 Sol · Buchprüfung 1. Korinther · L1912/OTB</x:v>
      </x:c>
      <x:c r="AI743" s="36" t="str">
        <x:v>FREIGEGEBEN</x:v>
      </x:c>
      <x:c r="AJ743" s="36" t="str">
        <x:v>1. Korinther 16: repetitive Wiedererkennungsfrage durch ZUSAMMENHANG-Frage ersetzt.</x:v>
      </x:c>
      <x:c r="AK743" s="36" t="str">
        <x:v>FaithPath repo develop/v4 · data/stories.json · data/bibles/l1912/1CO.json · data/bibles/otb/1CO.json</x:v>
      </x:c>
      <x:c r="AL743" t="str">
        <x:f>IF(AND(AG743="FREIGEGEBEN",AI743="FREIGEGEBEN",Q743&lt;&gt;"",R743&lt;&gt;"",S743&lt;&gt;"",T743&lt;&gt;"",U743&lt;&gt;"",ISNUMBER(V743),X743&lt;&gt;"",Y743&lt;&gt;"",AA743="JA",AB743="JA",AC743="JA",AD743="JA",AE743="JA",AF743="JA"),"JA","NEIN")</x:f>
        <x:v>JA</x:v>
      </x:c>
    </x:row>
    <x:row r="744">
      <x:c r="A744" t="str">
        <x:v>FP-1003</x:v>
      </x:c>
      <x:c r="B744" t="str">
        <x:v>1CO</x:v>
      </x:c>
      <x:c r="C744" t="str">
        <x:v>1. Korinther</x:v>
      </x:c>
      <x:c r="D744" t="n">
        <x:v>16</x:v>
      </x:c>
      <x:c r="E744" t="n">
        <x:v>3</x:v>
      </x:c>
      <x:c r="F744" t="str">
        <x:v>1CO-016</x:v>
      </x:c>
      <x:c r="G744" t="n">
        <x:v>149</x:v>
      </x:c>
      <x:c r="H744" t="str">
        <x:v>CQ-A08</x:v>
      </x:c>
      <x:c r="I744" s="36" t="str">
        <x:v>Welche dieser Aussagen stammt aus 1. Korinther 16?</x:v>
      </x:c>
      <x:c r="J744" s="36" t="str"/>
      <x:c r="K744" s="36" t="str"/>
      <x:c r="L744" s="36" t="str">
        <x:v>REPO_VERIFIZIERT_FRAGEFORM</x:v>
      </x:c>
      <x:c r="M744" s="36" t="str">
        <x:v>ERSETZEN</x:v>
      </x:c>
      <x:c r="N744" s="36" t="str">
        <x:v>REPETITIVE_FRAGEFORM</x:v>
      </x:c>
      <x:c r="O744" s="36" t="str">
        <x:v>REINE_WIEDERERKENNUNG</x:v>
      </x:c>
      <x:c r="P744" s="36" t="str">
        <x:v>PERSON_AUSSAGE</x:v>
      </x:c>
      <x:c r="Q744" s="36" t="str">
        <x:v>Wie sollen die Korinther Timotheus behandeln, wenn er zu ihnen kommt?</x:v>
      </x:c>
      <x:c r="R744" s="36" t="str">
        <x:v>Sie sollen dafür sorgen, dass er ohne Furcht bei ihnen sein kann und ihn nicht verachten.</x:v>
      </x:c>
      <x:c r="S744" s="36" t="str">
        <x:v>Sie sollen ihn sofort zurückschicken.</x:v>
      </x:c>
      <x:c r="T744" s="36" t="str">
        <x:v>Sie sollen ihn nur sprechen lassen, wenn Paulus anwesend ist.</x:v>
      </x:c>
      <x:c r="U744" s="36" t="str">
        <x:v>Sie sollen ihn wegen seines Alters ignorieren.</x:v>
      </x:c>
      <x:c r="V744" s="36" t="n">
        <x:v>0</x:v>
      </x:c>
      <x:c r="W744" s="36" t="str">
        <x:f>CHOOSE(V744+1,R744,S744,T744,U744)</x:f>
        <x:v>Sie sollen dafür sorgen, dass er ohne Furcht bei ihnen sein kann und ihn nicht verachten.</x:v>
      </x:c>
      <x:c r="X744" s="36" t="str">
        <x:v>1. Korinther 16,10–12</x:v>
      </x:c>
      <x:c r="Y744" s="36" t="str">
        <x:v>Paulus bittet um respektvolle Aufnahme Timotheus, der wie er am Werk des Herrn arbeitet.</x:v>
      </x:c>
      <x:c r="Z744" s="36" t="str">
        <x:v>JA</x:v>
      </x:c>
      <x:c r="AA744" s="36" t="str">
        <x:v>JA</x:v>
      </x:c>
      <x:c r="AB744" s="36" t="str">
        <x:v>JA</x:v>
      </x:c>
      <x:c r="AC744" s="36" t="str">
        <x:v>JA</x:v>
      </x:c>
      <x:c r="AD744" s="36" t="str">
        <x:v>JA</x:v>
      </x:c>
      <x:c r="AE744" s="36" t="str">
        <x:v>JA</x:v>
      </x:c>
      <x:c r="AF744" s="36" t="str">
        <x:v>JA</x:v>
      </x:c>
      <x:c r="AG744" s="36" t="str">
        <x:v>FREIGEGEBEN</x:v>
      </x:c>
      <x:c r="AH744" s="36" t="str">
        <x:v>GPT-5.6 Sol · Buchprüfung 1. Korinther · L1912/OTB</x:v>
      </x:c>
      <x:c r="AI744" s="36" t="str">
        <x:v>FREIGEGEBEN</x:v>
      </x:c>
      <x:c r="AJ744" s="36" t="str">
        <x:v>1. Korinther 16: repetitive Wiedererkennungsfrage durch PERSON_AUSSAGE-Frage ersetzt.</x:v>
      </x:c>
      <x:c r="AK744" s="36" t="str">
        <x:v>FaithPath repo develop/v4 · data/stories.json · data/bibles/l1912/1CO.json · data/bibles/otb/1CO.json</x:v>
      </x:c>
      <x:c r="AL744" t="str">
        <x:f>IF(AND(AG744="FREIGEGEBEN",AI744="FREIGEGEBEN",Q744&lt;&gt;"",R744&lt;&gt;"",S744&lt;&gt;"",T744&lt;&gt;"",U744&lt;&gt;"",ISNUMBER(V744),X744&lt;&gt;"",Y744&lt;&gt;"",AA744="JA",AB744="JA",AC744="JA",AD744="JA",AE744="JA",AF744="JA"),"JA","NEIN")</x:f>
        <x:v>JA</x:v>
      </x:c>
    </x:row>
    <x:row r="745">
      <x:c r="A745" t="str">
        <x:v>FP-1004</x:v>
      </x:c>
      <x:c r="B745" t="str">
        <x:v>1CO</x:v>
      </x:c>
      <x:c r="C745" t="str">
        <x:v>1. Korinther</x:v>
      </x:c>
      <x:c r="D745" t="n">
        <x:v>16</x:v>
      </x:c>
      <x:c r="E745" t="n">
        <x:v>4</x:v>
      </x:c>
      <x:c r="F745" t="str">
        <x:v>1CO-016</x:v>
      </x:c>
      <x:c r="G745" t="n">
        <x:v>149</x:v>
      </x:c>
      <x:c r="H745" t="str">
        <x:v>CQ-A08</x:v>
      </x:c>
      <x:c r="I745" s="36" t="str">
        <x:v>Welche dieser Aussagen stammt aus 1. Korinther 16?</x:v>
      </x:c>
      <x:c r="J745" s="36" t="str"/>
      <x:c r="K745" s="36" t="str"/>
      <x:c r="L745" s="36" t="str">
        <x:v>REPO_VERIFIZIERT_FRAGEFORM</x:v>
      </x:c>
      <x:c r="M745" s="36" t="str">
        <x:v>ERSETZEN</x:v>
      </x:c>
      <x:c r="N745" s="36" t="str">
        <x:v>REPETITIVE_FRAGEFORM</x:v>
      </x:c>
      <x:c r="O745" s="36" t="str">
        <x:v>REINE_WIEDERERKENNUNG</x:v>
      </x:c>
      <x:c r="P745" s="36" t="str">
        <x:v>TEXTGENAUIGKEIT</x:v>
      </x:c>
      <x:c r="Q745" s="36" t="str">
        <x:v>Welche kurze Aufforderung fasst Paulus in 1. Korinther 16,13–14 zusammen?</x:v>
      </x:c>
      <x:c r="R745" s="36" t="str">
        <x:v>Verlasst Korinth und wartet schweigend.</x:v>
      </x:c>
      <x:c r="S745" s="36" t="str">
        <x:v>Wacht, steht fest im Glauben, seid mutig und stark, und lasst alles in Liebe geschehen.</x:v>
      </x:c>
      <x:c r="T745" s="36" t="str">
        <x:v>Streitet für eure Rechte und gebt niemals nach.</x:v>
      </x:c>
      <x:c r="U745" s="36" t="str">
        <x:v>Tut nur das, was euch persönlich nützt.</x:v>
      </x:c>
      <x:c r="V745" s="36" t="n">
        <x:v>1</x:v>
      </x:c>
      <x:c r="W745" s="36" t="str">
        <x:f>CHOOSE(V745+1,R745,S745,T745,U745)</x:f>
        <x:v>Wacht, steht fest im Glauben, seid mutig und stark, und lasst alles in Liebe geschehen.</x:v>
      </x:c>
      <x:c r="X745" s="36" t="str">
        <x:v>1. Korinther 16,13–14</x:v>
      </x:c>
      <x:c r="Y745" s="36" t="str">
        <x:v>Paulus verbindet Wachsamkeit und Standhaftigkeit ausdrücklich mit Liebe.</x:v>
      </x:c>
      <x:c r="Z745" s="36" t="str">
        <x:v>JA</x:v>
      </x:c>
      <x:c r="AA745" s="36" t="str">
        <x:v>JA</x:v>
      </x:c>
      <x:c r="AB745" s="36" t="str">
        <x:v>JA</x:v>
      </x:c>
      <x:c r="AC745" s="36" t="str">
        <x:v>JA</x:v>
      </x:c>
      <x:c r="AD745" s="36" t="str">
        <x:v>JA</x:v>
      </x:c>
      <x:c r="AE745" s="36" t="str">
        <x:v>JA</x:v>
      </x:c>
      <x:c r="AF745" s="36" t="str">
        <x:v>JA</x:v>
      </x:c>
      <x:c r="AG745" s="36" t="str">
        <x:v>FREIGEGEBEN</x:v>
      </x:c>
      <x:c r="AH745" s="36" t="str">
        <x:v>GPT-5.6 Sol · Buchprüfung 1. Korinther · L1912/OTB</x:v>
      </x:c>
      <x:c r="AI745" s="36" t="str">
        <x:v>FREIGEGEBEN</x:v>
      </x:c>
      <x:c r="AJ745" s="36" t="str">
        <x:v>1. Korinther 16: repetitive Wiedererkennungsfrage durch TEXTGENAUIGKEIT-Frage ersetzt.</x:v>
      </x:c>
      <x:c r="AK745" s="36" t="str">
        <x:v>FaithPath repo develop/v4 · data/stories.json · data/bibles/l1912/1CO.json · data/bibles/otb/1CO.json</x:v>
      </x:c>
      <x:c r="AL745" t="str">
        <x:f>IF(AND(AG745="FREIGEGEBEN",AI745="FREIGEGEBEN",Q745&lt;&gt;"",R745&lt;&gt;"",S745&lt;&gt;"",T745&lt;&gt;"",U745&lt;&gt;"",ISNUMBER(V745),X745&lt;&gt;"",Y745&lt;&gt;"",AA745="JA",AB745="JA",AC745="JA",AD745="JA",AE745="JA",AF745="JA"),"JA","NEIN")</x:f>
        <x:v>JA</x:v>
      </x:c>
    </x:row>
    <x:row r="746">
      <x:c r="A746" t="str">
        <x:v>FP-1005</x:v>
      </x:c>
      <x:c r="B746" t="str">
        <x:v>1CO</x:v>
      </x:c>
      <x:c r="C746" t="str">
        <x:v>1. Korinther</x:v>
      </x:c>
      <x:c r="D746" t="n">
        <x:v>16</x:v>
      </x:c>
      <x:c r="E746" t="n">
        <x:v>5</x:v>
      </x:c>
      <x:c r="F746" t="str">
        <x:v>1CO-016</x:v>
      </x:c>
      <x:c r="G746" t="n">
        <x:v>149</x:v>
      </x:c>
      <x:c r="H746" t="str">
        <x:v>CQ-A08</x:v>
      </x:c>
      <x:c r="I746" s="36" t="str">
        <x:v>Welche dieser Aussagen stammt aus 1. Korinther 16?</x:v>
      </x:c>
      <x:c r="J746" s="36" t="str"/>
      <x:c r="K746" s="36" t="str"/>
      <x:c r="L746" s="36" t="str">
        <x:v>REPO_VERIFIZIERT_FRAGEFORM</x:v>
      </x:c>
      <x:c r="M746" s="36" t="str">
        <x:v>ERSETZEN</x:v>
      </x:c>
      <x:c r="N746" s="36" t="str">
        <x:v>REPETITIVE_FRAGEFORM</x:v>
      </x:c>
      <x:c r="O746" s="36" t="str">
        <x:v>REINE_WIEDERERKENNUNG</x:v>
      </x:c>
      <x:c r="P746" s="36" t="str">
        <x:v>KERNAUSSAGE</x:v>
      </x:c>
      <x:c r="Q746" s="36" t="str">
        <x:v>Welche Haltung würdigt Paulus am Haus des Stephanas und in seinen Schlussgrüßen?</x:v>
      </x:c>
      <x:c r="R746" s="36" t="str">
        <x:v>Rückzug aus jeder Gemeindearbeit.</x:v>
      </x:c>
      <x:c r="S746" s="36" t="str">
        <x:v>Überlegenheit einer einzelnen Familie.</x:v>
      </x:c>
      <x:c r="T746" s="36" t="str">
        <x:v>Hingabe an den Dienst für die Heiligen, Anerkennung treuer Mitarbeiter und Liebe im Herrn.</x:v>
      </x:c>
      <x:c r="U746" s="36" t="str">
        <x:v>Politischen Einfluss in Korinth.</x:v>
      </x:c>
      <x:c r="V746" s="36" t="n">
        <x:v>2</x:v>
      </x:c>
      <x:c r="W746" s="36" t="str">
        <x:f>CHOOSE(V746+1,R746,S746,T746,U746)</x:f>
        <x:v>Hingabe an den Dienst für die Heiligen, Anerkennung treuer Mitarbeiter und Liebe im Herrn.</x:v>
      </x:c>
      <x:c r="X746" s="36" t="str">
        <x:v>1. Korinther 16,15–24</x:v>
      </x:c>
      <x:c r="Y746" s="36" t="str">
        <x:v>Paulus hebt den hingebungsvollen Dienst des Hauses Stephanas hervor, nennt Mitarbeiter und beendet den Brief mit persönlicher Liebe in Christus.</x:v>
      </x:c>
      <x:c r="Z746" s="36" t="str">
        <x:v>JA</x:v>
      </x:c>
      <x:c r="AA746" s="36" t="str">
        <x:v>JA</x:v>
      </x:c>
      <x:c r="AB746" s="36" t="str">
        <x:v>JA</x:v>
      </x:c>
      <x:c r="AC746" s="36" t="str">
        <x:v>JA</x:v>
      </x:c>
      <x:c r="AD746" s="36" t="str">
        <x:v>JA</x:v>
      </x:c>
      <x:c r="AE746" s="36" t="str">
        <x:v>JA</x:v>
      </x:c>
      <x:c r="AF746" s="36" t="str">
        <x:v>JA</x:v>
      </x:c>
      <x:c r="AG746" s="36" t="str">
        <x:v>FREIGEGEBEN</x:v>
      </x:c>
      <x:c r="AH746" s="36" t="str">
        <x:v>GPT-5.6 Sol · Buchprüfung 1. Korinther · L1912/OTB</x:v>
      </x:c>
      <x:c r="AI746" s="36" t="str">
        <x:v>FREIGEGEBEN</x:v>
      </x:c>
      <x:c r="AJ746" s="36" t="str">
        <x:v>1. Korinther 16: repetitive Wiedererkennungsfrage durch KERNAUSSAGE-Frage ersetzt.</x:v>
      </x:c>
      <x:c r="AK746" s="36" t="str">
        <x:v>FaithPath repo develop/v4 · data/stories.json · data/bibles/l1912/1CO.json · data/bibles/otb/1CO.json</x:v>
      </x:c>
      <x:c r="AL746" t="str">
        <x:f>IF(AND(AG746="FREIGEGEBEN",AI746="FREIGEGEBEN",Q746&lt;&gt;"",R746&lt;&gt;"",S746&lt;&gt;"",T746&lt;&gt;"",U746&lt;&gt;"",ISNUMBER(V746),X746&lt;&gt;"",Y746&lt;&gt;"",AA746="JA",AB746="JA",AC746="JA",AD746="JA",AE746="JA",AF746="JA"),"JA","NEIN")</x:f>
        <x:v>JA</x:v>
      </x:c>
    </x:row>
    <x:row r="747">
      <x:c r="A747" t="str">
        <x:v>FP-1006</x:v>
      </x:c>
      <x:c r="B747" t="str">
        <x:v>2CO</x:v>
      </x:c>
      <x:c r="C747" t="str">
        <x:v>2. Korinther</x:v>
      </x:c>
      <x:c r="D747" t="n">
        <x:v>1</x:v>
      </x:c>
      <x:c r="E747" t="n">
        <x:v>1</x:v>
      </x:c>
      <x:c r="F747" t="str">
        <x:v>2CO-001</x:v>
      </x:c>
      <x:c r="G747" t="n">
        <x:v>150</x:v>
      </x:c>
      <x:c r="H747" t="str">
        <x:v>CQ-A08</x:v>
      </x:c>
      <x:c r="I747" s="36" t="str">
        <x:v>Welche dieser Aussagen stammt aus 2. Korinther 1?</x:v>
      </x:c>
      <x:c r="J747" s="36" t="str"/>
      <x:c r="K747" s="36" t="str"/>
      <x:c r="L747" s="36" t="str">
        <x:v>REPO_VERIFIZIERT_FRAGEFORM</x:v>
      </x:c>
      <x:c r="M747" s="36" t="str">
        <x:v>ERSETZEN</x:v>
      </x:c>
      <x:c r="N747" s="36" t="str">
        <x:v>REPETITIVE_FRAGEFORM</x:v>
      </x:c>
      <x:c r="O747" s="36" t="str">
        <x:v>REINE_WIEDERERKENNUNG</x:v>
      </x:c>
      <x:c r="P747" s="36" t="str">
        <x:v>KERNAUSSAGE</x:v>
      </x:c>
      <x:c r="Q747" s="36" t="str">
        <x:v>Warum tröstet Gott Paulus und seine Mitarbeiter in ihren Bedrängnissen?</x:v>
      </x:c>
      <x:c r="R747" s="36" t="str">
        <x:v>Damit sie auch andere in deren Bedrängnis mit dem Trost trösten können, den sie selbst von Gott empfangen.</x:v>
      </x:c>
      <x:c r="S747" s="36" t="str">
        <x:v>Damit sie künftig keinerlei Leid mehr erleben.</x:v>
      </x:c>
      <x:c r="T747" s="36" t="str">
        <x:v>Damit nur die Apostel Trost empfangen.</x:v>
      </x:c>
      <x:c r="U747" s="36" t="str">
        <x:v>Damit sie sich von allen Gemeinden zurückziehen.</x:v>
      </x:c>
      <x:c r="V747" s="36" t="n">
        <x:v>0</x:v>
      </x:c>
      <x:c r="W747" s="36" t="str">
        <x:f>CHOOSE(V747+1,R747,S747,T747,U747)</x:f>
        <x:v>Damit sie auch andere in deren Bedrängnis mit dem Trost trösten können, den sie selbst von Gott empfangen.</x:v>
      </x:c>
      <x:c r="X747" s="36" t="str">
        <x:v>2. Korinther 1,3–7</x:v>
      </x:c>
      <x:c r="Y747" s="36" t="str">
        <x:v>Paulus beschreibt Gottes Trost nicht nur als persönliche Hilfe, sondern als etwas, das zum Trost anderer weitergegeben wird.</x:v>
      </x:c>
      <x:c r="Z747" s="36" t="str">
        <x:v>JA</x:v>
      </x:c>
      <x:c r="AA747" s="36" t="str">
        <x:v>JA</x:v>
      </x:c>
      <x:c r="AB747" s="36" t="str">
        <x:v>JA</x:v>
      </x:c>
      <x:c r="AC747" s="36" t="str">
        <x:v>JA</x:v>
      </x:c>
      <x:c r="AD747" s="36" t="str">
        <x:v>JA</x:v>
      </x:c>
      <x:c r="AE747" s="36" t="str">
        <x:v>JA</x:v>
      </x:c>
      <x:c r="AF747" s="36" t="str">
        <x:v>JA</x:v>
      </x:c>
      <x:c r="AG747" s="36" t="str">
        <x:v>FREIGEGEBEN</x:v>
      </x:c>
      <x:c r="AH747" s="36" t="str">
        <x:v>GPT-5.6 Sol · Buchprüfung 2. Korinther · L1912/OTB</x:v>
      </x:c>
      <x:c r="AI747" s="36" t="str">
        <x:v>FREIGEGEBEN</x:v>
      </x:c>
      <x:c r="AJ747" s="36" t="str">
        <x:v>2. Korinther 1: repetitive Wiedererkennungsfrage durch KERNAUSSAGE-Frage ersetzt.</x:v>
      </x:c>
      <x:c r="AK747" s="36" t="str">
        <x:v>FaithPath repo develop/v4 · data/stories.json · data/bibles/l1912/2CO.json · data/bibles/otb/2CO.json</x:v>
      </x:c>
      <x:c r="AL747" t="str">
        <x:f>IF(AND(AG747="FREIGEGEBEN",AI747="FREIGEGEBEN",Q747&lt;&gt;"",R747&lt;&gt;"",S747&lt;&gt;"",T747&lt;&gt;"",U747&lt;&gt;"",ISNUMBER(V747),X747&lt;&gt;"",Y747&lt;&gt;"",AA747="JA",AB747="JA",AC747="JA",AD747="JA",AE747="JA",AF747="JA"),"JA","NEIN")</x:f>
        <x:v>JA</x:v>
      </x:c>
    </x:row>
    <x:row r="748">
      <x:c r="A748" t="str">
        <x:v>FP-1007</x:v>
      </x:c>
      <x:c r="B748" t="str">
        <x:v>2CO</x:v>
      </x:c>
      <x:c r="C748" t="str">
        <x:v>2. Korinther</x:v>
      </x:c>
      <x:c r="D748" t="n">
        <x:v>1</x:v>
      </x:c>
      <x:c r="E748" t="n">
        <x:v>2</x:v>
      </x:c>
      <x:c r="F748" t="str">
        <x:v>2CO-001</x:v>
      </x:c>
      <x:c r="G748" t="n">
        <x:v>150</x:v>
      </x:c>
      <x:c r="H748" t="str">
        <x:v>CQ-A08</x:v>
      </x:c>
      <x:c r="I748" s="36" t="str">
        <x:v>Welche dieser Aussagen stammt aus 2. Korinther 1?</x:v>
      </x:c>
      <x:c r="J748" s="36" t="str"/>
      <x:c r="K748" s="36" t="str"/>
      <x:c r="L748" s="36" t="str">
        <x:v>REPO_VERIFIZIERT_FRAGEFORM</x:v>
      </x:c>
      <x:c r="M748" s="36" t="str">
        <x:v>ERSETZEN</x:v>
      </x:c>
      <x:c r="N748" s="36" t="str">
        <x:v>REPETITIVE_FRAGEFORM</x:v>
      </x:c>
      <x:c r="O748" s="36" t="str">
        <x:v>REINE_WIEDERERKENNUNG</x:v>
      </x:c>
      <x:c r="P748" s="36" t="str">
        <x:v>ZUSAMMENHANG</x:v>
      </x:c>
      <x:c r="Q748" s="36" t="str">
        <x:v>Welche Wirkung hatte die schwere Bedrängnis in Asien auf Paulus' Vertrauen?</x:v>
      </x:c>
      <x:c r="R748" s="36" t="str">
        <x:v>Sie überzeugte ihn, den Dienst zu beenden.</x:v>
      </x:c>
      <x:c r="S748" s="36" t="str">
        <x:v>Sie brachte ihn dazu, nicht auf sich selbst, sondern auf Gott zu vertrauen, der Tote auferweckt.</x:v>
      </x:c>
      <x:c r="T748" s="36" t="str">
        <x:v>Sie machte menschliche Hilfe für ihn überflüssig.</x:v>
      </x:c>
      <x:c r="U748" s="36" t="str">
        <x:v>Sie führte ihn dazu, nur noch auf seine eigene Kraft zu setzen.</x:v>
      </x:c>
      <x:c r="V748" s="36" t="n">
        <x:v>1</x:v>
      </x:c>
      <x:c r="W748" s="36" t="str">
        <x:f>CHOOSE(V748+1,R748,S748,T748,U748)</x:f>
        <x:v>Sie brachte ihn dazu, nicht auf sich selbst, sondern auf Gott zu vertrauen, der Tote auferweckt.</x:v>
      </x:c>
      <x:c r="X748" s="36" t="str">
        <x:v>2. Korinther 1,8–11</x:v>
      </x:c>
      <x:c r="Y748" s="36" t="str">
        <x:v>Die extreme Belastung nahm Paulus die Selbstsicherheit und richtete sein Vertrauen auf den rettenden Gott.</x:v>
      </x:c>
      <x:c r="Z748" s="36" t="str">
        <x:v>JA</x:v>
      </x:c>
      <x:c r="AA748" s="36" t="str">
        <x:v>JA</x:v>
      </x:c>
      <x:c r="AB748" s="36" t="str">
        <x:v>JA</x:v>
      </x:c>
      <x:c r="AC748" s="36" t="str">
        <x:v>JA</x:v>
      </x:c>
      <x:c r="AD748" s="36" t="str">
        <x:v>JA</x:v>
      </x:c>
      <x:c r="AE748" s="36" t="str">
        <x:v>JA</x:v>
      </x:c>
      <x:c r="AF748" s="36" t="str">
        <x:v>JA</x:v>
      </x:c>
      <x:c r="AG748" s="36" t="str">
        <x:v>FREIGEGEBEN</x:v>
      </x:c>
      <x:c r="AH748" s="36" t="str">
        <x:v>GPT-5.6 Sol · Buchprüfung 2. Korinther · L1912/OTB</x:v>
      </x:c>
      <x:c r="AI748" s="36" t="str">
        <x:v>FREIGEGEBEN</x:v>
      </x:c>
      <x:c r="AJ748" s="36" t="str">
        <x:v>2. Korinther 1: repetitive Wiedererkennungsfrage durch ZUSAMMENHANG-Frage ersetzt.</x:v>
      </x:c>
      <x:c r="AK748" s="36" t="str">
        <x:v>FaithPath repo develop/v4 · data/stories.json · data/bibles/l1912/2CO.json · data/bibles/otb/2CO.json</x:v>
      </x:c>
      <x:c r="AL748" t="str">
        <x:f>IF(AND(AG748="FREIGEGEBEN",AI748="FREIGEGEBEN",Q748&lt;&gt;"",R748&lt;&gt;"",S748&lt;&gt;"",T748&lt;&gt;"",U748&lt;&gt;"",ISNUMBER(V748),X748&lt;&gt;"",Y748&lt;&gt;"",AA748="JA",AB748="JA",AC748="JA",AD748="JA",AE748="JA",AF748="JA"),"JA","NEIN")</x:f>
        <x:v>JA</x:v>
      </x:c>
    </x:row>
    <x:row r="749">
      <x:c r="A749" t="str">
        <x:v>FP-1008</x:v>
      </x:c>
      <x:c r="B749" t="str">
        <x:v>2CO</x:v>
      </x:c>
      <x:c r="C749" t="str">
        <x:v>2. Korinther</x:v>
      </x:c>
      <x:c r="D749" t="n">
        <x:v>1</x:v>
      </x:c>
      <x:c r="E749" t="n">
        <x:v>3</x:v>
      </x:c>
      <x:c r="F749" t="str">
        <x:v>2CO-001</x:v>
      </x:c>
      <x:c r="G749" t="n">
        <x:v>150</x:v>
      </x:c>
      <x:c r="H749" t="str">
        <x:v>CQ-A08</x:v>
      </x:c>
      <x:c r="I749" s="36" t="str">
        <x:v>Welche dieser Aussagen stammt aus 2. Korinther 1?</x:v>
      </x:c>
      <x:c r="J749" s="36" t="str"/>
      <x:c r="K749" s="36" t="str"/>
      <x:c r="L749" s="36" t="str">
        <x:v>REPO_VERIFIZIERT_FRAGEFORM</x:v>
      </x:c>
      <x:c r="M749" s="36" t="str">
        <x:v>ERSETZEN</x:v>
      </x:c>
      <x:c r="N749" s="36" t="str">
        <x:v>REPETITIVE_FRAGEFORM</x:v>
      </x:c>
      <x:c r="O749" s="36" t="str">
        <x:v>REINE_WIEDERERKENNUNG</x:v>
      </x:c>
      <x:c r="P749" s="36" t="str">
        <x:v>KERNAUSSAGE</x:v>
      </x:c>
      <x:c r="Q749" s="36" t="str">
        <x:v>Worin besteht nach Paulus sein Ruhm im Blick auf sein Verhalten gegenüber den Korinthern?</x:v>
      </x:c>
      <x:c r="R749" s="36" t="str">
        <x:v>In seiner rhetorischen Überlegenheit.</x:v>
      </x:c>
      <x:c r="S749" s="36" t="str">
        <x:v>In seiner gesellschaftlichen Stellung.</x:v>
      </x:c>
      <x:c r="T749" s="36" t="str">
        <x:v>Im Zeugnis seines Gewissens, dass er in göttlicher Aufrichtigkeit und Gnade gehandelt hat.</x:v>
      </x:c>
      <x:c r="U749" s="36" t="str">
        <x:v>In der Zahl seiner Reisen.</x:v>
      </x:c>
      <x:c r="V749" s="36" t="n">
        <x:v>2</x:v>
      </x:c>
      <x:c r="W749" s="36" t="str">
        <x:f>CHOOSE(V749+1,R749,S749,T749,U749)</x:f>
        <x:v>Im Zeugnis seines Gewissens, dass er in göttlicher Aufrichtigkeit und Gnade gehandelt hat.</x:v>
      </x:c>
      <x:c r="X749" s="36" t="str">
        <x:v>2. Korinther 1,12–14</x:v>
      </x:c>
      <x:c r="Y749" s="36" t="str">
        <x:v>Paulus beruft sich auf ein Gewissen, das ihm ein aufrichtiges, von Gottes Gnade bestimmtes Verhalten bezeugt.</x:v>
      </x:c>
      <x:c r="Z749" s="36" t="str">
        <x:v>JA</x:v>
      </x:c>
      <x:c r="AA749" s="36" t="str">
        <x:v>JA</x:v>
      </x:c>
      <x:c r="AB749" s="36" t="str">
        <x:v>JA</x:v>
      </x:c>
      <x:c r="AC749" s="36" t="str">
        <x:v>JA</x:v>
      </x:c>
      <x:c r="AD749" s="36" t="str">
        <x:v>JA</x:v>
      </x:c>
      <x:c r="AE749" s="36" t="str">
        <x:v>JA</x:v>
      </x:c>
      <x:c r="AF749" s="36" t="str">
        <x:v>JA</x:v>
      </x:c>
      <x:c r="AG749" s="36" t="str">
        <x:v>FREIGEGEBEN</x:v>
      </x:c>
      <x:c r="AH749" s="36" t="str">
        <x:v>GPT-5.6 Sol · Buchprüfung 2. Korinther · L1912/OTB</x:v>
      </x:c>
      <x:c r="AI749" s="36" t="str">
        <x:v>FREIGEGEBEN</x:v>
      </x:c>
      <x:c r="AJ749" s="36" t="str">
        <x:v>2. Korinther 1: repetitive Wiedererkennungsfrage durch KERNAUSSAGE-Frage ersetzt.</x:v>
      </x:c>
      <x:c r="AK749" s="36" t="str">
        <x:v>FaithPath repo develop/v4 · data/stories.json · data/bibles/l1912/2CO.json · data/bibles/otb/2CO.json</x:v>
      </x:c>
      <x:c r="AL749" t="str">
        <x:f>IF(AND(AG749="FREIGEGEBEN",AI749="FREIGEGEBEN",Q749&lt;&gt;"",R749&lt;&gt;"",S749&lt;&gt;"",T749&lt;&gt;"",U749&lt;&gt;"",ISNUMBER(V749),X749&lt;&gt;"",Y749&lt;&gt;"",AA749="JA",AB749="JA",AC749="JA",AD749="JA",AE749="JA",AF749="JA"),"JA","NEIN")</x:f>
        <x:v>JA</x:v>
      </x:c>
    </x:row>
    <x:row r="750">
      <x:c r="A750" t="str">
        <x:v>FP-1009</x:v>
      </x:c>
      <x:c r="B750" t="str">
        <x:v>2CO</x:v>
      </x:c>
      <x:c r="C750" t="str">
        <x:v>2. Korinther</x:v>
      </x:c>
      <x:c r="D750" t="n">
        <x:v>1</x:v>
      </x:c>
      <x:c r="E750" t="n">
        <x:v>4</x:v>
      </x:c>
      <x:c r="F750" t="str">
        <x:v>2CO-001</x:v>
      </x:c>
      <x:c r="G750" t="n">
        <x:v>150</x:v>
      </x:c>
      <x:c r="H750" t="str">
        <x:v>CQ-A08</x:v>
      </x:c>
      <x:c r="I750" s="36" t="str">
        <x:v>Welche dieser Aussagen stammt aus 2. Korinther 1?</x:v>
      </x:c>
      <x:c r="J750" s="36" t="str"/>
      <x:c r="K750" s="36" t="str"/>
      <x:c r="L750" s="36" t="str">
        <x:v>REPO_VERIFIZIERT_FRAGEFORM</x:v>
      </x:c>
      <x:c r="M750" s="36" t="str">
        <x:v>ERSETZEN</x:v>
      </x:c>
      <x:c r="N750" s="36" t="str">
        <x:v>REPETITIVE_FRAGEFORM</x:v>
      </x:c>
      <x:c r="O750" s="36" t="str">
        <x:v>REINE_WIEDERERKENNUNG</x:v>
      </x:c>
      <x:c r="P750" s="36" t="str">
        <x:v>KERNAUSSAGE</x:v>
      </x:c>
      <x:c r="Q750" s="36" t="str">
        <x:v>Was bedeutet Paulus' Aussage, dass in Christus Gottes Verheißungen „Ja“ sind?</x:v>
      </x:c>
      <x:c r="R750" s="36" t="str">
        <x:v>Christus hebt alle früheren Verheißungen auf.</x:v>
      </x:c>
      <x:c r="S750" s="36" t="str">
        <x:v>Nur manche Zusagen Gottes sind verlässlich.</x:v>
      </x:c>
      <x:c r="T750" s="36" t="str">
        <x:v>Gottes Verheißungen hängen von Paulus' Reiseplänen ab.</x:v>
      </x:c>
      <x:c r="U750" s="36" t="str">
        <x:v>Gottes Zusagen finden in Christus ihre Bestätigung und Erfüllung.</x:v>
      </x:c>
      <x:c r="V750" s="36" t="n">
        <x:v>3</x:v>
      </x:c>
      <x:c r="W750" s="36" t="str">
        <x:f>CHOOSE(V750+1,R750,S750,T750,U750)</x:f>
        <x:v>Gottes Zusagen finden in Christus ihre Bestätigung und Erfüllung.</x:v>
      </x:c>
      <x:c r="X750" s="36" t="str">
        <x:v>2. Korinther 1,18–22</x:v>
      </x:c>
      <x:c r="Y750" s="36" t="str">
        <x:v>Paulus begründet Gottes Treue mit Christus: In ihm steht Gottes Ja zu seinen Verheißungen fest.</x:v>
      </x:c>
      <x:c r="Z750" s="36" t="str">
        <x:v>JA</x:v>
      </x:c>
      <x:c r="AA750" s="36" t="str">
        <x:v>JA</x:v>
      </x:c>
      <x:c r="AB750" s="36" t="str">
        <x:v>JA</x:v>
      </x:c>
      <x:c r="AC750" s="36" t="str">
        <x:v>JA</x:v>
      </x:c>
      <x:c r="AD750" s="36" t="str">
        <x:v>JA</x:v>
      </x:c>
      <x:c r="AE750" s="36" t="str">
        <x:v>JA</x:v>
      </x:c>
      <x:c r="AF750" s="36" t="str">
        <x:v>JA</x:v>
      </x:c>
      <x:c r="AG750" s="36" t="str">
        <x:v>FREIGEGEBEN</x:v>
      </x:c>
      <x:c r="AH750" s="36" t="str">
        <x:v>GPT-5.6 Sol · Buchprüfung 2. Korinther · L1912/OTB</x:v>
      </x:c>
      <x:c r="AI750" s="36" t="str">
        <x:v>FREIGEGEBEN</x:v>
      </x:c>
      <x:c r="AJ750" s="36" t="str">
        <x:v>2. Korinther 1: repetitive Wiedererkennungsfrage durch KERNAUSSAGE-Frage ersetzt.</x:v>
      </x:c>
      <x:c r="AK750" s="36" t="str">
        <x:v>FaithPath repo develop/v4 · data/stories.json · data/bibles/l1912/2CO.json · data/bibles/otb/2CO.json</x:v>
      </x:c>
      <x:c r="AL750" t="str">
        <x:f>IF(AND(AG750="FREIGEGEBEN",AI750="FREIGEGEBEN",Q750&lt;&gt;"",R750&lt;&gt;"",S750&lt;&gt;"",T750&lt;&gt;"",U750&lt;&gt;"",ISNUMBER(V750),X750&lt;&gt;"",Y750&lt;&gt;"",AA750="JA",AB750="JA",AC750="JA",AD750="JA",AE750="JA",AF750="JA"),"JA","NEIN")</x:f>
        <x:v>JA</x:v>
      </x:c>
    </x:row>
    <x:row r="751">
      <x:c r="A751" t="str">
        <x:v>FP-1010</x:v>
      </x:c>
      <x:c r="B751" t="str">
        <x:v>2CO</x:v>
      </x:c>
      <x:c r="C751" t="str">
        <x:v>2. Korinther</x:v>
      </x:c>
      <x:c r="D751" t="n">
        <x:v>1</x:v>
      </x:c>
      <x:c r="E751" t="n">
        <x:v>5</x:v>
      </x:c>
      <x:c r="F751" t="str">
        <x:v>2CO-001</x:v>
      </x:c>
      <x:c r="G751" t="n">
        <x:v>150</x:v>
      </x:c>
      <x:c r="H751" t="str">
        <x:v>CQ-A08</x:v>
      </x:c>
      <x:c r="I751" s="36" t="str">
        <x:v>Welche dieser Aussagen stammt aus 2. Korinther 1?</x:v>
      </x:c>
      <x:c r="J751" s="36" t="str"/>
      <x:c r="K751" s="36" t="str"/>
      <x:c r="L751" s="36" t="str">
        <x:v>REPO_VERIFIZIERT_FRAGEFORM</x:v>
      </x:c>
      <x:c r="M751" s="36" t="str">
        <x:v>ERSETZEN</x:v>
      </x:c>
      <x:c r="N751" s="36" t="str">
        <x:v>REPETITIVE_FRAGEFORM</x:v>
      </x:c>
      <x:c r="O751" s="36" t="str">
        <x:v>REINE_WIEDERERKENNUNG</x:v>
      </x:c>
      <x:c r="P751" s="36" t="str">
        <x:v>ZUSAMMENHANG</x:v>
      </x:c>
      <x:c r="Q751" s="36" t="str">
        <x:v>Warum war Paulus nach eigener Aussage nicht erneut nach Korinth gekommen?</x:v>
      </x:c>
      <x:c r="R751" s="36" t="str">
        <x:v>Er wollte die Gemeinde schonen und nicht als Herr über ihren Glauben auftreten, sondern an ihrer Freude mitarbeiten.</x:v>
      </x:c>
      <x:c r="S751" s="36" t="str">
        <x:v>Er hatte jedes Interesse an Korinth verloren.</x:v>
      </x:c>
      <x:c r="T751" s="36" t="str">
        <x:v>Er war von der Gemeinde dauerhaft ausgeschlossen worden.</x:v>
      </x:c>
      <x:c r="U751" s="36" t="str">
        <x:v>Er wollte nur noch Gemeinden in Judäa besuchen.</x:v>
      </x:c>
      <x:c r="V751" s="36" t="n">
        <x:v>0</x:v>
      </x:c>
      <x:c r="W751" s="36" t="str">
        <x:f>CHOOSE(V751+1,R751,S751,T751,U751)</x:f>
        <x:v>Er wollte die Gemeinde schonen und nicht als Herr über ihren Glauben auftreten, sondern an ihrer Freude mitarbeiten.</x:v>
      </x:c>
      <x:c r="X751" s="36" t="str">
        <x:v>2. Korinther 1,23–24</x:v>
      </x:c>
      <x:c r="Y751" s="36" t="str">
        <x:v>Paulus erklärt die Planänderung als Rücksichtnahme und grenzt apostolischen Dienst von Herrschaft über den Glauben ab.</x:v>
      </x:c>
      <x:c r="Z751" s="36" t="str">
        <x:v>JA</x:v>
      </x:c>
      <x:c r="AA751" s="36" t="str">
        <x:v>JA</x:v>
      </x:c>
      <x:c r="AB751" s="36" t="str">
        <x:v>JA</x:v>
      </x:c>
      <x:c r="AC751" s="36" t="str">
        <x:v>JA</x:v>
      </x:c>
      <x:c r="AD751" s="36" t="str">
        <x:v>JA</x:v>
      </x:c>
      <x:c r="AE751" s="36" t="str">
        <x:v>JA</x:v>
      </x:c>
      <x:c r="AF751" s="36" t="str">
        <x:v>JA</x:v>
      </x:c>
      <x:c r="AG751" s="36" t="str">
        <x:v>FREIGEGEBEN</x:v>
      </x:c>
      <x:c r="AH751" s="36" t="str">
        <x:v>GPT-5.6 Sol · Buchprüfung 2. Korinther · L1912/OTB</x:v>
      </x:c>
      <x:c r="AI751" s="36" t="str">
        <x:v>FREIGEGEBEN</x:v>
      </x:c>
      <x:c r="AJ751" s="36" t="str">
        <x:v>2. Korinther 1: repetitive Wiedererkennungsfrage durch ZUSAMMENHANG-Frage ersetzt.</x:v>
      </x:c>
      <x:c r="AK751" s="36" t="str">
        <x:v>FaithPath repo develop/v4 · data/stories.json · data/bibles/l1912/2CO.json · data/bibles/otb/2CO.json</x:v>
      </x:c>
      <x:c r="AL751" t="str">
        <x:f>IF(AND(AG751="FREIGEGEBEN",AI751="FREIGEGEBEN",Q751&lt;&gt;"",R751&lt;&gt;"",S751&lt;&gt;"",T751&lt;&gt;"",U751&lt;&gt;"",ISNUMBER(V751),X751&lt;&gt;"",Y751&lt;&gt;"",AA751="JA",AB751="JA",AC751="JA",AD751="JA",AE751="JA",AF751="JA"),"JA","NEIN")</x:f>
        <x:v>JA</x:v>
      </x:c>
    </x:row>
    <x:row r="752">
      <x:c r="A752" t="str">
        <x:v>FP-1011</x:v>
      </x:c>
      <x:c r="B752" t="str">
        <x:v>2CO</x:v>
      </x:c>
      <x:c r="C752" t="str">
        <x:v>2. Korinther</x:v>
      </x:c>
      <x:c r="D752" t="n">
        <x:v>2</x:v>
      </x:c>
      <x:c r="E752" t="n">
        <x:v>1</x:v>
      </x:c>
      <x:c r="F752" t="str">
        <x:v>2CO-002</x:v>
      </x:c>
      <x:c r="G752" t="n">
        <x:v>151</x:v>
      </x:c>
      <x:c r="H752" t="str">
        <x:v>CQ-A08</x:v>
      </x:c>
      <x:c r="I752" s="36" t="str">
        <x:v>Welche dieser Aussagen stammt aus 2. Korinther 2?</x:v>
      </x:c>
      <x:c r="J752" s="36" t="str"/>
      <x:c r="K752" s="36" t="str"/>
      <x:c r="L752" s="36" t="str">
        <x:v>REPO_VERIFIZIERT_FRAGEFORM</x:v>
      </x:c>
      <x:c r="M752" s="36" t="str">
        <x:v>ERSETZEN</x:v>
      </x:c>
      <x:c r="N752" s="36" t="str">
        <x:v>REPETITIVE_FRAGEFORM</x:v>
      </x:c>
      <x:c r="O752" s="36" t="str">
        <x:v>REINE_WIEDERERKENNUNG</x:v>
      </x:c>
      <x:c r="P752" s="36" t="str">
        <x:v>ZUSAMMENHANG</x:v>
      </x:c>
      <x:c r="Q752" s="36" t="str">
        <x:v>Warum wollte Paulus nicht erneut in Traurigkeit nach Korinth kommen?</x:v>
      </x:c>
      <x:c r="R752" s="36" t="str">
        <x:v>Er wollte nie wieder persönlich nach Korinth reisen.</x:v>
      </x:c>
      <x:c r="S752" s="36" t="str">
        <x:v>Er wollte nicht gerade die Menschen betrüben, von denen er selbst Freude erwartete.</x:v>
      </x:c>
      <x:c r="T752" s="36" t="str">
        <x:v>Er wollte schwierige Themen grundsätzlich vermeiden.</x:v>
      </x:c>
      <x:c r="U752" s="36" t="str">
        <x:v>Er durfte Korinth gesetzlich nicht betreten.</x:v>
      </x:c>
      <x:c r="V752" s="36" t="n">
        <x:v>1</x:v>
      </x:c>
      <x:c r="W752" s="36" t="str">
        <x:f>CHOOSE(V752+1,R752,S752,T752,U752)</x:f>
        <x:v>Er wollte nicht gerade die Menschen betrüben, von denen er selbst Freude erwartete.</x:v>
      </x:c>
      <x:c r="X752" s="36" t="str">
        <x:v>2. Korinther 2,1–4</x:v>
      </x:c>
      <x:c r="Y752" s="36" t="str">
        <x:v>Paulus erklärt, dass sein schmerzhafter Brief aus großer Liebe entstand und eine weitere traurige Begegnung vermeiden sollte.</x:v>
      </x:c>
      <x:c r="Z752" s="36" t="str">
        <x:v>JA</x:v>
      </x:c>
      <x:c r="AA752" s="36" t="str">
        <x:v>JA</x:v>
      </x:c>
      <x:c r="AB752" s="36" t="str">
        <x:v>JA</x:v>
      </x:c>
      <x:c r="AC752" s="36" t="str">
        <x:v>JA</x:v>
      </x:c>
      <x:c r="AD752" s="36" t="str">
        <x:v>JA</x:v>
      </x:c>
      <x:c r="AE752" s="36" t="str">
        <x:v>JA</x:v>
      </x:c>
      <x:c r="AF752" s="36" t="str">
        <x:v>JA</x:v>
      </x:c>
      <x:c r="AG752" s="36" t="str">
        <x:v>FREIGEGEBEN</x:v>
      </x:c>
      <x:c r="AH752" s="36" t="str">
        <x:v>GPT-5.6 Sol · Buchprüfung 2. Korinther · L1912/OTB</x:v>
      </x:c>
      <x:c r="AI752" s="36" t="str">
        <x:v>FREIGEGEBEN</x:v>
      </x:c>
      <x:c r="AJ752" s="36" t="str">
        <x:v>2. Korinther 2: repetitive Wiedererkennungsfrage durch ZUSAMMENHANG-Frage ersetzt.</x:v>
      </x:c>
      <x:c r="AK752" s="36" t="str">
        <x:v>FaithPath repo develop/v4 · data/stories.json · data/bibles/l1912/2CO.json · data/bibles/otb/2CO.json</x:v>
      </x:c>
      <x:c r="AL752" t="str">
        <x:f>IF(AND(AG752="FREIGEGEBEN",AI752="FREIGEGEBEN",Q752&lt;&gt;"",R752&lt;&gt;"",S752&lt;&gt;"",T752&lt;&gt;"",U752&lt;&gt;"",ISNUMBER(V752),X752&lt;&gt;"",Y752&lt;&gt;"",AA752="JA",AB752="JA",AC752="JA",AD752="JA",AE752="JA",AF752="JA"),"JA","NEIN")</x:f>
        <x:v>JA</x:v>
      </x:c>
    </x:row>
    <x:row r="753">
      <x:c r="A753" t="str">
        <x:v>FP-1012</x:v>
      </x:c>
      <x:c r="B753" t="str">
        <x:v>2CO</x:v>
      </x:c>
      <x:c r="C753" t="str">
        <x:v>2. Korinther</x:v>
      </x:c>
      <x:c r="D753" t="n">
        <x:v>2</x:v>
      </x:c>
      <x:c r="E753" t="n">
        <x:v>2</x:v>
      </x:c>
      <x:c r="F753" t="str">
        <x:v>2CO-002</x:v>
      </x:c>
      <x:c r="G753" t="n">
        <x:v>151</x:v>
      </x:c>
      <x:c r="H753" t="str">
        <x:v>CQ-A08</x:v>
      </x:c>
      <x:c r="I753" s="36" t="str">
        <x:v>Welche dieser Aussagen stammt aus 2. Korinther 2?</x:v>
      </x:c>
      <x:c r="J753" s="36" t="str"/>
      <x:c r="K753" s="36" t="str"/>
      <x:c r="L753" s="36" t="str">
        <x:v>REPO_VERIFIZIERT_FRAGEFORM</x:v>
      </x:c>
      <x:c r="M753" s="36" t="str">
        <x:v>ERSETZEN</x:v>
      </x:c>
      <x:c r="N753" s="36" t="str">
        <x:v>REPETITIVE_FRAGEFORM</x:v>
      </x:c>
      <x:c r="O753" s="36" t="str">
        <x:v>REINE_WIEDERERKENNUNG</x:v>
      </x:c>
      <x:c r="P753" s="36" t="str">
        <x:v>KERNAUSSAGE</x:v>
      </x:c>
      <x:c r="Q753" s="36" t="str">
        <x:v>Wie soll die Gemeinde mit dem bereits zurechtgewiesenen Menschen umgehen?</x:v>
      </x:c>
      <x:c r="R753" s="36" t="str">
        <x:v>Ihn dauerhaft aus jeder Gemeinschaft ausschließen.</x:v>
      </x:c>
      <x:c r="S753" s="36" t="str">
        <x:v>So tun, als sei nichts geschehen, ohne Vergebung anzusprechen.</x:v>
      </x:c>
      <x:c r="T753" s="36" t="str">
        <x:v>Ihm vergeben, ihn trösten und die Liebe zu ihm bestätigen, damit er nicht in übermäßiger Traurigkeit versinkt.</x:v>
      </x:c>
      <x:c r="U753" s="36" t="str">
        <x:v>Ihn öffentlich weiter beschämen.</x:v>
      </x:c>
      <x:c r="V753" s="36" t="n">
        <x:v>2</x:v>
      </x:c>
      <x:c r="W753" s="36" t="str">
        <x:f>CHOOSE(V753+1,R753,S753,T753,U753)</x:f>
        <x:v>Ihm vergeben, ihn trösten und die Liebe zu ihm bestätigen, damit er nicht in übermäßiger Traurigkeit versinkt.</x:v>
      </x:c>
      <x:c r="X753" s="36" t="str">
        <x:v>2. Korinther 2,5–8</x:v>
      </x:c>
      <x:c r="Y753" s="36" t="str">
        <x:v>Nach ausreichender Zurechtweisung fordert Paulus ausdrücklich Vergebung, Trost und bestätigte Liebe.</x:v>
      </x:c>
      <x:c r="Z753" s="36" t="str">
        <x:v>JA</x:v>
      </x:c>
      <x:c r="AA753" s="36" t="str">
        <x:v>JA</x:v>
      </x:c>
      <x:c r="AB753" s="36" t="str">
        <x:v>JA</x:v>
      </x:c>
      <x:c r="AC753" s="36" t="str">
        <x:v>JA</x:v>
      </x:c>
      <x:c r="AD753" s="36" t="str">
        <x:v>JA</x:v>
      </x:c>
      <x:c r="AE753" s="36" t="str">
        <x:v>JA</x:v>
      </x:c>
      <x:c r="AF753" s="36" t="str">
        <x:v>JA</x:v>
      </x:c>
      <x:c r="AG753" s="36" t="str">
        <x:v>FREIGEGEBEN</x:v>
      </x:c>
      <x:c r="AH753" s="36" t="str">
        <x:v>GPT-5.6 Sol · Buchprüfung 2. Korinther · L1912/OTB</x:v>
      </x:c>
      <x:c r="AI753" s="36" t="str">
        <x:v>FREIGEGEBEN</x:v>
      </x:c>
      <x:c r="AJ753" s="36" t="str">
        <x:v>2. Korinther 2: repetitive Wiedererkennungsfrage durch KERNAUSSAGE-Frage ersetzt.</x:v>
      </x:c>
      <x:c r="AK753" s="36" t="str">
        <x:v>FaithPath repo develop/v4 · data/stories.json · data/bibles/l1912/2CO.json · data/bibles/otb/2CO.json</x:v>
      </x:c>
      <x:c r="AL753" t="str">
        <x:f>IF(AND(AG753="FREIGEGEBEN",AI753="FREIGEGEBEN",Q753&lt;&gt;"",R753&lt;&gt;"",S753&lt;&gt;"",T753&lt;&gt;"",U753&lt;&gt;"",ISNUMBER(V753),X753&lt;&gt;"",Y753&lt;&gt;"",AA753="JA",AB753="JA",AC753="JA",AD753="JA",AE753="JA",AF753="JA"),"JA","NEIN")</x:f>
        <x:v>JA</x:v>
      </x:c>
    </x:row>
    <x:row r="754">
      <x:c r="A754" t="str">
        <x:v>FP-1013</x:v>
      </x:c>
      <x:c r="B754" t="str">
        <x:v>2CO</x:v>
      </x:c>
      <x:c r="C754" t="str">
        <x:v>2. Korinther</x:v>
      </x:c>
      <x:c r="D754" t="n">
        <x:v>2</x:v>
      </x:c>
      <x:c r="E754" t="n">
        <x:v>3</x:v>
      </x:c>
      <x:c r="F754" t="str">
        <x:v>2CO-002</x:v>
      </x:c>
      <x:c r="G754" t="n">
        <x:v>151</x:v>
      </x:c>
      <x:c r="H754" t="str">
        <x:v>CQ-A08</x:v>
      </x:c>
      <x:c r="I754" s="36" t="str">
        <x:v>Welche dieser Aussagen stammt aus 2. Korinther 2?</x:v>
      </x:c>
      <x:c r="J754" s="36" t="str"/>
      <x:c r="K754" s="36" t="str"/>
      <x:c r="L754" s="36" t="str">
        <x:v>REPO_VERIFIZIERT_FRAGEFORM</x:v>
      </x:c>
      <x:c r="M754" s="36" t="str">
        <x:v>ERSETZEN</x:v>
      </x:c>
      <x:c r="N754" s="36" t="str">
        <x:v>REPETITIVE_FRAGEFORM</x:v>
      </x:c>
      <x:c r="O754" s="36" t="str">
        <x:v>REINE_WIEDERERKENNUNG</x:v>
      </x:c>
      <x:c r="P754" s="36" t="str">
        <x:v>KERNAUSSAGE</x:v>
      </x:c>
      <x:c r="Q754" s="36" t="str">
        <x:v>Warum verbindet Paulus Vergebung mit Wachsamkeit gegenüber Satan?</x:v>
      </x:c>
      <x:c r="R754" s="36" t="str">
        <x:v>Weil Vergebung nur Satan betrifft.</x:v>
      </x:c>
      <x:c r="S754" s="36" t="str">
        <x:v>Weil jede Zurechtweisung grundsätzlich falsch ist.</x:v>
      </x:c>
      <x:c r="T754" s="36" t="str">
        <x:v>Weil Satan Vergebung erzwingen kann.</x:v>
      </x:c>
      <x:c r="U754" s="36" t="str">
        <x:v>Damit die Gemeinde nicht durch Unversöhnlichkeit überlistet wird.</x:v>
      </x:c>
      <x:c r="V754" s="36" t="n">
        <x:v>3</x:v>
      </x:c>
      <x:c r="W754" s="36" t="str">
        <x:f>CHOOSE(V754+1,R754,S754,T754,U754)</x:f>
        <x:v>Damit die Gemeinde nicht durch Unversöhnlichkeit überlistet wird.</x:v>
      </x:c>
      <x:c r="X754" s="36" t="str">
        <x:v>2. Korinther 2,10–11</x:v>
      </x:c>
      <x:c r="Y754" s="36" t="str">
        <x:v>Paulus sieht verweigerte Vergebung als möglichen Ansatzpunkt für zerstörerisches Wirken.</x:v>
      </x:c>
      <x:c r="Z754" s="36" t="str">
        <x:v>JA</x:v>
      </x:c>
      <x:c r="AA754" s="36" t="str">
        <x:v>JA</x:v>
      </x:c>
      <x:c r="AB754" s="36" t="str">
        <x:v>JA</x:v>
      </x:c>
      <x:c r="AC754" s="36" t="str">
        <x:v>JA</x:v>
      </x:c>
      <x:c r="AD754" s="36" t="str">
        <x:v>JA</x:v>
      </x:c>
      <x:c r="AE754" s="36" t="str">
        <x:v>JA</x:v>
      </x:c>
      <x:c r="AF754" s="36" t="str">
        <x:v>JA</x:v>
      </x:c>
      <x:c r="AG754" s="36" t="str">
        <x:v>FREIGEGEBEN</x:v>
      </x:c>
      <x:c r="AH754" s="36" t="str">
        <x:v>GPT-5.6 Sol · Buchprüfung 2. Korinther · L1912/OTB</x:v>
      </x:c>
      <x:c r="AI754" s="36" t="str">
        <x:v>FREIGEGEBEN</x:v>
      </x:c>
      <x:c r="AJ754" s="36" t="str">
        <x:v>2. Korinther 2: repetitive Wiedererkennungsfrage durch KERNAUSSAGE-Frage ersetzt.</x:v>
      </x:c>
      <x:c r="AK754" s="36" t="str">
        <x:v>FaithPath repo develop/v4 · data/stories.json · data/bibles/l1912/2CO.json · data/bibles/otb/2CO.json</x:v>
      </x:c>
      <x:c r="AL754" t="str">
        <x:f>IF(AND(AG754="FREIGEGEBEN",AI754="FREIGEGEBEN",Q754&lt;&gt;"",R754&lt;&gt;"",S754&lt;&gt;"",T754&lt;&gt;"",U754&lt;&gt;"",ISNUMBER(V754),X754&lt;&gt;"",Y754&lt;&gt;"",AA754="JA",AB754="JA",AC754="JA",AD754="JA",AE754="JA",AF754="JA"),"JA","NEIN")</x:f>
        <x:v>JA</x:v>
      </x:c>
    </x:row>
    <x:row r="755">
      <x:c r="A755" t="str">
        <x:v>FP-1014</x:v>
      </x:c>
      <x:c r="B755" t="str">
        <x:v>2CO</x:v>
      </x:c>
      <x:c r="C755" t="str">
        <x:v>2. Korinther</x:v>
      </x:c>
      <x:c r="D755" t="n">
        <x:v>2</x:v>
      </x:c>
      <x:c r="E755" t="n">
        <x:v>4</x:v>
      </x:c>
      <x:c r="F755" t="str">
        <x:v>2CO-002</x:v>
      </x:c>
      <x:c r="G755" t="n">
        <x:v>151</x:v>
      </x:c>
      <x:c r="H755" t="str">
        <x:v>CQ-A08</x:v>
      </x:c>
      <x:c r="I755" s="36" t="str">
        <x:v>Welche dieser Aussagen stammt aus 2. Korinther 2?</x:v>
      </x:c>
      <x:c r="J755" s="36" t="str"/>
      <x:c r="K755" s="36" t="str"/>
      <x:c r="L755" s="36" t="str">
        <x:v>REPO_VERIFIZIERT_FRAGEFORM</x:v>
      </x:c>
      <x:c r="M755" s="36" t="str">
        <x:v>ERSETZEN</x:v>
      </x:c>
      <x:c r="N755" s="36" t="str">
        <x:v>REPETITIVE_FRAGEFORM</x:v>
      </x:c>
      <x:c r="O755" s="36" t="str">
        <x:v>REINE_WIEDERERKENNUNG</x:v>
      </x:c>
      <x:c r="P755" s="36" t="str">
        <x:v>ZUSAMMENHANG</x:v>
      </x:c>
      <x:c r="Q755" s="36" t="str">
        <x:v>Welches Bild verwendet Paulus für die Wirkung der Verkündigung Christi?</x:v>
      </x:c>
      <x:c r="R755" s="36" t="str">
        <x:v>Den Duft beziehungsweise Wohlgeruch der Erkenntnis Christi, der unterschiedlich aufgenommen wird.</x:v>
      </x:c>
      <x:c r="S755" s="36" t="str">
        <x:v>Ein verborgenes Licht unter einem Gefäß.</x:v>
      </x:c>
      <x:c r="T755" s="36" t="str">
        <x:v>Einen Sturm auf dem Meer.</x:v>
      </x:c>
      <x:c r="U755" s="36" t="str">
        <x:v>Einen verschlossenen Tempel.</x:v>
      </x:c>
      <x:c r="V755" s="36" t="n">
        <x:v>0</x:v>
      </x:c>
      <x:c r="W755" s="36" t="str">
        <x:f>CHOOSE(V755+1,R755,S755,T755,U755)</x:f>
        <x:v>Den Duft beziehungsweise Wohlgeruch der Erkenntnis Christi, der unterschiedlich aufgenommen wird.</x:v>
      </x:c>
      <x:c r="X755" s="36" t="str">
        <x:v>2. Korinther 2,14–16</x:v>
      </x:c>
      <x:c r="Y755" s="36" t="str">
        <x:v>Paulus beschreibt seinen Dienst als Verbreitung des Duftes der Erkenntnis Christi, der für Menschen unterschiedlich wirkt.</x:v>
      </x:c>
      <x:c r="Z755" s="36" t="str">
        <x:v>JA</x:v>
      </x:c>
      <x:c r="AA755" s="36" t="str">
        <x:v>JA</x:v>
      </x:c>
      <x:c r="AB755" s="36" t="str">
        <x:v>JA</x:v>
      </x:c>
      <x:c r="AC755" s="36" t="str">
        <x:v>JA</x:v>
      </x:c>
      <x:c r="AD755" s="36" t="str">
        <x:v>JA</x:v>
      </x:c>
      <x:c r="AE755" s="36" t="str">
        <x:v>JA</x:v>
      </x:c>
      <x:c r="AF755" s="36" t="str">
        <x:v>JA</x:v>
      </x:c>
      <x:c r="AG755" s="36" t="str">
        <x:v>FREIGEGEBEN</x:v>
      </x:c>
      <x:c r="AH755" s="36" t="str">
        <x:v>GPT-5.6 Sol · Buchprüfung 2. Korinther · L1912/OTB</x:v>
      </x:c>
      <x:c r="AI755" s="36" t="str">
        <x:v>FREIGEGEBEN</x:v>
      </x:c>
      <x:c r="AJ755" s="36" t="str">
        <x:v>2. Korinther 2: repetitive Wiedererkennungsfrage durch ZUSAMMENHANG-Frage ersetzt.</x:v>
      </x:c>
      <x:c r="AK755" s="36" t="str">
        <x:v>FaithPath repo develop/v4 · data/stories.json · data/bibles/l1912/2CO.json · data/bibles/otb/2CO.json</x:v>
      </x:c>
      <x:c r="AL755" t="str">
        <x:f>IF(AND(AG755="FREIGEGEBEN",AI755="FREIGEGEBEN",Q755&lt;&gt;"",R755&lt;&gt;"",S755&lt;&gt;"",T755&lt;&gt;"",U755&lt;&gt;"",ISNUMBER(V755),X755&lt;&gt;"",Y755&lt;&gt;"",AA755="JA",AB755="JA",AC755="JA",AD755="JA",AE755="JA",AF755="JA"),"JA","NEIN")</x:f>
        <x:v>JA</x:v>
      </x:c>
    </x:row>
    <x:row r="756">
      <x:c r="A756" t="str">
        <x:v>FP-1015</x:v>
      </x:c>
      <x:c r="B756" t="str">
        <x:v>2CO</x:v>
      </x:c>
      <x:c r="C756" t="str">
        <x:v>2. Korinther</x:v>
      </x:c>
      <x:c r="D756" t="n">
        <x:v>2</x:v>
      </x:c>
      <x:c r="E756" t="n">
        <x:v>5</x:v>
      </x:c>
      <x:c r="F756" t="str">
        <x:v>2CO-002</x:v>
      </x:c>
      <x:c r="G756" t="n">
        <x:v>151</x:v>
      </x:c>
      <x:c r="H756" t="str">
        <x:v>CQ-A08</x:v>
      </x:c>
      <x:c r="I756" s="36" t="str">
        <x:v>Welche dieser Aussagen stammt aus 2. Korinther 2?</x:v>
      </x:c>
      <x:c r="J756" s="36" t="str"/>
      <x:c r="K756" s="36" t="str"/>
      <x:c r="L756" s="36" t="str">
        <x:v>REPO_VERIFIZIERT_FRAGEFORM</x:v>
      </x:c>
      <x:c r="M756" s="36" t="str">
        <x:v>ERSETZEN</x:v>
      </x:c>
      <x:c r="N756" s="36" t="str">
        <x:v>REPETITIVE_FRAGEFORM</x:v>
      </x:c>
      <x:c r="O756" s="36" t="str">
        <x:v>REINE_WIEDERERKENNUNG</x:v>
      </x:c>
      <x:c r="P756" s="36" t="str">
        <x:v>KERNAUSSAGE</x:v>
      </x:c>
      <x:c r="Q756" s="36" t="str">
        <x:v>Wie grenzt Paulus seinen Umgang mit Gottes Wort von dem vieler anderer ab?</x:v>
      </x:c>
      <x:c r="R756" s="36" t="str">
        <x:v>Er verändert die Botschaft, um mehr Zuhörer zu gewinnen.</x:v>
      </x:c>
      <x:c r="S756" s="36" t="str">
        <x:v>Er macht kein Geschäft daraus, sondern redet aus Lauterkeit vor Gott in Christus.</x:v>
      </x:c>
      <x:c r="T756" s="36" t="str">
        <x:v>Er verlangt grundsätzlich Geld für jede Predigt.</x:v>
      </x:c>
      <x:c r="U756" s="36" t="str">
        <x:v>Er spricht nur zu Menschen, die bereits glauben.</x:v>
      </x:c>
      <x:c r="V756" s="36" t="n">
        <x:v>1</x:v>
      </x:c>
      <x:c r="W756" s="36" t="str">
        <x:f>CHOOSE(V756+1,R756,S756,T756,U756)</x:f>
        <x:v>Er macht kein Geschäft daraus, sondern redet aus Lauterkeit vor Gott in Christus.</x:v>
      </x:c>
      <x:c r="X756" s="36" t="str">
        <x:v>2. Korinther 2,17</x:v>
      </x:c>
      <x:c r="Y756" s="36" t="str">
        <x:v>Paulus weist eine kommerzielle oder verfälschende Behandlung des Wortes Gottes zurück.</x:v>
      </x:c>
      <x:c r="Z756" s="36" t="str">
        <x:v>JA</x:v>
      </x:c>
      <x:c r="AA756" s="36" t="str">
        <x:v>JA</x:v>
      </x:c>
      <x:c r="AB756" s="36" t="str">
        <x:v>JA</x:v>
      </x:c>
      <x:c r="AC756" s="36" t="str">
        <x:v>JA</x:v>
      </x:c>
      <x:c r="AD756" s="36" t="str">
        <x:v>JA</x:v>
      </x:c>
      <x:c r="AE756" s="36" t="str">
        <x:v>JA</x:v>
      </x:c>
      <x:c r="AF756" s="36" t="str">
        <x:v>JA</x:v>
      </x:c>
      <x:c r="AG756" s="36" t="str">
        <x:v>FREIGEGEBEN</x:v>
      </x:c>
      <x:c r="AH756" s="36" t="str">
        <x:v>GPT-5.6 Sol · Buchprüfung 2. Korinther · L1912/OTB</x:v>
      </x:c>
      <x:c r="AI756" s="36" t="str">
        <x:v>FREIGEGEBEN</x:v>
      </x:c>
      <x:c r="AJ756" s="36" t="str">
        <x:v>2. Korinther 2: repetitive Wiedererkennungsfrage durch KERNAUSSAGE-Frage ersetzt.</x:v>
      </x:c>
      <x:c r="AK756" s="36" t="str">
        <x:v>FaithPath repo develop/v4 · data/stories.json · data/bibles/l1912/2CO.json · data/bibles/otb/2CO.json</x:v>
      </x:c>
      <x:c r="AL756" t="str">
        <x:f>IF(AND(AG756="FREIGEGEBEN",AI756="FREIGEGEBEN",Q756&lt;&gt;"",R756&lt;&gt;"",S756&lt;&gt;"",T756&lt;&gt;"",U756&lt;&gt;"",ISNUMBER(V756),X756&lt;&gt;"",Y756&lt;&gt;"",AA756="JA",AB756="JA",AC756="JA",AD756="JA",AE756="JA",AF756="JA"),"JA","NEIN")</x:f>
        <x:v>JA</x:v>
      </x:c>
    </x:row>
    <x:row r="757">
      <x:c r="A757" t="str">
        <x:v>FP-1016</x:v>
      </x:c>
      <x:c r="B757" t="str">
        <x:v>2CO</x:v>
      </x:c>
      <x:c r="C757" t="str">
        <x:v>2. Korinther</x:v>
      </x:c>
      <x:c r="D757" t="n">
        <x:v>3</x:v>
      </x:c>
      <x:c r="E757" t="n">
        <x:v>1</x:v>
      </x:c>
      <x:c r="F757" t="str">
        <x:v>2CO-003</x:v>
      </x:c>
      <x:c r="G757" t="n">
        <x:v>152</x:v>
      </x:c>
      <x:c r="H757" t="str">
        <x:v>CQ-A08</x:v>
      </x:c>
      <x:c r="I757" s="36" t="str">
        <x:v>Welche dieser Aussagen stammt aus 2. Korinther 3?</x:v>
      </x:c>
      <x:c r="J757" s="36" t="str"/>
      <x:c r="K757" s="36" t="str"/>
      <x:c r="L757" s="36" t="str">
        <x:v>REPO_VERIFIZIERT_FRAGEFORM</x:v>
      </x:c>
      <x:c r="M757" s="36" t="str">
        <x:v>ERSETZEN</x:v>
      </x:c>
      <x:c r="N757" s="36" t="str">
        <x:v>REPETITIVE_FRAGEFORM</x:v>
      </x:c>
      <x:c r="O757" s="36" t="str">
        <x:v>REINE_WIEDERERKENNUNG</x:v>
      </x:c>
      <x:c r="P757" s="36" t="str">
        <x:v>ZUSAMMENHANG</x:v>
      </x:c>
      <x:c r="Q757" s="36" t="str">
        <x:v>Warum nennt Paulus die Korinther einen „Brief Christi“?</x:v>
      </x:c>
      <x:c r="R757" s="36" t="str">
        <x:v>Weil sie Paulus viele Briefe geschrieben haben.</x:v>
      </x:c>
      <x:c r="S757" s="36" t="str">
        <x:v>Weil jeder Christ einen neuen Gesetzestext verfassen soll.</x:v>
      </x:c>
      <x:c r="T757" s="36" t="str">
        <x:v>Weil Gottes Geist seine Wirkung in ihnen sichtbar gemacht hat, nicht mit Tinte auf Stein, sondern in Menschenherzen.</x:v>
      </x:c>
      <x:c r="U757" s="36" t="str">
        <x:v>Weil nur schriftliche Zeugnisse den Glauben beweisen.</x:v>
      </x:c>
      <x:c r="V757" s="36" t="n">
        <x:v>2</x:v>
      </x:c>
      <x:c r="W757" s="36" t="str">
        <x:f>CHOOSE(V757+1,R757,S757,T757,U757)</x:f>
        <x:v>Weil Gottes Geist seine Wirkung in ihnen sichtbar gemacht hat, nicht mit Tinte auf Stein, sondern in Menschenherzen.</x:v>
      </x:c>
      <x:c r="X757" s="36" t="str">
        <x:v>2. Korinther 3,2–3</x:v>
      </x:c>
      <x:c r="Y757" s="36" t="str">
        <x:v>Die veränderte Gemeinde selbst ist für Paulus ein sichtbares Zeugnis des Wirkens Christi durch den Geist.</x:v>
      </x:c>
      <x:c r="Z757" s="36" t="str">
        <x:v>JA</x:v>
      </x:c>
      <x:c r="AA757" s="36" t="str">
        <x:v>JA</x:v>
      </x:c>
      <x:c r="AB757" s="36" t="str">
        <x:v>JA</x:v>
      </x:c>
      <x:c r="AC757" s="36" t="str">
        <x:v>JA</x:v>
      </x:c>
      <x:c r="AD757" s="36" t="str">
        <x:v>JA</x:v>
      </x:c>
      <x:c r="AE757" s="36" t="str">
        <x:v>JA</x:v>
      </x:c>
      <x:c r="AF757" s="36" t="str">
        <x:v>JA</x:v>
      </x:c>
      <x:c r="AG757" s="36" t="str">
        <x:v>FREIGEGEBEN</x:v>
      </x:c>
      <x:c r="AH757" s="36" t="str">
        <x:v>GPT-5.6 Sol · Buchprüfung 2. Korinther · L1912/OTB</x:v>
      </x:c>
      <x:c r="AI757" s="36" t="str">
        <x:v>FREIGEGEBEN</x:v>
      </x:c>
      <x:c r="AJ757" s="36" t="str">
        <x:v>2. Korinther 3: repetitive Wiedererkennungsfrage durch ZUSAMMENHANG-Frage ersetzt.</x:v>
      </x:c>
      <x:c r="AK757" s="36" t="str">
        <x:v>FaithPath repo develop/v4 · data/stories.json · data/bibles/l1912/2CO.json · data/bibles/otb/2CO.json</x:v>
      </x:c>
      <x:c r="AL757" t="str">
        <x:f>IF(AND(AG757="FREIGEGEBEN",AI757="FREIGEGEBEN",Q757&lt;&gt;"",R757&lt;&gt;"",S757&lt;&gt;"",T757&lt;&gt;"",U757&lt;&gt;"",ISNUMBER(V757),X757&lt;&gt;"",Y757&lt;&gt;"",AA757="JA",AB757="JA",AC757="JA",AD757="JA",AE757="JA",AF757="JA"),"JA","NEIN")</x:f>
        <x:v>JA</x:v>
      </x:c>
    </x:row>
    <x:row r="758">
      <x:c r="A758" t="str">
        <x:v>FP-1017</x:v>
      </x:c>
      <x:c r="B758" t="str">
        <x:v>2CO</x:v>
      </x:c>
      <x:c r="C758" t="str">
        <x:v>2. Korinther</x:v>
      </x:c>
      <x:c r="D758" t="n">
        <x:v>3</x:v>
      </x:c>
      <x:c r="E758" t="n">
        <x:v>2</x:v>
      </x:c>
      <x:c r="F758" t="str">
        <x:v>2CO-003</x:v>
      </x:c>
      <x:c r="G758" t="n">
        <x:v>152</x:v>
      </x:c>
      <x:c r="H758" t="str">
        <x:v>CQ-A08</x:v>
      </x:c>
      <x:c r="I758" s="36" t="str">
        <x:v>Welche dieser Aussagen stammt aus 2. Korinther 3?</x:v>
      </x:c>
      <x:c r="J758" s="36" t="str"/>
      <x:c r="K758" s="36" t="str"/>
      <x:c r="L758" s="36" t="str">
        <x:v>REPO_VERIFIZIERT_FRAGEFORM</x:v>
      </x:c>
      <x:c r="M758" s="36" t="str">
        <x:v>ERSETZEN</x:v>
      </x:c>
      <x:c r="N758" s="36" t="str">
        <x:v>REPETITIVE_FRAGEFORM</x:v>
      </x:c>
      <x:c r="O758" s="36" t="str">
        <x:v>REINE_WIEDERERKENNUNG</x:v>
      </x:c>
      <x:c r="P758" s="36" t="str">
        <x:v>KERNAUSSAGE</x:v>
      </x:c>
      <x:c r="Q758" s="36" t="str">
        <x:v>Woher kommt nach Paulus seine Befähigung zum Dienst des neuen Bundes?</x:v>
      </x:c>
      <x:c r="R758" s="36" t="str">
        <x:v>Aus seiner eigenen natürlichen Begabung.</x:v>
      </x:c>
      <x:c r="S758" s="36" t="str">
        <x:v>Aus seiner Ausbildung allein.</x:v>
      </x:c>
      <x:c r="T758" s="36" t="str">
        <x:v>Von der Gemeinde in Jerusalem.</x:v>
      </x:c>
      <x:c r="U758" s="36" t="str">
        <x:v>Von Gott, der zum Dienst des Geistes befähigt.</x:v>
      </x:c>
      <x:c r="V758" s="36" t="n">
        <x:v>3</x:v>
      </x:c>
      <x:c r="W758" s="36" t="str">
        <x:f>CHOOSE(V758+1,R758,S758,T758,U758)</x:f>
        <x:v>Von Gott, der zum Dienst des Geistes befähigt.</x:v>
      </x:c>
      <x:c r="X758" s="36" t="str">
        <x:v>2. Korinther 3,4–6</x:v>
      </x:c>
      <x:c r="Y758" s="36" t="str">
        <x:v>Paulus lehnt Selbstgenügsamkeit ab und schreibt seine Tüchtigkeit Gott zu.</x:v>
      </x:c>
      <x:c r="Z758" s="36" t="str">
        <x:v>JA</x:v>
      </x:c>
      <x:c r="AA758" s="36" t="str">
        <x:v>JA</x:v>
      </x:c>
      <x:c r="AB758" s="36" t="str">
        <x:v>JA</x:v>
      </x:c>
      <x:c r="AC758" s="36" t="str">
        <x:v>JA</x:v>
      </x:c>
      <x:c r="AD758" s="36" t="str">
        <x:v>JA</x:v>
      </x:c>
      <x:c r="AE758" s="36" t="str">
        <x:v>JA</x:v>
      </x:c>
      <x:c r="AF758" s="36" t="str">
        <x:v>JA</x:v>
      </x:c>
      <x:c r="AG758" s="36" t="str">
        <x:v>FREIGEGEBEN</x:v>
      </x:c>
      <x:c r="AH758" s="36" t="str">
        <x:v>GPT-5.6 Sol · Buchprüfung 2. Korinther · L1912/OTB</x:v>
      </x:c>
      <x:c r="AI758" s="36" t="str">
        <x:v>FREIGEGEBEN</x:v>
      </x:c>
      <x:c r="AJ758" s="36" t="str">
        <x:v>2. Korinther 3: repetitive Wiedererkennungsfrage durch KERNAUSSAGE-Frage ersetzt.</x:v>
      </x:c>
      <x:c r="AK758" s="36" t="str">
        <x:v>FaithPath repo develop/v4 · data/stories.json · data/bibles/l1912/2CO.json · data/bibles/otb/2CO.json</x:v>
      </x:c>
      <x:c r="AL758" t="str">
        <x:f>IF(AND(AG758="FREIGEGEBEN",AI758="FREIGEGEBEN",Q758&lt;&gt;"",R758&lt;&gt;"",S758&lt;&gt;"",T758&lt;&gt;"",U758&lt;&gt;"",ISNUMBER(V758),X758&lt;&gt;"",Y758&lt;&gt;"",AA758="JA",AB758="JA",AC758="JA",AD758="JA",AE758="JA",AF758="JA"),"JA","NEIN")</x:f>
        <x:v>JA</x:v>
      </x:c>
    </x:row>
    <x:row r="759">
      <x:c r="A759" t="str">
        <x:v>FP-1018</x:v>
      </x:c>
      <x:c r="B759" t="str">
        <x:v>2CO</x:v>
      </x:c>
      <x:c r="C759" t="str">
        <x:v>2. Korinther</x:v>
      </x:c>
      <x:c r="D759" t="n">
        <x:v>3</x:v>
      </x:c>
      <x:c r="E759" t="n">
        <x:v>3</x:v>
      </x:c>
      <x:c r="F759" t="str">
        <x:v>2CO-003</x:v>
      </x:c>
      <x:c r="G759" t="n">
        <x:v>152</x:v>
      </x:c>
      <x:c r="H759" t="str">
        <x:v>CQ-A08</x:v>
      </x:c>
      <x:c r="I759" s="36" t="str">
        <x:v>Welche dieser Aussagen stammt aus 2. Korinther 3?</x:v>
      </x:c>
      <x:c r="J759" s="36" t="str"/>
      <x:c r="K759" s="36" t="str"/>
      <x:c r="L759" s="36" t="str">
        <x:v>REPO_VERIFIZIERT_FRAGEFORM</x:v>
      </x:c>
      <x:c r="M759" s="36" t="str">
        <x:v>ERSETZEN</x:v>
      </x:c>
      <x:c r="N759" s="36" t="str">
        <x:v>REPETITIVE_FRAGEFORM</x:v>
      </x:c>
      <x:c r="O759" s="36" t="str">
        <x:v>REINE_WIEDERERKENNUNG</x:v>
      </x:c>
      <x:c r="P759" s="36" t="str">
        <x:v>ZUSAMMENHANG</x:v>
      </x:c>
      <x:c r="Q759" s="36" t="str">
        <x:v>Wie vergleicht Paulus den Dienst des alten und des neuen Bundes im Blick auf Herrlichkeit?</x:v>
      </x:c>
      <x:c r="R759" s="36" t="str">
        <x:v>Wenn schon der in Stein geschriebene Dienst Herrlichkeit hatte, ist der Dienst des Geistes von noch größerer und bleibender Herrlichkeit.</x:v>
      </x:c>
      <x:c r="S759" s="36" t="str">
        <x:v>Der neue Bund besitzt keinerlei Herrlichkeit.</x:v>
      </x:c>
      <x:c r="T759" s="36" t="str">
        <x:v>Beide Dienste sind vollkommen identisch.</x:v>
      </x:c>
      <x:c r="U759" s="36" t="str">
        <x:v>Nur der alte Bund hat mit Gottes Herrlichkeit zu tun.</x:v>
      </x:c>
      <x:c r="V759" s="36" t="n">
        <x:v>0</x:v>
      </x:c>
      <x:c r="W759" s="36" t="str">
        <x:f>CHOOSE(V759+1,R759,S759,T759,U759)</x:f>
        <x:v>Wenn schon der in Stein geschriebene Dienst Herrlichkeit hatte, ist der Dienst des Geistes von noch größerer und bleibender Herrlichkeit.</x:v>
      </x:c>
      <x:c r="X759" s="36" t="str">
        <x:v>2. Korinther 3,7–11</x:v>
      </x:c>
      <x:c r="Y759" s="36" t="str">
        <x:v>Paulus argumentiert vom geringeren zum größeren und betont die überragende Herrlichkeit des Dienstes des Geistes.</x:v>
      </x:c>
      <x:c r="Z759" s="36" t="str">
        <x:v>JA</x:v>
      </x:c>
      <x:c r="AA759" s="36" t="str">
        <x:v>JA</x:v>
      </x:c>
      <x:c r="AB759" s="36" t="str">
        <x:v>JA</x:v>
      </x:c>
      <x:c r="AC759" s="36" t="str">
        <x:v>JA</x:v>
      </x:c>
      <x:c r="AD759" s="36" t="str">
        <x:v>JA</x:v>
      </x:c>
      <x:c r="AE759" s="36" t="str">
        <x:v>JA</x:v>
      </x:c>
      <x:c r="AF759" s="36" t="str">
        <x:v>JA</x:v>
      </x:c>
      <x:c r="AG759" s="36" t="str">
        <x:v>FREIGEGEBEN</x:v>
      </x:c>
      <x:c r="AH759" s="36" t="str">
        <x:v>GPT-5.6 Sol · Buchprüfung 2. Korinther · L1912/OTB</x:v>
      </x:c>
      <x:c r="AI759" s="36" t="str">
        <x:v>FREIGEGEBEN</x:v>
      </x:c>
      <x:c r="AJ759" s="36" t="str">
        <x:v>2. Korinther 3: repetitive Wiedererkennungsfrage durch ZUSAMMENHANG-Frage ersetzt.</x:v>
      </x:c>
      <x:c r="AK759" s="36" t="str">
        <x:v>FaithPath repo develop/v4 · data/stories.json · data/bibles/l1912/2CO.json · data/bibles/otb/2CO.json</x:v>
      </x:c>
      <x:c r="AL759" t="str">
        <x:f>IF(AND(AG759="FREIGEGEBEN",AI759="FREIGEGEBEN",Q759&lt;&gt;"",R759&lt;&gt;"",S759&lt;&gt;"",T759&lt;&gt;"",U759&lt;&gt;"",ISNUMBER(V759),X759&lt;&gt;"",Y759&lt;&gt;"",AA759="JA",AB759="JA",AC759="JA",AD759="JA",AE759="JA",AF759="JA"),"JA","NEIN")</x:f>
        <x:v>JA</x:v>
      </x:c>
    </x:row>
    <x:row r="760">
      <x:c r="A760" t="str">
        <x:v>FP-1019</x:v>
      </x:c>
      <x:c r="B760" t="str">
        <x:v>2CO</x:v>
      </x:c>
      <x:c r="C760" t="str">
        <x:v>2. Korinther</x:v>
      </x:c>
      <x:c r="D760" t="n">
        <x:v>3</x:v>
      </x:c>
      <x:c r="E760" t="n">
        <x:v>4</x:v>
      </x:c>
      <x:c r="F760" t="str">
        <x:v>2CO-003</x:v>
      </x:c>
      <x:c r="G760" t="n">
        <x:v>152</x:v>
      </x:c>
      <x:c r="H760" t="str">
        <x:v>CQ-A08</x:v>
      </x:c>
      <x:c r="I760" s="36" t="str">
        <x:v>Welche dieser Aussagen stammt aus 2. Korinther 3?</x:v>
      </x:c>
      <x:c r="J760" s="36" t="str"/>
      <x:c r="K760" s="36" t="str"/>
      <x:c r="L760" s="36" t="str">
        <x:v>REPO_VERIFIZIERT_FRAGEFORM</x:v>
      </x:c>
      <x:c r="M760" s="36" t="str">
        <x:v>ERSETZEN</x:v>
      </x:c>
      <x:c r="N760" s="36" t="str">
        <x:v>REPETITIVE_FRAGEFORM</x:v>
      </x:c>
      <x:c r="O760" s="36" t="str">
        <x:v>REINE_WIEDERERKENNUNG</x:v>
      </x:c>
      <x:c r="P760" s="36" t="str">
        <x:v>ZUSAMMENHANG</x:v>
      </x:c>
      <x:c r="Q760" s="36" t="str">
        <x:v>Wann wird nach Paulus die Decke, die das Verständnis verhüllt, weggenommen?</x:v>
      </x:c>
      <x:c r="R760" s="36" t="str">
        <x:v>Wenn er genügend Bildung erwirbt.</x:v>
      </x:c>
      <x:c r="S760" s="36" t="str">
        <x:v>Wenn sich ein Mensch zum Herrn wendet.</x:v>
      </x:c>
      <x:c r="T760" s="36" t="str">
        <x:v>Wenn er nach Jerusalem reist.</x:v>
      </x:c>
      <x:c r="U760" s="36" t="str">
        <x:v>Wenn er das Gesetz nie mehr liest.</x:v>
      </x:c>
      <x:c r="V760" s="36" t="n">
        <x:v>1</x:v>
      </x:c>
      <x:c r="W760" s="36" t="str">
        <x:f>CHOOSE(V760+1,R760,S760,T760,U760)</x:f>
        <x:v>Wenn sich ein Mensch zum Herrn wendet.</x:v>
      </x:c>
      <x:c r="X760" s="36" t="str">
        <x:v>2. Korinther 3,12–16</x:v>
      </x:c>
      <x:c r="Y760" s="36" t="str">
        <x:v>Paulus beschreibt die Wegnahme der Decke in der Hinwendung zum Herrn.</x:v>
      </x:c>
      <x:c r="Z760" s="36" t="str">
        <x:v>JA</x:v>
      </x:c>
      <x:c r="AA760" s="36" t="str">
        <x:v>JA</x:v>
      </x:c>
      <x:c r="AB760" s="36" t="str">
        <x:v>JA</x:v>
      </x:c>
      <x:c r="AC760" s="36" t="str">
        <x:v>JA</x:v>
      </x:c>
      <x:c r="AD760" s="36" t="str">
        <x:v>JA</x:v>
      </x:c>
      <x:c r="AE760" s="36" t="str">
        <x:v>JA</x:v>
      </x:c>
      <x:c r="AF760" s="36" t="str">
        <x:v>JA</x:v>
      </x:c>
      <x:c r="AG760" s="36" t="str">
        <x:v>FREIGEGEBEN</x:v>
      </x:c>
      <x:c r="AH760" s="36" t="str">
        <x:v>GPT-5.6 Sol · Buchprüfung 2. Korinther · L1912/OTB</x:v>
      </x:c>
      <x:c r="AI760" s="36" t="str">
        <x:v>FREIGEGEBEN</x:v>
      </x:c>
      <x:c r="AJ760" s="36" t="str">
        <x:v>2. Korinther 3: repetitive Wiedererkennungsfrage durch ZUSAMMENHANG-Frage ersetzt.</x:v>
      </x:c>
      <x:c r="AK760" s="36" t="str">
        <x:v>FaithPath repo develop/v4 · data/stories.json · data/bibles/l1912/2CO.json · data/bibles/otb/2CO.json</x:v>
      </x:c>
      <x:c r="AL760" t="str">
        <x:f>IF(AND(AG760="FREIGEGEBEN",AI760="FREIGEGEBEN",Q760&lt;&gt;"",R760&lt;&gt;"",S760&lt;&gt;"",T760&lt;&gt;"",U760&lt;&gt;"",ISNUMBER(V760),X760&lt;&gt;"",Y760&lt;&gt;"",AA760="JA",AB760="JA",AC760="JA",AD760="JA",AE760="JA",AF760="JA"),"JA","NEIN")</x:f>
        <x:v>JA</x:v>
      </x:c>
    </x:row>
    <x:row r="761">
      <x:c r="A761" t="str">
        <x:v>FP-1020</x:v>
      </x:c>
      <x:c r="B761" t="str">
        <x:v>2CO</x:v>
      </x:c>
      <x:c r="C761" t="str">
        <x:v>2. Korinther</x:v>
      </x:c>
      <x:c r="D761" t="n">
        <x:v>3</x:v>
      </x:c>
      <x:c r="E761" t="n">
        <x:v>5</x:v>
      </x:c>
      <x:c r="F761" t="str">
        <x:v>2CO-003</x:v>
      </x:c>
      <x:c r="G761" t="n">
        <x:v>152</x:v>
      </x:c>
      <x:c r="H761" t="str">
        <x:v>CQ-A08</x:v>
      </x:c>
      <x:c r="I761" s="36" t="str">
        <x:v>Welche dieser Aussagen stammt aus 2. Korinther 3?</x:v>
      </x:c>
      <x:c r="J761" s="36" t="str"/>
      <x:c r="K761" s="36" t="str"/>
      <x:c r="L761" s="36" t="str">
        <x:v>REPO_VERIFIZIERT_FRAGEFORM</x:v>
      </x:c>
      <x:c r="M761" s="36" t="str">
        <x:v>ERSETZEN</x:v>
      </x:c>
      <x:c r="N761" s="36" t="str">
        <x:v>REPETITIVE_FRAGEFORM</x:v>
      </x:c>
      <x:c r="O761" s="36" t="str">
        <x:v>REINE_WIEDERERKENNUNG</x:v>
      </x:c>
      <x:c r="P761" s="36" t="str">
        <x:v>KERNAUSSAGE</x:v>
      </x:c>
      <x:c r="Q761" s="36" t="str">
        <x:v>Welche Wirkung verbindet Paulus mit dem Geist des Herrn?</x:v>
      </x:c>
      <x:c r="R761" s="36" t="str">
        <x:v>Eine vollständige Freiheit von jeder Verantwortung.</x:v>
      </x:c>
      <x:c r="S761" s="36" t="str">
        <x:v>Nur äußere religiöse Veränderungen.</x:v>
      </x:c>
      <x:c r="T761" s="36" t="str">
        <x:v>Freiheit und eine fortschreitende Verwandlung in das Bild des Herrn.</x:v>
      </x:c>
      <x:c r="U761" s="36" t="str">
        <x:v>Die Abschaffung jeder Gemeinschaft.</x:v>
      </x:c>
      <x:c r="V761" s="36" t="n">
        <x:v>2</x:v>
      </x:c>
      <x:c r="W761" s="36" t="str">
        <x:f>CHOOSE(V761+1,R761,S761,T761,U761)</x:f>
        <x:v>Freiheit und eine fortschreitende Verwandlung in das Bild des Herrn.</x:v>
      </x:c>
      <x:c r="X761" s="36" t="str">
        <x:v>2. Korinther 3,17–18</x:v>
      </x:c>
      <x:c r="Y761" s="36" t="str">
        <x:v>Wo der Geist des Herrn ist, ist Freiheit; zugleich beschreibt Paulus eine Verwandlung von Herrlichkeit zu Herrlichkeit.</x:v>
      </x:c>
      <x:c r="Z761" s="36" t="str">
        <x:v>JA</x:v>
      </x:c>
      <x:c r="AA761" s="36" t="str">
        <x:v>JA</x:v>
      </x:c>
      <x:c r="AB761" s="36" t="str">
        <x:v>JA</x:v>
      </x:c>
      <x:c r="AC761" s="36" t="str">
        <x:v>JA</x:v>
      </x:c>
      <x:c r="AD761" s="36" t="str">
        <x:v>JA</x:v>
      </x:c>
      <x:c r="AE761" s="36" t="str">
        <x:v>JA</x:v>
      </x:c>
      <x:c r="AF761" s="36" t="str">
        <x:v>JA</x:v>
      </x:c>
      <x:c r="AG761" s="36" t="str">
        <x:v>FREIGEGEBEN</x:v>
      </x:c>
      <x:c r="AH761" s="36" t="str">
        <x:v>GPT-5.6 Sol · Buchprüfung 2. Korinther · L1912/OTB</x:v>
      </x:c>
      <x:c r="AI761" s="36" t="str">
        <x:v>FREIGEGEBEN</x:v>
      </x:c>
      <x:c r="AJ761" s="36" t="str">
        <x:v>2. Korinther 3: repetitive Wiedererkennungsfrage durch KERNAUSSAGE-Frage ersetzt.</x:v>
      </x:c>
      <x:c r="AK761" s="36" t="str">
        <x:v>FaithPath repo develop/v4 · data/stories.json · data/bibles/l1912/2CO.json · data/bibles/otb/2CO.json</x:v>
      </x:c>
      <x:c r="AL761" t="str">
        <x:f>IF(AND(AG761="FREIGEGEBEN",AI761="FREIGEGEBEN",Q761&lt;&gt;"",R761&lt;&gt;"",S761&lt;&gt;"",T761&lt;&gt;"",U761&lt;&gt;"",ISNUMBER(V761),X761&lt;&gt;"",Y761&lt;&gt;"",AA761="JA",AB761="JA",AC761="JA",AD761="JA",AE761="JA",AF761="JA"),"JA","NEIN")</x:f>
        <x:v>JA</x:v>
      </x:c>
    </x:row>
    <x:row r="762">
      <x:c r="A762" t="str">
        <x:v>FP-1021</x:v>
      </x:c>
      <x:c r="B762" t="str">
        <x:v>2CO</x:v>
      </x:c>
      <x:c r="C762" t="str">
        <x:v>2. Korinther</x:v>
      </x:c>
      <x:c r="D762" t="n">
        <x:v>4</x:v>
      </x:c>
      <x:c r="E762" t="n">
        <x:v>1</x:v>
      </x:c>
      <x:c r="F762" t="str">
        <x:v>2CO-004</x:v>
      </x:c>
      <x:c r="G762" t="n">
        <x:v>153</x:v>
      </x:c>
      <x:c r="H762" t="str">
        <x:v>CQ-A08</x:v>
      </x:c>
      <x:c r="I762" s="36" t="str">
        <x:v>Welche dieser Aussagen stammt aus 2. Korinther 4?</x:v>
      </x:c>
      <x:c r="J762" s="36" t="str"/>
      <x:c r="K762" s="36" t="str"/>
      <x:c r="L762" s="36" t="str">
        <x:v>REPO_VERIFIZIERT_FRAGEFORM</x:v>
      </x:c>
      <x:c r="M762" s="36" t="str">
        <x:v>ERSETZEN</x:v>
      </x:c>
      <x:c r="N762" s="36" t="str">
        <x:v>REPETITIVE_FRAGEFORM</x:v>
      </x:c>
      <x:c r="O762" s="36" t="str">
        <x:v>REINE_WIEDERERKENNUNG</x:v>
      </x:c>
      <x:c r="P762" s="36" t="str">
        <x:v>KERNAUSSAGE</x:v>
      </x:c>
      <x:c r="Q762" s="36" t="str">
        <x:v>Wie will Paulus seinen Dienst ausüben, weil er ihn aus Gottes Barmherzigkeit empfangen hat?</x:v>
      </x:c>
      <x:c r="R762" s="36" t="str">
        <x:v>Mit möglichst vielen geheimen Methoden.</x:v>
      </x:c>
      <x:c r="S762" s="36" t="str">
        <x:v>Mit Anpassung der Wahrheit an jedes Publikum.</x:v>
      </x:c>
      <x:c r="T762" s="36" t="str">
        <x:v>Nur durch Zeichen ohne Verkündigung.</x:v>
      </x:c>
      <x:c r="U762" s="36" t="str">
        <x:v>Ohne Mutlosigkeit, geheime Schande oder Verfälschung des Wortes Gottes, sondern durch offene Wahrheit.</x:v>
      </x:c>
      <x:c r="V762" s="36" t="n">
        <x:v>3</x:v>
      </x:c>
      <x:c r="W762" s="36" t="str">
        <x:f>CHOOSE(V762+1,R762,S762,T762,U762)</x:f>
        <x:v>Ohne Mutlosigkeit, geheime Schande oder Verfälschung des Wortes Gottes, sondern durch offene Wahrheit.</x:v>
      </x:c>
      <x:c r="X762" s="36" t="str">
        <x:v>2. Korinther 4,1–2</x:v>
      </x:c>
      <x:c r="Y762" s="36" t="str">
        <x:v>Paulus verbindet Ausdauer im Dienst mit Aufrichtigkeit und offener Darstellung der Wahrheit.</x:v>
      </x:c>
      <x:c r="Z762" s="36" t="str">
        <x:v>JA</x:v>
      </x:c>
      <x:c r="AA762" s="36" t="str">
        <x:v>JA</x:v>
      </x:c>
      <x:c r="AB762" s="36" t="str">
        <x:v>JA</x:v>
      </x:c>
      <x:c r="AC762" s="36" t="str">
        <x:v>JA</x:v>
      </x:c>
      <x:c r="AD762" s="36" t="str">
        <x:v>JA</x:v>
      </x:c>
      <x:c r="AE762" s="36" t="str">
        <x:v>JA</x:v>
      </x:c>
      <x:c r="AF762" s="36" t="str">
        <x:v>JA</x:v>
      </x:c>
      <x:c r="AG762" s="36" t="str">
        <x:v>FREIGEGEBEN</x:v>
      </x:c>
      <x:c r="AH762" s="36" t="str">
        <x:v>GPT-5.6 Sol · Buchprüfung 2. Korinther · L1912/OTB</x:v>
      </x:c>
      <x:c r="AI762" s="36" t="str">
        <x:v>FREIGEGEBEN</x:v>
      </x:c>
      <x:c r="AJ762" s="36" t="str">
        <x:v>2. Korinther 4: repetitive Wiedererkennungsfrage durch KERNAUSSAGE-Frage ersetzt.</x:v>
      </x:c>
      <x:c r="AK762" s="36" t="str">
        <x:v>FaithPath repo develop/v4 · data/stories.json · data/bibles/l1912/2CO.json · data/bibles/otb/2CO.json</x:v>
      </x:c>
      <x:c r="AL762" t="str">
        <x:f>IF(AND(AG762="FREIGEGEBEN",AI762="FREIGEGEBEN",Q762&lt;&gt;"",R762&lt;&gt;"",S762&lt;&gt;"",T762&lt;&gt;"",U762&lt;&gt;"",ISNUMBER(V762),X762&lt;&gt;"",Y762&lt;&gt;"",AA762="JA",AB762="JA",AC762="JA",AD762="JA",AE762="JA",AF762="JA"),"JA","NEIN")</x:f>
        <x:v>JA</x:v>
      </x:c>
    </x:row>
    <x:row r="763">
      <x:c r="A763" t="str">
        <x:v>FP-1022</x:v>
      </x:c>
      <x:c r="B763" t="str">
        <x:v>2CO</x:v>
      </x:c>
      <x:c r="C763" t="str">
        <x:v>2. Korinther</x:v>
      </x:c>
      <x:c r="D763" t="n">
        <x:v>4</x:v>
      </x:c>
      <x:c r="E763" t="n">
        <x:v>2</x:v>
      </x:c>
      <x:c r="F763" t="str">
        <x:v>2CO-004</x:v>
      </x:c>
      <x:c r="G763" t="n">
        <x:v>153</x:v>
      </x:c>
      <x:c r="H763" t="str">
        <x:v>CQ-A08</x:v>
      </x:c>
      <x:c r="I763" s="36" t="str">
        <x:v>Welche dieser Aussagen stammt aus 2. Korinther 4?</x:v>
      </x:c>
      <x:c r="J763" s="36" t="str"/>
      <x:c r="K763" s="36" t="str"/>
      <x:c r="L763" s="36" t="str">
        <x:v>REPO_VERIFIZIERT_FRAGEFORM</x:v>
      </x:c>
      <x:c r="M763" s="36" t="str">
        <x:v>ERSETZEN</x:v>
      </x:c>
      <x:c r="N763" s="36" t="str">
        <x:v>REPETITIVE_FRAGEFORM</x:v>
      </x:c>
      <x:c r="O763" s="36" t="str">
        <x:v>REINE_WIEDERERKENNUNG</x:v>
      </x:c>
      <x:c r="P763" s="36" t="str">
        <x:v>ZUSAMMENHANG</x:v>
      </x:c>
      <x:c r="Q763" s="36" t="str">
        <x:v>Warum bleibt das Evangelium manchen Menschen verhüllt?</x:v>
      </x:c>
      <x:c r="R763" s="36" t="str">
        <x:v>Der Gott dieser Weltzeit verblendet den Sinn der Ungläubigen, sodass sie das Licht des Evangeliums von Christi Herrlichkeit nicht sehen.</x:v>
      </x:c>
      <x:c r="S763" s="36" t="str">
        <x:v>Weil das Evangelium absichtlich ohne Inhalt verkündigt wird.</x:v>
      </x:c>
      <x:c r="T763" s="36" t="str">
        <x:v>Weil nur Apostel es verstehen dürfen.</x:v>
      </x:c>
      <x:c r="U763" s="36" t="str">
        <x:v>Weil Christus keine Herrlichkeit besitzt.</x:v>
      </x:c>
      <x:c r="V763" s="36" t="n">
        <x:v>0</x:v>
      </x:c>
      <x:c r="W763" s="36" t="str">
        <x:f>CHOOSE(V763+1,R763,S763,T763,U763)</x:f>
        <x:v>Der Gott dieser Weltzeit verblendet den Sinn der Ungläubigen, sodass sie das Licht des Evangeliums von Christi Herrlichkeit nicht sehen.</x:v>
      </x:c>
      <x:c r="X763" s="36" t="str">
        <x:v>2. Korinther 4,3–4</x:v>
      </x:c>
      <x:c r="Y763" s="36" t="str">
        <x:v>Paulus beschreibt geistliche Blindheit als Hindernis für das Erkennen des Evangeliums.</x:v>
      </x:c>
      <x:c r="Z763" s="36" t="str">
        <x:v>JA</x:v>
      </x:c>
      <x:c r="AA763" s="36" t="str">
        <x:v>JA</x:v>
      </x:c>
      <x:c r="AB763" s="36" t="str">
        <x:v>JA</x:v>
      </x:c>
      <x:c r="AC763" s="36" t="str">
        <x:v>JA</x:v>
      </x:c>
      <x:c r="AD763" s="36" t="str">
        <x:v>JA</x:v>
      </x:c>
      <x:c r="AE763" s="36" t="str">
        <x:v>JA</x:v>
      </x:c>
      <x:c r="AF763" s="36" t="str">
        <x:v>JA</x:v>
      </x:c>
      <x:c r="AG763" s="36" t="str">
        <x:v>FREIGEGEBEN</x:v>
      </x:c>
      <x:c r="AH763" s="36" t="str">
        <x:v>GPT-5.6 Sol · Buchprüfung 2. Korinther · L1912/OTB</x:v>
      </x:c>
      <x:c r="AI763" s="36" t="str">
        <x:v>FREIGEGEBEN</x:v>
      </x:c>
      <x:c r="AJ763" s="36" t="str">
        <x:v>2. Korinther 4: repetitive Wiedererkennungsfrage durch ZUSAMMENHANG-Frage ersetzt.</x:v>
      </x:c>
      <x:c r="AK763" s="36" t="str">
        <x:v>FaithPath repo develop/v4 · data/stories.json · data/bibles/l1912/2CO.json · data/bibles/otb/2CO.json</x:v>
      </x:c>
      <x:c r="AL763" t="str">
        <x:f>IF(AND(AG763="FREIGEGEBEN",AI763="FREIGEGEBEN",Q763&lt;&gt;"",R763&lt;&gt;"",S763&lt;&gt;"",T763&lt;&gt;"",U763&lt;&gt;"",ISNUMBER(V763),X763&lt;&gt;"",Y763&lt;&gt;"",AA763="JA",AB763="JA",AC763="JA",AD763="JA",AE763="JA",AF763="JA"),"JA","NEIN")</x:f>
        <x:v>JA</x:v>
      </x:c>
    </x:row>
    <x:row r="764">
      <x:c r="A764" t="str">
        <x:v>FP-1023</x:v>
      </x:c>
      <x:c r="B764" t="str">
        <x:v>2CO</x:v>
      </x:c>
      <x:c r="C764" t="str">
        <x:v>2. Korinther</x:v>
      </x:c>
      <x:c r="D764" t="n">
        <x:v>4</x:v>
      </x:c>
      <x:c r="E764" t="n">
        <x:v>3</x:v>
      </x:c>
      <x:c r="F764" t="str">
        <x:v>2CO-004</x:v>
      </x:c>
      <x:c r="G764" t="n">
        <x:v>153</x:v>
      </x:c>
      <x:c r="H764" t="str">
        <x:v>CQ-A08</x:v>
      </x:c>
      <x:c r="I764" s="36" t="str">
        <x:v>Welche dieser Aussagen stammt aus 2. Korinther 4?</x:v>
      </x:c>
      <x:c r="J764" s="36" t="str"/>
      <x:c r="K764" s="36" t="str"/>
      <x:c r="L764" s="36" t="str">
        <x:v>REPO_VERIFIZIERT_FRAGEFORM</x:v>
      </x:c>
      <x:c r="M764" s="36" t="str">
        <x:v>ERSETZEN</x:v>
      </x:c>
      <x:c r="N764" s="36" t="str">
        <x:v>REPETITIVE_FRAGEFORM</x:v>
      </x:c>
      <x:c r="O764" s="36" t="str">
        <x:v>REINE_WIEDERERKENNUNG</x:v>
      </x:c>
      <x:c r="P764" s="36" t="str">
        <x:v>KERNAUSSAGE</x:v>
      </x:c>
      <x:c r="Q764" s="36" t="str">
        <x:v>Was verkündet Paulus statt sich selbst, und warum spricht er von einem Schatz in irdenen Gefäßen?</x:v>
      </x:c>
      <x:c r="R764" s="36" t="str">
        <x:v>Paulus selbst als Vorbild; der Schatz zeigt seinen persönlichen Wert.</x:v>
      </x:c>
      <x:c r="S764" s="36" t="str">
        <x:v>Jesus Christus als Herrn; der Schatz in schwachen Gefäßen zeigt, dass die überragende Kraft von Gott kommt.</x:v>
      </x:c>
      <x:c r="T764" s="36" t="str">
        <x:v>Menschliche Weisheit; das Gefäß steht für Bildung.</x:v>
      </x:c>
      <x:c r="U764" s="36" t="str">
        <x:v>Das Gesetz allein; das Gefäß steht für den Tempel.</x:v>
      </x:c>
      <x:c r="V764" s="36" t="n">
        <x:v>1</x:v>
      </x:c>
      <x:c r="W764" s="36" t="str">
        <x:f>CHOOSE(V764+1,R764,S764,T764,U764)</x:f>
        <x:v>Jesus Christus als Herrn; der Schatz in schwachen Gefäßen zeigt, dass die überragende Kraft von Gott kommt.</x:v>
      </x:c>
      <x:c r="X764" s="36" t="str">
        <x:v>2. Korinther 4,5–7</x:v>
      </x:c>
      <x:c r="Y764" s="36" t="str">
        <x:v>Die Schwachheit des menschlichen Trägers soll sichtbar machen, dass die Kraft der Botschaft von Gott stammt.</x:v>
      </x:c>
      <x:c r="Z764" s="36" t="str">
        <x:v>JA</x:v>
      </x:c>
      <x:c r="AA764" s="36" t="str">
        <x:v>JA</x:v>
      </x:c>
      <x:c r="AB764" s="36" t="str">
        <x:v>JA</x:v>
      </x:c>
      <x:c r="AC764" s="36" t="str">
        <x:v>JA</x:v>
      </x:c>
      <x:c r="AD764" s="36" t="str">
        <x:v>JA</x:v>
      </x:c>
      <x:c r="AE764" s="36" t="str">
        <x:v>JA</x:v>
      </x:c>
      <x:c r="AF764" s="36" t="str">
        <x:v>JA</x:v>
      </x:c>
      <x:c r="AG764" s="36" t="str">
        <x:v>FREIGEGEBEN</x:v>
      </x:c>
      <x:c r="AH764" s="36" t="str">
        <x:v>GPT-5.6 Sol · Buchprüfung 2. Korinther · L1912/OTB</x:v>
      </x:c>
      <x:c r="AI764" s="36" t="str">
        <x:v>FREIGEGEBEN</x:v>
      </x:c>
      <x:c r="AJ764" s="36" t="str">
        <x:v>2. Korinther 4: repetitive Wiedererkennungsfrage durch KERNAUSSAGE-Frage ersetzt.</x:v>
      </x:c>
      <x:c r="AK764" s="36" t="str">
        <x:v>FaithPath repo develop/v4 · data/stories.json · data/bibles/l1912/2CO.json · data/bibles/otb/2CO.json</x:v>
      </x:c>
      <x:c r="AL764" t="str">
        <x:f>IF(AND(AG764="FREIGEGEBEN",AI764="FREIGEGEBEN",Q764&lt;&gt;"",R764&lt;&gt;"",S764&lt;&gt;"",T764&lt;&gt;"",U764&lt;&gt;"",ISNUMBER(V764),X764&lt;&gt;"",Y764&lt;&gt;"",AA764="JA",AB764="JA",AC764="JA",AD764="JA",AE764="JA",AF764="JA"),"JA","NEIN")</x:f>
        <x:v>JA</x:v>
      </x:c>
    </x:row>
    <x:row r="765">
      <x:c r="A765" t="str">
        <x:v>FP-1024</x:v>
      </x:c>
      <x:c r="B765" t="str">
        <x:v>2CO</x:v>
      </x:c>
      <x:c r="C765" t="str">
        <x:v>2. Korinther</x:v>
      </x:c>
      <x:c r="D765" t="n">
        <x:v>4</x:v>
      </x:c>
      <x:c r="E765" t="n">
        <x:v>4</x:v>
      </x:c>
      <x:c r="F765" t="str">
        <x:v>2CO-004</x:v>
      </x:c>
      <x:c r="G765" t="n">
        <x:v>153</x:v>
      </x:c>
      <x:c r="H765" t="str">
        <x:v>CQ-A08</x:v>
      </x:c>
      <x:c r="I765" s="36" t="str">
        <x:v>Welche dieser Aussagen stammt aus 2. Korinther 4?</x:v>
      </x:c>
      <x:c r="J765" s="36" t="str"/>
      <x:c r="K765" s="36" t="str"/>
      <x:c r="L765" s="36" t="str">
        <x:v>REPO_VERIFIZIERT_FRAGEFORM</x:v>
      </x:c>
      <x:c r="M765" s="36" t="str">
        <x:v>ERSETZEN</x:v>
      </x:c>
      <x:c r="N765" s="36" t="str">
        <x:v>REPETITIVE_FRAGEFORM</x:v>
      </x:c>
      <x:c r="O765" s="36" t="str">
        <x:v>REINE_WIEDERERKENNUNG</x:v>
      </x:c>
      <x:c r="P765" s="36" t="str">
        <x:v>ZUSAMMENHANG</x:v>
      </x:c>
      <x:c r="Q765" s="36" t="str">
        <x:v>Wie beschreibt Paulus seine Bedrängnisse im Dienst?</x:v>
      </x:c>
      <x:c r="R765" s="36" t="str">
        <x:v>Völlig frei von Angst und Leiden.</x:v>
      </x:c>
      <x:c r="S765" s="36" t="str">
        <x:v>Ständig siegreich ohne sichtbare Schwäche.</x:v>
      </x:c>
      <x:c r="T765" s="36" t="str">
        <x:v>Bedrängt, aber nicht erdrückt; verfolgt, aber nicht verlassen; niedergeworfen, aber nicht vernichtet.</x:v>
      </x:c>
      <x:c r="U765" s="36" t="str">
        <x:v>So schwer, dass jeder Dienst unmöglich wird.</x:v>
      </x:c>
      <x:c r="V765" s="36" t="n">
        <x:v>2</x:v>
      </x:c>
      <x:c r="W765" s="36" t="str">
        <x:f>CHOOSE(V765+1,R765,S765,T765,U765)</x:f>
        <x:v>Bedrängt, aber nicht erdrückt; verfolgt, aber nicht verlassen; niedergeworfen, aber nicht vernichtet.</x:v>
      </x:c>
      <x:c r="X765" s="36" t="str">
        <x:v>2. Korinther 4,8–12</x:v>
      </x:c>
      <x:c r="Y765" s="36" t="str">
        <x:v>Paulus beschreibt reale Schwachheit und Leiden, aber zugleich Gottes bewahrende Kraft.</x:v>
      </x:c>
      <x:c r="Z765" s="36" t="str">
        <x:v>JA</x:v>
      </x:c>
      <x:c r="AA765" s="36" t="str">
        <x:v>JA</x:v>
      </x:c>
      <x:c r="AB765" s="36" t="str">
        <x:v>JA</x:v>
      </x:c>
      <x:c r="AC765" s="36" t="str">
        <x:v>JA</x:v>
      </x:c>
      <x:c r="AD765" s="36" t="str">
        <x:v>JA</x:v>
      </x:c>
      <x:c r="AE765" s="36" t="str">
        <x:v>JA</x:v>
      </x:c>
      <x:c r="AF765" s="36" t="str">
        <x:v>JA</x:v>
      </x:c>
      <x:c r="AG765" s="36" t="str">
        <x:v>FREIGEGEBEN</x:v>
      </x:c>
      <x:c r="AH765" s="36" t="str">
        <x:v>GPT-5.6 Sol · Buchprüfung 2. Korinther · L1912/OTB</x:v>
      </x:c>
      <x:c r="AI765" s="36" t="str">
        <x:v>FREIGEGEBEN</x:v>
      </x:c>
      <x:c r="AJ765" s="36" t="str">
        <x:v>2. Korinther 4: repetitive Wiedererkennungsfrage durch ZUSAMMENHANG-Frage ersetzt.</x:v>
      </x:c>
      <x:c r="AK765" s="36" t="str">
        <x:v>FaithPath repo develop/v4 · data/stories.json · data/bibles/l1912/2CO.json · data/bibles/otb/2CO.json</x:v>
      </x:c>
      <x:c r="AL765" t="str">
        <x:f>IF(AND(AG765="FREIGEGEBEN",AI765="FREIGEGEBEN",Q765&lt;&gt;"",R765&lt;&gt;"",S765&lt;&gt;"",T765&lt;&gt;"",U765&lt;&gt;"",ISNUMBER(V765),X765&lt;&gt;"",Y765&lt;&gt;"",AA765="JA",AB765="JA",AC765="JA",AD765="JA",AE765="JA",AF765="JA"),"JA","NEIN")</x:f>
        <x:v>JA</x:v>
      </x:c>
    </x:row>
    <x:row r="766">
      <x:c r="A766" t="str">
        <x:v>FP-1025</x:v>
      </x:c>
      <x:c r="B766" t="str">
        <x:v>2CO</x:v>
      </x:c>
      <x:c r="C766" t="str">
        <x:v>2. Korinther</x:v>
      </x:c>
      <x:c r="D766" t="n">
        <x:v>4</x:v>
      </x:c>
      <x:c r="E766" t="n">
        <x:v>5</x:v>
      </x:c>
      <x:c r="F766" t="str">
        <x:v>2CO-004</x:v>
      </x:c>
      <x:c r="G766" t="n">
        <x:v>153</x:v>
      </x:c>
      <x:c r="H766" t="str">
        <x:v>CQ-A08</x:v>
      </x:c>
      <x:c r="I766" s="36" t="str">
        <x:v>Welche dieser Aussagen stammt aus 2. Korinther 4?</x:v>
      </x:c>
      <x:c r="J766" s="36" t="str"/>
      <x:c r="K766" s="36" t="str"/>
      <x:c r="L766" s="36" t="str">
        <x:v>REPO_VERIFIZIERT_FRAGEFORM</x:v>
      </x:c>
      <x:c r="M766" s="36" t="str">
        <x:v>ERSETZEN</x:v>
      </x:c>
      <x:c r="N766" s="36" t="str">
        <x:v>REPETITIVE_FRAGEFORM</x:v>
      </x:c>
      <x:c r="O766" s="36" t="str">
        <x:v>REINE_WIEDERERKENNUNG</x:v>
      </x:c>
      <x:c r="P766" s="36" t="str">
        <x:v>KERNAUSSAGE</x:v>
      </x:c>
      <x:c r="Q766" s="36" t="str">
        <x:v>Warum verliert Paulus trotz des Verfalls des äußeren Menschen nicht den Mut?</x:v>
      </x:c>
      <x:c r="R766" s="36" t="str">
        <x:v>Weil der äußere Mensch nie altert.</x:v>
      </x:c>
      <x:c r="S766" s="36" t="str">
        <x:v>Weil Leiden für Christen nicht wirklich existiert.</x:v>
      </x:c>
      <x:c r="T766" s="36" t="str">
        <x:v>Weil nur Sichtbares für ihn zählt.</x:v>
      </x:c>
      <x:c r="U766" s="36" t="str">
        <x:v>Der innere Mensch wird erneuert, und die gegenwärtige Bedrängnis steht einer ewigen Herrlichkeit gegenüber.</x:v>
      </x:c>
      <x:c r="V766" s="36" t="n">
        <x:v>3</x:v>
      </x:c>
      <x:c r="W766" s="36" t="str">
        <x:f>CHOOSE(V766+1,R766,S766,T766,U766)</x:f>
        <x:v>Der innere Mensch wird erneuert, und die gegenwärtige Bedrängnis steht einer ewigen Herrlichkeit gegenüber.</x:v>
      </x:c>
      <x:c r="X766" s="36" t="str">
        <x:v>2. Korinther 4,16–18</x:v>
      </x:c>
      <x:c r="Y766" s="36" t="str">
        <x:v>Paulus richtet den Blick vom Sichtbaren und Vergänglichen auf das Unsichtbare und Ewige.</x:v>
      </x:c>
      <x:c r="Z766" s="36" t="str">
        <x:v>JA</x:v>
      </x:c>
      <x:c r="AA766" s="36" t="str">
        <x:v>JA</x:v>
      </x:c>
      <x:c r="AB766" s="36" t="str">
        <x:v>JA</x:v>
      </x:c>
      <x:c r="AC766" s="36" t="str">
        <x:v>JA</x:v>
      </x:c>
      <x:c r="AD766" s="36" t="str">
        <x:v>JA</x:v>
      </x:c>
      <x:c r="AE766" s="36" t="str">
        <x:v>JA</x:v>
      </x:c>
      <x:c r="AF766" s="36" t="str">
        <x:v>JA</x:v>
      </x:c>
      <x:c r="AG766" s="36" t="str">
        <x:v>FREIGEGEBEN</x:v>
      </x:c>
      <x:c r="AH766" s="36" t="str">
        <x:v>GPT-5.6 Sol · Buchprüfung 2. Korinther · L1912/OTB</x:v>
      </x:c>
      <x:c r="AI766" s="36" t="str">
        <x:v>FREIGEGEBEN</x:v>
      </x:c>
      <x:c r="AJ766" s="36" t="str">
        <x:v>2. Korinther 4: repetitive Wiedererkennungsfrage durch KERNAUSSAGE-Frage ersetzt.</x:v>
      </x:c>
      <x:c r="AK766" s="36" t="str">
        <x:v>FaithPath repo develop/v4 · data/stories.json · data/bibles/l1912/2CO.json · data/bibles/otb/2CO.json</x:v>
      </x:c>
      <x:c r="AL766" t="str">
        <x:f>IF(AND(AG766="FREIGEGEBEN",AI766="FREIGEGEBEN",Q766&lt;&gt;"",R766&lt;&gt;"",S766&lt;&gt;"",T766&lt;&gt;"",U766&lt;&gt;"",ISNUMBER(V766),X766&lt;&gt;"",Y766&lt;&gt;"",AA766="JA",AB766="JA",AC766="JA",AD766="JA",AE766="JA",AF766="JA"),"JA","NEIN")</x:f>
        <x:v>JA</x:v>
      </x:c>
    </x:row>
    <x:row r="767">
      <x:c r="A767" t="str">
        <x:v>FP-1026</x:v>
      </x:c>
      <x:c r="B767" t="str">
        <x:v>2CO</x:v>
      </x:c>
      <x:c r="C767" t="str">
        <x:v>2. Korinther</x:v>
      </x:c>
      <x:c r="D767" t="n">
        <x:v>5</x:v>
      </x:c>
      <x:c r="E767" t="n">
        <x:v>1</x:v>
      </x:c>
      <x:c r="F767" t="str">
        <x:v>2CO-005</x:v>
      </x:c>
      <x:c r="G767" t="n">
        <x:v>154</x:v>
      </x:c>
      <x:c r="H767" t="str">
        <x:v>CQ-A08</x:v>
      </x:c>
      <x:c r="I767" s="36" t="str">
        <x:v>Welche dieser Aussagen stammt aus 2. Korinther 5?</x:v>
      </x:c>
      <x:c r="J767" s="36" t="str"/>
      <x:c r="K767" s="36" t="str"/>
      <x:c r="L767" s="36" t="str">
        <x:v>REPO_VERIFIZIERT_FRAGEFORM</x:v>
      </x:c>
      <x:c r="M767" s="36" t="str">
        <x:v>ERSETZEN</x:v>
      </x:c>
      <x:c r="N767" s="36" t="str">
        <x:v>REPETITIVE_FRAGEFORM</x:v>
      </x:c>
      <x:c r="O767" s="36" t="str">
        <x:v>REINE_WIEDERERKENNUNG</x:v>
      </x:c>
      <x:c r="P767" s="36" t="str">
        <x:v>KERNAUSSAGE</x:v>
      </x:c>
      <x:c r="Q767" s="36" t="str">
        <x:v>Welche Hoffnung beschreibt Paulus mit dem Bild des irdischen Zeltes?</x:v>
      </x:c>
      <x:c r="R767" s="36" t="str">
        <x:v>Wenn das irdische Leben endet, gibt Gott eine ewige Behausung, die nicht von Menschen gemacht ist.</x:v>
      </x:c>
      <x:c r="S767" s="36" t="str">
        <x:v>Der menschliche Körper ist bedeutungslos und wird ersatzlos aufgegeben.</x:v>
      </x:c>
      <x:c r="T767" s="36" t="str">
        <x:v>Nur Apostel erhalten ein zukünftiges Leben.</x:v>
      </x:c>
      <x:c r="U767" s="36" t="str">
        <x:v>Die Hoffnung besteht in einem neuen Haus in Jerusalem.</x:v>
      </x:c>
      <x:c r="V767" s="36" t="n">
        <x:v>0</x:v>
      </x:c>
      <x:c r="W767" s="36" t="str">
        <x:f>CHOOSE(V767+1,R767,S767,T767,U767)</x:f>
        <x:v>Wenn das irdische Leben endet, gibt Gott eine ewige Behausung, die nicht von Menschen gemacht ist.</x:v>
      </x:c>
      <x:c r="X767" s="36" t="str">
        <x:v>2. Korinther 5,1–5</x:v>
      </x:c>
      <x:c r="Y767" s="36" t="str">
        <x:v>Paulus verwendet Zelt und Gebäude als Bild für gegenwärtige Vergänglichkeit und zukünftige von Gott gegebene Existenz.</x:v>
      </x:c>
      <x:c r="Z767" s="36" t="str">
        <x:v>JA</x:v>
      </x:c>
      <x:c r="AA767" s="36" t="str">
        <x:v>JA</x:v>
      </x:c>
      <x:c r="AB767" s="36" t="str">
        <x:v>JA</x:v>
      </x:c>
      <x:c r="AC767" s="36" t="str">
        <x:v>JA</x:v>
      </x:c>
      <x:c r="AD767" s="36" t="str">
        <x:v>JA</x:v>
      </x:c>
      <x:c r="AE767" s="36" t="str">
        <x:v>JA</x:v>
      </x:c>
      <x:c r="AF767" s="36" t="str">
        <x:v>JA</x:v>
      </x:c>
      <x:c r="AG767" s="36" t="str">
        <x:v>FREIGEGEBEN</x:v>
      </x:c>
      <x:c r="AH767" s="36" t="str">
        <x:v>GPT-5.6 Sol · Buchprüfung 2. Korinther · L1912/OTB</x:v>
      </x:c>
      <x:c r="AI767" s="36" t="str">
        <x:v>FREIGEGEBEN</x:v>
      </x:c>
      <x:c r="AJ767" s="36" t="str">
        <x:v>2. Korinther 5: repetitive Wiedererkennungsfrage durch KERNAUSSAGE-Frage ersetzt.</x:v>
      </x:c>
      <x:c r="AK767" s="36" t="str">
        <x:v>FaithPath repo develop/v4 · data/stories.json · data/bibles/l1912/2CO.json · data/bibles/otb/2CO.json</x:v>
      </x:c>
      <x:c r="AL767" t="str">
        <x:f>IF(AND(AG767="FREIGEGEBEN",AI767="FREIGEGEBEN",Q767&lt;&gt;"",R767&lt;&gt;"",S767&lt;&gt;"",T767&lt;&gt;"",U767&lt;&gt;"",ISNUMBER(V767),X767&lt;&gt;"",Y767&lt;&gt;"",AA767="JA",AB767="JA",AC767="JA",AD767="JA",AE767="JA",AF767="JA"),"JA","NEIN")</x:f>
        <x:v>JA</x:v>
      </x:c>
    </x:row>
    <x:row r="768">
      <x:c r="A768" t="str">
        <x:v>FP-1027</x:v>
      </x:c>
      <x:c r="B768" t="str">
        <x:v>2CO</x:v>
      </x:c>
      <x:c r="C768" t="str">
        <x:v>2. Korinther</x:v>
      </x:c>
      <x:c r="D768" t="n">
        <x:v>5</x:v>
      </x:c>
      <x:c r="E768" t="n">
        <x:v>2</x:v>
      </x:c>
      <x:c r="F768" t="str">
        <x:v>2CO-005</x:v>
      </x:c>
      <x:c r="G768" t="n">
        <x:v>154</x:v>
      </x:c>
      <x:c r="H768" t="str">
        <x:v>CQ-A08</x:v>
      </x:c>
      <x:c r="I768" s="36" t="str">
        <x:v>Welche dieser Aussagen stammt aus 2. Korinther 5?</x:v>
      </x:c>
      <x:c r="J768" s="36" t="str"/>
      <x:c r="K768" s="36" t="str"/>
      <x:c r="L768" s="36" t="str">
        <x:v>REPO_VERIFIZIERT_FRAGEFORM</x:v>
      </x:c>
      <x:c r="M768" s="36" t="str">
        <x:v>ERSETZEN</x:v>
      </x:c>
      <x:c r="N768" s="36" t="str">
        <x:v>REPETITIVE_FRAGEFORM</x:v>
      </x:c>
      <x:c r="O768" s="36" t="str">
        <x:v>REINE_WIEDERERKENNUNG</x:v>
      </x:c>
      <x:c r="P768" s="36" t="str">
        <x:v>KERNAUSSAGE</x:v>
      </x:c>
      <x:c r="Q768" s="36" t="str">
        <x:v>Welche Haltung verbindet Paulus mit dem Satz „Wir wandeln im Glauben und nicht im Schauen“?</x:v>
      </x:c>
      <x:c r="R768" s="36" t="str">
        <x:v>Gleichgültigkeit gegenüber dem eigenen Handeln.</x:v>
      </x:c>
      <x:c r="S768" s="36" t="str">
        <x:v>Mut und das Ziel, dem Herrn zu gefallen, im Bewusstsein künftiger Rechenschaft vor Christus.</x:v>
      </x:c>
      <x:c r="T768" s="36" t="str">
        <x:v>Ablehnung jeder sichtbaren Wirklichkeit.</x:v>
      </x:c>
      <x:c r="U768" s="36" t="str">
        <x:v>Die Sicherheit, nie beurteilt zu werden.</x:v>
      </x:c>
      <x:c r="V768" s="36" t="n">
        <x:v>1</x:v>
      </x:c>
      <x:c r="W768" s="36" t="str">
        <x:f>CHOOSE(V768+1,R768,S768,T768,U768)</x:f>
        <x:v>Mut und das Ziel, dem Herrn zu gefallen, im Bewusstsein künftiger Rechenschaft vor Christus.</x:v>
      </x:c>
      <x:c r="X768" s="36" t="str">
        <x:v>2. Korinther 5,6–10</x:v>
      </x:c>
      <x:c r="Y768" s="36" t="str">
        <x:v>Glauben statt Schauen führt bei Paulus nicht zu Passivität, sondern zum Wunsch, Christus zu gefallen.</x:v>
      </x:c>
      <x:c r="Z768" s="36" t="str">
        <x:v>JA</x:v>
      </x:c>
      <x:c r="AA768" s="36" t="str">
        <x:v>JA</x:v>
      </x:c>
      <x:c r="AB768" s="36" t="str">
        <x:v>JA</x:v>
      </x:c>
      <x:c r="AC768" s="36" t="str">
        <x:v>JA</x:v>
      </x:c>
      <x:c r="AD768" s="36" t="str">
        <x:v>JA</x:v>
      </x:c>
      <x:c r="AE768" s="36" t="str">
        <x:v>JA</x:v>
      </x:c>
      <x:c r="AF768" s="36" t="str">
        <x:v>JA</x:v>
      </x:c>
      <x:c r="AG768" s="36" t="str">
        <x:v>FREIGEGEBEN</x:v>
      </x:c>
      <x:c r="AH768" s="36" t="str">
        <x:v>GPT-5.6 Sol · Buchprüfung 2. Korinther · L1912/OTB</x:v>
      </x:c>
      <x:c r="AI768" s="36" t="str">
        <x:v>FREIGEGEBEN</x:v>
      </x:c>
      <x:c r="AJ768" s="36" t="str">
        <x:v>2. Korinther 5: repetitive Wiedererkennungsfrage durch KERNAUSSAGE-Frage ersetzt.</x:v>
      </x:c>
      <x:c r="AK768" s="36" t="str">
        <x:v>FaithPath repo develop/v4 · data/stories.json · data/bibles/l1912/2CO.json · data/bibles/otb/2CO.json</x:v>
      </x:c>
      <x:c r="AL768" t="str">
        <x:f>IF(AND(AG768="FREIGEGEBEN",AI768="FREIGEGEBEN",Q768&lt;&gt;"",R768&lt;&gt;"",S768&lt;&gt;"",T768&lt;&gt;"",U768&lt;&gt;"",ISNUMBER(V768),X768&lt;&gt;"",Y768&lt;&gt;"",AA768="JA",AB768="JA",AC768="JA",AD768="JA",AE768="JA",AF768="JA"),"JA","NEIN")</x:f>
        <x:v>JA</x:v>
      </x:c>
    </x:row>
    <x:row r="769">
      <x:c r="A769" t="str">
        <x:v>FP-1028</x:v>
      </x:c>
      <x:c r="B769" t="str">
        <x:v>2CO</x:v>
      </x:c>
      <x:c r="C769" t="str">
        <x:v>2. Korinther</x:v>
      </x:c>
      <x:c r="D769" t="n">
        <x:v>5</x:v>
      </x:c>
      <x:c r="E769" t="n">
        <x:v>3</x:v>
      </x:c>
      <x:c r="F769" t="str">
        <x:v>2CO-005</x:v>
      </x:c>
      <x:c r="G769" t="n">
        <x:v>154</x:v>
      </x:c>
      <x:c r="H769" t="str">
        <x:v>CQ-A08</x:v>
      </x:c>
      <x:c r="I769" s="36" t="str">
        <x:v>Welche dieser Aussagen stammt aus 2. Korinther 5?</x:v>
      </x:c>
      <x:c r="J769" s="36" t="str"/>
      <x:c r="K769" s="36" t="str"/>
      <x:c r="L769" s="36" t="str">
        <x:v>REPO_VERIFIZIERT_FRAGEFORM</x:v>
      </x:c>
      <x:c r="M769" s="36" t="str">
        <x:v>ERSETZEN</x:v>
      </x:c>
      <x:c r="N769" s="36" t="str">
        <x:v>REPETITIVE_FRAGEFORM</x:v>
      </x:c>
      <x:c r="O769" s="36" t="str">
        <x:v>REINE_WIEDERERKENNUNG</x:v>
      </x:c>
      <x:c r="P769" s="36" t="str">
        <x:v>KERNAUSSAGE</x:v>
      </x:c>
      <x:c r="Q769" s="36" t="str">
        <x:v>Wozu drängt die Liebe Christi nach Paulus die Glaubenden?</x:v>
      </x:c>
      <x:c r="R769" s="36" t="str">
        <x:v>Sich vollständig aus der Welt zurückzuziehen.</x:v>
      </x:c>
      <x:c r="S769" s="36" t="str">
        <x:v>Nie wieder eigene Entscheidungen zu treffen.</x:v>
      </x:c>
      <x:c r="T769" s="36" t="str">
        <x:v>Nicht mehr für sich selbst zu leben, sondern für den, der für sie gestorben und auferstanden ist.</x:v>
      </x:c>
      <x:c r="U769" s="36" t="str">
        <x:v>Nur für die eigene Gemeinde zu leben.</x:v>
      </x:c>
      <x:c r="V769" s="36" t="n">
        <x:v>2</x:v>
      </x:c>
      <x:c r="W769" s="36" t="str">
        <x:f>CHOOSE(V769+1,R769,S769,T769,U769)</x:f>
        <x:v>Nicht mehr für sich selbst zu leben, sondern für den, der für sie gestorben und auferstanden ist.</x:v>
      </x:c>
      <x:c r="X769" s="36" t="str">
        <x:v>2. Korinther 5,14–15</x:v>
      </x:c>
      <x:c r="Y769" s="36" t="str">
        <x:v>Christi stellvertretender Tod verändert nach Paulus die Richtung des Lebens.</x:v>
      </x:c>
      <x:c r="Z769" s="36" t="str">
        <x:v>JA</x:v>
      </x:c>
      <x:c r="AA769" s="36" t="str">
        <x:v>JA</x:v>
      </x:c>
      <x:c r="AB769" s="36" t="str">
        <x:v>JA</x:v>
      </x:c>
      <x:c r="AC769" s="36" t="str">
        <x:v>JA</x:v>
      </x:c>
      <x:c r="AD769" s="36" t="str">
        <x:v>JA</x:v>
      </x:c>
      <x:c r="AE769" s="36" t="str">
        <x:v>JA</x:v>
      </x:c>
      <x:c r="AF769" s="36" t="str">
        <x:v>JA</x:v>
      </x:c>
      <x:c r="AG769" s="36" t="str">
        <x:v>FREIGEGEBEN</x:v>
      </x:c>
      <x:c r="AH769" s="36" t="str">
        <x:v>GPT-5.6 Sol · Buchprüfung 2. Korinther · L1912/OTB</x:v>
      </x:c>
      <x:c r="AI769" s="36" t="str">
        <x:v>FREIGEGEBEN</x:v>
      </x:c>
      <x:c r="AJ769" s="36" t="str">
        <x:v>2. Korinther 5: repetitive Wiedererkennungsfrage durch KERNAUSSAGE-Frage ersetzt.</x:v>
      </x:c>
      <x:c r="AK769" s="36" t="str">
        <x:v>FaithPath repo develop/v4 · data/stories.json · data/bibles/l1912/2CO.json · data/bibles/otb/2CO.json</x:v>
      </x:c>
      <x:c r="AL769" t="str">
        <x:f>IF(AND(AG769="FREIGEGEBEN",AI769="FREIGEGEBEN",Q769&lt;&gt;"",R769&lt;&gt;"",S769&lt;&gt;"",T769&lt;&gt;"",U769&lt;&gt;"",ISNUMBER(V769),X769&lt;&gt;"",Y769&lt;&gt;"",AA769="JA",AB769="JA",AC769="JA",AD769="JA",AE769="JA",AF769="JA"),"JA","NEIN")</x:f>
        <x:v>JA</x:v>
      </x:c>
    </x:row>
    <x:row r="770">
      <x:c r="A770" t="str">
        <x:v>FP-1029</x:v>
      </x:c>
      <x:c r="B770" t="str">
        <x:v>2CO</x:v>
      </x:c>
      <x:c r="C770" t="str">
        <x:v>2. Korinther</x:v>
      </x:c>
      <x:c r="D770" t="n">
        <x:v>5</x:v>
      </x:c>
      <x:c r="E770" t="n">
        <x:v>4</x:v>
      </x:c>
      <x:c r="F770" t="str">
        <x:v>2CO-005</x:v>
      </x:c>
      <x:c r="G770" t="n">
        <x:v>154</x:v>
      </x:c>
      <x:c r="H770" t="str">
        <x:v>CQ-A08</x:v>
      </x:c>
      <x:c r="I770" s="36" t="str">
        <x:v>Welche dieser Aussagen stammt aus 2. Korinther 5?</x:v>
      </x:c>
      <x:c r="J770" s="36" t="str"/>
      <x:c r="K770" s="36" t="str"/>
      <x:c r="L770" s="36" t="str">
        <x:v>REPO_VERIFIZIERT_FRAGEFORM</x:v>
      </x:c>
      <x:c r="M770" s="36" t="str">
        <x:v>ERSETZEN</x:v>
      </x:c>
      <x:c r="N770" s="36" t="str">
        <x:v>REPETITIVE_FRAGEFORM</x:v>
      </x:c>
      <x:c r="O770" s="36" t="str">
        <x:v>REINE_WIEDERERKENNUNG</x:v>
      </x:c>
      <x:c r="P770" s="36" t="str">
        <x:v>KERNAUSSAGE</x:v>
      </x:c>
      <x:c r="Q770" s="36" t="str">
        <x:v>Was bedeutet es nach Paulus, „in Christus“ zu sein?</x:v>
      </x:c>
      <x:c r="R770" s="36" t="str">
        <x:v>Nur neue religiöse Regeln zu erhalten.</x:v>
      </x:c>
      <x:c r="S770" s="36" t="str">
        <x:v>Die Vergangenheit einfach zu vergessen, ohne Veränderung.</x:v>
      </x:c>
      <x:c r="T770" s="36" t="str">
        <x:v>Automatisch frei von jeder Versuchung zu sein.</x:v>
      </x:c>
      <x:c r="U770" s="36" t="str">
        <x:v>Eine neue Schöpfung zu sein; Gott versöhnt Menschen durch Christus mit sich und gibt den Dienst der Versöhnung.</x:v>
      </x:c>
      <x:c r="V770" s="36" t="n">
        <x:v>3</x:v>
      </x:c>
      <x:c r="W770" s="36" t="str">
        <x:f>CHOOSE(V770+1,R770,S770,T770,U770)</x:f>
        <x:v>Eine neue Schöpfung zu sein; Gott versöhnt Menschen durch Christus mit sich und gibt den Dienst der Versöhnung.</x:v>
      </x:c>
      <x:c r="X770" s="36" t="str">
        <x:v>2. Korinther 5,17–19</x:v>
      </x:c>
      <x:c r="Y770" s="36" t="str">
        <x:v>Paulus verbindet neue Schöpfung und Versöhnung unmittelbar miteinander.</x:v>
      </x:c>
      <x:c r="Z770" s="36" t="str">
        <x:v>JA</x:v>
      </x:c>
      <x:c r="AA770" s="36" t="str">
        <x:v>JA</x:v>
      </x:c>
      <x:c r="AB770" s="36" t="str">
        <x:v>JA</x:v>
      </x:c>
      <x:c r="AC770" s="36" t="str">
        <x:v>JA</x:v>
      </x:c>
      <x:c r="AD770" s="36" t="str">
        <x:v>JA</x:v>
      </x:c>
      <x:c r="AE770" s="36" t="str">
        <x:v>JA</x:v>
      </x:c>
      <x:c r="AF770" s="36" t="str">
        <x:v>JA</x:v>
      </x:c>
      <x:c r="AG770" s="36" t="str">
        <x:v>FREIGEGEBEN</x:v>
      </x:c>
      <x:c r="AH770" s="36" t="str">
        <x:v>GPT-5.6 Sol · Buchprüfung 2. Korinther · L1912/OTB</x:v>
      </x:c>
      <x:c r="AI770" s="36" t="str">
        <x:v>FREIGEGEBEN</x:v>
      </x:c>
      <x:c r="AJ770" s="36" t="str">
        <x:v>2. Korinther 5: repetitive Wiedererkennungsfrage durch KERNAUSSAGE-Frage ersetzt.</x:v>
      </x:c>
      <x:c r="AK770" s="36" t="str">
        <x:v>FaithPath repo develop/v4 · data/stories.json · data/bibles/l1912/2CO.json · data/bibles/otb/2CO.json</x:v>
      </x:c>
      <x:c r="AL770" t="str">
        <x:f>IF(AND(AG770="FREIGEGEBEN",AI770="FREIGEGEBEN",Q770&lt;&gt;"",R770&lt;&gt;"",S770&lt;&gt;"",T770&lt;&gt;"",U770&lt;&gt;"",ISNUMBER(V770),X770&lt;&gt;"",Y770&lt;&gt;"",AA770="JA",AB770="JA",AC770="JA",AD770="JA",AE770="JA",AF770="JA"),"JA","NEIN")</x:f>
        <x:v>JA</x:v>
      </x:c>
    </x:row>
    <x:row r="771">
      <x:c r="A771" t="str">
        <x:v>FP-1030</x:v>
      </x:c>
      <x:c r="B771" t="str">
        <x:v>2CO</x:v>
      </x:c>
      <x:c r="C771" t="str">
        <x:v>2. Korinther</x:v>
      </x:c>
      <x:c r="D771" t="n">
        <x:v>5</x:v>
      </x:c>
      <x:c r="E771" t="n">
        <x:v>5</x:v>
      </x:c>
      <x:c r="F771" t="str">
        <x:v>2CO-005</x:v>
      </x:c>
      <x:c r="G771" t="n">
        <x:v>154</x:v>
      </x:c>
      <x:c r="H771" t="str">
        <x:v>CQ-A08</x:v>
      </x:c>
      <x:c r="I771" s="36" t="str">
        <x:v>Welche dieser Aussagen stammt aus 2. Korinther 5?</x:v>
      </x:c>
      <x:c r="J771" s="36" t="str"/>
      <x:c r="K771" s="36" t="str"/>
      <x:c r="L771" s="36" t="str">
        <x:v>REPO_VERIFIZIERT_FRAGEFORM</x:v>
      </x:c>
      <x:c r="M771" s="36" t="str">
        <x:v>ERSETZEN</x:v>
      </x:c>
      <x:c r="N771" s="36" t="str">
        <x:v>REPETITIVE_FRAGEFORM</x:v>
      </x:c>
      <x:c r="O771" s="36" t="str">
        <x:v>REINE_WIEDERERKENNUNG</x:v>
      </x:c>
      <x:c r="P771" s="36" t="str">
        <x:v>KERNAUSSAGE</x:v>
      </x:c>
      <x:c r="Q771" s="36" t="str">
        <x:v>Welche Rolle beschreibt Paulus mit dem Bild des Botschafters?</x:v>
      </x:c>
      <x:c r="R771" s="36" t="str">
        <x:v>Gott ruft durch die Botschafter Christi zur Versöhnung mit ihm.</x:v>
      </x:c>
      <x:c r="S771" s="36" t="str">
        <x:v>Christen vertreten vor allem politische Interessen.</x:v>
      </x:c>
      <x:c r="T771" s="36" t="str">
        <x:v>Nur Engel dürfen Gottes Botschaft weitergeben.</x:v>
      </x:c>
      <x:c r="U771" s="36" t="str">
        <x:v>Versöhnung ist ausschließlich eine menschliche Leistung.</x:v>
      </x:c>
      <x:c r="V771" s="36" t="n">
        <x:v>0</x:v>
      </x:c>
      <x:c r="W771" s="36" t="str">
        <x:f>CHOOSE(V771+1,R771,S771,T771,U771)</x:f>
        <x:v>Gott ruft durch die Botschafter Christi zur Versöhnung mit ihm.</x:v>
      </x:c>
      <x:c r="X771" s="36" t="str">
        <x:v>2. Korinther 5,20–21</x:v>
      </x:c>
      <x:c r="Y771" s="36" t="str">
        <x:v>Paulus versteht seinen Dienst als stellvertretenden Ruf Gottes: „Lasst euch mit Gott versöhnen.“</x:v>
      </x:c>
      <x:c r="Z771" s="36" t="str">
        <x:v>JA</x:v>
      </x:c>
      <x:c r="AA771" s="36" t="str">
        <x:v>JA</x:v>
      </x:c>
      <x:c r="AB771" s="36" t="str">
        <x:v>JA</x:v>
      </x:c>
      <x:c r="AC771" s="36" t="str">
        <x:v>JA</x:v>
      </x:c>
      <x:c r="AD771" s="36" t="str">
        <x:v>JA</x:v>
      </x:c>
      <x:c r="AE771" s="36" t="str">
        <x:v>JA</x:v>
      </x:c>
      <x:c r="AF771" s="36" t="str">
        <x:v>JA</x:v>
      </x:c>
      <x:c r="AG771" s="36" t="str">
        <x:v>FREIGEGEBEN</x:v>
      </x:c>
      <x:c r="AH771" s="36" t="str">
        <x:v>GPT-5.6 Sol · Buchprüfung 2. Korinther · L1912/OTB</x:v>
      </x:c>
      <x:c r="AI771" s="36" t="str">
        <x:v>FREIGEGEBEN</x:v>
      </x:c>
      <x:c r="AJ771" s="36" t="str">
        <x:v>2. Korinther 5: repetitive Wiedererkennungsfrage durch KERNAUSSAGE-Frage ersetzt.</x:v>
      </x:c>
      <x:c r="AK771" s="36" t="str">
        <x:v>FaithPath repo develop/v4 · data/stories.json · data/bibles/l1912/2CO.json · data/bibles/otb/2CO.json</x:v>
      </x:c>
      <x:c r="AL771" t="str">
        <x:f>IF(AND(AG771="FREIGEGEBEN",AI771="FREIGEGEBEN",Q771&lt;&gt;"",R771&lt;&gt;"",S771&lt;&gt;"",T771&lt;&gt;"",U771&lt;&gt;"",ISNUMBER(V771),X771&lt;&gt;"",Y771&lt;&gt;"",AA771="JA",AB771="JA",AC771="JA",AD771="JA",AE771="JA",AF771="JA"),"JA","NEIN")</x:f>
        <x:v>JA</x:v>
      </x:c>
    </x:row>
    <x:row r="772">
      <x:c r="A772" t="str">
        <x:v>FP-1031</x:v>
      </x:c>
      <x:c r="B772" t="str">
        <x:v>2CO</x:v>
      </x:c>
      <x:c r="C772" t="str">
        <x:v>2. Korinther</x:v>
      </x:c>
      <x:c r="D772" t="n">
        <x:v>6</x:v>
      </x:c>
      <x:c r="E772" t="n">
        <x:v>1</x:v>
      </x:c>
      <x:c r="F772" t="str">
        <x:v>2CO-006</x:v>
      </x:c>
      <x:c r="G772" t="n">
        <x:v>155</x:v>
      </x:c>
      <x:c r="H772" t="str">
        <x:v>CQ-A08</x:v>
      </x:c>
      <x:c r="I772" s="36" t="str">
        <x:v>Welche dieser Aussagen stammt aus 2. Korinther 6?</x:v>
      </x:c>
      <x:c r="J772" s="36" t="str"/>
      <x:c r="K772" s="36" t="str"/>
      <x:c r="L772" s="36" t="str">
        <x:v>REPO_VERIFIZIERT_FRAGEFORM</x:v>
      </x:c>
      <x:c r="M772" s="36" t="str">
        <x:v>ERSETZEN</x:v>
      </x:c>
      <x:c r="N772" s="36" t="str">
        <x:v>REPETITIVE_FRAGEFORM</x:v>
      </x:c>
      <x:c r="O772" s="36" t="str">
        <x:v>REINE_WIEDERERKENNUNG</x:v>
      </x:c>
      <x:c r="P772" s="36" t="str">
        <x:v>KERNAUSSAGE</x:v>
      </x:c>
      <x:c r="Q772" s="36" t="str">
        <x:v>Welche Dringlichkeit verbindet Paulus mit Gottes Gnade?</x:v>
      </x:c>
      <x:c r="R772" s="36" t="str">
        <x:v>Für eine Antwort auf Gott bleibt unbegrenzt Zeit.</x:v>
      </x:c>
      <x:c r="S772" s="36" t="str">
        <x:v>Jetzt ist die angenehme Zeit, jetzt ist der Tag des Heils; die Gnade soll nicht vergeblich empfangen werden.</x:v>
      </x:c>
      <x:c r="T772" s="36" t="str">
        <x:v>Gnade betrifft nur zukünftige Generationen.</x:v>
      </x:c>
      <x:c r="U772" s="36" t="str">
        <x:v>Nur Apostel müssen auf Gottes Gnade reagieren.</x:v>
      </x:c>
      <x:c r="V772" s="36" t="n">
        <x:v>1</x:v>
      </x:c>
      <x:c r="W772" s="36" t="str">
        <x:f>CHOOSE(V772+1,R772,S772,T772,U772)</x:f>
        <x:v>Jetzt ist die angenehme Zeit, jetzt ist der Tag des Heils; die Gnade soll nicht vergeblich empfangen werden.</x:v>
      </x:c>
      <x:c r="X772" s="36" t="str">
        <x:v>2. Korinther 6,1–2</x:v>
      </x:c>
      <x:c r="Y772" s="36" t="str">
        <x:v>Paulus zitiert die Verheißung und betont die Gegenwart als Zeit der Antwort auf Gottes Heil.</x:v>
      </x:c>
      <x:c r="Z772" s="36" t="str">
        <x:v>JA</x:v>
      </x:c>
      <x:c r="AA772" s="36" t="str">
        <x:v>JA</x:v>
      </x:c>
      <x:c r="AB772" s="36" t="str">
        <x:v>JA</x:v>
      </x:c>
      <x:c r="AC772" s="36" t="str">
        <x:v>JA</x:v>
      </x:c>
      <x:c r="AD772" s="36" t="str">
        <x:v>JA</x:v>
      </x:c>
      <x:c r="AE772" s="36" t="str">
        <x:v>JA</x:v>
      </x:c>
      <x:c r="AF772" s="36" t="str">
        <x:v>JA</x:v>
      </x:c>
      <x:c r="AG772" s="36" t="str">
        <x:v>FREIGEGEBEN</x:v>
      </x:c>
      <x:c r="AH772" s="36" t="str">
        <x:v>GPT-5.6 Sol · Buchprüfung 2. Korinther · L1912/OTB</x:v>
      </x:c>
      <x:c r="AI772" s="36" t="str">
        <x:v>FREIGEGEBEN</x:v>
      </x:c>
      <x:c r="AJ772" s="36" t="str">
        <x:v>2. Korinther 6: repetitive Wiedererkennungsfrage durch KERNAUSSAGE-Frage ersetzt.</x:v>
      </x:c>
      <x:c r="AK772" s="36" t="str">
        <x:v>FaithPath repo develop/v4 · data/stories.json · data/bibles/l1912/2CO.json · data/bibles/otb/2CO.json</x:v>
      </x:c>
      <x:c r="AL772" t="str">
        <x:f>IF(AND(AG772="FREIGEGEBEN",AI772="FREIGEGEBEN",Q772&lt;&gt;"",R772&lt;&gt;"",S772&lt;&gt;"",T772&lt;&gt;"",U772&lt;&gt;"",ISNUMBER(V772),X772&lt;&gt;"",Y772&lt;&gt;"",AA772="JA",AB772="JA",AC772="JA",AD772="JA",AE772="JA",AF772="JA"),"JA","NEIN")</x:f>
        <x:v>JA</x:v>
      </x:c>
    </x:row>
    <x:row r="773">
      <x:c r="A773" t="str">
        <x:v>FP-1032</x:v>
      </x:c>
      <x:c r="B773" t="str">
        <x:v>2CO</x:v>
      </x:c>
      <x:c r="C773" t="str">
        <x:v>2. Korinther</x:v>
      </x:c>
      <x:c r="D773" t="n">
        <x:v>6</x:v>
      </x:c>
      <x:c r="E773" t="n">
        <x:v>2</x:v>
      </x:c>
      <x:c r="F773" t="str">
        <x:v>2CO-006</x:v>
      </x:c>
      <x:c r="G773" t="n">
        <x:v>155</x:v>
      </x:c>
      <x:c r="H773" t="str">
        <x:v>CQ-A08</x:v>
      </x:c>
      <x:c r="I773" s="36" t="str">
        <x:v>Welche dieser Aussagen stammt aus 2. Korinther 6?</x:v>
      </x:c>
      <x:c r="J773" s="36" t="str"/>
      <x:c r="K773" s="36" t="str"/>
      <x:c r="L773" s="36" t="str">
        <x:v>REPO_VERIFIZIERT_FRAGEFORM</x:v>
      </x:c>
      <x:c r="M773" s="36" t="str">
        <x:v>ERSETZEN</x:v>
      </x:c>
      <x:c r="N773" s="36" t="str">
        <x:v>REPETITIVE_FRAGEFORM</x:v>
      </x:c>
      <x:c r="O773" s="36" t="str">
        <x:v>REINE_WIEDERERKENNUNG</x:v>
      </x:c>
      <x:c r="P773" s="36" t="str">
        <x:v>ZUSAMMENHANG</x:v>
      </x:c>
      <x:c r="Q773" s="36" t="str">
        <x:v>Wie empfiehlt Paulus seinen Dienst trotz großer Schwierigkeiten?</x:v>
      </x:c>
      <x:c r="R773" s="36" t="str">
        <x:v>Durch völlige Vermeidung jeder Schwierigkeit.</x:v>
      </x:c>
      <x:c r="S773" s="36" t="str">
        <x:v>Durch gesellschaftlichen Erfolg allein.</x:v>
      </x:c>
      <x:c r="T773" s="36" t="str">
        <x:v>Durch Geduld, Reinheit, Erkenntnis, Liebe und Gottes Kraft mitten in Bedrängnissen und Gegensätzen.</x:v>
      </x:c>
      <x:c r="U773" s="36" t="str">
        <x:v>Durch möglichst wenig Kontakt mit Menschen.</x:v>
      </x:c>
      <x:c r="V773" s="36" t="n">
        <x:v>2</x:v>
      </x:c>
      <x:c r="W773" s="36" t="str">
        <x:f>CHOOSE(V773+1,R773,S773,T773,U773)</x:f>
        <x:v>Durch Geduld, Reinheit, Erkenntnis, Liebe und Gottes Kraft mitten in Bedrängnissen und Gegensätzen.</x:v>
      </x:c>
      <x:c r="X773" s="36" t="str">
        <x:v>2. Korinther 6,3–10</x:v>
      </x:c>
      <x:c r="Y773" s="36" t="str">
        <x:v>Die lange Liste verbindet äußere Leiden mit inneren und geistlichen Kennzeichen eines Dieners Gottes.</x:v>
      </x:c>
      <x:c r="Z773" s="36" t="str">
        <x:v>JA</x:v>
      </x:c>
      <x:c r="AA773" s="36" t="str">
        <x:v>JA</x:v>
      </x:c>
      <x:c r="AB773" s="36" t="str">
        <x:v>JA</x:v>
      </x:c>
      <x:c r="AC773" s="36" t="str">
        <x:v>JA</x:v>
      </x:c>
      <x:c r="AD773" s="36" t="str">
        <x:v>JA</x:v>
      </x:c>
      <x:c r="AE773" s="36" t="str">
        <x:v>JA</x:v>
      </x:c>
      <x:c r="AF773" s="36" t="str">
        <x:v>JA</x:v>
      </x:c>
      <x:c r="AG773" s="36" t="str">
        <x:v>FREIGEGEBEN</x:v>
      </x:c>
      <x:c r="AH773" s="36" t="str">
        <x:v>GPT-5.6 Sol · Buchprüfung 2. Korinther · L1912/OTB</x:v>
      </x:c>
      <x:c r="AI773" s="36" t="str">
        <x:v>FREIGEGEBEN</x:v>
      </x:c>
      <x:c r="AJ773" s="36" t="str">
        <x:v>2. Korinther 6: repetitive Wiedererkennungsfrage durch ZUSAMMENHANG-Frage ersetzt.</x:v>
      </x:c>
      <x:c r="AK773" s="36" t="str">
        <x:v>FaithPath repo develop/v4 · data/stories.json · data/bibles/l1912/2CO.json · data/bibles/otb/2CO.json</x:v>
      </x:c>
      <x:c r="AL773" t="str">
        <x:f>IF(AND(AG773="FREIGEGEBEN",AI773="FREIGEGEBEN",Q773&lt;&gt;"",R773&lt;&gt;"",S773&lt;&gt;"",T773&lt;&gt;"",U773&lt;&gt;"",ISNUMBER(V773),X773&lt;&gt;"",Y773&lt;&gt;"",AA773="JA",AB773="JA",AC773="JA",AD773="JA",AE773="JA",AF773="JA"),"JA","NEIN")</x:f>
        <x:v>JA</x:v>
      </x:c>
    </x:row>
    <x:row r="774">
      <x:c r="A774" t="str">
        <x:v>FP-1033</x:v>
      </x:c>
      <x:c r="B774" t="str">
        <x:v>2CO</x:v>
      </x:c>
      <x:c r="C774" t="str">
        <x:v>2. Korinther</x:v>
      </x:c>
      <x:c r="D774" t="n">
        <x:v>6</x:v>
      </x:c>
      <x:c r="E774" t="n">
        <x:v>3</x:v>
      </x:c>
      <x:c r="F774" t="str">
        <x:v>2CO-006</x:v>
      </x:c>
      <x:c r="G774" t="n">
        <x:v>155</x:v>
      </x:c>
      <x:c r="H774" t="str">
        <x:v>CQ-A08</x:v>
      </x:c>
      <x:c r="I774" s="36" t="str">
        <x:v>Welche dieser Aussagen stammt aus 2. Korinther 6?</x:v>
      </x:c>
      <x:c r="J774" s="36" t="str"/>
      <x:c r="K774" s="36" t="str"/>
      <x:c r="L774" s="36" t="str">
        <x:v>REPO_VERIFIZIERT_FRAGEFORM</x:v>
      </x:c>
      <x:c r="M774" s="36" t="str">
        <x:v>ERSETZEN</x:v>
      </x:c>
      <x:c r="N774" s="36" t="str">
        <x:v>REPETITIVE_FRAGEFORM</x:v>
      </x:c>
      <x:c r="O774" s="36" t="str">
        <x:v>REINE_WIEDERERKENNUNG</x:v>
      </x:c>
      <x:c r="P774" s="36" t="str">
        <x:v>PERSON_AUSSAGE</x:v>
      </x:c>
      <x:c r="Q774" s="36" t="str">
        <x:v>Welche Beziehung wünscht Paulus sich von den Korinthern, nachdem er von seinem weit geöffneten Herzen spricht?</x:v>
      </x:c>
      <x:c r="R774" s="36" t="str">
        <x:v>Sie sollen möglichst distanziert bleiben.</x:v>
      </x:c>
      <x:c r="S774" s="36" t="str">
        <x:v>Sie sollen nur schriftlich mit ihm kommunizieren.</x:v>
      </x:c>
      <x:c r="T774" s="36" t="str">
        <x:v>Sie sollen seine Autorität nicht mehr hinterfragen.</x:v>
      </x:c>
      <x:c r="U774" s="36" t="str">
        <x:v>Auch sie sollen ihr Herz weit öffnen und seine Zuneigung erwidern.</x:v>
      </x:c>
      <x:c r="V774" s="36" t="n">
        <x:v>3</x:v>
      </x:c>
      <x:c r="W774" s="36" t="str">
        <x:f>CHOOSE(V774+1,R774,S774,T774,U774)</x:f>
        <x:v>Auch sie sollen ihr Herz weit öffnen und seine Zuneigung erwidern.</x:v>
      </x:c>
      <x:c r="X774" s="36" t="str">
        <x:v>2. Korinther 6,11–13</x:v>
      </x:c>
      <x:c r="Y774" s="36" t="str">
        <x:v>Paulus beschreibt seine eigene Offenheit und bittet die Gemeinde um entsprechende Weite des Herzens.</x:v>
      </x:c>
      <x:c r="Z774" s="36" t="str">
        <x:v>JA</x:v>
      </x:c>
      <x:c r="AA774" s="36" t="str">
        <x:v>JA</x:v>
      </x:c>
      <x:c r="AB774" s="36" t="str">
        <x:v>JA</x:v>
      </x:c>
      <x:c r="AC774" s="36" t="str">
        <x:v>JA</x:v>
      </x:c>
      <x:c r="AD774" s="36" t="str">
        <x:v>JA</x:v>
      </x:c>
      <x:c r="AE774" s="36" t="str">
        <x:v>JA</x:v>
      </x:c>
      <x:c r="AF774" s="36" t="str">
        <x:v>JA</x:v>
      </x:c>
      <x:c r="AG774" s="36" t="str">
        <x:v>FREIGEGEBEN</x:v>
      </x:c>
      <x:c r="AH774" s="36" t="str">
        <x:v>GPT-5.6 Sol · Buchprüfung 2. Korinther · L1912/OTB</x:v>
      </x:c>
      <x:c r="AI774" s="36" t="str">
        <x:v>FREIGEGEBEN</x:v>
      </x:c>
      <x:c r="AJ774" s="36" t="str">
        <x:v>2. Korinther 6: repetitive Wiedererkennungsfrage durch PERSON_AUSSAGE-Frage ersetzt.</x:v>
      </x:c>
      <x:c r="AK774" s="36" t="str">
        <x:v>FaithPath repo develop/v4 · data/stories.json · data/bibles/l1912/2CO.json · data/bibles/otb/2CO.json</x:v>
      </x:c>
      <x:c r="AL774" t="str">
        <x:f>IF(AND(AG774="FREIGEGEBEN",AI774="FREIGEGEBEN",Q774&lt;&gt;"",R774&lt;&gt;"",S774&lt;&gt;"",T774&lt;&gt;"",U774&lt;&gt;"",ISNUMBER(V774),X774&lt;&gt;"",Y774&lt;&gt;"",AA774="JA",AB774="JA",AC774="JA",AD774="JA",AE774="JA",AF774="JA"),"JA","NEIN")</x:f>
        <x:v>JA</x:v>
      </x:c>
    </x:row>
    <x:row r="775">
      <x:c r="A775" t="str">
        <x:v>FP-1034</x:v>
      </x:c>
      <x:c r="B775" t="str">
        <x:v>2CO</x:v>
      </x:c>
      <x:c r="C775" t="str">
        <x:v>2. Korinther</x:v>
      </x:c>
      <x:c r="D775" t="n">
        <x:v>6</x:v>
      </x:c>
      <x:c r="E775" t="n">
        <x:v>4</x:v>
      </x:c>
      <x:c r="F775" t="str">
        <x:v>2CO-006</x:v>
      </x:c>
      <x:c r="G775" t="n">
        <x:v>155</x:v>
      </x:c>
      <x:c r="H775" t="str">
        <x:v>CQ-A08</x:v>
      </x:c>
      <x:c r="I775" s="36" t="str">
        <x:v>Welche dieser Aussagen stammt aus 2. Korinther 6?</x:v>
      </x:c>
      <x:c r="J775" s="36" t="str"/>
      <x:c r="K775" s="36" t="str"/>
      <x:c r="L775" s="36" t="str">
        <x:v>REPO_VERIFIZIERT_FRAGEFORM</x:v>
      </x:c>
      <x:c r="M775" s="36" t="str">
        <x:v>ERSETZEN</x:v>
      </x:c>
      <x:c r="N775" s="36" t="str">
        <x:v>REPETITIVE_FRAGEFORM</x:v>
      </x:c>
      <x:c r="O775" s="36" t="str">
        <x:v>REINE_WIEDERERKENNUNG</x:v>
      </x:c>
      <x:c r="P775" s="36" t="str">
        <x:v>KERNAUSSAGE</x:v>
      </x:c>
      <x:c r="Q775" s="36" t="str">
        <x:v>Welche Unvereinbarkeit betont Paulus mit dem Bild des ungleichen Jochs?</x:v>
      </x:c>
      <x:c r="R775" s="36" t="str">
        <x:v>Gerechtigkeit und Gesetzlosigkeit, Licht und Finsternis sowie Christus und Belial sollen nicht miteinander vermischt werden.</x:v>
      </x:c>
      <x:c r="S775" s="36" t="str">
        <x:v>Gläubige dürfen keinerlei Kontakt zu Nichtgläubigen haben.</x:v>
      </x:c>
      <x:c r="T775" s="36" t="str">
        <x:v>Christen dürfen nur mit Christen arbeiten.</x:v>
      </x:c>
      <x:c r="U775" s="36" t="str">
        <x:v>Jede gesellschaftliche Zusammenarbeit ist verboten.</x:v>
      </x:c>
      <x:c r="V775" s="36" t="n">
        <x:v>0</x:v>
      </x:c>
      <x:c r="W775" s="36" t="str">
        <x:f>CHOOSE(V775+1,R775,S775,T775,U775)</x:f>
        <x:v>Gerechtigkeit und Gesetzlosigkeit, Licht und Finsternis sowie Christus und Belial sollen nicht miteinander vermischt werden.</x:v>
      </x:c>
      <x:c r="X775" s="36" t="str">
        <x:v>2. Korinther 6,14–16</x:v>
      </x:c>
      <x:c r="Y775" s="36" t="str">
        <x:v>Der Text spricht von unvereinbarer geistlicher beziehungsweise kultischer Gemeinschaft, nicht pauschal von jedem sozialen Kontakt.</x:v>
      </x:c>
      <x:c r="Z775" s="36" t="str">
        <x:v>JA</x:v>
      </x:c>
      <x:c r="AA775" s="36" t="str">
        <x:v>JA</x:v>
      </x:c>
      <x:c r="AB775" s="36" t="str">
        <x:v>JA</x:v>
      </x:c>
      <x:c r="AC775" s="36" t="str">
        <x:v>JA</x:v>
      </x:c>
      <x:c r="AD775" s="36" t="str">
        <x:v>JA</x:v>
      </x:c>
      <x:c r="AE775" s="36" t="str">
        <x:v>JA</x:v>
      </x:c>
      <x:c r="AF775" s="36" t="str">
        <x:v>JA</x:v>
      </x:c>
      <x:c r="AG775" s="36" t="str">
        <x:v>FREIGEGEBEN</x:v>
      </x:c>
      <x:c r="AH775" s="36" t="str">
        <x:v>GPT-5.6 Sol · Buchprüfung 2. Korinther · L1912/OTB</x:v>
      </x:c>
      <x:c r="AI775" s="36" t="str">
        <x:v>FREIGEGEBEN</x:v>
      </x:c>
      <x:c r="AJ775" s="36" t="str">
        <x:v>2. Korinther 6: repetitive Wiedererkennungsfrage durch KERNAUSSAGE-Frage ersetzt.</x:v>
      </x:c>
      <x:c r="AK775" s="36" t="str">
        <x:v>FaithPath repo develop/v4 · data/stories.json · data/bibles/l1912/2CO.json · data/bibles/otb/2CO.json</x:v>
      </x:c>
      <x:c r="AL775" t="str">
        <x:f>IF(AND(AG775="FREIGEGEBEN",AI775="FREIGEGEBEN",Q775&lt;&gt;"",R775&lt;&gt;"",S775&lt;&gt;"",T775&lt;&gt;"",U775&lt;&gt;"",ISNUMBER(V775),X775&lt;&gt;"",Y775&lt;&gt;"",AA775="JA",AB775="JA",AC775="JA",AD775="JA",AE775="JA",AF775="JA"),"JA","NEIN")</x:f>
        <x:v>JA</x:v>
      </x:c>
    </x:row>
    <x:row r="776">
      <x:c r="A776" t="str">
        <x:v>FP-1035</x:v>
      </x:c>
      <x:c r="B776" t="str">
        <x:v>2CO</x:v>
      </x:c>
      <x:c r="C776" t="str">
        <x:v>2. Korinther</x:v>
      </x:c>
      <x:c r="D776" t="n">
        <x:v>6</x:v>
      </x:c>
      <x:c r="E776" t="n">
        <x:v>5</x:v>
      </x:c>
      <x:c r="F776" t="str">
        <x:v>2CO-006</x:v>
      </x:c>
      <x:c r="G776" t="n">
        <x:v>155</x:v>
      </x:c>
      <x:c r="H776" t="str">
        <x:v>CQ-A08</x:v>
      </x:c>
      <x:c r="I776" s="36" t="str">
        <x:v>Welche dieser Aussagen stammt aus 2. Korinther 6?</x:v>
      </x:c>
      <x:c r="J776" s="36" t="str"/>
      <x:c r="K776" s="36" t="str"/>
      <x:c r="L776" s="36" t="str">
        <x:v>REPO_VERIFIZIERT_FRAGEFORM</x:v>
      </x:c>
      <x:c r="M776" s="36" t="str">
        <x:v>ERSETZEN</x:v>
      </x:c>
      <x:c r="N776" s="36" t="str">
        <x:v>REPETITIVE_FRAGEFORM</x:v>
      </x:c>
      <x:c r="O776" s="36" t="str">
        <x:v>REINE_WIEDERERKENNUNG</x:v>
      </x:c>
      <x:c r="P776" s="36" t="str">
        <x:v>KERNAUSSAGE</x:v>
      </x:c>
      <x:c r="Q776" s="36" t="str">
        <x:v>Welche Identität begründet Paulus mit dem Satz: „Wir sind der Tempel des lebendigen Gottes“?</x:v>
      </x:c>
      <x:c r="R776" s="36" t="str">
        <x:v>Jeder Kirchenbau ist automatisch Gottes Tempel.</x:v>
      </x:c>
      <x:c r="S776" s="36" t="str">
        <x:v>Gott will unter seinem Volk wohnen und es als sein Volk annehmen.</x:v>
      </x:c>
      <x:c r="T776" s="36" t="str">
        <x:v>Nur die Apostel sind Gottes Tempel.</x:v>
      </x:c>
      <x:c r="U776" s="36" t="str">
        <x:v>Gottes Gegenwart ist ausschließlich an Jerusalem gebunden.</x:v>
      </x:c>
      <x:c r="V776" s="36" t="n">
        <x:v>1</x:v>
      </x:c>
      <x:c r="W776" s="36" t="str">
        <x:f>CHOOSE(V776+1,R776,S776,T776,U776)</x:f>
        <x:v>Gott will unter seinem Volk wohnen und es als sein Volk annehmen.</x:v>
      </x:c>
      <x:c r="X776" s="36" t="str">
        <x:v>2. Korinther 6,16–18</x:v>
      </x:c>
      <x:c r="Y776" s="36" t="str">
        <x:v>Paulus verbindet die Tempelidentität der Gemeinde mit Gottes Bundesverheißung seiner Gegenwart.</x:v>
      </x:c>
      <x:c r="Z776" s="36" t="str">
        <x:v>JA</x:v>
      </x:c>
      <x:c r="AA776" s="36" t="str">
        <x:v>JA</x:v>
      </x:c>
      <x:c r="AB776" s="36" t="str">
        <x:v>JA</x:v>
      </x:c>
      <x:c r="AC776" s="36" t="str">
        <x:v>JA</x:v>
      </x:c>
      <x:c r="AD776" s="36" t="str">
        <x:v>JA</x:v>
      </x:c>
      <x:c r="AE776" s="36" t="str">
        <x:v>JA</x:v>
      </x:c>
      <x:c r="AF776" s="36" t="str">
        <x:v>JA</x:v>
      </x:c>
      <x:c r="AG776" s="36" t="str">
        <x:v>FREIGEGEBEN</x:v>
      </x:c>
      <x:c r="AH776" s="36" t="str">
        <x:v>GPT-5.6 Sol · Buchprüfung 2. Korinther · L1912/OTB</x:v>
      </x:c>
      <x:c r="AI776" s="36" t="str">
        <x:v>FREIGEGEBEN</x:v>
      </x:c>
      <x:c r="AJ776" s="36" t="str">
        <x:v>2. Korinther 6: repetitive Wiedererkennungsfrage durch KERNAUSSAGE-Frage ersetzt.</x:v>
      </x:c>
      <x:c r="AK776" s="36" t="str">
        <x:v>FaithPath repo develop/v4 · data/stories.json · data/bibles/l1912/2CO.json · data/bibles/otb/2CO.json</x:v>
      </x:c>
      <x:c r="AL776" t="str">
        <x:f>IF(AND(AG776="FREIGEGEBEN",AI776="FREIGEGEBEN",Q776&lt;&gt;"",R776&lt;&gt;"",S776&lt;&gt;"",T776&lt;&gt;"",U776&lt;&gt;"",ISNUMBER(V776),X776&lt;&gt;"",Y776&lt;&gt;"",AA776="JA",AB776="JA",AC776="JA",AD776="JA",AE776="JA",AF776="JA"),"JA","NEIN")</x:f>
        <x:v>JA</x:v>
      </x:c>
    </x:row>
    <x:row r="777">
      <x:c r="A777" t="str">
        <x:v>FP-1036</x:v>
      </x:c>
      <x:c r="B777" t="str">
        <x:v>2CO</x:v>
      </x:c>
      <x:c r="C777" t="str">
        <x:v>2. Korinther</x:v>
      </x:c>
      <x:c r="D777" t="n">
        <x:v>7</x:v>
      </x:c>
      <x:c r="E777" t="n">
        <x:v>1</x:v>
      </x:c>
      <x:c r="F777" t="str">
        <x:v>2CO-007</x:v>
      </x:c>
      <x:c r="G777" t="n">
        <x:v>156</x:v>
      </x:c>
      <x:c r="H777" t="str">
        <x:v>CQ-A08</x:v>
      </x:c>
      <x:c r="I777" s="36" t="str">
        <x:v>Welche dieser Aussagen stammt aus 2. Korinther 7?</x:v>
      </x:c>
      <x:c r="J777" s="36" t="str"/>
      <x:c r="K777" s="36" t="str"/>
      <x:c r="L777" s="36" t="str">
        <x:v>REPO_VERIFIZIERT_FRAGEFORM</x:v>
      </x:c>
      <x:c r="M777" s="36" t="str">
        <x:v>ERSETZEN</x:v>
      </x:c>
      <x:c r="N777" s="36" t="str">
        <x:v>REPETITIVE_FRAGEFORM</x:v>
      </x:c>
      <x:c r="O777" s="36" t="str">
        <x:v>REINE_WIEDERERKENNUNG</x:v>
      </x:c>
      <x:c r="P777" s="36" t="str">
        <x:v>PERSON_AUSSAGE</x:v>
      </x:c>
      <x:c r="Q777" s="36" t="str">
        <x:v>Wie beschreibt Paulus seine Haltung gegenüber den Korinthern trotz der Spannungen?</x:v>
      </x:c>
      <x:c r="R777" s="36" t="str">
        <x:v>Er hat jedes Vertrauen in sie aufgegeben.</x:v>
      </x:c>
      <x:c r="S777" s="36" t="str">
        <x:v>Er will mit ihnen nichts mehr zu tun haben.</x:v>
      </x:c>
      <x:c r="T777" s="36" t="str">
        <x:v>Sie sind in seinem Herzen; er hat großes Vertrauen zu ihnen und viel Grund zur Freude.</x:v>
      </x:c>
      <x:c r="U777" s="36" t="str">
        <x:v>Er spricht nur noch über ihre Fehler.</x:v>
      </x:c>
      <x:c r="V777" s="36" t="n">
        <x:v>2</x:v>
      </x:c>
      <x:c r="W777" s="36" t="str">
        <x:f>CHOOSE(V777+1,R777,S777,T777,U777)</x:f>
        <x:v>Sie sind in seinem Herzen; er hat großes Vertrauen zu ihnen und viel Grund zur Freude.</x:v>
      </x:c>
      <x:c r="X777" s="36" t="str">
        <x:v>2. Korinther 7,2–4</x:v>
      </x:c>
      <x:c r="Y777" s="36" t="str">
        <x:v>Paulus bittet um offene Herzen und verbindet Korrektur mit tiefer Verbundenheit und Zuversicht.</x:v>
      </x:c>
      <x:c r="Z777" s="36" t="str">
        <x:v>JA</x:v>
      </x:c>
      <x:c r="AA777" s="36" t="str">
        <x:v>JA</x:v>
      </x:c>
      <x:c r="AB777" s="36" t="str">
        <x:v>JA</x:v>
      </x:c>
      <x:c r="AC777" s="36" t="str">
        <x:v>JA</x:v>
      </x:c>
      <x:c r="AD777" s="36" t="str">
        <x:v>JA</x:v>
      </x:c>
      <x:c r="AE777" s="36" t="str">
        <x:v>JA</x:v>
      </x:c>
      <x:c r="AF777" s="36" t="str">
        <x:v>JA</x:v>
      </x:c>
      <x:c r="AG777" s="36" t="str">
        <x:v>FREIGEGEBEN</x:v>
      </x:c>
      <x:c r="AH777" s="36" t="str">
        <x:v>GPT-5.6 Sol · Buchprüfung 2. Korinther · L1912/OTB</x:v>
      </x:c>
      <x:c r="AI777" s="36" t="str">
        <x:v>FREIGEGEBEN</x:v>
      </x:c>
      <x:c r="AJ777" s="36" t="str">
        <x:v>2. Korinther 7: repetitive Wiedererkennungsfrage durch PERSON_AUSSAGE-Frage ersetzt.</x:v>
      </x:c>
      <x:c r="AK777" s="36" t="str">
        <x:v>FaithPath repo develop/v4 · data/stories.json · data/bibles/l1912/2CO.json · data/bibles/otb/2CO.json</x:v>
      </x:c>
      <x:c r="AL777" t="str">
        <x:f>IF(AND(AG777="FREIGEGEBEN",AI777="FREIGEGEBEN",Q777&lt;&gt;"",R777&lt;&gt;"",S777&lt;&gt;"",T777&lt;&gt;"",U777&lt;&gt;"",ISNUMBER(V777),X777&lt;&gt;"",Y777&lt;&gt;"",AA777="JA",AB777="JA",AC777="JA",AD777="JA",AE777="JA",AF777="JA"),"JA","NEIN")</x:f>
        <x:v>JA</x:v>
      </x:c>
    </x:row>
    <x:row r="778">
      <x:c r="A778" t="str">
        <x:v>FP-1037</x:v>
      </x:c>
      <x:c r="B778" t="str">
        <x:v>2CO</x:v>
      </x:c>
      <x:c r="C778" t="str">
        <x:v>2. Korinther</x:v>
      </x:c>
      <x:c r="D778" t="n">
        <x:v>7</x:v>
      </x:c>
      <x:c r="E778" t="n">
        <x:v>2</x:v>
      </x:c>
      <x:c r="F778" t="str">
        <x:v>2CO-007</x:v>
      </x:c>
      <x:c r="G778" t="n">
        <x:v>156</x:v>
      </x:c>
      <x:c r="H778" t="str">
        <x:v>CQ-A08</x:v>
      </x:c>
      <x:c r="I778" s="36" t="str">
        <x:v>Welche dieser Aussagen stammt aus 2. Korinther 7?</x:v>
      </x:c>
      <x:c r="J778" s="36" t="str"/>
      <x:c r="K778" s="36" t="str"/>
      <x:c r="L778" s="36" t="str">
        <x:v>REPO_VERIFIZIERT_FRAGEFORM</x:v>
      </x:c>
      <x:c r="M778" s="36" t="str">
        <x:v>ERSETZEN</x:v>
      </x:c>
      <x:c r="N778" s="36" t="str">
        <x:v>REPETITIVE_FRAGEFORM</x:v>
      </x:c>
      <x:c r="O778" s="36" t="str">
        <x:v>REINE_WIEDERERKENNUNG</x:v>
      </x:c>
      <x:c r="P778" s="36" t="str">
        <x:v>GESCHEHEN</x:v>
      </x:c>
      <x:c r="Q778" s="36" t="str">
        <x:v>Wie tröstet Gott Paulus in Mazedonien, als er äußere Kämpfe und innere Ängste erlebt?</x:v>
      </x:c>
      <x:c r="R778" s="36" t="str">
        <x:v>Durch das sofortige Ende aller Probleme.</x:v>
      </x:c>
      <x:c r="S778" s="36" t="str">
        <x:v>Durch eine Reise zurück nach Tarsus.</x:v>
      </x:c>
      <x:c r="T778" s="36" t="str">
        <x:v>Durch den Rückzug aus dem Dienst.</x:v>
      </x:c>
      <x:c r="U778" s="36" t="str">
        <x:v>Durch die Ankunft des Titus und dessen gute Nachricht über die Korinther.</x:v>
      </x:c>
      <x:c r="V778" s="36" t="n">
        <x:v>3</x:v>
      </x:c>
      <x:c r="W778" s="36" t="str">
        <x:f>CHOOSE(V778+1,R778,S778,T778,U778)</x:f>
        <x:v>Durch die Ankunft des Titus und dessen gute Nachricht über die Korinther.</x:v>
      </x:c>
      <x:c r="X778" s="36" t="str">
        <x:v>2. Korinther 7,5–7</x:v>
      </x:c>
      <x:c r="Y778" s="36" t="str">
        <x:v>Paulus nennt Titus' Ankunft ausdrücklich als Mittel von Gottes Trost.</x:v>
      </x:c>
      <x:c r="Z778" s="36" t="str">
        <x:v>JA</x:v>
      </x:c>
      <x:c r="AA778" s="36" t="str">
        <x:v>JA</x:v>
      </x:c>
      <x:c r="AB778" s="36" t="str">
        <x:v>JA</x:v>
      </x:c>
      <x:c r="AC778" s="36" t="str">
        <x:v>JA</x:v>
      </x:c>
      <x:c r="AD778" s="36" t="str">
        <x:v>JA</x:v>
      </x:c>
      <x:c r="AE778" s="36" t="str">
        <x:v>JA</x:v>
      </x:c>
      <x:c r="AF778" s="36" t="str">
        <x:v>JA</x:v>
      </x:c>
      <x:c r="AG778" s="36" t="str">
        <x:v>FREIGEGEBEN</x:v>
      </x:c>
      <x:c r="AH778" s="36" t="str">
        <x:v>GPT-5.6 Sol · Buchprüfung 2. Korinther · L1912/OTB</x:v>
      </x:c>
      <x:c r="AI778" s="36" t="str">
        <x:v>FREIGEGEBEN</x:v>
      </x:c>
      <x:c r="AJ778" s="36" t="str">
        <x:v>2. Korinther 7: repetitive Wiedererkennungsfrage durch GESCHEHEN-Frage ersetzt.</x:v>
      </x:c>
      <x:c r="AK778" s="36" t="str">
        <x:v>FaithPath repo develop/v4 · data/stories.json · data/bibles/l1912/2CO.json · data/bibles/otb/2CO.json</x:v>
      </x:c>
      <x:c r="AL778" t="str">
        <x:f>IF(AND(AG778="FREIGEGEBEN",AI778="FREIGEGEBEN",Q778&lt;&gt;"",R778&lt;&gt;"",S778&lt;&gt;"",T778&lt;&gt;"",U778&lt;&gt;"",ISNUMBER(V778),X778&lt;&gt;"",Y778&lt;&gt;"",AA778="JA",AB778="JA",AC778="JA",AD778="JA",AE778="JA",AF778="JA"),"JA","NEIN")</x:f>
        <x:v>JA</x:v>
      </x:c>
    </x:row>
    <x:row r="779">
      <x:c r="A779" t="str">
        <x:v>FP-1038</x:v>
      </x:c>
      <x:c r="B779" t="str">
        <x:v>2CO</x:v>
      </x:c>
      <x:c r="C779" t="str">
        <x:v>2. Korinther</x:v>
      </x:c>
      <x:c r="D779" t="n">
        <x:v>7</x:v>
      </x:c>
      <x:c r="E779" t="n">
        <x:v>3</x:v>
      </x:c>
      <x:c r="F779" t="str">
        <x:v>2CO-007</x:v>
      </x:c>
      <x:c r="G779" t="n">
        <x:v>156</x:v>
      </x:c>
      <x:c r="H779" t="str">
        <x:v>CQ-A08</x:v>
      </x:c>
      <x:c r="I779" s="36" t="str">
        <x:v>Welche dieser Aussagen stammt aus 2. Korinther 7?</x:v>
      </x:c>
      <x:c r="J779" s="36" t="str"/>
      <x:c r="K779" s="36" t="str"/>
      <x:c r="L779" s="36" t="str">
        <x:v>REPO_VERIFIZIERT_FRAGEFORM</x:v>
      </x:c>
      <x:c r="M779" s="36" t="str">
        <x:v>ERSETZEN</x:v>
      </x:c>
      <x:c r="N779" s="36" t="str">
        <x:v>REPETITIVE_FRAGEFORM</x:v>
      </x:c>
      <x:c r="O779" s="36" t="str">
        <x:v>REINE_WIEDERERKENNUNG</x:v>
      </x:c>
      <x:c r="P779" s="36" t="str">
        <x:v>KERNAUSSAGE</x:v>
      </x:c>
      <x:c r="Q779" s="36" t="str">
        <x:v>Was unterscheidet „göttliche Traurigkeit“ von weltlicher Traurigkeit?</x:v>
      </x:c>
      <x:c r="R779" s="36" t="str">
        <x:v>Göttliche Traurigkeit führt zur Umkehr zum Heil, während weltliche Traurigkeit zum Tod führt.</x:v>
      </x:c>
      <x:c r="S779" s="36" t="str">
        <x:v>Göttliche Traurigkeit bedeutet, niemals zu weinen.</x:v>
      </x:c>
      <x:c r="T779" s="36" t="str">
        <x:v>Weltliche Traurigkeit führt immer zur Umkehr.</x:v>
      </x:c>
      <x:c r="U779" s="36" t="str">
        <x:v>Beide sind nach Paulus völlig gleich.</x:v>
      </x:c>
      <x:c r="V779" s="36" t="n">
        <x:v>0</x:v>
      </x:c>
      <x:c r="W779" s="36" t="str">
        <x:f>CHOOSE(V779+1,R779,S779,T779,U779)</x:f>
        <x:v>Göttliche Traurigkeit führt zur Umkehr zum Heil, während weltliche Traurigkeit zum Tod führt.</x:v>
      </x:c>
      <x:c r="X779" s="36" t="str">
        <x:v>2. Korinther 7,8–10</x:v>
      </x:c>
      <x:c r="Y779" s="36" t="str">
        <x:v>Paulus bewertet Traurigkeit nach ihrer Frucht: Umkehr und Heil im Gegensatz zu zerstörerischer Traurigkeit.</x:v>
      </x:c>
      <x:c r="Z779" s="36" t="str">
        <x:v>JA</x:v>
      </x:c>
      <x:c r="AA779" s="36" t="str">
        <x:v>JA</x:v>
      </x:c>
      <x:c r="AB779" s="36" t="str">
        <x:v>JA</x:v>
      </x:c>
      <x:c r="AC779" s="36" t="str">
        <x:v>JA</x:v>
      </x:c>
      <x:c r="AD779" s="36" t="str">
        <x:v>JA</x:v>
      </x:c>
      <x:c r="AE779" s="36" t="str">
        <x:v>JA</x:v>
      </x:c>
      <x:c r="AF779" s="36" t="str">
        <x:v>JA</x:v>
      </x:c>
      <x:c r="AG779" s="36" t="str">
        <x:v>FREIGEGEBEN</x:v>
      </x:c>
      <x:c r="AH779" s="36" t="str">
        <x:v>GPT-5.6 Sol · Buchprüfung 2. Korinther · L1912/OTB</x:v>
      </x:c>
      <x:c r="AI779" s="36" t="str">
        <x:v>FREIGEGEBEN</x:v>
      </x:c>
      <x:c r="AJ779" s="36" t="str">
        <x:v>2. Korinther 7: repetitive Wiedererkennungsfrage durch KERNAUSSAGE-Frage ersetzt.</x:v>
      </x:c>
      <x:c r="AK779" s="36" t="str">
        <x:v>FaithPath repo develop/v4 · data/stories.json · data/bibles/l1912/2CO.json · data/bibles/otb/2CO.json</x:v>
      </x:c>
      <x:c r="AL779" t="str">
        <x:f>IF(AND(AG779="FREIGEGEBEN",AI779="FREIGEGEBEN",Q779&lt;&gt;"",R779&lt;&gt;"",S779&lt;&gt;"",T779&lt;&gt;"",U779&lt;&gt;"",ISNUMBER(V779),X779&lt;&gt;"",Y779&lt;&gt;"",AA779="JA",AB779="JA",AC779="JA",AD779="JA",AE779="JA",AF779="JA"),"JA","NEIN")</x:f>
        <x:v>JA</x:v>
      </x:c>
    </x:row>
    <x:row r="780">
      <x:c r="A780" t="str">
        <x:v>FP-1039</x:v>
      </x:c>
      <x:c r="B780" t="str">
        <x:v>2CO</x:v>
      </x:c>
      <x:c r="C780" t="str">
        <x:v>2. Korinther</x:v>
      </x:c>
      <x:c r="D780" t="n">
        <x:v>7</x:v>
      </x:c>
      <x:c r="E780" t="n">
        <x:v>4</x:v>
      </x:c>
      <x:c r="F780" t="str">
        <x:v>2CO-007</x:v>
      </x:c>
      <x:c r="G780" t="n">
        <x:v>156</x:v>
      </x:c>
      <x:c r="H780" t="str">
        <x:v>CQ-A08</x:v>
      </x:c>
      <x:c r="I780" s="36" t="str">
        <x:v>Welche dieser Aussagen stammt aus 2. Korinther 7?</x:v>
      </x:c>
      <x:c r="J780" s="36" t="str"/>
      <x:c r="K780" s="36" t="str"/>
      <x:c r="L780" s="36" t="str">
        <x:v>REPO_VERIFIZIERT_FRAGEFORM</x:v>
      </x:c>
      <x:c r="M780" s="36" t="str">
        <x:v>ERSETZEN</x:v>
      </x:c>
      <x:c r="N780" s="36" t="str">
        <x:v>REPETITIVE_FRAGEFORM</x:v>
      </x:c>
      <x:c r="O780" s="36" t="str">
        <x:v>REINE_WIEDERERKENNUNG</x:v>
      </x:c>
      <x:c r="P780" s="36" t="str">
        <x:v>ZUSAMMENHANG</x:v>
      </x:c>
      <x:c r="Q780" s="36" t="str">
        <x:v>Woran erkennt Paulus die Echtheit der Umkehr der Korinther?</x:v>
      </x:c>
      <x:c r="R780" s="36" t="str">
        <x:v>Nur daran, dass sie traurig waren.</x:v>
      </x:c>
      <x:c r="S780" s="36" t="str">
        <x:v>An ihrem Eifer, ihrer Verantwortung, Empörung, Furcht, Sehnsucht und ihrem Bemühen, das Unrecht zu korrigieren.</x:v>
      </x:c>
      <x:c r="T780" s="36" t="str">
        <x:v>An einer Geldzahlung an Paulus.</x:v>
      </x:c>
      <x:c r="U780" s="36" t="str">
        <x:v>Daran, dass sie den Ort gewechselt haben.</x:v>
      </x:c>
      <x:c r="V780" s="36" t="n">
        <x:v>1</x:v>
      </x:c>
      <x:c r="W780" s="36" t="str">
        <x:f>CHOOSE(V780+1,R780,S780,T780,U780)</x:f>
        <x:v>An ihrem Eifer, ihrer Verantwortung, Empörung, Furcht, Sehnsucht und ihrem Bemühen, das Unrecht zu korrigieren.</x:v>
      </x:c>
      <x:c r="X780" s="36" t="str">
        <x:v>2. Korinther 7,11</x:v>
      </x:c>
      <x:c r="Y780" s="36" t="str">
        <x:v>Paulus nennt konkrete Früchte, die aus ihrer gottgemäßen Traurigkeit hervorgegangen sind.</x:v>
      </x:c>
      <x:c r="Z780" s="36" t="str">
        <x:v>JA</x:v>
      </x:c>
      <x:c r="AA780" s="36" t="str">
        <x:v>JA</x:v>
      </x:c>
      <x:c r="AB780" s="36" t="str">
        <x:v>JA</x:v>
      </x:c>
      <x:c r="AC780" s="36" t="str">
        <x:v>JA</x:v>
      </x:c>
      <x:c r="AD780" s="36" t="str">
        <x:v>JA</x:v>
      </x:c>
      <x:c r="AE780" s="36" t="str">
        <x:v>JA</x:v>
      </x:c>
      <x:c r="AF780" s="36" t="str">
        <x:v>JA</x:v>
      </x:c>
      <x:c r="AG780" s="36" t="str">
        <x:v>FREIGEGEBEN</x:v>
      </x:c>
      <x:c r="AH780" s="36" t="str">
        <x:v>GPT-5.6 Sol · Buchprüfung 2. Korinther · L1912/OTB</x:v>
      </x:c>
      <x:c r="AI780" s="36" t="str">
        <x:v>FREIGEGEBEN</x:v>
      </x:c>
      <x:c r="AJ780" s="36" t="str">
        <x:v>2. Korinther 7: repetitive Wiedererkennungsfrage durch ZUSAMMENHANG-Frage ersetzt.</x:v>
      </x:c>
      <x:c r="AK780" s="36" t="str">
        <x:v>FaithPath repo develop/v4 · data/stories.json · data/bibles/l1912/2CO.json · data/bibles/otb/2CO.json</x:v>
      </x:c>
      <x:c r="AL780" t="str">
        <x:f>IF(AND(AG780="FREIGEGEBEN",AI780="FREIGEGEBEN",Q780&lt;&gt;"",R780&lt;&gt;"",S780&lt;&gt;"",T780&lt;&gt;"",U780&lt;&gt;"",ISNUMBER(V780),X780&lt;&gt;"",Y780&lt;&gt;"",AA780="JA",AB780="JA",AC780="JA",AD780="JA",AE780="JA",AF780="JA"),"JA","NEIN")</x:f>
        <x:v>JA</x:v>
      </x:c>
    </x:row>
    <x:row r="781">
      <x:c r="A781" t="str">
        <x:v>FP-1040</x:v>
      </x:c>
      <x:c r="B781" t="str">
        <x:v>2CO</x:v>
      </x:c>
      <x:c r="C781" t="str">
        <x:v>2. Korinther</x:v>
      </x:c>
      <x:c r="D781" t="n">
        <x:v>7</x:v>
      </x:c>
      <x:c r="E781" t="n">
        <x:v>5</x:v>
      </x:c>
      <x:c r="F781" t="str">
        <x:v>2CO-007</x:v>
      </x:c>
      <x:c r="G781" t="n">
        <x:v>156</x:v>
      </x:c>
      <x:c r="H781" t="str">
        <x:v>CQ-A08</x:v>
      </x:c>
      <x:c r="I781" s="36" t="str">
        <x:v>Welche dieser Aussagen stammt aus 2. Korinther 7?</x:v>
      </x:c>
      <x:c r="J781" s="36" t="str"/>
      <x:c r="K781" s="36" t="str"/>
      <x:c r="L781" s="36" t="str">
        <x:v>REPO_VERIFIZIERT_FRAGEFORM</x:v>
      </x:c>
      <x:c r="M781" s="36" t="str">
        <x:v>ERSETZEN</x:v>
      </x:c>
      <x:c r="N781" s="36" t="str">
        <x:v>REPETITIVE_FRAGEFORM</x:v>
      </x:c>
      <x:c r="O781" s="36" t="str">
        <x:v>REINE_WIEDERERKENNUNG</x:v>
      </x:c>
      <x:c r="P781" s="36" t="str">
        <x:v>GESCHEHEN</x:v>
      </x:c>
      <x:c r="Q781" s="36" t="str">
        <x:v>Warum freut sich Paulus zusätzlich über Titus?</x:v>
      </x:c>
      <x:c r="R781" s="36" t="str">
        <x:v>Weil Titus Korinth dauerhaft verlassen hat.</x:v>
      </x:c>
      <x:c r="S781" s="36" t="str">
        <x:v>Weil Titus eine neue Gemeinde gegründet hat.</x:v>
      </x:c>
      <x:c r="T781" s="36" t="str">
        <x:v>Weil Titus durch die Begegnung mit den Korinthern ermutigt wurde und sein Vertrauen in sie bestätigt sah.</x:v>
      </x:c>
      <x:c r="U781" s="36" t="str">
        <x:v>Weil Titus keine Fragen mehr an Paulus hatte.</x:v>
      </x:c>
      <x:c r="V781" s="36" t="n">
        <x:v>2</x:v>
      </x:c>
      <x:c r="W781" s="36" t="str">
        <x:f>CHOOSE(V781+1,R781,S781,T781,U781)</x:f>
        <x:v>Weil Titus durch die Begegnung mit den Korinthern ermutigt wurde und sein Vertrauen in sie bestätigt sah.</x:v>
      </x:c>
      <x:c r="X781" s="36" t="str">
        <x:v>2. Korinther 7,13–16</x:v>
      </x:c>
      <x:c r="Y781" s="36" t="str">
        <x:v>Die gute Aufnahme des Titus und sein erneuertes Vertrauen in die Gemeinde verstärken Paulus' Freude.</x:v>
      </x:c>
      <x:c r="Z781" s="36" t="str">
        <x:v>JA</x:v>
      </x:c>
      <x:c r="AA781" s="36" t="str">
        <x:v>JA</x:v>
      </x:c>
      <x:c r="AB781" s="36" t="str">
        <x:v>JA</x:v>
      </x:c>
      <x:c r="AC781" s="36" t="str">
        <x:v>JA</x:v>
      </x:c>
      <x:c r="AD781" s="36" t="str">
        <x:v>JA</x:v>
      </x:c>
      <x:c r="AE781" s="36" t="str">
        <x:v>JA</x:v>
      </x:c>
      <x:c r="AF781" s="36" t="str">
        <x:v>JA</x:v>
      </x:c>
      <x:c r="AG781" s="36" t="str">
        <x:v>FREIGEGEBEN</x:v>
      </x:c>
      <x:c r="AH781" s="36" t="str">
        <x:v>GPT-5.6 Sol · Buchprüfung 2. Korinther · L1912/OTB</x:v>
      </x:c>
      <x:c r="AI781" s="36" t="str">
        <x:v>FREIGEGEBEN</x:v>
      </x:c>
      <x:c r="AJ781" s="36" t="str">
        <x:v>2. Korinther 7: repetitive Wiedererkennungsfrage durch GESCHEHEN-Frage ersetzt.</x:v>
      </x:c>
      <x:c r="AK781" s="36" t="str">
        <x:v>FaithPath repo develop/v4 · data/stories.json · data/bibles/l1912/2CO.json · data/bibles/otb/2CO.json</x:v>
      </x:c>
      <x:c r="AL781" t="str">
        <x:f>IF(AND(AG781="FREIGEGEBEN",AI781="FREIGEGEBEN",Q781&lt;&gt;"",R781&lt;&gt;"",S781&lt;&gt;"",T781&lt;&gt;"",U781&lt;&gt;"",ISNUMBER(V781),X781&lt;&gt;"",Y781&lt;&gt;"",AA781="JA",AB781="JA",AC781="JA",AD781="JA",AE781="JA",AF781="JA"),"JA","NEIN")</x:f>
        <x:v>JA</x:v>
      </x:c>
    </x:row>
    <x:row r="782">
      <x:c r="A782" t="str">
        <x:v>FP-1041</x:v>
      </x:c>
      <x:c r="B782" t="str">
        <x:v>2CO</x:v>
      </x:c>
      <x:c r="C782" t="str">
        <x:v>2. Korinther</x:v>
      </x:c>
      <x:c r="D782" t="n">
        <x:v>8</x:v>
      </x:c>
      <x:c r="E782" t="n">
        <x:v>1</x:v>
      </x:c>
      <x:c r="F782" t="str">
        <x:v>2CO-008</x:v>
      </x:c>
      <x:c r="G782" t="n">
        <x:v>157</x:v>
      </x:c>
      <x:c r="H782" t="str">
        <x:v>CQ-A08</x:v>
      </x:c>
      <x:c r="I782" s="36" t="str">
        <x:v>Welche dieser Aussagen stammt aus 2. Korinther 8?</x:v>
      </x:c>
      <x:c r="J782" s="36" t="str"/>
      <x:c r="K782" s="36" t="str"/>
      <x:c r="L782" s="36" t="str">
        <x:v>REPO_VERIFIZIERT_FRAGEFORM</x:v>
      </x:c>
      <x:c r="M782" s="36" t="str">
        <x:v>ERSETZEN</x:v>
      </x:c>
      <x:c r="N782" s="36" t="str">
        <x:v>REPETITIVE_FRAGEFORM</x:v>
      </x:c>
      <x:c r="O782" s="36" t="str">
        <x:v>REINE_WIEDERERKENNUNG</x:v>
      </x:c>
      <x:c r="P782" s="36" t="str">
        <x:v>ZUSAMMENHANG</x:v>
      </x:c>
      <x:c r="Q782" s="36" t="str">
        <x:v>Was ist an der Großzügigkeit der Gemeinden in Mazedonien besonders?</x:v>
      </x:c>
      <x:c r="R782" s="36" t="str">
        <x:v>Sie geben nur aus großem Überfluss.</x:v>
      </x:c>
      <x:c r="S782" s="36" t="str">
        <x:v>Sie werden von Paulus dazu gezwungen.</x:v>
      </x:c>
      <x:c r="T782" s="36" t="str">
        <x:v>Sie unterstützen ausschließlich ihre eigene Gemeinde.</x:v>
      </x:c>
      <x:c r="U782" s="36" t="str">
        <x:v>Trotz schwerer Bedrängnis und tiefer Armut geben sie freiwillig und sogar über ihre Möglichkeiten hinaus.</x:v>
      </x:c>
      <x:c r="V782" s="36" t="n">
        <x:v>3</x:v>
      </x:c>
      <x:c r="W782" s="36" t="str">
        <x:f>CHOOSE(V782+1,R782,S782,T782,U782)</x:f>
        <x:v>Trotz schwerer Bedrängnis und tiefer Armut geben sie freiwillig und sogar über ihre Möglichkeiten hinaus.</x:v>
      </x:c>
      <x:c r="X782" s="36" t="str">
        <x:v>2. Korinther 8,1–5</x:v>
      </x:c>
      <x:c r="Y782" s="36" t="str">
        <x:v>Paulus stellt ihre überreiche Freude und freiwillige Hingabe trotz Armut als Beispiel von Gottes Gnade dar.</x:v>
      </x:c>
      <x:c r="Z782" s="36" t="str">
        <x:v>JA</x:v>
      </x:c>
      <x:c r="AA782" s="36" t="str">
        <x:v>JA</x:v>
      </x:c>
      <x:c r="AB782" s="36" t="str">
        <x:v>JA</x:v>
      </x:c>
      <x:c r="AC782" s="36" t="str">
        <x:v>JA</x:v>
      </x:c>
      <x:c r="AD782" s="36" t="str">
        <x:v>JA</x:v>
      </x:c>
      <x:c r="AE782" s="36" t="str">
        <x:v>JA</x:v>
      </x:c>
      <x:c r="AF782" s="36" t="str">
        <x:v>JA</x:v>
      </x:c>
      <x:c r="AG782" s="36" t="str">
        <x:v>FREIGEGEBEN</x:v>
      </x:c>
      <x:c r="AH782" s="36" t="str">
        <x:v>GPT-5.6 Sol · Buchprüfung 2. Korinther · L1912/OTB</x:v>
      </x:c>
      <x:c r="AI782" s="36" t="str">
        <x:v>FREIGEGEBEN</x:v>
      </x:c>
      <x:c r="AJ782" s="36" t="str">
        <x:v>2. Korinther 8: repetitive Wiedererkennungsfrage durch ZUSAMMENHANG-Frage ersetzt.</x:v>
      </x:c>
      <x:c r="AK782" s="36" t="str">
        <x:v>FaithPath repo develop/v4 · data/stories.json · data/bibles/l1912/2CO.json · data/bibles/otb/2CO.json</x:v>
      </x:c>
      <x:c r="AL782" t="str">
        <x:f>IF(AND(AG782="FREIGEGEBEN",AI782="FREIGEGEBEN",Q782&lt;&gt;"",R782&lt;&gt;"",S782&lt;&gt;"",T782&lt;&gt;"",U782&lt;&gt;"",ISNUMBER(V782),X782&lt;&gt;"",Y782&lt;&gt;"",AA782="JA",AB782="JA",AC782="JA",AD782="JA",AE782="JA",AF782="JA"),"JA","NEIN")</x:f>
        <x:v>JA</x:v>
      </x:c>
    </x:row>
    <x:row r="783">
      <x:c r="A783" t="str">
        <x:v>FP-1042</x:v>
      </x:c>
      <x:c r="B783" t="str">
        <x:v>2CO</x:v>
      </x:c>
      <x:c r="C783" t="str">
        <x:v>2. Korinther</x:v>
      </x:c>
      <x:c r="D783" t="n">
        <x:v>8</x:v>
      </x:c>
      <x:c r="E783" t="n">
        <x:v>2</x:v>
      </x:c>
      <x:c r="F783" t="str">
        <x:v>2CO-008</x:v>
      </x:c>
      <x:c r="G783" t="n">
        <x:v>157</x:v>
      </x:c>
      <x:c r="H783" t="str">
        <x:v>CQ-A08</x:v>
      </x:c>
      <x:c r="I783" s="36" t="str">
        <x:v>Welche dieser Aussagen stammt aus 2. Korinther 8?</x:v>
      </x:c>
      <x:c r="J783" s="36" t="str"/>
      <x:c r="K783" s="36" t="str"/>
      <x:c r="L783" s="36" t="str">
        <x:v>REPO_VERIFIZIERT_FRAGEFORM</x:v>
      </x:c>
      <x:c r="M783" s="36" t="str">
        <x:v>ERSETZEN</x:v>
      </x:c>
      <x:c r="N783" s="36" t="str">
        <x:v>REPETITIVE_FRAGEFORM</x:v>
      </x:c>
      <x:c r="O783" s="36" t="str">
        <x:v>REINE_WIEDERERKENNUNG</x:v>
      </x:c>
      <x:c r="P783" s="36" t="str">
        <x:v>KERNAUSSAGE</x:v>
      </x:c>
      <x:c r="Q783" s="36" t="str">
        <x:v>Wie begründet Paulus großzügiges Geben mit dem Beispiel Jesu Christi?</x:v>
      </x:c>
      <x:c r="R783" s="36" t="str">
        <x:v>Christus wurde um ihretwillen arm, obwohl er reich war, damit sie durch seine Armut reich würden.</x:v>
      </x:c>
      <x:c r="S783" s="36" t="str">
        <x:v>Jesus sammelte möglichst viel persönlichen Besitz.</x:v>
      </x:c>
      <x:c r="T783" s="36" t="str">
        <x:v>Christus lehrte, dass Geben nur für Reiche gilt.</x:v>
      </x:c>
      <x:c r="U783" s="36" t="str">
        <x:v>Jesu Beispiel hat mit Großzügigkeit nichts zu tun.</x:v>
      </x:c>
      <x:c r="V783" s="36" t="n">
        <x:v>0</x:v>
      </x:c>
      <x:c r="W783" s="36" t="str">
        <x:f>CHOOSE(V783+1,R783,S783,T783,U783)</x:f>
        <x:v>Christus wurde um ihretwillen arm, obwohl er reich war, damit sie durch seine Armut reich würden.</x:v>
      </x:c>
      <x:c r="X783" s="36" t="str">
        <x:v>2. Korinther 8,7–9</x:v>
      </x:c>
      <x:c r="Y783" s="36" t="str">
        <x:v>Paulus motiviert nicht nur durch einen Befehl, sondern durch Christi selbsthingebende Gnade.</x:v>
      </x:c>
      <x:c r="Z783" s="36" t="str">
        <x:v>JA</x:v>
      </x:c>
      <x:c r="AA783" s="36" t="str">
        <x:v>JA</x:v>
      </x:c>
      <x:c r="AB783" s="36" t="str">
        <x:v>JA</x:v>
      </x:c>
      <x:c r="AC783" s="36" t="str">
        <x:v>JA</x:v>
      </x:c>
      <x:c r="AD783" s="36" t="str">
        <x:v>JA</x:v>
      </x:c>
      <x:c r="AE783" s="36" t="str">
        <x:v>JA</x:v>
      </x:c>
      <x:c r="AF783" s="36" t="str">
        <x:v>JA</x:v>
      </x:c>
      <x:c r="AG783" s="36" t="str">
        <x:v>FREIGEGEBEN</x:v>
      </x:c>
      <x:c r="AH783" s="36" t="str">
        <x:v>GPT-5.6 Sol · Buchprüfung 2. Korinther · L1912/OTB</x:v>
      </x:c>
      <x:c r="AI783" s="36" t="str">
        <x:v>FREIGEGEBEN</x:v>
      </x:c>
      <x:c r="AJ783" s="36" t="str">
        <x:v>2. Korinther 8: repetitive Wiedererkennungsfrage durch KERNAUSSAGE-Frage ersetzt.</x:v>
      </x:c>
      <x:c r="AK783" s="36" t="str">
        <x:v>FaithPath repo develop/v4 · data/stories.json · data/bibles/l1912/2CO.json · data/bibles/otb/2CO.json</x:v>
      </x:c>
      <x:c r="AL783" t="str">
        <x:f>IF(AND(AG783="FREIGEGEBEN",AI783="FREIGEGEBEN",Q783&lt;&gt;"",R783&lt;&gt;"",S783&lt;&gt;"",T783&lt;&gt;"",U783&lt;&gt;"",ISNUMBER(V783),X783&lt;&gt;"",Y783&lt;&gt;"",AA783="JA",AB783="JA",AC783="JA",AD783="JA",AE783="JA",AF783="JA"),"JA","NEIN")</x:f>
        <x:v>JA</x:v>
      </x:c>
    </x:row>
    <x:row r="784">
      <x:c r="A784" t="str">
        <x:v>FP-1043</x:v>
      </x:c>
      <x:c r="B784" t="str">
        <x:v>2CO</x:v>
      </x:c>
      <x:c r="C784" t="str">
        <x:v>2. Korinther</x:v>
      </x:c>
      <x:c r="D784" t="n">
        <x:v>8</x:v>
      </x:c>
      <x:c r="E784" t="n">
        <x:v>3</x:v>
      </x:c>
      <x:c r="F784" t="str">
        <x:v>2CO-008</x:v>
      </x:c>
      <x:c r="G784" t="n">
        <x:v>157</x:v>
      </x:c>
      <x:c r="H784" t="str">
        <x:v>CQ-A08</x:v>
      </x:c>
      <x:c r="I784" s="36" t="str">
        <x:v>Welche dieser Aussagen stammt aus 2. Korinther 8?</x:v>
      </x:c>
      <x:c r="J784" s="36" t="str"/>
      <x:c r="K784" s="36" t="str"/>
      <x:c r="L784" s="36" t="str">
        <x:v>REPO_VERIFIZIERT_FRAGEFORM</x:v>
      </x:c>
      <x:c r="M784" s="36" t="str">
        <x:v>ERSETZEN</x:v>
      </x:c>
      <x:c r="N784" s="36" t="str">
        <x:v>REPETITIVE_FRAGEFORM</x:v>
      </x:c>
      <x:c r="O784" s="36" t="str">
        <x:v>REINE_WIEDERERKENNUNG</x:v>
      </x:c>
      <x:c r="P784" s="36" t="str">
        <x:v>KERNAUSSAGE</x:v>
      </x:c>
      <x:c r="Q784" s="36" t="str">
        <x:v>Was zählt nach Paulus bei einer Gabe, wenn echte Bereitschaft vorhanden ist?</x:v>
      </x:c>
      <x:c r="R784" s="36" t="str">
        <x:v>Nur große Beträge sind Gott angenehm.</x:v>
      </x:c>
      <x:c r="S784" s="36" t="str">
        <x:v>Sie ist nach dem angenommen, was jemand hat, nicht nach dem, was er nicht hat.</x:v>
      </x:c>
      <x:c r="T784" s="36" t="str">
        <x:v>Jeder muss denselben Betrag geben.</x:v>
      </x:c>
      <x:c r="U784" s="36" t="str">
        <x:v>Bereitschaft ohne Überfluss ist wertlos.</x:v>
      </x:c>
      <x:c r="V784" s="36" t="n">
        <x:v>1</x:v>
      </x:c>
      <x:c r="W784" s="36" t="str">
        <x:f>CHOOSE(V784+1,R784,S784,T784,U784)</x:f>
        <x:v>Sie ist nach dem angenommen, was jemand hat, nicht nach dem, was er nicht hat.</x:v>
      </x:c>
      <x:c r="X784" s="36" t="str">
        <x:v>2. Korinther 8,10–12</x:v>
      </x:c>
      <x:c r="Y784" s="36" t="str">
        <x:v>Paulus verbindet die Vollendung des Vorhabens mit einer realistischen Gabe entsprechend den Möglichkeiten.</x:v>
      </x:c>
      <x:c r="Z784" s="36" t="str">
        <x:v>JA</x:v>
      </x:c>
      <x:c r="AA784" s="36" t="str">
        <x:v>JA</x:v>
      </x:c>
      <x:c r="AB784" s="36" t="str">
        <x:v>JA</x:v>
      </x:c>
      <x:c r="AC784" s="36" t="str">
        <x:v>JA</x:v>
      </x:c>
      <x:c r="AD784" s="36" t="str">
        <x:v>JA</x:v>
      </x:c>
      <x:c r="AE784" s="36" t="str">
        <x:v>JA</x:v>
      </x:c>
      <x:c r="AF784" s="36" t="str">
        <x:v>JA</x:v>
      </x:c>
      <x:c r="AG784" s="36" t="str">
        <x:v>FREIGEGEBEN</x:v>
      </x:c>
      <x:c r="AH784" s="36" t="str">
        <x:v>GPT-5.6 Sol · Buchprüfung 2. Korinther · L1912/OTB</x:v>
      </x:c>
      <x:c r="AI784" s="36" t="str">
        <x:v>FREIGEGEBEN</x:v>
      </x:c>
      <x:c r="AJ784" s="36" t="str">
        <x:v>2. Korinther 8: repetitive Wiedererkennungsfrage durch KERNAUSSAGE-Frage ersetzt.</x:v>
      </x:c>
      <x:c r="AK784" s="36" t="str">
        <x:v>FaithPath repo develop/v4 · data/stories.json · data/bibles/l1912/2CO.json · data/bibles/otb/2CO.json</x:v>
      </x:c>
      <x:c r="AL784" t="str">
        <x:f>IF(AND(AG784="FREIGEGEBEN",AI784="FREIGEGEBEN",Q784&lt;&gt;"",R784&lt;&gt;"",S784&lt;&gt;"",T784&lt;&gt;"",U784&lt;&gt;"",ISNUMBER(V784),X784&lt;&gt;"",Y784&lt;&gt;"",AA784="JA",AB784="JA",AC784="JA",AD784="JA",AE784="JA",AF784="JA"),"JA","NEIN")</x:f>
        <x:v>JA</x:v>
      </x:c>
    </x:row>
    <x:row r="785">
      <x:c r="A785" t="str">
        <x:v>FP-1044</x:v>
      </x:c>
      <x:c r="B785" t="str">
        <x:v>2CO</x:v>
      </x:c>
      <x:c r="C785" t="str">
        <x:v>2. Korinther</x:v>
      </x:c>
      <x:c r="D785" t="n">
        <x:v>8</x:v>
      </x:c>
      <x:c r="E785" t="n">
        <x:v>4</x:v>
      </x:c>
      <x:c r="F785" t="str">
        <x:v>2CO-008</x:v>
      </x:c>
      <x:c r="G785" t="n">
        <x:v>157</x:v>
      </x:c>
      <x:c r="H785" t="str">
        <x:v>CQ-A08</x:v>
      </x:c>
      <x:c r="I785" s="36" t="str">
        <x:v>Welche dieser Aussagen stammt aus 2. Korinther 8?</x:v>
      </x:c>
      <x:c r="J785" s="36" t="str"/>
      <x:c r="K785" s="36" t="str"/>
      <x:c r="L785" s="36" t="str">
        <x:v>REPO_VERIFIZIERT_FRAGEFORM</x:v>
      </x:c>
      <x:c r="M785" s="36" t="str">
        <x:v>ERSETZEN</x:v>
      </x:c>
      <x:c r="N785" s="36" t="str">
        <x:v>REPETITIVE_FRAGEFORM</x:v>
      </x:c>
      <x:c r="O785" s="36" t="str">
        <x:v>REINE_WIEDERERKENNUNG</x:v>
      </x:c>
      <x:c r="P785" s="36" t="str">
        <x:v>KERNAUSSAGE</x:v>
      </x:c>
      <x:c r="Q785" s="36" t="str">
        <x:v>Welches Ziel verfolgt Paulus mit dem Ausgleich zwischen Überfluss und Mangel?</x:v>
      </x:c>
      <x:c r="R785" s="36" t="str">
        <x:v>Alle Gemeinden sollen exakt gleich viel besitzen.</x:v>
      </x:c>
      <x:c r="S785" s="36" t="str">
        <x:v>Die Korinther sollen selbst in Not geraten.</x:v>
      </x:c>
      <x:c r="T785" s="36" t="str">
        <x:v>Nicht die einen zu entlasten und die anderen zu belasten, sondern einen fairen Ausgleich zu schaffen.</x:v>
      </x:c>
      <x:c r="U785" s="36" t="str">
        <x:v>Die Empfänger sollen nichts zurückgeben.</x:v>
      </x:c>
      <x:c r="V785" s="36" t="n">
        <x:v>2</x:v>
      </x:c>
      <x:c r="W785" s="36" t="str">
        <x:f>CHOOSE(V785+1,R785,S785,T785,U785)</x:f>
        <x:v>Nicht die einen zu entlasten und die anderen zu belasten, sondern einen fairen Ausgleich zu schaffen.</x:v>
      </x:c>
      <x:c r="X785" s="36" t="str">
        <x:v>2. Korinther 8,13–15</x:v>
      </x:c>
      <x:c r="Y785" s="36" t="str">
        <x:v>Paulus spricht von Gleichheit beziehungsweise Ausgleich, sodass gegenwärtiger Überfluss fremden Mangel deckt.</x:v>
      </x:c>
      <x:c r="Z785" s="36" t="str">
        <x:v>JA</x:v>
      </x:c>
      <x:c r="AA785" s="36" t="str">
        <x:v>JA</x:v>
      </x:c>
      <x:c r="AB785" s="36" t="str">
        <x:v>JA</x:v>
      </x:c>
      <x:c r="AC785" s="36" t="str">
        <x:v>JA</x:v>
      </x:c>
      <x:c r="AD785" s="36" t="str">
        <x:v>JA</x:v>
      </x:c>
      <x:c r="AE785" s="36" t="str">
        <x:v>JA</x:v>
      </x:c>
      <x:c r="AF785" s="36" t="str">
        <x:v>JA</x:v>
      </x:c>
      <x:c r="AG785" s="36" t="str">
        <x:v>FREIGEGEBEN</x:v>
      </x:c>
      <x:c r="AH785" s="36" t="str">
        <x:v>GPT-5.6 Sol · Buchprüfung 2. Korinther · L1912/OTB</x:v>
      </x:c>
      <x:c r="AI785" s="36" t="str">
        <x:v>FREIGEGEBEN</x:v>
      </x:c>
      <x:c r="AJ785" s="36" t="str">
        <x:v>2. Korinther 8: repetitive Wiedererkennungsfrage durch KERNAUSSAGE-Frage ersetzt.</x:v>
      </x:c>
      <x:c r="AK785" s="36" t="str">
        <x:v>FaithPath repo develop/v4 · data/stories.json · data/bibles/l1912/2CO.json · data/bibles/otb/2CO.json</x:v>
      </x:c>
      <x:c r="AL785" t="str">
        <x:f>IF(AND(AG785="FREIGEGEBEN",AI785="FREIGEGEBEN",Q785&lt;&gt;"",R785&lt;&gt;"",S785&lt;&gt;"",T785&lt;&gt;"",U785&lt;&gt;"",ISNUMBER(V785),X785&lt;&gt;"",Y785&lt;&gt;"",AA785="JA",AB785="JA",AC785="JA",AD785="JA",AE785="JA",AF785="JA"),"JA","NEIN")</x:f>
        <x:v>JA</x:v>
      </x:c>
    </x:row>
    <x:row r="786">
      <x:c r="A786" t="str">
        <x:v>FP-1045</x:v>
      </x:c>
      <x:c r="B786" t="str">
        <x:v>2CO</x:v>
      </x:c>
      <x:c r="C786" t="str">
        <x:v>2. Korinther</x:v>
      </x:c>
      <x:c r="D786" t="n">
        <x:v>8</x:v>
      </x:c>
      <x:c r="E786" t="n">
        <x:v>5</x:v>
      </x:c>
      <x:c r="F786" t="str">
        <x:v>2CO-008</x:v>
      </x:c>
      <x:c r="G786" t="n">
        <x:v>157</x:v>
      </x:c>
      <x:c r="H786" t="str">
        <x:v>CQ-A08</x:v>
      </x:c>
      <x:c r="I786" s="36" t="str">
        <x:v>Welche dieser Aussagen stammt aus 2. Korinther 8?</x:v>
      </x:c>
      <x:c r="J786" s="36" t="str"/>
      <x:c r="K786" s="36" t="str"/>
      <x:c r="L786" s="36" t="str">
        <x:v>REPO_VERIFIZIERT_FRAGEFORM</x:v>
      </x:c>
      <x:c r="M786" s="36" t="str">
        <x:v>ERSETZEN</x:v>
      </x:c>
      <x:c r="N786" s="36" t="str">
        <x:v>REPETITIVE_FRAGEFORM</x:v>
      </x:c>
      <x:c r="O786" s="36" t="str">
        <x:v>REINE_WIEDERERKENNUNG</x:v>
      </x:c>
      <x:c r="P786" s="36" t="str">
        <x:v>ZUSAMMENHANG</x:v>
      </x:c>
      <x:c r="Q786" s="36" t="str">
        <x:v>Warum sendet Paulus Titus und weitere bewährte Brüder bei der Sammlung mit?</x:v>
      </x:c>
      <x:c r="R786" s="36" t="str">
        <x:v>Weil Paulus den Korinthern grundsätzlich misstraut.</x:v>
      </x:c>
      <x:c r="S786" s="36" t="str">
        <x:v>Weil nur drei Menschen Geld anfassen dürfen.</x:v>
      </x:c>
      <x:c r="T786" s="36" t="str">
        <x:v>Damit Titus allein über die Höhe der Gabe entscheidet.</x:v>
      </x:c>
      <x:c r="U786" s="36" t="str">
        <x:v>Damit die großzügige Gabe verantwortungsvoll verwaltet wird und jeder Verdacht im Umgang mit dem Geld vermieden wird.</x:v>
      </x:c>
      <x:c r="V786" s="36" t="n">
        <x:v>3</x:v>
      </x:c>
      <x:c r="W786" s="36" t="str">
        <x:f>CHOOSE(V786+1,R786,S786,T786,U786)</x:f>
        <x:v>Damit die großzügige Gabe verantwortungsvoll verwaltet wird und jeder Verdacht im Umgang mit dem Geld vermieden wird.</x:v>
      </x:c>
      <x:c r="X786" s="36" t="str">
        <x:v>2. Korinther 8,16–24</x:v>
      </x:c>
      <x:c r="Y786" s="36" t="str">
        <x:v>Paulus achtet auf Transparenz und darauf, nicht nur vor Gott, sondern auch vor Menschen ehrenhaft mit der Gabe umzugehen.</x:v>
      </x:c>
      <x:c r="Z786" s="36" t="str">
        <x:v>JA</x:v>
      </x:c>
      <x:c r="AA786" s="36" t="str">
        <x:v>JA</x:v>
      </x:c>
      <x:c r="AB786" s="36" t="str">
        <x:v>JA</x:v>
      </x:c>
      <x:c r="AC786" s="36" t="str">
        <x:v>JA</x:v>
      </x:c>
      <x:c r="AD786" s="36" t="str">
        <x:v>JA</x:v>
      </x:c>
      <x:c r="AE786" s="36" t="str">
        <x:v>JA</x:v>
      </x:c>
      <x:c r="AF786" s="36" t="str">
        <x:v>JA</x:v>
      </x:c>
      <x:c r="AG786" s="36" t="str">
        <x:v>FREIGEGEBEN</x:v>
      </x:c>
      <x:c r="AH786" s="36" t="str">
        <x:v>GPT-5.6 Sol · Buchprüfung 2. Korinther · L1912/OTB</x:v>
      </x:c>
      <x:c r="AI786" s="36" t="str">
        <x:v>FREIGEGEBEN</x:v>
      </x:c>
      <x:c r="AJ786" s="36" t="str">
        <x:v>2. Korinther 8: repetitive Wiedererkennungsfrage durch ZUSAMMENHANG-Frage ersetzt.</x:v>
      </x:c>
      <x:c r="AK786" s="36" t="str">
        <x:v>FaithPath repo develop/v4 · data/stories.json · data/bibles/l1912/2CO.json · data/bibles/otb/2CO.json</x:v>
      </x:c>
      <x:c r="AL786" t="str">
        <x:f>IF(AND(AG786="FREIGEGEBEN",AI786="FREIGEGEBEN",Q786&lt;&gt;"",R786&lt;&gt;"",S786&lt;&gt;"",T786&lt;&gt;"",U786&lt;&gt;"",ISNUMBER(V786),X786&lt;&gt;"",Y786&lt;&gt;"",AA786="JA",AB786="JA",AC786="JA",AD786="JA",AE786="JA",AF786="JA"),"JA","NEIN")</x:f>
        <x:v>JA</x:v>
      </x:c>
    </x:row>
    <x:row r="787">
      <x:c r="A787" t="str">
        <x:v>FP-1046</x:v>
      </x:c>
      <x:c r="B787" t="str">
        <x:v>2CO</x:v>
      </x:c>
      <x:c r="C787" t="str">
        <x:v>2. Korinther</x:v>
      </x:c>
      <x:c r="D787" t="n">
        <x:v>9</x:v>
      </x:c>
      <x:c r="E787" t="n">
        <x:v>1</x:v>
      </x:c>
      <x:c r="F787" t="str">
        <x:v>2CO-009</x:v>
      </x:c>
      <x:c r="G787" t="n">
        <x:v>158</x:v>
      </x:c>
      <x:c r="H787" t="str">
        <x:v>CQ-A08</x:v>
      </x:c>
      <x:c r="I787" s="36" t="str">
        <x:v>Welche dieser Aussagen stammt aus 2. Korinther 9?</x:v>
      </x:c>
      <x:c r="J787" s="36" t="str"/>
      <x:c r="K787" s="36" t="str"/>
      <x:c r="L787" s="36" t="str">
        <x:v>REPO_VERIFIZIERT_FRAGEFORM</x:v>
      </x:c>
      <x:c r="M787" s="36" t="str">
        <x:v>ERSETZEN</x:v>
      </x:c>
      <x:c r="N787" s="36" t="str">
        <x:v>REPETITIVE_FRAGEFORM</x:v>
      </x:c>
      <x:c r="O787" s="36" t="str">
        <x:v>REINE_WIEDERERKENNUNG</x:v>
      </x:c>
      <x:c r="P787" s="36" t="str">
        <x:v>ZUSAMMENHANG</x:v>
      </x:c>
      <x:c r="Q787" s="36" t="str">
        <x:v>Warum schickt Paulus die Brüder vor seiner eigenen Ankunft nach Korinth?</x:v>
      </x:c>
      <x:c r="R787" s="36" t="str">
        <x:v>Damit die angekündigte Gabe vorbereitet ist und seine Zuversicht auf ihre Bereitschaft nicht beschämt wird.</x:v>
      </x:c>
      <x:c r="S787" s="36" t="str">
        <x:v>Damit die Gemeinde überrascht wird.</x:v>
      </x:c>
      <x:c r="T787" s="36" t="str">
        <x:v>Damit niemand freiwillig geben kann.</x:v>
      </x:c>
      <x:c r="U787" s="36" t="str">
        <x:v>Damit Paulus selbst nichts mit der Sammlung zu tun hat.</x:v>
      </x:c>
      <x:c r="V787" s="36" t="n">
        <x:v>0</x:v>
      </x:c>
      <x:c r="W787" s="36" t="str">
        <x:f>CHOOSE(V787+1,R787,S787,T787,U787)</x:f>
        <x:v>Damit die angekündigte Gabe vorbereitet ist und seine Zuversicht auf ihre Bereitschaft nicht beschämt wird.</x:v>
      </x:c>
      <x:c r="X787" s="36" t="str">
        <x:v>2. Korinther 9,1–5</x:v>
      </x:c>
      <x:c r="Y787" s="36" t="str">
        <x:v>Die Vorbereitung soll verhindern, dass aus einer zugesagten Gabe eine erzwungene oder peinliche Situation wird.</x:v>
      </x:c>
      <x:c r="Z787" s="36" t="str">
        <x:v>JA</x:v>
      </x:c>
      <x:c r="AA787" s="36" t="str">
        <x:v>JA</x:v>
      </x:c>
      <x:c r="AB787" s="36" t="str">
        <x:v>JA</x:v>
      </x:c>
      <x:c r="AC787" s="36" t="str">
        <x:v>JA</x:v>
      </x:c>
      <x:c r="AD787" s="36" t="str">
        <x:v>JA</x:v>
      </x:c>
      <x:c r="AE787" s="36" t="str">
        <x:v>JA</x:v>
      </x:c>
      <x:c r="AF787" s="36" t="str">
        <x:v>JA</x:v>
      </x:c>
      <x:c r="AG787" s="36" t="str">
        <x:v>FREIGEGEBEN</x:v>
      </x:c>
      <x:c r="AH787" s="36" t="str">
        <x:v>GPT-5.6 Sol · Buchprüfung 2. Korinther · L1912/OTB</x:v>
      </x:c>
      <x:c r="AI787" s="36" t="str">
        <x:v>FREIGEGEBEN</x:v>
      </x:c>
      <x:c r="AJ787" s="36" t="str">
        <x:v>2. Korinther 9: repetitive Wiedererkennungsfrage durch ZUSAMMENHANG-Frage ersetzt.</x:v>
      </x:c>
      <x:c r="AK787" s="36" t="str">
        <x:v>FaithPath repo develop/v4 · data/stories.json · data/bibles/l1912/2CO.json · data/bibles/otb/2CO.json</x:v>
      </x:c>
      <x:c r="AL787" t="str">
        <x:f>IF(AND(AG787="FREIGEGEBEN",AI787="FREIGEGEBEN",Q787&lt;&gt;"",R787&lt;&gt;"",S787&lt;&gt;"",T787&lt;&gt;"",U787&lt;&gt;"",ISNUMBER(V787),X787&lt;&gt;"",Y787&lt;&gt;"",AA787="JA",AB787="JA",AC787="JA",AD787="JA",AE787="JA",AF787="JA"),"JA","NEIN")</x:f>
        <x:v>JA</x:v>
      </x:c>
    </x:row>
    <x:row r="788">
      <x:c r="A788" t="str">
        <x:v>FP-1047</x:v>
      </x:c>
      <x:c r="B788" t="str">
        <x:v>2CO</x:v>
      </x:c>
      <x:c r="C788" t="str">
        <x:v>2. Korinther</x:v>
      </x:c>
      <x:c r="D788" t="n">
        <x:v>9</x:v>
      </x:c>
      <x:c r="E788" t="n">
        <x:v>2</x:v>
      </x:c>
      <x:c r="F788" t="str">
        <x:v>2CO-009</x:v>
      </x:c>
      <x:c r="G788" t="n">
        <x:v>158</x:v>
      </x:c>
      <x:c r="H788" t="str">
        <x:v>CQ-A08</x:v>
      </x:c>
      <x:c r="I788" s="36" t="str">
        <x:v>Welche dieser Aussagen stammt aus 2. Korinther 9?</x:v>
      </x:c>
      <x:c r="J788" s="36" t="str"/>
      <x:c r="K788" s="36" t="str"/>
      <x:c r="L788" s="36" t="str">
        <x:v>REPO_VERIFIZIERT_FRAGEFORM</x:v>
      </x:c>
      <x:c r="M788" s="36" t="str">
        <x:v>ERSETZEN</x:v>
      </x:c>
      <x:c r="N788" s="36" t="str">
        <x:v>REPETITIVE_FRAGEFORM</x:v>
      </x:c>
      <x:c r="O788" s="36" t="str">
        <x:v>REINE_WIEDERERKENNUNG</x:v>
      </x:c>
      <x:c r="P788" s="36" t="str">
        <x:v>KERNAUSSAGE</x:v>
      </x:c>
      <x:c r="Q788" s="36" t="str">
        <x:v>Welche Haltung soll eine Gabe nach 2. Korinther 9 haben?</x:v>
      </x:c>
      <x:c r="R788" s="36" t="str">
        <x:v>Jeder soll aus Angst geben.</x:v>
      </x:c>
      <x:c r="S788" s="36" t="str">
        <x:v>Jeder soll so geben, wie er es sich im Herzen vorgenommen hat, nicht widerwillig oder aus Zwang, denn Gott liebt einen fröhlichen Geber.</x:v>
      </x:c>
      <x:c r="T788" s="36" t="str">
        <x:v>Nur spontane Gaben sind erlaubt.</x:v>
      </x:c>
      <x:c r="U788" s="36" t="str">
        <x:v>Die Höhe der Gabe ist wichtiger als die Haltung.</x:v>
      </x:c>
      <x:c r="V788" s="36" t="n">
        <x:v>1</x:v>
      </x:c>
      <x:c r="W788" s="36" t="str">
        <x:f>CHOOSE(V788+1,R788,S788,T788,U788)</x:f>
        <x:v>Jeder soll so geben, wie er es sich im Herzen vorgenommen hat, nicht widerwillig oder aus Zwang, denn Gott liebt einen fröhlichen Geber.</x:v>
      </x:c>
      <x:c r="X788" s="36" t="str">
        <x:v>2. Korinther 9,6–7</x:v>
      </x:c>
      <x:c r="Y788" s="36" t="str">
        <x:v>Paulus verbindet Großzügigkeit mit freiwilliger, innerlich bejahter Entscheidung.</x:v>
      </x:c>
      <x:c r="Z788" s="36" t="str">
        <x:v>JA</x:v>
      </x:c>
      <x:c r="AA788" s="36" t="str">
        <x:v>JA</x:v>
      </x:c>
      <x:c r="AB788" s="36" t="str">
        <x:v>JA</x:v>
      </x:c>
      <x:c r="AC788" s="36" t="str">
        <x:v>JA</x:v>
      </x:c>
      <x:c r="AD788" s="36" t="str">
        <x:v>JA</x:v>
      </x:c>
      <x:c r="AE788" s="36" t="str">
        <x:v>JA</x:v>
      </x:c>
      <x:c r="AF788" s="36" t="str">
        <x:v>JA</x:v>
      </x:c>
      <x:c r="AG788" s="36" t="str">
        <x:v>FREIGEGEBEN</x:v>
      </x:c>
      <x:c r="AH788" s="36" t="str">
        <x:v>GPT-5.6 Sol · Buchprüfung 2. Korinther · L1912/OTB</x:v>
      </x:c>
      <x:c r="AI788" s="36" t="str">
        <x:v>FREIGEGEBEN</x:v>
      </x:c>
      <x:c r="AJ788" s="36" t="str">
        <x:v>2. Korinther 9: repetitive Wiedererkennungsfrage durch KERNAUSSAGE-Frage ersetzt.</x:v>
      </x:c>
      <x:c r="AK788" s="36" t="str">
        <x:v>FaithPath repo develop/v4 · data/stories.json · data/bibles/l1912/2CO.json · data/bibles/otb/2CO.json</x:v>
      </x:c>
      <x:c r="AL788" t="str">
        <x:f>IF(AND(AG788="FREIGEGEBEN",AI788="FREIGEGEBEN",Q788&lt;&gt;"",R788&lt;&gt;"",S788&lt;&gt;"",T788&lt;&gt;"",U788&lt;&gt;"",ISNUMBER(V788),X788&lt;&gt;"",Y788&lt;&gt;"",AA788="JA",AB788="JA",AC788="JA",AD788="JA",AE788="JA",AF788="JA"),"JA","NEIN")</x:f>
        <x:v>JA</x:v>
      </x:c>
    </x:row>
    <x:row r="789">
      <x:c r="A789" t="str">
        <x:v>FP-1048</x:v>
      </x:c>
      <x:c r="B789" t="str">
        <x:v>2CO</x:v>
      </x:c>
      <x:c r="C789" t="str">
        <x:v>2. Korinther</x:v>
      </x:c>
      <x:c r="D789" t="n">
        <x:v>9</x:v>
      </x:c>
      <x:c r="E789" t="n">
        <x:v>3</x:v>
      </x:c>
      <x:c r="F789" t="str">
        <x:v>2CO-009</x:v>
      </x:c>
      <x:c r="G789" t="n">
        <x:v>158</x:v>
      </x:c>
      <x:c r="H789" t="str">
        <x:v>CQ-A08</x:v>
      </x:c>
      <x:c r="I789" s="36" t="str">
        <x:v>Welche dieser Aussagen stammt aus 2. Korinther 9?</x:v>
      </x:c>
      <x:c r="J789" s="36" t="str"/>
      <x:c r="K789" s="36" t="str"/>
      <x:c r="L789" s="36" t="str">
        <x:v>REPO_VERIFIZIERT_FRAGEFORM</x:v>
      </x:c>
      <x:c r="M789" s="36" t="str">
        <x:v>ERSETZEN</x:v>
      </x:c>
      <x:c r="N789" s="36" t="str">
        <x:v>REPETITIVE_FRAGEFORM</x:v>
      </x:c>
      <x:c r="O789" s="36" t="str">
        <x:v>REINE_WIEDERERKENNUNG</x:v>
      </x:c>
      <x:c r="P789" s="36" t="str">
        <x:v>KERNAUSSAGE</x:v>
      </x:c>
      <x:c r="Q789" s="36" t="str">
        <x:v>Warum lässt Gott nach Paulus seine Gnade überreich werden?</x:v>
      </x:c>
      <x:c r="R789" s="36" t="str">
        <x:v>Damit sie möglichst viel Besitz für sich ansammeln.</x:v>
      </x:c>
      <x:c r="S789" s="36" t="str">
        <x:v>Damit sie nie wieder arbeiten müssen.</x:v>
      </x:c>
      <x:c r="T789" s="36" t="str">
        <x:v>Damit die Glaubenden genug haben und zu jedem guten Werk reich sein können.</x:v>
      </x:c>
      <x:c r="U789" s="36" t="str">
        <x:v>Damit nur die Gemeinde in Korinth reich wird.</x:v>
      </x:c>
      <x:c r="V789" s="36" t="n">
        <x:v>2</x:v>
      </x:c>
      <x:c r="W789" s="36" t="str">
        <x:f>CHOOSE(V789+1,R789,S789,T789,U789)</x:f>
        <x:v>Damit die Glaubenden genug haben und zu jedem guten Werk reich sein können.</x:v>
      </x:c>
      <x:c r="X789" s="36" t="str">
        <x:v>2. Korinther 9,8–11</x:v>
      </x:c>
      <x:c r="Y789" s="36" t="str">
        <x:v>Gottes Versorgung wird bei Paulus auf erneute Großzügigkeit und gute Werke ausgerichtet.</x:v>
      </x:c>
      <x:c r="Z789" s="36" t="str">
        <x:v>JA</x:v>
      </x:c>
      <x:c r="AA789" s="36" t="str">
        <x:v>JA</x:v>
      </x:c>
      <x:c r="AB789" s="36" t="str">
        <x:v>JA</x:v>
      </x:c>
      <x:c r="AC789" s="36" t="str">
        <x:v>JA</x:v>
      </x:c>
      <x:c r="AD789" s="36" t="str">
        <x:v>JA</x:v>
      </x:c>
      <x:c r="AE789" s="36" t="str">
        <x:v>JA</x:v>
      </x:c>
      <x:c r="AF789" s="36" t="str">
        <x:v>JA</x:v>
      </x:c>
      <x:c r="AG789" s="36" t="str">
        <x:v>FREIGEGEBEN</x:v>
      </x:c>
      <x:c r="AH789" s="36" t="str">
        <x:v>GPT-5.6 Sol · Buchprüfung 2. Korinther · L1912/OTB</x:v>
      </x:c>
      <x:c r="AI789" s="36" t="str">
        <x:v>FREIGEGEBEN</x:v>
      </x:c>
      <x:c r="AJ789" s="36" t="str">
        <x:v>2. Korinther 9: repetitive Wiedererkennungsfrage durch KERNAUSSAGE-Frage ersetzt.</x:v>
      </x:c>
      <x:c r="AK789" s="36" t="str">
        <x:v>FaithPath repo develop/v4 · data/stories.json · data/bibles/l1912/2CO.json · data/bibles/otb/2CO.json</x:v>
      </x:c>
      <x:c r="AL789" t="str">
        <x:f>IF(AND(AG789="FREIGEGEBEN",AI789="FREIGEGEBEN",Q789&lt;&gt;"",R789&lt;&gt;"",S789&lt;&gt;"",T789&lt;&gt;"",U789&lt;&gt;"",ISNUMBER(V789),X789&lt;&gt;"",Y789&lt;&gt;"",AA789="JA",AB789="JA",AC789="JA",AD789="JA",AE789="JA",AF789="JA"),"JA","NEIN")</x:f>
        <x:v>JA</x:v>
      </x:c>
    </x:row>
    <x:row r="790">
      <x:c r="A790" t="str">
        <x:v>FP-1049</x:v>
      </x:c>
      <x:c r="B790" t="str">
        <x:v>2CO</x:v>
      </x:c>
      <x:c r="C790" t="str">
        <x:v>2. Korinther</x:v>
      </x:c>
      <x:c r="D790" t="n">
        <x:v>9</x:v>
      </x:c>
      <x:c r="E790" t="n">
        <x:v>4</x:v>
      </x:c>
      <x:c r="F790" t="str">
        <x:v>2CO-009</x:v>
      </x:c>
      <x:c r="G790" t="n">
        <x:v>158</x:v>
      </x:c>
      <x:c r="H790" t="str">
        <x:v>CQ-A08</x:v>
      </x:c>
      <x:c r="I790" s="36" t="str">
        <x:v>Welche dieser Aussagen stammt aus 2. Korinther 9?</x:v>
      </x:c>
      <x:c r="J790" s="36" t="str"/>
      <x:c r="K790" s="36" t="str"/>
      <x:c r="L790" s="36" t="str">
        <x:v>REPO_VERIFIZIERT_FRAGEFORM</x:v>
      </x:c>
      <x:c r="M790" s="36" t="str">
        <x:v>ERSETZEN</x:v>
      </x:c>
      <x:c r="N790" s="36" t="str">
        <x:v>REPETITIVE_FRAGEFORM</x:v>
      </x:c>
      <x:c r="O790" s="36" t="str">
        <x:v>REINE_WIEDERERKENNUNG</x:v>
      </x:c>
      <x:c r="P790" s="36" t="str">
        <x:v>ZUSAMMENHANG</x:v>
      </x:c>
      <x:c r="Q790" s="36" t="str">
        <x:v>Welche Wirkung hat der Dienst der Sammlung über die materielle Hilfe hinaus?</x:v>
      </x:c>
      <x:c r="R790" s="36" t="str">
        <x:v>Er macht Gebet überflüssig.</x:v>
      </x:c>
      <x:c r="S790" s="36" t="str">
        <x:v>Er führt ausschließlich zu mehr Ansehen für Paulus.</x:v>
      </x:c>
      <x:c r="T790" s="36" t="str">
        <x:v>Er ersetzt die Verkündigung des Evangeliums.</x:v>
      </x:c>
      <x:c r="U790" s="36" t="str">
        <x:v>Er führt zu Dank und Verherrlichung Gottes und vertieft die Verbundenheit zwischen den Glaubenden.</x:v>
      </x:c>
      <x:c r="V790" s="36" t="n">
        <x:v>3</x:v>
      </x:c>
      <x:c r="W790" s="36" t="str">
        <x:f>CHOOSE(V790+1,R790,S790,T790,U790)</x:f>
        <x:v>Er führt zu Dank und Verherrlichung Gottes und vertieft die Verbundenheit zwischen den Glaubenden.</x:v>
      </x:c>
      <x:c r="X790" s="36" t="str">
        <x:v>2. Korinther 9,12–14</x:v>
      </x:c>
      <x:c r="Y790" s="36" t="str">
        <x:v>Die Gabe deckt Not und erzeugt zugleich Dank, Gotteslob und Fürbitte.</x:v>
      </x:c>
      <x:c r="Z790" s="36" t="str">
        <x:v>JA</x:v>
      </x:c>
      <x:c r="AA790" s="36" t="str">
        <x:v>JA</x:v>
      </x:c>
      <x:c r="AB790" s="36" t="str">
        <x:v>JA</x:v>
      </x:c>
      <x:c r="AC790" s="36" t="str">
        <x:v>JA</x:v>
      </x:c>
      <x:c r="AD790" s="36" t="str">
        <x:v>JA</x:v>
      </x:c>
      <x:c r="AE790" s="36" t="str">
        <x:v>JA</x:v>
      </x:c>
      <x:c r="AF790" s="36" t="str">
        <x:v>JA</x:v>
      </x:c>
      <x:c r="AG790" s="36" t="str">
        <x:v>FREIGEGEBEN</x:v>
      </x:c>
      <x:c r="AH790" s="36" t="str">
        <x:v>GPT-5.6 Sol · Buchprüfung 2. Korinther · L1912/OTB</x:v>
      </x:c>
      <x:c r="AI790" s="36" t="str">
        <x:v>FREIGEGEBEN</x:v>
      </x:c>
      <x:c r="AJ790" s="36" t="str">
        <x:v>2. Korinther 9: repetitive Wiedererkennungsfrage durch ZUSAMMENHANG-Frage ersetzt.</x:v>
      </x:c>
      <x:c r="AK790" s="36" t="str">
        <x:v>FaithPath repo develop/v4 · data/stories.json · data/bibles/l1912/2CO.json · data/bibles/otb/2CO.json</x:v>
      </x:c>
      <x:c r="AL790" t="str">
        <x:f>IF(AND(AG790="FREIGEGEBEN",AI790="FREIGEGEBEN",Q790&lt;&gt;"",R790&lt;&gt;"",S790&lt;&gt;"",T790&lt;&gt;"",U790&lt;&gt;"",ISNUMBER(V790),X790&lt;&gt;"",Y790&lt;&gt;"",AA790="JA",AB790="JA",AC790="JA",AD790="JA",AE790="JA",AF790="JA"),"JA","NEIN")</x:f>
        <x:v>JA</x:v>
      </x:c>
    </x:row>
    <x:row r="791">
      <x:c r="A791" t="str">
        <x:v>FP-1050</x:v>
      </x:c>
      <x:c r="B791" t="str">
        <x:v>2CO</x:v>
      </x:c>
      <x:c r="C791" t="str">
        <x:v>2. Korinther</x:v>
      </x:c>
      <x:c r="D791" t="n">
        <x:v>9</x:v>
      </x:c>
      <x:c r="E791" t="n">
        <x:v>5</x:v>
      </x:c>
      <x:c r="F791" t="str">
        <x:v>2CO-009</x:v>
      </x:c>
      <x:c r="G791" t="n">
        <x:v>158</x:v>
      </x:c>
      <x:c r="H791" t="str">
        <x:v>CQ-A08</x:v>
      </x:c>
      <x:c r="I791" s="36" t="str">
        <x:v>Welche dieser Aussagen stammt aus 2. Korinther 9?</x:v>
      </x:c>
      <x:c r="J791" s="36" t="str"/>
      <x:c r="K791" s="36" t="str"/>
      <x:c r="L791" s="36" t="str">
        <x:v>REPO_VERIFIZIERT_FRAGEFORM</x:v>
      </x:c>
      <x:c r="M791" s="36" t="str">
        <x:v>ERSETZEN</x:v>
      </x:c>
      <x:c r="N791" s="36" t="str">
        <x:v>REPETITIVE_FRAGEFORM</x:v>
      </x:c>
      <x:c r="O791" s="36" t="str">
        <x:v>REINE_WIEDERERKENNUNG</x:v>
      </x:c>
      <x:c r="P791" s="36" t="str">
        <x:v>TEXTGENAUIGKEIT</x:v>
      </x:c>
      <x:c r="Q791" s="36" t="str">
        <x:v>Womit beendet Paulus den Abschnitt über das Geben?</x:v>
      </x:c>
      <x:c r="R791" s="36" t="str">
        <x:v>Mit Dank an Gott für seine unaussprechliche Gabe.</x:v>
      </x:c>
      <x:c r="S791" s="36" t="str">
        <x:v>Mit einer genauen Mindestspende.</x:v>
      </x:c>
      <x:c r="T791" s="36" t="str">
        <x:v>Mit einem Verbot weiterer Sammlungen.</x:v>
      </x:c>
      <x:c r="U791" s="36" t="str">
        <x:v>Mit einem Dank an die römischen Behörden.</x:v>
      </x:c>
      <x:c r="V791" s="36" t="n">
        <x:v>0</x:v>
      </x:c>
      <x:c r="W791" s="36" t="str">
        <x:f>CHOOSE(V791+1,R791,S791,T791,U791)</x:f>
        <x:v>Mit Dank an Gott für seine unaussprechliche Gabe.</x:v>
      </x:c>
      <x:c r="X791" s="36" t="str">
        <x:v>2. Korinther 9,15</x:v>
      </x:c>
      <x:c r="Y791" s="36" t="str">
        <x:v>Paulus führt die Gedanken über menschliches Geben zurück zu Gottes eigener unbeschreiblicher Gabe.</x:v>
      </x:c>
      <x:c r="Z791" s="36" t="str">
        <x:v>JA</x:v>
      </x:c>
      <x:c r="AA791" s="36" t="str">
        <x:v>JA</x:v>
      </x:c>
      <x:c r="AB791" s="36" t="str">
        <x:v>JA</x:v>
      </x:c>
      <x:c r="AC791" s="36" t="str">
        <x:v>JA</x:v>
      </x:c>
      <x:c r="AD791" s="36" t="str">
        <x:v>JA</x:v>
      </x:c>
      <x:c r="AE791" s="36" t="str">
        <x:v>JA</x:v>
      </x:c>
      <x:c r="AF791" s="36" t="str">
        <x:v>JA</x:v>
      </x:c>
      <x:c r="AG791" s="36" t="str">
        <x:v>FREIGEGEBEN</x:v>
      </x:c>
      <x:c r="AH791" s="36" t="str">
        <x:v>GPT-5.6 Sol · Buchprüfung 2. Korinther · L1912/OTB</x:v>
      </x:c>
      <x:c r="AI791" s="36" t="str">
        <x:v>FREIGEGEBEN</x:v>
      </x:c>
      <x:c r="AJ791" s="36" t="str">
        <x:v>2. Korinther 9: repetitive Wiedererkennungsfrage durch TEXTGENAUIGKEIT-Frage ersetzt.</x:v>
      </x:c>
      <x:c r="AK791" s="36" t="str">
        <x:v>FaithPath repo develop/v4 · data/stories.json · data/bibles/l1912/2CO.json · data/bibles/otb/2CO.json</x:v>
      </x:c>
      <x:c r="AL791" t="str">
        <x:f>IF(AND(AG791="FREIGEGEBEN",AI791="FREIGEGEBEN",Q791&lt;&gt;"",R791&lt;&gt;"",S791&lt;&gt;"",T791&lt;&gt;"",U791&lt;&gt;"",ISNUMBER(V791),X791&lt;&gt;"",Y791&lt;&gt;"",AA791="JA",AB791="JA",AC791="JA",AD791="JA",AE791="JA",AF791="JA"),"JA","NEIN")</x:f>
        <x:v>JA</x:v>
      </x:c>
    </x:row>
    <x:row r="792">
      <x:c r="A792" t="str">
        <x:v>FP-1051</x:v>
      </x:c>
      <x:c r="B792" t="str">
        <x:v>2CO</x:v>
      </x:c>
      <x:c r="C792" t="str">
        <x:v>2. Korinther</x:v>
      </x:c>
      <x:c r="D792" t="n">
        <x:v>10</x:v>
      </x:c>
      <x:c r="E792" t="n">
        <x:v>1</x:v>
      </x:c>
      <x:c r="F792" t="str">
        <x:v>2CO-010</x:v>
      </x:c>
      <x:c r="G792" t="n">
        <x:v>159</x:v>
      </x:c>
      <x:c r="H792" t="str">
        <x:v>CQ-A08</x:v>
      </x:c>
      <x:c r="I792" s="36" t="str">
        <x:v>Welche dieser Aussagen stammt aus 2. Korinther 10?</x:v>
      </x:c>
      <x:c r="J792" s="36" t="str"/>
      <x:c r="K792" s="36" t="str"/>
      <x:c r="L792" s="36" t="str">
        <x:v>REPO_VERIFIZIERT_FRAGEFORM</x:v>
      </x:c>
      <x:c r="M792" s="36" t="str">
        <x:v>ERSETZEN</x:v>
      </x:c>
      <x:c r="N792" s="36" t="str">
        <x:v>REPETITIVE_FRAGEFORM</x:v>
      </x:c>
      <x:c r="O792" s="36" t="str">
        <x:v>REINE_WIEDERERKENNUNG</x:v>
      </x:c>
      <x:c r="P792" s="36" t="str">
        <x:v>KERNAUSSAGE</x:v>
      </x:c>
      <x:c r="Q792" s="36" t="str">
        <x:v>Wie beschreibt Paulus die Waffen seines geistlichen Kampfes?</x:v>
      </x:c>
      <x:c r="R792" s="36" t="str">
        <x:v>Sie bestehen vor allem aus politischer Macht.</x:v>
      </x:c>
      <x:c r="S792" s="36" t="str">
        <x:v>Sie sind nicht fleischlich, sondern durch Gott mächtig, Festungen und falsche Gedanken niederzureißen.</x:v>
      </x:c>
      <x:c r="T792" s="36" t="str">
        <x:v>Sie sind ausschließlich körperliche Waffen.</x:v>
      </x:c>
      <x:c r="U792" s="36" t="str">
        <x:v>Sie dienen dazu, Menschen zu zwingen.</x:v>
      </x:c>
      <x:c r="V792" s="36" t="n">
        <x:v>1</x:v>
      </x:c>
      <x:c r="W792" s="36" t="str">
        <x:f>CHOOSE(V792+1,R792,S792,T792,U792)</x:f>
        <x:v>Sie sind nicht fleischlich, sondern durch Gott mächtig, Festungen und falsche Gedanken niederzureißen.</x:v>
      </x:c>
      <x:c r="X792" s="36" t="str">
        <x:v>2. Korinther 10,1–6</x:v>
      </x:c>
      <x:c r="Y792" s="36" t="str">
        <x:v>Paulus spricht von einem geistlichen Kampf gegen Gedanken und Überhebungen, nicht von Gewalt gegen Menschen.</x:v>
      </x:c>
      <x:c r="Z792" s="36" t="str">
        <x:v>JA</x:v>
      </x:c>
      <x:c r="AA792" s="36" t="str">
        <x:v>JA</x:v>
      </x:c>
      <x:c r="AB792" s="36" t="str">
        <x:v>JA</x:v>
      </x:c>
      <x:c r="AC792" s="36" t="str">
        <x:v>JA</x:v>
      </x:c>
      <x:c r="AD792" s="36" t="str">
        <x:v>JA</x:v>
      </x:c>
      <x:c r="AE792" s="36" t="str">
        <x:v>JA</x:v>
      </x:c>
      <x:c r="AF792" s="36" t="str">
        <x:v>JA</x:v>
      </x:c>
      <x:c r="AG792" s="36" t="str">
        <x:v>FREIGEGEBEN</x:v>
      </x:c>
      <x:c r="AH792" s="36" t="str">
        <x:v>GPT-5.6 Sol · Buchprüfung 2. Korinther · L1912/OTB</x:v>
      </x:c>
      <x:c r="AI792" s="36" t="str">
        <x:v>FREIGEGEBEN</x:v>
      </x:c>
      <x:c r="AJ792" s="36" t="str">
        <x:v>2. Korinther 10: repetitive Wiedererkennungsfrage durch KERNAUSSAGE-Frage ersetzt.</x:v>
      </x:c>
      <x:c r="AK792" s="36" t="str">
        <x:v>FaithPath repo develop/v4 · data/stories.json · data/bibles/l1912/2CO.json · data/bibles/otb/2CO.json</x:v>
      </x:c>
      <x:c r="AL792" t="str">
        <x:f>IF(AND(AG792="FREIGEGEBEN",AI792="FREIGEGEBEN",Q792&lt;&gt;"",R792&lt;&gt;"",S792&lt;&gt;"",T792&lt;&gt;"",U792&lt;&gt;"",ISNUMBER(V792),X792&lt;&gt;"",Y792&lt;&gt;"",AA792="JA",AB792="JA",AC792="JA",AD792="JA",AE792="JA",AF792="JA"),"JA","NEIN")</x:f>
        <x:v>JA</x:v>
      </x:c>
    </x:row>
    <x:row r="793">
      <x:c r="A793" t="str">
        <x:v>FP-1052</x:v>
      </x:c>
      <x:c r="B793" t="str">
        <x:v>2CO</x:v>
      </x:c>
      <x:c r="C793" t="str">
        <x:v>2. Korinther</x:v>
      </x:c>
      <x:c r="D793" t="n">
        <x:v>10</x:v>
      </x:c>
      <x:c r="E793" t="n">
        <x:v>2</x:v>
      </x:c>
      <x:c r="F793" t="str">
        <x:v>2CO-010</x:v>
      </x:c>
      <x:c r="G793" t="n">
        <x:v>159</x:v>
      </x:c>
      <x:c r="H793" t="str">
        <x:v>CQ-A08</x:v>
      </x:c>
      <x:c r="I793" s="36" t="str">
        <x:v>Welche dieser Aussagen stammt aus 2. Korinther 10?</x:v>
      </x:c>
      <x:c r="J793" s="36" t="str"/>
      <x:c r="K793" s="36" t="str"/>
      <x:c r="L793" s="36" t="str">
        <x:v>REPO_VERIFIZIERT_FRAGEFORM</x:v>
      </x:c>
      <x:c r="M793" s="36" t="str">
        <x:v>ERSETZEN</x:v>
      </x:c>
      <x:c r="N793" s="36" t="str">
        <x:v>REPETITIVE_FRAGEFORM</x:v>
      </x:c>
      <x:c r="O793" s="36" t="str">
        <x:v>REINE_WIEDERERKENNUNG</x:v>
      </x:c>
      <x:c r="P793" s="36" t="str">
        <x:v>ZUSAMMENHANG</x:v>
      </x:c>
      <x:c r="Q793" s="36" t="str">
        <x:v>Wie reagiert Paulus auf den Vorwurf, seine Briefe seien stark, seine persönliche Gegenwart aber schwach?</x:v>
      </x:c>
      <x:c r="R793" s="36" t="str">
        <x:v>Er gibt zu, dass seine Briefe nur Übertreibung sind.</x:v>
      </x:c>
      <x:c r="S793" s="36" t="str">
        <x:v>Er verspricht, künftig keine Briefe mehr zu schreiben.</x:v>
      </x:c>
      <x:c r="T793" s="36" t="str">
        <x:v>Er sagt, dass sein Handeln in Anwesenheit dem entsprechen wird, was er abwesend in Briefen sagt.</x:v>
      </x:c>
      <x:c r="U793" s="36" t="str">
        <x:v>Er erklärt persönliche Begegnungen für unwichtig.</x:v>
      </x:c>
      <x:c r="V793" s="36" t="n">
        <x:v>2</x:v>
      </x:c>
      <x:c r="W793" s="36" t="str">
        <x:f>CHOOSE(V793+1,R793,S793,T793,U793)</x:f>
        <x:v>Er sagt, dass sein Handeln in Anwesenheit dem entsprechen wird, was er abwesend in Briefen sagt.</x:v>
      </x:c>
      <x:c r="X793" s="36" t="str">
        <x:v>2. Korinther 10,7–11</x:v>
      </x:c>
      <x:c r="Y793" s="36" t="str">
        <x:v>Paulus weist die Vorstellung zurück, er sei nur aus der Ferne mutig.</x:v>
      </x:c>
      <x:c r="Z793" s="36" t="str">
        <x:v>JA</x:v>
      </x:c>
      <x:c r="AA793" s="36" t="str">
        <x:v>JA</x:v>
      </x:c>
      <x:c r="AB793" s="36" t="str">
        <x:v>JA</x:v>
      </x:c>
      <x:c r="AC793" s="36" t="str">
        <x:v>JA</x:v>
      </x:c>
      <x:c r="AD793" s="36" t="str">
        <x:v>JA</x:v>
      </x:c>
      <x:c r="AE793" s="36" t="str">
        <x:v>JA</x:v>
      </x:c>
      <x:c r="AF793" s="36" t="str">
        <x:v>JA</x:v>
      </x:c>
      <x:c r="AG793" s="36" t="str">
        <x:v>FREIGEGEBEN</x:v>
      </x:c>
      <x:c r="AH793" s="36" t="str">
        <x:v>GPT-5.6 Sol · Buchprüfung 2. Korinther · L1912/OTB</x:v>
      </x:c>
      <x:c r="AI793" s="36" t="str">
        <x:v>FREIGEGEBEN</x:v>
      </x:c>
      <x:c r="AJ793" s="36" t="str">
        <x:v>2. Korinther 10: repetitive Wiedererkennungsfrage durch ZUSAMMENHANG-Frage ersetzt.</x:v>
      </x:c>
      <x:c r="AK793" s="36" t="str">
        <x:v>FaithPath repo develop/v4 · data/stories.json · data/bibles/l1912/2CO.json · data/bibles/otb/2CO.json</x:v>
      </x:c>
      <x:c r="AL793" t="str">
        <x:f>IF(AND(AG793="FREIGEGEBEN",AI793="FREIGEGEBEN",Q793&lt;&gt;"",R793&lt;&gt;"",S793&lt;&gt;"",T793&lt;&gt;"",U793&lt;&gt;"",ISNUMBER(V793),X793&lt;&gt;"",Y793&lt;&gt;"",AA793="JA",AB793="JA",AC793="JA",AD793="JA",AE793="JA",AF793="JA"),"JA","NEIN")</x:f>
        <x:v>JA</x:v>
      </x:c>
    </x:row>
    <x:row r="794">
      <x:c r="A794" t="str">
        <x:v>FP-1053</x:v>
      </x:c>
      <x:c r="B794" t="str">
        <x:v>2CO</x:v>
      </x:c>
      <x:c r="C794" t="str">
        <x:v>2. Korinther</x:v>
      </x:c>
      <x:c r="D794" t="n">
        <x:v>10</x:v>
      </x:c>
      <x:c r="E794" t="n">
        <x:v>3</x:v>
      </x:c>
      <x:c r="F794" t="str">
        <x:v>2CO-010</x:v>
      </x:c>
      <x:c r="G794" t="n">
        <x:v>159</x:v>
      </x:c>
      <x:c r="H794" t="str">
        <x:v>CQ-A08</x:v>
      </x:c>
      <x:c r="I794" s="36" t="str">
        <x:v>Welche dieser Aussagen stammt aus 2. Korinther 10?</x:v>
      </x:c>
      <x:c r="J794" s="36" t="str"/>
      <x:c r="K794" s="36" t="str"/>
      <x:c r="L794" s="36" t="str">
        <x:v>REPO_VERIFIZIERT_FRAGEFORM</x:v>
      </x:c>
      <x:c r="M794" s="36" t="str">
        <x:v>ERSETZEN</x:v>
      </x:c>
      <x:c r="N794" s="36" t="str">
        <x:v>REPETITIVE_FRAGEFORM</x:v>
      </x:c>
      <x:c r="O794" s="36" t="str">
        <x:v>REINE_WIEDERERKENNUNG</x:v>
      </x:c>
      <x:c r="P794" s="36" t="str">
        <x:v>KERNAUSSAGE</x:v>
      </x:c>
      <x:c r="Q794" s="36" t="str">
        <x:v>Was kritisiert Paulus an Menschen, die sich selbst miteinander vergleichen?</x:v>
      </x:c>
      <x:c r="R794" s="36" t="str">
        <x:v>Vergleiche sind immer hilfreich.</x:v>
      </x:c>
      <x:c r="S794" s="36" t="str">
        <x:v>Sie messen sich zu stark an Paulus.</x:v>
      </x:c>
      <x:c r="T794" s="36" t="str">
        <x:v>Nur Apostel dürfen sich vergleichen.</x:v>
      </x:c>
      <x:c r="U794" s="36" t="str">
        <x:v>Sie messen sich an sich selbst und zeigen damit mangelnde Einsicht.</x:v>
      </x:c>
      <x:c r="V794" s="36" t="n">
        <x:v>3</x:v>
      </x:c>
      <x:c r="W794" s="36" t="str">
        <x:f>CHOOSE(V794+1,R794,S794,T794,U794)</x:f>
        <x:v>Sie messen sich an sich selbst und zeigen damit mangelnde Einsicht.</x:v>
      </x:c>
      <x:c r="X794" s="36" t="str">
        <x:v>2. Korinther 10,12–13</x:v>
      </x:c>
      <x:c r="Y794" s="36" t="str">
        <x:v>Paulus lehnt selbstreferenzielle Maßstäbe und grenzenloses Sich-Rühmen ab.</x:v>
      </x:c>
      <x:c r="Z794" s="36" t="str">
        <x:v>JA</x:v>
      </x:c>
      <x:c r="AA794" s="36" t="str">
        <x:v>JA</x:v>
      </x:c>
      <x:c r="AB794" s="36" t="str">
        <x:v>JA</x:v>
      </x:c>
      <x:c r="AC794" s="36" t="str">
        <x:v>JA</x:v>
      </x:c>
      <x:c r="AD794" s="36" t="str">
        <x:v>JA</x:v>
      </x:c>
      <x:c r="AE794" s="36" t="str">
        <x:v>JA</x:v>
      </x:c>
      <x:c r="AF794" s="36" t="str">
        <x:v>JA</x:v>
      </x:c>
      <x:c r="AG794" s="36" t="str">
        <x:v>FREIGEGEBEN</x:v>
      </x:c>
      <x:c r="AH794" s="36" t="str">
        <x:v>GPT-5.6 Sol · Buchprüfung 2. Korinther · L1912/OTB</x:v>
      </x:c>
      <x:c r="AI794" s="36" t="str">
        <x:v>FREIGEGEBEN</x:v>
      </x:c>
      <x:c r="AJ794" s="36" t="str">
        <x:v>2. Korinther 10: repetitive Wiedererkennungsfrage durch KERNAUSSAGE-Frage ersetzt.</x:v>
      </x:c>
      <x:c r="AK794" s="36" t="str">
        <x:v>FaithPath repo develop/v4 · data/stories.json · data/bibles/l1912/2CO.json · data/bibles/otb/2CO.json</x:v>
      </x:c>
      <x:c r="AL794" t="str">
        <x:f>IF(AND(AG794="FREIGEGEBEN",AI794="FREIGEGEBEN",Q794&lt;&gt;"",R794&lt;&gt;"",S794&lt;&gt;"",T794&lt;&gt;"",U794&lt;&gt;"",ISNUMBER(V794),X794&lt;&gt;"",Y794&lt;&gt;"",AA794="JA",AB794="JA",AC794="JA",AD794="JA",AE794="JA",AF794="JA"),"JA","NEIN")</x:f>
        <x:v>JA</x:v>
      </x:c>
    </x:row>
    <x:row r="795">
      <x:c r="A795" t="str">
        <x:v>FP-1054</x:v>
      </x:c>
      <x:c r="B795" t="str">
        <x:v>2CO</x:v>
      </x:c>
      <x:c r="C795" t="str">
        <x:v>2. Korinther</x:v>
      </x:c>
      <x:c r="D795" t="n">
        <x:v>10</x:v>
      </x:c>
      <x:c r="E795" t="n">
        <x:v>4</x:v>
      </x:c>
      <x:c r="F795" t="str">
        <x:v>2CO-010</x:v>
      </x:c>
      <x:c r="G795" t="n">
        <x:v>159</x:v>
      </x:c>
      <x:c r="H795" t="str">
        <x:v>CQ-A08</x:v>
      </x:c>
      <x:c r="I795" s="36" t="str">
        <x:v>Welche dieser Aussagen stammt aus 2. Korinther 10?</x:v>
      </x:c>
      <x:c r="J795" s="36" t="str"/>
      <x:c r="K795" s="36" t="str"/>
      <x:c r="L795" s="36" t="str">
        <x:v>REPO_VERIFIZIERT_FRAGEFORM</x:v>
      </x:c>
      <x:c r="M795" s="36" t="str">
        <x:v>ERSETZEN</x:v>
      </x:c>
      <x:c r="N795" s="36" t="str">
        <x:v>REPETITIVE_FRAGEFORM</x:v>
      </x:c>
      <x:c r="O795" s="36" t="str">
        <x:v>REINE_WIEDERERKENNUNG</x:v>
      </x:c>
      <x:c r="P795" s="36" t="str">
        <x:v>ZUSAMMENHANG</x:v>
      </x:c>
      <x:c r="Q795" s="36" t="str">
        <x:v>Welche Hoffnung verbindet Paulus mit dem Wachstum des Glaubens der Korinther?</x:v>
      </x:c>
      <x:c r="R795" s="36" t="str">
        <x:v>Dass sein Wirkungskreis sich weiter ausdehnen und das Evangelium in noch unerreichte Gebiete getragen werden kann.</x:v>
      </x:c>
      <x:c r="S795" s="36" t="str">
        <x:v>Dass er seinen Dienst vollständig beendet.</x:v>
      </x:c>
      <x:c r="T795" s="36" t="str">
        <x:v>Dass Korinth die einzige Gemeinde bleibt.</x:v>
      </x:c>
      <x:c r="U795" s="36" t="str">
        <x:v>Dass er sich mit der Arbeit anderer rühmen kann.</x:v>
      </x:c>
      <x:c r="V795" s="36" t="n">
        <x:v>0</x:v>
      </x:c>
      <x:c r="W795" s="36" t="str">
        <x:f>CHOOSE(V795+1,R795,S795,T795,U795)</x:f>
        <x:v>Dass sein Wirkungskreis sich weiter ausdehnen und das Evangelium in noch unerreichte Gebiete getragen werden kann.</x:v>
      </x:c>
      <x:c r="X795" s="36" t="str">
        <x:v>2. Korinther 10,15–16</x:v>
      </x:c>
      <x:c r="Y795" s="36" t="str">
        <x:v>Paulus will nicht fremde Arbeit beanspruchen, sondern von einer gestärkten Gemeinde aus weiterverkündigen.</x:v>
      </x:c>
      <x:c r="Z795" s="36" t="str">
        <x:v>JA</x:v>
      </x:c>
      <x:c r="AA795" s="36" t="str">
        <x:v>JA</x:v>
      </x:c>
      <x:c r="AB795" s="36" t="str">
        <x:v>JA</x:v>
      </x:c>
      <x:c r="AC795" s="36" t="str">
        <x:v>JA</x:v>
      </x:c>
      <x:c r="AD795" s="36" t="str">
        <x:v>JA</x:v>
      </x:c>
      <x:c r="AE795" s="36" t="str">
        <x:v>JA</x:v>
      </x:c>
      <x:c r="AF795" s="36" t="str">
        <x:v>JA</x:v>
      </x:c>
      <x:c r="AG795" s="36" t="str">
        <x:v>FREIGEGEBEN</x:v>
      </x:c>
      <x:c r="AH795" s="36" t="str">
        <x:v>GPT-5.6 Sol · Buchprüfung 2. Korinther · L1912/OTB</x:v>
      </x:c>
      <x:c r="AI795" s="36" t="str">
        <x:v>FREIGEGEBEN</x:v>
      </x:c>
      <x:c r="AJ795" s="36" t="str">
        <x:v>2. Korinther 10: repetitive Wiedererkennungsfrage durch ZUSAMMENHANG-Frage ersetzt.</x:v>
      </x:c>
      <x:c r="AK795" s="36" t="str">
        <x:v>FaithPath repo develop/v4 · data/stories.json · data/bibles/l1912/2CO.json · data/bibles/otb/2CO.json</x:v>
      </x:c>
      <x:c r="AL795" t="str">
        <x:f>IF(AND(AG795="FREIGEGEBEN",AI795="FREIGEGEBEN",Q795&lt;&gt;"",R795&lt;&gt;"",S795&lt;&gt;"",T795&lt;&gt;"",U795&lt;&gt;"",ISNUMBER(V795),X795&lt;&gt;"",Y795&lt;&gt;"",AA795="JA",AB795="JA",AC795="JA",AD795="JA",AE795="JA",AF795="JA"),"JA","NEIN")</x:f>
        <x:v>JA</x:v>
      </x:c>
    </x:row>
    <x:row r="796">
      <x:c r="A796" t="str">
        <x:v>FP-1055</x:v>
      </x:c>
      <x:c r="B796" t="str">
        <x:v>2CO</x:v>
      </x:c>
      <x:c r="C796" t="str">
        <x:v>2. Korinther</x:v>
      </x:c>
      <x:c r="D796" t="n">
        <x:v>10</x:v>
      </x:c>
      <x:c r="E796" t="n">
        <x:v>5</x:v>
      </x:c>
      <x:c r="F796" t="str">
        <x:v>2CO-010</x:v>
      </x:c>
      <x:c r="G796" t="n">
        <x:v>159</x:v>
      </x:c>
      <x:c r="H796" t="str">
        <x:v>CQ-A08</x:v>
      </x:c>
      <x:c r="I796" s="36" t="str">
        <x:v>Welche dieser Aussagen stammt aus 2. Korinther 10?</x:v>
      </x:c>
      <x:c r="J796" s="36" t="str"/>
      <x:c r="K796" s="36" t="str"/>
      <x:c r="L796" s="36" t="str">
        <x:v>REPO_VERIFIZIERT_FRAGEFORM</x:v>
      </x:c>
      <x:c r="M796" s="36" t="str">
        <x:v>ERSETZEN</x:v>
      </x:c>
      <x:c r="N796" s="36" t="str">
        <x:v>REPETITIVE_FRAGEFORM</x:v>
      </x:c>
      <x:c r="O796" s="36" t="str">
        <x:v>REINE_WIEDERERKENNUNG</x:v>
      </x:c>
      <x:c r="P796" s="36" t="str">
        <x:v>KERNAUSSAGE</x:v>
      </x:c>
      <x:c r="Q796" s="36" t="str">
        <x:v>Welches Rühmen gilt nach Paulus als richtig?</x:v>
      </x:c>
      <x:c r="R796" s="36" t="str">
        <x:v>Wer sich selbst am stärksten empfiehlt, ist anerkannt.</x:v>
      </x:c>
      <x:c r="S796" s="36" t="str">
        <x:v>Wer sich rühmt, soll sich des Herrn rühmen; entscheidend ist, wen der Herr empfiehlt.</x:v>
      </x:c>
      <x:c r="T796" s="36" t="str">
        <x:v>Rühmen ist grundsätzlich immer falsch.</x:v>
      </x:c>
      <x:c r="U796" s="36" t="str">
        <x:v>Nur apostolische Titel geben Anerkennung.</x:v>
      </x:c>
      <x:c r="V796" s="36" t="n">
        <x:v>1</x:v>
      </x:c>
      <x:c r="W796" s="36" t="str">
        <x:f>CHOOSE(V796+1,R796,S796,T796,U796)</x:f>
        <x:v>Wer sich rühmt, soll sich des Herrn rühmen; entscheidend ist, wen der Herr empfiehlt.</x:v>
      </x:c>
      <x:c r="X796" s="36" t="str">
        <x:v>2. Korinther 10,17–18</x:v>
      </x:c>
      <x:c r="Y796" s="36" t="str">
        <x:v>Paulus ersetzt Selbstempfehlung durch Gottes Urteil als entscheidenden Maßstab.</x:v>
      </x:c>
      <x:c r="Z796" s="36" t="str">
        <x:v>JA</x:v>
      </x:c>
      <x:c r="AA796" s="36" t="str">
        <x:v>JA</x:v>
      </x:c>
      <x:c r="AB796" s="36" t="str">
        <x:v>JA</x:v>
      </x:c>
      <x:c r="AC796" s="36" t="str">
        <x:v>JA</x:v>
      </x:c>
      <x:c r="AD796" s="36" t="str">
        <x:v>JA</x:v>
      </x:c>
      <x:c r="AE796" s="36" t="str">
        <x:v>JA</x:v>
      </x:c>
      <x:c r="AF796" s="36" t="str">
        <x:v>JA</x:v>
      </x:c>
      <x:c r="AG796" s="36" t="str">
        <x:v>FREIGEGEBEN</x:v>
      </x:c>
      <x:c r="AH796" s="36" t="str">
        <x:v>GPT-5.6 Sol · Buchprüfung 2. Korinther · L1912/OTB</x:v>
      </x:c>
      <x:c r="AI796" s="36" t="str">
        <x:v>FREIGEGEBEN</x:v>
      </x:c>
      <x:c r="AJ796" s="36" t="str">
        <x:v>2. Korinther 10: repetitive Wiedererkennungsfrage durch KERNAUSSAGE-Frage ersetzt.</x:v>
      </x:c>
      <x:c r="AK796" s="36" t="str">
        <x:v>FaithPath repo develop/v4 · data/stories.json · data/bibles/l1912/2CO.json · data/bibles/otb/2CO.json</x:v>
      </x:c>
      <x:c r="AL796" t="str">
        <x:f>IF(AND(AG796="FREIGEGEBEN",AI796="FREIGEGEBEN",Q796&lt;&gt;"",R796&lt;&gt;"",S796&lt;&gt;"",T796&lt;&gt;"",U796&lt;&gt;"",ISNUMBER(V796),X796&lt;&gt;"",Y796&lt;&gt;"",AA796="JA",AB796="JA",AC796="JA",AD796="JA",AE796="JA",AF796="JA"),"JA","NEIN")</x:f>
        <x:v>JA</x:v>
      </x:c>
    </x:row>
    <x:row r="797">
      <x:c r="A797" t="str">
        <x:v>FP-1056</x:v>
      </x:c>
      <x:c r="B797" t="str">
        <x:v>2CO</x:v>
      </x:c>
      <x:c r="C797" t="str">
        <x:v>2. Korinther</x:v>
      </x:c>
      <x:c r="D797" t="n">
        <x:v>11</x:v>
      </x:c>
      <x:c r="E797" t="n">
        <x:v>1</x:v>
      </x:c>
      <x:c r="F797" t="str">
        <x:v>2CO-011</x:v>
      </x:c>
      <x:c r="G797" t="n">
        <x:v>160</x:v>
      </x:c>
      <x:c r="H797" t="str">
        <x:v>CQ-A08</x:v>
      </x:c>
      <x:c r="I797" s="36" t="str">
        <x:v>Welche dieser Aussagen stammt aus 2. Korinther 11?</x:v>
      </x:c>
      <x:c r="J797" s="36" t="str"/>
      <x:c r="K797" s="36" t="str"/>
      <x:c r="L797" s="36" t="str">
        <x:v>REPO_VERIFIZIERT_FRAGEFORM</x:v>
      </x:c>
      <x:c r="M797" s="36" t="str">
        <x:v>ERSETZEN</x:v>
      </x:c>
      <x:c r="N797" s="36" t="str">
        <x:v>REPETITIVE_FRAGEFORM</x:v>
      </x:c>
      <x:c r="O797" s="36" t="str">
        <x:v>REINE_WIEDERERKENNUNG</x:v>
      </x:c>
      <x:c r="P797" s="36" t="str">
        <x:v>ZUSAMMENHANG</x:v>
      </x:c>
      <x:c r="Q797" s="36" t="str">
        <x:v>Wovor fürchtet Paulus sich im Blick auf die Korinther?</x:v>
      </x:c>
      <x:c r="R797" s="36" t="str">
        <x:v>Dass sie zu viele Briefe lesen.</x:v>
      </x:c>
      <x:c r="S797" s="36" t="str">
        <x:v>Dass sie Paulus zu stark unterstützen.</x:v>
      </x:c>
      <x:c r="T797" s="36" t="str">
        <x:v>Dass sie von schlichter Hingabe an Christus weggeführt werden und einen anderen Jesus oder ein anderes Evangelium annehmen.</x:v>
      </x:c>
      <x:c r="U797" s="36" t="str">
        <x:v>Dass sie nach Jerusalem reisen.</x:v>
      </x:c>
      <x:c r="V797" s="36" t="n">
        <x:v>2</x:v>
      </x:c>
      <x:c r="W797" s="36" t="str">
        <x:f>CHOOSE(V797+1,R797,S797,T797,U797)</x:f>
        <x:v>Dass sie von schlichter Hingabe an Christus weggeführt werden und einen anderen Jesus oder ein anderes Evangelium annehmen.</x:v>
      </x:c>
      <x:c r="X797" s="36" t="str">
        <x:v>2. Korinther 11,1–4</x:v>
      </x:c>
      <x:c r="Y797" s="36" t="str">
        <x:v>Paulus beschreibt geistliche Eifersucht und warnt vor einer Verführung weg vom echten Christus.</x:v>
      </x:c>
      <x:c r="Z797" s="36" t="str">
        <x:v>JA</x:v>
      </x:c>
      <x:c r="AA797" s="36" t="str">
        <x:v>JA</x:v>
      </x:c>
      <x:c r="AB797" s="36" t="str">
        <x:v>JA</x:v>
      </x:c>
      <x:c r="AC797" s="36" t="str">
        <x:v>JA</x:v>
      </x:c>
      <x:c r="AD797" s="36" t="str">
        <x:v>JA</x:v>
      </x:c>
      <x:c r="AE797" s="36" t="str">
        <x:v>JA</x:v>
      </x:c>
      <x:c r="AF797" s="36" t="str">
        <x:v>JA</x:v>
      </x:c>
      <x:c r="AG797" s="36" t="str">
        <x:v>FREIGEGEBEN</x:v>
      </x:c>
      <x:c r="AH797" s="36" t="str">
        <x:v>GPT-5.6 Sol · Buchprüfung 2. Korinther · L1912/OTB</x:v>
      </x:c>
      <x:c r="AI797" s="36" t="str">
        <x:v>FREIGEGEBEN</x:v>
      </x:c>
      <x:c r="AJ797" s="36" t="str">
        <x:v>2. Korinther 11: repetitive Wiedererkennungsfrage durch ZUSAMMENHANG-Frage ersetzt.</x:v>
      </x:c>
      <x:c r="AK797" s="36" t="str">
        <x:v>FaithPath repo develop/v4 · data/stories.json · data/bibles/l1912/2CO.json · data/bibles/otb/2CO.json</x:v>
      </x:c>
      <x:c r="AL797" t="str">
        <x:f>IF(AND(AG797="FREIGEGEBEN",AI797="FREIGEGEBEN",Q797&lt;&gt;"",R797&lt;&gt;"",S797&lt;&gt;"",T797&lt;&gt;"",U797&lt;&gt;"",ISNUMBER(V797),X797&lt;&gt;"",Y797&lt;&gt;"",AA797="JA",AB797="JA",AC797="JA",AD797="JA",AE797="JA",AF797="JA"),"JA","NEIN")</x:f>
        <x:v>JA</x:v>
      </x:c>
    </x:row>
    <x:row r="798">
      <x:c r="A798" t="str">
        <x:v>FP-1057</x:v>
      </x:c>
      <x:c r="B798" t="str">
        <x:v>2CO</x:v>
      </x:c>
      <x:c r="C798" t="str">
        <x:v>2. Korinther</x:v>
      </x:c>
      <x:c r="D798" t="n">
        <x:v>11</x:v>
      </x:c>
      <x:c r="E798" t="n">
        <x:v>2</x:v>
      </x:c>
      <x:c r="F798" t="str">
        <x:v>2CO-011</x:v>
      </x:c>
      <x:c r="G798" t="n">
        <x:v>160</x:v>
      </x:c>
      <x:c r="H798" t="str">
        <x:v>CQ-A08</x:v>
      </x:c>
      <x:c r="I798" s="36" t="str">
        <x:v>Welche dieser Aussagen stammt aus 2. Korinther 11?</x:v>
      </x:c>
      <x:c r="J798" s="36" t="str"/>
      <x:c r="K798" s="36" t="str"/>
      <x:c r="L798" s="36" t="str">
        <x:v>REPO_VERIFIZIERT_FRAGEFORM</x:v>
      </x:c>
      <x:c r="M798" s="36" t="str">
        <x:v>ERSETZEN</x:v>
      </x:c>
      <x:c r="N798" s="36" t="str">
        <x:v>REPETITIVE_FRAGEFORM</x:v>
      </x:c>
      <x:c r="O798" s="36" t="str">
        <x:v>REINE_WIEDERERKENNUNG</x:v>
      </x:c>
      <x:c r="P798" s="36" t="str">
        <x:v>ZUSAMMENHANG</x:v>
      </x:c>
      <x:c r="Q798" s="36" t="str">
        <x:v>Warum verkündete Paulus den Korinthern das Evangelium ohne Bezahlung von ihnen?</x:v>
      </x:c>
      <x:c r="R798" s="36" t="str">
        <x:v>Weil christlicher Dienst niemals unterstützt werden darf.</x:v>
      </x:c>
      <x:c r="S798" s="36" t="str">
        <x:v>Weil Korinth keine wohlhabenden Menschen hatte.</x:v>
      </x:c>
      <x:c r="T798" s="36" t="str">
        <x:v>Weil er jede finanzielle Unterstützung ablehnte.</x:v>
      </x:c>
      <x:c r="U798" s="36" t="str">
        <x:v>Er wollte ihnen nicht zur Last fallen und wurde dafür von anderen Gemeinden unterstützt.</x:v>
      </x:c>
      <x:c r="V798" s="36" t="n">
        <x:v>3</x:v>
      </x:c>
      <x:c r="W798" s="36" t="str">
        <x:f>CHOOSE(V798+1,R798,S798,T798,U798)</x:f>
        <x:v>Er wollte ihnen nicht zur Last fallen und wurde dafür von anderen Gemeinden unterstützt.</x:v>
      </x:c>
      <x:c r="X798" s="36" t="str">
        <x:v>2. Korinther 11,7–9</x:v>
      </x:c>
      <x:c r="Y798" s="36" t="str">
        <x:v>Paulus verzichtete in Korinth bewusst auf Unterstützung, obwohl er Hilfe aus anderen Gemeinden erhielt.</x:v>
      </x:c>
      <x:c r="Z798" s="36" t="str">
        <x:v>JA</x:v>
      </x:c>
      <x:c r="AA798" s="36" t="str">
        <x:v>JA</x:v>
      </x:c>
      <x:c r="AB798" s="36" t="str">
        <x:v>JA</x:v>
      </x:c>
      <x:c r="AC798" s="36" t="str">
        <x:v>JA</x:v>
      </x:c>
      <x:c r="AD798" s="36" t="str">
        <x:v>JA</x:v>
      </x:c>
      <x:c r="AE798" s="36" t="str">
        <x:v>JA</x:v>
      </x:c>
      <x:c r="AF798" s="36" t="str">
        <x:v>JA</x:v>
      </x:c>
      <x:c r="AG798" s="36" t="str">
        <x:v>FREIGEGEBEN</x:v>
      </x:c>
      <x:c r="AH798" s="36" t="str">
        <x:v>GPT-5.6 Sol · Buchprüfung 2. Korinther · L1912/OTB</x:v>
      </x:c>
      <x:c r="AI798" s="36" t="str">
        <x:v>FREIGEGEBEN</x:v>
      </x:c>
      <x:c r="AJ798" s="36" t="str">
        <x:v>2. Korinther 11: repetitive Wiedererkennungsfrage durch ZUSAMMENHANG-Frage ersetzt.</x:v>
      </x:c>
      <x:c r="AK798" s="36" t="str">
        <x:v>FaithPath repo develop/v4 · data/stories.json · data/bibles/l1912/2CO.json · data/bibles/otb/2CO.json</x:v>
      </x:c>
      <x:c r="AL798" t="str">
        <x:f>IF(AND(AG798="FREIGEGEBEN",AI798="FREIGEGEBEN",Q798&lt;&gt;"",R798&lt;&gt;"",S798&lt;&gt;"",T798&lt;&gt;"",U798&lt;&gt;"",ISNUMBER(V798),X798&lt;&gt;"",Y798&lt;&gt;"",AA798="JA",AB798="JA",AC798="JA",AD798="JA",AE798="JA",AF798="JA"),"JA","NEIN")</x:f>
        <x:v>JA</x:v>
      </x:c>
    </x:row>
    <x:row r="799">
      <x:c r="A799" t="str">
        <x:v>FP-1058</x:v>
      </x:c>
      <x:c r="B799" t="str">
        <x:v>2CO</x:v>
      </x:c>
      <x:c r="C799" t="str">
        <x:v>2. Korinther</x:v>
      </x:c>
      <x:c r="D799" t="n">
        <x:v>11</x:v>
      </x:c>
      <x:c r="E799" t="n">
        <x:v>3</x:v>
      </x:c>
      <x:c r="F799" t="str">
        <x:v>2CO-011</x:v>
      </x:c>
      <x:c r="G799" t="n">
        <x:v>160</x:v>
      </x:c>
      <x:c r="H799" t="str">
        <x:v>CQ-A08</x:v>
      </x:c>
      <x:c r="I799" s="36" t="str">
        <x:v>Welche dieser Aussagen stammt aus 2. Korinther 11?</x:v>
      </x:c>
      <x:c r="J799" s="36" t="str"/>
      <x:c r="K799" s="36" t="str"/>
      <x:c r="L799" s="36" t="str">
        <x:v>REPO_VERIFIZIERT_FRAGEFORM</x:v>
      </x:c>
      <x:c r="M799" s="36" t="str">
        <x:v>ERSETZEN</x:v>
      </x:c>
      <x:c r="N799" s="36" t="str">
        <x:v>REPETITIVE_FRAGEFORM</x:v>
      </x:c>
      <x:c r="O799" s="36" t="str">
        <x:v>REINE_WIEDERERKENNUNG</x:v>
      </x:c>
      <x:c r="P799" s="36" t="str">
        <x:v>KERNAUSSAGE</x:v>
      </x:c>
      <x:c r="Q799" s="36" t="str">
        <x:v>Warum sind falsche Apostel nach Paulus nicht immer leicht zu erkennen?</x:v>
      </x:c>
      <x:c r="R799" s="36" t="str">
        <x:v>Sie können sich als Apostel Christi ausgeben, so wie Satan sich als Engel des Lichts verstellt.</x:v>
      </x:c>
      <x:c r="S799" s="36" t="str">
        <x:v>Sie sagen immer offen, dass sie täuschen.</x:v>
      </x:c>
      <x:c r="T799" s="36" t="str">
        <x:v>Sie besitzen niemals religiöse Sprache.</x:v>
      </x:c>
      <x:c r="U799" s="36" t="str">
        <x:v>Sie wirken ausschließlich außerhalb von Gemeinden.</x:v>
      </x:c>
      <x:c r="V799" s="36" t="n">
        <x:v>0</x:v>
      </x:c>
      <x:c r="W799" s="36" t="str">
        <x:f>CHOOSE(V799+1,R799,S799,T799,U799)</x:f>
        <x:v>Sie können sich als Apostel Christi ausgeben, so wie Satan sich als Engel des Lichts verstellt.</x:v>
      </x:c>
      <x:c r="X799" s="36" t="str">
        <x:v>2. Korinther 11,13–15</x:v>
      </x:c>
      <x:c r="Y799" s="36" t="str">
        <x:v>Paulus warnt davor, äußeren Schein mit geistlicher Echtheit gleichzusetzen.</x:v>
      </x:c>
      <x:c r="Z799" s="36" t="str">
        <x:v>JA</x:v>
      </x:c>
      <x:c r="AA799" s="36" t="str">
        <x:v>JA</x:v>
      </x:c>
      <x:c r="AB799" s="36" t="str">
        <x:v>JA</x:v>
      </x:c>
      <x:c r="AC799" s="36" t="str">
        <x:v>JA</x:v>
      </x:c>
      <x:c r="AD799" s="36" t="str">
        <x:v>JA</x:v>
      </x:c>
      <x:c r="AE799" s="36" t="str">
        <x:v>JA</x:v>
      </x:c>
      <x:c r="AF799" s="36" t="str">
        <x:v>JA</x:v>
      </x:c>
      <x:c r="AG799" s="36" t="str">
        <x:v>FREIGEGEBEN</x:v>
      </x:c>
      <x:c r="AH799" s="36" t="str">
        <x:v>GPT-5.6 Sol · Buchprüfung 2. Korinther · L1912/OTB</x:v>
      </x:c>
      <x:c r="AI799" s="36" t="str">
        <x:v>FREIGEGEBEN</x:v>
      </x:c>
      <x:c r="AJ799" s="36" t="str">
        <x:v>2. Korinther 11: repetitive Wiedererkennungsfrage durch KERNAUSSAGE-Frage ersetzt.</x:v>
      </x:c>
      <x:c r="AK799" s="36" t="str">
        <x:v>FaithPath repo develop/v4 · data/stories.json · data/bibles/l1912/2CO.json · data/bibles/otb/2CO.json</x:v>
      </x:c>
      <x:c r="AL799" t="str">
        <x:f>IF(AND(AG799="FREIGEGEBEN",AI799="FREIGEGEBEN",Q799&lt;&gt;"",R799&lt;&gt;"",S799&lt;&gt;"",T799&lt;&gt;"",U799&lt;&gt;"",ISNUMBER(V799),X799&lt;&gt;"",Y799&lt;&gt;"",AA799="JA",AB799="JA",AC799="JA",AD799="JA",AE799="JA",AF799="JA"),"JA","NEIN")</x:f>
        <x:v>JA</x:v>
      </x:c>
    </x:row>
    <x:row r="800">
      <x:c r="A800" t="str">
        <x:v>FP-1059</x:v>
      </x:c>
      <x:c r="B800" t="str">
        <x:v>2CO</x:v>
      </x:c>
      <x:c r="C800" t="str">
        <x:v>2. Korinther</x:v>
      </x:c>
      <x:c r="D800" t="n">
        <x:v>11</x:v>
      </x:c>
      <x:c r="E800" t="n">
        <x:v>4</x:v>
      </x:c>
      <x:c r="F800" t="str">
        <x:v>2CO-011</x:v>
      </x:c>
      <x:c r="G800" t="n">
        <x:v>160</x:v>
      </x:c>
      <x:c r="H800" t="str">
        <x:v>CQ-A08</x:v>
      </x:c>
      <x:c r="I800" s="36" t="str">
        <x:v>Welche dieser Aussagen stammt aus 2. Korinther 11?</x:v>
      </x:c>
      <x:c r="J800" s="36" t="str"/>
      <x:c r="K800" s="36" t="str"/>
      <x:c r="L800" s="36" t="str">
        <x:v>REPO_VERIFIZIERT_FRAGEFORM</x:v>
      </x:c>
      <x:c r="M800" s="36" t="str">
        <x:v>ERSETZEN</x:v>
      </x:c>
      <x:c r="N800" s="36" t="str">
        <x:v>REPETITIVE_FRAGEFORM</x:v>
      </x:c>
      <x:c r="O800" s="36" t="str">
        <x:v>REINE_WIEDERERKENNUNG</x:v>
      </x:c>
      <x:c r="P800" s="36" t="str">
        <x:v>ZUSAMMENHANG</x:v>
      </x:c>
      <x:c r="Q800" s="36" t="str">
        <x:v>Womit begründet Paulus sein ungewöhnliches „Rühmen“ gegenüber den falschen Ansprüchen anderer?</x:v>
      </x:c>
      <x:c r="R800" s="36" t="str">
        <x:v>Mit Reichtum, Ansehen und politischer Macht.</x:v>
      </x:c>
      <x:c r="S800" s="36" t="str">
        <x:v>Mit einer langen Liste von Leiden, Gefahren, Arbeit und Sorge um die Gemeinden.</x:v>
      </x:c>
      <x:c r="T800" s="36" t="str">
        <x:v>Mit seinem römischen Bürgerrecht allein.</x:v>
      </x:c>
      <x:c r="U800" s="36" t="str">
        <x:v>Mit der Zahl seiner Bücher.</x:v>
      </x:c>
      <x:c r="V800" s="36" t="n">
        <x:v>1</x:v>
      </x:c>
      <x:c r="W800" s="36" t="str">
        <x:f>CHOOSE(V800+1,R800,S800,T800,U800)</x:f>
        <x:v>Mit einer langen Liste von Leiden, Gefahren, Arbeit und Sorge um die Gemeinden.</x:v>
      </x:c>
      <x:c r="X800" s="36" t="str">
        <x:v>2. Korinther 11,23–28</x:v>
      </x:c>
      <x:c r="Y800" s="36" t="str">
        <x:v>Paulus' apostolische „Bilanz“ besteht paradoxerweise vor allem aus Leiden und hingebungsvollem Dienst.</x:v>
      </x:c>
      <x:c r="Z800" s="36" t="str">
        <x:v>JA</x:v>
      </x:c>
      <x:c r="AA800" s="36" t="str">
        <x:v>JA</x:v>
      </x:c>
      <x:c r="AB800" s="36" t="str">
        <x:v>JA</x:v>
      </x:c>
      <x:c r="AC800" s="36" t="str">
        <x:v>JA</x:v>
      </x:c>
      <x:c r="AD800" s="36" t="str">
        <x:v>JA</x:v>
      </x:c>
      <x:c r="AE800" s="36" t="str">
        <x:v>JA</x:v>
      </x:c>
      <x:c r="AF800" s="36" t="str">
        <x:v>JA</x:v>
      </x:c>
      <x:c r="AG800" s="36" t="str">
        <x:v>FREIGEGEBEN</x:v>
      </x:c>
      <x:c r="AH800" s="36" t="str">
        <x:v>GPT-5.6 Sol · Buchprüfung 2. Korinther · L1912/OTB</x:v>
      </x:c>
      <x:c r="AI800" s="36" t="str">
        <x:v>FREIGEGEBEN</x:v>
      </x:c>
      <x:c r="AJ800" s="36" t="str">
        <x:v>2. Korinther 11: repetitive Wiedererkennungsfrage durch ZUSAMMENHANG-Frage ersetzt.</x:v>
      </x:c>
      <x:c r="AK800" s="36" t="str">
        <x:v>FaithPath repo develop/v4 · data/stories.json · data/bibles/l1912/2CO.json · data/bibles/otb/2CO.json</x:v>
      </x:c>
      <x:c r="AL800" t="str">
        <x:f>IF(AND(AG800="FREIGEGEBEN",AI800="FREIGEGEBEN",Q800&lt;&gt;"",R800&lt;&gt;"",S800&lt;&gt;"",T800&lt;&gt;"",U800&lt;&gt;"",ISNUMBER(V800),X800&lt;&gt;"",Y800&lt;&gt;"",AA800="JA",AB800="JA",AC800="JA",AD800="JA",AE800="JA",AF800="JA"),"JA","NEIN")</x:f>
        <x:v>JA</x:v>
      </x:c>
    </x:row>
    <x:row r="801">
      <x:c r="A801" t="str">
        <x:v>FP-1060</x:v>
      </x:c>
      <x:c r="B801" t="str">
        <x:v>2CO</x:v>
      </x:c>
      <x:c r="C801" t="str">
        <x:v>2. Korinther</x:v>
      </x:c>
      <x:c r="D801" t="n">
        <x:v>11</x:v>
      </x:c>
      <x:c r="E801" t="n">
        <x:v>5</x:v>
      </x:c>
      <x:c r="F801" t="str">
        <x:v>2CO-011</x:v>
      </x:c>
      <x:c r="G801" t="n">
        <x:v>160</x:v>
      </x:c>
      <x:c r="H801" t="str">
        <x:v>CQ-A08</x:v>
      </x:c>
      <x:c r="I801" s="36" t="str">
        <x:v>Welche dieser Aussagen stammt aus 2. Korinther 11?</x:v>
      </x:c>
      <x:c r="J801" s="36" t="str"/>
      <x:c r="K801" s="36" t="str"/>
      <x:c r="L801" s="36" t="str">
        <x:v>REPO_VERIFIZIERT_FRAGEFORM</x:v>
      </x:c>
      <x:c r="M801" s="36" t="str">
        <x:v>ERSETZEN</x:v>
      </x:c>
      <x:c r="N801" s="36" t="str">
        <x:v>REPETITIVE_FRAGEFORM</x:v>
      </x:c>
      <x:c r="O801" s="36" t="str">
        <x:v>REINE_WIEDERERKENNUNG</x:v>
      </x:c>
      <x:c r="P801" s="36" t="str">
        <x:v>KERNAUSSAGE</x:v>
      </x:c>
      <x:c r="Q801" s="36" t="str">
        <x:v>Wessen will Paulus sich rühmen, wenn er überhaupt rühmen muss?</x:v>
      </x:c>
      <x:c r="R801" s="36" t="str">
        <x:v>Seiner größten Erfolge und Titel.</x:v>
      </x:c>
      <x:c r="S801" s="36" t="str">
        <x:v>Seiner gesellschaftlichen Herkunft.</x:v>
      </x:c>
      <x:c r="T801" s="36" t="str">
        <x:v>Der Dinge, die seine Schwachheit zeigen.</x:v>
      </x:c>
      <x:c r="U801" s="36" t="str">
        <x:v>Seines Einflusses bei Statthaltern.</x:v>
      </x:c>
      <x:c r="V801" s="36" t="n">
        <x:v>2</x:v>
      </x:c>
      <x:c r="W801" s="36" t="str">
        <x:f>CHOOSE(V801+1,R801,S801,T801,U801)</x:f>
        <x:v>Der Dinge, die seine Schwachheit zeigen.</x:v>
      </x:c>
      <x:c r="X801" s="36" t="str">
        <x:v>2. Korinther 11,30–33</x:v>
      </x:c>
      <x:c r="Y801" s="36" t="str">
        <x:v>Paulus schließt den Abschnitt mit einem Beispiel eigener Schwäche und Abhängigkeit statt heroischer Selbstdarstellung.</x:v>
      </x:c>
      <x:c r="Z801" s="36" t="str">
        <x:v>JA</x:v>
      </x:c>
      <x:c r="AA801" s="36" t="str">
        <x:v>JA</x:v>
      </x:c>
      <x:c r="AB801" s="36" t="str">
        <x:v>JA</x:v>
      </x:c>
      <x:c r="AC801" s="36" t="str">
        <x:v>JA</x:v>
      </x:c>
      <x:c r="AD801" s="36" t="str">
        <x:v>JA</x:v>
      </x:c>
      <x:c r="AE801" s="36" t="str">
        <x:v>JA</x:v>
      </x:c>
      <x:c r="AF801" s="36" t="str">
        <x:v>JA</x:v>
      </x:c>
      <x:c r="AG801" s="36" t="str">
        <x:v>FREIGEGEBEN</x:v>
      </x:c>
      <x:c r="AH801" s="36" t="str">
        <x:v>GPT-5.6 Sol · Buchprüfung 2. Korinther · L1912/OTB</x:v>
      </x:c>
      <x:c r="AI801" s="36" t="str">
        <x:v>FREIGEGEBEN</x:v>
      </x:c>
      <x:c r="AJ801" s="36" t="str">
        <x:v>2. Korinther 11: repetitive Wiedererkennungsfrage durch KERNAUSSAGE-Frage ersetzt.</x:v>
      </x:c>
      <x:c r="AK801" s="36" t="str">
        <x:v>FaithPath repo develop/v4 · data/stories.json · data/bibles/l1912/2CO.json · data/bibles/otb/2CO.json</x:v>
      </x:c>
      <x:c r="AL801" t="str">
        <x:f>IF(AND(AG801="FREIGEGEBEN",AI801="FREIGEGEBEN",Q801&lt;&gt;"",R801&lt;&gt;"",S801&lt;&gt;"",T801&lt;&gt;"",U801&lt;&gt;"",ISNUMBER(V801),X801&lt;&gt;"",Y801&lt;&gt;"",AA801="JA",AB801="JA",AC801="JA",AD801="JA",AE801="JA",AF801="JA"),"JA","NEIN")</x:f>
        <x:v>JA</x:v>
      </x:c>
    </x:row>
    <x:row r="802">
      <x:c r="A802" t="str">
        <x:v>FP-1061</x:v>
      </x:c>
      <x:c r="B802" t="str">
        <x:v>2CO</x:v>
      </x:c>
      <x:c r="C802" t="str">
        <x:v>2. Korinther</x:v>
      </x:c>
      <x:c r="D802" t="n">
        <x:v>12</x:v>
      </x:c>
      <x:c r="E802" t="n">
        <x:v>1</x:v>
      </x:c>
      <x:c r="F802" t="str">
        <x:v>2CO-012</x:v>
      </x:c>
      <x:c r="G802" t="n">
        <x:v>161</x:v>
      </x:c>
      <x:c r="H802" t="str">
        <x:v>CQ-A09</x:v>
      </x:c>
      <x:c r="I802" s="36" t="str">
        <x:v>Welche dieser Aussagen stammt aus 2. Korinther 12?</x:v>
      </x:c>
      <x:c r="J802" s="36" t="str"/>
      <x:c r="K802" s="36" t="str"/>
      <x:c r="L802" s="36" t="str">
        <x:v>REPO_VERIFIZIERT_FRAGEFORM</x:v>
      </x:c>
      <x:c r="M802" s="36" t="str">
        <x:v>ERSETZEN</x:v>
      </x:c>
      <x:c r="N802" s="36" t="str">
        <x:v>REPETITIVE_FRAGEFORM</x:v>
      </x:c>
      <x:c r="O802" s="36" t="str">
        <x:v>REINE_WIEDERERKENNUNG</x:v>
      </x:c>
      <x:c r="P802" s="36" t="str">
        <x:v>ZUSAMMENHANG</x:v>
      </x:c>
      <x:c r="Q802" s="36" t="str">
        <x:v>Warum erzählt Paulus nur zurückhaltend von außergewöhnlichen Visionen und Offenbarungen?</x:v>
      </x:c>
      <x:c r="R802" s="36" t="str">
        <x:v>Er bestreitet, je eine Offenbarung erlebt zu haben.</x:v>
      </x:c>
      <x:c r="S802" s="36" t="str">
        <x:v>Er hält Visionen grundsätzlich für falsch.</x:v>
      </x:c>
      <x:c r="T802" s="36" t="str">
        <x:v>Er will damit beweisen, dass andere Menschen keine Offenbarungen bekommen können.</x:v>
      </x:c>
      <x:c r="U802" s="36" t="str">
        <x:v>Er will sich nicht über das hinaus rühmen, was Menschen tatsächlich an ihm sehen und hören können.</x:v>
      </x:c>
      <x:c r="V802" s="36" t="n">
        <x:v>3</x:v>
      </x:c>
      <x:c r="W802" s="36" t="str">
        <x:f>CHOOSE(V802+1,R802,S802,T802,U802)</x:f>
        <x:v>Er will sich nicht über das hinaus rühmen, was Menschen tatsächlich an ihm sehen und hören können.</x:v>
      </x:c>
      <x:c r="X802" s="36" t="str">
        <x:v>2. Korinther 12,1–5</x:v>
      </x:c>
      <x:c r="Y802" s="36" t="str">
        <x:v>Paulus berichtet von außergewöhnlicher Erfahrung, setzt aber bewusst Grenzen für das eigene Rühmen.</x:v>
      </x:c>
      <x:c r="Z802" s="36" t="str">
        <x:v>JA</x:v>
      </x:c>
      <x:c r="AA802" s="36" t="str">
        <x:v>JA</x:v>
      </x:c>
      <x:c r="AB802" s="36" t="str">
        <x:v>JA</x:v>
      </x:c>
      <x:c r="AC802" s="36" t="str">
        <x:v>JA</x:v>
      </x:c>
      <x:c r="AD802" s="36" t="str">
        <x:v>JA</x:v>
      </x:c>
      <x:c r="AE802" s="36" t="str">
        <x:v>JA</x:v>
      </x:c>
      <x:c r="AF802" s="36" t="str">
        <x:v>JA</x:v>
      </x:c>
      <x:c r="AG802" s="36" t="str">
        <x:v>FREIGEGEBEN</x:v>
      </x:c>
      <x:c r="AH802" s="36" t="str">
        <x:v>GPT-5.6 Sol · Buchprüfung 2. Korinther · L1912/OTB</x:v>
      </x:c>
      <x:c r="AI802" s="36" t="str">
        <x:v>FREIGEGEBEN</x:v>
      </x:c>
      <x:c r="AJ802" s="36" t="str">
        <x:v>2. Korinther 12: repetitive Wiedererkennungsfrage durch ZUSAMMENHANG-Frage ersetzt.</x:v>
      </x:c>
      <x:c r="AK802" s="36" t="str">
        <x:v>FaithPath repo develop/v4 · data/stories.json · data/bibles/l1912/2CO.json · data/bibles/otb/2CO.json</x:v>
      </x:c>
      <x:c r="AL802" t="str">
        <x:f>IF(AND(AG802="FREIGEGEBEN",AI802="FREIGEGEBEN",Q802&lt;&gt;"",R802&lt;&gt;"",S802&lt;&gt;"",T802&lt;&gt;"",U802&lt;&gt;"",ISNUMBER(V802),X802&lt;&gt;"",Y802&lt;&gt;"",AA802="JA",AB802="JA",AC802="JA",AD802="JA",AE802="JA",AF802="JA"),"JA","NEIN")</x:f>
        <x:v>JA</x:v>
      </x:c>
    </x:row>
    <x:row r="803">
      <x:c r="A803" t="str">
        <x:v>FP-1062</x:v>
      </x:c>
      <x:c r="B803" t="str">
        <x:v>2CO</x:v>
      </x:c>
      <x:c r="C803" t="str">
        <x:v>2. Korinther</x:v>
      </x:c>
      <x:c r="D803" t="n">
        <x:v>12</x:v>
      </x:c>
      <x:c r="E803" t="n">
        <x:v>2</x:v>
      </x:c>
      <x:c r="F803" t="str">
        <x:v>2CO-012</x:v>
      </x:c>
      <x:c r="G803" t="n">
        <x:v>161</x:v>
      </x:c>
      <x:c r="H803" t="str">
        <x:v>CQ-A09</x:v>
      </x:c>
      <x:c r="I803" s="36" t="str">
        <x:v>Welche dieser Aussagen stammt aus 2. Korinther 12?</x:v>
      </x:c>
      <x:c r="J803" s="36" t="str"/>
      <x:c r="K803" s="36" t="str"/>
      <x:c r="L803" s="36" t="str">
        <x:v>REPO_VERIFIZIERT_FRAGEFORM</x:v>
      </x:c>
      <x:c r="M803" s="36" t="str">
        <x:v>ERSETZEN</x:v>
      </x:c>
      <x:c r="N803" s="36" t="str">
        <x:v>REPETITIVE_FRAGEFORM</x:v>
      </x:c>
      <x:c r="O803" s="36" t="str">
        <x:v>REINE_WIEDERERKENNUNG</x:v>
      </x:c>
      <x:c r="P803" s="36" t="str">
        <x:v>KERNAUSSAGE</x:v>
      </x:c>
      <x:c r="Q803" s="36" t="str">
        <x:v>Welche Antwort erhält Paulus auf seine dreifache Bitte wegen des „Dorns im Fleisch“?</x:v>
      </x:c>
      <x:c r="R803" s="36" t="str">
        <x:v>Gottes Gnade genügt ihm, denn Gottes Kraft wird in Schwachheit vollendet.</x:v>
      </x:c>
      <x:c r="S803" s="36" t="str">
        <x:v>Der Dorn wird sofort entfernt.</x:v>
      </x:c>
      <x:c r="T803" s="36" t="str">
        <x:v>Er müsse nur stärker glauben.</x:v>
      </x:c>
      <x:c r="U803" s="36" t="str">
        <x:v>Er solle den Dienst beenden.</x:v>
      </x:c>
      <x:c r="V803" s="36" t="n">
        <x:v>0</x:v>
      </x:c>
      <x:c r="W803" s="36" t="str">
        <x:f>CHOOSE(V803+1,R803,S803,T803,U803)</x:f>
        <x:v>Gottes Gnade genügt ihm, denn Gottes Kraft wird in Schwachheit vollendet.</x:v>
      </x:c>
      <x:c r="X803" s="36" t="str">
        <x:v>2. Korinther 12,7–10</x:v>
      </x:c>
      <x:c r="Y803" s="36" t="str">
        <x:v>Die Antwort verschiebt den Fokus von der Beseitigung der Schwachheit auf die genügende Gnade und Kraft Christi.</x:v>
      </x:c>
      <x:c r="Z803" s="36" t="str">
        <x:v>JA</x:v>
      </x:c>
      <x:c r="AA803" s="36" t="str">
        <x:v>JA</x:v>
      </x:c>
      <x:c r="AB803" s="36" t="str">
        <x:v>JA</x:v>
      </x:c>
      <x:c r="AC803" s="36" t="str">
        <x:v>JA</x:v>
      </x:c>
      <x:c r="AD803" s="36" t="str">
        <x:v>JA</x:v>
      </x:c>
      <x:c r="AE803" s="36" t="str">
        <x:v>JA</x:v>
      </x:c>
      <x:c r="AF803" s="36" t="str">
        <x:v>JA</x:v>
      </x:c>
      <x:c r="AG803" s="36" t="str">
        <x:v>FREIGEGEBEN</x:v>
      </x:c>
      <x:c r="AH803" s="36" t="str">
        <x:v>GPT-5.6 Sol · Buchprüfung 2. Korinther · L1912/OTB</x:v>
      </x:c>
      <x:c r="AI803" s="36" t="str">
        <x:v>FREIGEGEBEN</x:v>
      </x:c>
      <x:c r="AJ803" s="36" t="str">
        <x:v>2. Korinther 12: repetitive Wiedererkennungsfrage durch KERNAUSSAGE-Frage ersetzt.</x:v>
      </x:c>
      <x:c r="AK803" s="36" t="str">
        <x:v>FaithPath repo develop/v4 · data/stories.json · data/bibles/l1912/2CO.json · data/bibles/otb/2CO.json</x:v>
      </x:c>
      <x:c r="AL803" t="str">
        <x:f>IF(AND(AG803="FREIGEGEBEN",AI803="FREIGEGEBEN",Q803&lt;&gt;"",R803&lt;&gt;"",S803&lt;&gt;"",T803&lt;&gt;"",U803&lt;&gt;"",ISNUMBER(V803),X803&lt;&gt;"",Y803&lt;&gt;"",AA803="JA",AB803="JA",AC803="JA",AD803="JA",AE803="JA",AF803="JA"),"JA","NEIN")</x:f>
        <x:v>JA</x:v>
      </x:c>
    </x:row>
    <x:row r="804">
      <x:c r="A804" t="str">
        <x:v>FP-1063</x:v>
      </x:c>
      <x:c r="B804" t="str">
        <x:v>2CO</x:v>
      </x:c>
      <x:c r="C804" t="str">
        <x:v>2. Korinther</x:v>
      </x:c>
      <x:c r="D804" t="n">
        <x:v>12</x:v>
      </x:c>
      <x:c r="E804" t="n">
        <x:v>3</x:v>
      </x:c>
      <x:c r="F804" t="str">
        <x:v>2CO-012</x:v>
      </x:c>
      <x:c r="G804" t="n">
        <x:v>161</x:v>
      </x:c>
      <x:c r="H804" t="str">
        <x:v>CQ-A09</x:v>
      </x:c>
      <x:c r="I804" s="36" t="str">
        <x:v>Welche dieser Aussagen stammt aus 2. Korinther 12?</x:v>
      </x:c>
      <x:c r="J804" s="36" t="str"/>
      <x:c r="K804" s="36" t="str"/>
      <x:c r="L804" s="36" t="str">
        <x:v>REPO_VERIFIZIERT_FRAGEFORM</x:v>
      </x:c>
      <x:c r="M804" s="36" t="str">
        <x:v>ERSETZEN</x:v>
      </x:c>
      <x:c r="N804" s="36" t="str">
        <x:v>REPETITIVE_FRAGEFORM</x:v>
      </x:c>
      <x:c r="O804" s="36" t="str">
        <x:v>REINE_WIEDERERKENNUNG</x:v>
      </x:c>
      <x:c r="P804" s="36" t="str">
        <x:v>ZUSAMMENHANG</x:v>
      </x:c>
      <x:c r="Q804" s="36" t="str">
        <x:v>Woran erinnert Paulus die Korinther, um seinen apostolischen Dienst zu verteidigen?</x:v>
      </x:c>
      <x:c r="R804" s="36" t="str">
        <x:v>Er habe den größten Besitz aller Apostel.</x:v>
      </x:c>
      <x:c r="S804" s="36" t="str">
        <x:v>Zeichen, Wunder und Machttaten wurden unter ihnen mit großer Ausdauer gewirkt.</x:v>
      </x:c>
      <x:c r="T804" s="36" t="str">
        <x:v>Er habe als Einziger in Korinth getauft.</x:v>
      </x:c>
      <x:c r="U804" s="36" t="str">
        <x:v>Er sei von keinem Menschen kritisiert worden.</x:v>
      </x:c>
      <x:c r="V804" s="36" t="n">
        <x:v>1</x:v>
      </x:c>
      <x:c r="W804" s="36" t="str">
        <x:f>CHOOSE(V804+1,R804,S804,T804,U804)</x:f>
        <x:v>Zeichen, Wunder und Machttaten wurden unter ihnen mit großer Ausdauer gewirkt.</x:v>
      </x:c>
      <x:c r="X804" s="36" t="str">
        <x:v>2. Korinther 12,11–13</x:v>
      </x:c>
      <x:c r="Y804" s="36" t="str">
        <x:v>Paulus verweist auf Zeichen eines Apostels, betont aber zugleich seine eigene Nichtigkeit.</x:v>
      </x:c>
      <x:c r="Z804" s="36" t="str">
        <x:v>JA</x:v>
      </x:c>
      <x:c r="AA804" s="36" t="str">
        <x:v>JA</x:v>
      </x:c>
      <x:c r="AB804" s="36" t="str">
        <x:v>JA</x:v>
      </x:c>
      <x:c r="AC804" s="36" t="str">
        <x:v>JA</x:v>
      </x:c>
      <x:c r="AD804" s="36" t="str">
        <x:v>JA</x:v>
      </x:c>
      <x:c r="AE804" s="36" t="str">
        <x:v>JA</x:v>
      </x:c>
      <x:c r="AF804" s="36" t="str">
        <x:v>JA</x:v>
      </x:c>
      <x:c r="AG804" s="36" t="str">
        <x:v>FREIGEGEBEN</x:v>
      </x:c>
      <x:c r="AH804" s="36" t="str">
        <x:v>GPT-5.6 Sol · Buchprüfung 2. Korinther · L1912/OTB</x:v>
      </x:c>
      <x:c r="AI804" s="36" t="str">
        <x:v>FREIGEGEBEN</x:v>
      </x:c>
      <x:c r="AJ804" s="36" t="str">
        <x:v>2. Korinther 12: repetitive Wiedererkennungsfrage durch ZUSAMMENHANG-Frage ersetzt.</x:v>
      </x:c>
      <x:c r="AK804" s="36" t="str">
        <x:v>FaithPath repo develop/v4 · data/stories.json · data/bibles/l1912/2CO.json · data/bibles/otb/2CO.json</x:v>
      </x:c>
      <x:c r="AL804" t="str">
        <x:f>IF(AND(AG804="FREIGEGEBEN",AI804="FREIGEGEBEN",Q804&lt;&gt;"",R804&lt;&gt;"",S804&lt;&gt;"",T804&lt;&gt;"",U804&lt;&gt;"",ISNUMBER(V804),X804&lt;&gt;"",Y804&lt;&gt;"",AA804="JA",AB804="JA",AC804="JA",AD804="JA",AE804="JA",AF804="JA"),"JA","NEIN")</x:f>
        <x:v>JA</x:v>
      </x:c>
    </x:row>
    <x:row r="805">
      <x:c r="A805" t="str">
        <x:v>FP-1064</x:v>
      </x:c>
      <x:c r="B805" t="str">
        <x:v>2CO</x:v>
      </x:c>
      <x:c r="C805" t="str">
        <x:v>2. Korinther</x:v>
      </x:c>
      <x:c r="D805" t="n">
        <x:v>12</x:v>
      </x:c>
      <x:c r="E805" t="n">
        <x:v>4</x:v>
      </x:c>
      <x:c r="F805" t="str">
        <x:v>2CO-012</x:v>
      </x:c>
      <x:c r="G805" t="n">
        <x:v>161</x:v>
      </x:c>
      <x:c r="H805" t="str">
        <x:v>CQ-A09</x:v>
      </x:c>
      <x:c r="I805" s="36" t="str">
        <x:v>Welche dieser Aussagen stammt aus 2. Korinther 12?</x:v>
      </x:c>
      <x:c r="J805" s="36" t="str"/>
      <x:c r="K805" s="36" t="str"/>
      <x:c r="L805" s="36" t="str">
        <x:v>REPO_VERIFIZIERT_FRAGEFORM</x:v>
      </x:c>
      <x:c r="M805" s="36" t="str">
        <x:v>ERSETZEN</x:v>
      </x:c>
      <x:c r="N805" s="36" t="str">
        <x:v>REPETITIVE_FRAGEFORM</x:v>
      </x:c>
      <x:c r="O805" s="36" t="str">
        <x:v>REINE_WIEDERERKENNUNG</x:v>
      </x:c>
      <x:c r="P805" s="36" t="str">
        <x:v>KERNAUSSAGE</x:v>
      </x:c>
      <x:c r="Q805" s="36" t="str">
        <x:v>Warum will Paulus bei seinem dritten Besuch den Korinthern nicht zur Last fallen?</x:v>
      </x:c>
      <x:c r="R805" s="36" t="str">
        <x:v>Er will überhaupt keine Beziehung mehr zu ihnen.</x:v>
      </x:c>
      <x:c r="S805" s="36" t="str">
        <x:v>Er hält jede Unterstützung von Gemeinden für falsch.</x:v>
      </x:c>
      <x:c r="T805" s="36" t="str">
        <x:v>Er sucht nicht ihren Besitz, sondern sie selbst, und vergleicht seine Verantwortung mit Eltern, die für Kinder sorgen.</x:v>
      </x:c>
      <x:c r="U805" s="36" t="str">
        <x:v>Er möchte nur von anderen Aposteln versorgt werden.</x:v>
      </x:c>
      <x:c r="V805" s="36" t="n">
        <x:v>2</x:v>
      </x:c>
      <x:c r="W805" s="36" t="str">
        <x:f>CHOOSE(V805+1,R805,S805,T805,U805)</x:f>
        <x:v>Er sucht nicht ihren Besitz, sondern sie selbst, und vergleicht seine Verantwortung mit Eltern, die für Kinder sorgen.</x:v>
      </x:c>
      <x:c r="X805" s="36" t="str">
        <x:v>2. Korinther 12,14–15</x:v>
      </x:c>
      <x:c r="Y805" s="36" t="str">
        <x:v>Paulus beschreibt seine Motivation als persönliche Hingabe an die Gemeinde, nicht als Suche nach ihrem Besitz.</x:v>
      </x:c>
      <x:c r="Z805" s="36" t="str">
        <x:v>JA</x:v>
      </x:c>
      <x:c r="AA805" s="36" t="str">
        <x:v>JA</x:v>
      </x:c>
      <x:c r="AB805" s="36" t="str">
        <x:v>JA</x:v>
      </x:c>
      <x:c r="AC805" s="36" t="str">
        <x:v>JA</x:v>
      </x:c>
      <x:c r="AD805" s="36" t="str">
        <x:v>JA</x:v>
      </x:c>
      <x:c r="AE805" s="36" t="str">
        <x:v>JA</x:v>
      </x:c>
      <x:c r="AF805" s="36" t="str">
        <x:v>JA</x:v>
      </x:c>
      <x:c r="AG805" s="36" t="str">
        <x:v>FREIGEGEBEN</x:v>
      </x:c>
      <x:c r="AH805" s="36" t="str">
        <x:v>GPT-5.6 Sol · Buchprüfung 2. Korinther · L1912/OTB</x:v>
      </x:c>
      <x:c r="AI805" s="36" t="str">
        <x:v>FREIGEGEBEN</x:v>
      </x:c>
      <x:c r="AJ805" s="36" t="str">
        <x:v>2. Korinther 12: repetitive Wiedererkennungsfrage durch KERNAUSSAGE-Frage ersetzt.</x:v>
      </x:c>
      <x:c r="AK805" s="36" t="str">
        <x:v>FaithPath repo develop/v4 · data/stories.json · data/bibles/l1912/2CO.json · data/bibles/otb/2CO.json</x:v>
      </x:c>
      <x:c r="AL805" t="str">
        <x:f>IF(AND(AG805="FREIGEGEBEN",AI805="FREIGEGEBEN",Q805&lt;&gt;"",R805&lt;&gt;"",S805&lt;&gt;"",T805&lt;&gt;"",U805&lt;&gt;"",ISNUMBER(V805),X805&lt;&gt;"",Y805&lt;&gt;"",AA805="JA",AB805="JA",AC805="JA",AD805="JA",AE805="JA",AF805="JA"),"JA","NEIN")</x:f>
        <x:v>JA</x:v>
      </x:c>
    </x:row>
    <x:row r="806">
      <x:c r="A806" t="str">
        <x:v>FP-1065</x:v>
      </x:c>
      <x:c r="B806" t="str">
        <x:v>2CO</x:v>
      </x:c>
      <x:c r="C806" t="str">
        <x:v>2. Korinther</x:v>
      </x:c>
      <x:c r="D806" t="n">
        <x:v>12</x:v>
      </x:c>
      <x:c r="E806" t="n">
        <x:v>5</x:v>
      </x:c>
      <x:c r="F806" t="str">
        <x:v>2CO-012</x:v>
      </x:c>
      <x:c r="G806" t="n">
        <x:v>161</x:v>
      </x:c>
      <x:c r="H806" t="str">
        <x:v>CQ-A09</x:v>
      </x:c>
      <x:c r="I806" s="36" t="str">
        <x:v>Welche dieser Aussagen stammt aus 2. Korinther 12?</x:v>
      </x:c>
      <x:c r="J806" s="36" t="str"/>
      <x:c r="K806" s="36" t="str"/>
      <x:c r="L806" s="36" t="str">
        <x:v>REPO_VERIFIZIERT_FRAGEFORM</x:v>
      </x:c>
      <x:c r="M806" s="36" t="str">
        <x:v>ERSETZEN</x:v>
      </x:c>
      <x:c r="N806" s="36" t="str">
        <x:v>REPETITIVE_FRAGEFORM</x:v>
      </x:c>
      <x:c r="O806" s="36" t="str">
        <x:v>REINE_WIEDERERKENNUNG</x:v>
      </x:c>
      <x:c r="P806" s="36" t="str">
        <x:v>ZUSAMMENHANG</x:v>
      </x:c>
      <x:c r="Q806" s="36" t="str">
        <x:v>Was befürchtet Paulus bei seinem nächsten Besuch in Korinth?</x:v>
      </x:c>
      <x:c r="R806" s="36" t="str">
        <x:v>Dass die Gemeinde zu friedlich geworden ist.</x:v>
      </x:c>
      <x:c r="S806" s="36" t="str">
        <x:v>Dass niemand mehr Gottesdienst feiert, obwohl alle Konflikte geklärt sind.</x:v>
      </x:c>
      <x:c r="T806" s="36" t="str">
        <x:v>Dass Titus dort zum Apostel gewählt wurde.</x:v>
      </x:c>
      <x:c r="U806" s="36" t="str">
        <x:v>Streit, Eifersucht und andere ungeklärte Sünden könnten noch bestehen und ihn tief beschämen.</x:v>
      </x:c>
      <x:c r="V806" s="36" t="n">
        <x:v>3</x:v>
      </x:c>
      <x:c r="W806" s="36" t="str">
        <x:f>CHOOSE(V806+1,R806,S806,T806,U806)</x:f>
        <x:v>Streit, Eifersucht und andere ungeklärte Sünden könnten noch bestehen und ihn tief beschämen.</x:v>
      </x:c>
      <x:c r="X806" s="36" t="str">
        <x:v>2. Korinther 12,19–21</x:v>
      </x:c>
      <x:c r="Y806" s="36" t="str">
        <x:v>Paulus' Verteidigung seines Dienstes dient der Erbauung; zugleich fürchtet er, ungelöste Sünden und Konflikte vorzufinden.</x:v>
      </x:c>
      <x:c r="Z806" s="36" t="str">
        <x:v>JA</x:v>
      </x:c>
      <x:c r="AA806" s="36" t="str">
        <x:v>JA</x:v>
      </x:c>
      <x:c r="AB806" s="36" t="str">
        <x:v>JA</x:v>
      </x:c>
      <x:c r="AC806" s="36" t="str">
        <x:v>JA</x:v>
      </x:c>
      <x:c r="AD806" s="36" t="str">
        <x:v>JA</x:v>
      </x:c>
      <x:c r="AE806" s="36" t="str">
        <x:v>JA</x:v>
      </x:c>
      <x:c r="AF806" s="36" t="str">
        <x:v>JA</x:v>
      </x:c>
      <x:c r="AG806" s="36" t="str">
        <x:v>FREIGEGEBEN</x:v>
      </x:c>
      <x:c r="AH806" s="36" t="str">
        <x:v>GPT-5.6 Sol · Buchprüfung 2. Korinther · L1912/OTB</x:v>
      </x:c>
      <x:c r="AI806" s="36" t="str">
        <x:v>FREIGEGEBEN</x:v>
      </x:c>
      <x:c r="AJ806" s="36" t="str">
        <x:v>2. Korinther 12: repetitive Wiedererkennungsfrage durch ZUSAMMENHANG-Frage ersetzt.</x:v>
      </x:c>
      <x:c r="AK806" s="36" t="str">
        <x:v>FaithPath repo develop/v4 · data/stories.json · data/bibles/l1912/2CO.json · data/bibles/otb/2CO.json</x:v>
      </x:c>
      <x:c r="AL806" t="str">
        <x:f>IF(AND(AG806="FREIGEGEBEN",AI806="FREIGEGEBEN",Q806&lt;&gt;"",R806&lt;&gt;"",S806&lt;&gt;"",T806&lt;&gt;"",U806&lt;&gt;"",ISNUMBER(V806),X806&lt;&gt;"",Y806&lt;&gt;"",AA806="JA",AB806="JA",AC806="JA",AD806="JA",AE806="JA",AF806="JA"),"JA","NEIN")</x:f>
        <x:v>JA</x:v>
      </x:c>
    </x:row>
    <x:row r="807">
      <x:c r="A807" t="str">
        <x:v>FP-1066</x:v>
      </x:c>
      <x:c r="B807" t="str">
        <x:v>2CO</x:v>
      </x:c>
      <x:c r="C807" t="str">
        <x:v>2. Korinther</x:v>
      </x:c>
      <x:c r="D807" t="n">
        <x:v>13</x:v>
      </x:c>
      <x:c r="E807" t="n">
        <x:v>1</x:v>
      </x:c>
      <x:c r="F807" t="str">
        <x:v>2CO-013</x:v>
      </x:c>
      <x:c r="G807" t="n">
        <x:v>162</x:v>
      </x:c>
      <x:c r="H807" t="str">
        <x:v>CQ-A09</x:v>
      </x:c>
      <x:c r="I807" s="36" t="str">
        <x:v>Welche dieser Aussagen stammt aus 2. Korinther 13?</x:v>
      </x:c>
      <x:c r="J807" s="36" t="str"/>
      <x:c r="K807" s="36" t="str"/>
      <x:c r="L807" s="36" t="str">
        <x:v>REPO_VERIFIZIERT_FRAGEFORM</x:v>
      </x:c>
      <x:c r="M807" s="36" t="str">
        <x:v>ERSETZEN</x:v>
      </x:c>
      <x:c r="N807" s="36" t="str">
        <x:v>REPETITIVE_FRAGEFORM</x:v>
      </x:c>
      <x:c r="O807" s="36" t="str">
        <x:v>REINE_WIEDERERKENNUNG</x:v>
      </x:c>
      <x:c r="P807" s="36" t="str">
        <x:v>ZUSAMMENHANG</x:v>
      </x:c>
      <x:c r="Q807" s="36" t="str">
        <x:v>Welchen Grundsatz nennt Paulus für die Behandlung von Anschuldigungen bei seinem dritten Besuch?</x:v>
      </x:c>
      <x:c r="R807" s="36" t="str">
        <x:v>Eine Sache soll durch die Aussage von zwei oder drei Zeugen bestätigt werden.</x:v>
      </x:c>
      <x:c r="S807" s="36" t="str">
        <x:v>Eine einzige Behauptung genügt immer.</x:v>
      </x:c>
      <x:c r="T807" s="36" t="str">
        <x:v>Nur Paulus darf über Tatsachen entscheiden.</x:v>
      </x:c>
      <x:c r="U807" s="36" t="str">
        <x:v>Zeugen spielen in der Gemeinde keine Rolle.</x:v>
      </x:c>
      <x:c r="V807" s="36" t="n">
        <x:v>0</x:v>
      </x:c>
      <x:c r="W807" s="36" t="str">
        <x:f>CHOOSE(V807+1,R807,S807,T807,U807)</x:f>
        <x:v>Eine Sache soll durch die Aussage von zwei oder drei Zeugen bestätigt werden.</x:v>
      </x:c>
      <x:c r="X807" s="36" t="str">
        <x:v>2. Korinther 13,1–4</x:v>
      </x:c>
      <x:c r="Y807" s="36" t="str">
        <x:v>Paulus greift den biblischen Zeugen-Grundsatz auf und verbindet ihn mit der angekündigten Konsequenz bei seinem Besuch.</x:v>
      </x:c>
      <x:c r="Z807" s="36" t="str">
        <x:v>JA</x:v>
      </x:c>
      <x:c r="AA807" s="36" t="str">
        <x:v>JA</x:v>
      </x:c>
      <x:c r="AB807" s="36" t="str">
        <x:v>JA</x:v>
      </x:c>
      <x:c r="AC807" s="36" t="str">
        <x:v>JA</x:v>
      </x:c>
      <x:c r="AD807" s="36" t="str">
        <x:v>JA</x:v>
      </x:c>
      <x:c r="AE807" s="36" t="str">
        <x:v>JA</x:v>
      </x:c>
      <x:c r="AF807" s="36" t="str">
        <x:v>JA</x:v>
      </x:c>
      <x:c r="AG807" s="36" t="str">
        <x:v>FREIGEGEBEN</x:v>
      </x:c>
      <x:c r="AH807" s="36" t="str">
        <x:v>GPT-5.6 Sol · Buchprüfung 2. Korinther · L1912/OTB</x:v>
      </x:c>
      <x:c r="AI807" s="36" t="str">
        <x:v>FREIGEGEBEN</x:v>
      </x:c>
      <x:c r="AJ807" s="36" t="str">
        <x:v>2. Korinther 13: repetitive Wiedererkennungsfrage durch ZUSAMMENHANG-Frage ersetzt.</x:v>
      </x:c>
      <x:c r="AK807" s="36" t="str">
        <x:v>FaithPath repo develop/v4 · data/stories.json · data/bibles/l1912/2CO.json · data/bibles/otb/2CO.json</x:v>
      </x:c>
      <x:c r="AL807" t="str">
        <x:f>IF(AND(AG807="FREIGEGEBEN",AI807="FREIGEGEBEN",Q807&lt;&gt;"",R807&lt;&gt;"",S807&lt;&gt;"",T807&lt;&gt;"",U807&lt;&gt;"",ISNUMBER(V807),X807&lt;&gt;"",Y807&lt;&gt;"",AA807="JA",AB807="JA",AC807="JA",AD807="JA",AE807="JA",AF807="JA"),"JA","NEIN")</x:f>
        <x:v>JA</x:v>
      </x:c>
    </x:row>
    <x:row r="808">
      <x:c r="A808" t="str">
        <x:v>FP-1067</x:v>
      </x:c>
      <x:c r="B808" t="str">
        <x:v>2CO</x:v>
      </x:c>
      <x:c r="C808" t="str">
        <x:v>2. Korinther</x:v>
      </x:c>
      <x:c r="D808" t="n">
        <x:v>13</x:v>
      </x:c>
      <x:c r="E808" t="n">
        <x:v>2</x:v>
      </x:c>
      <x:c r="F808" t="str">
        <x:v>2CO-013</x:v>
      </x:c>
      <x:c r="G808" t="n">
        <x:v>162</x:v>
      </x:c>
      <x:c r="H808" t="str">
        <x:v>CQ-A09</x:v>
      </x:c>
      <x:c r="I808" s="36" t="str">
        <x:v>Welche dieser Aussagen stammt aus 2. Korinther 13?</x:v>
      </x:c>
      <x:c r="J808" s="36" t="str"/>
      <x:c r="K808" s="36" t="str"/>
      <x:c r="L808" s="36" t="str">
        <x:v>REPO_VERIFIZIERT_FRAGEFORM</x:v>
      </x:c>
      <x:c r="M808" s="36" t="str">
        <x:v>ERSETZEN</x:v>
      </x:c>
      <x:c r="N808" s="36" t="str">
        <x:v>REPETITIVE_FRAGEFORM</x:v>
      </x:c>
      <x:c r="O808" s="36" t="str">
        <x:v>REINE_WIEDERERKENNUNG</x:v>
      </x:c>
      <x:c r="P808" s="36" t="str">
        <x:v>KERNAUSSAGE</x:v>
      </x:c>
      <x:c r="Q808" s="36" t="str">
        <x:v>Wozu fordert Paulus die Korinther ausdrücklich auf?</x:v>
      </x:c>
      <x:c r="R808" s="36" t="str">
        <x:v>Sie sollen zuerst alle anderen prüfen.</x:v>
      </x:c>
      <x:c r="S808" s="36" t="str">
        <x:v>Sie sollen sich selbst prüfen, ob sie im Glauben sind und ob Jesus Christus in ihnen ist.</x:v>
      </x:c>
      <x:c r="T808" s="36" t="str">
        <x:v>Sie sollen ihre eigene geistliche Lage niemals hinterfragen.</x:v>
      </x:c>
      <x:c r="U808" s="36" t="str">
        <x:v>Sie sollen Paulus als einzigen Maßstab nehmen.</x:v>
      </x:c>
      <x:c r="V808" s="36" t="n">
        <x:v>1</x:v>
      </x:c>
      <x:c r="W808" s="36" t="str">
        <x:f>CHOOSE(V808+1,R808,S808,T808,U808)</x:f>
        <x:v>Sie sollen sich selbst prüfen, ob sie im Glauben sind und ob Jesus Christus in ihnen ist.</x:v>
      </x:c>
      <x:c r="X808" s="36" t="str">
        <x:v>2. Korinther 13,5</x:v>
      </x:c>
      <x:c r="Y808" s="36" t="str">
        <x:v>Paulus lenkt die Prüfung weg von seiner Person auf die Selbstprüfung der Gemeinde.</x:v>
      </x:c>
      <x:c r="Z808" s="36" t="str">
        <x:v>JA</x:v>
      </x:c>
      <x:c r="AA808" s="36" t="str">
        <x:v>JA</x:v>
      </x:c>
      <x:c r="AB808" s="36" t="str">
        <x:v>JA</x:v>
      </x:c>
      <x:c r="AC808" s="36" t="str">
        <x:v>JA</x:v>
      </x:c>
      <x:c r="AD808" s="36" t="str">
        <x:v>JA</x:v>
      </x:c>
      <x:c r="AE808" s="36" t="str">
        <x:v>JA</x:v>
      </x:c>
      <x:c r="AF808" s="36" t="str">
        <x:v>JA</x:v>
      </x:c>
      <x:c r="AG808" s="36" t="str">
        <x:v>FREIGEGEBEN</x:v>
      </x:c>
      <x:c r="AH808" s="36" t="str">
        <x:v>GPT-5.6 Sol · Buchprüfung 2. Korinther · L1912/OTB</x:v>
      </x:c>
      <x:c r="AI808" s="36" t="str">
        <x:v>FREIGEGEBEN</x:v>
      </x:c>
      <x:c r="AJ808" s="36" t="str">
        <x:v>2. Korinther 13: repetitive Wiedererkennungsfrage durch KERNAUSSAGE-Frage ersetzt.</x:v>
      </x:c>
      <x:c r="AK808" s="36" t="str">
        <x:v>FaithPath repo develop/v4 · data/stories.json · data/bibles/l1912/2CO.json · data/bibles/otb/2CO.json</x:v>
      </x:c>
      <x:c r="AL808" t="str">
        <x:f>IF(AND(AG808="FREIGEGEBEN",AI808="FREIGEGEBEN",Q808&lt;&gt;"",R808&lt;&gt;"",S808&lt;&gt;"",T808&lt;&gt;"",U808&lt;&gt;"",ISNUMBER(V808),X808&lt;&gt;"",Y808&lt;&gt;"",AA808="JA",AB808="JA",AC808="JA",AD808="JA",AE808="JA",AF808="JA"),"JA","NEIN")</x:f>
        <x:v>JA</x:v>
      </x:c>
    </x:row>
    <x:row r="809">
      <x:c r="A809" t="str">
        <x:v>FP-1068</x:v>
      </x:c>
      <x:c r="B809" t="str">
        <x:v>2CO</x:v>
      </x:c>
      <x:c r="C809" t="str">
        <x:v>2. Korinther</x:v>
      </x:c>
      <x:c r="D809" t="n">
        <x:v>13</x:v>
      </x:c>
      <x:c r="E809" t="n">
        <x:v>3</x:v>
      </x:c>
      <x:c r="F809" t="str">
        <x:v>2CO-013</x:v>
      </x:c>
      <x:c r="G809" t="n">
        <x:v>162</x:v>
      </x:c>
      <x:c r="H809" t="str">
        <x:v>CQ-A09</x:v>
      </x:c>
      <x:c r="I809" s="36" t="str">
        <x:v>Welche dieser Aussagen stammt aus 2. Korinther 13?</x:v>
      </x:c>
      <x:c r="J809" s="36" t="str"/>
      <x:c r="K809" s="36" t="str"/>
      <x:c r="L809" s="36" t="str">
        <x:v>REPO_VERIFIZIERT_FRAGEFORM</x:v>
      </x:c>
      <x:c r="M809" s="36" t="str">
        <x:v>ERSETZEN</x:v>
      </x:c>
      <x:c r="N809" s="36" t="str">
        <x:v>REPETITIVE_FRAGEFORM</x:v>
      </x:c>
      <x:c r="O809" s="36" t="str">
        <x:v>REINE_WIEDERERKENNUNG</x:v>
      </x:c>
      <x:c r="P809" s="36" t="str">
        <x:v>KERNAUSSAGE</x:v>
      </x:c>
      <x:c r="Q809" s="36" t="str">
        <x:v>Wozu gebraucht Paulus nach eigener Aussage die ihm gegebene Autorität?</x:v>
      </x:c>
      <x:c r="R809" s="36" t="str">
        <x:v>Zur persönlichen Machtdemonstration.</x:v>
      </x:c>
      <x:c r="S809" s="36" t="str">
        <x:v>Um jede Kritik zu verhindern.</x:v>
      </x:c>
      <x:c r="T809" s="36" t="str">
        <x:v>Zur Erbauung und nicht zur Zerstörung der Gemeinde.</x:v>
      </x:c>
      <x:c r="U809" s="36" t="str">
        <x:v>Um die Gemeinde finanziell zu kontrollieren.</x:v>
      </x:c>
      <x:c r="V809" s="36" t="n">
        <x:v>2</x:v>
      </x:c>
      <x:c r="W809" s="36" t="str">
        <x:f>CHOOSE(V809+1,R809,S809,T809,U809)</x:f>
        <x:v>Zur Erbauung und nicht zur Zerstörung der Gemeinde.</x:v>
      </x:c>
      <x:c r="X809" s="36" t="str">
        <x:v>2. Korinther 13,7–10</x:v>
      </x:c>
      <x:c r="Y809" s="36" t="str">
        <x:v>Paulus wünscht sich, dass strenge Maßnahmen unnötig werden, und beschreibt Autorität als Werkzeug zum Aufbau.</x:v>
      </x:c>
      <x:c r="Z809" s="36" t="str">
        <x:v>JA</x:v>
      </x:c>
      <x:c r="AA809" s="36" t="str">
        <x:v>JA</x:v>
      </x:c>
      <x:c r="AB809" s="36" t="str">
        <x:v>JA</x:v>
      </x:c>
      <x:c r="AC809" s="36" t="str">
        <x:v>JA</x:v>
      </x:c>
      <x:c r="AD809" s="36" t="str">
        <x:v>JA</x:v>
      </x:c>
      <x:c r="AE809" s="36" t="str">
        <x:v>JA</x:v>
      </x:c>
      <x:c r="AF809" s="36" t="str">
        <x:v>JA</x:v>
      </x:c>
      <x:c r="AG809" s="36" t="str">
        <x:v>FREIGEGEBEN</x:v>
      </x:c>
      <x:c r="AH809" s="36" t="str">
        <x:v>GPT-5.6 Sol · Buchprüfung 2. Korinther · L1912/OTB</x:v>
      </x:c>
      <x:c r="AI809" s="36" t="str">
        <x:v>FREIGEGEBEN</x:v>
      </x:c>
      <x:c r="AJ809" s="36" t="str">
        <x:v>2. Korinther 13: repetitive Wiedererkennungsfrage durch KERNAUSSAGE-Frage ersetzt.</x:v>
      </x:c>
      <x:c r="AK809" s="36" t="str">
        <x:v>FaithPath repo develop/v4 · data/stories.json · data/bibles/l1912/2CO.json · data/bibles/otb/2CO.json</x:v>
      </x:c>
      <x:c r="AL809" t="str">
        <x:f>IF(AND(AG809="FREIGEGEBEN",AI809="FREIGEGEBEN",Q809&lt;&gt;"",R809&lt;&gt;"",S809&lt;&gt;"",T809&lt;&gt;"",U809&lt;&gt;"",ISNUMBER(V809),X809&lt;&gt;"",Y809&lt;&gt;"",AA809="JA",AB809="JA",AC809="JA",AD809="JA",AE809="JA",AF809="JA"),"JA","NEIN")</x:f>
        <x:v>JA</x:v>
      </x:c>
    </x:row>
    <x:row r="810">
      <x:c r="A810" t="str">
        <x:v>FP-1069</x:v>
      </x:c>
      <x:c r="B810" t="str">
        <x:v>2CO</x:v>
      </x:c>
      <x:c r="C810" t="str">
        <x:v>2. Korinther</x:v>
      </x:c>
      <x:c r="D810" t="n">
        <x:v>13</x:v>
      </x:c>
      <x:c r="E810" t="n">
        <x:v>4</x:v>
      </x:c>
      <x:c r="F810" t="str">
        <x:v>2CO-013</x:v>
      </x:c>
      <x:c r="G810" t="n">
        <x:v>162</x:v>
      </x:c>
      <x:c r="H810" t="str">
        <x:v>CQ-A09</x:v>
      </x:c>
      <x:c r="I810" s="36" t="str">
        <x:v>Welche dieser Aussagen stammt aus 2. Korinther 13?</x:v>
      </x:c>
      <x:c r="J810" s="36" t="str"/>
      <x:c r="K810" s="36" t="str"/>
      <x:c r="L810" s="36" t="str">
        <x:v>REPO_VERIFIZIERT_FRAGEFORM</x:v>
      </x:c>
      <x:c r="M810" s="36" t="str">
        <x:v>ERSETZEN</x:v>
      </x:c>
      <x:c r="N810" s="36" t="str">
        <x:v>REPETITIVE_FRAGEFORM</x:v>
      </x:c>
      <x:c r="O810" s="36" t="str">
        <x:v>REINE_WIEDERERKENNUNG</x:v>
      </x:c>
      <x:c r="P810" s="36" t="str">
        <x:v>KERNAUSSAGE</x:v>
      </x:c>
      <x:c r="Q810" s="36" t="str">
        <x:v>Welche abschließenden Aufforderungen gibt Paulus der Gemeinde?</x:v>
      </x:c>
      <x:c r="R810" s="36" t="str">
        <x:v>Jede Verbindung zu anderen Gemeinden abzubrechen.</x:v>
      </x:c>
      <x:c r="S810" s="36" t="str">
        <x:v>Nur noch schriftlich miteinander zu sprechen.</x:v>
      </x:c>
      <x:c r="T810" s="36" t="str">
        <x:v>Alle unterschiedlichen Meinungen öffentlich auszutragen.</x:v>
      </x:c>
      <x:c r="U810" s="36" t="str">
        <x:v>Sich zu freuen, nach Wiederherstellung zu streben, sich ermutigen zu lassen, eines Sinnes zu sein und in Frieden zu leben.</x:v>
      </x:c>
      <x:c r="V810" s="36" t="n">
        <x:v>3</x:v>
      </x:c>
      <x:c r="W810" s="36" t="str">
        <x:f>CHOOSE(V810+1,R810,S810,T810,U810)</x:f>
        <x:v>Sich zu freuen, nach Wiederherstellung zu streben, sich ermutigen zu lassen, eines Sinnes zu sein und in Frieden zu leben.</x:v>
      </x:c>
      <x:c r="X810" s="36" t="str">
        <x:v>2. Korinther 13,11</x:v>
      </x:c>
      <x:c r="Y810" s="36" t="str">
        <x:v>Paulus beendet den Brief mit einem Bündel von Aufforderungen zu Reife, Trost, Einheit und Frieden.</x:v>
      </x:c>
      <x:c r="Z810" s="36" t="str">
        <x:v>JA</x:v>
      </x:c>
      <x:c r="AA810" s="36" t="str">
        <x:v>JA</x:v>
      </x:c>
      <x:c r="AB810" s="36" t="str">
        <x:v>JA</x:v>
      </x:c>
      <x:c r="AC810" s="36" t="str">
        <x:v>JA</x:v>
      </x:c>
      <x:c r="AD810" s="36" t="str">
        <x:v>JA</x:v>
      </x:c>
      <x:c r="AE810" s="36" t="str">
        <x:v>JA</x:v>
      </x:c>
      <x:c r="AF810" s="36" t="str">
        <x:v>JA</x:v>
      </x:c>
      <x:c r="AG810" s="36" t="str">
        <x:v>FREIGEGEBEN</x:v>
      </x:c>
      <x:c r="AH810" s="36" t="str">
        <x:v>GPT-5.6 Sol · Buchprüfung 2. Korinther · L1912/OTB</x:v>
      </x:c>
      <x:c r="AI810" s="36" t="str">
        <x:v>FREIGEGEBEN</x:v>
      </x:c>
      <x:c r="AJ810" s="36" t="str">
        <x:v>2. Korinther 13: repetitive Wiedererkennungsfrage durch KERNAUSSAGE-Frage ersetzt.</x:v>
      </x:c>
      <x:c r="AK810" s="36" t="str">
        <x:v>FaithPath repo develop/v4 · data/stories.json · data/bibles/l1912/2CO.json · data/bibles/otb/2CO.json</x:v>
      </x:c>
      <x:c r="AL810" t="str">
        <x:f>IF(AND(AG810="FREIGEGEBEN",AI810="FREIGEGEBEN",Q810&lt;&gt;"",R810&lt;&gt;"",S810&lt;&gt;"",T810&lt;&gt;"",U810&lt;&gt;"",ISNUMBER(V810),X810&lt;&gt;"",Y810&lt;&gt;"",AA810="JA",AB810="JA",AC810="JA",AD810="JA",AE810="JA",AF810="JA"),"JA","NEIN")</x:f>
        <x:v>JA</x:v>
      </x:c>
    </x:row>
    <x:row r="811">
      <x:c r="A811" t="str">
        <x:v>FP-1070</x:v>
      </x:c>
      <x:c r="B811" t="str">
        <x:v>2CO</x:v>
      </x:c>
      <x:c r="C811" t="str">
        <x:v>2. Korinther</x:v>
      </x:c>
      <x:c r="D811" t="n">
        <x:v>13</x:v>
      </x:c>
      <x:c r="E811" t="n">
        <x:v>5</x:v>
      </x:c>
      <x:c r="F811" t="str">
        <x:v>2CO-013</x:v>
      </x:c>
      <x:c r="G811" t="n">
        <x:v>162</x:v>
      </x:c>
      <x:c r="H811" t="str">
        <x:v>CQ-A09</x:v>
      </x:c>
      <x:c r="I811" s="36" t="str">
        <x:v>Welche dieser Aussagen stammt aus 2. Korinther 13?</x:v>
      </x:c>
      <x:c r="J811" s="36" t="str"/>
      <x:c r="K811" s="36" t="str"/>
      <x:c r="L811" s="36" t="str">
        <x:v>REPO_VERIFIZIERT_FRAGEFORM</x:v>
      </x:c>
      <x:c r="M811" s="36" t="str">
        <x:v>ERSETZEN</x:v>
      </x:c>
      <x:c r="N811" s="36" t="str">
        <x:v>REPETITIVE_FRAGEFORM</x:v>
      </x:c>
      <x:c r="O811" s="36" t="str">
        <x:v>REINE_WIEDERERKENNUNG</x:v>
      </x:c>
      <x:c r="P811" s="36" t="str">
        <x:v>GESCHEHEN</x:v>
      </x:c>
      <x:c r="Q811" s="36" t="str">
        <x:v>Welche gemeinschaftliche Geste nennt Paulus in den Schlussgrüßen?</x:v>
      </x:c>
      <x:c r="R811" s="36" t="str">
        <x:v>Die Glaubenden sollen einander mit einem heiligen Kuss grüßen, und alle Heiligen senden Grüße.</x:v>
      </x:c>
      <x:c r="S811" s="36" t="str">
        <x:v>Jeder soll schweigend den Raum verlassen.</x:v>
      </x:c>
      <x:c r="T811" s="36" t="str">
        <x:v>Nur die Leiter dürfen einander grüßen.</x:v>
      </x:c>
      <x:c r="U811" s="36" t="str">
        <x:v>Die Gemeinde soll keine Grüße an andere Christen senden.</x:v>
      </x:c>
      <x:c r="V811" s="36" t="n">
        <x:v>0</x:v>
      </x:c>
      <x:c r="W811" s="36" t="str">
        <x:f>CHOOSE(V811+1,R811,S811,T811,U811)</x:f>
        <x:v>Die Glaubenden sollen einander mit einem heiligen Kuss grüßen, und alle Heiligen senden Grüße.</x:v>
      </x:c>
      <x:c r="X811" s="36" t="str">
        <x:v>2. Korinther 13,12–13</x:v>
      </x:c>
      <x:c r="Y811" s="36" t="str">
        <x:v>Der Brief endet mit einem konkreten Zeichen geschwisterlicher Gemeinschaft und Grüßen der weiteren Glaubensgemeinschaft.</x:v>
      </x:c>
      <x:c r="Z811" s="36" t="str">
        <x:v>JA</x:v>
      </x:c>
      <x:c r="AA811" s="36" t="str">
        <x:v>JA</x:v>
      </x:c>
      <x:c r="AB811" s="36" t="str">
        <x:v>JA</x:v>
      </x:c>
      <x:c r="AC811" s="36" t="str">
        <x:v>JA</x:v>
      </x:c>
      <x:c r="AD811" s="36" t="str">
        <x:v>JA</x:v>
      </x:c>
      <x:c r="AE811" s="36" t="str">
        <x:v>JA</x:v>
      </x:c>
      <x:c r="AF811" s="36" t="str">
        <x:v>JA</x:v>
      </x:c>
      <x:c r="AG811" s="36" t="str">
        <x:v>FREIGEGEBEN</x:v>
      </x:c>
      <x:c r="AH811" s="36" t="str">
        <x:v>GPT-5.6 Sol · Buchprüfung 2. Korinther · L1912/OTB</x:v>
      </x:c>
      <x:c r="AI811" s="36" t="str">
        <x:v>FREIGEGEBEN</x:v>
      </x:c>
      <x:c r="AJ811" s="36" t="str">
        <x:v>2. Korinther 13: repetitive Wiedererkennungsfrage durch GESCHEHEN-Frage ersetzt.</x:v>
      </x:c>
      <x:c r="AK811" s="36" t="str">
        <x:v>FaithPath repo develop/v4 · data/stories.json · data/bibles/l1912/2CO.json · data/bibles/otb/2CO.json</x:v>
      </x:c>
      <x:c r="AL811" t="str">
        <x:f>IF(AND(AG811="FREIGEGEBEN",AI811="FREIGEGEBEN",Q811&lt;&gt;"",R811&lt;&gt;"",S811&lt;&gt;"",T811&lt;&gt;"",U811&lt;&gt;"",ISNUMBER(V811),X811&lt;&gt;"",Y811&lt;&gt;"",AA811="JA",AB811="JA",AC811="JA",AD811="JA",AE811="JA",AF811="JA"),"JA","NEIN")</x:f>
        <x:v>JA</x:v>
      </x:c>
    </x:row>
    <x:row r="812">
      <x:c r="A812" t="str">
        <x:v>FP-1071</x:v>
      </x:c>
      <x:c r="B812" t="str">
        <x:v>GAL</x:v>
      </x:c>
      <x:c r="C812" t="str">
        <x:v>Galater</x:v>
      </x:c>
      <x:c r="D812" t="n">
        <x:v>1</x:v>
      </x:c>
      <x:c r="E812" t="n">
        <x:v>1</x:v>
      </x:c>
      <x:c r="F812" t="str">
        <x:v>GAL-001</x:v>
      </x:c>
      <x:c r="G812" t="n">
        <x:v>163</x:v>
      </x:c>
      <x:c r="H812" t="str">
        <x:v>CQ-A09</x:v>
      </x:c>
      <x:c r="I812" s="36" t="str">
        <x:v>Bestandsfrage Galater 1: repetitive Kapitel-Erkennungsfrage</x:v>
      </x:c>
      <x:c r="J812" s="36"/>
      <x:c r="K812" s="36"/>
      <x:c r="L812" s="36" t="str">
        <x:v>MASTER_STATUS_VERIFIZIERT</x:v>
      </x:c>
      <x:c r="M812" s="36" t="str">
        <x:v>ERSETZEN</x:v>
      </x:c>
      <x:c r="N812" s="36" t="str">
        <x:v>REPETITIVE_FRAGEFORM</x:v>
      </x:c>
      <x:c r="O812" s="36" t="str">
        <x:v>REINE_WIEDERERKENNUNG</x:v>
      </x:c>
      <x:c r="P812" s="36" t="str">
        <x:v>KERNAUSSAGE</x:v>
      </x:c>
      <x:c r="Q812" s="36" t="str">
        <x:v>Worüber wundert sich Paulus zu Beginn des Galaterbriefs?</x:v>
      </x:c>
      <x:c r="R812" s="36" t="str">
        <x:v>Dass die Gemeinden sich so schnell einem anderen Evangelium zuwenden.</x:v>
      </x:c>
      <x:c r="S812" s="36" t="str">
        <x:v>Dass die Gemeinden keine Apostel nach Jerusalem schicken.</x:v>
      </x:c>
      <x:c r="T812" s="36" t="str">
        <x:v>Dass die Gemeinden das Passahfest nicht gemeinsam feiern.</x:v>
      </x:c>
      <x:c r="U812" s="36" t="str">
        <x:v>Dass die Gemeinden keine neuen Synagogen bauen.</x:v>
      </x:c>
      <x:c r="V812" s="36" t="n">
        <x:v>0</x:v>
      </x:c>
      <x:c r="W812" s="36" t="str">
        <x:v>Dass die Gemeinden sich so schnell einem anderen Evangelium zuwenden.</x:v>
      </x:c>
      <x:c r="X812" s="36" t="str">
        <x:v>Galater 1,6–9</x:v>
      </x:c>
      <x:c r="Y812" s="36" t="str">
        <x:v>Paulus reagiert scharf darauf, dass sich die Galater von der Gnade Christi abwenden und einer veränderten Botschaft folgen. Für ihn gibt es kein gleichwertiges „anderes Evangelium“.</x:v>
      </x:c>
      <x:c r="Z812" s="36" t="str">
        <x:v>JA</x:v>
      </x:c>
      <x:c r="AA812" s="36" t="str">
        <x:v>JA</x:v>
      </x:c>
      <x:c r="AB812" s="36" t="str">
        <x:v>JA</x:v>
      </x:c>
      <x:c r="AC812" s="36" t="str">
        <x:v>JA</x:v>
      </x:c>
      <x:c r="AD812" s="36" t="str">
        <x:v>JA</x:v>
      </x:c>
      <x:c r="AE812" s="36" t="str">
        <x:v>JA</x:v>
      </x:c>
      <x:c r="AF812" s="36" t="str">
        <x:v>JA</x:v>
      </x:c>
      <x:c r="AG812" s="36" t="str">
        <x:v>FREIGEGEBEN</x:v>
      </x:c>
      <x:c r="AH812" s="36" t="str">
        <x:v>GPT-5.6 Sol · Buchprüfung Galater · L1912/OTB</x:v>
      </x:c>
      <x:c r="AI812" s="36" t="str">
        <x:v>FREIGEGEBEN</x:v>
      </x:c>
      <x:c r="AJ812" s="36" t="str">
        <x:v>Galater 1: repetitive Kapitel-Erkennungsfrage durch hochwertige KERNAUSSAGE-Frage ersetzt.</x:v>
      </x:c>
      <x:c r="AK812" s="36" t="str">
        <x:v>FaithPath repo develop/v4 · data/bibles/l1912/GAL.json · data/bibles/otb/GAL.json</x:v>
      </x:c>
      <x:c r="AL812" t="str">
        <x:v>JA</x:v>
      </x:c>
    </x:row>
    <x:row r="813">
      <x:c r="A813" t="str">
        <x:v>FP-1072</x:v>
      </x:c>
      <x:c r="B813" t="str">
        <x:v>GAL</x:v>
      </x:c>
      <x:c r="C813" t="str">
        <x:v>Galater</x:v>
      </x:c>
      <x:c r="D813" t="n">
        <x:v>1</x:v>
      </x:c>
      <x:c r="E813" t="n">
        <x:v>2</x:v>
      </x:c>
      <x:c r="F813" t="str">
        <x:v>GAL-001</x:v>
      </x:c>
      <x:c r="G813" t="n">
        <x:v>163</x:v>
      </x:c>
      <x:c r="H813" t="str">
        <x:v>CQ-A09</x:v>
      </x:c>
      <x:c r="I813" s="36" t="str">
        <x:v>Bestandsfrage Galater 1: repetitive Kapitel-Erkennungsfrage</x:v>
      </x:c>
      <x:c r="J813" s="36"/>
      <x:c r="K813" s="36"/>
      <x:c r="L813" s="36" t="str">
        <x:v>MASTER_STATUS_VERIFIZIERT</x:v>
      </x:c>
      <x:c r="M813" s="36" t="str">
        <x:v>ERSETZEN</x:v>
      </x:c>
      <x:c r="N813" s="36" t="str">
        <x:v>REPETITIVE_FRAGEFORM</x:v>
      </x:c>
      <x:c r="O813" s="36" t="str">
        <x:v>REINE_WIEDERERKENNUNG</x:v>
      </x:c>
      <x:c r="P813" s="36" t="str">
        <x:v>QUELLE</x:v>
      </x:c>
      <x:c r="Q813" s="36" t="str">
        <x:v>Woher stammt das Evangelium, das Paulus nach eigener Aussage verkündigt?</x:v>
      </x:c>
      <x:c r="R813" s="36" t="str">
        <x:v>Von den Aposteln in Jerusalem.</x:v>
      </x:c>
      <x:c r="S813" s="36" t="str">
        <x:v>Aus einer Offenbarung Jesu Christi.</x:v>
      </x:c>
      <x:c r="T813" s="36" t="str">
        <x:v>Aus den Überlieferungen seiner Vorfahren.</x:v>
      </x:c>
      <x:c r="U813" s="36" t="str">
        <x:v>Von den Gemeinden in Judäa.</x:v>
      </x:c>
      <x:c r="V813" s="36" t="n">
        <x:v>1</x:v>
      </x:c>
      <x:c r="W813" s="36" t="str">
        <x:v>Aus einer Offenbarung Jesu Christi.</x:v>
      </x:c>
      <x:c r="X813" s="36" t="str">
        <x:v>Galater 1,11–12</x:v>
      </x:c>
      <x:c r="Y813" s="36" t="str">
        <x:v>Paulus betont, dass seine Botschaft nicht menschlichen Ursprungs ist und nicht von Menschen gelehrt wurde, sondern durch die Offenbarung Jesu Christi kam.</x:v>
      </x:c>
      <x:c r="Z813" s="36" t="str">
        <x:v>JA</x:v>
      </x:c>
      <x:c r="AA813" s="36" t="str">
        <x:v>JA</x:v>
      </x:c>
      <x:c r="AB813" s="36" t="str">
        <x:v>JA</x:v>
      </x:c>
      <x:c r="AC813" s="36" t="str">
        <x:v>JA</x:v>
      </x:c>
      <x:c r="AD813" s="36" t="str">
        <x:v>JA</x:v>
      </x:c>
      <x:c r="AE813" s="36" t="str">
        <x:v>JA</x:v>
      </x:c>
      <x:c r="AF813" s="36" t="str">
        <x:v>JA</x:v>
      </x:c>
      <x:c r="AG813" s="36" t="str">
        <x:v>FREIGEGEBEN</x:v>
      </x:c>
      <x:c r="AH813" s="36" t="str">
        <x:v>GPT-5.6 Sol · Buchprüfung Galater · L1912/OTB</x:v>
      </x:c>
      <x:c r="AI813" s="36" t="str">
        <x:v>FREIGEGEBEN</x:v>
      </x:c>
      <x:c r="AJ813" s="36" t="str">
        <x:v>Galater 1: repetitive Kapitel-Erkennungsfrage durch hochwertige QUELLE-Frage ersetzt.</x:v>
      </x:c>
      <x:c r="AK813" s="36" t="str">
        <x:v>FaithPath repo develop/v4 · data/bibles/l1912/GAL.json · data/bibles/otb/GAL.json</x:v>
      </x:c>
      <x:c r="AL813" t="str">
        <x:v>JA</x:v>
      </x:c>
    </x:row>
    <x:row r="814">
      <x:c r="A814" t="str">
        <x:v>FP-1073</x:v>
      </x:c>
      <x:c r="B814" t="str">
        <x:v>GAL</x:v>
      </x:c>
      <x:c r="C814" t="str">
        <x:v>Galater</x:v>
      </x:c>
      <x:c r="D814" t="n">
        <x:v>1</x:v>
      </x:c>
      <x:c r="E814" t="n">
        <x:v>3</x:v>
      </x:c>
      <x:c r="F814" t="str">
        <x:v>GAL-001</x:v>
      </x:c>
      <x:c r="G814" t="n">
        <x:v>163</x:v>
      </x:c>
      <x:c r="H814" t="str">
        <x:v>CQ-A09</x:v>
      </x:c>
      <x:c r="I814" s="36" t="str">
        <x:v>Bestandsfrage Galater 1: repetitive Kapitel-Erkennungsfrage</x:v>
      </x:c>
      <x:c r="J814" s="36"/>
      <x:c r="K814" s="36"/>
      <x:c r="L814" s="36" t="str">
        <x:v>MASTER_STATUS_VERIFIZIERT</x:v>
      </x:c>
      <x:c r="M814" s="36" t="str">
        <x:v>ERSETZEN</x:v>
      </x:c>
      <x:c r="N814" s="36" t="str">
        <x:v>REPETITIVE_FRAGEFORM</x:v>
      </x:c>
      <x:c r="O814" s="36" t="str">
        <x:v>REINE_WIEDERERKENNUNG</x:v>
      </x:c>
      <x:c r="P814" s="36" t="str">
        <x:v>MOTIVATION</x:v>
      </x:c>
      <x:c r="Q814" s="36" t="str">
        <x:v>Warum kann Paulus nach Galater 1 nicht einfach danach streben, Menschen zu gefallen?</x:v>
      </x:c>
      <x:c r="R814" s="36" t="str">
        <x:v>Weil er sonst Jerusalem verlassen müsste.</x:v>
      </x:c>
      <x:c r="S814" s="36" t="str">
        <x:v>Weil er dann das Gesetz nicht mehr kennen würde.</x:v>
      </x:c>
      <x:c r="T814" s="36" t="str">
        <x:v>Weil er dann kein Diener Christi wäre.</x:v>
      </x:c>
      <x:c r="U814" s="36" t="str">
        <x:v>Weil er dann nicht mehr zu den Heiden reisen dürfte.</x:v>
      </x:c>
      <x:c r="V814" s="36" t="n">
        <x:v>2</x:v>
      </x:c>
      <x:c r="W814" s="36" t="str">
        <x:v>Weil er dann kein Diener Christi wäre.</x:v>
      </x:c>
      <x:c r="X814" s="36" t="str">
        <x:v>Galater 1,10</x:v>
      </x:c>
      <x:c r="Y814" s="36" t="str">
        <x:v>Paulus stellt den Dienst für Christus dem Streben nach menschlicher Zustimmung gegenüber. Seine Loyalität soll nicht von Anerkennung durch Menschen abhängen.</x:v>
      </x:c>
      <x:c r="Z814" s="36" t="str">
        <x:v>JA</x:v>
      </x:c>
      <x:c r="AA814" s="36" t="str">
        <x:v>JA</x:v>
      </x:c>
      <x:c r="AB814" s="36" t="str">
        <x:v>JA</x:v>
      </x:c>
      <x:c r="AC814" s="36" t="str">
        <x:v>JA</x:v>
      </x:c>
      <x:c r="AD814" s="36" t="str">
        <x:v>JA</x:v>
      </x:c>
      <x:c r="AE814" s="36" t="str">
        <x:v>JA</x:v>
      </x:c>
      <x:c r="AF814" s="36" t="str">
        <x:v>JA</x:v>
      </x:c>
      <x:c r="AG814" s="36" t="str">
        <x:v>FREIGEGEBEN</x:v>
      </x:c>
      <x:c r="AH814" s="36" t="str">
        <x:v>GPT-5.6 Sol · Buchprüfung Galater · L1912/OTB</x:v>
      </x:c>
      <x:c r="AI814" s="36" t="str">
        <x:v>FREIGEGEBEN</x:v>
      </x:c>
      <x:c r="AJ814" s="36" t="str">
        <x:v>Galater 1: repetitive Kapitel-Erkennungsfrage durch hochwertige MOTIVATION-Frage ersetzt.</x:v>
      </x:c>
      <x:c r="AK814" s="36" t="str">
        <x:v>FaithPath repo develop/v4 · data/bibles/l1912/GAL.json · data/bibles/otb/GAL.json</x:v>
      </x:c>
      <x:c r="AL814" t="str">
        <x:v>JA</x:v>
      </x:c>
    </x:row>
    <x:row r="815">
      <x:c r="A815" t="str">
        <x:v>FP-1074</x:v>
      </x:c>
      <x:c r="B815" t="str">
        <x:v>GAL</x:v>
      </x:c>
      <x:c r="C815" t="str">
        <x:v>Galater</x:v>
      </x:c>
      <x:c r="D815" t="n">
        <x:v>1</x:v>
      </x:c>
      <x:c r="E815" t="n">
        <x:v>4</x:v>
      </x:c>
      <x:c r="F815" t="str">
        <x:v>GAL-001</x:v>
      </x:c>
      <x:c r="G815" t="n">
        <x:v>163</x:v>
      </x:c>
      <x:c r="H815" t="str">
        <x:v>CQ-A09</x:v>
      </x:c>
      <x:c r="I815" s="36" t="str">
        <x:v>Bestandsfrage Galater 1: repetitive Kapitel-Erkennungsfrage</x:v>
      </x:c>
      <x:c r="J815" s="36"/>
      <x:c r="K815" s="36"/>
      <x:c r="L815" s="36" t="str">
        <x:v>MASTER_STATUS_VERIFIZIERT</x:v>
      </x:c>
      <x:c r="M815" s="36" t="str">
        <x:v>ERSETZEN</x:v>
      </x:c>
      <x:c r="N815" s="36" t="str">
        <x:v>REPETITIVE_FRAGEFORM</x:v>
      </x:c>
      <x:c r="O815" s="36" t="str">
        <x:v>REINE_WIEDERERKENNUNG</x:v>
      </x:c>
      <x:c r="P815" s="36" t="str">
        <x:v>ENTWICKLUNG</x:v>
      </x:c>
      <x:c r="Q815" s="36" t="str">
        <x:v>Welche Veränderung an Paulus führte dazu, dass die Gemeinden in Judäa Gott priesen?</x:v>
      </x:c>
      <x:c r="R815" s="36" t="str">
        <x:v>Paulus wurde Hohepriester in Jerusalem.</x:v>
      </x:c>
      <x:c r="S815" s="36" t="str">
        <x:v>Paulus hörte vollständig auf, unter den Heiden zu predigen.</x:v>
      </x:c>
      <x:c r="T815" s="36" t="str">
        <x:v>Paulus gründete in Judäa eine neue politische Bewegung.</x:v>
      </x:c>
      <x:c r="U815" s="36" t="str">
        <x:v>Der frühere Verfolger verkündigte nun den Glauben, den er zuvor zerstören wollte.</x:v>
      </x:c>
      <x:c r="V815" s="36" t="n">
        <x:v>3</x:v>
      </x:c>
      <x:c r="W815" s="36" t="str">
        <x:v>Der frühere Verfolger verkündigte nun den Glauben, den er zuvor zerstören wollte.</x:v>
      </x:c>
      <x:c r="X815" s="36" t="str">
        <x:v>Galater 1,22–24</x:v>
      </x:c>
      <x:c r="Y815" s="36" t="str">
        <x:v>Die Gemeinden kannten Paulus zunächst nicht persönlich, hörten aber von seiner radikalen Umkehr: Aus dem Verfolger war ein Verkündiger des Glaubens geworden.</x:v>
      </x:c>
      <x:c r="Z815" s="36" t="str">
        <x:v>JA</x:v>
      </x:c>
      <x:c r="AA815" s="36" t="str">
        <x:v>JA</x:v>
      </x:c>
      <x:c r="AB815" s="36" t="str">
        <x:v>JA</x:v>
      </x:c>
      <x:c r="AC815" s="36" t="str">
        <x:v>JA</x:v>
      </x:c>
      <x:c r="AD815" s="36" t="str">
        <x:v>JA</x:v>
      </x:c>
      <x:c r="AE815" s="36" t="str">
        <x:v>JA</x:v>
      </x:c>
      <x:c r="AF815" s="36" t="str">
        <x:v>JA</x:v>
      </x:c>
      <x:c r="AG815" s="36" t="str">
        <x:v>FREIGEGEBEN</x:v>
      </x:c>
      <x:c r="AH815" s="36" t="str">
        <x:v>GPT-5.6 Sol · Buchprüfung Galater · L1912/OTB</x:v>
      </x:c>
      <x:c r="AI815" s="36" t="str">
        <x:v>FREIGEGEBEN</x:v>
      </x:c>
      <x:c r="AJ815" s="36" t="str">
        <x:v>Galater 1: repetitive Kapitel-Erkennungsfrage durch hochwertige ENTWICKLUNG-Frage ersetzt.</x:v>
      </x:c>
      <x:c r="AK815" s="36" t="str">
        <x:v>FaithPath repo develop/v4 · data/bibles/l1912/GAL.json · data/bibles/otb/GAL.json</x:v>
      </x:c>
      <x:c r="AL815" t="str">
        <x:v>JA</x:v>
      </x:c>
    </x:row>
    <x:row r="816">
      <x:c r="A816" t="str">
        <x:v>FP-1075</x:v>
      </x:c>
      <x:c r="B816" t="str">
        <x:v>GAL</x:v>
      </x:c>
      <x:c r="C816" t="str">
        <x:v>Galater</x:v>
      </x:c>
      <x:c r="D816" t="n">
        <x:v>1</x:v>
      </x:c>
      <x:c r="E816" t="n">
        <x:v>5</x:v>
      </x:c>
      <x:c r="F816" t="str">
        <x:v>GAL-001</x:v>
      </x:c>
      <x:c r="G816" t="n">
        <x:v>163</x:v>
      </x:c>
      <x:c r="H816" t="str">
        <x:v>CQ-A09</x:v>
      </x:c>
      <x:c r="I816" s="36" t="str">
        <x:v>Bestandsfrage Galater 1: repetitive Kapitel-Erkennungsfrage</x:v>
      </x:c>
      <x:c r="J816" s="36"/>
      <x:c r="K816" s="36"/>
      <x:c r="L816" s="36" t="str">
        <x:v>MASTER_STATUS_VERIFIZIERT</x:v>
      </x:c>
      <x:c r="M816" s="36" t="str">
        <x:v>ERSETZEN</x:v>
      </x:c>
      <x:c r="N816" s="36" t="str">
        <x:v>REPETITIVE_FRAGEFORM</x:v>
      </x:c>
      <x:c r="O816" s="36" t="str">
        <x:v>REINE_WIEDERERKENNUNG</x:v>
      </x:c>
      <x:c r="P816" s="36" t="str">
        <x:v>DETAIL</x:v>
      </x:c>
      <x:c r="Q816" s="36" t="str">
        <x:v>Wen traf Paulus bei seinem ersten beschriebenen Besuch in Jerusalem?</x:v>
      </x:c>
      <x:c r="R816" s="36" t="str">
        <x:v>Petrus/Kephas und Jakobus, den Bruder des Herrn.</x:v>
      </x:c>
      <x:c r="S816" s="36" t="str">
        <x:v>Nur Johannes und Barnabas.</x:v>
      </x:c>
      <x:c r="T816" s="36" t="str">
        <x:v>Alle zwölf Apostel gemeinsam.</x:v>
      </x:c>
      <x:c r="U816" s="36" t="str">
        <x:v>Titus und Timotheus.</x:v>
      </x:c>
      <x:c r="V816" s="36" t="n">
        <x:v>0</x:v>
      </x:c>
      <x:c r="W816" s="36" t="str">
        <x:v>Petrus/Kephas und Jakobus, den Bruder des Herrn.</x:v>
      </x:c>
      <x:c r="X816" s="36" t="str">
        <x:v>Galater 1,18–19</x:v>
      </x:c>
      <x:c r="Y816" s="36" t="str">
        <x:v>Drei Jahre später ging Paulus nach Jerusalem, blieb fünfzehn Tage bei Petrus/Kephas und sah von den anderen Aposteln nur Jakobus, den Bruder des Herrn.</x:v>
      </x:c>
      <x:c r="Z816" s="36" t="str">
        <x:v>JA</x:v>
      </x:c>
      <x:c r="AA816" s="36" t="str">
        <x:v>JA</x:v>
      </x:c>
      <x:c r="AB816" s="36" t="str">
        <x:v>JA</x:v>
      </x:c>
      <x:c r="AC816" s="36" t="str">
        <x:v>JA</x:v>
      </x:c>
      <x:c r="AD816" s="36" t="str">
        <x:v>JA</x:v>
      </x:c>
      <x:c r="AE816" s="36" t="str">
        <x:v>JA</x:v>
      </x:c>
      <x:c r="AF816" s="36" t="str">
        <x:v>JA</x:v>
      </x:c>
      <x:c r="AG816" s="36" t="str">
        <x:v>FREIGEGEBEN</x:v>
      </x:c>
      <x:c r="AH816" s="36" t="str">
        <x:v>GPT-5.6 Sol · Buchprüfung Galater · L1912/OTB</x:v>
      </x:c>
      <x:c r="AI816" s="36" t="str">
        <x:v>FREIGEGEBEN</x:v>
      </x:c>
      <x:c r="AJ816" s="36" t="str">
        <x:v>Galater 1: repetitive Kapitel-Erkennungsfrage durch hochwertige DETAIL-Frage ersetzt.</x:v>
      </x:c>
      <x:c r="AK816" s="36" t="str">
        <x:v>FaithPath repo develop/v4 · data/bibles/l1912/GAL.json · data/bibles/otb/GAL.json</x:v>
      </x:c>
      <x:c r="AL816" t="str">
        <x:v>JA</x:v>
      </x:c>
    </x:row>
    <x:row r="817">
      <x:c r="A817" t="str">
        <x:v>FP-1076</x:v>
      </x:c>
      <x:c r="B817" t="str">
        <x:v>GAL</x:v>
      </x:c>
      <x:c r="C817" t="str">
        <x:v>Galater</x:v>
      </x:c>
      <x:c r="D817" t="n">
        <x:v>2</x:v>
      </x:c>
      <x:c r="E817" t="n">
        <x:v>1</x:v>
      </x:c>
      <x:c r="F817" t="str">
        <x:v>GAL-002</x:v>
      </x:c>
      <x:c r="G817" t="n">
        <x:v>164</x:v>
      </x:c>
      <x:c r="H817" t="str">
        <x:v>CQ-A09</x:v>
      </x:c>
      <x:c r="I817" s="36" t="str">
        <x:v>Bestandsfrage Galater 2: repetitive Kapitel-Erkennungsfrage</x:v>
      </x:c>
      <x:c r="J817" s="36"/>
      <x:c r="K817" s="36"/>
      <x:c r="L817" s="36" t="str">
        <x:v>MASTER_STATUS_VERIFIZIERT</x:v>
      </x:c>
      <x:c r="M817" s="36" t="str">
        <x:v>ERSETZEN</x:v>
      </x:c>
      <x:c r="N817" s="36" t="str">
        <x:v>REPETITIVE_FRAGEFORM</x:v>
      </x:c>
      <x:c r="O817" s="36" t="str">
        <x:v>REINE_WIEDERERKENNUNG</x:v>
      </x:c>
      <x:c r="P817" s="36" t="str">
        <x:v>GESCHEHEN</x:v>
      </x:c>
      <x:c r="Q817" s="36" t="str">
        <x:v>Was geschah mit Titus bei Paulus' Besuch in Jerusalem?</x:v>
      </x:c>
      <x:c r="R817" s="36" t="str">
        <x:v>Er wurde zum Apostel für die Juden eingesetzt.</x:v>
      </x:c>
      <x:c r="S817" s="36" t="str">
        <x:v>Er wurde trotz seiner griechischen Herkunft nicht zur Beschneidung gezwungen.</x:v>
      </x:c>
      <x:c r="T817" s="36" t="str">
        <x:v>Er verließ Paulus und schloss sich Petrus an.</x:v>
      </x:c>
      <x:c r="U817" s="36" t="str">
        <x:v>Er wurde beauftragt, ausschließlich in Judäa zu bleiben.</x:v>
      </x:c>
      <x:c r="V817" s="36" t="n">
        <x:v>1</x:v>
      </x:c>
      <x:c r="W817" s="36" t="str">
        <x:v>Er wurde trotz seiner griechischen Herkunft nicht zur Beschneidung gezwungen.</x:v>
      </x:c>
      <x:c r="X817" s="36" t="str">
        <x:v>Galater 2,1–5</x:v>
      </x:c>
      <x:c r="Y817" s="36" t="str">
        <x:v>Titus war Grieche. Dass er nicht zur Beschneidung gezwungen wurde, unterstreicht für Paulus die Freiheit des Evangeliums gegenüber den Forderungen der eingeschlichenen Gegner.</x:v>
      </x:c>
      <x:c r="Z817" s="36" t="str">
        <x:v>JA</x:v>
      </x:c>
      <x:c r="AA817" s="36" t="str">
        <x:v>JA</x:v>
      </x:c>
      <x:c r="AB817" s="36" t="str">
        <x:v>JA</x:v>
      </x:c>
      <x:c r="AC817" s="36" t="str">
        <x:v>JA</x:v>
      </x:c>
      <x:c r="AD817" s="36" t="str">
        <x:v>JA</x:v>
      </x:c>
      <x:c r="AE817" s="36" t="str">
        <x:v>JA</x:v>
      </x:c>
      <x:c r="AF817" s="36" t="str">
        <x:v>JA</x:v>
      </x:c>
      <x:c r="AG817" s="36" t="str">
        <x:v>FREIGEGEBEN</x:v>
      </x:c>
      <x:c r="AH817" s="36" t="str">
        <x:v>GPT-5.6 Sol · Buchprüfung Galater · L1912/OTB</x:v>
      </x:c>
      <x:c r="AI817" s="36" t="str">
        <x:v>FREIGEGEBEN</x:v>
      </x:c>
      <x:c r="AJ817" s="36" t="str">
        <x:v>Galater 2: repetitive Kapitel-Erkennungsfrage durch hochwertige GESCHEHEN-Frage ersetzt.</x:v>
      </x:c>
      <x:c r="AK817" s="36" t="str">
        <x:v>FaithPath repo develop/v4 · data/bibles/l1912/GAL.json · data/bibles/otb/GAL.json</x:v>
      </x:c>
      <x:c r="AL817" t="str">
        <x:v>JA</x:v>
      </x:c>
    </x:row>
    <x:row r="818">
      <x:c r="A818" t="str">
        <x:v>FP-1077</x:v>
      </x:c>
      <x:c r="B818" t="str">
        <x:v>GAL</x:v>
      </x:c>
      <x:c r="C818" t="str">
        <x:v>Galater</x:v>
      </x:c>
      <x:c r="D818" t="n">
        <x:v>2</x:v>
      </x:c>
      <x:c r="E818" t="n">
        <x:v>2</x:v>
      </x:c>
      <x:c r="F818" t="str">
        <x:v>GAL-002</x:v>
      </x:c>
      <x:c r="G818" t="n">
        <x:v>164</x:v>
      </x:c>
      <x:c r="H818" t="str">
        <x:v>CQ-A09</x:v>
      </x:c>
      <x:c r="I818" s="36" t="str">
        <x:v>Bestandsfrage Galater 2: repetitive Kapitel-Erkennungsfrage</x:v>
      </x:c>
      <x:c r="J818" s="36"/>
      <x:c r="K818" s="36"/>
      <x:c r="L818" s="36" t="str">
        <x:v>MASTER_STATUS_VERIFIZIERT</x:v>
      </x:c>
      <x:c r="M818" s="36" t="str">
        <x:v>ERSETZEN</x:v>
      </x:c>
      <x:c r="N818" s="36" t="str">
        <x:v>REPETITIVE_FRAGEFORM</x:v>
      </x:c>
      <x:c r="O818" s="36" t="str">
        <x:v>REINE_WIEDERERKENNUNG</x:v>
      </x:c>
      <x:c r="P818" s="36" t="str">
        <x:v>ZUSAMMENHANG</x:v>
      </x:c>
      <x:c r="Q818" s="36" t="str">
        <x:v>Welche Aufgabenverteilung erkannten Jakobus, Kephas und Johannes an?</x:v>
      </x:c>
      <x:c r="R818" s="36" t="str">
        <x:v>Paulus sollte nur in Jerusalem bleiben, Petrus dagegen nach Rom gehen.</x:v>
      </x:c>
      <x:c r="S818" s="36" t="str">
        <x:v>Alle sollten ausschließlich unter den Heiden arbeiten.</x:v>
      </x:c>
      <x:c r="T818" s="36" t="str">
        <x:v>Paulus und Barnabas sollten zu den Heiden gehen, sie selbst vor allem zu den Beschnittenen.</x:v>
      </x:c>
      <x:c r="U818" s="36" t="str">
        <x:v>Paulus sollte keine Gemeinden mehr gründen.</x:v>
      </x:c>
      <x:c r="V818" s="36" t="n">
        <x:v>2</x:v>
      </x:c>
      <x:c r="W818" s="36" t="str">
        <x:v>Paulus und Barnabas sollten zu den Heiden gehen, sie selbst vor allem zu den Beschnittenen.</x:v>
      </x:c>
      <x:c r="X818" s="36" t="str">
        <x:v>Galater 2,7–10</x:v>
      </x:c>
      <x:c r="Y818" s="36" t="str">
        <x:v>Die führenden Apostel erkannten Paulus' Auftrag unter den Heiden an und gaben ihm und Barnabas die rechte Hand der Gemeinschaft. Als gemeinsame Verpflichtung wird besonders das Gedenken an die Armen genannt.</x:v>
      </x:c>
      <x:c r="Z818" s="36" t="str">
        <x:v>JA</x:v>
      </x:c>
      <x:c r="AA818" s="36" t="str">
        <x:v>JA</x:v>
      </x:c>
      <x:c r="AB818" s="36" t="str">
        <x:v>JA</x:v>
      </x:c>
      <x:c r="AC818" s="36" t="str">
        <x:v>JA</x:v>
      </x:c>
      <x:c r="AD818" s="36" t="str">
        <x:v>JA</x:v>
      </x:c>
      <x:c r="AE818" s="36" t="str">
        <x:v>JA</x:v>
      </x:c>
      <x:c r="AF818" s="36" t="str">
        <x:v>JA</x:v>
      </x:c>
      <x:c r="AG818" s="36" t="str">
        <x:v>FREIGEGEBEN</x:v>
      </x:c>
      <x:c r="AH818" s="36" t="str">
        <x:v>GPT-5.6 Sol · Buchprüfung Galater · L1912/OTB</x:v>
      </x:c>
      <x:c r="AI818" s="36" t="str">
        <x:v>FREIGEGEBEN</x:v>
      </x:c>
      <x:c r="AJ818" s="36" t="str">
        <x:v>Galater 2: repetitive Kapitel-Erkennungsfrage durch hochwertige ZUSAMMENHANG-Frage ersetzt.</x:v>
      </x:c>
      <x:c r="AK818" s="36" t="str">
        <x:v>FaithPath repo develop/v4 · data/bibles/l1912/GAL.json · data/bibles/otb/GAL.json</x:v>
      </x:c>
      <x:c r="AL818" t="str">
        <x:v>JA</x:v>
      </x:c>
    </x:row>
    <x:row r="819">
      <x:c r="A819" t="str">
        <x:v>FP-1078</x:v>
      </x:c>
      <x:c r="B819" t="str">
        <x:v>GAL</x:v>
      </x:c>
      <x:c r="C819" t="str">
        <x:v>Galater</x:v>
      </x:c>
      <x:c r="D819" t="n">
        <x:v>2</x:v>
      </x:c>
      <x:c r="E819" t="n">
        <x:v>3</x:v>
      </x:c>
      <x:c r="F819" t="str">
        <x:v>GAL-002</x:v>
      </x:c>
      <x:c r="G819" t="n">
        <x:v>164</x:v>
      </x:c>
      <x:c r="H819" t="str">
        <x:v>CQ-A09</x:v>
      </x:c>
      <x:c r="I819" s="36" t="str">
        <x:v>Bestandsfrage Galater 2: repetitive Kapitel-Erkennungsfrage</x:v>
      </x:c>
      <x:c r="J819" s="36"/>
      <x:c r="K819" s="36"/>
      <x:c r="L819" s="36" t="str">
        <x:v>MASTER_STATUS_VERIFIZIERT</x:v>
      </x:c>
      <x:c r="M819" s="36" t="str">
        <x:v>ERSETZEN</x:v>
      </x:c>
      <x:c r="N819" s="36" t="str">
        <x:v>REPETITIVE_FRAGEFORM</x:v>
      </x:c>
      <x:c r="O819" s="36" t="str">
        <x:v>REINE_WIEDERERKENNUNG</x:v>
      </x:c>
      <x:c r="P819" s="36" t="str">
        <x:v>KONFLIKT</x:v>
      </x:c>
      <x:c r="Q819" s="36" t="str">
        <x:v>Warum widersprach Paulus Kephas/Petrus öffentlich in Antiochia?</x:v>
      </x:c>
      <x:c r="R819" s="36" t="str">
        <x:v>Weil Petrus keine Armen unterstützen wollte.</x:v>
      </x:c>
      <x:c r="S819" s="36" t="str">
        <x:v>Weil Petrus Paulus die Reise nach Jerusalem verboten hatte.</x:v>
      </x:c>
      <x:c r="T819" s="36" t="str">
        <x:v>Weil Petrus Titus taufen wollte.</x:v>
      </x:c>
      <x:c r="U819" s="36" t="str">
        <x:v>Weil Petrus sich aus Angst vor der Beschneidungsgruppe von den Heiden zurückzog.</x:v>
      </x:c>
      <x:c r="V819" s="36" t="n">
        <x:v>3</x:v>
      </x:c>
      <x:c r="W819" s="36" t="str">
        <x:v>Weil Petrus sich aus Angst vor der Beschneidungsgruppe von den Heiden zurückzog.</x:v>
      </x:c>
      <x:c r="X819" s="36" t="str">
        <x:v>Galater 2,11–14</x:v>
      </x:c>
      <x:c r="Y819" s="36" t="str">
        <x:v>Petrus hatte zuvor mit Heiden gegessen, zog sich aber zurück, als bestimmte Leute kamen. Paulus sah darin ein Verhalten, das nicht der Wahrheit des Evangeliums entsprach.</x:v>
      </x:c>
      <x:c r="Z819" s="36" t="str">
        <x:v>JA</x:v>
      </x:c>
      <x:c r="AA819" s="36" t="str">
        <x:v>JA</x:v>
      </x:c>
      <x:c r="AB819" s="36" t="str">
        <x:v>JA</x:v>
      </x:c>
      <x:c r="AC819" s="36" t="str">
        <x:v>JA</x:v>
      </x:c>
      <x:c r="AD819" s="36" t="str">
        <x:v>JA</x:v>
      </x:c>
      <x:c r="AE819" s="36" t="str">
        <x:v>JA</x:v>
      </x:c>
      <x:c r="AF819" s="36" t="str">
        <x:v>JA</x:v>
      </x:c>
      <x:c r="AG819" s="36" t="str">
        <x:v>FREIGEGEBEN</x:v>
      </x:c>
      <x:c r="AH819" s="36" t="str">
        <x:v>GPT-5.6 Sol · Buchprüfung Galater · L1912/OTB</x:v>
      </x:c>
      <x:c r="AI819" s="36" t="str">
        <x:v>FREIGEGEBEN</x:v>
      </x:c>
      <x:c r="AJ819" s="36" t="str">
        <x:v>Galater 2: repetitive Kapitel-Erkennungsfrage durch hochwertige KONFLIKT-Frage ersetzt.</x:v>
      </x:c>
      <x:c r="AK819" s="36" t="str">
        <x:v>FaithPath repo develop/v4 · data/bibles/l1912/GAL.json · data/bibles/otb/GAL.json</x:v>
      </x:c>
      <x:c r="AL819" t="str">
        <x:v>JA</x:v>
      </x:c>
    </x:row>
    <x:row r="820">
      <x:c r="A820" t="str">
        <x:v>FP-1079</x:v>
      </x:c>
      <x:c r="B820" t="str">
        <x:v>GAL</x:v>
      </x:c>
      <x:c r="C820" t="str">
        <x:v>Galater</x:v>
      </x:c>
      <x:c r="D820" t="n">
        <x:v>2</x:v>
      </x:c>
      <x:c r="E820" t="n">
        <x:v>4</x:v>
      </x:c>
      <x:c r="F820" t="str">
        <x:v>GAL-002</x:v>
      </x:c>
      <x:c r="G820" t="n">
        <x:v>164</x:v>
      </x:c>
      <x:c r="H820" t="str">
        <x:v>CQ-A09</x:v>
      </x:c>
      <x:c r="I820" s="36" t="str">
        <x:v>Bestandsfrage Galater 2: repetitive Kapitel-Erkennungsfrage</x:v>
      </x:c>
      <x:c r="J820" s="36"/>
      <x:c r="K820" s="36"/>
      <x:c r="L820" s="36" t="str">
        <x:v>MASTER_STATUS_VERIFIZIERT</x:v>
      </x:c>
      <x:c r="M820" s="36" t="str">
        <x:v>ERSETZEN</x:v>
      </x:c>
      <x:c r="N820" s="36" t="str">
        <x:v>REPETITIVE_FRAGEFORM</x:v>
      </x:c>
      <x:c r="O820" s="36" t="str">
        <x:v>REINE_WIEDERERKENNUNG</x:v>
      </x:c>
      <x:c r="P820" s="36" t="str">
        <x:v>KERNAUSSAGE</x:v>
      </x:c>
      <x:c r="Q820" s="36" t="str">
        <x:v>Wodurch wird ein Mensch nach Galater 2 gerechtfertigt?</x:v>
      </x:c>
      <x:c r="R820" s="36" t="str">
        <x:v>Durch den Glauben an Jesus Christus, nicht durch Werke des Gesetzes.</x:v>
      </x:c>
      <x:c r="S820" s="36" t="str">
        <x:v>Durch Werke des Gesetzes allein.</x:v>
      </x:c>
      <x:c r="T820" s="36" t="str">
        <x:v>Durch gesellschaftliches Ansehen.</x:v>
      </x:c>
      <x:c r="U820" s="36" t="str">
        <x:v>Durch Abstammung von Abraham ohne Glauben.</x:v>
      </x:c>
      <x:c r="V820" s="36" t="n">
        <x:v>0</x:v>
      </x:c>
      <x:c r="W820" s="36" t="str">
        <x:v>Durch den Glauben an Jesus Christus, nicht durch Werke des Gesetzes.</x:v>
      </x:c>
      <x:c r="X820" s="36" t="str">
        <x:v>Galater 2,15–16</x:v>
      </x:c>
      <x:c r="Y820" s="36" t="str">
        <x:v>Paulus stellt die Rechtfertigung durch den Glauben an Christus der Rechtfertigung durch Werke des Gesetzes gegenüber und erklärt, dass durch Gesetzeswerke niemand gerechtfertigt wird.</x:v>
      </x:c>
      <x:c r="Z820" s="36" t="str">
        <x:v>JA</x:v>
      </x:c>
      <x:c r="AA820" s="36" t="str">
        <x:v>JA</x:v>
      </x:c>
      <x:c r="AB820" s="36" t="str">
        <x:v>JA</x:v>
      </x:c>
      <x:c r="AC820" s="36" t="str">
        <x:v>JA</x:v>
      </x:c>
      <x:c r="AD820" s="36" t="str">
        <x:v>JA</x:v>
      </x:c>
      <x:c r="AE820" s="36" t="str">
        <x:v>JA</x:v>
      </x:c>
      <x:c r="AF820" s="36" t="str">
        <x:v>JA</x:v>
      </x:c>
      <x:c r="AG820" s="36" t="str">
        <x:v>FREIGEGEBEN</x:v>
      </x:c>
      <x:c r="AH820" s="36" t="str">
        <x:v>GPT-5.6 Sol · Buchprüfung Galater · L1912/OTB</x:v>
      </x:c>
      <x:c r="AI820" s="36" t="str">
        <x:v>FREIGEGEBEN</x:v>
      </x:c>
      <x:c r="AJ820" s="36" t="str">
        <x:v>Galater 2: repetitive Kapitel-Erkennungsfrage durch hochwertige KERNAUSSAGE-Frage ersetzt.</x:v>
      </x:c>
      <x:c r="AK820" s="36" t="str">
        <x:v>FaithPath repo develop/v4 · data/bibles/l1912/GAL.json · data/bibles/otb/GAL.json</x:v>
      </x:c>
      <x:c r="AL820" t="str">
        <x:v>JA</x:v>
      </x:c>
    </x:row>
    <x:row r="821">
      <x:c r="A821" t="str">
        <x:v>FP-1080</x:v>
      </x:c>
      <x:c r="B821" t="str">
        <x:v>GAL</x:v>
      </x:c>
      <x:c r="C821" t="str">
        <x:v>Galater</x:v>
      </x:c>
      <x:c r="D821" t="n">
        <x:v>2</x:v>
      </x:c>
      <x:c r="E821" t="n">
        <x:v>5</x:v>
      </x:c>
      <x:c r="F821" t="str">
        <x:v>GAL-002</x:v>
      </x:c>
      <x:c r="G821" t="n">
        <x:v>164</x:v>
      </x:c>
      <x:c r="H821" t="str">
        <x:v>CQ-A09</x:v>
      </x:c>
      <x:c r="I821" s="36" t="str">
        <x:v>Bestandsfrage Galater 2: repetitive Kapitel-Erkennungsfrage</x:v>
      </x:c>
      <x:c r="J821" s="36"/>
      <x:c r="K821" s="36"/>
      <x:c r="L821" s="36" t="str">
        <x:v>MASTER_STATUS_VERIFIZIERT</x:v>
      </x:c>
      <x:c r="M821" s="36" t="str">
        <x:v>ERSETZEN</x:v>
      </x:c>
      <x:c r="N821" s="36" t="str">
        <x:v>REPETITIVE_FRAGEFORM</x:v>
      </x:c>
      <x:c r="O821" s="36" t="str">
        <x:v>REINE_WIEDERERKENNUNG</x:v>
      </x:c>
      <x:c r="P821" s="36" t="str">
        <x:v>VERSTÄNDNIS</x:v>
      </x:c>
      <x:c r="Q821" s="36" t="str">
        <x:v>Wie beschreibt Paulus sein neues Leben in Galater 2?</x:v>
      </x:c>
      <x:c r="R821" s="36" t="str">
        <x:v>Er lebt unabhängig von Christus aus eigener Kraft.</x:v>
      </x:c>
      <x:c r="S821" s="36" t="str">
        <x:v>Christus lebt in ihm, und er lebt im Glauben an den Sohn Gottes.</x:v>
      </x:c>
      <x:c r="T821" s="36" t="str">
        <x:v>Er lebt nur noch nach den religiösen Traditionen seiner Vorfahren.</x:v>
      </x:c>
      <x:c r="U821" s="36" t="str">
        <x:v>Er betrachtet das Kreuz Christi als überflüssig.</x:v>
      </x:c>
      <x:c r="V821" s="36" t="n">
        <x:v>1</x:v>
      </x:c>
      <x:c r="W821" s="36" t="str">
        <x:v>Christus lebt in ihm, und er lebt im Glauben an den Sohn Gottes.</x:v>
      </x:c>
      <x:c r="X821" s="36" t="str">
        <x:v>Galater 2,19–21</x:v>
      </x:c>
      <x:c r="Y821" s="36" t="str">
        <x:v>Paulus beschreibt sein Leben als mit Christus gekreuzigt. Sein gegenwärtiges Leben steht unter dem Glauben an den Sohn Gottes, der ihn geliebt und sich für ihn hingegeben hat.</x:v>
      </x:c>
      <x:c r="Z821" s="36" t="str">
        <x:v>JA</x:v>
      </x:c>
      <x:c r="AA821" s="36" t="str">
        <x:v>JA</x:v>
      </x:c>
      <x:c r="AB821" s="36" t="str">
        <x:v>JA</x:v>
      </x:c>
      <x:c r="AC821" s="36" t="str">
        <x:v>JA</x:v>
      </x:c>
      <x:c r="AD821" s="36" t="str">
        <x:v>JA</x:v>
      </x:c>
      <x:c r="AE821" s="36" t="str">
        <x:v>JA</x:v>
      </x:c>
      <x:c r="AF821" s="36" t="str">
        <x:v>JA</x:v>
      </x:c>
      <x:c r="AG821" s="36" t="str">
        <x:v>FREIGEGEBEN</x:v>
      </x:c>
      <x:c r="AH821" s="36" t="str">
        <x:v>GPT-5.6 Sol · Buchprüfung Galater · L1912/OTB</x:v>
      </x:c>
      <x:c r="AI821" s="36" t="str">
        <x:v>FREIGEGEBEN</x:v>
      </x:c>
      <x:c r="AJ821" s="36" t="str">
        <x:v>Galater 2: repetitive Kapitel-Erkennungsfrage durch hochwertige VERSTÄNDNIS-Frage ersetzt.</x:v>
      </x:c>
      <x:c r="AK821" s="36" t="str">
        <x:v>FaithPath repo develop/v4 · data/bibles/l1912/GAL.json · data/bibles/otb/GAL.json</x:v>
      </x:c>
      <x:c r="AL821" t="str">
        <x:v>JA</x:v>
      </x:c>
    </x:row>
    <x:row r="822">
      <x:c r="A822" t="str">
        <x:v>FP-1081</x:v>
      </x:c>
      <x:c r="B822" t="str">
        <x:v>GAL</x:v>
      </x:c>
      <x:c r="C822" t="str">
        <x:v>Galater</x:v>
      </x:c>
      <x:c r="D822" t="n">
        <x:v>3</x:v>
      </x:c>
      <x:c r="E822" t="n">
        <x:v>1</x:v>
      </x:c>
      <x:c r="F822" t="str">
        <x:v>GAL-003</x:v>
      </x:c>
      <x:c r="G822" t="n">
        <x:v>165</x:v>
      </x:c>
      <x:c r="H822" t="str">
        <x:v>CQ-A09</x:v>
      </x:c>
      <x:c r="I822" s="36" t="str">
        <x:v>Bestandsfrage Galater 3: repetitive Kapitel-Erkennungsfrage</x:v>
      </x:c>
      <x:c r="J822" s="36"/>
      <x:c r="K822" s="36"/>
      <x:c r="L822" s="36" t="str">
        <x:v>MASTER_STATUS_VERIFIZIERT</x:v>
      </x:c>
      <x:c r="M822" s="36" t="str">
        <x:v>ERSETZEN</x:v>
      </x:c>
      <x:c r="N822" s="36" t="str">
        <x:v>REPETITIVE_FRAGEFORM</x:v>
      </x:c>
      <x:c r="O822" s="36" t="str">
        <x:v>REINE_WIEDERERKENNUNG</x:v>
      </x:c>
      <x:c r="P822" s="36" t="str">
        <x:v>KERNAUSSAGE</x:v>
      </x:c>
      <x:c r="Q822" s="36" t="str">
        <x:v>Wie hatten die Galater nach Paulus den Geist empfangen?</x:v>
      </x:c>
      <x:c r="R822" s="36" t="str">
        <x:v>Durch Werke des Gesetzes.</x:v>
      </x:c>
      <x:c r="S822" s="36" t="str">
        <x:v>Durch ihre jüdische Abstammung.</x:v>
      </x:c>
      <x:c r="T822" s="36" t="str">
        <x:v>Durch das Hören der Botschaft im Glauben.</x:v>
      </x:c>
      <x:c r="U822" s="36" t="str">
        <x:v>Durch das Einhalten bestimmter Festtage.</x:v>
      </x:c>
      <x:c r="V822" s="36" t="n">
        <x:v>2</x:v>
      </x:c>
      <x:c r="W822" s="36" t="str">
        <x:v>Durch das Hören der Botschaft im Glauben.</x:v>
      </x:c>
      <x:c r="X822" s="36" t="str">
        <x:v>Galater 3,1–5</x:v>
      </x:c>
      <x:c r="Y822" s="36" t="str">
        <x:v>Paulus erinnert die Galater daran, dass ihr Beginn im Glauben und im Geist lag. Damit widerspricht er der Vorstellung, die Vollendung müsse nun durch Gesetzeswerke kommen.</x:v>
      </x:c>
      <x:c r="Z822" s="36" t="str">
        <x:v>JA</x:v>
      </x:c>
      <x:c r="AA822" s="36" t="str">
        <x:v>JA</x:v>
      </x:c>
      <x:c r="AB822" s="36" t="str">
        <x:v>JA</x:v>
      </x:c>
      <x:c r="AC822" s="36" t="str">
        <x:v>JA</x:v>
      </x:c>
      <x:c r="AD822" s="36" t="str">
        <x:v>JA</x:v>
      </x:c>
      <x:c r="AE822" s="36" t="str">
        <x:v>JA</x:v>
      </x:c>
      <x:c r="AF822" s="36" t="str">
        <x:v>JA</x:v>
      </x:c>
      <x:c r="AG822" s="36" t="str">
        <x:v>FREIGEGEBEN</x:v>
      </x:c>
      <x:c r="AH822" s="36" t="str">
        <x:v>GPT-5.6 Sol · Buchprüfung Galater · L1912/OTB</x:v>
      </x:c>
      <x:c r="AI822" s="36" t="str">
        <x:v>FREIGEGEBEN</x:v>
      </x:c>
      <x:c r="AJ822" s="36" t="str">
        <x:v>Galater 3: repetitive Kapitel-Erkennungsfrage durch hochwertige KERNAUSSAGE-Frage ersetzt.</x:v>
      </x:c>
      <x:c r="AK822" s="36" t="str">
        <x:v>FaithPath repo develop/v4 · data/bibles/l1912/GAL.json · data/bibles/otb/GAL.json</x:v>
      </x:c>
      <x:c r="AL822" t="str">
        <x:v>JA</x:v>
      </x:c>
    </x:row>
    <x:row r="823">
      <x:c r="A823" t="str">
        <x:v>FP-1082</x:v>
      </x:c>
      <x:c r="B823" t="str">
        <x:v>GAL</x:v>
      </x:c>
      <x:c r="C823" t="str">
        <x:v>Galater</x:v>
      </x:c>
      <x:c r="D823" t="n">
        <x:v>3</x:v>
      </x:c>
      <x:c r="E823" t="n">
        <x:v>2</x:v>
      </x:c>
      <x:c r="F823" t="str">
        <x:v>GAL-003</x:v>
      </x:c>
      <x:c r="G823" t="n">
        <x:v>165</x:v>
      </x:c>
      <x:c r="H823" t="str">
        <x:v>CQ-A09</x:v>
      </x:c>
      <x:c r="I823" s="36" t="str">
        <x:v>Bestandsfrage Galater 3: repetitive Kapitel-Erkennungsfrage</x:v>
      </x:c>
      <x:c r="J823" s="36"/>
      <x:c r="K823" s="36"/>
      <x:c r="L823" s="36" t="str">
        <x:v>MASTER_STATUS_VERIFIZIERT</x:v>
      </x:c>
      <x:c r="M823" s="36" t="str">
        <x:v>ERSETZEN</x:v>
      </x:c>
      <x:c r="N823" s="36" t="str">
        <x:v>REPETITIVE_FRAGEFORM</x:v>
      </x:c>
      <x:c r="O823" s="36" t="str">
        <x:v>REINE_WIEDERERKENNUNG</x:v>
      </x:c>
      <x:c r="P823" s="36" t="str">
        <x:v>BEISPIEL</x:v>
      </x:c>
      <x:c r="Q823" s="36" t="str">
        <x:v>Warum führt Paulus Abraham als Beispiel an?</x:v>
      </x:c>
      <x:c r="R823" s="36" t="str">
        <x:v>Weil Abraham durch militärische Erfolge gerecht wurde.</x:v>
      </x:c>
      <x:c r="S823" s="36" t="str">
        <x:v>Weil Abraham das mosaische Gesetz vollständig schriftlich besaß.</x:v>
      </x:c>
      <x:c r="T823" s="36" t="str">
        <x:v>Weil Abraham nur für Israel und nicht für die Völker Bedeutung hatte.</x:v>
      </x:c>
      <x:c r="U823" s="36" t="str">
        <x:v>Weil Abraham Gott glaubte und ihm das als Gerechtigkeit angerechnet wurde.</x:v>
      </x:c>
      <x:c r="V823" s="36" t="n">
        <x:v>3</x:v>
      </x:c>
      <x:c r="W823" s="36" t="str">
        <x:v>Weil Abraham Gott glaubte und ihm das als Gerechtigkeit angerechnet wurde.</x:v>
      </x:c>
      <x:c r="X823" s="36" t="str">
        <x:v>Galater 3,6–9</x:v>
      </x:c>
      <x:c r="Y823" s="36" t="str">
        <x:v>Paulus verbindet Abraham mit dem Glauben und folgert daraus, dass Menschen des Glaubens zu Abrahams Kindern gehören und am zugesagten Segen teilhaben.</x:v>
      </x:c>
      <x:c r="Z823" s="36" t="str">
        <x:v>JA</x:v>
      </x:c>
      <x:c r="AA823" s="36" t="str">
        <x:v>JA</x:v>
      </x:c>
      <x:c r="AB823" s="36" t="str">
        <x:v>JA</x:v>
      </x:c>
      <x:c r="AC823" s="36" t="str">
        <x:v>JA</x:v>
      </x:c>
      <x:c r="AD823" s="36" t="str">
        <x:v>JA</x:v>
      </x:c>
      <x:c r="AE823" s="36" t="str">
        <x:v>JA</x:v>
      </x:c>
      <x:c r="AF823" s="36" t="str">
        <x:v>JA</x:v>
      </x:c>
      <x:c r="AG823" s="36" t="str">
        <x:v>FREIGEGEBEN</x:v>
      </x:c>
      <x:c r="AH823" s="36" t="str">
        <x:v>GPT-5.6 Sol · Buchprüfung Galater · L1912/OTB</x:v>
      </x:c>
      <x:c r="AI823" s="36" t="str">
        <x:v>FREIGEGEBEN</x:v>
      </x:c>
      <x:c r="AJ823" s="36" t="str">
        <x:v>Galater 3: repetitive Kapitel-Erkennungsfrage durch hochwertige BEISPIEL-Frage ersetzt.</x:v>
      </x:c>
      <x:c r="AK823" s="36" t="str">
        <x:v>FaithPath repo develop/v4 · data/bibles/l1912/GAL.json · data/bibles/otb/GAL.json</x:v>
      </x:c>
      <x:c r="AL823" t="str">
        <x:v>JA</x:v>
      </x:c>
    </x:row>
    <x:row r="824">
      <x:c r="A824" t="str">
        <x:v>FP-1083</x:v>
      </x:c>
      <x:c r="B824" t="str">
        <x:v>GAL</x:v>
      </x:c>
      <x:c r="C824" t="str">
        <x:v>Galater</x:v>
      </x:c>
      <x:c r="D824" t="n">
        <x:v>3</x:v>
      </x:c>
      <x:c r="E824" t="n">
        <x:v>3</x:v>
      </x:c>
      <x:c r="F824" t="str">
        <x:v>GAL-003</x:v>
      </x:c>
      <x:c r="G824" t="n">
        <x:v>165</x:v>
      </x:c>
      <x:c r="H824" t="str">
        <x:v>CQ-A09</x:v>
      </x:c>
      <x:c r="I824" s="36" t="str">
        <x:v>Bestandsfrage Galater 3: repetitive Kapitel-Erkennungsfrage</x:v>
      </x:c>
      <x:c r="J824" s="36"/>
      <x:c r="K824" s="36"/>
      <x:c r="L824" s="36" t="str">
        <x:v>MASTER_STATUS_VERIFIZIERT</x:v>
      </x:c>
      <x:c r="M824" s="36" t="str">
        <x:v>ERSETZEN</x:v>
      </x:c>
      <x:c r="N824" s="36" t="str">
        <x:v>REPETITIVE_FRAGEFORM</x:v>
      </x:c>
      <x:c r="O824" s="36" t="str">
        <x:v>REINE_WIEDERERKENNUNG</x:v>
      </x:c>
      <x:c r="P824" s="36" t="str">
        <x:v>ZUSAMMENHANG</x:v>
      </x:c>
      <x:c r="Q824" s="36" t="str">
        <x:v>Wozu wurde Christus nach Galater 3 zum Fluch für uns?</x:v>
      </x:c>
      <x:c r="R824" s="36" t="str">
        <x:v>Damit der Segen Abrahams zu den Heiden kommt und der verheißene Geist durch Glauben empfangen wird.</x:v>
      </x:c>
      <x:c r="S824" s="36" t="str">
        <x:v>Damit das Gesetz endgültig als böse bezeichnet wird.</x:v>
      </x:c>
      <x:c r="T824" s="36" t="str">
        <x:v>Damit nur Juden die Verheißung erhalten.</x:v>
      </x:c>
      <x:c r="U824" s="36" t="str">
        <x:v>Damit niemand mehr Glauben braucht.</x:v>
      </x:c>
      <x:c r="V824" s="36" t="n">
        <x:v>0</x:v>
      </x:c>
      <x:c r="W824" s="36" t="str">
        <x:v>Damit der Segen Abrahams zu den Heiden kommt und der verheißene Geist durch Glauben empfangen wird.</x:v>
      </x:c>
      <x:c r="X824" s="36" t="str">
        <x:v>Galater 3,13–14</x:v>
      </x:c>
      <x:c r="Y824" s="36" t="str">
        <x:v>Paulus verbindet Christi Erlösung vom Fluch des Gesetzes mit dem Segen Abrahams für die Völker und mit dem Empfang des verheißenen Geistes durch Glauben.</x:v>
      </x:c>
      <x:c r="Z824" s="36" t="str">
        <x:v>JA</x:v>
      </x:c>
      <x:c r="AA824" s="36" t="str">
        <x:v>JA</x:v>
      </x:c>
      <x:c r="AB824" s="36" t="str">
        <x:v>JA</x:v>
      </x:c>
      <x:c r="AC824" s="36" t="str">
        <x:v>JA</x:v>
      </x:c>
      <x:c r="AD824" s="36" t="str">
        <x:v>JA</x:v>
      </x:c>
      <x:c r="AE824" s="36" t="str">
        <x:v>JA</x:v>
      </x:c>
      <x:c r="AF824" s="36" t="str">
        <x:v>JA</x:v>
      </x:c>
      <x:c r="AG824" s="36" t="str">
        <x:v>FREIGEGEBEN</x:v>
      </x:c>
      <x:c r="AH824" s="36" t="str">
        <x:v>GPT-5.6 Sol · Buchprüfung Galater · L1912/OTB</x:v>
      </x:c>
      <x:c r="AI824" s="36" t="str">
        <x:v>FREIGEGEBEN</x:v>
      </x:c>
      <x:c r="AJ824" s="36" t="str">
        <x:v>Galater 3: repetitive Kapitel-Erkennungsfrage durch hochwertige ZUSAMMENHANG-Frage ersetzt.</x:v>
      </x:c>
      <x:c r="AK824" s="36" t="str">
        <x:v>FaithPath repo develop/v4 · data/bibles/l1912/GAL.json · data/bibles/otb/GAL.json</x:v>
      </x:c>
      <x:c r="AL824" t="str">
        <x:v>JA</x:v>
      </x:c>
    </x:row>
    <x:row r="825">
      <x:c r="A825" t="str">
        <x:v>FP-1084</x:v>
      </x:c>
      <x:c r="B825" t="str">
        <x:v>GAL</x:v>
      </x:c>
      <x:c r="C825" t="str">
        <x:v>Galater</x:v>
      </x:c>
      <x:c r="D825" t="n">
        <x:v>3</x:v>
      </x:c>
      <x:c r="E825" t="n">
        <x:v>4</x:v>
      </x:c>
      <x:c r="F825" t="str">
        <x:v>GAL-003</x:v>
      </x:c>
      <x:c r="G825" t="n">
        <x:v>165</x:v>
      </x:c>
      <x:c r="H825" t="str">
        <x:v>CQ-A09</x:v>
      </x:c>
      <x:c r="I825" s="36" t="str">
        <x:v>Bestandsfrage Galater 3: repetitive Kapitel-Erkennungsfrage</x:v>
      </x:c>
      <x:c r="J825" s="36"/>
      <x:c r="K825" s="36"/>
      <x:c r="L825" s="36" t="str">
        <x:v>MASTER_STATUS_VERIFIZIERT</x:v>
      </x:c>
      <x:c r="M825" s="36" t="str">
        <x:v>ERSETZEN</x:v>
      </x:c>
      <x:c r="N825" s="36" t="str">
        <x:v>REPETITIVE_FRAGEFORM</x:v>
      </x:c>
      <x:c r="O825" s="36" t="str">
        <x:v>REINE_WIEDERERKENNUNG</x:v>
      </x:c>
      <x:c r="P825" s="36" t="str">
        <x:v>VERSTÄNDNIS</x:v>
      </x:c>
      <x:c r="Q825" s="36" t="str">
        <x:v>Welche Aufgabe gibt Paulus dem Gesetz im Verhältnis zu Christus?</x:v>
      </x:c>
      <x:c r="R825" s="36" t="str">
        <x:v>Es sollte die Verheißung an Abraham aufheben.</x:v>
      </x:c>
      <x:c r="S825" s="36" t="str">
        <x:v>Es wurde wegen der Übertretungen hinzugefügt und führte als Aufsicht/Vormund bis zu Christus.</x:v>
      </x:c>
      <x:c r="T825" s="36" t="str">
        <x:v>Es sollte den Glauben dauerhaft ersetzen.</x:v>
      </x:c>
      <x:c r="U825" s="36" t="str">
        <x:v>Es machte die Verheißung erst 430 Jahre später gültig.</x:v>
      </x:c>
      <x:c r="V825" s="36" t="n">
        <x:v>1</x:v>
      </x:c>
      <x:c r="W825" s="36" t="str">
        <x:v>Es wurde wegen der Übertretungen hinzugefügt und führte als Aufsicht/Vormund bis zu Christus.</x:v>
      </x:c>
      <x:c r="X825" s="36" t="str">
        <x:v>Galater 3,17–25</x:v>
      </x:c>
      <x:c r="Y825" s="36" t="str">
        <x:v>Paulus sagt, dass das später gegebene Gesetz die frühere Verheißung nicht aufhebt. Es wurde wegen der Übertretungen hinzugefügt und hatte eine begrenzte, auf Christus hinführende Funktion.</x:v>
      </x:c>
      <x:c r="Z825" s="36" t="str">
        <x:v>JA</x:v>
      </x:c>
      <x:c r="AA825" s="36" t="str">
        <x:v>JA</x:v>
      </x:c>
      <x:c r="AB825" s="36" t="str">
        <x:v>JA</x:v>
      </x:c>
      <x:c r="AC825" s="36" t="str">
        <x:v>JA</x:v>
      </x:c>
      <x:c r="AD825" s="36" t="str">
        <x:v>JA</x:v>
      </x:c>
      <x:c r="AE825" s="36" t="str">
        <x:v>JA</x:v>
      </x:c>
      <x:c r="AF825" s="36" t="str">
        <x:v>JA</x:v>
      </x:c>
      <x:c r="AG825" s="36" t="str">
        <x:v>FREIGEGEBEN</x:v>
      </x:c>
      <x:c r="AH825" s="36" t="str">
        <x:v>GPT-5.6 Sol · Buchprüfung Galater · L1912/OTB</x:v>
      </x:c>
      <x:c r="AI825" s="36" t="str">
        <x:v>FREIGEGEBEN</x:v>
      </x:c>
      <x:c r="AJ825" s="36" t="str">
        <x:v>Galater 3: repetitive Kapitel-Erkennungsfrage durch hochwertige VERSTÄNDNIS-Frage ersetzt.</x:v>
      </x:c>
      <x:c r="AK825" s="36" t="str">
        <x:v>FaithPath repo develop/v4 · data/bibles/l1912/GAL.json · data/bibles/otb/GAL.json</x:v>
      </x:c>
      <x:c r="AL825" t="str">
        <x:v>JA</x:v>
      </x:c>
    </x:row>
    <x:row r="826">
      <x:c r="A826" t="str">
        <x:v>FP-1085</x:v>
      </x:c>
      <x:c r="B826" t="str">
        <x:v>GAL</x:v>
      </x:c>
      <x:c r="C826" t="str">
        <x:v>Galater</x:v>
      </x:c>
      <x:c r="D826" t="n">
        <x:v>3</x:v>
      </x:c>
      <x:c r="E826" t="n">
        <x:v>5</x:v>
      </x:c>
      <x:c r="F826" t="str">
        <x:v>GAL-003</x:v>
      </x:c>
      <x:c r="G826" t="n">
        <x:v>165</x:v>
      </x:c>
      <x:c r="H826" t="str">
        <x:v>CQ-A09</x:v>
      </x:c>
      <x:c r="I826" s="36" t="str">
        <x:v>Bestandsfrage Galater 3: repetitive Kapitel-Erkennungsfrage</x:v>
      </x:c>
      <x:c r="J826" s="36"/>
      <x:c r="K826" s="36"/>
      <x:c r="L826" s="36" t="str">
        <x:v>MASTER_STATUS_VERIFIZIERT</x:v>
      </x:c>
      <x:c r="M826" s="36" t="str">
        <x:v>ERSETZEN</x:v>
      </x:c>
      <x:c r="N826" s="36" t="str">
        <x:v>REPETITIVE_FRAGEFORM</x:v>
      </x:c>
      <x:c r="O826" s="36" t="str">
        <x:v>REINE_WIEDERERKENNUNG</x:v>
      </x:c>
      <x:c r="P826" s="36" t="str">
        <x:v>KERNAUSSAGE</x:v>
      </x:c>
      <x:c r="Q826" s="36" t="str">
        <x:v>Was verbindet nach Galater 3 alle, die zu Christus gehören?</x:v>
      </x:c>
      <x:c r="R826" s="36" t="str">
        <x:v>Sie müssen dieselbe Herkunft und gesellschaftliche Stellung haben.</x:v>
      </x:c>
      <x:c r="S826" s="36" t="str">
        <x:v>Sie gehören automatisch zum jüdischen Staatswesen.</x:v>
      </x:c>
      <x:c r="T826" s="36" t="str">
        <x:v>Sie sind durch Glauben Gottes Kinder, in Christus eins und Erben der Verheißung.</x:v>
      </x:c>
      <x:c r="U826" s="36" t="str">
        <x:v>Sie stehen weiterhin unter dem Gesetz als Vormund.</x:v>
      </x:c>
      <x:c r="V826" s="36" t="n">
        <x:v>2</x:v>
      </x:c>
      <x:c r="W826" s="36" t="str">
        <x:v>Sie sind durch Glauben Gottes Kinder, in Christus eins und Erben der Verheißung.</x:v>
      </x:c>
      <x:c r="X826" s="36" t="str">
        <x:v>Galater 3,26–29</x:v>
      </x:c>
      <x:c r="Y826" s="36" t="str">
        <x:v>Paulus verbindet die Gotteskindschaft durch Glauben mit der Einheit in Christus und der Zugehörigkeit zu Abrahams Verheißung.</x:v>
      </x:c>
      <x:c r="Z826" s="36" t="str">
        <x:v>JA</x:v>
      </x:c>
      <x:c r="AA826" s="36" t="str">
        <x:v>JA</x:v>
      </x:c>
      <x:c r="AB826" s="36" t="str">
        <x:v>JA</x:v>
      </x:c>
      <x:c r="AC826" s="36" t="str">
        <x:v>JA</x:v>
      </x:c>
      <x:c r="AD826" s="36" t="str">
        <x:v>JA</x:v>
      </x:c>
      <x:c r="AE826" s="36" t="str">
        <x:v>JA</x:v>
      </x:c>
      <x:c r="AF826" s="36" t="str">
        <x:v>JA</x:v>
      </x:c>
      <x:c r="AG826" s="36" t="str">
        <x:v>FREIGEGEBEN</x:v>
      </x:c>
      <x:c r="AH826" s="36" t="str">
        <x:v>GPT-5.6 Sol · Buchprüfung Galater · L1912/OTB</x:v>
      </x:c>
      <x:c r="AI826" s="36" t="str">
        <x:v>FREIGEGEBEN</x:v>
      </x:c>
      <x:c r="AJ826" s="36" t="str">
        <x:v>Galater 3: repetitive Kapitel-Erkennungsfrage durch hochwertige KERNAUSSAGE-Frage ersetzt.</x:v>
      </x:c>
      <x:c r="AK826" s="36" t="str">
        <x:v>FaithPath repo develop/v4 · data/bibles/l1912/GAL.json · data/bibles/otb/GAL.json</x:v>
      </x:c>
      <x:c r="AL826" t="str">
        <x:v>JA</x:v>
      </x:c>
    </x:row>
    <x:row r="827">
      <x:c r="A827" t="str">
        <x:v>FP-1086</x:v>
      </x:c>
      <x:c r="B827" t="str">
        <x:v>GAL</x:v>
      </x:c>
      <x:c r="C827" t="str">
        <x:v>Galater</x:v>
      </x:c>
      <x:c r="D827" t="n">
        <x:v>4</x:v>
      </x:c>
      <x:c r="E827" t="n">
        <x:v>1</x:v>
      </x:c>
      <x:c r="F827" t="str">
        <x:v>GAL-004</x:v>
      </x:c>
      <x:c r="G827" t="n">
        <x:v>166</x:v>
      </x:c>
      <x:c r="H827" t="str">
        <x:v>CQ-A09</x:v>
      </x:c>
      <x:c r="I827" s="36" t="str">
        <x:v>Bestandsfrage Galater 4: repetitive Kapitel-Erkennungsfrage</x:v>
      </x:c>
      <x:c r="J827" s="36"/>
      <x:c r="K827" s="36"/>
      <x:c r="L827" s="36" t="str">
        <x:v>MASTER_STATUS_VERIFIZIERT</x:v>
      </x:c>
      <x:c r="M827" s="36" t="str">
        <x:v>ERSETZEN</x:v>
      </x:c>
      <x:c r="N827" s="36" t="str">
        <x:v>REPETITIVE_FRAGEFORM</x:v>
      </x:c>
      <x:c r="O827" s="36" t="str">
        <x:v>REINE_WIEDERERKENNUNG</x:v>
      </x:c>
      <x:c r="P827" s="36" t="str">
        <x:v>ZUSAMMENHANG</x:v>
      </x:c>
      <x:c r="Q827" s="36" t="str">
        <x:v>Was geschah nach Galater 4, als die von Gott bestimmte Zeit erfüllt war?</x:v>
      </x:c>
      <x:c r="R827" s="36" t="str">
        <x:v>Gott hob jede Verheißung an Abraham auf.</x:v>
      </x:c>
      <x:c r="S827" s="36" t="str">
        <x:v>Gott setzte die Galater unter neue Vormünder.</x:v>
      </x:c>
      <x:c r="T827" s="36" t="str">
        <x:v>Gott verlangte von allen Heiden zuerst die Beschneidung.</x:v>
      </x:c>
      <x:c r="U827" s="36" t="str">
        <x:v>Gott sandte seinen Sohn, um die unter dem Gesetz zu erlösen und ihnen die Kindschaft zu geben.</x:v>
      </x:c>
      <x:c r="V827" s="36" t="n">
        <x:v>3</x:v>
      </x:c>
      <x:c r="W827" s="36" t="str">
        <x:v>Gott sandte seinen Sohn, um die unter dem Gesetz zu erlösen und ihnen die Kindschaft zu geben.</x:v>
      </x:c>
      <x:c r="X827" s="36" t="str">
        <x:v>Galater 4,4–7</x:v>
      </x:c>
      <x:c r="Y827" s="36" t="str">
        <x:v>Paulus beschreibt Gottes Sohn als den, der unter dem Gesetz geboren wurde, um Menschen daraus freizukaufen. Der Geist des Sohnes bestätigt ihre Stellung als Kinder und Erben.</x:v>
      </x:c>
      <x:c r="Z827" s="36" t="str">
        <x:v>JA</x:v>
      </x:c>
      <x:c r="AA827" s="36" t="str">
        <x:v>JA</x:v>
      </x:c>
      <x:c r="AB827" s="36" t="str">
        <x:v>JA</x:v>
      </x:c>
      <x:c r="AC827" s="36" t="str">
        <x:v>JA</x:v>
      </x:c>
      <x:c r="AD827" s="36" t="str">
        <x:v>JA</x:v>
      </x:c>
      <x:c r="AE827" s="36" t="str">
        <x:v>JA</x:v>
      </x:c>
      <x:c r="AF827" s="36" t="str">
        <x:v>JA</x:v>
      </x:c>
      <x:c r="AG827" s="36" t="str">
        <x:v>FREIGEGEBEN</x:v>
      </x:c>
      <x:c r="AH827" s="36" t="str">
        <x:v>GPT-5.6 Sol · Buchprüfung Galater · L1912/OTB</x:v>
      </x:c>
      <x:c r="AI827" s="36" t="str">
        <x:v>FREIGEGEBEN</x:v>
      </x:c>
      <x:c r="AJ827" s="36" t="str">
        <x:v>Galater 4: repetitive Kapitel-Erkennungsfrage durch hochwertige ZUSAMMENHANG-Frage ersetzt.</x:v>
      </x:c>
      <x:c r="AK827" s="36" t="str">
        <x:v>FaithPath repo develop/v4 · data/bibles/l1912/GAL.json · data/bibles/otb/GAL.json</x:v>
      </x:c>
      <x:c r="AL827" t="str">
        <x:v>JA</x:v>
      </x:c>
    </x:row>
    <x:row r="828">
      <x:c r="A828" t="str">
        <x:v>FP-1087</x:v>
      </x:c>
      <x:c r="B828" t="str">
        <x:v>GAL</x:v>
      </x:c>
      <x:c r="C828" t="str">
        <x:v>Galater</x:v>
      </x:c>
      <x:c r="D828" t="n">
        <x:v>4</x:v>
      </x:c>
      <x:c r="E828" t="n">
        <x:v>2</x:v>
      </x:c>
      <x:c r="F828" t="str">
        <x:v>GAL-004</x:v>
      </x:c>
      <x:c r="G828" t="n">
        <x:v>166</x:v>
      </x:c>
      <x:c r="H828" t="str">
        <x:v>CQ-A09</x:v>
      </x:c>
      <x:c r="I828" s="36" t="str">
        <x:v>Bestandsfrage Galater 4: repetitive Kapitel-Erkennungsfrage</x:v>
      </x:c>
      <x:c r="J828" s="36"/>
      <x:c r="K828" s="36"/>
      <x:c r="L828" s="36" t="str">
        <x:v>MASTER_STATUS_VERIFIZIERT</x:v>
      </x:c>
      <x:c r="M828" s="36" t="str">
        <x:v>ERSETZEN</x:v>
      </x:c>
      <x:c r="N828" s="36" t="str">
        <x:v>REPETITIVE_FRAGEFORM</x:v>
      </x:c>
      <x:c r="O828" s="36" t="str">
        <x:v>REINE_WIEDERERKENNUNG</x:v>
      </x:c>
      <x:c r="P828" s="36" t="str">
        <x:v>WARNUNG</x:v>
      </x:c>
      <x:c r="Q828" s="36" t="str">
        <x:v>Welche Rückkehr bereitet Paulus den Galatern Sorge?</x:v>
      </x:c>
      <x:c r="R828" s="36" t="str">
        <x:v>Die Rückkehr zu schwachen und armseligen Grundsätzen, denen sie wieder dienen wollen.</x:v>
      </x:c>
      <x:c r="S828" s="36" t="str">
        <x:v>Die Rückkehr nach Jerusalem.</x:v>
      </x:c>
      <x:c r="T828" s="36" t="str">
        <x:v>Die Rückkehr zu Paulus' früherem Beruf.</x:v>
      </x:c>
      <x:c r="U828" s="36" t="str">
        <x:v>Die Rückkehr zur griechischen Sprache.</x:v>
      </x:c>
      <x:c r="V828" s="36" t="n">
        <x:v>0</x:v>
      </x:c>
      <x:c r="W828" s="36" t="str">
        <x:v>Die Rückkehr zu schwachen und armseligen Grundsätzen, denen sie wieder dienen wollen.</x:v>
      </x:c>
      <x:c r="X828" s="36" t="str">
        <x:v>Galater 4,8–11</x:v>
      </x:c>
      <x:c r="Y828" s="36" t="str">
        <x:v>Paulus warnt davor, nach der Erkenntnis Gottes wieder in religiöse Abhängigkeiten zurückzufallen. Als Zeichen nennt er unter anderem das besondere Beachten von Tagen, Monaten, Zeiten und Jahren.</x:v>
      </x:c>
      <x:c r="Z828" s="36" t="str">
        <x:v>JA</x:v>
      </x:c>
      <x:c r="AA828" s="36" t="str">
        <x:v>JA</x:v>
      </x:c>
      <x:c r="AB828" s="36" t="str">
        <x:v>JA</x:v>
      </x:c>
      <x:c r="AC828" s="36" t="str">
        <x:v>JA</x:v>
      </x:c>
      <x:c r="AD828" s="36" t="str">
        <x:v>JA</x:v>
      </x:c>
      <x:c r="AE828" s="36" t="str">
        <x:v>JA</x:v>
      </x:c>
      <x:c r="AF828" s="36" t="str">
        <x:v>JA</x:v>
      </x:c>
      <x:c r="AG828" s="36" t="str">
        <x:v>FREIGEGEBEN</x:v>
      </x:c>
      <x:c r="AH828" s="36" t="str">
        <x:v>GPT-5.6 Sol · Buchprüfung Galater · L1912/OTB</x:v>
      </x:c>
      <x:c r="AI828" s="36" t="str">
        <x:v>FREIGEGEBEN</x:v>
      </x:c>
      <x:c r="AJ828" s="36" t="str">
        <x:v>Galater 4: repetitive Kapitel-Erkennungsfrage durch hochwertige WARNUNG-Frage ersetzt.</x:v>
      </x:c>
      <x:c r="AK828" s="36" t="str">
        <x:v>FaithPath repo develop/v4 · data/bibles/l1912/GAL.json · data/bibles/otb/GAL.json</x:v>
      </x:c>
      <x:c r="AL828" t="str">
        <x:v>JA</x:v>
      </x:c>
    </x:row>
    <x:row r="829">
      <x:c r="A829" t="str">
        <x:v>FP-1088</x:v>
      </x:c>
      <x:c r="B829" t="str">
        <x:v>GAL</x:v>
      </x:c>
      <x:c r="C829" t="str">
        <x:v>Galater</x:v>
      </x:c>
      <x:c r="D829" t="n">
        <x:v>4</x:v>
      </x:c>
      <x:c r="E829" t="n">
        <x:v>3</x:v>
      </x:c>
      <x:c r="F829" t="str">
        <x:v>GAL-004</x:v>
      </x:c>
      <x:c r="G829" t="n">
        <x:v>166</x:v>
      </x:c>
      <x:c r="H829" t="str">
        <x:v>CQ-A09</x:v>
      </x:c>
      <x:c r="I829" s="36" t="str">
        <x:v>Bestandsfrage Galater 4: repetitive Kapitel-Erkennungsfrage</x:v>
      </x:c>
      <x:c r="J829" s="36"/>
      <x:c r="K829" s="36"/>
      <x:c r="L829" s="36" t="str">
        <x:v>MASTER_STATUS_VERIFIZIERT</x:v>
      </x:c>
      <x:c r="M829" s="36" t="str">
        <x:v>ERSETZEN</x:v>
      </x:c>
      <x:c r="N829" s="36" t="str">
        <x:v>REPETITIVE_FRAGEFORM</x:v>
      </x:c>
      <x:c r="O829" s="36" t="str">
        <x:v>REINE_WIEDERERKENNUNG</x:v>
      </x:c>
      <x:c r="P829" s="36" t="str">
        <x:v>ENTWICKLUNG</x:v>
      </x:c>
      <x:c r="Q829" s="36" t="str">
        <x:v>Wie beschreibt Paulus die veränderte Beziehung der Galater zu ihm?</x:v>
      </x:c>
      <x:c r="R829" s="36" t="str">
        <x:v>Sie hatten ihn früher abgelehnt und akzeptieren ihn jetzt vorbehaltlos.</x:v>
      </x:c>
      <x:c r="S829" s="36" t="str">
        <x:v>Sie hatten ihn trotz seiner Schwäche herzlich aufgenommen, nun fragt er, ob er durch das Sagen der Wahrheit ihr Feind geworden sei.</x:v>
      </x:c>
      <x:c r="T829" s="36" t="str">
        <x:v>Sie kannten ihn bis zum Brief überhaupt nicht.</x:v>
      </x:c>
      <x:c r="U829" s="36" t="str">
        <x:v>Sie hatten ihn immer nur wegen seines gesellschaftlichen Ansehens geehrt.</x:v>
      </x:c>
      <x:c r="V829" s="36" t="n">
        <x:v>1</x:v>
      </x:c>
      <x:c r="W829" s="36" t="str">
        <x:v>Sie hatten ihn trotz seiner Schwäche herzlich aufgenommen, nun fragt er, ob er durch das Sagen der Wahrheit ihr Feind geworden sei.</x:v>
      </x:c>
      <x:c r="X829" s="36" t="str">
        <x:v>Galater 4,12–16</x:v>
      </x:c>
      <x:c r="Y829" s="36" t="str">
        <x:v>Paulus erinnert an die frühere Wertschätzung der Galater und stellt sie ihrer jetzigen Distanz gegenüber. Die Wahrheit auszusprechen darf für ihn nicht mit Feindschaft verwechselt werden.</x:v>
      </x:c>
      <x:c r="Z829" s="36" t="str">
        <x:v>JA</x:v>
      </x:c>
      <x:c r="AA829" s="36" t="str">
        <x:v>JA</x:v>
      </x:c>
      <x:c r="AB829" s="36" t="str">
        <x:v>JA</x:v>
      </x:c>
      <x:c r="AC829" s="36" t="str">
        <x:v>JA</x:v>
      </x:c>
      <x:c r="AD829" s="36" t="str">
        <x:v>JA</x:v>
      </x:c>
      <x:c r="AE829" s="36" t="str">
        <x:v>JA</x:v>
      </x:c>
      <x:c r="AF829" s="36" t="str">
        <x:v>JA</x:v>
      </x:c>
      <x:c r="AG829" s="36" t="str">
        <x:v>FREIGEGEBEN</x:v>
      </x:c>
      <x:c r="AH829" s="36" t="str">
        <x:v>GPT-5.6 Sol · Buchprüfung Galater · L1912/OTB</x:v>
      </x:c>
      <x:c r="AI829" s="36" t="str">
        <x:v>FREIGEGEBEN</x:v>
      </x:c>
      <x:c r="AJ829" s="36" t="str">
        <x:v>Galater 4: repetitive Kapitel-Erkennungsfrage durch hochwertige ENTWICKLUNG-Frage ersetzt.</x:v>
      </x:c>
      <x:c r="AK829" s="36" t="str">
        <x:v>FaithPath repo develop/v4 · data/bibles/l1912/GAL.json · data/bibles/otb/GAL.json</x:v>
      </x:c>
      <x:c r="AL829" t="str">
        <x:v>JA</x:v>
      </x:c>
    </x:row>
    <x:row r="830">
      <x:c r="A830" t="str">
        <x:v>FP-1089</x:v>
      </x:c>
      <x:c r="B830" t="str">
        <x:v>GAL</x:v>
      </x:c>
      <x:c r="C830" t="str">
        <x:v>Galater</x:v>
      </x:c>
      <x:c r="D830" t="n">
        <x:v>4</x:v>
      </x:c>
      <x:c r="E830" t="n">
        <x:v>4</x:v>
      </x:c>
      <x:c r="F830" t="str">
        <x:v>GAL-004</x:v>
      </x:c>
      <x:c r="G830" t="n">
        <x:v>166</x:v>
      </x:c>
      <x:c r="H830" t="str">
        <x:v>CQ-A09</x:v>
      </x:c>
      <x:c r="I830" s="36" t="str">
        <x:v>Bestandsfrage Galater 4: repetitive Kapitel-Erkennungsfrage</x:v>
      </x:c>
      <x:c r="J830" s="36"/>
      <x:c r="K830" s="36"/>
      <x:c r="L830" s="36" t="str">
        <x:v>MASTER_STATUS_VERIFIZIERT</x:v>
      </x:c>
      <x:c r="M830" s="36" t="str">
        <x:v>ERSETZEN</x:v>
      </x:c>
      <x:c r="N830" s="36" t="str">
        <x:v>REPETITIVE_FRAGEFORM</x:v>
      </x:c>
      <x:c r="O830" s="36" t="str">
        <x:v>REINE_WIEDERERKENNUNG</x:v>
      </x:c>
      <x:c r="P830" s="36" t="str">
        <x:v>MOTIVATION</x:v>
      </x:c>
      <x:c r="Q830" s="36" t="str">
        <x:v>Was kritisiert Paulus am Eifer der Menschen, die die Galater beeinflussen?</x:v>
      </x:c>
      <x:c r="R830" s="36" t="str">
        <x:v>Sie wollen die Galater für einen guten Zweck zu größerer Selbstständigkeit führen.</x:v>
      </x:c>
      <x:c r="S830" s="36" t="str">
        <x:v>Sie wollen Paulus bei seiner Arbeit finanziell unterstützen.</x:v>
      </x:c>
      <x:c r="T830" s="36" t="str">
        <x:v>Sie wollen die Galater ausgrenzen, damit diese sich um sie bemühen.</x:v>
      </x:c>
      <x:c r="U830" s="36" t="str">
        <x:v>Sie wollen die Gemeinden mit Judäa versöhnen.</x:v>
      </x:c>
      <x:c r="V830" s="36" t="n">
        <x:v>2</x:v>
      </x:c>
      <x:c r="W830" s="36" t="str">
        <x:v>Sie wollen die Galater ausgrenzen, damit diese sich um sie bemühen.</x:v>
      </x:c>
      <x:c r="X830" s="36" t="str">
        <x:v>Galater 4,17–20</x:v>
      </x:c>
      <x:c r="Y830" s="36" t="str">
        <x:v>Paulus unterscheidet guten Eifer von manipulativer Bindung. Er wirft seinen Gegnern vor, die Galater von ihm abzusondern, damit sie selbst zum Mittelpunkt ihrer Loyalität werden.</x:v>
      </x:c>
      <x:c r="Z830" s="36" t="str">
        <x:v>JA</x:v>
      </x:c>
      <x:c r="AA830" s="36" t="str">
        <x:v>JA</x:v>
      </x:c>
      <x:c r="AB830" s="36" t="str">
        <x:v>JA</x:v>
      </x:c>
      <x:c r="AC830" s="36" t="str">
        <x:v>JA</x:v>
      </x:c>
      <x:c r="AD830" s="36" t="str">
        <x:v>JA</x:v>
      </x:c>
      <x:c r="AE830" s="36" t="str">
        <x:v>JA</x:v>
      </x:c>
      <x:c r="AF830" s="36" t="str">
        <x:v>JA</x:v>
      </x:c>
      <x:c r="AG830" s="36" t="str">
        <x:v>FREIGEGEBEN</x:v>
      </x:c>
      <x:c r="AH830" s="36" t="str">
        <x:v>GPT-5.6 Sol · Buchprüfung Galater · L1912/OTB</x:v>
      </x:c>
      <x:c r="AI830" s="36" t="str">
        <x:v>FREIGEGEBEN</x:v>
      </x:c>
      <x:c r="AJ830" s="36" t="str">
        <x:v>Galater 4: repetitive Kapitel-Erkennungsfrage durch hochwertige MOTIVATION-Frage ersetzt.</x:v>
      </x:c>
      <x:c r="AK830" s="36" t="str">
        <x:v>FaithPath repo develop/v4 · data/bibles/l1912/GAL.json · data/bibles/otb/GAL.json</x:v>
      </x:c>
      <x:c r="AL830" t="str">
        <x:v>JA</x:v>
      </x:c>
    </x:row>
    <x:row r="831">
      <x:c r="A831" t="str">
        <x:v>FP-1090</x:v>
      </x:c>
      <x:c r="B831" t="str">
        <x:v>GAL</x:v>
      </x:c>
      <x:c r="C831" t="str">
        <x:v>Galater</x:v>
      </x:c>
      <x:c r="D831" t="n">
        <x:v>4</x:v>
      </x:c>
      <x:c r="E831" t="n">
        <x:v>5</x:v>
      </x:c>
      <x:c r="F831" t="str">
        <x:v>GAL-004</x:v>
      </x:c>
      <x:c r="G831" t="n">
        <x:v>166</x:v>
      </x:c>
      <x:c r="H831" t="str">
        <x:v>CQ-A09</x:v>
      </x:c>
      <x:c r="I831" s="36" t="str">
        <x:v>Bestandsfrage Galater 4: repetitive Kapitel-Erkennungsfrage</x:v>
      </x:c>
      <x:c r="J831" s="36"/>
      <x:c r="K831" s="36"/>
      <x:c r="L831" s="36" t="str">
        <x:v>MASTER_STATUS_VERIFIZIERT</x:v>
      </x:c>
      <x:c r="M831" s="36" t="str">
        <x:v>ERSETZEN</x:v>
      </x:c>
      <x:c r="N831" s="36" t="str">
        <x:v>REPETITIVE_FRAGEFORM</x:v>
      </x:c>
      <x:c r="O831" s="36" t="str">
        <x:v>REINE_WIEDERERKENNUNG</x:v>
      </x:c>
      <x:c r="P831" s="36" t="str">
        <x:v>VERSTÄNDNIS</x:v>
      </x:c>
      <x:c r="Q831" s="36" t="str">
        <x:v>Welche Schlussfolgerung zieht Paulus aus dem Bild von Hagar und der freien Frau?</x:v>
      </x:c>
      <x:c r="R831" s="36" t="str">
        <x:v>Die Glaubenden sind Kinder der Sklavin und bleiben in Knechtschaft.</x:v>
      </x:c>
      <x:c r="S831" s="36" t="str">
        <x:v>Beide Frauen stehen bei Paulus für dieselbe Form von Knechtschaft.</x:v>
      </x:c>
      <x:c r="T831" s="36" t="str">
        <x:v>Die Verheißung spielt für die Zugehörigkeit zu Gottes Volk keine Rolle.</x:v>
      </x:c>
      <x:c r="U831" s="36" t="str">
        <x:v>Die Glaubenden sind wie Isaak Kinder der Verheißung und Kinder der Freien.</x:v>
      </x:c>
      <x:c r="V831" s="36" t="n">
        <x:v>3</x:v>
      </x:c>
      <x:c r="W831" s="36" t="str">
        <x:v>Die Glaubenden sind wie Isaak Kinder der Verheißung und Kinder der Freien.</x:v>
      </x:c>
      <x:c r="X831" s="36" t="str">
        <x:v>Galater 4,21–31</x:v>
      </x:c>
      <x:c r="Y831" s="36" t="str">
        <x:v>Paulus verwendet die Geschichte von Hagar und Sara bildhaft für Knechtschaft und Freiheit. Seine Pointe lautet, dass die Glaubenden zur Verheißung und zur Freiheit gehören.</x:v>
      </x:c>
      <x:c r="Z831" s="36" t="str">
        <x:v>JA</x:v>
      </x:c>
      <x:c r="AA831" s="36" t="str">
        <x:v>JA</x:v>
      </x:c>
      <x:c r="AB831" s="36" t="str">
        <x:v>JA</x:v>
      </x:c>
      <x:c r="AC831" s="36" t="str">
        <x:v>JA</x:v>
      </x:c>
      <x:c r="AD831" s="36" t="str">
        <x:v>JA</x:v>
      </x:c>
      <x:c r="AE831" s="36" t="str">
        <x:v>JA</x:v>
      </x:c>
      <x:c r="AF831" s="36" t="str">
        <x:v>JA</x:v>
      </x:c>
      <x:c r="AG831" s="36" t="str">
        <x:v>FREIGEGEBEN</x:v>
      </x:c>
      <x:c r="AH831" s="36" t="str">
        <x:v>GPT-5.6 Sol · Buchprüfung Galater · L1912/OTB</x:v>
      </x:c>
      <x:c r="AI831" s="36" t="str">
        <x:v>FREIGEGEBEN</x:v>
      </x:c>
      <x:c r="AJ831" s="36" t="str">
        <x:v>Galater 4: repetitive Kapitel-Erkennungsfrage durch hochwertige VERSTÄNDNIS-Frage ersetzt.</x:v>
      </x:c>
      <x:c r="AK831" s="36" t="str">
        <x:v>FaithPath repo develop/v4 · data/bibles/l1912/GAL.json · data/bibles/otb/GAL.json</x:v>
      </x:c>
      <x:c r="AL831" t="str">
        <x:v>JA</x:v>
      </x:c>
    </x:row>
    <x:row r="832">
      <x:c r="A832" t="str">
        <x:v>FP-1091</x:v>
      </x:c>
      <x:c r="B832" t="str">
        <x:v>GAL</x:v>
      </x:c>
      <x:c r="C832" t="str">
        <x:v>Galater</x:v>
      </x:c>
      <x:c r="D832" t="n">
        <x:v>5</x:v>
      </x:c>
      <x:c r="E832" t="n">
        <x:v>1</x:v>
      </x:c>
      <x:c r="F832" t="str">
        <x:v>GAL-005</x:v>
      </x:c>
      <x:c r="G832" t="n">
        <x:v>167</x:v>
      </x:c>
      <x:c r="H832" t="str">
        <x:v>CQ-A09</x:v>
      </x:c>
      <x:c r="I832" s="36" t="str">
        <x:v>Bestandsfrage Galater 5: repetitive Kapitel-Erkennungsfrage</x:v>
      </x:c>
      <x:c r="J832" s="36"/>
      <x:c r="K832" s="36"/>
      <x:c r="L832" s="36" t="str">
        <x:v>MASTER_STATUS_VERIFIZIERT</x:v>
      </x:c>
      <x:c r="M832" s="36" t="str">
        <x:v>ERSETZEN</x:v>
      </x:c>
      <x:c r="N832" s="36" t="str">
        <x:v>REPETITIVE_FRAGEFORM</x:v>
      </x:c>
      <x:c r="O832" s="36" t="str">
        <x:v>REINE_WIEDERERKENNUNG</x:v>
      </x:c>
      <x:c r="P832" s="36" t="str">
        <x:v>KERNAUSSAGE</x:v>
      </x:c>
      <x:c r="Q832" s="36" t="str">
        <x:v>Welche Aufforderung steht am Anfang von Galater 5?</x:v>
      </x:c>
      <x:c r="R832" s="36" t="str">
        <x:v>Steht fest in der Freiheit, zu der Christus befreit hat.</x:v>
      </x:c>
      <x:c r="S832" s="36" t="str">
        <x:v>Kehrt freiwillig unter das Joch der Knechtschaft zurück.</x:v>
      </x:c>
      <x:c r="T832" s="36" t="str">
        <x:v>Verlasst jede christliche Gemeinschaft.</x:v>
      </x:c>
      <x:c r="U832" s="36" t="str">
        <x:v>Sucht eure Gerechtigkeit ausschließlich durch das Gesetz.</x:v>
      </x:c>
      <x:c r="V832" s="36" t="n">
        <x:v>0</x:v>
      </x:c>
      <x:c r="W832" s="36" t="str">
        <x:v>Steht fest in der Freiheit, zu der Christus befreit hat.</x:v>
      </x:c>
      <x:c r="X832" s="36" t="str">
        <x:v>Galater 5,1–4</x:v>
      </x:c>
      <x:c r="Y832" s="36" t="str">
        <x:v>Paulus verbindet die von Christus geschenkte Freiheit mit der Warnung, sich nicht wieder unter ein Joch der Knechtschaft bringen zu lassen.</x:v>
      </x:c>
      <x:c r="Z832" s="36" t="str">
        <x:v>JA</x:v>
      </x:c>
      <x:c r="AA832" s="36" t="str">
        <x:v>JA</x:v>
      </x:c>
      <x:c r="AB832" s="36" t="str">
        <x:v>JA</x:v>
      </x:c>
      <x:c r="AC832" s="36" t="str">
        <x:v>JA</x:v>
      </x:c>
      <x:c r="AD832" s="36" t="str">
        <x:v>JA</x:v>
      </x:c>
      <x:c r="AE832" s="36" t="str">
        <x:v>JA</x:v>
      </x:c>
      <x:c r="AF832" s="36" t="str">
        <x:v>JA</x:v>
      </x:c>
      <x:c r="AG832" s="36" t="str">
        <x:v>FREIGEGEBEN</x:v>
      </x:c>
      <x:c r="AH832" s="36" t="str">
        <x:v>GPT-5.6 Sol · Buchprüfung Galater · L1912/OTB</x:v>
      </x:c>
      <x:c r="AI832" s="36" t="str">
        <x:v>FREIGEGEBEN</x:v>
      </x:c>
      <x:c r="AJ832" s="36" t="str">
        <x:v>Galater 5: repetitive Kapitel-Erkennungsfrage durch hochwertige KERNAUSSAGE-Frage ersetzt.</x:v>
      </x:c>
      <x:c r="AK832" s="36" t="str">
        <x:v>FaithPath repo develop/v4 · data/bibles/l1912/GAL.json · data/bibles/otb/GAL.json</x:v>
      </x:c>
      <x:c r="AL832" t="str">
        <x:v>JA</x:v>
      </x:c>
    </x:row>
    <x:row r="833">
      <x:c r="A833" t="str">
        <x:v>FP-1092</x:v>
      </x:c>
      <x:c r="B833" t="str">
        <x:v>GAL</x:v>
      </x:c>
      <x:c r="C833" t="str">
        <x:v>Galater</x:v>
      </x:c>
      <x:c r="D833" t="n">
        <x:v>5</x:v>
      </x:c>
      <x:c r="E833" t="n">
        <x:v>2</x:v>
      </x:c>
      <x:c r="F833" t="str">
        <x:v>GAL-005</x:v>
      </x:c>
      <x:c r="G833" t="n">
        <x:v>167</x:v>
      </x:c>
      <x:c r="H833" t="str">
        <x:v>CQ-A09</x:v>
      </x:c>
      <x:c r="I833" s="36" t="str">
        <x:v>Bestandsfrage Galater 5: repetitive Kapitel-Erkennungsfrage</x:v>
      </x:c>
      <x:c r="J833" s="36"/>
      <x:c r="K833" s="36"/>
      <x:c r="L833" s="36" t="str">
        <x:v>MASTER_STATUS_VERIFIZIERT</x:v>
      </x:c>
      <x:c r="M833" s="36" t="str">
        <x:v>ERSETZEN</x:v>
      </x:c>
      <x:c r="N833" s="36" t="str">
        <x:v>REPETITIVE_FRAGEFORM</x:v>
      </x:c>
      <x:c r="O833" s="36" t="str">
        <x:v>REINE_WIEDERERKENNUNG</x:v>
      </x:c>
      <x:c r="P833" s="36" t="str">
        <x:v>KERNAUSSAGE</x:v>
      </x:c>
      <x:c r="Q833" s="36" t="str">
        <x:v>Was zählt nach Galater 5 in Christus entscheidend?</x:v>
      </x:c>
      <x:c r="R833" s="36" t="str">
        <x:v>Beschneidung als äußeres Zeichen.</x:v>
      </x:c>
      <x:c r="S833" s="36" t="str">
        <x:v>Glaube, der durch Liebe wirksam ist.</x:v>
      </x:c>
      <x:c r="T833" s="36" t="str">
        <x:v>Unbeschnittensein als äußeres Zeichen.</x:v>
      </x:c>
      <x:c r="U833" s="36" t="str">
        <x:v>Die Zugehörigkeit zu einer bestimmten Volksgruppe.</x:v>
      </x:c>
      <x:c r="V833" s="36" t="n">
        <x:v>1</x:v>
      </x:c>
      <x:c r="W833" s="36" t="str">
        <x:v>Glaube, der durch Liebe wirksam ist.</x:v>
      </x:c>
      <x:c r="X833" s="36" t="str">
        <x:v>Galater 5,5–6</x:v>
      </x:c>
      <x:c r="Y833" s="36" t="str">
        <x:v>Paulus erklärt, dass weder Beschneidung noch Unbeschnittensein entscheidend ist. Maßgeblich ist der Glaube, der sich in Liebe zeigt.</x:v>
      </x:c>
      <x:c r="Z833" s="36" t="str">
        <x:v>JA</x:v>
      </x:c>
      <x:c r="AA833" s="36" t="str">
        <x:v>JA</x:v>
      </x:c>
      <x:c r="AB833" s="36" t="str">
        <x:v>JA</x:v>
      </x:c>
      <x:c r="AC833" s="36" t="str">
        <x:v>JA</x:v>
      </x:c>
      <x:c r="AD833" s="36" t="str">
        <x:v>JA</x:v>
      </x:c>
      <x:c r="AE833" s="36" t="str">
        <x:v>JA</x:v>
      </x:c>
      <x:c r="AF833" s="36" t="str">
        <x:v>JA</x:v>
      </x:c>
      <x:c r="AG833" s="36" t="str">
        <x:v>FREIGEGEBEN</x:v>
      </x:c>
      <x:c r="AH833" s="36" t="str">
        <x:v>GPT-5.6 Sol · Buchprüfung Galater · L1912/OTB</x:v>
      </x:c>
      <x:c r="AI833" s="36" t="str">
        <x:v>FREIGEGEBEN</x:v>
      </x:c>
      <x:c r="AJ833" s="36" t="str">
        <x:v>Galater 5: repetitive Kapitel-Erkennungsfrage durch hochwertige KERNAUSSAGE-Frage ersetzt.</x:v>
      </x:c>
      <x:c r="AK833" s="36" t="str">
        <x:v>FaithPath repo develop/v4 · data/bibles/l1912/GAL.json · data/bibles/otb/GAL.json</x:v>
      </x:c>
      <x:c r="AL833" t="str">
        <x:v>JA</x:v>
      </x:c>
    </x:row>
    <x:row r="834">
      <x:c r="A834" t="str">
        <x:v>FP-1093</x:v>
      </x:c>
      <x:c r="B834" t="str">
        <x:v>GAL</x:v>
      </x:c>
      <x:c r="C834" t="str">
        <x:v>Galater</x:v>
      </x:c>
      <x:c r="D834" t="n">
        <x:v>5</x:v>
      </x:c>
      <x:c r="E834" t="n">
        <x:v>3</x:v>
      </x:c>
      <x:c r="F834" t="str">
        <x:v>GAL-005</x:v>
      </x:c>
      <x:c r="G834" t="n">
        <x:v>167</x:v>
      </x:c>
      <x:c r="H834" t="str">
        <x:v>CQ-A09</x:v>
      </x:c>
      <x:c r="I834" s="36" t="str">
        <x:v>Bestandsfrage Galater 5: repetitive Kapitel-Erkennungsfrage</x:v>
      </x:c>
      <x:c r="J834" s="36"/>
      <x:c r="K834" s="36"/>
      <x:c r="L834" s="36" t="str">
        <x:v>MASTER_STATUS_VERIFIZIERT</x:v>
      </x:c>
      <x:c r="M834" s="36" t="str">
        <x:v>ERSETZEN</x:v>
      </x:c>
      <x:c r="N834" s="36" t="str">
        <x:v>REPETITIVE_FRAGEFORM</x:v>
      </x:c>
      <x:c r="O834" s="36" t="str">
        <x:v>REINE_WIEDERERKENNUNG</x:v>
      </x:c>
      <x:c r="P834" s="36" t="str">
        <x:v>ANWENDUNG</x:v>
      </x:c>
      <x:c r="Q834" s="36" t="str">
        <x:v>Wie soll die christliche Freiheit nach Paulus gebraucht werden?</x:v>
      </x:c>
      <x:c r="R834" s="36" t="str">
        <x:v>Als Gelegenheit, nur die eigenen Wünsche auszuleben.</x:v>
      </x:c>
      <x:c r="S834" s="36" t="str">
        <x:v>Um sich über andere Gläubige zu stellen.</x:v>
      </x:c>
      <x:c r="T834" s="36" t="str">
        <x:v>Zum gegenseitigen Dienst durch die Liebe.</x:v>
      </x:c>
      <x:c r="U834" s="36" t="str">
        <x:v>Um jede Verantwortung gegenüber dem Nächsten abzulehnen.</x:v>
      </x:c>
      <x:c r="V834" s="36" t="n">
        <x:v>2</x:v>
      </x:c>
      <x:c r="W834" s="36" t="str">
        <x:v>Zum gegenseitigen Dienst durch die Liebe.</x:v>
      </x:c>
      <x:c r="X834" s="36" t="str">
        <x:v>Galater 5,13–15</x:v>
      </x:c>
      <x:c r="Y834" s="36" t="str">
        <x:v>Freiheit ist bei Paulus kein Vorwand für Selbstbezogenheit. Sie soll sich im liebenden Dienst am anderen ausdrücken; dabei verweist er auf das Gebot der Nächstenliebe.</x:v>
      </x:c>
      <x:c r="Z834" s="36" t="str">
        <x:v>JA</x:v>
      </x:c>
      <x:c r="AA834" s="36" t="str">
        <x:v>JA</x:v>
      </x:c>
      <x:c r="AB834" s="36" t="str">
        <x:v>JA</x:v>
      </x:c>
      <x:c r="AC834" s="36" t="str">
        <x:v>JA</x:v>
      </x:c>
      <x:c r="AD834" s="36" t="str">
        <x:v>JA</x:v>
      </x:c>
      <x:c r="AE834" s="36" t="str">
        <x:v>JA</x:v>
      </x:c>
      <x:c r="AF834" s="36" t="str">
        <x:v>JA</x:v>
      </x:c>
      <x:c r="AG834" s="36" t="str">
        <x:v>FREIGEGEBEN</x:v>
      </x:c>
      <x:c r="AH834" s="36" t="str">
        <x:v>GPT-5.6 Sol · Buchprüfung Galater · L1912/OTB</x:v>
      </x:c>
      <x:c r="AI834" s="36" t="str">
        <x:v>FREIGEGEBEN</x:v>
      </x:c>
      <x:c r="AJ834" s="36" t="str">
        <x:v>Galater 5: repetitive Kapitel-Erkennungsfrage durch hochwertige ANWENDUNG-Frage ersetzt.</x:v>
      </x:c>
      <x:c r="AK834" s="36" t="str">
        <x:v>FaithPath repo develop/v4 · data/bibles/l1912/GAL.json · data/bibles/otb/GAL.json</x:v>
      </x:c>
      <x:c r="AL834" t="str">
        <x:v>JA</x:v>
      </x:c>
    </x:row>
    <x:row r="835">
      <x:c r="A835" t="str">
        <x:v>FP-1094</x:v>
      </x:c>
      <x:c r="B835" t="str">
        <x:v>GAL</x:v>
      </x:c>
      <x:c r="C835" t="str">
        <x:v>Galater</x:v>
      </x:c>
      <x:c r="D835" t="n">
        <x:v>5</x:v>
      </x:c>
      <x:c r="E835" t="n">
        <x:v>4</x:v>
      </x:c>
      <x:c r="F835" t="str">
        <x:v>GAL-005</x:v>
      </x:c>
      <x:c r="G835" t="n">
        <x:v>167</x:v>
      </x:c>
      <x:c r="H835" t="str">
        <x:v>CQ-A09</x:v>
      </x:c>
      <x:c r="I835" s="36" t="str">
        <x:v>Bestandsfrage Galater 5: repetitive Kapitel-Erkennungsfrage</x:v>
      </x:c>
      <x:c r="J835" s="36"/>
      <x:c r="K835" s="36"/>
      <x:c r="L835" s="36" t="str">
        <x:v>MASTER_STATUS_VERIFIZIERT</x:v>
      </x:c>
      <x:c r="M835" s="36" t="str">
        <x:v>ERSETZEN</x:v>
      </x:c>
      <x:c r="N835" s="36" t="str">
        <x:v>REPETITIVE_FRAGEFORM</x:v>
      </x:c>
      <x:c r="O835" s="36" t="str">
        <x:v>REINE_WIEDERERKENNUNG</x:v>
      </x:c>
      <x:c r="P835" s="36" t="str">
        <x:v>ZUSAMMENHANG</x:v>
      </x:c>
      <x:c r="Q835" s="36" t="str">
        <x:v>Wie beschreibt Paulus den Weg, die Begierden des Fleisches nicht zu erfüllen?</x:v>
      </x:c>
      <x:c r="R835" s="36" t="str">
        <x:v>Durch vollständigen Rückzug aus jeder Gemeinschaft.</x:v>
      </x:c>
      <x:c r="S835" s="36" t="str">
        <x:v>Durch möglichst viele zusätzliche Festtage.</x:v>
      </x:c>
      <x:c r="T835" s="36" t="str">
        <x:v>Durch das Vermeiden jeder körperlichen Arbeit.</x:v>
      </x:c>
      <x:c r="U835" s="36" t="str">
        <x:v>Durch ein Leben, das vom Geist bestimmt wird.</x:v>
      </x:c>
      <x:c r="V835" s="36" t="n">
        <x:v>3</x:v>
      </x:c>
      <x:c r="W835" s="36" t="str">
        <x:v>Durch ein Leben, das vom Geist bestimmt wird.</x:v>
      </x:c>
      <x:c r="X835" s="36" t="str">
        <x:v>Galater 5,16–18</x:v>
      </x:c>
      <x:c r="Y835" s="36" t="str">
        <x:v>Paulus stellt Fleisch und Geist als gegensätzliche Ausrichtungen dar. Wer im Geist wandelt bzw. sich vom Geist leiten lässt, steht nicht unter der Herrschaft der fleischlichen Begierden.</x:v>
      </x:c>
      <x:c r="Z835" s="36" t="str">
        <x:v>JA</x:v>
      </x:c>
      <x:c r="AA835" s="36" t="str">
        <x:v>JA</x:v>
      </x:c>
      <x:c r="AB835" s="36" t="str">
        <x:v>JA</x:v>
      </x:c>
      <x:c r="AC835" s="36" t="str">
        <x:v>JA</x:v>
      </x:c>
      <x:c r="AD835" s="36" t="str">
        <x:v>JA</x:v>
      </x:c>
      <x:c r="AE835" s="36" t="str">
        <x:v>JA</x:v>
      </x:c>
      <x:c r="AF835" s="36" t="str">
        <x:v>JA</x:v>
      </x:c>
      <x:c r="AG835" s="36" t="str">
        <x:v>FREIGEGEBEN</x:v>
      </x:c>
      <x:c r="AH835" s="36" t="str">
        <x:v>GPT-5.6 Sol · Buchprüfung Galater · L1912/OTB</x:v>
      </x:c>
      <x:c r="AI835" s="36" t="str">
        <x:v>FREIGEGEBEN</x:v>
      </x:c>
      <x:c r="AJ835" s="36" t="str">
        <x:v>Galater 5: repetitive Kapitel-Erkennungsfrage durch hochwertige ZUSAMMENHANG-Frage ersetzt.</x:v>
      </x:c>
      <x:c r="AK835" s="36" t="str">
        <x:v>FaithPath repo develop/v4 · data/bibles/l1912/GAL.json · data/bibles/otb/GAL.json</x:v>
      </x:c>
      <x:c r="AL835" t="str">
        <x:v>JA</x:v>
      </x:c>
    </x:row>
    <x:row r="836">
      <x:c r="A836" t="str">
        <x:v>FP-1095</x:v>
      </x:c>
      <x:c r="B836" t="str">
        <x:v>GAL</x:v>
      </x:c>
      <x:c r="C836" t="str">
        <x:v>Galater</x:v>
      </x:c>
      <x:c r="D836" t="n">
        <x:v>5</x:v>
      </x:c>
      <x:c r="E836" t="n">
        <x:v>5</x:v>
      </x:c>
      <x:c r="F836" t="str">
        <x:v>GAL-005</x:v>
      </x:c>
      <x:c r="G836" t="n">
        <x:v>167</x:v>
      </x:c>
      <x:c r="H836" t="str">
        <x:v>CQ-A09</x:v>
      </x:c>
      <x:c r="I836" s="36" t="str">
        <x:v>Bestandsfrage Galater 5: repetitive Kapitel-Erkennungsfrage</x:v>
      </x:c>
      <x:c r="J836" s="36"/>
      <x:c r="K836" s="36"/>
      <x:c r="L836" s="36" t="str">
        <x:v>MASTER_STATUS_VERIFIZIERT</x:v>
      </x:c>
      <x:c r="M836" s="36" t="str">
        <x:v>ERSETZEN</x:v>
      </x:c>
      <x:c r="N836" s="36" t="str">
        <x:v>REPETITIVE_FRAGEFORM</x:v>
      </x:c>
      <x:c r="O836" s="36" t="str">
        <x:v>REINE_WIEDERERKENNUNG</x:v>
      </x:c>
      <x:c r="P836" s="36" t="str">
        <x:v>TEXTKENNTNIS</x:v>
      </x:c>
      <x:c r="Q836" s="36" t="str">
        <x:v>Welche Gruppe nennt ausschließlich Merkmale der Frucht des Geistes?</x:v>
      </x:c>
      <x:c r="R836" s="36" t="str">
        <x:v>Liebe, Freude, Friede und Geduld.</x:v>
      </x:c>
      <x:c r="S836" s="36" t="str">
        <x:v>Neid, Streit, Zorn und Spaltungen.</x:v>
      </x:c>
      <x:c r="T836" s="36" t="str">
        <x:v>Trunkenheit, Gelage, Eifersucht und Selbstsucht.</x:v>
      </x:c>
      <x:c r="U836" s="36" t="str">
        <x:v>Götzendienst, Feindschaft, Unreinheit und Hass.</x:v>
      </x:c>
      <x:c r="V836" s="36" t="n">
        <x:v>0</x:v>
      </x:c>
      <x:c r="W836" s="36" t="str">
        <x:v>Liebe, Freude, Friede und Geduld.</x:v>
      </x:c>
      <x:c r="X836" s="36" t="str">
        <x:v>Galater 5,22–23</x:v>
      </x:c>
      <x:c r="Y836" s="36" t="str">
        <x:v>Beide FaithPath-Übersetzungen nennen Liebe, Freude, Friede und Geduld als Bestandteile der Frucht des Geistes. Die Frage vermeidet Begriffe, die sich zwischen den Übersetzungen unterschiedlich wiedergeben lassen.</x:v>
      </x:c>
      <x:c r="Z836" s="36" t="str">
        <x:v>JA</x:v>
      </x:c>
      <x:c r="AA836" s="36" t="str">
        <x:v>JA</x:v>
      </x:c>
      <x:c r="AB836" s="36" t="str">
        <x:v>JA</x:v>
      </x:c>
      <x:c r="AC836" s="36" t="str">
        <x:v>JA</x:v>
      </x:c>
      <x:c r="AD836" s="36" t="str">
        <x:v>JA</x:v>
      </x:c>
      <x:c r="AE836" s="36" t="str">
        <x:v>JA</x:v>
      </x:c>
      <x:c r="AF836" s="36" t="str">
        <x:v>JA</x:v>
      </x:c>
      <x:c r="AG836" s="36" t="str">
        <x:v>FREIGEGEBEN</x:v>
      </x:c>
      <x:c r="AH836" s="36" t="str">
        <x:v>GPT-5.6 Sol · Buchprüfung Galater · L1912/OTB</x:v>
      </x:c>
      <x:c r="AI836" s="36" t="str">
        <x:v>FREIGEGEBEN</x:v>
      </x:c>
      <x:c r="AJ836" s="36" t="str">
        <x:v>Galater 5: repetitive Kapitel-Erkennungsfrage durch hochwertige TEXTKENNTNIS-Frage ersetzt.</x:v>
      </x:c>
      <x:c r="AK836" s="36" t="str">
        <x:v>FaithPath repo develop/v4 · data/bibles/l1912/GAL.json · data/bibles/otb/GAL.json</x:v>
      </x:c>
      <x:c r="AL836" t="str">
        <x:v>JA</x:v>
      </x:c>
    </x:row>
    <x:row r="837">
      <x:c r="A837" t="str">
        <x:v>FP-1096</x:v>
      </x:c>
      <x:c r="B837" t="str">
        <x:v>GAL</x:v>
      </x:c>
      <x:c r="C837" t="str">
        <x:v>Galater</x:v>
      </x:c>
      <x:c r="D837" t="n">
        <x:v>6</x:v>
      </x:c>
      <x:c r="E837" t="n">
        <x:v>1</x:v>
      </x:c>
      <x:c r="F837" t="str">
        <x:v>GAL-006</x:v>
      </x:c>
      <x:c r="G837" t="n">
        <x:v>168</x:v>
      </x:c>
      <x:c r="H837" t="str">
        <x:v>CQ-A09</x:v>
      </x:c>
      <x:c r="I837" s="36" t="str">
        <x:v>Bestandsfrage Galater 6: repetitive Kapitel-Erkennungsfrage</x:v>
      </x:c>
      <x:c r="J837" s="36"/>
      <x:c r="K837" s="36"/>
      <x:c r="L837" s="36" t="str">
        <x:v>MASTER_STATUS_VERIFIZIERT</x:v>
      </x:c>
      <x:c r="M837" s="36" t="str">
        <x:v>ERSETZEN</x:v>
      </x:c>
      <x:c r="N837" s="36" t="str">
        <x:v>REPETITIVE_FRAGEFORM</x:v>
      </x:c>
      <x:c r="O837" s="36" t="str">
        <x:v>REINE_WIEDERERKENNUNG</x:v>
      </x:c>
      <x:c r="P837" s="36" t="str">
        <x:v>ANWENDUNG</x:v>
      </x:c>
      <x:c r="Q837" s="36" t="str">
        <x:v>Wie sollen geistlich Gesinnte mit jemandem umgehen, der von einem Fehltritt überrascht wurde?</x:v>
      </x:c>
      <x:c r="R837" s="36" t="str">
        <x:v>Ihn öffentlich beschämen, damit andere gewarnt sind.</x:v>
      </x:c>
      <x:c r="S837" s="36" t="str">
        <x:v>Ihn mit Sanftmut wieder zurechtbringen und zugleich auf sich selbst achten.</x:v>
      </x:c>
      <x:c r="T837" s="36" t="str">
        <x:v>Jeden Kontakt sofort abbrechen.</x:v>
      </x:c>
      <x:c r="U837" s="36" t="str">
        <x:v>Seinen Fehler ignorieren, unabhängig von den Folgen.</x:v>
      </x:c>
      <x:c r="V837" s="36" t="n">
        <x:v>1</x:v>
      </x:c>
      <x:c r="W837" s="36" t="str">
        <x:v>Ihn mit Sanftmut wieder zurechtbringen und zugleich auf sich selbst achten.</x:v>
      </x:c>
      <x:c r="X837" s="36" t="str">
        <x:v>Galater 6,1</x:v>
      </x:c>
      <x:c r="Y837" s="36" t="str">
        <x:v>Paulus verbindet Wiederherstellung mit Sanftmut und Selbstprüfung. Helfen soll nicht aus Überheblichkeit geschehen, weil auch der Helfende versucht werden kann.</x:v>
      </x:c>
      <x:c r="Z837" s="36" t="str">
        <x:v>JA</x:v>
      </x:c>
      <x:c r="AA837" s="36" t="str">
        <x:v>JA</x:v>
      </x:c>
      <x:c r="AB837" s="36" t="str">
        <x:v>JA</x:v>
      </x:c>
      <x:c r="AC837" s="36" t="str">
        <x:v>JA</x:v>
      </x:c>
      <x:c r="AD837" s="36" t="str">
        <x:v>JA</x:v>
      </x:c>
      <x:c r="AE837" s="36" t="str">
        <x:v>JA</x:v>
      </x:c>
      <x:c r="AF837" s="36" t="str">
        <x:v>JA</x:v>
      </x:c>
      <x:c r="AG837" s="36" t="str">
        <x:v>FREIGEGEBEN</x:v>
      </x:c>
      <x:c r="AH837" s="36" t="str">
        <x:v>GPT-5.6 Sol · Buchprüfung Galater · L1912/OTB</x:v>
      </x:c>
      <x:c r="AI837" s="36" t="str">
        <x:v>FREIGEGEBEN</x:v>
      </x:c>
      <x:c r="AJ837" s="36" t="str">
        <x:v>Galater 6: repetitive Kapitel-Erkennungsfrage durch hochwertige ANWENDUNG-Frage ersetzt.</x:v>
      </x:c>
      <x:c r="AK837" s="36" t="str">
        <x:v>FaithPath repo develop/v4 · data/bibles/l1912/GAL.json · data/bibles/otb/GAL.json</x:v>
      </x:c>
      <x:c r="AL837" t="str">
        <x:v>JA</x:v>
      </x:c>
    </x:row>
    <x:row r="838">
      <x:c r="A838" t="str">
        <x:v>FP-1097</x:v>
      </x:c>
      <x:c r="B838" t="str">
        <x:v>GAL</x:v>
      </x:c>
      <x:c r="C838" t="str">
        <x:v>Galater</x:v>
      </x:c>
      <x:c r="D838" t="n">
        <x:v>6</x:v>
      </x:c>
      <x:c r="E838" t="n">
        <x:v>2</x:v>
      </x:c>
      <x:c r="F838" t="str">
        <x:v>GAL-006</x:v>
      </x:c>
      <x:c r="G838" t="n">
        <x:v>168</x:v>
      </x:c>
      <x:c r="H838" t="str">
        <x:v>CQ-A09</x:v>
      </x:c>
      <x:c r="I838" s="36" t="str">
        <x:v>Bestandsfrage Galater 6: repetitive Kapitel-Erkennungsfrage</x:v>
      </x:c>
      <x:c r="J838" s="36"/>
      <x:c r="K838" s="36"/>
      <x:c r="L838" s="36" t="str">
        <x:v>MASTER_STATUS_VERIFIZIERT</x:v>
      </x:c>
      <x:c r="M838" s="36" t="str">
        <x:v>ERSETZEN</x:v>
      </x:c>
      <x:c r="N838" s="36" t="str">
        <x:v>REPETITIVE_FRAGEFORM</x:v>
      </x:c>
      <x:c r="O838" s="36" t="str">
        <x:v>REINE_WIEDERERKENNUNG</x:v>
      </x:c>
      <x:c r="P838" s="36" t="str">
        <x:v>ZUSAMMENHANG</x:v>
      </x:c>
      <x:c r="Q838" s="36" t="str">
        <x:v>Wie verbindet Galater 6 gegenseitige Hilfe und persönliche Verantwortung?</x:v>
      </x:c>
      <x:c r="R838" s="36" t="str">
        <x:v>Nur Leiter sollen die Lasten anderer tragen.</x:v>
      </x:c>
      <x:c r="S838" s="36" t="str">
        <x:v>Persönliche Verantwortung entfällt vollständig, wenn die Gemeinde hilft.</x:v>
      </x:c>
      <x:c r="T838" s="36" t="str">
        <x:v>Jeder soll die Lasten anderer mittragen und zugleich sein eigenes Handeln prüfen und Verantwortung tragen.</x:v>
      </x:c>
      <x:c r="U838" s="36" t="str">
        <x:v>Gegenseitige Hilfe ist unnötig, weil jeder nur für sich selbst zuständig ist.</x:v>
      </x:c>
      <x:c r="V838" s="36" t="n">
        <x:v>2</x:v>
      </x:c>
      <x:c r="W838" s="36" t="str">
        <x:v>Jeder soll die Lasten anderer mittragen und zugleich sein eigenes Handeln prüfen und Verantwortung tragen.</x:v>
      </x:c>
      <x:c r="X838" s="36" t="str">
        <x:v>Galater 6,2–5</x:v>
      </x:c>
      <x:c r="Y838" s="36" t="str">
        <x:v>Paulus fordert beides: die Lasten anderer mitzutragen und zugleich das eigene Werk zu prüfen. Gemeinschaftliche Hilfe und persönliche Verantwortung schließen sich nicht aus.</x:v>
      </x:c>
      <x:c r="Z838" s="36" t="str">
        <x:v>JA</x:v>
      </x:c>
      <x:c r="AA838" s="36" t="str">
        <x:v>JA</x:v>
      </x:c>
      <x:c r="AB838" s="36" t="str">
        <x:v>JA</x:v>
      </x:c>
      <x:c r="AC838" s="36" t="str">
        <x:v>JA</x:v>
      </x:c>
      <x:c r="AD838" s="36" t="str">
        <x:v>JA</x:v>
      </x:c>
      <x:c r="AE838" s="36" t="str">
        <x:v>JA</x:v>
      </x:c>
      <x:c r="AF838" s="36" t="str">
        <x:v>JA</x:v>
      </x:c>
      <x:c r="AG838" s="36" t="str">
        <x:v>FREIGEGEBEN</x:v>
      </x:c>
      <x:c r="AH838" s="36" t="str">
        <x:v>GPT-5.6 Sol · Buchprüfung Galater · L1912/OTB</x:v>
      </x:c>
      <x:c r="AI838" s="36" t="str">
        <x:v>FREIGEGEBEN</x:v>
      </x:c>
      <x:c r="AJ838" s="36" t="str">
        <x:v>Galater 6: repetitive Kapitel-Erkennungsfrage durch hochwertige ZUSAMMENHANG-Frage ersetzt.</x:v>
      </x:c>
      <x:c r="AK838" s="36" t="str">
        <x:v>FaithPath repo develop/v4 · data/bibles/l1912/GAL.json · data/bibles/otb/GAL.json</x:v>
      </x:c>
      <x:c r="AL838" t="str">
        <x:v>JA</x:v>
      </x:c>
    </x:row>
    <x:row r="839">
      <x:c r="A839" t="str">
        <x:v>FP-1098</x:v>
      </x:c>
      <x:c r="B839" t="str">
        <x:v>GAL</x:v>
      </x:c>
      <x:c r="C839" t="str">
        <x:v>Galater</x:v>
      </x:c>
      <x:c r="D839" t="n">
        <x:v>6</x:v>
      </x:c>
      <x:c r="E839" t="n">
        <x:v>3</x:v>
      </x:c>
      <x:c r="F839" t="str">
        <x:v>GAL-006</x:v>
      </x:c>
      <x:c r="G839" t="n">
        <x:v>168</x:v>
      </x:c>
      <x:c r="H839" t="str">
        <x:v>CQ-A09</x:v>
      </x:c>
      <x:c r="I839" s="36" t="str">
        <x:v>Bestandsfrage Galater 6: repetitive Kapitel-Erkennungsfrage</x:v>
      </x:c>
      <x:c r="J839" s="36"/>
      <x:c r="K839" s="36"/>
      <x:c r="L839" s="36" t="str">
        <x:v>MASTER_STATUS_VERIFIZIERT</x:v>
      </x:c>
      <x:c r="M839" s="36" t="str">
        <x:v>ERSETZEN</x:v>
      </x:c>
      <x:c r="N839" s="36" t="str">
        <x:v>REPETITIVE_FRAGEFORM</x:v>
      </x:c>
      <x:c r="O839" s="36" t="str">
        <x:v>REINE_WIEDERERKENNUNG</x:v>
      </x:c>
      <x:c r="P839" s="36" t="str">
        <x:v>BILD</x:v>
      </x:c>
      <x:c r="Q839" s="36" t="str">
        <x:v>Welche Grundregel beschreibt Paulus mit dem Bild von Saat und Ernte?</x:v>
      </x:c>
      <x:c r="R839" s="36" t="str">
        <x:v>Nur materieller Besitz kann geerntet werden.</x:v>
      </x:c>
      <x:c r="S839" s="36" t="str">
        <x:v>Die eigene Lebensführung hat keine Folgen.</x:v>
      </x:c>
      <x:c r="T839" s="36" t="str">
        <x:v>Wer auf den Geist sät, erntet vom Fleisch Verderben.</x:v>
      </x:c>
      <x:c r="U839" s="36" t="str">
        <x:v>Was ein Mensch sät, das wird er auch ernten.</x:v>
      </x:c>
      <x:c r="V839" s="36" t="n">
        <x:v>3</x:v>
      </x:c>
      <x:c r="W839" s="36" t="str">
        <x:v>Was ein Mensch sät, das wird er auch ernten.</x:v>
      </x:c>
      <x:c r="X839" s="36" t="str">
        <x:v>Galater 6,7–8</x:v>
      </x:c>
      <x:c r="Y839" s="36" t="str">
        <x:v>Paulus nutzt das Bild von Saat und Ernte, um die Folgen der Lebensausrichtung zu erklären: auf das Fleisch zu säen führt ins Verderben, auf den Geist zu säen zum ewigen Leben.</x:v>
      </x:c>
      <x:c r="Z839" s="36" t="str">
        <x:v>JA</x:v>
      </x:c>
      <x:c r="AA839" s="36" t="str">
        <x:v>JA</x:v>
      </x:c>
      <x:c r="AB839" s="36" t="str">
        <x:v>JA</x:v>
      </x:c>
      <x:c r="AC839" s="36" t="str">
        <x:v>JA</x:v>
      </x:c>
      <x:c r="AD839" s="36" t="str">
        <x:v>JA</x:v>
      </x:c>
      <x:c r="AE839" s="36" t="str">
        <x:v>JA</x:v>
      </x:c>
      <x:c r="AF839" s="36" t="str">
        <x:v>JA</x:v>
      </x:c>
      <x:c r="AG839" s="36" t="str">
        <x:v>FREIGEGEBEN</x:v>
      </x:c>
      <x:c r="AH839" s="36" t="str">
        <x:v>GPT-5.6 Sol · Buchprüfung Galater · L1912/OTB</x:v>
      </x:c>
      <x:c r="AI839" s="36" t="str">
        <x:v>FREIGEGEBEN</x:v>
      </x:c>
      <x:c r="AJ839" s="36" t="str">
        <x:v>Galater 6: repetitive Kapitel-Erkennungsfrage durch hochwertige BILD-Frage ersetzt.</x:v>
      </x:c>
      <x:c r="AK839" s="36" t="str">
        <x:v>FaithPath repo develop/v4 · data/bibles/l1912/GAL.json · data/bibles/otb/GAL.json</x:v>
      </x:c>
      <x:c r="AL839" t="str">
        <x:v>JA</x:v>
      </x:c>
    </x:row>
    <x:row r="840">
      <x:c r="A840" t="str">
        <x:v>FP-1099</x:v>
      </x:c>
      <x:c r="B840" t="str">
        <x:v>GAL</x:v>
      </x:c>
      <x:c r="C840" t="str">
        <x:v>Galater</x:v>
      </x:c>
      <x:c r="D840" t="n">
        <x:v>6</x:v>
      </x:c>
      <x:c r="E840" t="n">
        <x:v>4</x:v>
      </x:c>
      <x:c r="F840" t="str">
        <x:v>GAL-006</x:v>
      </x:c>
      <x:c r="G840" t="n">
        <x:v>168</x:v>
      </x:c>
      <x:c r="H840" t="str">
        <x:v>CQ-A09</x:v>
      </x:c>
      <x:c r="I840" s="36" t="str">
        <x:v>Bestandsfrage Galater 6: repetitive Kapitel-Erkennungsfrage</x:v>
      </x:c>
      <x:c r="J840" s="36"/>
      <x:c r="K840" s="36"/>
      <x:c r="L840" s="36" t="str">
        <x:v>MASTER_STATUS_VERIFIZIERT</x:v>
      </x:c>
      <x:c r="M840" s="36" t="str">
        <x:v>ERSETZEN</x:v>
      </x:c>
      <x:c r="N840" s="36" t="str">
        <x:v>REPETITIVE_FRAGEFORM</x:v>
      </x:c>
      <x:c r="O840" s="36" t="str">
        <x:v>REINE_WIEDERERKENNUNG</x:v>
      </x:c>
      <x:c r="P840" s="36" t="str">
        <x:v>ANWENDUNG</x:v>
      </x:c>
      <x:c r="Q840" s="36" t="str">
        <x:v>Welche Haltung fordert Paulus beim Tun des Guten?</x:v>
      </x:c>
      <x:c r="R840" s="36" t="str">
        <x:v>Nicht müde werden und die vorhandenen Gelegenheiten nutzen, allen Gutes zu tun.</x:v>
      </x:c>
      <x:c r="S840" s="36" t="str">
        <x:v>Nur dann Gutes tun, wenn sofort eine Gegenleistung folgt.</x:v>
      </x:c>
      <x:c r="T840" s="36" t="str">
        <x:v>Gutes ausschließlich für enge Freunde tun.</x:v>
      </x:c>
      <x:c r="U840" s="36" t="str">
        <x:v>Mit guten Werken warten, bis alle Schwierigkeiten verschwunden sind.</x:v>
      </x:c>
      <x:c r="V840" s="36" t="n">
        <x:v>0</x:v>
      </x:c>
      <x:c r="W840" s="36" t="str">
        <x:v>Nicht müde werden und die vorhandenen Gelegenheiten nutzen, allen Gutes zu tun.</x:v>
      </x:c>
      <x:c r="X840" s="36" t="str">
        <x:v>Galater 6,9–10</x:v>
      </x:c>
      <x:c r="Y840" s="36" t="str">
        <x:v>Paulus ruft zur Ausdauer im Guten auf und erweitert den Blick ausdrücklich auf alle Menschen, mit besonderer Verantwortung gegenüber der Glaubensgemeinschaft.</x:v>
      </x:c>
      <x:c r="Z840" s="36" t="str">
        <x:v>JA</x:v>
      </x:c>
      <x:c r="AA840" s="36" t="str">
        <x:v>JA</x:v>
      </x:c>
      <x:c r="AB840" s="36" t="str">
        <x:v>JA</x:v>
      </x:c>
      <x:c r="AC840" s="36" t="str">
        <x:v>JA</x:v>
      </x:c>
      <x:c r="AD840" s="36" t="str">
        <x:v>JA</x:v>
      </x:c>
      <x:c r="AE840" s="36" t="str">
        <x:v>JA</x:v>
      </x:c>
      <x:c r="AF840" s="36" t="str">
        <x:v>JA</x:v>
      </x:c>
      <x:c r="AG840" s="36" t="str">
        <x:v>FREIGEGEBEN</x:v>
      </x:c>
      <x:c r="AH840" s="36" t="str">
        <x:v>GPT-5.6 Sol · Buchprüfung Galater · L1912/OTB</x:v>
      </x:c>
      <x:c r="AI840" s="36" t="str">
        <x:v>FREIGEGEBEN</x:v>
      </x:c>
      <x:c r="AJ840" s="36" t="str">
        <x:v>Galater 6: repetitive Kapitel-Erkennungsfrage durch hochwertige ANWENDUNG-Frage ersetzt.</x:v>
      </x:c>
      <x:c r="AK840" s="36" t="str">
        <x:v>FaithPath repo develop/v4 · data/bibles/l1912/GAL.json · data/bibles/otb/GAL.json</x:v>
      </x:c>
      <x:c r="AL840" t="str">
        <x:v>JA</x:v>
      </x:c>
    </x:row>
    <x:row r="841">
      <x:c r="A841" t="str">
        <x:v>FP-1100</x:v>
      </x:c>
      <x:c r="B841" t="str">
        <x:v>GAL</x:v>
      </x:c>
      <x:c r="C841" t="str">
        <x:v>Galater</x:v>
      </x:c>
      <x:c r="D841" t="n">
        <x:v>6</x:v>
      </x:c>
      <x:c r="E841" t="n">
        <x:v>5</x:v>
      </x:c>
      <x:c r="F841" t="str">
        <x:v>GAL-006</x:v>
      </x:c>
      <x:c r="G841" t="n">
        <x:v>168</x:v>
      </x:c>
      <x:c r="H841" t="str">
        <x:v>CQ-A09</x:v>
      </x:c>
      <x:c r="I841" s="36" t="str">
        <x:v>Bestandsfrage Galater 6: repetitive Kapitel-Erkennungsfrage</x:v>
      </x:c>
      <x:c r="J841" s="36"/>
      <x:c r="K841" s="36"/>
      <x:c r="L841" s="36" t="str">
        <x:v>MASTER_STATUS_VERIFIZIERT</x:v>
      </x:c>
      <x:c r="M841" s="36" t="str">
        <x:v>ERSETZEN</x:v>
      </x:c>
      <x:c r="N841" s="36" t="str">
        <x:v>REPETITIVE_FRAGEFORM</x:v>
      </x:c>
      <x:c r="O841" s="36" t="str">
        <x:v>REINE_WIEDERERKENNUNG</x:v>
      </x:c>
      <x:c r="P841" s="36" t="str">
        <x:v>KERNAUSSAGE</x:v>
      </x:c>
      <x:c r="Q841" s="36" t="str">
        <x:v>Worauf will Paulus sich am Ende des Briefes allein rühmen?</x:v>
      </x:c>
      <x:c r="R841" s="36" t="str">
        <x:v>Auf seine Herkunft und Ausbildung.</x:v>
      </x:c>
      <x:c r="S841" s="36" t="str">
        <x:v>Auf das Kreuz Jesu Christi; entscheidend ist die neue Schöpfung.</x:v>
      </x:c>
      <x:c r="T841" s="36" t="str">
        <x:v>Auf die Zahl der Menschen, die sich beschneiden lassen.</x:v>
      </x:c>
      <x:c r="U841" s="36" t="str">
        <x:v>Auf seine Anerkennung durch die Gemeinden in Galatien.</x:v>
      </x:c>
      <x:c r="V841" s="36" t="n">
        <x:v>1</x:v>
      </x:c>
      <x:c r="W841" s="36" t="str">
        <x:v>Auf das Kreuz Jesu Christi; entscheidend ist die neue Schöpfung.</x:v>
      </x:c>
      <x:c r="X841" s="36" t="str">
        <x:v>Galater 6,12–15</x:v>
      </x:c>
      <x:c r="Y841" s="36" t="str">
        <x:v>Paulus grenzt sich von denen ab, die sich äußerer Zeichen rühmen. Sein Ruhm liegt im Kreuz Christi; weder Beschneidung noch Unbeschnittensein ist entscheidend, sondern neue Schöpfung.</x:v>
      </x:c>
      <x:c r="Z841" s="36" t="str">
        <x:v>JA</x:v>
      </x:c>
      <x:c r="AA841" s="36" t="str">
        <x:v>JA</x:v>
      </x:c>
      <x:c r="AB841" s="36" t="str">
        <x:v>JA</x:v>
      </x:c>
      <x:c r="AC841" s="36" t="str">
        <x:v>JA</x:v>
      </x:c>
      <x:c r="AD841" s="36" t="str">
        <x:v>JA</x:v>
      </x:c>
      <x:c r="AE841" s="36" t="str">
        <x:v>JA</x:v>
      </x:c>
      <x:c r="AF841" s="36" t="str">
        <x:v>JA</x:v>
      </x:c>
      <x:c r="AG841" s="36" t="str">
        <x:v>FREIGEGEBEN</x:v>
      </x:c>
      <x:c r="AH841" s="36" t="str">
        <x:v>GPT-5.6 Sol · Buchprüfung Galater · L1912/OTB</x:v>
      </x:c>
      <x:c r="AI841" s="36" t="str">
        <x:v>FREIGEGEBEN</x:v>
      </x:c>
      <x:c r="AJ841" s="36" t="str">
        <x:v>Galater 6: repetitive Kapitel-Erkennungsfrage durch hochwertige KERNAUSSAGE-Frage ersetzt.</x:v>
      </x:c>
      <x:c r="AK841" s="36" t="str">
        <x:v>FaithPath repo develop/v4 · data/bibles/l1912/GAL.json · data/bibles/otb/GAL.json</x:v>
      </x:c>
      <x:c r="AL841" t="str">
        <x:v>JA</x:v>
      </x:c>
    </x:row>
    <x:row r="842">
      <x:c r="A842" t="str">
        <x:v>FP-1101</x:v>
      </x:c>
      <x:c r="B842" t="str">
        <x:v>EPH</x:v>
      </x:c>
      <x:c r="C842" t="str">
        <x:v>Epheser</x:v>
      </x:c>
      <x:c r="D842" t="n">
        <x:v>1</x:v>
      </x:c>
      <x:c r="E842" t="n">
        <x:v>1</x:v>
      </x:c>
      <x:c r="F842" t="str">
        <x:v>EPH-001</x:v>
      </x:c>
      <x:c r="G842" t="n">
        <x:v>169</x:v>
      </x:c>
      <x:c r="H842" t="str">
        <x:v>CQ-A10</x:v>
      </x:c>
      <x:c r="I842" s="36" t="str">
        <x:v>Bestandsfrage Epheser 1: repetitive Kapitel-Erkennungsfrage</x:v>
      </x:c>
      <x:c r="J842" s="36"/>
      <x:c r="K842" s="36"/>
      <x:c r="L842" s="36" t="str">
        <x:v>MASTER_STATUS_VERIFIZIERT</x:v>
      </x:c>
      <x:c r="M842" s="36" t="str">
        <x:v>ERSETZEN</x:v>
      </x:c>
      <x:c r="N842" s="36" t="str">
        <x:v>REPETITIVE_FRAGEFORM</x:v>
      </x:c>
      <x:c r="O842" s="36" t="str">
        <x:v>REINE_WIEDERERKENNUNG</x:v>
      </x:c>
      <x:c r="P842" s="36" t="str">
        <x:v>KERNAUSSAGE</x:v>
      </x:c>
      <x:c r="Q842" s="36" t="str">
        <x:v>Womit hat Gott die Glaubenden nach Epheser 1 in Christus gesegnet?</x:v>
      </x:c>
      <x:c r="R842" s="36" t="str">
        <x:v>Mit jedem geistlichen Segen in den himmlischen Bereichen.</x:v>
      </x:c>
      <x:c r="S842" s="36" t="str">
        <x:v>Mit politischer Herrschaft über alle Völker.</x:v>
      </x:c>
      <x:c r="T842" s="36" t="str">
        <x:v>Mit der Zusage eines leidfreien Lebens.</x:v>
      </x:c>
      <x:c r="U842" s="36" t="str">
        <x:v>Mit dem Besitz des Tempels in Jerusalem.</x:v>
      </x:c>
      <x:c r="V842" s="36" t="n">
        <x:v>0</x:v>
      </x:c>
      <x:c r="W842" s="36" t="str">
        <x:v>Mit jedem geistlichen Segen in den himmlischen Bereichen.</x:v>
      </x:c>
      <x:c r="X842" s="36" t="str">
        <x:v>Epheser 1,3–6</x:v>
      </x:c>
      <x:c r="Y842" s="36" t="str">
        <x:v>Paulus beginnt mit einem Lob Gottes und beschreibt die Glaubenden als in Christus erwählt und mit geistlichem Segen beschenkt. Ziel ist ein Leben vor Gott in Heiligkeit und Liebe.</x:v>
      </x:c>
      <x:c r="Z842" s="36" t="str">
        <x:v>JA</x:v>
      </x:c>
      <x:c r="AA842" s="36" t="str">
        <x:v>JA</x:v>
      </x:c>
      <x:c r="AB842" s="36" t="str">
        <x:v>JA</x:v>
      </x:c>
      <x:c r="AC842" s="36" t="str">
        <x:v>JA</x:v>
      </x:c>
      <x:c r="AD842" s="36" t="str">
        <x:v>JA</x:v>
      </x:c>
      <x:c r="AE842" s="36" t="str">
        <x:v>JA</x:v>
      </x:c>
      <x:c r="AF842" s="36" t="str">
        <x:v>JA</x:v>
      </x:c>
      <x:c r="AG842" s="36" t="str">
        <x:v>FREIGEGEBEN</x:v>
      </x:c>
      <x:c r="AH842" s="36" t="str">
        <x:v>GPT-5.6 Sol · Buchprüfung Epheser · L1912/OTB</x:v>
      </x:c>
      <x:c r="AI842" s="36" t="str">
        <x:v>FREIGEGEBEN</x:v>
      </x:c>
      <x:c r="AJ842" s="36" t="str">
        <x:v>Epheser 1: repetitive Kapitel-Erkennungsfrage durch hochwertige KERNAUSSAGE-Frage ersetzt.</x:v>
      </x:c>
      <x:c r="AK842" s="36" t="str">
        <x:v>FaithPath repo develop/v4 · data/bibles/l1912/EPH.json · data/bibles/otb/EPH.json</x:v>
      </x:c>
      <x:c r="AL842" t="str">
        <x:v>JA</x:v>
      </x:c>
    </x:row>
    <x:row r="843">
      <x:c r="A843" t="str">
        <x:v>FP-1102</x:v>
      </x:c>
      <x:c r="B843" t="str">
        <x:v>EPH</x:v>
      </x:c>
      <x:c r="C843" t="str">
        <x:v>Epheser</x:v>
      </x:c>
      <x:c r="D843" t="n">
        <x:v>1</x:v>
      </x:c>
      <x:c r="E843" t="n">
        <x:v>2</x:v>
      </x:c>
      <x:c r="F843" t="str">
        <x:v>EPH-001</x:v>
      </x:c>
      <x:c r="G843" t="n">
        <x:v>169</x:v>
      </x:c>
      <x:c r="H843" t="str">
        <x:v>CQ-A10</x:v>
      </x:c>
      <x:c r="I843" s="36" t="str">
        <x:v>Bestandsfrage Epheser 1: repetitive Kapitel-Erkennungsfrage</x:v>
      </x:c>
      <x:c r="J843" s="36"/>
      <x:c r="K843" s="36"/>
      <x:c r="L843" s="36" t="str">
        <x:v>MASTER_STATUS_VERIFIZIERT</x:v>
      </x:c>
      <x:c r="M843" s="36" t="str">
        <x:v>ERSETZEN</x:v>
      </x:c>
      <x:c r="N843" s="36" t="str">
        <x:v>REPETITIVE_FRAGEFORM</x:v>
      </x:c>
      <x:c r="O843" s="36" t="str">
        <x:v>REINE_WIEDERERKENNUNG</x:v>
      </x:c>
      <x:c r="P843" s="36" t="str">
        <x:v>ZUSAMMENHANG</x:v>
      </x:c>
      <x:c r="Q843" s="36" t="str">
        <x:v>Was verbindet Paulus in Epheser 1 unmittelbar mit der Erlösung in Christus?</x:v>
      </x:c>
      <x:c r="R843" s="36" t="str">
        <x:v>Die Befreiung von jeder irdischen Verantwortung.</x:v>
      </x:c>
      <x:c r="S843" s="36" t="str">
        <x:v>Die Vergebung der Sünden nach dem Reichtum von Gottes Gnade.</x:v>
      </x:c>
      <x:c r="T843" s="36" t="str">
        <x:v>Die Rückkehr aller Christen nach Jerusalem.</x:v>
      </x:c>
      <x:c r="U843" s="36" t="str">
        <x:v>Die Verpflichtung zu zusätzlichen Speisegeboten.</x:v>
      </x:c>
      <x:c r="V843" s="36" t="n">
        <x:v>1</x:v>
      </x:c>
      <x:c r="W843" s="36" t="str">
        <x:v>Die Vergebung der Sünden nach dem Reichtum von Gottes Gnade.</x:v>
      </x:c>
      <x:c r="X843" s="36" t="str">
        <x:v>Epheser 1,7–8</x:v>
      </x:c>
      <x:c r="Y843" s="36" t="str">
        <x:v>Erlösung und Vergebung gehören bei Paulus zusammen. Beides gründet nicht in menschlicher Leistung, sondern im Reichtum der Gnade Gottes in Christus.</x:v>
      </x:c>
      <x:c r="Z843" s="36" t="str">
        <x:v>JA</x:v>
      </x:c>
      <x:c r="AA843" s="36" t="str">
        <x:v>JA</x:v>
      </x:c>
      <x:c r="AB843" s="36" t="str">
        <x:v>JA</x:v>
      </x:c>
      <x:c r="AC843" s="36" t="str">
        <x:v>JA</x:v>
      </x:c>
      <x:c r="AD843" s="36" t="str">
        <x:v>JA</x:v>
      </x:c>
      <x:c r="AE843" s="36" t="str">
        <x:v>JA</x:v>
      </x:c>
      <x:c r="AF843" s="36" t="str">
        <x:v>JA</x:v>
      </x:c>
      <x:c r="AG843" s="36" t="str">
        <x:v>FREIGEGEBEN</x:v>
      </x:c>
      <x:c r="AH843" s="36" t="str">
        <x:v>GPT-5.6 Sol · Buchprüfung Epheser · L1912/OTB</x:v>
      </x:c>
      <x:c r="AI843" s="36" t="str">
        <x:v>FREIGEGEBEN</x:v>
      </x:c>
      <x:c r="AJ843" s="36" t="str">
        <x:v>Epheser 1: repetitive Kapitel-Erkennungsfrage durch hochwertige ZUSAMMENHANG-Frage ersetzt.</x:v>
      </x:c>
      <x:c r="AK843" s="36" t="str">
        <x:v>FaithPath repo develop/v4 · data/bibles/l1912/EPH.json · data/bibles/otb/EPH.json</x:v>
      </x:c>
      <x:c r="AL843" t="str">
        <x:v>JA</x:v>
      </x:c>
    </x:row>
    <x:row r="844">
      <x:c r="A844" t="str">
        <x:v>FP-1103</x:v>
      </x:c>
      <x:c r="B844" t="str">
        <x:v>EPH</x:v>
      </x:c>
      <x:c r="C844" t="str">
        <x:v>Epheser</x:v>
      </x:c>
      <x:c r="D844" t="n">
        <x:v>1</x:v>
      </x:c>
      <x:c r="E844" t="n">
        <x:v>3</x:v>
      </x:c>
      <x:c r="F844" t="str">
        <x:v>EPH-001</x:v>
      </x:c>
      <x:c r="G844" t="n">
        <x:v>169</x:v>
      </x:c>
      <x:c r="H844" t="str">
        <x:v>CQ-A10</x:v>
      </x:c>
      <x:c r="I844" s="36" t="str">
        <x:v>Bestandsfrage Epheser 1: repetitive Kapitel-Erkennungsfrage</x:v>
      </x:c>
      <x:c r="J844" s="36"/>
      <x:c r="K844" s="36"/>
      <x:c r="L844" s="36" t="str">
        <x:v>MASTER_STATUS_VERIFIZIERT</x:v>
      </x:c>
      <x:c r="M844" s="36" t="str">
        <x:v>ERSETZEN</x:v>
      </x:c>
      <x:c r="N844" s="36" t="str">
        <x:v>REPETITIVE_FRAGEFORM</x:v>
      </x:c>
      <x:c r="O844" s="36" t="str">
        <x:v>REINE_WIEDERERKENNUNG</x:v>
      </x:c>
      <x:c r="P844" s="36" t="str">
        <x:v>VERSTÄNDNIS</x:v>
      </x:c>
      <x:c r="Q844" s="36" t="str">
        <x:v>Worauf läuft Gottes offenbarter Plan nach Epheser 1 hinaus?</x:v>
      </x:c>
      <x:c r="R844" s="36" t="str">
        <x:v>Israel und die Heiden dauerhaft voneinander zu trennen.</x:v>
      </x:c>
      <x:c r="S844" s="36" t="str">
        <x:v>Die Gemeinde ausschließlich auf Ephesus zu begrenzen.</x:v>
      </x:c>
      <x:c r="T844" s="36" t="str">
        <x:v>Alles im Himmel und auf Erden in Christus zusammenzuführen.</x:v>
      </x:c>
      <x:c r="U844" s="36" t="str">
        <x:v>Alle politischen Reiche unter einen menschlichen Herrscher zu stellen.</x:v>
      </x:c>
      <x:c r="V844" s="36" t="n">
        <x:v>2</x:v>
      </x:c>
      <x:c r="W844" s="36" t="str">
        <x:v>Alles im Himmel und auf Erden in Christus zusammenzuführen.</x:v>
      </x:c>
      <x:c r="X844" s="36" t="str">
        <x:v>Epheser 1,9–10</x:v>
      </x:c>
      <x:c r="Y844" s="36" t="str">
        <x:v>Das 'Geheimnis' von Gottes Willen zielt auf Christus: In ihm soll alles zusammengeführt werden, was im Himmel und auf Erden ist.</x:v>
      </x:c>
      <x:c r="Z844" s="36" t="str">
        <x:v>JA</x:v>
      </x:c>
      <x:c r="AA844" s="36" t="str">
        <x:v>JA</x:v>
      </x:c>
      <x:c r="AB844" s="36" t="str">
        <x:v>JA</x:v>
      </x:c>
      <x:c r="AC844" s="36" t="str">
        <x:v>JA</x:v>
      </x:c>
      <x:c r="AD844" s="36" t="str">
        <x:v>JA</x:v>
      </x:c>
      <x:c r="AE844" s="36" t="str">
        <x:v>JA</x:v>
      </x:c>
      <x:c r="AF844" s="36" t="str">
        <x:v>JA</x:v>
      </x:c>
      <x:c r="AG844" s="36" t="str">
        <x:v>FREIGEGEBEN</x:v>
      </x:c>
      <x:c r="AH844" s="36" t="str">
        <x:v>GPT-5.6 Sol · Buchprüfung Epheser · L1912/OTB</x:v>
      </x:c>
      <x:c r="AI844" s="36" t="str">
        <x:v>FREIGEGEBEN</x:v>
      </x:c>
      <x:c r="AJ844" s="36" t="str">
        <x:v>Epheser 1: repetitive Kapitel-Erkennungsfrage durch hochwertige VERSTÄNDNIS-Frage ersetzt.</x:v>
      </x:c>
      <x:c r="AK844" s="36" t="str">
        <x:v>FaithPath repo develop/v4 · data/bibles/l1912/EPH.json · data/bibles/otb/EPH.json</x:v>
      </x:c>
      <x:c r="AL844" t="str">
        <x:v>JA</x:v>
      </x:c>
    </x:row>
    <x:row r="845">
      <x:c r="A845" t="str">
        <x:v>FP-1104</x:v>
      </x:c>
      <x:c r="B845" t="str">
        <x:v>EPH</x:v>
      </x:c>
      <x:c r="C845" t="str">
        <x:v>Epheser</x:v>
      </x:c>
      <x:c r="D845" t="n">
        <x:v>1</x:v>
      </x:c>
      <x:c r="E845" t="n">
        <x:v>4</x:v>
      </x:c>
      <x:c r="F845" t="str">
        <x:v>EPH-001</x:v>
      </x:c>
      <x:c r="G845" t="n">
        <x:v>169</x:v>
      </x:c>
      <x:c r="H845" t="str">
        <x:v>CQ-A10</x:v>
      </x:c>
      <x:c r="I845" s="36" t="str">
        <x:v>Bestandsfrage Epheser 1: repetitive Kapitel-Erkennungsfrage</x:v>
      </x:c>
      <x:c r="J845" s="36"/>
      <x:c r="K845" s="36"/>
      <x:c r="L845" s="36" t="str">
        <x:v>MASTER_STATUS_VERIFIZIERT</x:v>
      </x:c>
      <x:c r="M845" s="36" t="str">
        <x:v>ERSETZEN</x:v>
      </x:c>
      <x:c r="N845" s="36" t="str">
        <x:v>REPETITIVE_FRAGEFORM</x:v>
      </x:c>
      <x:c r="O845" s="36" t="str">
        <x:v>REINE_WIEDERERKENNUNG</x:v>
      </x:c>
      <x:c r="P845" s="36" t="str">
        <x:v>ENTWICKLUNG</x:v>
      </x:c>
      <x:c r="Q845" s="36" t="str">
        <x:v>Was geschieht nach Epheser 1 mit Menschen, die das Evangelium hören und glauben?</x:v>
      </x:c>
      <x:c r="R845" s="36" t="str">
        <x:v>Sie erhalten automatisch ein kirchliches Leitungsamt.</x:v>
      </x:c>
      <x:c r="S845" s="36" t="str">
        <x:v>Sie müssen Ephesus verlassen.</x:v>
      </x:c>
      <x:c r="T845" s="36" t="str">
        <x:v>Sie werden von allen zukünftigen Prüfungen bewahrt.</x:v>
      </x:c>
      <x:c r="U845" s="36" t="str">
        <x:v>Sie werden mit dem verheißenen Heiligen Geist versiegelt.</x:v>
      </x:c>
      <x:c r="V845" s="36" t="n">
        <x:v>3</x:v>
      </x:c>
      <x:c r="W845" s="36" t="str">
        <x:v>Sie werden mit dem verheißenen Heiligen Geist versiegelt.</x:v>
      </x:c>
      <x:c r="X845" s="36" t="str">
        <x:v>Epheser 1,13–14</x:v>
      </x:c>
      <x:c r="Y845" s="36" t="str">
        <x:v>Paulus beschreibt den Heiligen Geist als Siegel und Unterpfand des Erbes. Damit verbindet er Glauben, Zugehörigkeit zu Gott und die Hoffnung auf die endgültige Erlösung.</x:v>
      </x:c>
      <x:c r="Z845" s="36" t="str">
        <x:v>JA</x:v>
      </x:c>
      <x:c r="AA845" s="36" t="str">
        <x:v>JA</x:v>
      </x:c>
      <x:c r="AB845" s="36" t="str">
        <x:v>JA</x:v>
      </x:c>
      <x:c r="AC845" s="36" t="str">
        <x:v>JA</x:v>
      </x:c>
      <x:c r="AD845" s="36" t="str">
        <x:v>JA</x:v>
      </x:c>
      <x:c r="AE845" s="36" t="str">
        <x:v>JA</x:v>
      </x:c>
      <x:c r="AF845" s="36" t="str">
        <x:v>JA</x:v>
      </x:c>
      <x:c r="AG845" s="36" t="str">
        <x:v>FREIGEGEBEN</x:v>
      </x:c>
      <x:c r="AH845" s="36" t="str">
        <x:v>GPT-5.6 Sol · Buchprüfung Epheser · L1912/OTB</x:v>
      </x:c>
      <x:c r="AI845" s="36" t="str">
        <x:v>FREIGEGEBEN</x:v>
      </x:c>
      <x:c r="AJ845" s="36" t="str">
        <x:v>Epheser 1: repetitive Kapitel-Erkennungsfrage durch hochwertige ENTWICKLUNG-Frage ersetzt.</x:v>
      </x:c>
      <x:c r="AK845" s="36" t="str">
        <x:v>FaithPath repo develop/v4 · data/bibles/l1912/EPH.json · data/bibles/otb/EPH.json</x:v>
      </x:c>
      <x:c r="AL845" t="str">
        <x:v>JA</x:v>
      </x:c>
    </x:row>
    <x:row r="846">
      <x:c r="A846" t="str">
        <x:v>FP-1105</x:v>
      </x:c>
      <x:c r="B846" t="str">
        <x:v>EPH</x:v>
      </x:c>
      <x:c r="C846" t="str">
        <x:v>Epheser</x:v>
      </x:c>
      <x:c r="D846" t="n">
        <x:v>1</x:v>
      </x:c>
      <x:c r="E846" t="n">
        <x:v>5</x:v>
      </x:c>
      <x:c r="F846" t="str">
        <x:v>EPH-001</x:v>
      </x:c>
      <x:c r="G846" t="n">
        <x:v>169</x:v>
      </x:c>
      <x:c r="H846" t="str">
        <x:v>CQ-A10</x:v>
      </x:c>
      <x:c r="I846" s="36" t="str">
        <x:v>Bestandsfrage Epheser 1: repetitive Kapitel-Erkennungsfrage</x:v>
      </x:c>
      <x:c r="J846" s="36"/>
      <x:c r="K846" s="36"/>
      <x:c r="L846" s="36" t="str">
        <x:v>MASTER_STATUS_VERIFIZIERT</x:v>
      </x:c>
      <x:c r="M846" s="36" t="str">
        <x:v>ERSETZEN</x:v>
      </x:c>
      <x:c r="N846" s="36" t="str">
        <x:v>REPETITIVE_FRAGEFORM</x:v>
      </x:c>
      <x:c r="O846" s="36" t="str">
        <x:v>REINE_WIEDERERKENNUNG</x:v>
      </x:c>
      <x:c r="P846" s="36" t="str">
        <x:v>GEBET</x:v>
      </x:c>
      <x:c r="Q846" s="36" t="str">
        <x:v>Wofür betet Paulus, wenn er von den 'erleuchteten Augen' der Glaubenden spricht?</x:v>
      </x:c>
      <x:c r="R846" s="36" t="str">
        <x:v>Dass sie Hoffnung, Erbe und die Größe von Gottes Kraft besser erkennen.</x:v>
      </x:c>
      <x:c r="S846" s="36" t="str">
        <x:v>Dass sie genaue Termine für zukünftige Ereignisse berechnen.</x:v>
      </x:c>
      <x:c r="T846" s="36" t="str">
        <x:v>Dass sie keinerlei Fragen mehr zum Glauben haben.</x:v>
      </x:c>
      <x:c r="U846" s="36" t="str">
        <x:v>Dass sie gesellschaftlich über allen anderen stehen.</x:v>
      </x:c>
      <x:c r="V846" s="36" t="n">
        <x:v>0</x:v>
      </x:c>
      <x:c r="W846" s="36" t="str">
        <x:v>Dass sie Hoffnung, Erbe und die Größe von Gottes Kraft besser erkennen.</x:v>
      </x:c>
      <x:c r="X846" s="36" t="str">
        <x:v>Epheser 1,17–23</x:v>
      </x:c>
      <x:c r="Y846" s="36" t="str">
        <x:v>Paulus bittet nicht nur um mehr Information, sondern um geistliche Erkenntnis: Die Glaubenden sollen ihre Hoffnung, Gottes Erbe und seine an ihnen wirkende Kraft erfassen.</x:v>
      </x:c>
      <x:c r="Z846" s="36" t="str">
        <x:v>JA</x:v>
      </x:c>
      <x:c r="AA846" s="36" t="str">
        <x:v>JA</x:v>
      </x:c>
      <x:c r="AB846" s="36" t="str">
        <x:v>JA</x:v>
      </x:c>
      <x:c r="AC846" s="36" t="str">
        <x:v>JA</x:v>
      </x:c>
      <x:c r="AD846" s="36" t="str">
        <x:v>JA</x:v>
      </x:c>
      <x:c r="AE846" s="36" t="str">
        <x:v>JA</x:v>
      </x:c>
      <x:c r="AF846" s="36" t="str">
        <x:v>JA</x:v>
      </x:c>
      <x:c r="AG846" s="36" t="str">
        <x:v>FREIGEGEBEN</x:v>
      </x:c>
      <x:c r="AH846" s="36" t="str">
        <x:v>GPT-5.6 Sol · Buchprüfung Epheser · L1912/OTB</x:v>
      </x:c>
      <x:c r="AI846" s="36" t="str">
        <x:v>FREIGEGEBEN</x:v>
      </x:c>
      <x:c r="AJ846" s="36" t="str">
        <x:v>Epheser 1: repetitive Kapitel-Erkennungsfrage durch hochwertige GEBET-Frage ersetzt.</x:v>
      </x:c>
      <x:c r="AK846" s="36" t="str">
        <x:v>FaithPath repo develop/v4 · data/bibles/l1912/EPH.json · data/bibles/otb/EPH.json</x:v>
      </x:c>
      <x:c r="AL846" t="str">
        <x:v>JA</x:v>
      </x:c>
    </x:row>
    <x:row r="847">
      <x:c r="A847" t="str">
        <x:v>FP-1106</x:v>
      </x:c>
      <x:c r="B847" t="str">
        <x:v>EPH</x:v>
      </x:c>
      <x:c r="C847" t="str">
        <x:v>Epheser</x:v>
      </x:c>
      <x:c r="D847" t="n">
        <x:v>2</x:v>
      </x:c>
      <x:c r="E847" t="n">
        <x:v>1</x:v>
      </x:c>
      <x:c r="F847" t="str">
        <x:v>EPH-002</x:v>
      </x:c>
      <x:c r="G847" t="n">
        <x:v>170</x:v>
      </x:c>
      <x:c r="H847" t="str">
        <x:v>CQ-A10</x:v>
      </x:c>
      <x:c r="I847" s="36" t="str">
        <x:v>Bestandsfrage Epheser 2: repetitive Kapitel-Erkennungsfrage</x:v>
      </x:c>
      <x:c r="J847" s="36"/>
      <x:c r="K847" s="36"/>
      <x:c r="L847" s="36" t="str">
        <x:v>MASTER_STATUS_VERIFIZIERT</x:v>
      </x:c>
      <x:c r="M847" s="36" t="str">
        <x:v>ERSETZEN</x:v>
      </x:c>
      <x:c r="N847" s="36" t="str">
        <x:v>REPETITIVE_FRAGEFORM</x:v>
      </x:c>
      <x:c r="O847" s="36" t="str">
        <x:v>REINE_WIEDERERKENNUNG</x:v>
      </x:c>
      <x:c r="P847" s="36" t="str">
        <x:v>AUSGANGSLAGE</x:v>
      </x:c>
      <x:c r="Q847" s="36" t="str">
        <x:v>Wie beschreibt Paulus den früheren Zustand der Glaubenden zu Beginn von Epheser 2?</x:v>
      </x:c>
      <x:c r="R847" s="36" t="str">
        <x:v>Als vollkommen gerecht durch eigene Werke.</x:v>
      </x:c>
      <x:c r="S847" s="36" t="str">
        <x:v>Als geistlich tot in Übertretungen und Sünden.</x:v>
      </x:c>
      <x:c r="T847" s="36" t="str">
        <x:v>Als unwissend, aber bereits ohne Sünde.</x:v>
      </x:c>
      <x:c r="U847" s="36" t="str">
        <x:v>Als außerhalb jeder Verantwortung vor Gott.</x:v>
      </x:c>
      <x:c r="V847" s="36" t="n">
        <x:v>1</x:v>
      </x:c>
      <x:c r="W847" s="36" t="str">
        <x:v>Als geistlich tot in Übertretungen und Sünden.</x:v>
      </x:c>
      <x:c r="X847" s="36" t="str">
        <x:v>Epheser 2,1–3</x:v>
      </x:c>
      <x:c r="Y847" s="36" t="str">
        <x:v>Paulus zeichnet bewusst einen starken Kontrast: Früher waren sie von Sünde und den Maßstäben dieser Welt geprägt; anschließend stellt er Gottes Barmherzigkeit und neues Leben in Christus dagegen.</x:v>
      </x:c>
      <x:c r="Z847" s="36" t="str">
        <x:v>JA</x:v>
      </x:c>
      <x:c r="AA847" s="36" t="str">
        <x:v>JA</x:v>
      </x:c>
      <x:c r="AB847" s="36" t="str">
        <x:v>JA</x:v>
      </x:c>
      <x:c r="AC847" s="36" t="str">
        <x:v>JA</x:v>
      </x:c>
      <x:c r="AD847" s="36" t="str">
        <x:v>JA</x:v>
      </x:c>
      <x:c r="AE847" s="36" t="str">
        <x:v>JA</x:v>
      </x:c>
      <x:c r="AF847" s="36" t="str">
        <x:v>JA</x:v>
      </x:c>
      <x:c r="AG847" s="36" t="str">
        <x:v>FREIGEGEBEN</x:v>
      </x:c>
      <x:c r="AH847" s="36" t="str">
        <x:v>GPT-5.6 Sol · Buchprüfung Epheser · L1912/OTB</x:v>
      </x:c>
      <x:c r="AI847" s="36" t="str">
        <x:v>FREIGEGEBEN</x:v>
      </x:c>
      <x:c r="AJ847" s="36" t="str">
        <x:v>Epheser 2: repetitive Kapitel-Erkennungsfrage durch hochwertige AUSGANGSLAGE-Frage ersetzt.</x:v>
      </x:c>
      <x:c r="AK847" s="36" t="str">
        <x:v>FaithPath repo develop/v4 · data/bibles/l1912/EPH.json · data/bibles/otb/EPH.json</x:v>
      </x:c>
      <x:c r="AL847" t="str">
        <x:v>JA</x:v>
      </x:c>
    </x:row>
    <x:row r="848">
      <x:c r="A848" t="str">
        <x:v>FP-1107</x:v>
      </x:c>
      <x:c r="B848" t="str">
        <x:v>EPH</x:v>
      </x:c>
      <x:c r="C848" t="str">
        <x:v>Epheser</x:v>
      </x:c>
      <x:c r="D848" t="n">
        <x:v>2</x:v>
      </x:c>
      <x:c r="E848" t="n">
        <x:v>2</x:v>
      </x:c>
      <x:c r="F848" t="str">
        <x:v>EPH-002</x:v>
      </x:c>
      <x:c r="G848" t="n">
        <x:v>170</x:v>
      </x:c>
      <x:c r="H848" t="str">
        <x:v>CQ-A10</x:v>
      </x:c>
      <x:c r="I848" s="36" t="str">
        <x:v>Bestandsfrage Epheser 2: repetitive Kapitel-Erkennungsfrage</x:v>
      </x:c>
      <x:c r="J848" s="36"/>
      <x:c r="K848" s="36"/>
      <x:c r="L848" s="36" t="str">
        <x:v>MASTER_STATUS_VERIFIZIERT</x:v>
      </x:c>
      <x:c r="M848" s="36" t="str">
        <x:v>ERSETZEN</x:v>
      </x:c>
      <x:c r="N848" s="36" t="str">
        <x:v>REPETITIVE_FRAGEFORM</x:v>
      </x:c>
      <x:c r="O848" s="36" t="str">
        <x:v>REINE_WIEDERERKENNUNG</x:v>
      </x:c>
      <x:c r="P848" s="36" t="str">
        <x:v>KERNAUSSAGE</x:v>
      </x:c>
      <x:c r="Q848" s="36" t="str">
        <x:v>Wie beschreibt Epheser 2 die Rettung des Menschen?</x:v>
      </x:c>
      <x:c r="R848" s="36" t="str">
        <x:v>Als Lohn für ausreichend viele gute Werke.</x:v>
      </x:c>
      <x:c r="S848" s="36" t="str">
        <x:v>Als Folge der richtigen ethnischen Abstammung.</x:v>
      </x:c>
      <x:c r="T848" s="36" t="str">
        <x:v>Aus Gnade durch Glauben als Gottes Gabe, nicht als Verdienst aus Werken.</x:v>
      </x:c>
      <x:c r="U848" s="36" t="str">
        <x:v>Als Ergebnis besonderer religiöser Titel.</x:v>
      </x:c>
      <x:c r="V848" s="36" t="n">
        <x:v>2</x:v>
      </x:c>
      <x:c r="W848" s="36" t="str">
        <x:v>Aus Gnade durch Glauben als Gottes Gabe, nicht als Verdienst aus Werken.</x:v>
      </x:c>
      <x:c r="X848" s="36" t="str">
        <x:v>Epheser 2,4–9</x:v>
      </x:c>
      <x:c r="Y848" s="36" t="str">
        <x:v>Epheser 2 betont Gottes Initiative: Rettung ist Gnade und Geschenk. Werke sind nicht die Grundlage, auf die ein Mensch sich vor Gott berufen könnte.</x:v>
      </x:c>
      <x:c r="Z848" s="36" t="str">
        <x:v>JA</x:v>
      </x:c>
      <x:c r="AA848" s="36" t="str">
        <x:v>JA</x:v>
      </x:c>
      <x:c r="AB848" s="36" t="str">
        <x:v>JA</x:v>
      </x:c>
      <x:c r="AC848" s="36" t="str">
        <x:v>JA</x:v>
      </x:c>
      <x:c r="AD848" s="36" t="str">
        <x:v>JA</x:v>
      </x:c>
      <x:c r="AE848" s="36" t="str">
        <x:v>JA</x:v>
      </x:c>
      <x:c r="AF848" s="36" t="str">
        <x:v>JA</x:v>
      </x:c>
      <x:c r="AG848" s="36" t="str">
        <x:v>FREIGEGEBEN</x:v>
      </x:c>
      <x:c r="AH848" s="36" t="str">
        <x:v>GPT-5.6 Sol · Buchprüfung Epheser · L1912/OTB</x:v>
      </x:c>
      <x:c r="AI848" s="36" t="str">
        <x:v>FREIGEGEBEN</x:v>
      </x:c>
      <x:c r="AJ848" s="36" t="str">
        <x:v>Epheser 2: repetitive Kapitel-Erkennungsfrage durch hochwertige KERNAUSSAGE-Frage ersetzt.</x:v>
      </x:c>
      <x:c r="AK848" s="36" t="str">
        <x:v>FaithPath repo develop/v4 · data/bibles/l1912/EPH.json · data/bibles/otb/EPH.json</x:v>
      </x:c>
      <x:c r="AL848" t="str">
        <x:v>JA</x:v>
      </x:c>
    </x:row>
    <x:row r="849">
      <x:c r="A849" t="str">
        <x:v>FP-1108</x:v>
      </x:c>
      <x:c r="B849" t="str">
        <x:v>EPH</x:v>
      </x:c>
      <x:c r="C849" t="str">
        <x:v>Epheser</x:v>
      </x:c>
      <x:c r="D849" t="n">
        <x:v>2</x:v>
      </x:c>
      <x:c r="E849" t="n">
        <x:v>3</x:v>
      </x:c>
      <x:c r="F849" t="str">
        <x:v>EPH-002</x:v>
      </x:c>
      <x:c r="G849" t="n">
        <x:v>170</x:v>
      </x:c>
      <x:c r="H849" t="str">
        <x:v>CQ-A10</x:v>
      </x:c>
      <x:c r="I849" s="36" t="str">
        <x:v>Bestandsfrage Epheser 2: repetitive Kapitel-Erkennungsfrage</x:v>
      </x:c>
      <x:c r="J849" s="36"/>
      <x:c r="K849" s="36"/>
      <x:c r="L849" s="36" t="str">
        <x:v>MASTER_STATUS_VERIFIZIERT</x:v>
      </x:c>
      <x:c r="M849" s="36" t="str">
        <x:v>ERSETZEN</x:v>
      </x:c>
      <x:c r="N849" s="36" t="str">
        <x:v>REPETITIVE_FRAGEFORM</x:v>
      </x:c>
      <x:c r="O849" s="36" t="str">
        <x:v>REINE_WIEDERERKENNUNG</x:v>
      </x:c>
      <x:c r="P849" s="36" t="str">
        <x:v>ZUSAMMENHANG</x:v>
      </x:c>
      <x:c r="Q849" s="36" t="str">
        <x:v>Welche Rolle haben gute Werke nach Epheser 2,10?</x:v>
      </x:c>
      <x:c r="R849" s="36" t="str">
        <x:v>Sie ersetzen den Glauben und verdienen die Rettung.</x:v>
      </x:c>
      <x:c r="S849" s="36" t="str">
        <x:v>Sie sind für Christen grundsätzlich bedeutungslos.</x:v>
      </x:c>
      <x:c r="T849" s="36" t="str">
        <x:v>Sie gelten nur für Menschen jüdischer Herkunft.</x:v>
      </x:c>
      <x:c r="U849" s="36" t="str">
        <x:v>Sie sind der von Gott vorbereitete Weg eines in Christus neu geschaffenen Lebens.</x:v>
      </x:c>
      <x:c r="V849" s="36" t="n">
        <x:v>3</x:v>
      </x:c>
      <x:c r="W849" s="36" t="str">
        <x:v>Sie sind der von Gott vorbereitete Weg eines in Christus neu geschaffenen Lebens.</x:v>
      </x:c>
      <x:c r="X849" s="36" t="str">
        <x:v>Epheser 2,10</x:v>
      </x:c>
      <x:c r="Y849" s="36" t="str">
        <x:v>Direkt nach der Aussage über Rettung aus Gnade nennt Paulus gute Werke als Folge des neuen Lebens: Die Glaubenden sind Gottes Werk und sollen in den vorbereiteten guten Werken leben.</x:v>
      </x:c>
      <x:c r="Z849" s="36" t="str">
        <x:v>JA</x:v>
      </x:c>
      <x:c r="AA849" s="36" t="str">
        <x:v>JA</x:v>
      </x:c>
      <x:c r="AB849" s="36" t="str">
        <x:v>JA</x:v>
      </x:c>
      <x:c r="AC849" s="36" t="str">
        <x:v>JA</x:v>
      </x:c>
      <x:c r="AD849" s="36" t="str">
        <x:v>JA</x:v>
      </x:c>
      <x:c r="AE849" s="36" t="str">
        <x:v>JA</x:v>
      </x:c>
      <x:c r="AF849" s="36" t="str">
        <x:v>JA</x:v>
      </x:c>
      <x:c r="AG849" s="36" t="str">
        <x:v>FREIGEGEBEN</x:v>
      </x:c>
      <x:c r="AH849" s="36" t="str">
        <x:v>GPT-5.6 Sol · Buchprüfung Epheser · L1912/OTB</x:v>
      </x:c>
      <x:c r="AI849" s="36" t="str">
        <x:v>FREIGEGEBEN</x:v>
      </x:c>
      <x:c r="AJ849" s="36" t="str">
        <x:v>Epheser 2: repetitive Kapitel-Erkennungsfrage durch hochwertige ZUSAMMENHANG-Frage ersetzt.</x:v>
      </x:c>
      <x:c r="AK849" s="36" t="str">
        <x:v>FaithPath repo develop/v4 · data/bibles/l1912/EPH.json · data/bibles/otb/EPH.json</x:v>
      </x:c>
      <x:c r="AL849" t="str">
        <x:v>JA</x:v>
      </x:c>
    </x:row>
    <x:row r="850">
      <x:c r="A850" t="str">
        <x:v>FP-1109</x:v>
      </x:c>
      <x:c r="B850" t="str">
        <x:v>EPH</x:v>
      </x:c>
      <x:c r="C850" t="str">
        <x:v>Epheser</x:v>
      </x:c>
      <x:c r="D850" t="n">
        <x:v>2</x:v>
      </x:c>
      <x:c r="E850" t="n">
        <x:v>4</x:v>
      </x:c>
      <x:c r="F850" t="str">
        <x:v>EPH-002</x:v>
      </x:c>
      <x:c r="G850" t="n">
        <x:v>170</x:v>
      </x:c>
      <x:c r="H850" t="str">
        <x:v>CQ-A10</x:v>
      </x:c>
      <x:c r="I850" s="36" t="str">
        <x:v>Bestandsfrage Epheser 2: repetitive Kapitel-Erkennungsfrage</x:v>
      </x:c>
      <x:c r="J850" s="36"/>
      <x:c r="K850" s="36"/>
      <x:c r="L850" s="36" t="str">
        <x:v>MASTER_STATUS_VERIFIZIERT</x:v>
      </x:c>
      <x:c r="M850" s="36" t="str">
        <x:v>ERSETZEN</x:v>
      </x:c>
      <x:c r="N850" s="36" t="str">
        <x:v>REPETITIVE_FRAGEFORM</x:v>
      </x:c>
      <x:c r="O850" s="36" t="str">
        <x:v>REINE_WIEDERERKENNUNG</x:v>
      </x:c>
      <x:c r="P850" s="36" t="str">
        <x:v>VERSÖHNUNG</x:v>
      </x:c>
      <x:c r="Q850" s="36" t="str">
        <x:v>Was hat Christus nach Epheser 2 für die zuvor 'Fernen' und 'Nahen' bewirkt?</x:v>
      </x:c>
      <x:c r="R850" s="36" t="str">
        <x:v>Er hat Frieden geschaffen und beide in einem Leib mit Gott versöhnt.</x:v>
      </x:c>
      <x:c r="S850" s="36" t="str">
        <x:v>Er hat ihre Trennung dauerhaft religiös festgeschrieben.</x:v>
      </x:c>
      <x:c r="T850" s="36" t="str">
        <x:v>Er hat nur den Fernen Zugang zu Gott gegeben.</x:v>
      </x:c>
      <x:c r="U850" s="36" t="str">
        <x:v>Er hat den Zugang zum Vater an die Herkunft gebunden.</x:v>
      </x:c>
      <x:c r="V850" s="36" t="n">
        <x:v>0</x:v>
      </x:c>
      <x:c r="W850" s="36" t="str">
        <x:v>Er hat Frieden geschaffen und beide in einem Leib mit Gott versöhnt.</x:v>
      </x:c>
      <x:c r="X850" s="36" t="str">
        <x:v>Epheser 2,13–18</x:v>
      </x:c>
      <x:c r="Y850" s="36" t="str">
        <x:v>Christus wird als 'unser Friede' beschrieben. Der Text betont die Überwindung von Feindschaft und den gemeinsamen Zugang zum Vater durch einen Geist.</x:v>
      </x:c>
      <x:c r="Z850" s="36" t="str">
        <x:v>JA</x:v>
      </x:c>
      <x:c r="AA850" s="36" t="str">
        <x:v>JA</x:v>
      </x:c>
      <x:c r="AB850" s="36" t="str">
        <x:v>JA</x:v>
      </x:c>
      <x:c r="AC850" s="36" t="str">
        <x:v>JA</x:v>
      </x:c>
      <x:c r="AD850" s="36" t="str">
        <x:v>JA</x:v>
      </x:c>
      <x:c r="AE850" s="36" t="str">
        <x:v>JA</x:v>
      </x:c>
      <x:c r="AF850" s="36" t="str">
        <x:v>JA</x:v>
      </x:c>
      <x:c r="AG850" s="36" t="str">
        <x:v>FREIGEGEBEN</x:v>
      </x:c>
      <x:c r="AH850" s="36" t="str">
        <x:v>GPT-5.6 Sol · Buchprüfung Epheser · L1912/OTB</x:v>
      </x:c>
      <x:c r="AI850" s="36" t="str">
        <x:v>FREIGEGEBEN</x:v>
      </x:c>
      <x:c r="AJ850" s="36" t="str">
        <x:v>Epheser 2: repetitive Kapitel-Erkennungsfrage durch hochwertige VERSÖHNUNG-Frage ersetzt.</x:v>
      </x:c>
      <x:c r="AK850" s="36" t="str">
        <x:v>FaithPath repo develop/v4 · data/bibles/l1912/EPH.json · data/bibles/otb/EPH.json</x:v>
      </x:c>
      <x:c r="AL850" t="str">
        <x:v>JA</x:v>
      </x:c>
    </x:row>
    <x:row r="851">
      <x:c r="A851" t="str">
        <x:v>FP-1110</x:v>
      </x:c>
      <x:c r="B851" t="str">
        <x:v>EPH</x:v>
      </x:c>
      <x:c r="C851" t="str">
        <x:v>Epheser</x:v>
      </x:c>
      <x:c r="D851" t="n">
        <x:v>2</x:v>
      </x:c>
      <x:c r="E851" t="n">
        <x:v>5</x:v>
      </x:c>
      <x:c r="F851" t="str">
        <x:v>EPH-002</x:v>
      </x:c>
      <x:c r="G851" t="n">
        <x:v>170</x:v>
      </x:c>
      <x:c r="H851" t="str">
        <x:v>CQ-A10</x:v>
      </x:c>
      <x:c r="I851" s="36" t="str">
        <x:v>Bestandsfrage Epheser 2: repetitive Kapitel-Erkennungsfrage</x:v>
      </x:c>
      <x:c r="J851" s="36"/>
      <x:c r="K851" s="36"/>
      <x:c r="L851" s="36" t="str">
        <x:v>MASTER_STATUS_VERIFIZIERT</x:v>
      </x:c>
      <x:c r="M851" s="36" t="str">
        <x:v>ERSETZEN</x:v>
      </x:c>
      <x:c r="N851" s="36" t="str">
        <x:v>REPETITIVE_FRAGEFORM</x:v>
      </x:c>
      <x:c r="O851" s="36" t="str">
        <x:v>REINE_WIEDERERKENNUNG</x:v>
      </x:c>
      <x:c r="P851" s="36" t="str">
        <x:v>BILD</x:v>
      </x:c>
      <x:c r="Q851" s="36" t="str">
        <x:v>Mit welchem Bild beschreibt Paulus die neue Zugehörigkeit der Glaubenden am Ende von Epheser 2?</x:v>
      </x:c>
      <x:c r="R851" s="36" t="str">
        <x:v>Als voneinander getrennte Einzelhäuser ohne gemeinsames Fundament.</x:v>
      </x:c>
      <x:c r="S851" s="36" t="str">
        <x:v>Als Mitbürger und Hausgenossen Gottes, aufgebaut auf einem Fundament mit Christus als Eckstein.</x:v>
      </x:c>
      <x:c r="T851" s="36" t="str">
        <x:v>Als politische Beamte eines irdischen Reiches.</x:v>
      </x:c>
      <x:c r="U851" s="36" t="str">
        <x:v>Als Besucher, die dauerhaft Fremde bleiben.</x:v>
      </x:c>
      <x:c r="V851" s="36" t="n">
        <x:v>1</x:v>
      </x:c>
      <x:c r="W851" s="36" t="str">
        <x:v>Als Mitbürger und Hausgenossen Gottes, aufgebaut auf einem Fundament mit Christus als Eckstein.</x:v>
      </x:c>
      <x:c r="X851" s="36" t="str">
        <x:v>Epheser 2,19–22</x:v>
      </x:c>
      <x:c r="Y851" s="36" t="str">
        <x:v>Aus Fremden werden Mitbürger und Angehörige von Gottes Haus. Das Bild steigert sich zu einem gemeinsamen Bau, dessen Eckstein Christus ist und der zu einer Wohnung Gottes im Geist wächst.</x:v>
      </x:c>
      <x:c r="Z851" s="36" t="str">
        <x:v>JA</x:v>
      </x:c>
      <x:c r="AA851" s="36" t="str">
        <x:v>JA</x:v>
      </x:c>
      <x:c r="AB851" s="36" t="str">
        <x:v>JA</x:v>
      </x:c>
      <x:c r="AC851" s="36" t="str">
        <x:v>JA</x:v>
      </x:c>
      <x:c r="AD851" s="36" t="str">
        <x:v>JA</x:v>
      </x:c>
      <x:c r="AE851" s="36" t="str">
        <x:v>JA</x:v>
      </x:c>
      <x:c r="AF851" s="36" t="str">
        <x:v>JA</x:v>
      </x:c>
      <x:c r="AG851" s="36" t="str">
        <x:v>FREIGEGEBEN</x:v>
      </x:c>
      <x:c r="AH851" s="36" t="str">
        <x:v>GPT-5.6 Sol · Buchprüfung Epheser · L1912/OTB</x:v>
      </x:c>
      <x:c r="AI851" s="36" t="str">
        <x:v>FREIGEGEBEN</x:v>
      </x:c>
      <x:c r="AJ851" s="36" t="str">
        <x:v>Epheser 2: repetitive Kapitel-Erkennungsfrage durch hochwertige BILD-Frage ersetzt.</x:v>
      </x:c>
      <x:c r="AK851" s="36" t="str">
        <x:v>FaithPath repo develop/v4 · data/bibles/l1912/EPH.json · data/bibles/otb/EPH.json</x:v>
      </x:c>
      <x:c r="AL851" t="str">
        <x:v>JA</x:v>
      </x:c>
    </x:row>
    <x:row r="852">
      <x:c r="A852" t="str">
        <x:v>FP-1111</x:v>
      </x:c>
      <x:c r="B852" t="str">
        <x:v>EPH</x:v>
      </x:c>
      <x:c r="C852" t="str">
        <x:v>Epheser</x:v>
      </x:c>
      <x:c r="D852" t="n">
        <x:v>3</x:v>
      </x:c>
      <x:c r="E852" t="n">
        <x:v>1</x:v>
      </x:c>
      <x:c r="F852" t="str">
        <x:v>EPH-003</x:v>
      </x:c>
      <x:c r="G852" t="n">
        <x:v>171</x:v>
      </x:c>
      <x:c r="H852" t="str">
        <x:v>CQ-A10</x:v>
      </x:c>
      <x:c r="I852" s="36" t="str">
        <x:v>Bestandsfrage Epheser 3: repetitive Kapitel-Erkennungsfrage</x:v>
      </x:c>
      <x:c r="J852" s="36"/>
      <x:c r="K852" s="36"/>
      <x:c r="L852" s="36" t="str">
        <x:v>MASTER_STATUS_VERIFIZIERT</x:v>
      </x:c>
      <x:c r="M852" s="36" t="str">
        <x:v>ERSETZEN</x:v>
      </x:c>
      <x:c r="N852" s="36" t="str">
        <x:v>REPETITIVE_FRAGEFORM</x:v>
      </x:c>
      <x:c r="O852" s="36" t="str">
        <x:v>REINE_WIEDERERKENNUNG</x:v>
      </x:c>
      <x:c r="P852" s="36" t="str">
        <x:v>KERNAUSSAGE</x:v>
      </x:c>
      <x:c r="Q852" s="36" t="str">
        <x:v>Was ist das in Epheser 3 beschriebene 'Geheimnis' Christi?</x:v>
      </x:c>
      <x:c r="R852" s="36" t="str">
        <x:v>Dass nur eine bestimmte Volksgruppe Gottes Verheißung empfangen kann.</x:v>
      </x:c>
      <x:c r="S852" s="36" t="str">
        <x:v>Dass Paulus die Gemeinde in Ephesus politisch leiten soll.</x:v>
      </x:c>
      <x:c r="T852" s="36" t="str">
        <x:v>Dass die Heiden durch das Evangelium Miterben, Mitglieder desselben Leibes und Mitteilhaber der Verheißung sind.</x:v>
      </x:c>
      <x:c r="U852" s="36" t="str">
        <x:v>Dass das Evangelium nur den Aposteln bekannt sein darf.</x:v>
      </x:c>
      <x:c r="V852" s="36" t="n">
        <x:v>2</x:v>
      </x:c>
      <x:c r="W852" s="36" t="str">
        <x:v>Dass die Heiden durch das Evangelium Miterben, Mitglieder desselben Leibes und Mitteilhaber der Verheißung sind.</x:v>
      </x:c>
      <x:c r="X852" s="36" t="str">
        <x:v>Epheser 3,3–6</x:v>
      </x:c>
      <x:c r="Y852" s="36" t="str">
        <x:v>Paulus nennt ausdrücklich die Einbeziehung der Heiden: In Christus gehören sie durch das Evangelium gemeinsam zum Erbe, zum Leib und zur Verheißung.</x:v>
      </x:c>
      <x:c r="Z852" s="36" t="str">
        <x:v>JA</x:v>
      </x:c>
      <x:c r="AA852" s="36" t="str">
        <x:v>JA</x:v>
      </x:c>
      <x:c r="AB852" s="36" t="str">
        <x:v>JA</x:v>
      </x:c>
      <x:c r="AC852" s="36" t="str">
        <x:v>JA</x:v>
      </x:c>
      <x:c r="AD852" s="36" t="str">
        <x:v>JA</x:v>
      </x:c>
      <x:c r="AE852" s="36" t="str">
        <x:v>JA</x:v>
      </x:c>
      <x:c r="AF852" s="36" t="str">
        <x:v>JA</x:v>
      </x:c>
      <x:c r="AG852" s="36" t="str">
        <x:v>FREIGEGEBEN</x:v>
      </x:c>
      <x:c r="AH852" s="36" t="str">
        <x:v>GPT-5.6 Sol · Buchprüfung Epheser · L1912/OTB</x:v>
      </x:c>
      <x:c r="AI852" s="36" t="str">
        <x:v>FREIGEGEBEN</x:v>
      </x:c>
      <x:c r="AJ852" s="36" t="str">
        <x:v>Epheser 3: repetitive Kapitel-Erkennungsfrage durch hochwertige KERNAUSSAGE-Frage ersetzt.</x:v>
      </x:c>
      <x:c r="AK852" s="36" t="str">
        <x:v>FaithPath repo develop/v4 · data/bibles/l1912/EPH.json · data/bibles/otb/EPH.json</x:v>
      </x:c>
      <x:c r="AL852" t="str">
        <x:v>JA</x:v>
      </x:c>
    </x:row>
    <x:row r="853">
      <x:c r="A853" t="str">
        <x:v>FP-1112</x:v>
      </x:c>
      <x:c r="B853" t="str">
        <x:v>EPH</x:v>
      </x:c>
      <x:c r="C853" t="str">
        <x:v>Epheser</x:v>
      </x:c>
      <x:c r="D853" t="n">
        <x:v>3</x:v>
      </x:c>
      <x:c r="E853" t="n">
        <x:v>2</x:v>
      </x:c>
      <x:c r="F853" t="str">
        <x:v>EPH-003</x:v>
      </x:c>
      <x:c r="G853" t="n">
        <x:v>171</x:v>
      </x:c>
      <x:c r="H853" t="str">
        <x:v>CQ-A10</x:v>
      </x:c>
      <x:c r="I853" s="36" t="str">
        <x:v>Bestandsfrage Epheser 3: repetitive Kapitel-Erkennungsfrage</x:v>
      </x:c>
      <x:c r="J853" s="36"/>
      <x:c r="K853" s="36"/>
      <x:c r="L853" s="36" t="str">
        <x:v>MASTER_STATUS_VERIFIZIERT</x:v>
      </x:c>
      <x:c r="M853" s="36" t="str">
        <x:v>ERSETZEN</x:v>
      </x:c>
      <x:c r="N853" s="36" t="str">
        <x:v>REPETITIVE_FRAGEFORM</x:v>
      </x:c>
      <x:c r="O853" s="36" t="str">
        <x:v>REINE_WIEDERERKENNUNG</x:v>
      </x:c>
      <x:c r="P853" s="36" t="str">
        <x:v>AUFTRAG</x:v>
      </x:c>
      <x:c r="Q853" s="36" t="str">
        <x:v>Welchen Auftrag verbindet Paulus mit der ihm gegebenen Gnade?</x:v>
      </x:c>
      <x:c r="R853" s="36" t="str">
        <x:v>Nur über seine eigene Biografie zu sprechen.</x:v>
      </x:c>
      <x:c r="S853" s="36" t="str">
        <x:v>Die Gemeinden von allen Nichtjuden abzuschotten.</x:v>
      </x:c>
      <x:c r="T853" s="36" t="str">
        <x:v>Die Botschaft möglichst geheim zu halten.</x:v>
      </x:c>
      <x:c r="U853" s="36" t="str">
        <x:v>Den Heiden den unergründlichen Reichtum Christi zu verkündigen.</x:v>
      </x:c>
      <x:c r="V853" s="36" t="n">
        <x:v>3</x:v>
      </x:c>
      <x:c r="W853" s="36" t="str">
        <x:v>Den Heiden den unergründlichen Reichtum Christi zu verkündigen.</x:v>
      </x:c>
      <x:c r="X853" s="36" t="str">
        <x:v>Epheser 3,7–9</x:v>
      </x:c>
      <x:c r="Y853" s="36" t="str">
        <x:v>Paulus versteht seinen Dienst als Gnadengabe. Sein Auftrag ist, Christus unter den Heiden zu verkündigen und die Bedeutung des lange verborgenen göttlichen Plans sichtbar zu machen.</x:v>
      </x:c>
      <x:c r="Z853" s="36" t="str">
        <x:v>JA</x:v>
      </x:c>
      <x:c r="AA853" s="36" t="str">
        <x:v>JA</x:v>
      </x:c>
      <x:c r="AB853" s="36" t="str">
        <x:v>JA</x:v>
      </x:c>
      <x:c r="AC853" s="36" t="str">
        <x:v>JA</x:v>
      </x:c>
      <x:c r="AD853" s="36" t="str">
        <x:v>JA</x:v>
      </x:c>
      <x:c r="AE853" s="36" t="str">
        <x:v>JA</x:v>
      </x:c>
      <x:c r="AF853" s="36" t="str">
        <x:v>JA</x:v>
      </x:c>
      <x:c r="AG853" s="36" t="str">
        <x:v>FREIGEGEBEN</x:v>
      </x:c>
      <x:c r="AH853" s="36" t="str">
        <x:v>GPT-5.6 Sol · Buchprüfung Epheser · L1912/OTB</x:v>
      </x:c>
      <x:c r="AI853" s="36" t="str">
        <x:v>FREIGEGEBEN</x:v>
      </x:c>
      <x:c r="AJ853" s="36" t="str">
        <x:v>Epheser 3: repetitive Kapitel-Erkennungsfrage durch hochwertige AUFTRAG-Frage ersetzt.</x:v>
      </x:c>
      <x:c r="AK853" s="36" t="str">
        <x:v>FaithPath repo develop/v4 · data/bibles/l1912/EPH.json · data/bibles/otb/EPH.json</x:v>
      </x:c>
      <x:c r="AL853" t="str">
        <x:v>JA</x:v>
      </x:c>
    </x:row>
    <x:row r="854">
      <x:c r="A854" t="str">
        <x:v>FP-1113</x:v>
      </x:c>
      <x:c r="B854" t="str">
        <x:v>EPH</x:v>
      </x:c>
      <x:c r="C854" t="str">
        <x:v>Epheser</x:v>
      </x:c>
      <x:c r="D854" t="n">
        <x:v>3</x:v>
      </x:c>
      <x:c r="E854" t="n">
        <x:v>3</x:v>
      </x:c>
      <x:c r="F854" t="str">
        <x:v>EPH-003</x:v>
      </x:c>
      <x:c r="G854" t="n">
        <x:v>171</x:v>
      </x:c>
      <x:c r="H854" t="str">
        <x:v>CQ-A10</x:v>
      </x:c>
      <x:c r="I854" s="36" t="str">
        <x:v>Bestandsfrage Epheser 3: repetitive Kapitel-Erkennungsfrage</x:v>
      </x:c>
      <x:c r="J854" s="36"/>
      <x:c r="K854" s="36"/>
      <x:c r="L854" s="36" t="str">
        <x:v>MASTER_STATUS_VERIFIZIERT</x:v>
      </x:c>
      <x:c r="M854" s="36" t="str">
        <x:v>ERSETZEN</x:v>
      </x:c>
      <x:c r="N854" s="36" t="str">
        <x:v>REPETITIVE_FRAGEFORM</x:v>
      </x:c>
      <x:c r="O854" s="36" t="str">
        <x:v>REINE_WIEDERERKENNUNG</x:v>
      </x:c>
      <x:c r="P854" s="36" t="str">
        <x:v>ZUSAMMENHANG</x:v>
      </x:c>
      <x:c r="Q854" s="36" t="str">
        <x:v>Was soll nach Epheser 3 durch die Gemeinde sichtbar werden?</x:v>
      </x:c>
      <x:c r="R854" s="36" t="str">
        <x:v>Die vielfältige Weisheit Gottes.</x:v>
      </x:c>
      <x:c r="S854" s="36" t="str">
        <x:v>Die militärische Stärke der Christen.</x:v>
      </x:c>
      <x:c r="T854" s="36" t="str">
        <x:v>Die Überlegenheit einer bestimmten Kultur.</x:v>
      </x:c>
      <x:c r="U854" s="36" t="str">
        <x:v>Die Unabhängigkeit der Gemeinde von Christus.</x:v>
      </x:c>
      <x:c r="V854" s="36" t="n">
        <x:v>0</x:v>
      </x:c>
      <x:c r="W854" s="36" t="str">
        <x:v>Die vielfältige Weisheit Gottes.</x:v>
      </x:c>
      <x:c r="X854" s="36" t="str">
        <x:v>Epheser 3,10–11</x:v>
      </x:c>
      <x:c r="Y854" s="36" t="str">
        <x:v>Paulus beschreibt die Gemeinde selbst als Teil von Gottes Offenbarung: An ihr soll die vielfältige Weisheit Gottes sogar den Mächten in den himmlischen Bereichen bekannt werden.</x:v>
      </x:c>
      <x:c r="Z854" s="36" t="str">
        <x:v>JA</x:v>
      </x:c>
      <x:c r="AA854" s="36" t="str">
        <x:v>JA</x:v>
      </x:c>
      <x:c r="AB854" s="36" t="str">
        <x:v>JA</x:v>
      </x:c>
      <x:c r="AC854" s="36" t="str">
        <x:v>JA</x:v>
      </x:c>
      <x:c r="AD854" s="36" t="str">
        <x:v>JA</x:v>
      </x:c>
      <x:c r="AE854" s="36" t="str">
        <x:v>JA</x:v>
      </x:c>
      <x:c r="AF854" s="36" t="str">
        <x:v>JA</x:v>
      </x:c>
      <x:c r="AG854" s="36" t="str">
        <x:v>FREIGEGEBEN</x:v>
      </x:c>
      <x:c r="AH854" s="36" t="str">
        <x:v>GPT-5.6 Sol · Buchprüfung Epheser · L1912/OTB</x:v>
      </x:c>
      <x:c r="AI854" s="36" t="str">
        <x:v>FREIGEGEBEN</x:v>
      </x:c>
      <x:c r="AJ854" s="36" t="str">
        <x:v>Epheser 3: repetitive Kapitel-Erkennungsfrage durch hochwertige ZUSAMMENHANG-Frage ersetzt.</x:v>
      </x:c>
      <x:c r="AK854" s="36" t="str">
        <x:v>FaithPath repo develop/v4 · data/bibles/l1912/EPH.json · data/bibles/otb/EPH.json</x:v>
      </x:c>
      <x:c r="AL854" t="str">
        <x:v>JA</x:v>
      </x:c>
    </x:row>
    <x:row r="855">
      <x:c r="A855" t="str">
        <x:v>FP-1114</x:v>
      </x:c>
      <x:c r="B855" t="str">
        <x:v>EPH</x:v>
      </x:c>
      <x:c r="C855" t="str">
        <x:v>Epheser</x:v>
      </x:c>
      <x:c r="D855" t="n">
        <x:v>3</x:v>
      </x:c>
      <x:c r="E855" t="n">
        <x:v>4</x:v>
      </x:c>
      <x:c r="F855" t="str">
        <x:v>EPH-003</x:v>
      </x:c>
      <x:c r="G855" t="n">
        <x:v>171</x:v>
      </x:c>
      <x:c r="H855" t="str">
        <x:v>CQ-A10</x:v>
      </x:c>
      <x:c r="I855" s="36" t="str">
        <x:v>Bestandsfrage Epheser 3: repetitive Kapitel-Erkennungsfrage</x:v>
      </x:c>
      <x:c r="J855" s="36"/>
      <x:c r="K855" s="36"/>
      <x:c r="L855" s="36" t="str">
        <x:v>MASTER_STATUS_VERIFIZIERT</x:v>
      </x:c>
      <x:c r="M855" s="36" t="str">
        <x:v>ERSETZEN</x:v>
      </x:c>
      <x:c r="N855" s="36" t="str">
        <x:v>REPETITIVE_FRAGEFORM</x:v>
      </x:c>
      <x:c r="O855" s="36" t="str">
        <x:v>REINE_WIEDERERKENNUNG</x:v>
      </x:c>
      <x:c r="P855" s="36" t="str">
        <x:v>ZUGANG</x:v>
      </x:c>
      <x:c r="Q855" s="36" t="str">
        <x:v>Was haben Glaubende nach Epheser 3 in Christus durch den Glauben?</x:v>
      </x:c>
      <x:c r="R855" s="36" t="str">
        <x:v>Anspruch auf ein Leben ohne Leiden.</x:v>
      </x:c>
      <x:c r="S855" s="36" t="str">
        <x:v>Freimütigen und vertrauensvollen Zugang zu Gott.</x:v>
      </x:c>
      <x:c r="T855" s="36" t="str">
        <x:v>Automatisch mehr geistliches Ansehen als andere.</x:v>
      </x:c>
      <x:c r="U855" s="36" t="str">
        <x:v>Die Pflicht, sich von allen Nichtchristen zurückzuziehen.</x:v>
      </x:c>
      <x:c r="V855" s="36" t="n">
        <x:v>1</x:v>
      </x:c>
      <x:c r="W855" s="36" t="str">
        <x:v>Freimütigen und vertrauensvollen Zugang zu Gott.</x:v>
      </x:c>
      <x:c r="X855" s="36" t="str">
        <x:v>Epheser 3,11–12</x:v>
      </x:c>
      <x:c r="Y855" s="36" t="str">
        <x:v>Der ewige Vorsatz Gottes ist in Christus verwirklicht. Deshalb spricht Paulus von Freimut und vertrauensvollem Zugang zu Gott durch den Glauben an Christus.</x:v>
      </x:c>
      <x:c r="Z855" s="36" t="str">
        <x:v>JA</x:v>
      </x:c>
      <x:c r="AA855" s="36" t="str">
        <x:v>JA</x:v>
      </x:c>
      <x:c r="AB855" s="36" t="str">
        <x:v>JA</x:v>
      </x:c>
      <x:c r="AC855" s="36" t="str">
        <x:v>JA</x:v>
      </x:c>
      <x:c r="AD855" s="36" t="str">
        <x:v>JA</x:v>
      </x:c>
      <x:c r="AE855" s="36" t="str">
        <x:v>JA</x:v>
      </x:c>
      <x:c r="AF855" s="36" t="str">
        <x:v>JA</x:v>
      </x:c>
      <x:c r="AG855" s="36" t="str">
        <x:v>FREIGEGEBEN</x:v>
      </x:c>
      <x:c r="AH855" s="36" t="str">
        <x:v>GPT-5.6 Sol · Buchprüfung Epheser · L1912/OTB</x:v>
      </x:c>
      <x:c r="AI855" s="36" t="str">
        <x:v>FREIGEGEBEN</x:v>
      </x:c>
      <x:c r="AJ855" s="36" t="str">
        <x:v>Epheser 3: repetitive Kapitel-Erkennungsfrage durch hochwertige ZUGANG-Frage ersetzt.</x:v>
      </x:c>
      <x:c r="AK855" s="36" t="str">
        <x:v>FaithPath repo develop/v4 · data/bibles/l1912/EPH.json · data/bibles/otb/EPH.json</x:v>
      </x:c>
      <x:c r="AL855" t="str">
        <x:v>JA</x:v>
      </x:c>
    </x:row>
    <x:row r="856">
      <x:c r="A856" t="str">
        <x:v>FP-1115</x:v>
      </x:c>
      <x:c r="B856" t="str">
        <x:v>EPH</x:v>
      </x:c>
      <x:c r="C856" t="str">
        <x:v>Epheser</x:v>
      </x:c>
      <x:c r="D856" t="n">
        <x:v>3</x:v>
      </x:c>
      <x:c r="E856" t="n">
        <x:v>5</x:v>
      </x:c>
      <x:c r="F856" t="str">
        <x:v>EPH-003</x:v>
      </x:c>
      <x:c r="G856" t="n">
        <x:v>171</x:v>
      </x:c>
      <x:c r="H856" t="str">
        <x:v>CQ-A10</x:v>
      </x:c>
      <x:c r="I856" s="36" t="str">
        <x:v>Bestandsfrage Epheser 3: repetitive Kapitel-Erkennungsfrage</x:v>
      </x:c>
      <x:c r="J856" s="36"/>
      <x:c r="K856" s="36"/>
      <x:c r="L856" s="36" t="str">
        <x:v>MASTER_STATUS_VERIFIZIERT</x:v>
      </x:c>
      <x:c r="M856" s="36" t="str">
        <x:v>ERSETZEN</x:v>
      </x:c>
      <x:c r="N856" s="36" t="str">
        <x:v>REPETITIVE_FRAGEFORM</x:v>
      </x:c>
      <x:c r="O856" s="36" t="str">
        <x:v>REINE_WIEDERERKENNUNG</x:v>
      </x:c>
      <x:c r="P856" s="36" t="str">
        <x:v>GEBET</x:v>
      </x:c>
      <x:c r="Q856" s="36" t="str">
        <x:v>Worauf zielt Paulus' Gebet am Ende von Epheser 3?</x:v>
      </x:c>
      <x:c r="R856" s="36" t="str">
        <x:v>Auf genaue Kenntnis aller zukünftigen politischen Ereignisse.</x:v>
      </x:c>
      <x:c r="S856" s="36" t="str">
        <x:v>Auf vollständige Unabhängigkeit von der Gemeinde.</x:v>
      </x:c>
      <x:c r="T856" s="36" t="str">
        <x:v>Auf innere Stärkung durch den Geist, Verwurzelung in Liebe und tiefere Erkenntnis der Liebe Christi.</x:v>
      </x:c>
      <x:c r="U856" s="36" t="str">
        <x:v>Auf die Fähigkeit, Gottes Liebe vollständig begrifflich auszuschöpfen.</x:v>
      </x:c>
      <x:c r="V856" s="36" t="n">
        <x:v>2</x:v>
      </x:c>
      <x:c r="W856" s="36" t="str">
        <x:v>Auf innere Stärkung durch den Geist, Verwurzelung in Liebe und tiefere Erkenntnis der Liebe Christi.</x:v>
      </x:c>
      <x:c r="X856" s="36" t="str">
        <x:v>Epheser 3,14–21</x:v>
      </x:c>
      <x:c r="Y856" s="36" t="str">
        <x:v>Paulus bittet um Kraft im inneren Menschen, um Christi Wohnen im Herzen und um Verwurzelung in Liebe. Dabei bezeichnet er die Liebe Christi zugleich als größer als menschliches Erkennen.</x:v>
      </x:c>
      <x:c r="Z856" s="36" t="str">
        <x:v>JA</x:v>
      </x:c>
      <x:c r="AA856" s="36" t="str">
        <x:v>JA</x:v>
      </x:c>
      <x:c r="AB856" s="36" t="str">
        <x:v>JA</x:v>
      </x:c>
      <x:c r="AC856" s="36" t="str">
        <x:v>JA</x:v>
      </x:c>
      <x:c r="AD856" s="36" t="str">
        <x:v>JA</x:v>
      </x:c>
      <x:c r="AE856" s="36" t="str">
        <x:v>JA</x:v>
      </x:c>
      <x:c r="AF856" s="36" t="str">
        <x:v>JA</x:v>
      </x:c>
      <x:c r="AG856" s="36" t="str">
        <x:v>FREIGEGEBEN</x:v>
      </x:c>
      <x:c r="AH856" s="36" t="str">
        <x:v>GPT-5.6 Sol · Buchprüfung Epheser · L1912/OTB</x:v>
      </x:c>
      <x:c r="AI856" s="36" t="str">
        <x:v>FREIGEGEBEN</x:v>
      </x:c>
      <x:c r="AJ856" s="36" t="str">
        <x:v>Epheser 3: repetitive Kapitel-Erkennungsfrage durch hochwertige GEBET-Frage ersetzt.</x:v>
      </x:c>
      <x:c r="AK856" s="36" t="str">
        <x:v>FaithPath repo develop/v4 · data/bibles/l1912/EPH.json · data/bibles/otb/EPH.json</x:v>
      </x:c>
      <x:c r="AL856" t="str">
        <x:v>JA</x:v>
      </x:c>
    </x:row>
    <x:row r="857">
      <x:c r="A857" t="str">
        <x:v>FP-1116</x:v>
      </x:c>
      <x:c r="B857" t="str">
        <x:v>EPH</x:v>
      </x:c>
      <x:c r="C857" t="str">
        <x:v>Epheser</x:v>
      </x:c>
      <x:c r="D857" t="n">
        <x:v>4</x:v>
      </x:c>
      <x:c r="E857" t="n">
        <x:v>1</x:v>
      </x:c>
      <x:c r="F857" t="str">
        <x:v>EPH-004</x:v>
      </x:c>
      <x:c r="G857" t="n">
        <x:v>172</x:v>
      </x:c>
      <x:c r="H857" t="str">
        <x:v>CQ-A10</x:v>
      </x:c>
      <x:c r="I857" s="36" t="str">
        <x:v>Bestandsfrage Epheser 4: repetitive Kapitel-Erkennungsfrage</x:v>
      </x:c>
      <x:c r="J857" s="36"/>
      <x:c r="K857" s="36"/>
      <x:c r="L857" s="36" t="str">
        <x:v>MASTER_STATUS_VERIFIZIERT</x:v>
      </x:c>
      <x:c r="M857" s="36" t="str">
        <x:v>ERSETZEN</x:v>
      </x:c>
      <x:c r="N857" s="36" t="str">
        <x:v>REPETITIVE_FRAGEFORM</x:v>
      </x:c>
      <x:c r="O857" s="36" t="str">
        <x:v>REINE_WIEDERERKENNUNG</x:v>
      </x:c>
      <x:c r="P857" s="36" t="str">
        <x:v>ANWENDUNG</x:v>
      </x:c>
      <x:c r="Q857" s="36" t="str">
        <x:v>Welche Haltung gehört nach Epheser 4 zu einem Leben, das der Berufung würdig ist?</x:v>
      </x:c>
      <x:c r="R857" s="36" t="str">
        <x:v>Ständiger Wettbewerb um die wichtigste Position.</x:v>
      </x:c>
      <x:c r="S857" s="36" t="str">
        <x:v>Distanz zu allen Menschen mit anderer Meinung.</x:v>
      </x:c>
      <x:c r="T857" s="36" t="str">
        <x:v>Härte als wichtigste Form geistlicher Reife.</x:v>
      </x:c>
      <x:c r="U857" s="36" t="str">
        <x:v>Demut, Sanftmut, Geduld und liebevolles Ertragen.</x:v>
      </x:c>
      <x:c r="V857" s="36" t="n">
        <x:v>3</x:v>
      </x:c>
      <x:c r="W857" s="36" t="str">
        <x:v>Demut, Sanftmut, Geduld und liebevolles Ertragen.</x:v>
      </x:c>
      <x:c r="X857" s="36" t="str">
        <x:v>Epheser 4,1–3</x:v>
      </x:c>
      <x:c r="Y857" s="36" t="str">
        <x:v>Paulus verbindet die Berufung mit konkretem Verhalten. Die genannten Haltungen dienen ausdrücklich dazu, die Einheit des Geistes im Band des Friedens zu bewahren.</x:v>
      </x:c>
      <x:c r="Z857" s="36" t="str">
        <x:v>JA</x:v>
      </x:c>
      <x:c r="AA857" s="36" t="str">
        <x:v>JA</x:v>
      </x:c>
      <x:c r="AB857" s="36" t="str">
        <x:v>JA</x:v>
      </x:c>
      <x:c r="AC857" s="36" t="str">
        <x:v>JA</x:v>
      </x:c>
      <x:c r="AD857" s="36" t="str">
        <x:v>JA</x:v>
      </x:c>
      <x:c r="AE857" s="36" t="str">
        <x:v>JA</x:v>
      </x:c>
      <x:c r="AF857" s="36" t="str">
        <x:v>JA</x:v>
      </x:c>
      <x:c r="AG857" s="36" t="str">
        <x:v>FREIGEGEBEN</x:v>
      </x:c>
      <x:c r="AH857" s="36" t="str">
        <x:v>GPT-5.6 Sol · Buchprüfung Epheser · L1912/OTB</x:v>
      </x:c>
      <x:c r="AI857" s="36" t="str">
        <x:v>FREIGEGEBEN</x:v>
      </x:c>
      <x:c r="AJ857" s="36" t="str">
        <x:v>Epheser 4: repetitive Kapitel-Erkennungsfrage durch hochwertige ANWENDUNG-Frage ersetzt.</x:v>
      </x:c>
      <x:c r="AK857" s="36" t="str">
        <x:v>FaithPath repo develop/v4 · data/bibles/l1912/EPH.json · data/bibles/otb/EPH.json</x:v>
      </x:c>
      <x:c r="AL857" t="str">
        <x:v>JA</x:v>
      </x:c>
    </x:row>
    <x:row r="858">
      <x:c r="A858" t="str">
        <x:v>FP-1117</x:v>
      </x:c>
      <x:c r="B858" t="str">
        <x:v>EPH</x:v>
      </x:c>
      <x:c r="C858" t="str">
        <x:v>Epheser</x:v>
      </x:c>
      <x:c r="D858" t="n">
        <x:v>4</x:v>
      </x:c>
      <x:c r="E858" t="n">
        <x:v>2</x:v>
      </x:c>
      <x:c r="F858" t="str">
        <x:v>EPH-004</x:v>
      </x:c>
      <x:c r="G858" t="n">
        <x:v>172</x:v>
      </x:c>
      <x:c r="H858" t="str">
        <x:v>CQ-A10</x:v>
      </x:c>
      <x:c r="I858" s="36" t="str">
        <x:v>Bestandsfrage Epheser 4: repetitive Kapitel-Erkennungsfrage</x:v>
      </x:c>
      <x:c r="J858" s="36"/>
      <x:c r="K858" s="36"/>
      <x:c r="L858" s="36" t="str">
        <x:v>MASTER_STATUS_VERIFIZIERT</x:v>
      </x:c>
      <x:c r="M858" s="36" t="str">
        <x:v>ERSETZEN</x:v>
      </x:c>
      <x:c r="N858" s="36" t="str">
        <x:v>REPETITIVE_FRAGEFORM</x:v>
      </x:c>
      <x:c r="O858" s="36" t="str">
        <x:v>REINE_WIEDERERKENNUNG</x:v>
      </x:c>
      <x:c r="P858" s="36" t="str">
        <x:v>ZWECK</x:v>
      </x:c>
      <x:c r="Q858" s="36" t="str">
        <x:v>Wozu dienen die verschiedenen Gaben und Dienste in Epheser 4?</x:v>
      </x:c>
      <x:c r="R858" s="36" t="str">
        <x:v>Zur Zurüstung der Heiligen, zum Dienst und zum Aufbau des Leibes Christi.</x:v>
      </x:c>
      <x:c r="S858" s="36" t="str">
        <x:v>Damit einzelne Personen dauerhaft über der Gemeinde stehen.</x:v>
      </x:c>
      <x:c r="T858" s="36" t="str">
        <x:v>Damit jeder unabhängig von den anderen wirken kann.</x:v>
      </x:c>
      <x:c r="U858" s="36" t="str">
        <x:v>Damit nur Apostel geistlich wachsen.</x:v>
      </x:c>
      <x:c r="V858" s="36" t="n">
        <x:v>0</x:v>
      </x:c>
      <x:c r="W858" s="36" t="str">
        <x:v>Zur Zurüstung der Heiligen, zum Dienst und zum Aufbau des Leibes Christi.</x:v>
      </x:c>
      <x:c r="X858" s="36" t="str">
        <x:v>Epheser 4,7–13</x:v>
      </x:c>
      <x:c r="Y858" s="36" t="str">
        <x:v>Die verschiedenen Dienste haben ein gemeinsames Ziel: die Glaubenden auszurüsten und den Leib Christi aufzubauen, bis Einheit, Erkenntnis und geistliche Reife wachsen.</x:v>
      </x:c>
      <x:c r="Z858" s="36" t="str">
        <x:v>JA</x:v>
      </x:c>
      <x:c r="AA858" s="36" t="str">
        <x:v>JA</x:v>
      </x:c>
      <x:c r="AB858" s="36" t="str">
        <x:v>JA</x:v>
      </x:c>
      <x:c r="AC858" s="36" t="str">
        <x:v>JA</x:v>
      </x:c>
      <x:c r="AD858" s="36" t="str">
        <x:v>JA</x:v>
      </x:c>
      <x:c r="AE858" s="36" t="str">
        <x:v>JA</x:v>
      </x:c>
      <x:c r="AF858" s="36" t="str">
        <x:v>JA</x:v>
      </x:c>
      <x:c r="AG858" s="36" t="str">
        <x:v>FREIGEGEBEN</x:v>
      </x:c>
      <x:c r="AH858" s="36" t="str">
        <x:v>GPT-5.6 Sol · Buchprüfung Epheser · L1912/OTB</x:v>
      </x:c>
      <x:c r="AI858" s="36" t="str">
        <x:v>FREIGEGEBEN</x:v>
      </x:c>
      <x:c r="AJ858" s="36" t="str">
        <x:v>Epheser 4: repetitive Kapitel-Erkennungsfrage durch hochwertige ZWECK-Frage ersetzt.</x:v>
      </x:c>
      <x:c r="AK858" s="36" t="str">
        <x:v>FaithPath repo develop/v4 · data/bibles/l1912/EPH.json · data/bibles/otb/EPH.json</x:v>
      </x:c>
      <x:c r="AL858" t="str">
        <x:v>JA</x:v>
      </x:c>
    </x:row>
    <x:row r="859">
      <x:c r="A859" t="str">
        <x:v>FP-1118</x:v>
      </x:c>
      <x:c r="B859" t="str">
        <x:v>EPH</x:v>
      </x:c>
      <x:c r="C859" t="str">
        <x:v>Epheser</x:v>
      </x:c>
      <x:c r="D859" t="n">
        <x:v>4</x:v>
      </x:c>
      <x:c r="E859" t="n">
        <x:v>3</x:v>
      </x:c>
      <x:c r="F859" t="str">
        <x:v>EPH-004</x:v>
      </x:c>
      <x:c r="G859" t="n">
        <x:v>172</x:v>
      </x:c>
      <x:c r="H859" t="str">
        <x:v>CQ-A10</x:v>
      </x:c>
      <x:c r="I859" s="36" t="str">
        <x:v>Bestandsfrage Epheser 4: repetitive Kapitel-Erkennungsfrage</x:v>
      </x:c>
      <x:c r="J859" s="36"/>
      <x:c r="K859" s="36"/>
      <x:c r="L859" s="36" t="str">
        <x:v>MASTER_STATUS_VERIFIZIERT</x:v>
      </x:c>
      <x:c r="M859" s="36" t="str">
        <x:v>ERSETZEN</x:v>
      </x:c>
      <x:c r="N859" s="36" t="str">
        <x:v>REPETITIVE_FRAGEFORM</x:v>
      </x:c>
      <x:c r="O859" s="36" t="str">
        <x:v>REINE_WIEDERERKENNUNG</x:v>
      </x:c>
      <x:c r="P859" s="36" t="str">
        <x:v>REIFE</x:v>
      </x:c>
      <x:c r="Q859" s="36" t="str">
        <x:v>Woran zeigt sich nach Epheser 4 geistliche Reife?</x:v>
      </x:c>
      <x:c r="R859" s="36" t="str">
        <x:v>Keine Fragen mehr stellen zu dürfen.</x:v>
      </x:c>
      <x:c r="S859" s="36" t="str">
        <x:v>Nicht von jeder Lehre hin- und hergeworfen zu werden, sondern in Liebe zur Wahrheit hin zu Christus zu wachsen.</x:v>
      </x:c>
      <x:c r="T859" s="36" t="str">
        <x:v>Sich von allen anderen Gliedern der Gemeinde unabhängig zu machen.</x:v>
      </x:c>
      <x:c r="U859" s="36" t="str">
        <x:v>Jede neue Aussage ungeprüft anzunehmen.</x:v>
      </x:c>
      <x:c r="V859" s="36" t="n">
        <x:v>1</x:v>
      </x:c>
      <x:c r="W859" s="36" t="str">
        <x:v>Nicht von jeder Lehre hin- und hergeworfen zu werden, sondern in Liebe zur Wahrheit hin zu Christus zu wachsen.</x:v>
      </x:c>
      <x:c r="X859" s="36" t="str">
        <x:v>Epheser 4,13–16</x:v>
      </x:c>
      <x:c r="Y859" s="36" t="str">
        <x:v>Paulus stellt Unmündigkeit der Reife gegenüber. Wachstum geschieht auf Christus, das Haupt, hin und innerhalb eines Leibes, dessen Glieder einander dienen.</x:v>
      </x:c>
      <x:c r="Z859" s="36" t="str">
        <x:v>JA</x:v>
      </x:c>
      <x:c r="AA859" s="36" t="str">
        <x:v>JA</x:v>
      </x:c>
      <x:c r="AB859" s="36" t="str">
        <x:v>JA</x:v>
      </x:c>
      <x:c r="AC859" s="36" t="str">
        <x:v>JA</x:v>
      </x:c>
      <x:c r="AD859" s="36" t="str">
        <x:v>JA</x:v>
      </x:c>
      <x:c r="AE859" s="36" t="str">
        <x:v>JA</x:v>
      </x:c>
      <x:c r="AF859" s="36" t="str">
        <x:v>JA</x:v>
      </x:c>
      <x:c r="AG859" s="36" t="str">
        <x:v>FREIGEGEBEN</x:v>
      </x:c>
      <x:c r="AH859" s="36" t="str">
        <x:v>GPT-5.6 Sol · Buchprüfung Epheser · L1912/OTB</x:v>
      </x:c>
      <x:c r="AI859" s="36" t="str">
        <x:v>FREIGEGEBEN</x:v>
      </x:c>
      <x:c r="AJ859" s="36" t="str">
        <x:v>Epheser 4: repetitive Kapitel-Erkennungsfrage durch hochwertige REIFE-Frage ersetzt.</x:v>
      </x:c>
      <x:c r="AK859" s="36" t="str">
        <x:v>FaithPath repo develop/v4 · data/bibles/l1912/EPH.json · data/bibles/otb/EPH.json</x:v>
      </x:c>
      <x:c r="AL859" t="str">
        <x:v>JA</x:v>
      </x:c>
    </x:row>
    <x:row r="860">
      <x:c r="A860" t="str">
        <x:v>FP-1119</x:v>
      </x:c>
      <x:c r="B860" t="str">
        <x:v>EPH</x:v>
      </x:c>
      <x:c r="C860" t="str">
        <x:v>Epheser</x:v>
      </x:c>
      <x:c r="D860" t="n">
        <x:v>4</x:v>
      </x:c>
      <x:c r="E860" t="n">
        <x:v>4</x:v>
      </x:c>
      <x:c r="F860" t="str">
        <x:v>EPH-004</x:v>
      </x:c>
      <x:c r="G860" t="n">
        <x:v>172</x:v>
      </x:c>
      <x:c r="H860" t="str">
        <x:v>CQ-A10</x:v>
      </x:c>
      <x:c r="I860" s="36" t="str">
        <x:v>Bestandsfrage Epheser 4: repetitive Kapitel-Erkennungsfrage</x:v>
      </x:c>
      <x:c r="J860" s="36"/>
      <x:c r="K860" s="36"/>
      <x:c r="L860" s="36" t="str">
        <x:v>MASTER_STATUS_VERIFIZIERT</x:v>
      </x:c>
      <x:c r="M860" s="36" t="str">
        <x:v>ERSETZEN</x:v>
      </x:c>
      <x:c r="N860" s="36" t="str">
        <x:v>REPETITIVE_FRAGEFORM</x:v>
      </x:c>
      <x:c r="O860" s="36" t="str">
        <x:v>REINE_WIEDERERKENNUNG</x:v>
      </x:c>
      <x:c r="P860" s="36" t="str">
        <x:v>VERÄNDERUNG</x:v>
      </x:c>
      <x:c r="Q860" s="36" t="str">
        <x:v>Wie beschreibt Paulus die grundlegende Veränderung des christlichen Lebens in Epheser 4?</x:v>
      </x:c>
      <x:c r="R860" s="36" t="str">
        <x:v>Nur äußerliche religiöse Regeln ergänzen.</x:v>
      </x:c>
      <x:c r="S860" s="36" t="str">
        <x:v>Die eigene Vergangenheit vollständig leugnen.</x:v>
      </x:c>
      <x:c r="T860" s="36" t="str">
        <x:v>Den alten Menschen ablegen, im Denken erneuert werden und den neuen Menschen anziehen.</x:v>
      </x:c>
      <x:c r="U860" s="36" t="str">
        <x:v>Sich allein durch gesellschaftliche Anerkennung verändern.</x:v>
      </x:c>
      <x:c r="V860" s="36" t="n">
        <x:v>2</x:v>
      </x:c>
      <x:c r="W860" s="36" t="str">
        <x:v>Den alten Menschen ablegen, im Denken erneuert werden und den neuen Menschen anziehen.</x:v>
      </x:c>
      <x:c r="X860" s="36" t="str">
        <x:v>Epheser 4,20–24</x:v>
      </x:c>
      <x:c r="Y860" s="36" t="str">
        <x:v>Paulus beschreibt Veränderung als tiefgreifende Erneuerung: Der alte Lebensstil wird abgelegt, das Denken erneuert und ein neues, an Gottes Gerechtigkeit und Heiligkeit orientiertes Leben angezogen.</x:v>
      </x:c>
      <x:c r="Z860" s="36" t="str">
        <x:v>JA</x:v>
      </x:c>
      <x:c r="AA860" s="36" t="str">
        <x:v>JA</x:v>
      </x:c>
      <x:c r="AB860" s="36" t="str">
        <x:v>JA</x:v>
      </x:c>
      <x:c r="AC860" s="36" t="str">
        <x:v>JA</x:v>
      </x:c>
      <x:c r="AD860" s="36" t="str">
        <x:v>JA</x:v>
      </x:c>
      <x:c r="AE860" s="36" t="str">
        <x:v>JA</x:v>
      </x:c>
      <x:c r="AF860" s="36" t="str">
        <x:v>JA</x:v>
      </x:c>
      <x:c r="AG860" s="36" t="str">
        <x:v>FREIGEGEBEN</x:v>
      </x:c>
      <x:c r="AH860" s="36" t="str">
        <x:v>GPT-5.6 Sol · Buchprüfung Epheser · L1912/OTB</x:v>
      </x:c>
      <x:c r="AI860" s="36" t="str">
        <x:v>FREIGEGEBEN</x:v>
      </x:c>
      <x:c r="AJ860" s="36" t="str">
        <x:v>Epheser 4: repetitive Kapitel-Erkennungsfrage durch hochwertige VERÄNDERUNG-Frage ersetzt.</x:v>
      </x:c>
      <x:c r="AK860" s="36" t="str">
        <x:v>FaithPath repo develop/v4 · data/bibles/l1912/EPH.json · data/bibles/otb/EPH.json</x:v>
      </x:c>
      <x:c r="AL860" t="str">
        <x:v>JA</x:v>
      </x:c>
    </x:row>
    <x:row r="861">
      <x:c r="A861" t="str">
        <x:v>FP-1120</x:v>
      </x:c>
      <x:c r="B861" t="str">
        <x:v>EPH</x:v>
      </x:c>
      <x:c r="C861" t="str">
        <x:v>Epheser</x:v>
      </x:c>
      <x:c r="D861" t="n">
        <x:v>4</x:v>
      </x:c>
      <x:c r="E861" t="n">
        <x:v>5</x:v>
      </x:c>
      <x:c r="F861" t="str">
        <x:v>EPH-004</x:v>
      </x:c>
      <x:c r="G861" t="n">
        <x:v>172</x:v>
      </x:c>
      <x:c r="H861" t="str">
        <x:v>CQ-A10</x:v>
      </x:c>
      <x:c r="I861" s="36" t="str">
        <x:v>Bestandsfrage Epheser 4: repetitive Kapitel-Erkennungsfrage</x:v>
      </x:c>
      <x:c r="J861" s="36"/>
      <x:c r="K861" s="36"/>
      <x:c r="L861" s="36" t="str">
        <x:v>MASTER_STATUS_VERIFIZIERT</x:v>
      </x:c>
      <x:c r="M861" s="36" t="str">
        <x:v>ERSETZEN</x:v>
      </x:c>
      <x:c r="N861" s="36" t="str">
        <x:v>REPETITIVE_FRAGEFORM</x:v>
      </x:c>
      <x:c r="O861" s="36" t="str">
        <x:v>REINE_WIEDERERKENNUNG</x:v>
      </x:c>
      <x:c r="P861" s="36" t="str">
        <x:v>SPRACHE</x:v>
      </x:c>
      <x:c r="Q861" s="36" t="str">
        <x:v>Welche Art von Worten sollen nach Epheser 4 aus dem Mund der Glaubenden kommen?</x:v>
      </x:c>
      <x:c r="R861" s="36" t="str">
        <x:v>Nur Worte, die möglichst hart klingen.</x:v>
      </x:c>
      <x:c r="S861" s="36" t="str">
        <x:v>Ausschließlich Kritik an anderen.</x:v>
      </x:c>
      <x:c r="T861" s="36" t="str">
        <x:v>Worte ohne Rücksicht auf ihre Wirkung.</x:v>
      </x:c>
      <x:c r="U861" s="36" t="str">
        <x:v>Worte, die dort aufbauen, wo es nötig ist, und den Hörenden Gutes vermitteln.</x:v>
      </x:c>
      <x:c r="V861" s="36" t="n">
        <x:v>3</x:v>
      </x:c>
      <x:c r="W861" s="36" t="str">
        <x:v>Worte, die dort aufbauen, wo es nötig ist, und den Hörenden Gutes vermitteln.</x:v>
      </x:c>
      <x:c r="X861" s="36" t="str">
        <x:v>Epheser 4,29–32</x:v>
      </x:c>
      <x:c r="Y861" s="36" t="str">
        <x:v>Paulus stellt zerstörerischer Rede eine Sprache gegenüber, die aufbaut und Gnade vermittelt. Der Abschnitt endet entsprechend mit Freundlichkeit, Barmherzigkeit und gegenseitiger Vergebung.</x:v>
      </x:c>
      <x:c r="Z861" s="36" t="str">
        <x:v>JA</x:v>
      </x:c>
      <x:c r="AA861" s="36" t="str">
        <x:v>JA</x:v>
      </x:c>
      <x:c r="AB861" s="36" t="str">
        <x:v>JA</x:v>
      </x:c>
      <x:c r="AC861" s="36" t="str">
        <x:v>JA</x:v>
      </x:c>
      <x:c r="AD861" s="36" t="str">
        <x:v>JA</x:v>
      </x:c>
      <x:c r="AE861" s="36" t="str">
        <x:v>JA</x:v>
      </x:c>
      <x:c r="AF861" s="36" t="str">
        <x:v>JA</x:v>
      </x:c>
      <x:c r="AG861" s="36" t="str">
        <x:v>FREIGEGEBEN</x:v>
      </x:c>
      <x:c r="AH861" s="36" t="str">
        <x:v>GPT-5.6 Sol · Buchprüfung Epheser · L1912/OTB</x:v>
      </x:c>
      <x:c r="AI861" s="36" t="str">
        <x:v>FREIGEGEBEN</x:v>
      </x:c>
      <x:c r="AJ861" s="36" t="str">
        <x:v>Epheser 4: repetitive Kapitel-Erkennungsfrage durch hochwertige SPRACHE-Frage ersetzt.</x:v>
      </x:c>
      <x:c r="AK861" s="36" t="str">
        <x:v>FaithPath repo develop/v4 · data/bibles/l1912/EPH.json · data/bibles/otb/EPH.json</x:v>
      </x:c>
      <x:c r="AL861" t="str">
        <x:v>JA</x:v>
      </x:c>
    </x:row>
    <x:row r="862">
      <x:c r="A862" t="str">
        <x:v>FP-1121</x:v>
      </x:c>
      <x:c r="B862" t="str">
        <x:v>EPH</x:v>
      </x:c>
      <x:c r="C862" t="str">
        <x:v>Epheser</x:v>
      </x:c>
      <x:c r="D862" t="n">
        <x:v>5</x:v>
      </x:c>
      <x:c r="E862" t="n">
        <x:v>1</x:v>
      </x:c>
      <x:c r="F862" t="str">
        <x:v>EPH-005</x:v>
      </x:c>
      <x:c r="G862" t="n">
        <x:v>173</x:v>
      </x:c>
      <x:c r="H862" t="str">
        <x:v>CQ-A10</x:v>
      </x:c>
      <x:c r="I862" s="36" t="str">
        <x:v>Bestandsfrage Epheser 5: repetitive Kapitel-Erkennungsfrage</x:v>
      </x:c>
      <x:c r="J862" s="36"/>
      <x:c r="K862" s="36"/>
      <x:c r="L862" s="36" t="str">
        <x:v>MASTER_STATUS_VERIFIZIERT</x:v>
      </x:c>
      <x:c r="M862" s="36" t="str">
        <x:v>ERSETZEN</x:v>
      </x:c>
      <x:c r="N862" s="36" t="str">
        <x:v>REPETITIVE_FRAGEFORM</x:v>
      </x:c>
      <x:c r="O862" s="36" t="str">
        <x:v>REINE_WIEDERERKENNUNG</x:v>
      </x:c>
      <x:c r="P862" s="36" t="str">
        <x:v>VORBILD</x:v>
      </x:c>
      <x:c r="Q862" s="36" t="str">
        <x:v>Woran soll sich der Weg der Liebe nach Epheser 5 orientieren?</x:v>
      </x:c>
      <x:c r="R862" s="36" t="str">
        <x:v>An Christus, der geliebt und sich selbst hingegeben hat.</x:v>
      </x:c>
      <x:c r="S862" s="36" t="str">
        <x:v>An möglichst großer gesellschaftlicher Anerkennung.</x:v>
      </x:c>
      <x:c r="T862" s="36" t="str">
        <x:v>An der Durchsetzung eigener Interessen.</x:v>
      </x:c>
      <x:c r="U862" s="36" t="str">
        <x:v>An der Vermeidung jeder persönlichen Hingabe.</x:v>
      </x:c>
      <x:c r="V862" s="36" t="n">
        <x:v>0</x:v>
      </x:c>
      <x:c r="W862" s="36" t="str">
        <x:v>An Christus, der geliebt und sich selbst hingegeben hat.</x:v>
      </x:c>
      <x:c r="X862" s="36" t="str">
        <x:v>Epheser 5,1–2</x:v>
      </x:c>
      <x:c r="Y862" s="36" t="str">
        <x:v>Paulus verbindet die Aufforderung, Gott nachzuahmen, unmittelbar mit einem Leben in Liebe. Maßstab dafür ist Christi selbsthingebende Liebe.</x:v>
      </x:c>
      <x:c r="Z862" s="36" t="str">
        <x:v>JA</x:v>
      </x:c>
      <x:c r="AA862" s="36" t="str">
        <x:v>JA</x:v>
      </x:c>
      <x:c r="AB862" s="36" t="str">
        <x:v>JA</x:v>
      </x:c>
      <x:c r="AC862" s="36" t="str">
        <x:v>JA</x:v>
      </x:c>
      <x:c r="AD862" s="36" t="str">
        <x:v>JA</x:v>
      </x:c>
      <x:c r="AE862" s="36" t="str">
        <x:v>JA</x:v>
      </x:c>
      <x:c r="AF862" s="36" t="str">
        <x:v>JA</x:v>
      </x:c>
      <x:c r="AG862" s="36" t="str">
        <x:v>FREIGEGEBEN</x:v>
      </x:c>
      <x:c r="AH862" s="36" t="str">
        <x:v>GPT-5.6 Sol · Buchprüfung Epheser · L1912/OTB</x:v>
      </x:c>
      <x:c r="AI862" s="36" t="str">
        <x:v>FREIGEGEBEN</x:v>
      </x:c>
      <x:c r="AJ862" s="36" t="str">
        <x:v>Epheser 5: repetitive Kapitel-Erkennungsfrage durch hochwertige VORBILD-Frage ersetzt.</x:v>
      </x:c>
      <x:c r="AK862" s="36" t="str">
        <x:v>FaithPath repo develop/v4 · data/bibles/l1912/EPH.json · data/bibles/otb/EPH.json</x:v>
      </x:c>
      <x:c r="AL862" t="str">
        <x:v>JA</x:v>
      </x:c>
    </x:row>
    <x:row r="863">
      <x:c r="A863" t="str">
        <x:v>FP-1122</x:v>
      </x:c>
      <x:c r="B863" t="str">
        <x:v>EPH</x:v>
      </x:c>
      <x:c r="C863" t="str">
        <x:v>Epheser</x:v>
      </x:c>
      <x:c r="D863" t="n">
        <x:v>5</x:v>
      </x:c>
      <x:c r="E863" t="n">
        <x:v>2</x:v>
      </x:c>
      <x:c r="F863" t="str">
        <x:v>EPH-005</x:v>
      </x:c>
      <x:c r="G863" t="n">
        <x:v>173</x:v>
      </x:c>
      <x:c r="H863" t="str">
        <x:v>CQ-A10</x:v>
      </x:c>
      <x:c r="I863" s="36" t="str">
        <x:v>Bestandsfrage Epheser 5: repetitive Kapitel-Erkennungsfrage</x:v>
      </x:c>
      <x:c r="J863" s="36"/>
      <x:c r="K863" s="36"/>
      <x:c r="L863" s="36" t="str">
        <x:v>MASTER_STATUS_VERIFIZIERT</x:v>
      </x:c>
      <x:c r="M863" s="36" t="str">
        <x:v>ERSETZEN</x:v>
      </x:c>
      <x:c r="N863" s="36" t="str">
        <x:v>REPETITIVE_FRAGEFORM</x:v>
      </x:c>
      <x:c r="O863" s="36" t="str">
        <x:v>REINE_WIEDERERKENNUNG</x:v>
      </x:c>
      <x:c r="P863" s="36" t="str">
        <x:v>BILD</x:v>
      </x:c>
      <x:c r="Q863" s="36" t="str">
        <x:v>Wie sollen Menschen leben, die nach Epheser 5 'Licht im Herrn' sind?</x:v>
      </x:c>
      <x:c r="R863" s="36" t="str">
        <x:v>So, als hätte ihr Verhalten keine Bedeutung.</x:v>
      </x:c>
      <x:c r="S863" s="36" t="str">
        <x:v>Als Kinder des Lichts und prüfend, was dem Herrn gefällt.</x:v>
      </x:c>
      <x:c r="T863" s="36" t="str">
        <x:v>Nur verborgen und ohne Bezug zu anderen.</x:v>
      </x:c>
      <x:c r="U863" s="36" t="str">
        <x:v>Indem sie alles übernehmen, was ihre Umgebung tut.</x:v>
      </x:c>
      <x:c r="V863" s="36" t="n">
        <x:v>1</x:v>
      </x:c>
      <x:c r="W863" s="36" t="str">
        <x:v>Als Kinder des Lichts und prüfend, was dem Herrn gefällt.</x:v>
      </x:c>
      <x:c r="X863" s="36" t="str">
        <x:v>Epheser 5,8–10</x:v>
      </x:c>
      <x:c r="Y863" s="36" t="str">
        <x:v>Paulus stellt frühere Finsternis und neues Licht einander gegenüber. Das neue Leben soll sich in Güte, Gerechtigkeit und Wahrheit zeigen und bewusst danach fragen, was Gott gefällt.</x:v>
      </x:c>
      <x:c r="Z863" s="36" t="str">
        <x:v>JA</x:v>
      </x:c>
      <x:c r="AA863" s="36" t="str">
        <x:v>JA</x:v>
      </x:c>
      <x:c r="AB863" s="36" t="str">
        <x:v>JA</x:v>
      </x:c>
      <x:c r="AC863" s="36" t="str">
        <x:v>JA</x:v>
      </x:c>
      <x:c r="AD863" s="36" t="str">
        <x:v>JA</x:v>
      </x:c>
      <x:c r="AE863" s="36" t="str">
        <x:v>JA</x:v>
      </x:c>
      <x:c r="AF863" s="36" t="str">
        <x:v>JA</x:v>
      </x:c>
      <x:c r="AG863" s="36" t="str">
        <x:v>FREIGEGEBEN</x:v>
      </x:c>
      <x:c r="AH863" s="36" t="str">
        <x:v>GPT-5.6 Sol · Buchprüfung Epheser · L1912/OTB</x:v>
      </x:c>
      <x:c r="AI863" s="36" t="str">
        <x:v>FREIGEGEBEN</x:v>
      </x:c>
      <x:c r="AJ863" s="36" t="str">
        <x:v>Epheser 5: repetitive Kapitel-Erkennungsfrage durch hochwertige BILD-Frage ersetzt.</x:v>
      </x:c>
      <x:c r="AK863" s="36" t="str">
        <x:v>FaithPath repo develop/v4 · data/bibles/l1912/EPH.json · data/bibles/otb/EPH.json</x:v>
      </x:c>
      <x:c r="AL863" t="str">
        <x:v>JA</x:v>
      </x:c>
    </x:row>
    <x:row r="864">
      <x:c r="A864" t="str">
        <x:v>FP-1123</x:v>
      </x:c>
      <x:c r="B864" t="str">
        <x:v>EPH</x:v>
      </x:c>
      <x:c r="C864" t="str">
        <x:v>Epheser</x:v>
      </x:c>
      <x:c r="D864" t="n">
        <x:v>5</x:v>
      </x:c>
      <x:c r="E864" t="n">
        <x:v>3</x:v>
      </x:c>
      <x:c r="F864" t="str">
        <x:v>EPH-005</x:v>
      </x:c>
      <x:c r="G864" t="n">
        <x:v>173</x:v>
      </x:c>
      <x:c r="H864" t="str">
        <x:v>CQ-A10</x:v>
      </x:c>
      <x:c r="I864" s="36" t="str">
        <x:v>Bestandsfrage Epheser 5: repetitive Kapitel-Erkennungsfrage</x:v>
      </x:c>
      <x:c r="J864" s="36"/>
      <x:c r="K864" s="36"/>
      <x:c r="L864" s="36" t="str">
        <x:v>MASTER_STATUS_VERIFIZIERT</x:v>
      </x:c>
      <x:c r="M864" s="36" t="str">
        <x:v>ERSETZEN</x:v>
      </x:c>
      <x:c r="N864" s="36" t="str">
        <x:v>REPETITIVE_FRAGEFORM</x:v>
      </x:c>
      <x:c r="O864" s="36" t="str">
        <x:v>REINE_WIEDERERKENNUNG</x:v>
      </x:c>
      <x:c r="P864" s="36" t="str">
        <x:v>WEISHEIT</x:v>
      </x:c>
      <x:c r="Q864" s="36" t="str">
        <x:v>Was kennzeichnet nach Epheser 5 einen weisen Umgang mit dem Leben?</x:v>
      </x:c>
      <x:c r="R864" s="36" t="str">
        <x:v>Sich mit Wein zu berauschen, um Sorgen zu vergessen.</x:v>
      </x:c>
      <x:c r="S864" s="36" t="str">
        <x:v>Alle Entscheidungen spontan und ohne Prüfung zu treffen.</x:v>
      </x:c>
      <x:c r="T864" s="36" t="str">
        <x:v>Die Zeit gut zu nutzen, Gottes Willen verstehen zu wollen und sich vom Geist erfüllen zu lassen.</x:v>
      </x:c>
      <x:c r="U864" s="36" t="str">
        <x:v>Sich aus jedem gemeinschaftlichen Leben zurückzuziehen.</x:v>
      </x:c>
      <x:c r="V864" s="36" t="n">
        <x:v>2</x:v>
      </x:c>
      <x:c r="W864" s="36" t="str">
        <x:v>Die Zeit gut zu nutzen, Gottes Willen verstehen zu wollen und sich vom Geist erfüllen zu lassen.</x:v>
      </x:c>
      <x:c r="X864" s="36" t="str">
        <x:v>Epheser 5,15–20</x:v>
      </x:c>
      <x:c r="Y864" s="36" t="str">
        <x:v>Paulus verbindet sorgfältiges und weises Leben mit dem Auskaufen der Zeit, dem Verstehen von Gottes Willen und dem Erfülltsein vom Geist statt von berauschendem Wein.</x:v>
      </x:c>
      <x:c r="Z864" s="36" t="str">
        <x:v>JA</x:v>
      </x:c>
      <x:c r="AA864" s="36" t="str">
        <x:v>JA</x:v>
      </x:c>
      <x:c r="AB864" s="36" t="str">
        <x:v>JA</x:v>
      </x:c>
      <x:c r="AC864" s="36" t="str">
        <x:v>JA</x:v>
      </x:c>
      <x:c r="AD864" s="36" t="str">
        <x:v>JA</x:v>
      </x:c>
      <x:c r="AE864" s="36" t="str">
        <x:v>JA</x:v>
      </x:c>
      <x:c r="AF864" s="36" t="str">
        <x:v>JA</x:v>
      </x:c>
      <x:c r="AG864" s="36" t="str">
        <x:v>FREIGEGEBEN</x:v>
      </x:c>
      <x:c r="AH864" s="36" t="str">
        <x:v>GPT-5.6 Sol · Buchprüfung Epheser · L1912/OTB</x:v>
      </x:c>
      <x:c r="AI864" s="36" t="str">
        <x:v>FREIGEGEBEN</x:v>
      </x:c>
      <x:c r="AJ864" s="36" t="str">
        <x:v>Epheser 5: repetitive Kapitel-Erkennungsfrage durch hochwertige WEISHEIT-Frage ersetzt.</x:v>
      </x:c>
      <x:c r="AK864" s="36" t="str">
        <x:v>FaithPath repo develop/v4 · data/bibles/l1912/EPH.json · data/bibles/otb/EPH.json</x:v>
      </x:c>
      <x:c r="AL864" t="str">
        <x:v>JA</x:v>
      </x:c>
    </x:row>
    <x:row r="865">
      <x:c r="A865" t="str">
        <x:v>FP-1124</x:v>
      </x:c>
      <x:c r="B865" t="str">
        <x:v>EPH</x:v>
      </x:c>
      <x:c r="C865" t="str">
        <x:v>Epheser</x:v>
      </x:c>
      <x:c r="D865" t="n">
        <x:v>5</x:v>
      </x:c>
      <x:c r="E865" t="n">
        <x:v>4</x:v>
      </x:c>
      <x:c r="F865" t="str">
        <x:v>EPH-005</x:v>
      </x:c>
      <x:c r="G865" t="n">
        <x:v>173</x:v>
      </x:c>
      <x:c r="H865" t="str">
        <x:v>CQ-A10</x:v>
      </x:c>
      <x:c r="I865" s="36" t="str">
        <x:v>Bestandsfrage Epheser 5: repetitive Kapitel-Erkennungsfrage</x:v>
      </x:c>
      <x:c r="J865" s="36"/>
      <x:c r="K865" s="36"/>
      <x:c r="L865" s="36" t="str">
        <x:v>MASTER_STATUS_VERIFIZIERT</x:v>
      </x:c>
      <x:c r="M865" s="36" t="str">
        <x:v>ERSETZEN</x:v>
      </x:c>
      <x:c r="N865" s="36" t="str">
        <x:v>REPETITIVE_FRAGEFORM</x:v>
      </x:c>
      <x:c r="O865" s="36" t="str">
        <x:v>REINE_WIEDERERKENNUNG</x:v>
      </x:c>
      <x:c r="P865" s="36" t="str">
        <x:v>KONTEXT</x:v>
      </x:c>
      <x:c r="Q865" s="36" t="str">
        <x:v>Welche Aufforderung steht in Epheser 5 unmittelbar vor den Anweisungen an Frauen und Männer?</x:v>
      </x:c>
      <x:c r="R865" s="36" t="str">
        <x:v>Meidet jede Gemeinschaft mit Ungläubigen.</x:v>
      </x:c>
      <x:c r="S865" s="36" t="str">
        <x:v>Prüft alle Geister.</x:v>
      </x:c>
      <x:c r="T865" s="36" t="str">
        <x:v>Vergeltet Böses mit Bösem.</x:v>
      </x:c>
      <x:c r="U865" s="36" t="str">
        <x:v>Ordnet euch einander unter.</x:v>
      </x:c>
      <x:c r="V865" s="36" t="n">
        <x:v>3</x:v>
      </x:c>
      <x:c r="W865" s="36" t="str">
        <x:v>Ordnet euch einander unter.</x:v>
      </x:c>
      <x:c r="X865" s="36" t="str">
        <x:v>Epheser 5,21</x:v>
      </x:c>
      <x:c r="Y865" s="36" t="str">
        <x:v>Direkt vor dem Abschnitt über Frauen und Männer steht die gegenseitige Unterordnung. So bleibt die Frage in Luther 1912 und OTB eindeutig, ohne von der unterschiedlich wiedergegebenen Formulierung des anschließenden Ehrfurcht-Bezugs abzuhängen.</x:v>
      </x:c>
      <x:c r="Z865" s="36" t="str">
        <x:v>JA</x:v>
      </x:c>
      <x:c r="AA865" s="36" t="str">
        <x:v>JA</x:v>
      </x:c>
      <x:c r="AB865" s="36" t="str">
        <x:v>JA</x:v>
      </x:c>
      <x:c r="AC865" s="36" t="str">
        <x:v>JA</x:v>
      </x:c>
      <x:c r="AD865" s="36" t="str">
        <x:v>JA</x:v>
      </x:c>
      <x:c r="AE865" s="36" t="str">
        <x:v>JA</x:v>
      </x:c>
      <x:c r="AF865" s="36" t="str">
        <x:v>JA</x:v>
      </x:c>
      <x:c r="AG865" s="36" t="str">
        <x:v>FREIGEGEBEN</x:v>
      </x:c>
      <x:c r="AH865" s="36" t="str">
        <x:v>GPT-5.6 Sol · Buchprüfung Epheser · L1912/OTB</x:v>
      </x:c>
      <x:c r="AI865" s="36" t="str">
        <x:v>FREIGEGEBEN</x:v>
      </x:c>
      <x:c r="AJ865" s="36" t="str">
        <x:v>Epheser 5: repetitive Kapitel-Erkennungsfrage durch hochwertige KONTEXT-Frage ersetzt.</x:v>
      </x:c>
      <x:c r="AK865" s="36" t="str">
        <x:v>FaithPath repo develop/v4 · data/bibles/l1912/EPH.json · data/bibles/otb/EPH.json</x:v>
      </x:c>
      <x:c r="AL865" t="str">
        <x:v>JA</x:v>
      </x:c>
    </x:row>
    <x:row r="866">
      <x:c r="A866" t="str">
        <x:v>FP-1125</x:v>
      </x:c>
      <x:c r="B866" t="str">
        <x:v>EPH</x:v>
      </x:c>
      <x:c r="C866" t="str">
        <x:v>Epheser</x:v>
      </x:c>
      <x:c r="D866" t="n">
        <x:v>5</x:v>
      </x:c>
      <x:c r="E866" t="n">
        <x:v>5</x:v>
      </x:c>
      <x:c r="F866" t="str">
        <x:v>EPH-005</x:v>
      </x:c>
      <x:c r="G866" t="n">
        <x:v>173</x:v>
      </x:c>
      <x:c r="H866" t="str">
        <x:v>CQ-A10</x:v>
      </x:c>
      <x:c r="I866" s="36" t="str">
        <x:v>Bestandsfrage Epheser 5: repetitive Kapitel-Erkennungsfrage</x:v>
      </x:c>
      <x:c r="J866" s="36"/>
      <x:c r="K866" s="36"/>
      <x:c r="L866" s="36" t="str">
        <x:v>MASTER_STATUS_VERIFIZIERT</x:v>
      </x:c>
      <x:c r="M866" s="36" t="str">
        <x:v>ERSETZEN</x:v>
      </x:c>
      <x:c r="N866" s="36" t="str">
        <x:v>REPETITIVE_FRAGEFORM</x:v>
      </x:c>
      <x:c r="O866" s="36" t="str">
        <x:v>REINE_WIEDERERKENNUNG</x:v>
      </x:c>
      <x:c r="P866" s="36" t="str">
        <x:v>VORBILD</x:v>
      </x:c>
      <x:c r="Q866" s="36" t="str">
        <x:v>Welchen Maßstab nennt Paulus ausdrücklich für die Liebe des Mannes zu seiner Frau?</x:v>
      </x:c>
      <x:c r="R866" s="36" t="str">
        <x:v>Christus, der die Gemeinde liebte und sich selbst für sie hingab.</x:v>
      </x:c>
      <x:c r="S866" s="36" t="str">
        <x:v>Den gesellschaftlichen Rang des Mannes.</x:v>
      </x:c>
      <x:c r="T866" s="36" t="str">
        <x:v>Den finanziellen Nutzen der Ehe.</x:v>
      </x:c>
      <x:c r="U866" s="36" t="str">
        <x:v>Die Zustimmung der Umgebung.</x:v>
      </x:c>
      <x:c r="V866" s="36" t="n">
        <x:v>0</x:v>
      </x:c>
      <x:c r="W866" s="36" t="str">
        <x:v>Christus, der die Gemeinde liebte und sich selbst für sie hingab.</x:v>
      </x:c>
      <x:c r="X866" s="36" t="str">
        <x:v>Epheser 5,25–33</x:v>
      </x:c>
      <x:c r="Y866" s="36" t="str">
        <x:v>Paulus setzt für die Liebe des Mannes einen selbsthingebenden Maßstab: Christi Liebe zur Gemeinde. Der Text verbindet dies zusätzlich mit Fürsorge wie für den eigenen Leib.</x:v>
      </x:c>
      <x:c r="Z866" s="36" t="str">
        <x:v>JA</x:v>
      </x:c>
      <x:c r="AA866" s="36" t="str">
        <x:v>JA</x:v>
      </x:c>
      <x:c r="AB866" s="36" t="str">
        <x:v>JA</x:v>
      </x:c>
      <x:c r="AC866" s="36" t="str">
        <x:v>JA</x:v>
      </x:c>
      <x:c r="AD866" s="36" t="str">
        <x:v>JA</x:v>
      </x:c>
      <x:c r="AE866" s="36" t="str">
        <x:v>JA</x:v>
      </x:c>
      <x:c r="AF866" s="36" t="str">
        <x:v>JA</x:v>
      </x:c>
      <x:c r="AG866" s="36" t="str">
        <x:v>FREIGEGEBEN</x:v>
      </x:c>
      <x:c r="AH866" s="36" t="str">
        <x:v>GPT-5.6 Sol · Buchprüfung Epheser · L1912/OTB</x:v>
      </x:c>
      <x:c r="AI866" s="36" t="str">
        <x:v>FREIGEGEBEN</x:v>
      </x:c>
      <x:c r="AJ866" s="36" t="str">
        <x:v>Epheser 5: repetitive Kapitel-Erkennungsfrage durch hochwertige VORBILD-Frage ersetzt.</x:v>
      </x:c>
      <x:c r="AK866" s="36" t="str">
        <x:v>FaithPath repo develop/v4 · data/bibles/l1912/EPH.json · data/bibles/otb/EPH.json</x:v>
      </x:c>
      <x:c r="AL866" t="str">
        <x:v>JA</x:v>
      </x:c>
    </x:row>
    <x:row r="867">
      <x:c r="A867" t="str">
        <x:v>FP-1126</x:v>
      </x:c>
      <x:c r="B867" t="str">
        <x:v>EPH</x:v>
      </x:c>
      <x:c r="C867" t="str">
        <x:v>Epheser</x:v>
      </x:c>
      <x:c r="D867" t="n">
        <x:v>6</x:v>
      </x:c>
      <x:c r="E867" t="n">
        <x:v>1</x:v>
      </x:c>
      <x:c r="F867" t="str">
        <x:v>EPH-006</x:v>
      </x:c>
      <x:c r="G867" t="n">
        <x:v>174</x:v>
      </x:c>
      <x:c r="H867" t="str">
        <x:v>CQ-A10</x:v>
      </x:c>
      <x:c r="I867" s="36" t="str">
        <x:v>Bestandsfrage Epheser 6: repetitive Kapitel-Erkennungsfrage</x:v>
      </x:c>
      <x:c r="J867" s="36"/>
      <x:c r="K867" s="36"/>
      <x:c r="L867" s="36" t="str">
        <x:v>MASTER_STATUS_VERIFIZIERT</x:v>
      </x:c>
      <x:c r="M867" s="36" t="str">
        <x:v>ERSETZEN</x:v>
      </x:c>
      <x:c r="N867" s="36" t="str">
        <x:v>REPETITIVE_FRAGEFORM</x:v>
      </x:c>
      <x:c r="O867" s="36" t="str">
        <x:v>REINE_WIEDERERKENNUNG</x:v>
      </x:c>
      <x:c r="P867" s="36" t="str">
        <x:v>FAMILIE</x:v>
      </x:c>
      <x:c r="Q867" s="36" t="str">
        <x:v>Welche doppelte Verantwortung nennt Epheser 6 im Verhältnis von Kindern und Eltern?</x:v>
      </x:c>
      <x:c r="R867" s="36" t="str">
        <x:v>Kinder sollen allein entscheiden; Eltern dürfen sie nie anleiten.</x:v>
      </x:c>
      <x:c r="S867" s="36" t="str">
        <x:v>Kinder sollen gehorchen und ehren; Väter sollen ihre Kinder nicht zum Zorn reizen, sondern sie im Herrn erziehen.</x:v>
      </x:c>
      <x:c r="T867" s="36" t="str">
        <x:v>Nur Kinder tragen Verantwortung für ein gutes Familienleben.</x:v>
      </x:c>
      <x:c r="U867" s="36" t="str">
        <x:v>Eltern sollen vor allem durch Drohungen erziehen.</x:v>
      </x:c>
      <x:c r="V867" s="36" t="n">
        <x:v>1</x:v>
      </x:c>
      <x:c r="W867" s="36" t="str">
        <x:v>Kinder sollen gehorchen und ehren; Väter sollen ihre Kinder nicht zum Zorn reizen, sondern sie im Herrn erziehen.</x:v>
      </x:c>
      <x:c r="X867" s="36" t="str">
        <x:v>Epheser 6,1–4</x:v>
      </x:c>
      <x:c r="Y867" s="36" t="str">
        <x:v>Paulus spricht beide Seiten an: Kinder sollen Eltern gehorchen und sie ehren; Väter sollen nicht provozieren, sondern verantwortlich erziehen und anleiten.</x:v>
      </x:c>
      <x:c r="Z867" s="36" t="str">
        <x:v>JA</x:v>
      </x:c>
      <x:c r="AA867" s="36" t="str">
        <x:v>JA</x:v>
      </x:c>
      <x:c r="AB867" s="36" t="str">
        <x:v>JA</x:v>
      </x:c>
      <x:c r="AC867" s="36" t="str">
        <x:v>JA</x:v>
      </x:c>
      <x:c r="AD867" s="36" t="str">
        <x:v>JA</x:v>
      </x:c>
      <x:c r="AE867" s="36" t="str">
        <x:v>JA</x:v>
      </x:c>
      <x:c r="AF867" s="36" t="str">
        <x:v>JA</x:v>
      </x:c>
      <x:c r="AG867" s="36" t="str">
        <x:v>FREIGEGEBEN</x:v>
      </x:c>
      <x:c r="AH867" s="36" t="str">
        <x:v>GPT-5.6 Sol · Buchprüfung Epheser · L1912/OTB</x:v>
      </x:c>
      <x:c r="AI867" s="36" t="str">
        <x:v>FREIGEGEBEN</x:v>
      </x:c>
      <x:c r="AJ867" s="36" t="str">
        <x:v>Epheser 6: repetitive Kapitel-Erkennungsfrage durch hochwertige FAMILIE-Frage ersetzt.</x:v>
      </x:c>
      <x:c r="AK867" s="36" t="str">
        <x:v>FaithPath repo develop/v4 · data/bibles/l1912/EPH.json · data/bibles/otb/EPH.json</x:v>
      </x:c>
      <x:c r="AL867" t="str">
        <x:v>JA</x:v>
      </x:c>
    </x:row>
    <x:row r="868">
      <x:c r="A868" t="str">
        <x:v>FP-1127</x:v>
      </x:c>
      <x:c r="B868" t="str">
        <x:v>EPH</x:v>
      </x:c>
      <x:c r="C868" t="str">
        <x:v>Epheser</x:v>
      </x:c>
      <x:c r="D868" t="n">
        <x:v>6</x:v>
      </x:c>
      <x:c r="E868" t="n">
        <x:v>2</x:v>
      </x:c>
      <x:c r="F868" t="str">
        <x:v>EPH-006</x:v>
      </x:c>
      <x:c r="G868" t="n">
        <x:v>174</x:v>
      </x:c>
      <x:c r="H868" t="str">
        <x:v>CQ-A10</x:v>
      </x:c>
      <x:c r="I868" s="36" t="str">
        <x:v>Bestandsfrage Epheser 6: repetitive Kapitel-Erkennungsfrage</x:v>
      </x:c>
      <x:c r="J868" s="36"/>
      <x:c r="K868" s="36"/>
      <x:c r="L868" s="36" t="str">
        <x:v>MASTER_STATUS_VERIFIZIERT</x:v>
      </x:c>
      <x:c r="M868" s="36" t="str">
        <x:v>ERSETZEN</x:v>
      </x:c>
      <x:c r="N868" s="36" t="str">
        <x:v>REPETITIVE_FRAGEFORM</x:v>
      </x:c>
      <x:c r="O868" s="36" t="str">
        <x:v>REINE_WIEDERERKENNUNG</x:v>
      </x:c>
      <x:c r="P868" s="36" t="str">
        <x:v>VERANTWORTUNG</x:v>
      </x:c>
      <x:c r="Q868" s="36" t="str">
        <x:v>Welche Wahrheit relativiert in Epheser 6 die Macht irdischer Herren über andere Menschen?</x:v>
      </x:c>
      <x:c r="R868" s="36" t="str">
        <x:v>Sie dürfen jederzeit ohne Verantwortung drohen.</x:v>
      </x:c>
      <x:c r="S868" s="36" t="str">
        <x:v>Ihr gesellschaftlicher Rang entscheidet über Gottes Urteil.</x:v>
      </x:c>
      <x:c r="T868" s="36" t="str">
        <x:v>Auch sie haben einen Herrn im Himmel, bei dem es kein Ansehen der Person gibt.</x:v>
      </x:c>
      <x:c r="U868" s="36" t="str">
        <x:v>Nur freie Menschen können Gott dienen.</x:v>
      </x:c>
      <x:c r="V868" s="36" t="n">
        <x:v>2</x:v>
      </x:c>
      <x:c r="W868" s="36" t="str">
        <x:v>Auch sie haben einen Herrn im Himmel, bei dem es kein Ansehen der Person gibt.</x:v>
      </x:c>
      <x:c r="X868" s="36" t="str">
        <x:v>Epheser 6,5–9</x:v>
      </x:c>
      <x:c r="Y868" s="36" t="str">
        <x:v>Der Abschnitt spricht Menschen innerhalb der damaligen sozialen Ordnung an, stellt aber beide Seiten unter denselben himmlischen Herrn. Vor Gott gilt keine Bevorzugung aufgrund des gesellschaftlichen Status.</x:v>
      </x:c>
      <x:c r="Z868" s="36" t="str">
        <x:v>JA</x:v>
      </x:c>
      <x:c r="AA868" s="36" t="str">
        <x:v>JA</x:v>
      </x:c>
      <x:c r="AB868" s="36" t="str">
        <x:v>JA</x:v>
      </x:c>
      <x:c r="AC868" s="36" t="str">
        <x:v>JA</x:v>
      </x:c>
      <x:c r="AD868" s="36" t="str">
        <x:v>JA</x:v>
      </x:c>
      <x:c r="AE868" s="36" t="str">
        <x:v>JA</x:v>
      </x:c>
      <x:c r="AF868" s="36" t="str">
        <x:v>JA</x:v>
      </x:c>
      <x:c r="AG868" s="36" t="str">
        <x:v>FREIGEGEBEN</x:v>
      </x:c>
      <x:c r="AH868" s="36" t="str">
        <x:v>GPT-5.6 Sol · Buchprüfung Epheser · L1912/OTB</x:v>
      </x:c>
      <x:c r="AI868" s="36" t="str">
        <x:v>FREIGEGEBEN</x:v>
      </x:c>
      <x:c r="AJ868" s="36" t="str">
        <x:v>Epheser 6: repetitive Kapitel-Erkennungsfrage durch hochwertige VERANTWORTUNG-Frage ersetzt.</x:v>
      </x:c>
      <x:c r="AK868" s="36" t="str">
        <x:v>FaithPath repo develop/v4 · data/bibles/l1912/EPH.json · data/bibles/otb/EPH.json</x:v>
      </x:c>
      <x:c r="AL868" t="str">
        <x:v>JA</x:v>
      </x:c>
    </x:row>
    <x:row r="869">
      <x:c r="A869" t="str">
        <x:v>FP-1128</x:v>
      </x:c>
      <x:c r="B869" t="str">
        <x:v>EPH</x:v>
      </x:c>
      <x:c r="C869" t="str">
        <x:v>Epheser</x:v>
      </x:c>
      <x:c r="D869" t="n">
        <x:v>6</x:v>
      </x:c>
      <x:c r="E869" t="n">
        <x:v>3</x:v>
      </x:c>
      <x:c r="F869" t="str">
        <x:v>EPH-006</x:v>
      </x:c>
      <x:c r="G869" t="n">
        <x:v>174</x:v>
      </x:c>
      <x:c r="H869" t="str">
        <x:v>CQ-A10</x:v>
      </x:c>
      <x:c r="I869" s="36" t="str">
        <x:v>Bestandsfrage Epheser 6: repetitive Kapitel-Erkennungsfrage</x:v>
      </x:c>
      <x:c r="J869" s="36"/>
      <x:c r="K869" s="36"/>
      <x:c r="L869" s="36" t="str">
        <x:v>MASTER_STATUS_VERIFIZIERT</x:v>
      </x:c>
      <x:c r="M869" s="36" t="str">
        <x:v>ERSETZEN</x:v>
      </x:c>
      <x:c r="N869" s="36" t="str">
        <x:v>REPETITIVE_FRAGEFORM</x:v>
      </x:c>
      <x:c r="O869" s="36" t="str">
        <x:v>REINE_WIEDERERKENNUNG</x:v>
      </x:c>
      <x:c r="P869" s="36" t="str">
        <x:v>ZUSAMMENHANG</x:v>
      </x:c>
      <x:c r="Q869" s="36" t="str">
        <x:v>Warum sollen Glaubende nach Epheser 6 die ganze Waffenrüstung Gottes anziehen?</x:v>
      </x:c>
      <x:c r="R869" s="36" t="str">
        <x:v>Damit sie politische Gegner mit Gewalt bekämpfen.</x:v>
      </x:c>
      <x:c r="S869" s="36" t="str">
        <x:v>Damit sie sich körperlich gegen jede Kritik verteidigen.</x:v>
      </x:c>
      <x:c r="T869" s="36" t="str">
        <x:v>Damit sie anderen ihre geistliche Überlegenheit zeigen.</x:v>
      </x:c>
      <x:c r="U869" s="36" t="str">
        <x:v>Damit sie gegen die listigen Angriffe des Bösen standhalten können, denn der Kampf ist nicht bloß gegen Menschen gerichtet.</x:v>
      </x:c>
      <x:c r="V869" s="36" t="n">
        <x:v>3</x:v>
      </x:c>
      <x:c r="W869" s="36" t="str">
        <x:v>Damit sie gegen die listigen Angriffe des Bösen standhalten können, denn der Kampf ist nicht bloß gegen Menschen gerichtet.</x:v>
      </x:c>
      <x:c r="X869" s="36" t="str">
        <x:v>Epheser 6,10–13</x:v>
      </x:c>
      <x:c r="Y869" s="36" t="str">
        <x:v>Paulus beschreibt den Konflikt ausdrücklich als geistlich und nicht als Kampf gegen 'Fleisch und Blut'. Die Waffenrüstung dient deshalb dem Standhalten, nicht menschlicher Gewalt.</x:v>
      </x:c>
      <x:c r="Z869" s="36" t="str">
        <x:v>JA</x:v>
      </x:c>
      <x:c r="AA869" s="36" t="str">
        <x:v>JA</x:v>
      </x:c>
      <x:c r="AB869" s="36" t="str">
        <x:v>JA</x:v>
      </x:c>
      <x:c r="AC869" s="36" t="str">
        <x:v>JA</x:v>
      </x:c>
      <x:c r="AD869" s="36" t="str">
        <x:v>JA</x:v>
      </x:c>
      <x:c r="AE869" s="36" t="str">
        <x:v>JA</x:v>
      </x:c>
      <x:c r="AF869" s="36" t="str">
        <x:v>JA</x:v>
      </x:c>
      <x:c r="AG869" s="36" t="str">
        <x:v>FREIGEGEBEN</x:v>
      </x:c>
      <x:c r="AH869" s="36" t="str">
        <x:v>GPT-5.6 Sol · Buchprüfung Epheser · L1912/OTB</x:v>
      </x:c>
      <x:c r="AI869" s="36" t="str">
        <x:v>FREIGEGEBEN</x:v>
      </x:c>
      <x:c r="AJ869" s="36" t="str">
        <x:v>Epheser 6: repetitive Kapitel-Erkennungsfrage durch hochwertige ZUSAMMENHANG-Frage ersetzt.</x:v>
      </x:c>
      <x:c r="AK869" s="36" t="str">
        <x:v>FaithPath repo develop/v4 · data/bibles/l1912/EPH.json · data/bibles/otb/EPH.json</x:v>
      </x:c>
      <x:c r="AL869" t="str">
        <x:v>JA</x:v>
      </x:c>
    </x:row>
    <x:row r="870">
      <x:c r="A870" t="str">
        <x:v>FP-1129</x:v>
      </x:c>
      <x:c r="B870" t="str">
        <x:v>EPH</x:v>
      </x:c>
      <x:c r="C870" t="str">
        <x:v>Epheser</x:v>
      </x:c>
      <x:c r="D870" t="n">
        <x:v>6</x:v>
      </x:c>
      <x:c r="E870" t="n">
        <x:v>4</x:v>
      </x:c>
      <x:c r="F870" t="str">
        <x:v>EPH-006</x:v>
      </x:c>
      <x:c r="G870" t="n">
        <x:v>174</x:v>
      </x:c>
      <x:c r="H870" t="str">
        <x:v>CQ-A10</x:v>
      </x:c>
      <x:c r="I870" s="36" t="str">
        <x:v>Bestandsfrage Epheser 6: repetitive Kapitel-Erkennungsfrage</x:v>
      </x:c>
      <x:c r="J870" s="36"/>
      <x:c r="K870" s="36"/>
      <x:c r="L870" s="36" t="str">
        <x:v>MASTER_STATUS_VERIFIZIERT</x:v>
      </x:c>
      <x:c r="M870" s="36" t="str">
        <x:v>ERSETZEN</x:v>
      </x:c>
      <x:c r="N870" s="36" t="str">
        <x:v>REPETITIVE_FRAGEFORM</x:v>
      </x:c>
      <x:c r="O870" s="36" t="str">
        <x:v>REINE_WIEDERERKENNUNG</x:v>
      </x:c>
      <x:c r="P870" s="36" t="str">
        <x:v>BILD</x:v>
      </x:c>
      <x:c r="Q870" s="36" t="str">
        <x:v>Welche Zuordnung zur Waffenrüstung Gottes nennt Epheser 6 ausdrücklich?</x:v>
      </x:c>
      <x:c r="R870" s="36" t="str">
        <x:v>Schild des Glaubens und Schwert des Geistes, das Gottes Wort ist.</x:v>
      </x:c>
      <x:c r="S870" s="36" t="str">
        <x:v>Krone des Erfolgs und Mantel des Wohlstands.</x:v>
      </x:c>
      <x:c r="T870" s="36" t="str">
        <x:v>Speer der Vergeltung und Schild der Angst.</x:v>
      </x:c>
      <x:c r="U870" s="36" t="str">
        <x:v>Stab der Herrschaft und Helm des Ansehens.</x:v>
      </x:c>
      <x:c r="V870" s="36" t="n">
        <x:v>0</x:v>
      </x:c>
      <x:c r="W870" s="36" t="str">
        <x:v>Schild des Glaubens und Schwert des Geistes, das Gottes Wort ist.</x:v>
      </x:c>
      <x:c r="X870" s="36" t="str">
        <x:v>Epheser 6,14–17</x:v>
      </x:c>
      <x:c r="Y870" s="36" t="str">
        <x:v>Der Text ordnet mehreren Ausrüstungsteilen geistliche Bedeutungen zu. Besonders ausdrücklich werden der Schild des Glaubens und das Schwert des Geistes genannt, das als Wort Gottes erklärt wird.</x:v>
      </x:c>
      <x:c r="Z870" s="36" t="str">
        <x:v>JA</x:v>
      </x:c>
      <x:c r="AA870" s="36" t="str">
        <x:v>JA</x:v>
      </x:c>
      <x:c r="AB870" s="36" t="str">
        <x:v>JA</x:v>
      </x:c>
      <x:c r="AC870" s="36" t="str">
        <x:v>JA</x:v>
      </x:c>
      <x:c r="AD870" s="36" t="str">
        <x:v>JA</x:v>
      </x:c>
      <x:c r="AE870" s="36" t="str">
        <x:v>JA</x:v>
      </x:c>
      <x:c r="AF870" s="36" t="str">
        <x:v>JA</x:v>
      </x:c>
      <x:c r="AG870" s="36" t="str">
        <x:v>FREIGEGEBEN</x:v>
      </x:c>
      <x:c r="AH870" s="36" t="str">
        <x:v>GPT-5.6 Sol · Buchprüfung Epheser · L1912/OTB</x:v>
      </x:c>
      <x:c r="AI870" s="36" t="str">
        <x:v>FREIGEGEBEN</x:v>
      </x:c>
      <x:c r="AJ870" s="36" t="str">
        <x:v>Epheser 6: repetitive Kapitel-Erkennungsfrage durch hochwertige BILD-Frage ersetzt.</x:v>
      </x:c>
      <x:c r="AK870" s="36" t="str">
        <x:v>FaithPath repo develop/v4 · data/bibles/l1912/EPH.json · data/bibles/otb/EPH.json</x:v>
      </x:c>
      <x:c r="AL870" t="str">
        <x:v>JA</x:v>
      </x:c>
    </x:row>
    <x:row r="871">
      <x:c r="A871" t="str">
        <x:v>FP-1130</x:v>
      </x:c>
      <x:c r="B871" t="str">
        <x:v>EPH</x:v>
      </x:c>
      <x:c r="C871" t="str">
        <x:v>Epheser</x:v>
      </x:c>
      <x:c r="D871" t="n">
        <x:v>6</x:v>
      </x:c>
      <x:c r="E871" t="n">
        <x:v>5</x:v>
      </x:c>
      <x:c r="F871" t="str">
        <x:v>EPH-006</x:v>
      </x:c>
      <x:c r="G871" t="n">
        <x:v>174</x:v>
      </x:c>
      <x:c r="H871" t="str">
        <x:v>CQ-A10</x:v>
      </x:c>
      <x:c r="I871" s="36" t="str">
        <x:v>Bestandsfrage Epheser 6: repetitive Kapitel-Erkennungsfrage</x:v>
      </x:c>
      <x:c r="J871" s="36"/>
      <x:c r="K871" s="36"/>
      <x:c r="L871" s="36" t="str">
        <x:v>MASTER_STATUS_VERIFIZIERT</x:v>
      </x:c>
      <x:c r="M871" s="36" t="str">
        <x:v>ERSETZEN</x:v>
      </x:c>
      <x:c r="N871" s="36" t="str">
        <x:v>REPETITIVE_FRAGEFORM</x:v>
      </x:c>
      <x:c r="O871" s="36" t="str">
        <x:v>REINE_WIEDERERKENNUNG</x:v>
      </x:c>
      <x:c r="P871" s="36" t="str">
        <x:v>GEBET</x:v>
      </x:c>
      <x:c r="Q871" s="36" t="str">
        <x:v>Worum bittet Paulus die Gemeinde im Zusammenhang mit dem Gebet für ihn?</x:v>
      </x:c>
      <x:c r="R871" s="36" t="str">
        <x:v>Dass er nie wieder Widerstand erlebt.</x:v>
      </x:c>
      <x:c r="S871" s="36" t="str">
        <x:v>Dass ihm Worte und Freimut gegeben werden, das Geheimnis des Evangeliums bekannt zu machen.</x:v>
      </x:c>
      <x:c r="T871" s="36" t="str">
        <x:v>Dass er sofort aus jeder Verantwortung entlassen wird.</x:v>
      </x:c>
      <x:c r="U871" s="36" t="str">
        <x:v>Dass die Gemeinde aufhört, für andere Gläubige zu beten.</x:v>
      </x:c>
      <x:c r="V871" s="36" t="n">
        <x:v>1</x:v>
      </x:c>
      <x:c r="W871" s="36" t="str">
        <x:v>Dass ihm Worte und Freimut gegeben werden, das Geheimnis des Evangeliums bekannt zu machen.</x:v>
      </x:c>
      <x:c r="X871" s="36" t="str">
        <x:v>Epheser 6,18–20</x:v>
      </x:c>
      <x:c r="Y871" s="36" t="str">
        <x:v>Paulus verbindet die Waffenrüstung mit anhaltendem Gebet. Für sich selbst bittet er nicht zuerst um Bequemlichkeit, sondern um Worte und Mut, das Evangelium als 'Botschafter in Ketten' klar zu verkündigen.</x:v>
      </x:c>
      <x:c r="Z871" s="36" t="str">
        <x:v>JA</x:v>
      </x:c>
      <x:c r="AA871" s="36" t="str">
        <x:v>JA</x:v>
      </x:c>
      <x:c r="AB871" s="36" t="str">
        <x:v>JA</x:v>
      </x:c>
      <x:c r="AC871" s="36" t="str">
        <x:v>JA</x:v>
      </x:c>
      <x:c r="AD871" s="36" t="str">
        <x:v>JA</x:v>
      </x:c>
      <x:c r="AE871" s="36" t="str">
        <x:v>JA</x:v>
      </x:c>
      <x:c r="AF871" s="36" t="str">
        <x:v>JA</x:v>
      </x:c>
      <x:c r="AG871" s="36" t="str">
        <x:v>FREIGEGEBEN</x:v>
      </x:c>
      <x:c r="AH871" s="36" t="str">
        <x:v>GPT-5.6 Sol · Buchprüfung Epheser · L1912/OTB</x:v>
      </x:c>
      <x:c r="AI871" s="36" t="str">
        <x:v>FREIGEGEBEN</x:v>
      </x:c>
      <x:c r="AJ871" s="36" t="str">
        <x:v>Epheser 6: repetitive Kapitel-Erkennungsfrage durch hochwertige GEBET-Frage ersetzt.</x:v>
      </x:c>
      <x:c r="AK871" s="36" t="str">
        <x:v>FaithPath repo develop/v4 · data/bibles/l1912/EPH.json · data/bibles/otb/EPH.json</x:v>
      </x:c>
      <x:c r="AL871" t="str">
        <x:v>JA</x:v>
      </x:c>
    </x:row>
    <x:row r="872">
      <x:c r="A872" t="str">
        <x:v>FP-1131</x:v>
      </x:c>
      <x:c r="B872" t="str">
        <x:v>PHP</x:v>
      </x:c>
      <x:c r="C872" t="str">
        <x:v>Philipper</x:v>
      </x:c>
      <x:c r="D872" t="n">
        <x:v>1</x:v>
      </x:c>
      <x:c r="E872" t="n">
        <x:v>1</x:v>
      </x:c>
      <x:c r="F872" t="str">
        <x:v>PHP-001</x:v>
      </x:c>
      <x:c r="G872" t="n">
        <x:v>175</x:v>
      </x:c>
      <x:c r="H872" t="str">
        <x:v>CQ-A11</x:v>
      </x:c>
      <x:c r="I872" s="36" t="str">
        <x:v>Bestandsfrage Philipper 1: repetitive Kapitel-Erkennungsfrage</x:v>
      </x:c>
      <x:c r="J872" s="36"/>
      <x:c r="K872" s="36"/>
      <x:c r="L872" s="36" t="str">
        <x:v>MASTER_STATUS_VERIFIZIERT</x:v>
      </x:c>
      <x:c r="M872" s="36" t="str">
        <x:v>ERSETZEN</x:v>
      </x:c>
      <x:c r="N872" s="36" t="str">
        <x:v>REPETITIVE_FRAGEFORM</x:v>
      </x:c>
      <x:c r="O872" s="36" t="str">
        <x:v>REINE_WIEDERERKENNUNG</x:v>
      </x:c>
      <x:c r="P872" s="36" t="str">
        <x:v>GEBET</x:v>
      </x:c>
      <x:c r="Q872" s="36" t="str">
        <x:v>Worum betet Paulus zu Beginn des Philipperbriefs für die Gemeinde?</x:v>
      </x:c>
      <x:c r="R872" s="36" t="str">
        <x:v>Dass ihre Liebe immer mehr wächst und von Erkenntnis und Einsicht begleitet wird.</x:v>
      </x:c>
      <x:c r="S872" s="36" t="str">
        <x:v>Dass sie möglichst schnell politischen Einfluss gewinnt.</x:v>
      </x:c>
      <x:c r="T872" s="36" t="str">
        <x:v>Dass sie keinerlei Prüfungen mehr erleben muss.</x:v>
      </x:c>
      <x:c r="U872" s="36" t="str">
        <x:v>Dass alle Gemeindeglieder dieselbe Aufgabe übernehmen.</x:v>
      </x:c>
      <x:c r="V872" s="36" t="n">
        <x:v>0</x:v>
      </x:c>
      <x:c r="W872" s="36" t="str">
        <x:v>Dass ihre Liebe immer mehr wächst und von Erkenntnis und Einsicht begleitet wird.</x:v>
      </x:c>
      <x:c r="X872" s="36" t="str">
        <x:v>Philipper 1,9–11</x:v>
      </x:c>
      <x:c r="Y872" s="36" t="str">
        <x:v>Paulus verbindet Liebe mit Erkenntnis und geistlicher Unterscheidung. Ziel ist, das Wesentliche prüfen zu können und ein Leben zu führen, das Gott ehrt.</x:v>
      </x:c>
      <x:c r="Z872" s="36" t="str">
        <x:v>JA</x:v>
      </x:c>
      <x:c r="AA872" s="36" t="str">
        <x:v>JA</x:v>
      </x:c>
      <x:c r="AB872" s="36" t="str">
        <x:v>JA</x:v>
      </x:c>
      <x:c r="AC872" s="36" t="str">
        <x:v>JA</x:v>
      </x:c>
      <x:c r="AD872" s="36" t="str">
        <x:v>JA</x:v>
      </x:c>
      <x:c r="AE872" s="36" t="str">
        <x:v>JA</x:v>
      </x:c>
      <x:c r="AF872" s="36" t="str">
        <x:v>JA</x:v>
      </x:c>
      <x:c r="AG872" s="36" t="str">
        <x:v>FREIGEGEBEN</x:v>
      </x:c>
      <x:c r="AH872" s="36" t="str">
        <x:v>GPT-5.6 Sol · Buchprüfung Philipper · L1912/OTB</x:v>
      </x:c>
      <x:c r="AI872" s="36" t="str">
        <x:v>FREIGEGEBEN</x:v>
      </x:c>
      <x:c r="AJ872" s="36" t="str">
        <x:v>Philipper 1: repetitive Kapitel-Erkennungsfrage durch hochwertige GEBET-Frage ersetzt.</x:v>
      </x:c>
      <x:c r="AK872" s="36" t="str">
        <x:v>FaithPath repo develop/v4 · data/bibles/l1912/PHP.json · data/bibles/otb/PHP.json</x:v>
      </x:c>
      <x:c r="AL872" t="str">
        <x:v>JA</x:v>
      </x:c>
    </x:row>
    <x:row r="873">
      <x:c r="A873" t="str">
        <x:v>FP-1132</x:v>
      </x:c>
      <x:c r="B873" t="str">
        <x:v>PHP</x:v>
      </x:c>
      <x:c r="C873" t="str">
        <x:v>Philipper</x:v>
      </x:c>
      <x:c r="D873" t="n">
        <x:v>1</x:v>
      </x:c>
      <x:c r="E873" t="n">
        <x:v>2</x:v>
      </x:c>
      <x:c r="F873" t="str">
        <x:v>PHP-001</x:v>
      </x:c>
      <x:c r="G873" t="n">
        <x:v>175</x:v>
      </x:c>
      <x:c r="H873" t="str">
        <x:v>CQ-A11</x:v>
      </x:c>
      <x:c r="I873" s="36" t="str">
        <x:v>Bestandsfrage Philipper 1: repetitive Kapitel-Erkennungsfrage</x:v>
      </x:c>
      <x:c r="J873" s="36"/>
      <x:c r="K873" s="36"/>
      <x:c r="L873" s="36" t="str">
        <x:v>MASTER_STATUS_VERIFIZIERT</x:v>
      </x:c>
      <x:c r="M873" s="36" t="str">
        <x:v>ERSETZEN</x:v>
      </x:c>
      <x:c r="N873" s="36" t="str">
        <x:v>REPETITIVE_FRAGEFORM</x:v>
      </x:c>
      <x:c r="O873" s="36" t="str">
        <x:v>REINE_WIEDERERKENNUNG</x:v>
      </x:c>
      <x:c r="P873" s="36" t="str">
        <x:v>ZUSAMMENHANG</x:v>
      </x:c>
      <x:c r="Q873" s="36" t="str">
        <x:v>Welche unerwartete Wirkung hatten Paulus' Gefangenschaft und seine Fesseln?</x:v>
      </x:c>
      <x:c r="R873" s="36" t="str">
        <x:v>Sie führten dazu, dass die Gemeinde in Philippi das Evangelium aufgab.</x:v>
      </x:c>
      <x:c r="S873" s="36" t="str">
        <x:v>Sie trugen zur Förderung des Evangeliums bei und machten andere mutiger, das Wort zu verkündigen.</x:v>
      </x:c>
      <x:c r="T873" s="36" t="str">
        <x:v>Sie verhinderten jede weitere Verkündigung.</x:v>
      </x:c>
      <x:c r="U873" s="36" t="str">
        <x:v>Sie bewiesen, dass Paulus seine Berufung verloren hatte.</x:v>
      </x:c>
      <x:c r="V873" s="36" t="n">
        <x:v>1</x:v>
      </x:c>
      <x:c r="W873" s="36" t="str">
        <x:v>Sie trugen zur Förderung des Evangeliums bei und machten andere mutiger, das Wort zu verkündigen.</x:v>
      </x:c>
      <x:c r="X873" s="36" t="str">
        <x:v>Philipper 1,12–14</x:v>
      </x:c>
      <x:c r="Y873" s="36" t="str">
        <x:v>Paulus deutet seine schwierige Lage nicht nur als Hindernis. Seine Gefangenschaft machte seine Bindung an Christus sichtbar und ermutigte andere zu freimütiger Verkündigung.</x:v>
      </x:c>
      <x:c r="Z873" s="36" t="str">
        <x:v>JA</x:v>
      </x:c>
      <x:c r="AA873" s="36" t="str">
        <x:v>JA</x:v>
      </x:c>
      <x:c r="AB873" s="36" t="str">
        <x:v>JA</x:v>
      </x:c>
      <x:c r="AC873" s="36" t="str">
        <x:v>JA</x:v>
      </x:c>
      <x:c r="AD873" s="36" t="str">
        <x:v>JA</x:v>
      </x:c>
      <x:c r="AE873" s="36" t="str">
        <x:v>JA</x:v>
      </x:c>
      <x:c r="AF873" s="36" t="str">
        <x:v>JA</x:v>
      </x:c>
      <x:c r="AG873" s="36" t="str">
        <x:v>FREIGEGEBEN</x:v>
      </x:c>
      <x:c r="AH873" s="36" t="str">
        <x:v>GPT-5.6 Sol · Buchprüfung Philipper · L1912/OTB</x:v>
      </x:c>
      <x:c r="AI873" s="36" t="str">
        <x:v>FREIGEGEBEN</x:v>
      </x:c>
      <x:c r="AJ873" s="36" t="str">
        <x:v>Philipper 1: repetitive Kapitel-Erkennungsfrage durch hochwertige ZUSAMMENHANG-Frage ersetzt.</x:v>
      </x:c>
      <x:c r="AK873" s="36" t="str">
        <x:v>FaithPath repo develop/v4 · data/bibles/l1912/PHP.json · data/bibles/otb/PHP.json</x:v>
      </x:c>
      <x:c r="AL873" t="str">
        <x:v>JA</x:v>
      </x:c>
    </x:row>
    <x:row r="874">
      <x:c r="A874" t="str">
        <x:v>FP-1133</x:v>
      </x:c>
      <x:c r="B874" t="str">
        <x:v>PHP</x:v>
      </x:c>
      <x:c r="C874" t="str">
        <x:v>Philipper</x:v>
      </x:c>
      <x:c r="D874" t="n">
        <x:v>1</x:v>
      </x:c>
      <x:c r="E874" t="n">
        <x:v>3</x:v>
      </x:c>
      <x:c r="F874" t="str">
        <x:v>PHP-001</x:v>
      </x:c>
      <x:c r="G874" t="n">
        <x:v>175</x:v>
      </x:c>
      <x:c r="H874" t="str">
        <x:v>CQ-A11</x:v>
      </x:c>
      <x:c r="I874" s="36" t="str">
        <x:v>Bestandsfrage Philipper 1: repetitive Kapitel-Erkennungsfrage</x:v>
      </x:c>
      <x:c r="J874" s="36"/>
      <x:c r="K874" s="36"/>
      <x:c r="L874" s="36" t="str">
        <x:v>MASTER_STATUS_VERIFIZIERT</x:v>
      </x:c>
      <x:c r="M874" s="36" t="str">
        <x:v>ERSETZEN</x:v>
      </x:c>
      <x:c r="N874" s="36" t="str">
        <x:v>REPETITIVE_FRAGEFORM</x:v>
      </x:c>
      <x:c r="O874" s="36" t="str">
        <x:v>REINE_WIEDERERKENNUNG</x:v>
      </x:c>
      <x:c r="P874" s="36" t="str">
        <x:v>MOTIVATION</x:v>
      </x:c>
      <x:c r="Q874" s="36" t="str">
        <x:v>Wie reagiert Paulus darauf, dass manche Christus aus falschen Motiven verkündigen?</x:v>
      </x:c>
      <x:c r="R874" s="36" t="str">
        <x:v>Er verlangt, dass jede Verkündigung sofort eingestellt wird.</x:v>
      </x:c>
      <x:c r="S874" s="36" t="str">
        <x:v>Er erklärt jede Predigt außerhalb seiner eigenen Arbeit für ungültig.</x:v>
      </x:c>
      <x:c r="T874" s="36" t="str">
        <x:v>Er freut sich dennoch darüber, dass Christus verkündigt wird.</x:v>
      </x:c>
      <x:c r="U874" s="36" t="str">
        <x:v>Er verlässt deshalb seine Aufgabe.</x:v>
      </x:c>
      <x:c r="V874" s="36" t="n">
        <x:v>2</x:v>
      </x:c>
      <x:c r="W874" s="36" t="str">
        <x:v>Er freut sich dennoch darüber, dass Christus verkündigt wird.</x:v>
      </x:c>
      <x:c r="X874" s="36" t="str">
        <x:v>Philipper 1,15–18</x:v>
      </x:c>
      <x:c r="Y874" s="36" t="str">
        <x:v>Paulus unterscheidet klar zwischen guten und eigennützigen Motiven, stellt aber zugleich fest, dass Christus tatsächlich verkündigt wird. Darüber kann er sich freuen, ohne die schlechten Motive gutzuheißen.</x:v>
      </x:c>
      <x:c r="Z874" s="36" t="str">
        <x:v>JA</x:v>
      </x:c>
      <x:c r="AA874" s="36" t="str">
        <x:v>JA</x:v>
      </x:c>
      <x:c r="AB874" s="36" t="str">
        <x:v>JA</x:v>
      </x:c>
      <x:c r="AC874" s="36" t="str">
        <x:v>JA</x:v>
      </x:c>
      <x:c r="AD874" s="36" t="str">
        <x:v>JA</x:v>
      </x:c>
      <x:c r="AE874" s="36" t="str">
        <x:v>JA</x:v>
      </x:c>
      <x:c r="AF874" s="36" t="str">
        <x:v>JA</x:v>
      </x:c>
      <x:c r="AG874" s="36" t="str">
        <x:v>FREIGEGEBEN</x:v>
      </x:c>
      <x:c r="AH874" s="36" t="str">
        <x:v>GPT-5.6 Sol · Buchprüfung Philipper · L1912/OTB</x:v>
      </x:c>
      <x:c r="AI874" s="36" t="str">
        <x:v>FREIGEGEBEN</x:v>
      </x:c>
      <x:c r="AJ874" s="36" t="str">
        <x:v>Philipper 1: repetitive Kapitel-Erkennungsfrage durch hochwertige MOTIVATION-Frage ersetzt.</x:v>
      </x:c>
      <x:c r="AK874" s="36" t="str">
        <x:v>FaithPath repo develop/v4 · data/bibles/l1912/PHP.json · data/bibles/otb/PHP.json</x:v>
      </x:c>
      <x:c r="AL874" t="str">
        <x:v>JA</x:v>
      </x:c>
    </x:row>
    <x:row r="875">
      <x:c r="A875" t="str">
        <x:v>FP-1134</x:v>
      </x:c>
      <x:c r="B875" t="str">
        <x:v>PHP</x:v>
      </x:c>
      <x:c r="C875" t="str">
        <x:v>Philipper</x:v>
      </x:c>
      <x:c r="D875" t="n">
        <x:v>1</x:v>
      </x:c>
      <x:c r="E875" t="n">
        <x:v>4</x:v>
      </x:c>
      <x:c r="F875" t="str">
        <x:v>PHP-001</x:v>
      </x:c>
      <x:c r="G875" t="n">
        <x:v>175</x:v>
      </x:c>
      <x:c r="H875" t="str">
        <x:v>CQ-A11</x:v>
      </x:c>
      <x:c r="I875" s="36" t="str">
        <x:v>Bestandsfrage Philipper 1: repetitive Kapitel-Erkennungsfrage</x:v>
      </x:c>
      <x:c r="J875" s="36"/>
      <x:c r="K875" s="36"/>
      <x:c r="L875" s="36" t="str">
        <x:v>MASTER_STATUS_VERIFIZIERT</x:v>
      </x:c>
      <x:c r="M875" s="36" t="str">
        <x:v>ERSETZEN</x:v>
      </x:c>
      <x:c r="N875" s="36" t="str">
        <x:v>REPETITIVE_FRAGEFORM</x:v>
      </x:c>
      <x:c r="O875" s="36" t="str">
        <x:v>REINE_WIEDERERKENNUNG</x:v>
      </x:c>
      <x:c r="P875" s="36" t="str">
        <x:v>KERNAUSSAGE</x:v>
      </x:c>
      <x:c r="Q875" s="36" t="str">
        <x:v>Wie beschreibt Paulus sein Verhältnis zu Leben und Sterben in Philipper 1?</x:v>
      </x:c>
      <x:c r="R875" s="36" t="str">
        <x:v>Für ihn ist nur das irdische Leben von Bedeutung.</x:v>
      </x:c>
      <x:c r="S875" s="36" t="str">
        <x:v>Er betrachtet Sterben als endgültige Trennung von Christus.</x:v>
      </x:c>
      <x:c r="T875" s="36" t="str">
        <x:v>Er sieht keinen Sinn mehr darin, für die Gemeinde zu leben.</x:v>
      </x:c>
      <x:c r="U875" s="36" t="str">
        <x:v>Für ihn ist das Leben Christus und das Sterben Gewinn.</x:v>
      </x:c>
      <x:c r="V875" s="36" t="n">
        <x:v>3</x:v>
      </x:c>
      <x:c r="W875" s="36" t="str">
        <x:v>Für ihn ist das Leben Christus und das Sterben Gewinn.</x:v>
      </x:c>
      <x:c r="X875" s="36" t="str">
        <x:v>Philipper 1,20–24</x:v>
      </x:c>
      <x:c r="Y875" s="36" t="str">
        <x:v>Paulus sieht sowohl Leben als auch Sterben aus der Beziehung zu Christus. Bei Christus zu sein wäre für ihn Gewinn, zugleich erkennt er, dass sein Weiterleben der Gemeinde dient.</x:v>
      </x:c>
      <x:c r="Z875" s="36" t="str">
        <x:v>JA</x:v>
      </x:c>
      <x:c r="AA875" s="36" t="str">
        <x:v>JA</x:v>
      </x:c>
      <x:c r="AB875" s="36" t="str">
        <x:v>JA</x:v>
      </x:c>
      <x:c r="AC875" s="36" t="str">
        <x:v>JA</x:v>
      </x:c>
      <x:c r="AD875" s="36" t="str">
        <x:v>JA</x:v>
      </x:c>
      <x:c r="AE875" s="36" t="str">
        <x:v>JA</x:v>
      </x:c>
      <x:c r="AF875" s="36" t="str">
        <x:v>JA</x:v>
      </x:c>
      <x:c r="AG875" s="36" t="str">
        <x:v>FREIGEGEBEN</x:v>
      </x:c>
      <x:c r="AH875" s="36" t="str">
        <x:v>GPT-5.6 Sol · Buchprüfung Philipper · L1912/OTB</x:v>
      </x:c>
      <x:c r="AI875" s="36" t="str">
        <x:v>FREIGEGEBEN</x:v>
      </x:c>
      <x:c r="AJ875" s="36" t="str">
        <x:v>Philipper 1: repetitive Kapitel-Erkennungsfrage durch hochwertige KERNAUSSAGE-Frage ersetzt.</x:v>
      </x:c>
      <x:c r="AK875" s="36" t="str">
        <x:v>FaithPath repo develop/v4 · data/bibles/l1912/PHP.json · data/bibles/otb/PHP.json</x:v>
      </x:c>
      <x:c r="AL875" t="str">
        <x:v>JA</x:v>
      </x:c>
    </x:row>
    <x:row r="876">
      <x:c r="A876" t="str">
        <x:v>FP-1135</x:v>
      </x:c>
      <x:c r="B876" t="str">
        <x:v>PHP</x:v>
      </x:c>
      <x:c r="C876" t="str">
        <x:v>Philipper</x:v>
      </x:c>
      <x:c r="D876" t="n">
        <x:v>1</x:v>
      </x:c>
      <x:c r="E876" t="n">
        <x:v>5</x:v>
      </x:c>
      <x:c r="F876" t="str">
        <x:v>PHP-001</x:v>
      </x:c>
      <x:c r="G876" t="n">
        <x:v>175</x:v>
      </x:c>
      <x:c r="H876" t="str">
        <x:v>CQ-A11</x:v>
      </x:c>
      <x:c r="I876" s="36" t="str">
        <x:v>Bestandsfrage Philipper 1: repetitive Kapitel-Erkennungsfrage</x:v>
      </x:c>
      <x:c r="J876" s="36"/>
      <x:c r="K876" s="36"/>
      <x:c r="L876" s="36" t="str">
        <x:v>MASTER_STATUS_VERIFIZIERT</x:v>
      </x:c>
      <x:c r="M876" s="36" t="str">
        <x:v>ERSETZEN</x:v>
      </x:c>
      <x:c r="N876" s="36" t="str">
        <x:v>REPETITIVE_FRAGEFORM</x:v>
      </x:c>
      <x:c r="O876" s="36" t="str">
        <x:v>REINE_WIEDERERKENNUNG</x:v>
      </x:c>
      <x:c r="P876" s="36" t="str">
        <x:v>ANWENDUNG</x:v>
      </x:c>
      <x:c r="Q876" s="36" t="str">
        <x:v>Wie sollen die Philipper nach Paulus leben, unabhängig davon, ob er zu ihnen kommt?</x:v>
      </x:c>
      <x:c r="R876" s="36" t="str">
        <x:v>Würdig des Evangeliums, fest in einem Geist und gemeinsam für den Glauben kämpfend.</x:v>
      </x:c>
      <x:c r="S876" s="36" t="str">
        <x:v>Nur dann treu, wenn Paulus persönlich anwesend ist.</x:v>
      </x:c>
      <x:c r="T876" s="36" t="str">
        <x:v>Ohne Rücksicht auf andere Christen.</x:v>
      </x:c>
      <x:c r="U876" s="36" t="str">
        <x:v>Möglichst angepasst an jede gegnerische Meinung.</x:v>
      </x:c>
      <x:c r="V876" s="36" t="n">
        <x:v>0</x:v>
      </x:c>
      <x:c r="W876" s="36" t="str">
        <x:v>Würdig des Evangeliums, fest in einem Geist und gemeinsam für den Glauben kämpfend.</x:v>
      </x:c>
      <x:c r="X876" s="36" t="str">
        <x:v>Philipper 1,27–30</x:v>
      </x:c>
      <x:c r="Y876" s="36" t="str">
        <x:v>Paulus fordert eine standhafte, gemeinschaftliche Lebensweise, die zum Evangelium passt. Diese Treue soll nicht von seiner persönlichen Anwesenheit abhängen.</x:v>
      </x:c>
      <x:c r="Z876" s="36" t="str">
        <x:v>JA</x:v>
      </x:c>
      <x:c r="AA876" s="36" t="str">
        <x:v>JA</x:v>
      </x:c>
      <x:c r="AB876" s="36" t="str">
        <x:v>JA</x:v>
      </x:c>
      <x:c r="AC876" s="36" t="str">
        <x:v>JA</x:v>
      </x:c>
      <x:c r="AD876" s="36" t="str">
        <x:v>JA</x:v>
      </x:c>
      <x:c r="AE876" s="36" t="str">
        <x:v>JA</x:v>
      </x:c>
      <x:c r="AF876" s="36" t="str">
        <x:v>JA</x:v>
      </x:c>
      <x:c r="AG876" s="36" t="str">
        <x:v>FREIGEGEBEN</x:v>
      </x:c>
      <x:c r="AH876" s="36" t="str">
        <x:v>GPT-5.6 Sol · Buchprüfung Philipper · L1912/OTB</x:v>
      </x:c>
      <x:c r="AI876" s="36" t="str">
        <x:v>FREIGEGEBEN</x:v>
      </x:c>
      <x:c r="AJ876" s="36" t="str">
        <x:v>Philipper 1: repetitive Kapitel-Erkennungsfrage durch hochwertige ANWENDUNG-Frage ersetzt.</x:v>
      </x:c>
      <x:c r="AK876" s="36" t="str">
        <x:v>FaithPath repo develop/v4 · data/bibles/l1912/PHP.json · data/bibles/otb/PHP.json</x:v>
      </x:c>
      <x:c r="AL876" t="str">
        <x:v>JA</x:v>
      </x:c>
    </x:row>
    <x:row r="877">
      <x:c r="A877" t="str">
        <x:v>FP-1136</x:v>
      </x:c>
      <x:c r="B877" t="str">
        <x:v>PHP</x:v>
      </x:c>
      <x:c r="C877" t="str">
        <x:v>Philipper</x:v>
      </x:c>
      <x:c r="D877" t="n">
        <x:v>2</x:v>
      </x:c>
      <x:c r="E877" t="n">
        <x:v>1</x:v>
      </x:c>
      <x:c r="F877" t="str">
        <x:v>PHP-002</x:v>
      </x:c>
      <x:c r="G877" t="n">
        <x:v>176</x:v>
      </x:c>
      <x:c r="H877" t="str">
        <x:v>CQ-A11</x:v>
      </x:c>
      <x:c r="I877" s="36" t="str">
        <x:v>Bestandsfrage Philipper 2: repetitive Kapitel-Erkennungsfrage</x:v>
      </x:c>
      <x:c r="J877" s="36"/>
      <x:c r="K877" s="36"/>
      <x:c r="L877" s="36" t="str">
        <x:v>MASTER_STATUS_VERIFIZIERT</x:v>
      </x:c>
      <x:c r="M877" s="36" t="str">
        <x:v>ERSETZEN</x:v>
      </x:c>
      <x:c r="N877" s="36" t="str">
        <x:v>REPETITIVE_FRAGEFORM</x:v>
      </x:c>
      <x:c r="O877" s="36" t="str">
        <x:v>REINE_WIEDERERKENNUNG</x:v>
      </x:c>
      <x:c r="P877" s="36" t="str">
        <x:v>HALTUNG</x:v>
      </x:c>
      <x:c r="Q877" s="36" t="str">
        <x:v>Welche Haltung fordert Paulus im Umgang miteinander in Philipper 2?</x:v>
      </x:c>
      <x:c r="R877" s="36" t="str">
        <x:v>Ständigen Wettbewerb um Anerkennung.</x:v>
      </x:c>
      <x:c r="S877" s="36" t="str">
        <x:v>Demut, in der man nicht nur auf die eigenen Interessen, sondern auch auf die der anderen achtet.</x:v>
      </x:c>
      <x:c r="T877" s="36" t="str">
        <x:v>Gleichgültigkeit gegenüber den Bedürfnissen anderer.</x:v>
      </x:c>
      <x:c r="U877" s="36" t="str">
        <x:v>Die eigene Meinung immer über die der anderen zu stellen.</x:v>
      </x:c>
      <x:c r="V877" s="36" t="n">
        <x:v>1</x:v>
      </x:c>
      <x:c r="W877" s="36" t="str">
        <x:v>Demut, in der man nicht nur auf die eigenen Interessen, sondern auch auf die der anderen achtet.</x:v>
      </x:c>
      <x:c r="X877" s="36" t="str">
        <x:v>Philipper 2,1–4</x:v>
      </x:c>
      <x:c r="Y877" s="36" t="str">
        <x:v>Paulus verbindet Einheit mit Demut und uneigennütziger Rücksicht. Die Gemeinde soll nicht aus Ehrgeiz oder Eitelkeit handeln, sondern das Wohl anderer mitsehen.</x:v>
      </x:c>
      <x:c r="Z877" s="36" t="str">
        <x:v>JA</x:v>
      </x:c>
      <x:c r="AA877" s="36" t="str">
        <x:v>JA</x:v>
      </x:c>
      <x:c r="AB877" s="36" t="str">
        <x:v>JA</x:v>
      </x:c>
      <x:c r="AC877" s="36" t="str">
        <x:v>JA</x:v>
      </x:c>
      <x:c r="AD877" s="36" t="str">
        <x:v>JA</x:v>
      </x:c>
      <x:c r="AE877" s="36" t="str">
        <x:v>JA</x:v>
      </x:c>
      <x:c r="AF877" s="36" t="str">
        <x:v>JA</x:v>
      </x:c>
      <x:c r="AG877" s="36" t="str">
        <x:v>FREIGEGEBEN</x:v>
      </x:c>
      <x:c r="AH877" s="36" t="str">
        <x:v>GPT-5.6 Sol · Buchprüfung Philipper · L1912/OTB</x:v>
      </x:c>
      <x:c r="AI877" s="36" t="str">
        <x:v>FREIGEGEBEN</x:v>
      </x:c>
      <x:c r="AJ877" s="36" t="str">
        <x:v>Philipper 2: repetitive Kapitel-Erkennungsfrage durch hochwertige HALTUNG-Frage ersetzt.</x:v>
      </x:c>
      <x:c r="AK877" s="36" t="str">
        <x:v>FaithPath repo develop/v4 · data/bibles/l1912/PHP.json · data/bibles/otb/PHP.json</x:v>
      </x:c>
      <x:c r="AL877" t="str">
        <x:v>JA</x:v>
      </x:c>
    </x:row>
    <x:row r="878">
      <x:c r="A878" t="str">
        <x:v>FP-1137</x:v>
      </x:c>
      <x:c r="B878" t="str">
        <x:v>PHP</x:v>
      </x:c>
      <x:c r="C878" t="str">
        <x:v>Philipper</x:v>
      </x:c>
      <x:c r="D878" t="n">
        <x:v>2</x:v>
      </x:c>
      <x:c r="E878" t="n">
        <x:v>2</x:v>
      </x:c>
      <x:c r="F878" t="str">
        <x:v>PHP-002</x:v>
      </x:c>
      <x:c r="G878" t="n">
        <x:v>176</x:v>
      </x:c>
      <x:c r="H878" t="str">
        <x:v>CQ-A11</x:v>
      </x:c>
      <x:c r="I878" s="36" t="str">
        <x:v>Bestandsfrage Philipper 2: repetitive Kapitel-Erkennungsfrage</x:v>
      </x:c>
      <x:c r="J878" s="36"/>
      <x:c r="K878" s="36"/>
      <x:c r="L878" s="36" t="str">
        <x:v>MASTER_STATUS_VERIFIZIERT</x:v>
      </x:c>
      <x:c r="M878" s="36" t="str">
        <x:v>ERSETZEN</x:v>
      </x:c>
      <x:c r="N878" s="36" t="str">
        <x:v>REPETITIVE_FRAGEFORM</x:v>
      </x:c>
      <x:c r="O878" s="36" t="str">
        <x:v>REINE_WIEDERERKENNUNG</x:v>
      </x:c>
      <x:c r="P878" s="36" t="str">
        <x:v>VORBILD</x:v>
      </x:c>
      <x:c r="Q878" s="36" t="str">
        <x:v>Worin zeigt sich nach Philipper 2 die Gesinnung Christi besonders?</x:v>
      </x:c>
      <x:c r="R878" s="36" t="str">
        <x:v>Er suchte möglichst viel menschliche Anerkennung.</x:v>
      </x:c>
      <x:c r="S878" s="36" t="str">
        <x:v>Er vermied jede Form von Dienst.</x:v>
      </x:c>
      <x:c r="T878" s="36" t="str">
        <x:v>Er erniedrigte sich selbst und wurde gehorsam bis zum Tod am Kreuz.</x:v>
      </x:c>
      <x:c r="U878" s="36" t="str">
        <x:v>Er setzte seine Stellung ein, um andere zu beherrschen.</x:v>
      </x:c>
      <x:c r="V878" s="36" t="n">
        <x:v>2</x:v>
      </x:c>
      <x:c r="W878" s="36" t="str">
        <x:v>Er erniedrigte sich selbst und wurde gehorsam bis zum Tod am Kreuz.</x:v>
      </x:c>
      <x:c r="X878" s="36" t="str">
        <x:v>Philipper 2,5–8</x:v>
      </x:c>
      <x:c r="Y878" s="36" t="str">
        <x:v>Paulus stellt Christus als Vorbild selbsthingebender Demut dar. Die Bewegung geht von göttlicher Herrlichkeit über Knechtsgestalt bis zum Gehorsam am Kreuz.</x:v>
      </x:c>
      <x:c r="Z878" s="36" t="str">
        <x:v>JA</x:v>
      </x:c>
      <x:c r="AA878" s="36" t="str">
        <x:v>JA</x:v>
      </x:c>
      <x:c r="AB878" s="36" t="str">
        <x:v>JA</x:v>
      </x:c>
      <x:c r="AC878" s="36" t="str">
        <x:v>JA</x:v>
      </x:c>
      <x:c r="AD878" s="36" t="str">
        <x:v>JA</x:v>
      </x:c>
      <x:c r="AE878" s="36" t="str">
        <x:v>JA</x:v>
      </x:c>
      <x:c r="AF878" s="36" t="str">
        <x:v>JA</x:v>
      </x:c>
      <x:c r="AG878" s="36" t="str">
        <x:v>FREIGEGEBEN</x:v>
      </x:c>
      <x:c r="AH878" s="36" t="str">
        <x:v>GPT-5.6 Sol · Buchprüfung Philipper · L1912/OTB</x:v>
      </x:c>
      <x:c r="AI878" s="36" t="str">
        <x:v>FREIGEGEBEN</x:v>
      </x:c>
      <x:c r="AJ878" s="36" t="str">
        <x:v>Philipper 2: repetitive Kapitel-Erkennungsfrage durch hochwertige VORBILD-Frage ersetzt.</x:v>
      </x:c>
      <x:c r="AK878" s="36" t="str">
        <x:v>FaithPath repo develop/v4 · data/bibles/l1912/PHP.json · data/bibles/otb/PHP.json</x:v>
      </x:c>
      <x:c r="AL878" t="str">
        <x:v>JA</x:v>
      </x:c>
    </x:row>
    <x:row r="879">
      <x:c r="A879" t="str">
        <x:v>FP-1138</x:v>
      </x:c>
      <x:c r="B879" t="str">
        <x:v>PHP</x:v>
      </x:c>
      <x:c r="C879" t="str">
        <x:v>Philipper</x:v>
      </x:c>
      <x:c r="D879" t="n">
        <x:v>2</x:v>
      </x:c>
      <x:c r="E879" t="n">
        <x:v>3</x:v>
      </x:c>
      <x:c r="F879" t="str">
        <x:v>PHP-002</x:v>
      </x:c>
      <x:c r="G879" t="n">
        <x:v>176</x:v>
      </x:c>
      <x:c r="H879" t="str">
        <x:v>CQ-A11</x:v>
      </x:c>
      <x:c r="I879" s="36" t="str">
        <x:v>Bestandsfrage Philipper 2: repetitive Kapitel-Erkennungsfrage</x:v>
      </x:c>
      <x:c r="J879" s="36"/>
      <x:c r="K879" s="36"/>
      <x:c r="L879" s="36" t="str">
        <x:v>MASTER_STATUS_VERIFIZIERT</x:v>
      </x:c>
      <x:c r="M879" s="36" t="str">
        <x:v>ERSETZEN</x:v>
      </x:c>
      <x:c r="N879" s="36" t="str">
        <x:v>REPETITIVE_FRAGEFORM</x:v>
      </x:c>
      <x:c r="O879" s="36" t="str">
        <x:v>REINE_WIEDERERKENNUNG</x:v>
      </x:c>
      <x:c r="P879" s="36" t="str">
        <x:v>ZUSAMMENHANG</x:v>
      </x:c>
      <x:c r="Q879" s="36" t="str">
        <x:v>Wie reagiert Gott auf Christi Erniedrigung nach Philipper 2?</x:v>
      </x:c>
      <x:c r="R879" s="36" t="str">
        <x:v>Er lässt ihn ohne Antwort.</x:v>
      </x:c>
      <x:c r="S879" s="36" t="str">
        <x:v>Er macht ihn nur zu einem Lehrer unter vielen.</x:v>
      </x:c>
      <x:c r="T879" s="36" t="str">
        <x:v>Er überträgt seine Herrschaft dauerhaft an andere.</x:v>
      </x:c>
      <x:c r="U879" s="36" t="str">
        <x:v>Er erhöht ihn und gibt ihm den Namen über alle Namen.</x:v>
      </x:c>
      <x:c r="V879" s="36" t="n">
        <x:v>3</x:v>
      </x:c>
      <x:c r="W879" s="36" t="str">
        <x:v>Er erhöht ihn und gibt ihm den Namen über alle Namen.</x:v>
      </x:c>
      <x:c r="X879" s="36" t="str">
        <x:v>Philipper 2,9–11</x:v>
      </x:c>
      <x:c r="Y879" s="36" t="str">
        <x:v>Auf die Erniedrigung Christi folgt die Erhöhung durch Gott. Ziel ist das universale Bekenntnis, dass Jesus Christus Herr ist, zur Ehre Gottes des Vaters.</x:v>
      </x:c>
      <x:c r="Z879" s="36" t="str">
        <x:v>JA</x:v>
      </x:c>
      <x:c r="AA879" s="36" t="str">
        <x:v>JA</x:v>
      </x:c>
      <x:c r="AB879" s="36" t="str">
        <x:v>JA</x:v>
      </x:c>
      <x:c r="AC879" s="36" t="str">
        <x:v>JA</x:v>
      </x:c>
      <x:c r="AD879" s="36" t="str">
        <x:v>JA</x:v>
      </x:c>
      <x:c r="AE879" s="36" t="str">
        <x:v>JA</x:v>
      </x:c>
      <x:c r="AF879" s="36" t="str">
        <x:v>JA</x:v>
      </x:c>
      <x:c r="AG879" s="36" t="str">
        <x:v>FREIGEGEBEN</x:v>
      </x:c>
      <x:c r="AH879" s="36" t="str">
        <x:v>GPT-5.6 Sol · Buchprüfung Philipper · L1912/OTB</x:v>
      </x:c>
      <x:c r="AI879" s="36" t="str">
        <x:v>FREIGEGEBEN</x:v>
      </x:c>
      <x:c r="AJ879" s="36" t="str">
        <x:v>Philipper 2: repetitive Kapitel-Erkennungsfrage durch hochwertige ZUSAMMENHANG-Frage ersetzt.</x:v>
      </x:c>
      <x:c r="AK879" s="36" t="str">
        <x:v>FaithPath repo develop/v4 · data/bibles/l1912/PHP.json · data/bibles/otb/PHP.json</x:v>
      </x:c>
      <x:c r="AL879" t="str">
        <x:v>JA</x:v>
      </x:c>
    </x:row>
    <x:row r="880">
      <x:c r="A880" t="str">
        <x:v>FP-1139</x:v>
      </x:c>
      <x:c r="B880" t="str">
        <x:v>PHP</x:v>
      </x:c>
      <x:c r="C880" t="str">
        <x:v>Philipper</x:v>
      </x:c>
      <x:c r="D880" t="n">
        <x:v>2</x:v>
      </x:c>
      <x:c r="E880" t="n">
        <x:v>4</x:v>
      </x:c>
      <x:c r="F880" t="str">
        <x:v>PHP-002</x:v>
      </x:c>
      <x:c r="G880" t="n">
        <x:v>176</x:v>
      </x:c>
      <x:c r="H880" t="str">
        <x:v>CQ-A11</x:v>
      </x:c>
      <x:c r="I880" s="36" t="str">
        <x:v>Bestandsfrage Philipper 2: repetitive Kapitel-Erkennungsfrage</x:v>
      </x:c>
      <x:c r="J880" s="36"/>
      <x:c r="K880" s="36"/>
      <x:c r="L880" s="36" t="str">
        <x:v>MASTER_STATUS_VERIFIZIERT</x:v>
      </x:c>
      <x:c r="M880" s="36" t="str">
        <x:v>ERSETZEN</x:v>
      </x:c>
      <x:c r="N880" s="36" t="str">
        <x:v>REPETITIVE_FRAGEFORM</x:v>
      </x:c>
      <x:c r="O880" s="36" t="str">
        <x:v>REINE_WIEDERERKENNUNG</x:v>
      </x:c>
      <x:c r="P880" s="36" t="str">
        <x:v>VERANTWORTUNG</x:v>
      </x:c>
      <x:c r="Q880" s="36" t="str">
        <x:v>Wie verbindet Philipper 2 menschliche Verantwortung und Gottes Wirken?</x:v>
      </x:c>
      <x:c r="R880" s="36" t="str">
        <x:v>Die Glaubenden sollen ihre Rettung ernsthaft leben, weil Gott in ihnen Wollen und Vollbringen wirkt.</x:v>
      </x:c>
      <x:c r="S880" s="36" t="str">
        <x:v>Gottes Wirken macht jedes eigene Handeln überflüssig.</x:v>
      </x:c>
      <x:c r="T880" s="36" t="str">
        <x:v>Die Glaubenden müssen alles allein ohne Gottes Hilfe schaffen.</x:v>
      </x:c>
      <x:c r="U880" s="36" t="str">
        <x:v>Nur Paulus trägt Verantwortung für das geistliche Leben der Gemeinde.</x:v>
      </x:c>
      <x:c r="V880" s="36" t="n">
        <x:v>0</x:v>
      </x:c>
      <x:c r="W880" s="36" t="str">
        <x:v>Die Glaubenden sollen ihre Rettung ernsthaft leben, weil Gott in ihnen Wollen und Vollbringen wirkt.</x:v>
      </x:c>
      <x:c r="X880" s="36" t="str">
        <x:v>Philipper 2,12–13</x:v>
      </x:c>
      <x:c r="Y880" s="36" t="str">
        <x:v>Paulus stellt menschliches Handeln und Gottes Wirken nicht gegeneinander. Gerade weil Gott wirkt, sollen die Glaubenden ihr Leben in ehrfürchtigem Gehorsam gestalten.</x:v>
      </x:c>
      <x:c r="Z880" s="36" t="str">
        <x:v>JA</x:v>
      </x:c>
      <x:c r="AA880" s="36" t="str">
        <x:v>JA</x:v>
      </x:c>
      <x:c r="AB880" s="36" t="str">
        <x:v>JA</x:v>
      </x:c>
      <x:c r="AC880" s="36" t="str">
        <x:v>JA</x:v>
      </x:c>
      <x:c r="AD880" s="36" t="str">
        <x:v>JA</x:v>
      </x:c>
      <x:c r="AE880" s="36" t="str">
        <x:v>JA</x:v>
      </x:c>
      <x:c r="AF880" s="36" t="str">
        <x:v>JA</x:v>
      </x:c>
      <x:c r="AG880" s="36" t="str">
        <x:v>FREIGEGEBEN</x:v>
      </x:c>
      <x:c r="AH880" s="36" t="str">
        <x:v>GPT-5.6 Sol · Buchprüfung Philipper · L1912/OTB</x:v>
      </x:c>
      <x:c r="AI880" s="36" t="str">
        <x:v>FREIGEGEBEN</x:v>
      </x:c>
      <x:c r="AJ880" s="36" t="str">
        <x:v>Philipper 2: repetitive Kapitel-Erkennungsfrage durch hochwertige VERANTWORTUNG-Frage ersetzt.</x:v>
      </x:c>
      <x:c r="AK880" s="36" t="str">
        <x:v>FaithPath repo develop/v4 · data/bibles/l1912/PHP.json · data/bibles/otb/PHP.json</x:v>
      </x:c>
      <x:c r="AL880" t="str">
        <x:v>JA</x:v>
      </x:c>
    </x:row>
    <x:row r="881">
      <x:c r="A881" t="str">
        <x:v>FP-1140</x:v>
      </x:c>
      <x:c r="B881" t="str">
        <x:v>PHP</x:v>
      </x:c>
      <x:c r="C881" t="str">
        <x:v>Philipper</x:v>
      </x:c>
      <x:c r="D881" t="n">
        <x:v>2</x:v>
      </x:c>
      <x:c r="E881" t="n">
        <x:v>5</x:v>
      </x:c>
      <x:c r="F881" t="str">
        <x:v>PHP-002</x:v>
      </x:c>
      <x:c r="G881" t="n">
        <x:v>176</x:v>
      </x:c>
      <x:c r="H881" t="str">
        <x:v>CQ-A11</x:v>
      </x:c>
      <x:c r="I881" s="36" t="str">
        <x:v>Bestandsfrage Philipper 2: repetitive Kapitel-Erkennungsfrage</x:v>
      </x:c>
      <x:c r="J881" s="36"/>
      <x:c r="K881" s="36"/>
      <x:c r="L881" s="36" t="str">
        <x:v>MASTER_STATUS_VERIFIZIERT</x:v>
      </x:c>
      <x:c r="M881" s="36" t="str">
        <x:v>ERSETZEN</x:v>
      </x:c>
      <x:c r="N881" s="36" t="str">
        <x:v>REPETITIVE_FRAGEFORM</x:v>
      </x:c>
      <x:c r="O881" s="36" t="str">
        <x:v>REINE_WIEDERERKENNUNG</x:v>
      </x:c>
      <x:c r="P881" s="36" t="str">
        <x:v>PERSON</x:v>
      </x:c>
      <x:c r="Q881" s="36" t="str">
        <x:v>Warum sollen die Philipper Epaphroditus mit Freude aufnehmen und Menschen wie ihn ehren?</x:v>
      </x:c>
      <x:c r="R881" s="36" t="str">
        <x:v>Weil er eine hohe politische Stellung hatte.</x:v>
      </x:c>
      <x:c r="S881" s="36" t="str">
        <x:v>Weil er für das Werk Christi sein Leben aufs Spiel gesetzt und Paulus gedient hat.</x:v>
      </x:c>
      <x:c r="T881" s="36" t="str">
        <x:v>Weil er Paulus aus dem Gefängnis befreit hatte.</x:v>
      </x:c>
      <x:c r="U881" s="36" t="str">
        <x:v>Weil er der Gründer der Gemeinde in Philippi war.</x:v>
      </x:c>
      <x:c r="V881" s="36" t="n">
        <x:v>1</x:v>
      </x:c>
      <x:c r="W881" s="36" t="str">
        <x:v>Weil er für das Werk Christi sein Leben aufs Spiel gesetzt und Paulus gedient hat.</x:v>
      </x:c>
      <x:c r="X881" s="36" t="str">
        <x:v>Philipper 2,25–30</x:v>
      </x:c>
      <x:c r="Y881" s="36" t="str">
        <x:v>Epaphroditus wird als Bruder, Mitarbeiter und Mitstreiter beschrieben. Seine schwere Krankheit entstand im Zusammenhang mit seinem Dienst, weshalb Paulus seine Hingabe ausdrücklich würdigt.</x:v>
      </x:c>
      <x:c r="Z881" s="36" t="str">
        <x:v>JA</x:v>
      </x:c>
      <x:c r="AA881" s="36" t="str">
        <x:v>JA</x:v>
      </x:c>
      <x:c r="AB881" s="36" t="str">
        <x:v>JA</x:v>
      </x:c>
      <x:c r="AC881" s="36" t="str">
        <x:v>JA</x:v>
      </x:c>
      <x:c r="AD881" s="36" t="str">
        <x:v>JA</x:v>
      </x:c>
      <x:c r="AE881" s="36" t="str">
        <x:v>JA</x:v>
      </x:c>
      <x:c r="AF881" s="36" t="str">
        <x:v>JA</x:v>
      </x:c>
      <x:c r="AG881" s="36" t="str">
        <x:v>FREIGEGEBEN</x:v>
      </x:c>
      <x:c r="AH881" s="36" t="str">
        <x:v>GPT-5.6 Sol · Buchprüfung Philipper · L1912/OTB</x:v>
      </x:c>
      <x:c r="AI881" s="36" t="str">
        <x:v>FREIGEGEBEN</x:v>
      </x:c>
      <x:c r="AJ881" s="36" t="str">
        <x:v>Philipper 2: repetitive Kapitel-Erkennungsfrage durch hochwertige PERSON-Frage ersetzt.</x:v>
      </x:c>
      <x:c r="AK881" s="36" t="str">
        <x:v>FaithPath repo develop/v4 · data/bibles/l1912/PHP.json · data/bibles/otb/PHP.json</x:v>
      </x:c>
      <x:c r="AL881" t="str">
        <x:v>JA</x:v>
      </x:c>
    </x:row>
    <x:row r="882">
      <x:c r="A882" t="str">
        <x:v>FP-1141</x:v>
      </x:c>
      <x:c r="B882" t="str">
        <x:v>PHP</x:v>
      </x:c>
      <x:c r="C882" t="str">
        <x:v>Philipper</x:v>
      </x:c>
      <x:c r="D882" t="n">
        <x:v>3</x:v>
      </x:c>
      <x:c r="E882" t="n">
        <x:v>1</x:v>
      </x:c>
      <x:c r="F882" t="str">
        <x:v>PHP-003</x:v>
      </x:c>
      <x:c r="G882" t="n">
        <x:v>177</x:v>
      </x:c>
      <x:c r="H882" t="str">
        <x:v>CQ-A11</x:v>
      </x:c>
      <x:c r="I882" s="36" t="str">
        <x:v>Bestandsfrage Philipper 3: repetitive Kapitel-Erkennungsfrage</x:v>
      </x:c>
      <x:c r="J882" s="36"/>
      <x:c r="K882" s="36"/>
      <x:c r="L882" s="36" t="str">
        <x:v>MASTER_STATUS_VERIFIZIERT</x:v>
      </x:c>
      <x:c r="M882" s="36" t="str">
        <x:v>ERSETZEN</x:v>
      </x:c>
      <x:c r="N882" s="36" t="str">
        <x:v>REPETITIVE_FRAGEFORM</x:v>
      </x:c>
      <x:c r="O882" s="36" t="str">
        <x:v>REINE_WIEDERERKENNUNG</x:v>
      </x:c>
      <x:c r="P882" s="36" t="str">
        <x:v>KONTRAST</x:v>
      </x:c>
      <x:c r="Q882" s="36" t="str">
        <x:v>Worauf will Paulus trotz seiner religiösen Herkunft und Leistungen nicht vertrauen?</x:v>
      </x:c>
      <x:c r="R882" s="36" t="str">
        <x:v>Auf Christus.</x:v>
      </x:c>
      <x:c r="S882" s="36" t="str">
        <x:v>Auf die Auferstehung.</x:v>
      </x:c>
      <x:c r="T882" s="36" t="str">
        <x:v>Auf menschliche Vorzüge und Leistungen 'nach dem Fleisch'.</x:v>
      </x:c>
      <x:c r="U882" s="36" t="str">
        <x:v>Auf Gottes Gnade.</x:v>
      </x:c>
      <x:c r="V882" s="36" t="n">
        <x:v>2</x:v>
      </x:c>
      <x:c r="W882" s="36" t="str">
        <x:v>Auf menschliche Vorzüge und Leistungen 'nach dem Fleisch'.</x:v>
      </x:c>
      <x:c r="X882" s="36" t="str">
        <x:v>Philipper 3,3–7</x:v>
      </x:c>
      <x:c r="Y882" s="36" t="str">
        <x:v>Paulus zählt mehrere Gründe auf, auf die er menschlich stolz sein könnte, erklärt sie aber im Blick auf Christus für Verlust. Sein Vertrauen soll nicht auf Herkunft oder Leistung ruhen.</x:v>
      </x:c>
      <x:c r="Z882" s="36" t="str">
        <x:v>JA</x:v>
      </x:c>
      <x:c r="AA882" s="36" t="str">
        <x:v>JA</x:v>
      </x:c>
      <x:c r="AB882" s="36" t="str">
        <x:v>JA</x:v>
      </x:c>
      <x:c r="AC882" s="36" t="str">
        <x:v>JA</x:v>
      </x:c>
      <x:c r="AD882" s="36" t="str">
        <x:v>JA</x:v>
      </x:c>
      <x:c r="AE882" s="36" t="str">
        <x:v>JA</x:v>
      </x:c>
      <x:c r="AF882" s="36" t="str">
        <x:v>JA</x:v>
      </x:c>
      <x:c r="AG882" s="36" t="str">
        <x:v>FREIGEGEBEN</x:v>
      </x:c>
      <x:c r="AH882" s="36" t="str">
        <x:v>GPT-5.6 Sol · Buchprüfung Philipper · L1912/OTB</x:v>
      </x:c>
      <x:c r="AI882" s="36" t="str">
        <x:v>FREIGEGEBEN</x:v>
      </x:c>
      <x:c r="AJ882" s="36" t="str">
        <x:v>Philipper 3: repetitive Kapitel-Erkennungsfrage durch hochwertige KONTRAST-Frage ersetzt.</x:v>
      </x:c>
      <x:c r="AK882" s="36" t="str">
        <x:v>FaithPath repo develop/v4 · data/bibles/l1912/PHP.json · data/bibles/otb/PHP.json</x:v>
      </x:c>
      <x:c r="AL882" t="str">
        <x:v>JA</x:v>
      </x:c>
    </x:row>
    <x:row r="883">
      <x:c r="A883" t="str">
        <x:v>FP-1142</x:v>
      </x:c>
      <x:c r="B883" t="str">
        <x:v>PHP</x:v>
      </x:c>
      <x:c r="C883" t="str">
        <x:v>Philipper</x:v>
      </x:c>
      <x:c r="D883" t="n">
        <x:v>3</x:v>
      </x:c>
      <x:c r="E883" t="n">
        <x:v>2</x:v>
      </x:c>
      <x:c r="F883" t="str">
        <x:v>PHP-003</x:v>
      </x:c>
      <x:c r="G883" t="n">
        <x:v>177</x:v>
      </x:c>
      <x:c r="H883" t="str">
        <x:v>CQ-A11</x:v>
      </x:c>
      <x:c r="I883" s="36" t="str">
        <x:v>Bestandsfrage Philipper 3: repetitive Kapitel-Erkennungsfrage</x:v>
      </x:c>
      <x:c r="J883" s="36"/>
      <x:c r="K883" s="36"/>
      <x:c r="L883" s="36" t="str">
        <x:v>MASTER_STATUS_VERIFIZIERT</x:v>
      </x:c>
      <x:c r="M883" s="36" t="str">
        <x:v>ERSETZEN</x:v>
      </x:c>
      <x:c r="N883" s="36" t="str">
        <x:v>REPETITIVE_FRAGEFORM</x:v>
      </x:c>
      <x:c r="O883" s="36" t="str">
        <x:v>REINE_WIEDERERKENNUNG</x:v>
      </x:c>
      <x:c r="P883" s="36" t="str">
        <x:v>KERNAUSSAGE</x:v>
      </x:c>
      <x:c r="Q883" s="36" t="str">
        <x:v>Welche Gerechtigkeit sucht Paulus nach Philipper 3?</x:v>
      </x:c>
      <x:c r="R883" s="36" t="str">
        <x:v>Eine Gerechtigkeit, die allein aus Gesetzesleistung stammt.</x:v>
      </x:c>
      <x:c r="S883" s="36" t="str">
        <x:v>Eine Gerechtigkeit durch gesellschaftliches Ansehen.</x:v>
      </x:c>
      <x:c r="T883" s="36" t="str">
        <x:v>Eine Gerechtigkeit, die ohne Beziehung zu Christus auskommt.</x:v>
      </x:c>
      <x:c r="U883" s="36" t="str">
        <x:v>Die Gerechtigkeit von Gott aufgrund des Glaubens an Christus.</x:v>
      </x:c>
      <x:c r="V883" s="36" t="n">
        <x:v>3</x:v>
      </x:c>
      <x:c r="W883" s="36" t="str">
        <x:v>Die Gerechtigkeit von Gott aufgrund des Glaubens an Christus.</x:v>
      </x:c>
      <x:c r="X883" s="36" t="str">
        <x:v>Philipper 3,8–9</x:v>
      </x:c>
      <x:c r="Y883" s="36" t="str">
        <x:v>Paulus stellt seine eigene, aus Gesetzesleistung abgeleitete Gerechtigkeit der Gerechtigkeit gegenüber, die von Gott kommt und im Glauben an Christus empfangen wird.</x:v>
      </x:c>
      <x:c r="Z883" s="36" t="str">
        <x:v>JA</x:v>
      </x:c>
      <x:c r="AA883" s="36" t="str">
        <x:v>JA</x:v>
      </x:c>
      <x:c r="AB883" s="36" t="str">
        <x:v>JA</x:v>
      </x:c>
      <x:c r="AC883" s="36" t="str">
        <x:v>JA</x:v>
      </x:c>
      <x:c r="AD883" s="36" t="str">
        <x:v>JA</x:v>
      </x:c>
      <x:c r="AE883" s="36" t="str">
        <x:v>JA</x:v>
      </x:c>
      <x:c r="AF883" s="36" t="str">
        <x:v>JA</x:v>
      </x:c>
      <x:c r="AG883" s="36" t="str">
        <x:v>FREIGEGEBEN</x:v>
      </x:c>
      <x:c r="AH883" s="36" t="str">
        <x:v>GPT-5.6 Sol · Buchprüfung Philipper · L1912/OTB</x:v>
      </x:c>
      <x:c r="AI883" s="36" t="str">
        <x:v>FREIGEGEBEN</x:v>
      </x:c>
      <x:c r="AJ883" s="36" t="str">
        <x:v>Philipper 3: repetitive Kapitel-Erkennungsfrage durch hochwertige KERNAUSSAGE-Frage ersetzt.</x:v>
      </x:c>
      <x:c r="AK883" s="36" t="str">
        <x:v>FaithPath repo develop/v4 · data/bibles/l1912/PHP.json · data/bibles/otb/PHP.json</x:v>
      </x:c>
      <x:c r="AL883" t="str">
        <x:v>JA</x:v>
      </x:c>
    </x:row>
    <x:row r="884">
      <x:c r="A884" t="str">
        <x:v>FP-1143</x:v>
      </x:c>
      <x:c r="B884" t="str">
        <x:v>PHP</x:v>
      </x:c>
      <x:c r="C884" t="str">
        <x:v>Philipper</x:v>
      </x:c>
      <x:c r="D884" t="n">
        <x:v>3</x:v>
      </x:c>
      <x:c r="E884" t="n">
        <x:v>3</x:v>
      </x:c>
      <x:c r="F884" t="str">
        <x:v>PHP-003</x:v>
      </x:c>
      <x:c r="G884" t="n">
        <x:v>177</x:v>
      </x:c>
      <x:c r="H884" t="str">
        <x:v>CQ-A11</x:v>
      </x:c>
      <x:c r="I884" s="36" t="str">
        <x:v>Bestandsfrage Philipper 3: repetitive Kapitel-Erkennungsfrage</x:v>
      </x:c>
      <x:c r="J884" s="36"/>
      <x:c r="K884" s="36"/>
      <x:c r="L884" s="36" t="str">
        <x:v>MASTER_STATUS_VERIFIZIERT</x:v>
      </x:c>
      <x:c r="M884" s="36" t="str">
        <x:v>ERSETZEN</x:v>
      </x:c>
      <x:c r="N884" s="36" t="str">
        <x:v>REPETITIVE_FRAGEFORM</x:v>
      </x:c>
      <x:c r="O884" s="36" t="str">
        <x:v>REINE_WIEDERERKENNUNG</x:v>
      </x:c>
      <x:c r="P884" s="36" t="str">
        <x:v>ZIEL</x:v>
      </x:c>
      <x:c r="Q884" s="36" t="str">
        <x:v>Was möchte Paulus nach Philipper 3 in Bezug auf Christus tiefer erfahren?</x:v>
      </x:c>
      <x:c r="R884" s="36" t="str">
        <x:v>Christus selbst, die Kraft seiner Auferstehung und die Gemeinschaft seiner Leiden.</x:v>
      </x:c>
      <x:c r="S884" s="36" t="str">
        <x:v>Nur seine eigene religiöse Vergangenheit.</x:v>
      </x:c>
      <x:c r="T884" s="36" t="str">
        <x:v>Vor allem politische Macht.</x:v>
      </x:c>
      <x:c r="U884" s="36" t="str">
        <x:v>Die Vermeidung jeder Form von Leiden.</x:v>
      </x:c>
      <x:c r="V884" s="36" t="n">
        <x:v>0</x:v>
      </x:c>
      <x:c r="W884" s="36" t="str">
        <x:v>Christus selbst, die Kraft seiner Auferstehung und die Gemeinschaft seiner Leiden.</x:v>
      </x:c>
      <x:c r="X884" s="36" t="str">
        <x:v>Philipper 3,10–11</x:v>
      </x:c>
      <x:c r="Y884" s="36" t="str">
        <x:v>Paulus beschreibt sein Ziel nicht bloß als Wissen über Christus, sondern als tiefere Teilhabe an ihm, an seiner Auferstehungskraft und sogar an seinen Leiden.</x:v>
      </x:c>
      <x:c r="Z884" s="36" t="str">
        <x:v>JA</x:v>
      </x:c>
      <x:c r="AA884" s="36" t="str">
        <x:v>JA</x:v>
      </x:c>
      <x:c r="AB884" s="36" t="str">
        <x:v>JA</x:v>
      </x:c>
      <x:c r="AC884" s="36" t="str">
        <x:v>JA</x:v>
      </x:c>
      <x:c r="AD884" s="36" t="str">
        <x:v>JA</x:v>
      </x:c>
      <x:c r="AE884" s="36" t="str">
        <x:v>JA</x:v>
      </x:c>
      <x:c r="AF884" s="36" t="str">
        <x:v>JA</x:v>
      </x:c>
      <x:c r="AG884" s="36" t="str">
        <x:v>FREIGEGEBEN</x:v>
      </x:c>
      <x:c r="AH884" s="36" t="str">
        <x:v>GPT-5.6 Sol · Buchprüfung Philipper · L1912/OTB</x:v>
      </x:c>
      <x:c r="AI884" s="36" t="str">
        <x:v>FREIGEGEBEN</x:v>
      </x:c>
      <x:c r="AJ884" s="36" t="str">
        <x:v>Philipper 3: repetitive Kapitel-Erkennungsfrage durch hochwertige ZIEL-Frage ersetzt.</x:v>
      </x:c>
      <x:c r="AK884" s="36" t="str">
        <x:v>FaithPath repo develop/v4 · data/bibles/l1912/PHP.json · data/bibles/otb/PHP.json</x:v>
      </x:c>
      <x:c r="AL884" t="str">
        <x:v>JA</x:v>
      </x:c>
    </x:row>
    <x:row r="885">
      <x:c r="A885" t="str">
        <x:v>FP-1144</x:v>
      </x:c>
      <x:c r="B885" t="str">
        <x:v>PHP</x:v>
      </x:c>
      <x:c r="C885" t="str">
        <x:v>Philipper</x:v>
      </x:c>
      <x:c r="D885" t="n">
        <x:v>3</x:v>
      </x:c>
      <x:c r="E885" t="n">
        <x:v>4</x:v>
      </x:c>
      <x:c r="F885" t="str">
        <x:v>PHP-003</x:v>
      </x:c>
      <x:c r="G885" t="n">
        <x:v>177</x:v>
      </x:c>
      <x:c r="H885" t="str">
        <x:v>CQ-A11</x:v>
      </x:c>
      <x:c r="I885" s="36" t="str">
        <x:v>Bestandsfrage Philipper 3: repetitive Kapitel-Erkennungsfrage</x:v>
      </x:c>
      <x:c r="J885" s="36"/>
      <x:c r="K885" s="36"/>
      <x:c r="L885" s="36" t="str">
        <x:v>MASTER_STATUS_VERIFIZIERT</x:v>
      </x:c>
      <x:c r="M885" s="36" t="str">
        <x:v>ERSETZEN</x:v>
      </x:c>
      <x:c r="N885" s="36" t="str">
        <x:v>REPETITIVE_FRAGEFORM</x:v>
      </x:c>
      <x:c r="O885" s="36" t="str">
        <x:v>REINE_WIEDERERKENNUNG</x:v>
      </x:c>
      <x:c r="P885" s="36" t="str">
        <x:v>BILD</x:v>
      </x:c>
      <x:c r="Q885" s="36" t="str">
        <x:v>Wie beschreibt Paulus sein geistliches Vorwärtsstreben?</x:v>
      </x:c>
      <x:c r="R885" s="36" t="str">
        <x:v>Er hält sich bereits für vollkommen und angekommen.</x:v>
      </x:c>
      <x:c r="S885" s="36" t="str">
        <x:v>Er vergisst, was hinter ihm liegt, streckt sich nach vorn aus und jagt dem Ziel entgegen.</x:v>
      </x:c>
      <x:c r="T885" s="36" t="str">
        <x:v>Er kehrt bewusst zu seinen früheren Maßstäben zurück.</x:v>
      </x:c>
      <x:c r="U885" s="36" t="str">
        <x:v>Er wartet passiv darauf, dass andere für ihn handeln.</x:v>
      </x:c>
      <x:c r="V885" s="36" t="n">
        <x:v>1</x:v>
      </x:c>
      <x:c r="W885" s="36" t="str">
        <x:v>Er vergisst, was hinter ihm liegt, streckt sich nach vorn aus und jagt dem Ziel entgegen.</x:v>
      </x:c>
      <x:c r="X885" s="36" t="str">
        <x:v>Philipper 3,12–14</x:v>
      </x:c>
      <x:c r="Y885" s="36" t="str">
        <x:v>Paulus betont ausdrücklich, dass er das Ziel noch nicht erreicht hat. Das Bild ist dynamisch: Er richtet sich nach vorn auf Gottes Berufung in Christus aus.</x:v>
      </x:c>
      <x:c r="Z885" s="36" t="str">
        <x:v>JA</x:v>
      </x:c>
      <x:c r="AA885" s="36" t="str">
        <x:v>JA</x:v>
      </x:c>
      <x:c r="AB885" s="36" t="str">
        <x:v>JA</x:v>
      </x:c>
      <x:c r="AC885" s="36" t="str">
        <x:v>JA</x:v>
      </x:c>
      <x:c r="AD885" s="36" t="str">
        <x:v>JA</x:v>
      </x:c>
      <x:c r="AE885" s="36" t="str">
        <x:v>JA</x:v>
      </x:c>
      <x:c r="AF885" s="36" t="str">
        <x:v>JA</x:v>
      </x:c>
      <x:c r="AG885" s="36" t="str">
        <x:v>FREIGEGEBEN</x:v>
      </x:c>
      <x:c r="AH885" s="36" t="str">
        <x:v>GPT-5.6 Sol · Buchprüfung Philipper · L1912/OTB</x:v>
      </x:c>
      <x:c r="AI885" s="36" t="str">
        <x:v>FREIGEGEBEN</x:v>
      </x:c>
      <x:c r="AJ885" s="36" t="str">
        <x:v>Philipper 3: repetitive Kapitel-Erkennungsfrage durch hochwertige BILD-Frage ersetzt.</x:v>
      </x:c>
      <x:c r="AK885" s="36" t="str">
        <x:v>FaithPath repo develop/v4 · data/bibles/l1912/PHP.json · data/bibles/otb/PHP.json</x:v>
      </x:c>
      <x:c r="AL885" t="str">
        <x:v>JA</x:v>
      </x:c>
    </x:row>
    <x:row r="886">
      <x:c r="A886" t="str">
        <x:v>FP-1145</x:v>
      </x:c>
      <x:c r="B886" t="str">
        <x:v>PHP</x:v>
      </x:c>
      <x:c r="C886" t="str">
        <x:v>Philipper</x:v>
      </x:c>
      <x:c r="D886" t="n">
        <x:v>3</x:v>
      </x:c>
      <x:c r="E886" t="n">
        <x:v>5</x:v>
      </x:c>
      <x:c r="F886" t="str">
        <x:v>PHP-003</x:v>
      </x:c>
      <x:c r="G886" t="n">
        <x:v>177</x:v>
      </x:c>
      <x:c r="H886" t="str">
        <x:v>CQ-A11</x:v>
      </x:c>
      <x:c r="I886" s="36" t="str">
        <x:v>Bestandsfrage Philipper 3: repetitive Kapitel-Erkennungsfrage</x:v>
      </x:c>
      <x:c r="J886" s="36"/>
      <x:c r="K886" s="36"/>
      <x:c r="L886" s="36" t="str">
        <x:v>MASTER_STATUS_VERIFIZIERT</x:v>
      </x:c>
      <x:c r="M886" s="36" t="str">
        <x:v>ERSETZEN</x:v>
      </x:c>
      <x:c r="N886" s="36" t="str">
        <x:v>REPETITIVE_FRAGEFORM</x:v>
      </x:c>
      <x:c r="O886" s="36" t="str">
        <x:v>REINE_WIEDERERKENNUNG</x:v>
      </x:c>
      <x:c r="P886" s="36" t="str">
        <x:v>HOFFNUNG</x:v>
      </x:c>
      <x:c r="Q886" s="36" t="str">
        <x:v>Welche Hoffnung verbindet Paulus mit der himmlischen Bürgerschaft der Glaubenden?</x:v>
      </x:c>
      <x:c r="R886" s="36" t="str">
        <x:v>Sie werden von jeder Verantwortung auf der Erde befreit.</x:v>
      </x:c>
      <x:c r="S886" s="36" t="str">
        <x:v>Sie müssen nicht mehr auf Christus warten.</x:v>
      </x:c>
      <x:c r="T886" s="36" t="str">
        <x:v>Sie erwarten Jesus Christus als Retter, der ihren niedrigen Leib verwandeln wird.</x:v>
      </x:c>
      <x:c r="U886" s="36" t="str">
        <x:v>Sie erhalten automatisch politische Herrschaft.</x:v>
      </x:c>
      <x:c r="V886" s="36" t="n">
        <x:v>2</x:v>
      </x:c>
      <x:c r="W886" s="36" t="str">
        <x:v>Sie erwarten Jesus Christus als Retter, der ihren niedrigen Leib verwandeln wird.</x:v>
      </x:c>
      <x:c r="X886" s="36" t="str">
        <x:v>Philipper 3,20–21</x:v>
      </x:c>
      <x:c r="Y886" s="36" t="str">
        <x:v>Paulus verbindet die himmlische Zugehörigkeit mit konkreter Zukunftshoffnung: Christus wird wiederkommen und den vergänglichen Leib der Glaubenden seiner Herrlichkeit angleichen.</x:v>
      </x:c>
      <x:c r="Z886" s="36" t="str">
        <x:v>JA</x:v>
      </x:c>
      <x:c r="AA886" s="36" t="str">
        <x:v>JA</x:v>
      </x:c>
      <x:c r="AB886" s="36" t="str">
        <x:v>JA</x:v>
      </x:c>
      <x:c r="AC886" s="36" t="str">
        <x:v>JA</x:v>
      </x:c>
      <x:c r="AD886" s="36" t="str">
        <x:v>JA</x:v>
      </x:c>
      <x:c r="AE886" s="36" t="str">
        <x:v>JA</x:v>
      </x:c>
      <x:c r="AF886" s="36" t="str">
        <x:v>JA</x:v>
      </x:c>
      <x:c r="AG886" s="36" t="str">
        <x:v>FREIGEGEBEN</x:v>
      </x:c>
      <x:c r="AH886" s="36" t="str">
        <x:v>GPT-5.6 Sol · Buchprüfung Philipper · L1912/OTB</x:v>
      </x:c>
      <x:c r="AI886" s="36" t="str">
        <x:v>FREIGEGEBEN</x:v>
      </x:c>
      <x:c r="AJ886" s="36" t="str">
        <x:v>Philipper 3: repetitive Kapitel-Erkennungsfrage durch hochwertige HOFFNUNG-Frage ersetzt.</x:v>
      </x:c>
      <x:c r="AK886" s="36" t="str">
        <x:v>FaithPath repo develop/v4 · data/bibles/l1912/PHP.json · data/bibles/otb/PHP.json</x:v>
      </x:c>
      <x:c r="AL886" t="str">
        <x:v>JA</x:v>
      </x:c>
    </x:row>
    <x:row r="887">
      <x:c r="A887" t="str">
        <x:v>FP-1146</x:v>
      </x:c>
      <x:c r="B887" t="str">
        <x:v>PHP</x:v>
      </x:c>
      <x:c r="C887" t="str">
        <x:v>Philipper</x:v>
      </x:c>
      <x:c r="D887" t="n">
        <x:v>4</x:v>
      </x:c>
      <x:c r="E887" t="n">
        <x:v>1</x:v>
      </x:c>
      <x:c r="F887" t="str">
        <x:v>PHP-004</x:v>
      </x:c>
      <x:c r="G887" t="n">
        <x:v>178</x:v>
      </x:c>
      <x:c r="H887" t="str">
        <x:v>CQ-A11</x:v>
      </x:c>
      <x:c r="I887" s="36" t="str">
        <x:v>Bestandsfrage Philipper 4: repetitive Kapitel-Erkennungsfrage</x:v>
      </x:c>
      <x:c r="J887" s="36"/>
      <x:c r="K887" s="36"/>
      <x:c r="L887" s="36" t="str">
        <x:v>MASTER_STATUS_VERIFIZIERT</x:v>
      </x:c>
      <x:c r="M887" s="36" t="str">
        <x:v>ERSETZEN</x:v>
      </x:c>
      <x:c r="N887" s="36" t="str">
        <x:v>REPETITIVE_FRAGEFORM</x:v>
      </x:c>
      <x:c r="O887" s="36" t="str">
        <x:v>REINE_WIEDERERKENNUNG</x:v>
      </x:c>
      <x:c r="P887" s="36" t="str">
        <x:v>KONFLIKT</x:v>
      </x:c>
      <x:c r="Q887" s="36" t="str">
        <x:v>Was fordert Paulus von Euodia und Syntyche?</x:v>
      </x:c>
      <x:c r="R887" s="36" t="str">
        <x:v>Dass eine von beiden die Gemeinde verlässt.</x:v>
      </x:c>
      <x:c r="S887" s="36" t="str">
        <x:v>Dass sie ihren Konflikt öffentlich verschärfen.</x:v>
      </x:c>
      <x:c r="T887" s="36" t="str">
        <x:v>Dass sie nicht mehr am Evangelium mitarbeiten.</x:v>
      </x:c>
      <x:c r="U887" s="36" t="str">
        <x:v>Dass sie im Herrn wieder eines Sinnes sind.</x:v>
      </x:c>
      <x:c r="V887" s="36" t="n">
        <x:v>3</x:v>
      </x:c>
      <x:c r="W887" s="36" t="str">
        <x:v>Dass sie im Herrn wieder eines Sinnes sind.</x:v>
      </x:c>
      <x:c r="X887" s="36" t="str">
        <x:v>Philipper 4,2–3</x:v>
      </x:c>
      <x:c r="Y887" s="36" t="str">
        <x:v>Paulus spricht beide Frauen direkt an und bittet zusätzlich einen treuen Mitarbeiter, ihnen zu helfen. Der Konflikt soll innerhalb der gemeinsamen Zugehörigkeit zum Herrn überwunden werden.</x:v>
      </x:c>
      <x:c r="Z887" s="36" t="str">
        <x:v>JA</x:v>
      </x:c>
      <x:c r="AA887" s="36" t="str">
        <x:v>JA</x:v>
      </x:c>
      <x:c r="AB887" s="36" t="str">
        <x:v>JA</x:v>
      </x:c>
      <x:c r="AC887" s="36" t="str">
        <x:v>JA</x:v>
      </x:c>
      <x:c r="AD887" s="36" t="str">
        <x:v>JA</x:v>
      </x:c>
      <x:c r="AE887" s="36" t="str">
        <x:v>JA</x:v>
      </x:c>
      <x:c r="AF887" s="36" t="str">
        <x:v>JA</x:v>
      </x:c>
      <x:c r="AG887" s="36" t="str">
        <x:v>FREIGEGEBEN</x:v>
      </x:c>
      <x:c r="AH887" s="36" t="str">
        <x:v>GPT-5.6 Sol · Buchprüfung Philipper · L1912/OTB</x:v>
      </x:c>
      <x:c r="AI887" s="36" t="str">
        <x:v>FREIGEGEBEN</x:v>
      </x:c>
      <x:c r="AJ887" s="36" t="str">
        <x:v>Philipper 4: repetitive Kapitel-Erkennungsfrage durch hochwertige KONFLIKT-Frage ersetzt.</x:v>
      </x:c>
      <x:c r="AK887" s="36" t="str">
        <x:v>FaithPath repo develop/v4 · data/bibles/l1912/PHP.json · data/bibles/otb/PHP.json</x:v>
      </x:c>
      <x:c r="AL887" t="str">
        <x:v>JA</x:v>
      </x:c>
    </x:row>
    <x:row r="888">
      <x:c r="A888" t="str">
        <x:v>FP-1147</x:v>
      </x:c>
      <x:c r="B888" t="str">
        <x:v>PHP</x:v>
      </x:c>
      <x:c r="C888" t="str">
        <x:v>Philipper</x:v>
      </x:c>
      <x:c r="D888" t="n">
        <x:v>4</x:v>
      </x:c>
      <x:c r="E888" t="n">
        <x:v>2</x:v>
      </x:c>
      <x:c r="F888" t="str">
        <x:v>PHP-004</x:v>
      </x:c>
      <x:c r="G888" t="n">
        <x:v>178</x:v>
      </x:c>
      <x:c r="H888" t="str">
        <x:v>CQ-A11</x:v>
      </x:c>
      <x:c r="I888" s="36" t="str">
        <x:v>Bestandsfrage Philipper 4: repetitive Kapitel-Erkennungsfrage</x:v>
      </x:c>
      <x:c r="J888" s="36"/>
      <x:c r="K888" s="36"/>
      <x:c r="L888" s="36" t="str">
        <x:v>MASTER_STATUS_VERIFIZIERT</x:v>
      </x:c>
      <x:c r="M888" s="36" t="str">
        <x:v>ERSETZEN</x:v>
      </x:c>
      <x:c r="N888" s="36" t="str">
        <x:v>REPETITIVE_FRAGEFORM</x:v>
      </x:c>
      <x:c r="O888" s="36" t="str">
        <x:v>REINE_WIEDERERKENNUNG</x:v>
      </x:c>
      <x:c r="P888" s="36" t="str">
        <x:v>ANWENDUNG</x:v>
      </x:c>
      <x:c r="Q888" s="36" t="str">
        <x:v>Wie sollen Glaubende nach Philipper 4 mit Sorgen umgehen?</x:v>
      </x:c>
      <x:c r="R888" s="36" t="str">
        <x:v>Ihre Anliegen in Gebet und Flehen mit Danksagung vor Gott bringen.</x:v>
      </x:c>
      <x:c r="S888" s="36" t="str">
        <x:v>Sorgen vollständig verdrängen und nie aussprechen.</x:v>
      </x:c>
      <x:c r="T888" s="36" t="str">
        <x:v>Alle Probleme allein lösen, bevor sie beten.</x:v>
      </x:c>
      <x:c r="U888" s="36" t="str">
        <x:v>Sich nur dann an Gott wenden, wenn alle anderen Möglichkeiten gescheitert sind.</x:v>
      </x:c>
      <x:c r="V888" s="36" t="n">
        <x:v>0</x:v>
      </x:c>
      <x:c r="W888" s="36" t="str">
        <x:v>Ihre Anliegen in Gebet und Flehen mit Danksagung vor Gott bringen.</x:v>
      </x:c>
      <x:c r="X888" s="36" t="str">
        <x:v>Philipper 4,4–7</x:v>
      </x:c>
      <x:c r="Y888" s="36" t="str">
        <x:v>Paulus verbindet die Aufforderung, sich nicht von Sorge beherrschen zu lassen, mit Gebet, konkreten Bitten und Dank. Darauf folgt die Zusage von Gottes Frieden, der Herz und Gedanken bewahrt.</x:v>
      </x:c>
      <x:c r="Z888" s="36" t="str">
        <x:v>JA</x:v>
      </x:c>
      <x:c r="AA888" s="36" t="str">
        <x:v>JA</x:v>
      </x:c>
      <x:c r="AB888" s="36" t="str">
        <x:v>JA</x:v>
      </x:c>
      <x:c r="AC888" s="36" t="str">
        <x:v>JA</x:v>
      </x:c>
      <x:c r="AD888" s="36" t="str">
        <x:v>JA</x:v>
      </x:c>
      <x:c r="AE888" s="36" t="str">
        <x:v>JA</x:v>
      </x:c>
      <x:c r="AF888" s="36" t="str">
        <x:v>JA</x:v>
      </x:c>
      <x:c r="AG888" s="36" t="str">
        <x:v>FREIGEGEBEN</x:v>
      </x:c>
      <x:c r="AH888" s="36" t="str">
        <x:v>GPT-5.6 Sol · Buchprüfung Philipper · L1912/OTB</x:v>
      </x:c>
      <x:c r="AI888" s="36" t="str">
        <x:v>FREIGEGEBEN</x:v>
      </x:c>
      <x:c r="AJ888" s="36" t="str">
        <x:v>Philipper 4: repetitive Kapitel-Erkennungsfrage durch hochwertige ANWENDUNG-Frage ersetzt.</x:v>
      </x:c>
      <x:c r="AK888" s="36" t="str">
        <x:v>FaithPath repo develop/v4 · data/bibles/l1912/PHP.json · data/bibles/otb/PHP.json</x:v>
      </x:c>
      <x:c r="AL888" t="str">
        <x:v>JA</x:v>
      </x:c>
    </x:row>
    <x:row r="889">
      <x:c r="A889" t="str">
        <x:v>FP-1148</x:v>
      </x:c>
      <x:c r="B889" t="str">
        <x:v>PHP</x:v>
      </x:c>
      <x:c r="C889" t="str">
        <x:v>Philipper</x:v>
      </x:c>
      <x:c r="D889" t="n">
        <x:v>4</x:v>
      </x:c>
      <x:c r="E889" t="n">
        <x:v>3</x:v>
      </x:c>
      <x:c r="F889" t="str">
        <x:v>PHP-004</x:v>
      </x:c>
      <x:c r="G889" t="n">
        <x:v>178</x:v>
      </x:c>
      <x:c r="H889" t="str">
        <x:v>CQ-A11</x:v>
      </x:c>
      <x:c r="I889" s="36" t="str">
        <x:v>Bestandsfrage Philipper 4: repetitive Kapitel-Erkennungsfrage</x:v>
      </x:c>
      <x:c r="J889" s="36"/>
      <x:c r="K889" s="36"/>
      <x:c r="L889" s="36" t="str">
        <x:v>MASTER_STATUS_VERIFIZIERT</x:v>
      </x:c>
      <x:c r="M889" s="36" t="str">
        <x:v>ERSETZEN</x:v>
      </x:c>
      <x:c r="N889" s="36" t="str">
        <x:v>REPETITIVE_FRAGEFORM</x:v>
      </x:c>
      <x:c r="O889" s="36" t="str">
        <x:v>REINE_WIEDERERKENNUNG</x:v>
      </x:c>
      <x:c r="P889" s="36" t="str">
        <x:v>DENKEN</x:v>
      </x:c>
      <x:c r="Q889" s="36" t="str">
        <x:v>Worauf sollen die Philipper ihre Gedanken nach Philipper 4 besonders richten?</x:v>
      </x:c>
      <x:c r="R889" s="36" t="str">
        <x:v>Auf möglichst viele negative Entwicklungen.</x:v>
      </x:c>
      <x:c r="S889" s="36" t="str">
        <x:v>Auf das, was wahr, ehrbar, gerecht, rein, liebenswert und lobenswert ist.</x:v>
      </x:c>
      <x:c r="T889" s="36" t="str">
        <x:v>Nur auf materielle Gewinne.</x:v>
      </x:c>
      <x:c r="U889" s="36" t="str">
        <x:v>Auf Gerüchte über andere Gemeinden.</x:v>
      </x:c>
      <x:c r="V889" s="36" t="n">
        <x:v>1</x:v>
      </x:c>
      <x:c r="W889" s="36" t="str">
        <x:v>Auf das, was wahr, ehrbar, gerecht, rein, liebenswert und lobenswert ist.</x:v>
      </x:c>
      <x:c r="X889" s="36" t="str">
        <x:v>Philipper 4,8–9</x:v>
      </x:c>
      <x:c r="Y889" s="36" t="str">
        <x:v>Paulus macht deutlich, dass geistliches Leben auch die Ausrichtung der Gedanken betrifft. Das Gute soll nicht nur bedacht, sondern das Gelernte auch praktisch umgesetzt werden.</x:v>
      </x:c>
      <x:c r="Z889" s="36" t="str">
        <x:v>JA</x:v>
      </x:c>
      <x:c r="AA889" s="36" t="str">
        <x:v>JA</x:v>
      </x:c>
      <x:c r="AB889" s="36" t="str">
        <x:v>JA</x:v>
      </x:c>
      <x:c r="AC889" s="36" t="str">
        <x:v>JA</x:v>
      </x:c>
      <x:c r="AD889" s="36" t="str">
        <x:v>JA</x:v>
      </x:c>
      <x:c r="AE889" s="36" t="str">
        <x:v>JA</x:v>
      </x:c>
      <x:c r="AF889" s="36" t="str">
        <x:v>JA</x:v>
      </x:c>
      <x:c r="AG889" s="36" t="str">
        <x:v>FREIGEGEBEN</x:v>
      </x:c>
      <x:c r="AH889" s="36" t="str">
        <x:v>GPT-5.6 Sol · Buchprüfung Philipper · L1912/OTB</x:v>
      </x:c>
      <x:c r="AI889" s="36" t="str">
        <x:v>FREIGEGEBEN</x:v>
      </x:c>
      <x:c r="AJ889" s="36" t="str">
        <x:v>Philipper 4: repetitive Kapitel-Erkennungsfrage durch hochwertige DENKEN-Frage ersetzt.</x:v>
      </x:c>
      <x:c r="AK889" s="36" t="str">
        <x:v>FaithPath repo develop/v4 · data/bibles/l1912/PHP.json · data/bibles/otb/PHP.json</x:v>
      </x:c>
      <x:c r="AL889" t="str">
        <x:v>JA</x:v>
      </x:c>
    </x:row>
    <x:row r="890">
      <x:c r="A890" t="str">
        <x:v>FP-1149</x:v>
      </x:c>
      <x:c r="B890" t="str">
        <x:v>PHP</x:v>
      </x:c>
      <x:c r="C890" t="str">
        <x:v>Philipper</x:v>
      </x:c>
      <x:c r="D890" t="n">
        <x:v>4</x:v>
      </x:c>
      <x:c r="E890" t="n">
        <x:v>4</x:v>
      </x:c>
      <x:c r="F890" t="str">
        <x:v>PHP-004</x:v>
      </x:c>
      <x:c r="G890" t="n">
        <x:v>178</x:v>
      </x:c>
      <x:c r="H890" t="str">
        <x:v>CQ-A11</x:v>
      </x:c>
      <x:c r="I890" s="36" t="str">
        <x:v>Bestandsfrage Philipper 4: repetitive Kapitel-Erkennungsfrage</x:v>
      </x:c>
      <x:c r="J890" s="36"/>
      <x:c r="K890" s="36"/>
      <x:c r="L890" s="36" t="str">
        <x:v>MASTER_STATUS_VERIFIZIERT</x:v>
      </x:c>
      <x:c r="M890" s="36" t="str">
        <x:v>ERSETZEN</x:v>
      </x:c>
      <x:c r="N890" s="36" t="str">
        <x:v>REPETITIVE_FRAGEFORM</x:v>
      </x:c>
      <x:c r="O890" s="36" t="str">
        <x:v>REINE_WIEDERERKENNUNG</x:v>
      </x:c>
      <x:c r="P890" s="36" t="str">
        <x:v>VERSTÄNDNIS</x:v>
      </x:c>
      <x:c r="Q890" s="36" t="str">
        <x:v>Was meint Paulus im Zusammenhang mit 'Ich vermag alles durch den, der mich stärkt'?</x:v>
      </x:c>
      <x:c r="R890" s="36" t="str">
        <x:v>Er kann jede beliebige persönliche Wunschvorstellung garantiert verwirklichen.</x:v>
      </x:c>
      <x:c r="S890" s="36" t="str">
        <x:v>Er wird nie wieder Hunger oder Schwierigkeiten erleben.</x:v>
      </x:c>
      <x:c r="T890" s="36" t="str">
        <x:v>Er hat gelernt, in sehr unterschiedlichen Lebenslagen – Mangel oder Fülle – durch Christus zufrieden und standhaft zu sein.</x:v>
      </x:c>
      <x:c r="U890" s="36" t="str">
        <x:v>Er benötigt keine Unterstützung anderer Christen mehr.</x:v>
      </x:c>
      <x:c r="V890" s="36" t="n">
        <x:v>2</x:v>
      </x:c>
      <x:c r="W890" s="36" t="str">
        <x:v>Er hat gelernt, in sehr unterschiedlichen Lebenslagen – Mangel oder Fülle – durch Christus zufrieden und standhaft zu sein.</x:v>
      </x:c>
      <x:c r="X890" s="36" t="str">
        <x:v>Philipper 4,10–13</x:v>
      </x:c>
      <x:c r="Y890" s="36" t="str">
        <x:v>Der bekannte Satz steht im Kontext von Zufriedenheit in wechselnden Lebensumständen. Paulus spricht von Kraft durch Christus, sowohl Überfluss als auch Mangel tragen zu können.</x:v>
      </x:c>
      <x:c r="Z890" s="36" t="str">
        <x:v>JA</x:v>
      </x:c>
      <x:c r="AA890" s="36" t="str">
        <x:v>JA</x:v>
      </x:c>
      <x:c r="AB890" s="36" t="str">
        <x:v>JA</x:v>
      </x:c>
      <x:c r="AC890" s="36" t="str">
        <x:v>JA</x:v>
      </x:c>
      <x:c r="AD890" s="36" t="str">
        <x:v>JA</x:v>
      </x:c>
      <x:c r="AE890" s="36" t="str">
        <x:v>JA</x:v>
      </x:c>
      <x:c r="AF890" s="36" t="str">
        <x:v>JA</x:v>
      </x:c>
      <x:c r="AG890" s="36" t="str">
        <x:v>FREIGEGEBEN</x:v>
      </x:c>
      <x:c r="AH890" s="36" t="str">
        <x:v>GPT-5.6 Sol · Buchprüfung Philipper · L1912/OTB</x:v>
      </x:c>
      <x:c r="AI890" s="36" t="str">
        <x:v>FREIGEGEBEN</x:v>
      </x:c>
      <x:c r="AJ890" s="36" t="str">
        <x:v>Philipper 4: repetitive Kapitel-Erkennungsfrage durch hochwertige VERSTÄNDNIS-Frage ersetzt.</x:v>
      </x:c>
      <x:c r="AK890" s="36" t="str">
        <x:v>FaithPath repo develop/v4 · data/bibles/l1912/PHP.json · data/bibles/otb/PHP.json</x:v>
      </x:c>
      <x:c r="AL890" t="str">
        <x:v>JA</x:v>
      </x:c>
    </x:row>
    <x:row r="891">
      <x:c r="A891" t="str">
        <x:v>FP-1150</x:v>
      </x:c>
      <x:c r="B891" t="str">
        <x:v>PHP</x:v>
      </x:c>
      <x:c r="C891" t="str">
        <x:v>Philipper</x:v>
      </x:c>
      <x:c r="D891" t="n">
        <x:v>4</x:v>
      </x:c>
      <x:c r="E891" t="n">
        <x:v>5</x:v>
      </x:c>
      <x:c r="F891" t="str">
        <x:v>PHP-004</x:v>
      </x:c>
      <x:c r="G891" t="n">
        <x:v>178</x:v>
      </x:c>
      <x:c r="H891" t="str">
        <x:v>CQ-A11</x:v>
      </x:c>
      <x:c r="I891" s="36" t="str">
        <x:v>Bestandsfrage Philipper 4: repetitive Kapitel-Erkennungsfrage</x:v>
      </x:c>
      <x:c r="J891" s="36"/>
      <x:c r="K891" s="36"/>
      <x:c r="L891" s="36" t="str">
        <x:v>MASTER_STATUS_VERIFIZIERT</x:v>
      </x:c>
      <x:c r="M891" s="36" t="str">
        <x:v>ERSETZEN</x:v>
      </x:c>
      <x:c r="N891" s="36" t="str">
        <x:v>REPETITIVE_FRAGEFORM</x:v>
      </x:c>
      <x:c r="O891" s="36" t="str">
        <x:v>REINE_WIEDERERKENNUNG</x:v>
      </x:c>
      <x:c r="P891" s="36" t="str">
        <x:v>GEBEN</x:v>
      </x:c>
      <x:c r="Q891" s="36" t="str">
        <x:v>Wie bewertet Paulus die Unterstützung, die ihm die Philipper durch Epaphroditus geschickt haben?</x:v>
      </x:c>
      <x:c r="R891" s="36" t="str">
        <x:v>Als unnötige Hilfe, die er ablehnt.</x:v>
      </x:c>
      <x:c r="S891" s="36" t="str">
        <x:v>Als Zahlung für geistliche Leistungen.</x:v>
      </x:c>
      <x:c r="T891" s="36" t="str">
        <x:v>Als Beweis dafür, dass nur reiche Gemeinden Gott gefallen.</x:v>
      </x:c>
      <x:c r="U891" s="36" t="str">
        <x:v>Als Gott wohlgefälliges Opfer und zugleich als Frucht, die den Gebenden zugutekommt.</x:v>
      </x:c>
      <x:c r="V891" s="36" t="n">
        <x:v>3</x:v>
      </x:c>
      <x:c r="W891" s="36" t="str">
        <x:v>Als Gott wohlgefälliges Opfer und zugleich als Frucht, die den Gebenden zugutekommt.</x:v>
      </x:c>
      <x:c r="X891" s="36" t="str">
        <x:v>Philipper 4,14–19</x:v>
      </x:c>
      <x:c r="Y891" s="36" t="str">
        <x:v>Paulus dankt für die Hilfe, macht aber klar, dass er nicht bloß das Geschenk sucht. Er sieht darin geistliche Frucht und beschreibt die Gabe als Gott wohlgefälliges Opfer.</x:v>
      </x:c>
      <x:c r="Z891" s="36" t="str">
        <x:v>JA</x:v>
      </x:c>
      <x:c r="AA891" s="36" t="str">
        <x:v>JA</x:v>
      </x:c>
      <x:c r="AB891" s="36" t="str">
        <x:v>JA</x:v>
      </x:c>
      <x:c r="AC891" s="36" t="str">
        <x:v>JA</x:v>
      </x:c>
      <x:c r="AD891" s="36" t="str">
        <x:v>JA</x:v>
      </x:c>
      <x:c r="AE891" s="36" t="str">
        <x:v>JA</x:v>
      </x:c>
      <x:c r="AF891" s="36" t="str">
        <x:v>JA</x:v>
      </x:c>
      <x:c r="AG891" s="36" t="str">
        <x:v>FREIGEGEBEN</x:v>
      </x:c>
      <x:c r="AH891" s="36" t="str">
        <x:v>GPT-5.6 Sol · Buchprüfung Philipper · L1912/OTB</x:v>
      </x:c>
      <x:c r="AI891" s="36" t="str">
        <x:v>FREIGEGEBEN</x:v>
      </x:c>
      <x:c r="AJ891" s="36" t="str">
        <x:v>Philipper 4: repetitive Kapitel-Erkennungsfrage durch hochwertige GEBEN-Frage ersetzt.</x:v>
      </x:c>
      <x:c r="AK891" s="36" t="str">
        <x:v>FaithPath repo develop/v4 · data/bibles/l1912/PHP.json · data/bibles/otb/PHP.json</x:v>
      </x:c>
      <x:c r="AL891" t="str">
        <x:v>JA</x:v>
      </x:c>
    </x:row>
    <x:row r="892">
      <x:c r="A892" t="str">
        <x:v>FP-1151</x:v>
      </x:c>
      <x:c r="B892" t="str">
        <x:v>COL</x:v>
      </x:c>
      <x:c r="C892" t="str">
        <x:v>Kolosser</x:v>
      </x:c>
      <x:c r="D892" t="n">
        <x:v>1</x:v>
      </x:c>
      <x:c r="E892" t="n">
        <x:v>1</x:v>
      </x:c>
      <x:c r="F892" t="str">
        <x:v>COL-001</x:v>
      </x:c>
      <x:c r="G892" t="n">
        <x:v>179</x:v>
      </x:c>
      <x:c r="H892" t="str">
        <x:v>CQ-A12</x:v>
      </x:c>
      <x:c r="I892" s="36" t="str">
        <x:v>Bestandsfrage Kolosser 1: repetitive Kapitel-Erkennungsfrage</x:v>
      </x:c>
      <x:c r="J892" s="36"/>
      <x:c r="K892" s="36"/>
      <x:c r="L892" s="36" t="str">
        <x:v>MASTER_STATUS_VERIFIZIERT</x:v>
      </x:c>
      <x:c r="M892" s="36" t="str">
        <x:v>ERSETZEN</x:v>
      </x:c>
      <x:c r="N892" s="36" t="str">
        <x:v>REPETITIVE_FRAGEFORM</x:v>
      </x:c>
      <x:c r="O892" s="36" t="str">
        <x:v>REINE_WIEDERERKENNUNG</x:v>
      </x:c>
      <x:c r="P892" s="36" t="str">
        <x:v>GEBET</x:v>
      </x:c>
      <x:c r="Q892" s="36" t="str">
        <x:v>Wofür betet Paulus nach Kolosser 1 besonders für die Gemeinde?</x:v>
      </x:c>
      <x:c r="R892" s="36" t="str">
        <x:v>Dass sie mit der Erkenntnis von Gottes Willen erfüllt werden und entsprechend leben.</x:v>
      </x:c>
      <x:c r="S892" s="36" t="str">
        <x:v>Dass sie möglichst schnell politische Macht erlangen.</x:v>
      </x:c>
      <x:c r="T892" s="36" t="str">
        <x:v>Dass sie keinerlei Widerstand mehr erleben.</x:v>
      </x:c>
      <x:c r="U892" s="36" t="str">
        <x:v>Dass sie nur noch über ihre eigenen Bedürfnisse nachdenken.</x:v>
      </x:c>
      <x:c r="V892" s="36" t="n">
        <x:v>0</x:v>
      </x:c>
      <x:c r="W892" s="36" t="str">
        <x:v>Dass sie mit der Erkenntnis von Gottes Willen erfüllt werden und entsprechend leben.</x:v>
      </x:c>
      <x:c r="X892" s="36" t="str">
        <x:v>Kolosser 1,9–12</x:v>
      </x:c>
      <x:c r="Y892" s="36" t="str">
        <x:v>Paulus verbindet Erkenntnis mit Praxis: Die Gemeinde soll Gottes Willen verstehen, würdig leben, in guten Werken Frucht bringen, wachsen und mit Kraft zu Geduld und Ausdauer gestärkt werden.</x:v>
      </x:c>
      <x:c r="Z892" s="36" t="str">
        <x:v>JA</x:v>
      </x:c>
      <x:c r="AA892" s="36" t="str">
        <x:v>JA</x:v>
      </x:c>
      <x:c r="AB892" s="36" t="str">
        <x:v>JA</x:v>
      </x:c>
      <x:c r="AC892" s="36" t="str">
        <x:v>JA</x:v>
      </x:c>
      <x:c r="AD892" s="36" t="str">
        <x:v>JA</x:v>
      </x:c>
      <x:c r="AE892" s="36" t="str">
        <x:v>JA</x:v>
      </x:c>
      <x:c r="AF892" s="36" t="str">
        <x:v>JA</x:v>
      </x:c>
      <x:c r="AG892" s="36" t="str">
        <x:v>FREIGEGEBEN</x:v>
      </x:c>
      <x:c r="AH892" s="36" t="str">
        <x:v>GPT-5.6 Sol · Buchprüfung Kolosser · L1912/OTB</x:v>
      </x:c>
      <x:c r="AI892" s="36" t="str">
        <x:v>FREIGEGEBEN</x:v>
      </x:c>
      <x:c r="AJ892" s="36" t="str">
        <x:v>Kolosser 1: repetitive Kapitel-Erkennungsfrage durch hochwertige GEBET-Frage ersetzt.</x:v>
      </x:c>
      <x:c r="AK892" s="36" t="str">
        <x:v>FaithPath repo develop/v4 · data/bibles/l1912/COL.json · data/bibles/otb/COL.json</x:v>
      </x:c>
      <x:c r="AL892" t="str">
        <x:v>JA</x:v>
      </x:c>
    </x:row>
    <x:row r="893">
      <x:c r="A893" t="str">
        <x:v>FP-1152</x:v>
      </x:c>
      <x:c r="B893" t="str">
        <x:v>COL</x:v>
      </x:c>
      <x:c r="C893" t="str">
        <x:v>Kolosser</x:v>
      </x:c>
      <x:c r="D893" t="n">
        <x:v>1</x:v>
      </x:c>
      <x:c r="E893" t="n">
        <x:v>2</x:v>
      </x:c>
      <x:c r="F893" t="str">
        <x:v>COL-001</x:v>
      </x:c>
      <x:c r="G893" t="n">
        <x:v>179</x:v>
      </x:c>
      <x:c r="H893" t="str">
        <x:v>CQ-A12</x:v>
      </x:c>
      <x:c r="I893" s="36" t="str">
        <x:v>Bestandsfrage Kolosser 1: repetitive Kapitel-Erkennungsfrage</x:v>
      </x:c>
      <x:c r="J893" s="36"/>
      <x:c r="K893" s="36"/>
      <x:c r="L893" s="36" t="str">
        <x:v>MASTER_STATUS_VERIFIZIERT</x:v>
      </x:c>
      <x:c r="M893" s="36" t="str">
        <x:v>ERSETZEN</x:v>
      </x:c>
      <x:c r="N893" s="36" t="str">
        <x:v>REPETITIVE_FRAGEFORM</x:v>
      </x:c>
      <x:c r="O893" s="36" t="str">
        <x:v>REINE_WIEDERERKENNUNG</x:v>
      </x:c>
      <x:c r="P893" s="36" t="str">
        <x:v>RETTUNG</x:v>
      </x:c>
      <x:c r="Q893" s="36" t="str">
        <x:v>Wie beschreibt Paulus den Wechsel, den Gott für die Glaubenden bewirkt hat?</x:v>
      </x:c>
      <x:c r="R893" s="36" t="str">
        <x:v>Er hat sie aus Kolossä nach Jerusalem versetzt.</x:v>
      </x:c>
      <x:c r="S893" s="36" t="str">
        <x:v>Er hat sie aus der Herrschaft der Finsternis gerettet und in das Reich seines geliebten Sohnes versetzt.</x:v>
      </x:c>
      <x:c r="T893" s="36" t="str">
        <x:v>Er hat ihnen jede irdische Verantwortung genommen.</x:v>
      </x:c>
      <x:c r="U893" s="36" t="str">
        <x:v>Er hat sie unter die Herrschaft menschlicher Traditionen gestellt.</x:v>
      </x:c>
      <x:c r="V893" s="36" t="n">
        <x:v>1</x:v>
      </x:c>
      <x:c r="W893" s="36" t="str">
        <x:v>Er hat sie aus der Herrschaft der Finsternis gerettet und in das Reich seines geliebten Sohnes versetzt.</x:v>
      </x:c>
      <x:c r="X893" s="36" t="str">
        <x:v>Kolosser 1,12–14</x:v>
      </x:c>
      <x:c r="Y893" s="36" t="str">
        <x:v>Paulus beschreibt Rettung als Herrschaftswechsel: weg von der Finsternis, hinein in das Reich des Sohnes. Mit Christus verbindet er Erlösung und Vergebung.</x:v>
      </x:c>
      <x:c r="Z893" s="36" t="str">
        <x:v>JA</x:v>
      </x:c>
      <x:c r="AA893" s="36" t="str">
        <x:v>JA</x:v>
      </x:c>
      <x:c r="AB893" s="36" t="str">
        <x:v>JA</x:v>
      </x:c>
      <x:c r="AC893" s="36" t="str">
        <x:v>JA</x:v>
      </x:c>
      <x:c r="AD893" s="36" t="str">
        <x:v>JA</x:v>
      </x:c>
      <x:c r="AE893" s="36" t="str">
        <x:v>JA</x:v>
      </x:c>
      <x:c r="AF893" s="36" t="str">
        <x:v>JA</x:v>
      </x:c>
      <x:c r="AG893" s="36" t="str">
        <x:v>FREIGEGEBEN</x:v>
      </x:c>
      <x:c r="AH893" s="36" t="str">
        <x:v>GPT-5.6 Sol · Buchprüfung Kolosser · L1912/OTB</x:v>
      </x:c>
      <x:c r="AI893" s="36" t="str">
        <x:v>FREIGEGEBEN</x:v>
      </x:c>
      <x:c r="AJ893" s="36" t="str">
        <x:v>Kolosser 1: repetitive Kapitel-Erkennungsfrage durch hochwertige RETTUNG-Frage ersetzt.</x:v>
      </x:c>
      <x:c r="AK893" s="36" t="str">
        <x:v>FaithPath repo develop/v4 · data/bibles/l1912/COL.json · data/bibles/otb/COL.json</x:v>
      </x:c>
      <x:c r="AL893" t="str">
        <x:v>JA</x:v>
      </x:c>
    </x:row>
    <x:row r="894">
      <x:c r="A894" t="str">
        <x:v>FP-1153</x:v>
      </x:c>
      <x:c r="B894" t="str">
        <x:v>COL</x:v>
      </x:c>
      <x:c r="C894" t="str">
        <x:v>Kolosser</x:v>
      </x:c>
      <x:c r="D894" t="n">
        <x:v>1</x:v>
      </x:c>
      <x:c r="E894" t="n">
        <x:v>3</x:v>
      </x:c>
      <x:c r="F894" t="str">
        <x:v>COL-001</x:v>
      </x:c>
      <x:c r="G894" t="n">
        <x:v>179</x:v>
      </x:c>
      <x:c r="H894" t="str">
        <x:v>CQ-A12</x:v>
      </x:c>
      <x:c r="I894" s="36" t="str">
        <x:v>Bestandsfrage Kolosser 1: repetitive Kapitel-Erkennungsfrage</x:v>
      </x:c>
      <x:c r="J894" s="36"/>
      <x:c r="K894" s="36"/>
      <x:c r="L894" s="36" t="str">
        <x:v>MASTER_STATUS_VERIFIZIERT</x:v>
      </x:c>
      <x:c r="M894" s="36" t="str">
        <x:v>ERSETZEN</x:v>
      </x:c>
      <x:c r="N894" s="36" t="str">
        <x:v>REPETITIVE_FRAGEFORM</x:v>
      </x:c>
      <x:c r="O894" s="36" t="str">
        <x:v>REINE_WIEDERERKENNUNG</x:v>
      </x:c>
      <x:c r="P894" s="36" t="str">
        <x:v>CHRISTOLOGIE</x:v>
      </x:c>
      <x:c r="Q894" s="36" t="str">
        <x:v>Welche Stellung hat Christus nach Kolosser 1 gegenüber der Schöpfung?</x:v>
      </x:c>
      <x:c r="R894" s="36" t="str">
        <x:v>Er ist nur ein Teil der geschaffenen Welt ohne besondere Stellung.</x:v>
      </x:c>
      <x:c r="S894" s="36" t="str">
        <x:v>Er wirkt nur innerhalb der Gemeinde, nicht aber in Bezug auf die Schöpfung.</x:v>
      </x:c>
      <x:c r="T894" s="36" t="str">
        <x:v>Alles ist durch ihn und für ihn geschaffen, und alles besteht in ihm.</x:v>
      </x:c>
      <x:c r="U894" s="36" t="str">
        <x:v>Er erhält seine Vollmacht erst durch menschliche Anerkennung.</x:v>
      </x:c>
      <x:c r="V894" s="36" t="n">
        <x:v>2</x:v>
      </x:c>
      <x:c r="W894" s="36" t="str">
        <x:v>Alles ist durch ihn und für ihn geschaffen, und alles besteht in ihm.</x:v>
      </x:c>
      <x:c r="X894" s="36" t="str">
        <x:v>Kolosser 1,15–17</x:v>
      </x:c>
      <x:c r="Y894" s="36" t="str">
        <x:v>Der Abschnitt beschreibt Christus in außergewöhnlicher Vorrangstellung: Die gesamte sichtbare und unsichtbare Schöpfung ist durch ihn und auf ihn hin geschaffen, und in ihm hat sie Bestand.</x:v>
      </x:c>
      <x:c r="Z894" s="36" t="str">
        <x:v>JA</x:v>
      </x:c>
      <x:c r="AA894" s="36" t="str">
        <x:v>JA</x:v>
      </x:c>
      <x:c r="AB894" s="36" t="str">
        <x:v>JA</x:v>
      </x:c>
      <x:c r="AC894" s="36" t="str">
        <x:v>JA</x:v>
      </x:c>
      <x:c r="AD894" s="36" t="str">
        <x:v>JA</x:v>
      </x:c>
      <x:c r="AE894" s="36" t="str">
        <x:v>JA</x:v>
      </x:c>
      <x:c r="AF894" s="36" t="str">
        <x:v>JA</x:v>
      </x:c>
      <x:c r="AG894" s="36" t="str">
        <x:v>FREIGEGEBEN</x:v>
      </x:c>
      <x:c r="AH894" s="36" t="str">
        <x:v>GPT-5.6 Sol · Buchprüfung Kolosser · L1912/OTB</x:v>
      </x:c>
      <x:c r="AI894" s="36" t="str">
        <x:v>FREIGEGEBEN</x:v>
      </x:c>
      <x:c r="AJ894" s="36" t="str">
        <x:v>Kolosser 1: repetitive Kapitel-Erkennungsfrage durch hochwertige CHRISTOLOGIE-Frage ersetzt.</x:v>
      </x:c>
      <x:c r="AK894" s="36" t="str">
        <x:v>FaithPath repo develop/v4 · data/bibles/l1912/COL.json · data/bibles/otb/COL.json</x:v>
      </x:c>
      <x:c r="AL894" t="str">
        <x:v>JA</x:v>
      </x:c>
    </x:row>
    <x:row r="895">
      <x:c r="A895" t="str">
        <x:v>FP-1154</x:v>
      </x:c>
      <x:c r="B895" t="str">
        <x:v>COL</x:v>
      </x:c>
      <x:c r="C895" t="str">
        <x:v>Kolosser</x:v>
      </x:c>
      <x:c r="D895" t="n">
        <x:v>1</x:v>
      </x:c>
      <x:c r="E895" t="n">
        <x:v>4</x:v>
      </x:c>
      <x:c r="F895" t="str">
        <x:v>COL-001</x:v>
      </x:c>
      <x:c r="G895" t="n">
        <x:v>179</x:v>
      </x:c>
      <x:c r="H895" t="str">
        <x:v>CQ-A12</x:v>
      </x:c>
      <x:c r="I895" s="36" t="str">
        <x:v>Bestandsfrage Kolosser 1: repetitive Kapitel-Erkennungsfrage</x:v>
      </x:c>
      <x:c r="J895" s="36"/>
      <x:c r="K895" s="36"/>
      <x:c r="L895" s="36" t="str">
        <x:v>MASTER_STATUS_VERIFIZIERT</x:v>
      </x:c>
      <x:c r="M895" s="36" t="str">
        <x:v>ERSETZEN</x:v>
      </x:c>
      <x:c r="N895" s="36" t="str">
        <x:v>REPETITIVE_FRAGEFORM</x:v>
      </x:c>
      <x:c r="O895" s="36" t="str">
        <x:v>REINE_WIEDERERKENNUNG</x:v>
      </x:c>
      <x:c r="P895" s="36" t="str">
        <x:v>VERSÖHNUNG</x:v>
      </x:c>
      <x:c r="Q895" s="36" t="str">
        <x:v>Wie wird die Versöhnung durch Christus in Kolosser 1 beschrieben?</x:v>
      </x:c>
      <x:c r="R895" s="36" t="str">
        <x:v>Durch politische Einigung zwischen verschiedenen Völkern.</x:v>
      </x:c>
      <x:c r="S895" s="36" t="str">
        <x:v>Durch zusätzliche religiöse Vorschriften.</x:v>
      </x:c>
      <x:c r="T895" s="36" t="str">
        <x:v>Durch die Abschaffung jeder moralischen Verantwortung.</x:v>
      </x:c>
      <x:c r="U895" s="36" t="str">
        <x:v>Durch seinen Tod und das Blut am Kreuz schafft er Frieden und versöhnt.</x:v>
      </x:c>
      <x:c r="V895" s="36" t="n">
        <x:v>3</x:v>
      </x:c>
      <x:c r="W895" s="36" t="str">
        <x:v>Durch seinen Tod und das Blut am Kreuz schafft er Frieden und versöhnt.</x:v>
      </x:c>
      <x:c r="X895" s="36" t="str">
        <x:v>Kolosser 1,18–22</x:v>
      </x:c>
      <x:c r="Y895" s="36" t="str">
        <x:v>Paulus verbindet Christi Vorrang mit seinem Kreuz: Durch ihn will Gott versöhnen und Frieden schaffen. Auch die zuvor entfremdeten Menschen werden durch Christi Tod versöhnt.</x:v>
      </x:c>
      <x:c r="Z895" s="36" t="str">
        <x:v>JA</x:v>
      </x:c>
      <x:c r="AA895" s="36" t="str">
        <x:v>JA</x:v>
      </x:c>
      <x:c r="AB895" s="36" t="str">
        <x:v>JA</x:v>
      </x:c>
      <x:c r="AC895" s="36" t="str">
        <x:v>JA</x:v>
      </x:c>
      <x:c r="AD895" s="36" t="str">
        <x:v>JA</x:v>
      </x:c>
      <x:c r="AE895" s="36" t="str">
        <x:v>JA</x:v>
      </x:c>
      <x:c r="AF895" s="36" t="str">
        <x:v>JA</x:v>
      </x:c>
      <x:c r="AG895" s="36" t="str">
        <x:v>FREIGEGEBEN</x:v>
      </x:c>
      <x:c r="AH895" s="36" t="str">
        <x:v>GPT-5.6 Sol · Buchprüfung Kolosser · L1912/OTB</x:v>
      </x:c>
      <x:c r="AI895" s="36" t="str">
        <x:v>FREIGEGEBEN</x:v>
      </x:c>
      <x:c r="AJ895" s="36" t="str">
        <x:v>Kolosser 1: repetitive Kapitel-Erkennungsfrage durch hochwertige VERSÖHNUNG-Frage ersetzt.</x:v>
      </x:c>
      <x:c r="AK895" s="36" t="str">
        <x:v>FaithPath repo develop/v4 · data/bibles/l1912/COL.json · data/bibles/otb/COL.json</x:v>
      </x:c>
      <x:c r="AL895" t="str">
        <x:v>JA</x:v>
      </x:c>
    </x:row>
    <x:row r="896">
      <x:c r="A896" t="str">
        <x:v>FP-1155</x:v>
      </x:c>
      <x:c r="B896" t="str">
        <x:v>COL</x:v>
      </x:c>
      <x:c r="C896" t="str">
        <x:v>Kolosser</x:v>
      </x:c>
      <x:c r="D896" t="n">
        <x:v>1</x:v>
      </x:c>
      <x:c r="E896" t="n">
        <x:v>5</x:v>
      </x:c>
      <x:c r="F896" t="str">
        <x:v>COL-001</x:v>
      </x:c>
      <x:c r="G896" t="n">
        <x:v>179</x:v>
      </x:c>
      <x:c r="H896" t="str">
        <x:v>CQ-A12</x:v>
      </x:c>
      <x:c r="I896" s="36" t="str">
        <x:v>Bestandsfrage Kolosser 1: repetitive Kapitel-Erkennungsfrage</x:v>
      </x:c>
      <x:c r="J896" s="36"/>
      <x:c r="K896" s="36"/>
      <x:c r="L896" s="36" t="str">
        <x:v>MASTER_STATUS_VERIFIZIERT</x:v>
      </x:c>
      <x:c r="M896" s="36" t="str">
        <x:v>ERSETZEN</x:v>
      </x:c>
      <x:c r="N896" s="36" t="str">
        <x:v>REPETITIVE_FRAGEFORM</x:v>
      </x:c>
      <x:c r="O896" s="36" t="str">
        <x:v>REINE_WIEDERERKENNUNG</x:v>
      </x:c>
      <x:c r="P896" s="36" t="str">
        <x:v>GEHEIMNIS</x:v>
      </x:c>
      <x:c r="Q896" s="36" t="str">
        <x:v>Wie fasst Paulus das lange verborgene und nun offenbarte Geheimnis unter den Heiden zusammen?</x:v>
      </x:c>
      <x:c r="R896" s="36" t="str">
        <x:v>Christus in euch – die Hoffnung der Herrlichkeit.</x:v>
      </x:c>
      <x:c r="S896" s="36" t="str">
        <x:v>Die Rückkehr aller Menschen nach Jerusalem.</x:v>
      </x:c>
      <x:c r="T896" s="36" t="str">
        <x:v>Die vollständige Vermeidung von Leiden.</x:v>
      </x:c>
      <x:c r="U896" s="36" t="str">
        <x:v>Die Erkenntnis geheimer menschlicher Traditionen.</x:v>
      </x:c>
      <x:c r="V896" s="36" t="n">
        <x:v>0</x:v>
      </x:c>
      <x:c r="W896" s="36" t="str">
        <x:v>Christus in euch – die Hoffnung der Herrlichkeit.</x:v>
      </x:c>
      <x:c r="X896" s="36" t="str">
        <x:v>Kolosser 1,24–29</x:v>
      </x:c>
      <x:c r="Y896" s="36" t="str">
        <x:v>Paulus versteht seinen Dienst darin, das offenbarte Geheimnis bekannt zu machen. Sein Kern ist die Gegenwart Christi unter den Glaubenden und die daraus kommende Hoffnung der Herrlichkeit.</x:v>
      </x:c>
      <x:c r="Z896" s="36" t="str">
        <x:v>JA</x:v>
      </x:c>
      <x:c r="AA896" s="36" t="str">
        <x:v>JA</x:v>
      </x:c>
      <x:c r="AB896" s="36" t="str">
        <x:v>JA</x:v>
      </x:c>
      <x:c r="AC896" s="36" t="str">
        <x:v>JA</x:v>
      </x:c>
      <x:c r="AD896" s="36" t="str">
        <x:v>JA</x:v>
      </x:c>
      <x:c r="AE896" s="36" t="str">
        <x:v>JA</x:v>
      </x:c>
      <x:c r="AF896" s="36" t="str">
        <x:v>JA</x:v>
      </x:c>
      <x:c r="AG896" s="36" t="str">
        <x:v>FREIGEGEBEN</x:v>
      </x:c>
      <x:c r="AH896" s="36" t="str">
        <x:v>GPT-5.6 Sol · Buchprüfung Kolosser · L1912/OTB</x:v>
      </x:c>
      <x:c r="AI896" s="36" t="str">
        <x:v>FREIGEGEBEN</x:v>
      </x:c>
      <x:c r="AJ896" s="36" t="str">
        <x:v>Kolosser 1: repetitive Kapitel-Erkennungsfrage durch hochwertige GEHEIMNIS-Frage ersetzt.</x:v>
      </x:c>
      <x:c r="AK896" s="36" t="str">
        <x:v>FaithPath repo develop/v4 · data/bibles/l1912/COL.json · data/bibles/otb/COL.json</x:v>
      </x:c>
      <x:c r="AL896" t="str">
        <x:v>JA</x:v>
      </x:c>
    </x:row>
    <x:row r="897">
      <x:c r="A897" t="str">
        <x:v>FP-1156</x:v>
      </x:c>
      <x:c r="B897" t="str">
        <x:v>COL</x:v>
      </x:c>
      <x:c r="C897" t="str">
        <x:v>Kolosser</x:v>
      </x:c>
      <x:c r="D897" t="n">
        <x:v>2</x:v>
      </x:c>
      <x:c r="E897" t="n">
        <x:v>1</x:v>
      </x:c>
      <x:c r="F897" t="str">
        <x:v>COL-002</x:v>
      </x:c>
      <x:c r="G897" t="n">
        <x:v>180</x:v>
      </x:c>
      <x:c r="H897" t="str">
        <x:v>CQ-A12</x:v>
      </x:c>
      <x:c r="I897" s="36" t="str">
        <x:v>Bestandsfrage Kolosser 2: repetitive Kapitel-Erkennungsfrage</x:v>
      </x:c>
      <x:c r="J897" s="36"/>
      <x:c r="K897" s="36"/>
      <x:c r="L897" s="36" t="str">
        <x:v>MASTER_STATUS_VERIFIZIERT</x:v>
      </x:c>
      <x:c r="M897" s="36" t="str">
        <x:v>ERSETZEN</x:v>
      </x:c>
      <x:c r="N897" s="36" t="str">
        <x:v>REPETITIVE_FRAGEFORM</x:v>
      </x:c>
      <x:c r="O897" s="36" t="str">
        <x:v>REINE_WIEDERERKENNUNG</x:v>
      </x:c>
      <x:c r="P897" s="36" t="str">
        <x:v>WARNUNG</x:v>
      </x:c>
      <x:c r="Q897" s="36" t="str">
        <x:v>Wovor warnt Paulus die Kolosser in Kolosser 2 ausdrücklich?</x:v>
      </x:c>
      <x:c r="R897" s="36" t="str">
        <x:v>Zu oft in der Schrift zu lesen.</x:v>
      </x:c>
      <x:c r="S897" s="36" t="str">
        <x:v>Sich durch überzeugend klingende Argumente und menschliche Lehren von Christus wegführen zu lassen.</x:v>
      </x:c>
      <x:c r="T897" s="36" t="str">
        <x:v>Zu dankbar zu sein.</x:v>
      </x:c>
      <x:c r="U897" s="36" t="str">
        <x:v>Gemeinsam im Glauben festzustehen.</x:v>
      </x:c>
      <x:c r="V897" s="36" t="n">
        <x:v>1</x:v>
      </x:c>
      <x:c r="W897" s="36" t="str">
        <x:v>Sich durch überzeugend klingende Argumente und menschliche Lehren von Christus wegführen zu lassen.</x:v>
      </x:c>
      <x:c r="X897" s="36" t="str">
        <x:v>Kolosser 2,4–8</x:v>
      </x:c>
      <x:c r="Y897" s="36" t="str">
        <x:v>Paulus will die Gemeinde vor Täuschung schützen. Maßstab ist Christus, nicht eine Lehre, die sich auf menschliche Überlieferung oder Grundprinzipien der Welt statt auf ihn stützt.</x:v>
      </x:c>
      <x:c r="Z897" s="36" t="str">
        <x:v>JA</x:v>
      </x:c>
      <x:c r="AA897" s="36" t="str">
        <x:v>JA</x:v>
      </x:c>
      <x:c r="AB897" s="36" t="str">
        <x:v>JA</x:v>
      </x:c>
      <x:c r="AC897" s="36" t="str">
        <x:v>JA</x:v>
      </x:c>
      <x:c r="AD897" s="36" t="str">
        <x:v>JA</x:v>
      </x:c>
      <x:c r="AE897" s="36" t="str">
        <x:v>JA</x:v>
      </x:c>
      <x:c r="AF897" s="36" t="str">
        <x:v>JA</x:v>
      </x:c>
      <x:c r="AG897" s="36" t="str">
        <x:v>FREIGEGEBEN</x:v>
      </x:c>
      <x:c r="AH897" s="36" t="str">
        <x:v>GPT-5.6 Sol · Buchprüfung Kolosser · L1912/OTB</x:v>
      </x:c>
      <x:c r="AI897" s="36" t="str">
        <x:v>FREIGEGEBEN</x:v>
      </x:c>
      <x:c r="AJ897" s="36" t="str">
        <x:v>Kolosser 2: repetitive Kapitel-Erkennungsfrage durch hochwertige WARNUNG-Frage ersetzt.</x:v>
      </x:c>
      <x:c r="AK897" s="36" t="str">
        <x:v>FaithPath repo develop/v4 · data/bibles/l1912/COL.json · data/bibles/otb/COL.json</x:v>
      </x:c>
      <x:c r="AL897" t="str">
        <x:v>JA</x:v>
      </x:c>
    </x:row>
    <x:row r="898">
      <x:c r="A898" t="str">
        <x:v>FP-1157</x:v>
      </x:c>
      <x:c r="B898" t="str">
        <x:v>COL</x:v>
      </x:c>
      <x:c r="C898" t="str">
        <x:v>Kolosser</x:v>
      </x:c>
      <x:c r="D898" t="n">
        <x:v>2</x:v>
      </x:c>
      <x:c r="E898" t="n">
        <x:v>2</x:v>
      </x:c>
      <x:c r="F898" t="str">
        <x:v>COL-002</x:v>
      </x:c>
      <x:c r="G898" t="n">
        <x:v>180</x:v>
      </x:c>
      <x:c r="H898" t="str">
        <x:v>CQ-A12</x:v>
      </x:c>
      <x:c r="I898" s="36" t="str">
        <x:v>Bestandsfrage Kolosser 2: repetitive Kapitel-Erkennungsfrage</x:v>
      </x:c>
      <x:c r="J898" s="36"/>
      <x:c r="K898" s="36"/>
      <x:c r="L898" s="36" t="str">
        <x:v>MASTER_STATUS_VERIFIZIERT</x:v>
      </x:c>
      <x:c r="M898" s="36" t="str">
        <x:v>ERSETZEN</x:v>
      </x:c>
      <x:c r="N898" s="36" t="str">
        <x:v>REPETITIVE_FRAGEFORM</x:v>
      </x:c>
      <x:c r="O898" s="36" t="str">
        <x:v>REINE_WIEDERERKENNUNG</x:v>
      </x:c>
      <x:c r="P898" s="36" t="str">
        <x:v>KERNAUSSAGE</x:v>
      </x:c>
      <x:c r="Q898" s="36" t="str">
        <x:v>Warum braucht die Gemeinde nach Kolosser 2 ihre geistliche Fülle nicht außerhalb von Christus zu suchen?</x:v>
      </x:c>
      <x:c r="R898" s="36" t="str">
        <x:v>Weil jede Form von Erkenntnis unwichtig ist.</x:v>
      </x:c>
      <x:c r="S898" s="36" t="str">
        <x:v>Weil menschliche Traditionen dieselbe Autorität wie Christus haben.</x:v>
      </x:c>
      <x:c r="T898" s="36" t="str">
        <x:v>Weil in Christus die ganze Fülle der Gottheit wohnt und die Glaubenden in ihm zur Fülle gebracht sind.</x:v>
      </x:c>
      <x:c r="U898" s="36" t="str">
        <x:v>Weil nur Apostel Zugang zu geistlicher Fülle haben.</x:v>
      </x:c>
      <x:c r="V898" s="36" t="n">
        <x:v>2</x:v>
      </x:c>
      <x:c r="W898" s="36" t="str">
        <x:v>Weil in Christus die ganze Fülle der Gottheit wohnt und die Glaubenden in ihm zur Fülle gebracht sind.</x:v>
      </x:c>
      <x:c r="X898" s="36" t="str">
        <x:v>Kolosser 2,9–10</x:v>
      </x:c>
      <x:c r="Y898" s="36" t="str">
        <x:v>Paulus begründet die Christuszentrierung mit Christi einzigartiger Stellung: In ihm wohnt die Fülle der Gottheit, und die Glaubenden haben ihre Fülle in ihm.</x:v>
      </x:c>
      <x:c r="Z898" s="36" t="str">
        <x:v>JA</x:v>
      </x:c>
      <x:c r="AA898" s="36" t="str">
        <x:v>JA</x:v>
      </x:c>
      <x:c r="AB898" s="36" t="str">
        <x:v>JA</x:v>
      </x:c>
      <x:c r="AC898" s="36" t="str">
        <x:v>JA</x:v>
      </x:c>
      <x:c r="AD898" s="36" t="str">
        <x:v>JA</x:v>
      </x:c>
      <x:c r="AE898" s="36" t="str">
        <x:v>JA</x:v>
      </x:c>
      <x:c r="AF898" s="36" t="str">
        <x:v>JA</x:v>
      </x:c>
      <x:c r="AG898" s="36" t="str">
        <x:v>FREIGEGEBEN</x:v>
      </x:c>
      <x:c r="AH898" s="36" t="str">
        <x:v>GPT-5.6 Sol · Buchprüfung Kolosser · L1912/OTB</x:v>
      </x:c>
      <x:c r="AI898" s="36" t="str">
        <x:v>FREIGEGEBEN</x:v>
      </x:c>
      <x:c r="AJ898" s="36" t="str">
        <x:v>Kolosser 2: repetitive Kapitel-Erkennungsfrage durch hochwertige KERNAUSSAGE-Frage ersetzt.</x:v>
      </x:c>
      <x:c r="AK898" s="36" t="str">
        <x:v>FaithPath repo develop/v4 · data/bibles/l1912/COL.json · data/bibles/otb/COL.json</x:v>
      </x:c>
      <x:c r="AL898" t="str">
        <x:v>JA</x:v>
      </x:c>
    </x:row>
    <x:row r="899">
      <x:c r="A899" t="str">
        <x:v>FP-1158</x:v>
      </x:c>
      <x:c r="B899" t="str">
        <x:v>COL</x:v>
      </x:c>
      <x:c r="C899" t="str">
        <x:v>Kolosser</x:v>
      </x:c>
      <x:c r="D899" t="n">
        <x:v>2</x:v>
      </x:c>
      <x:c r="E899" t="n">
        <x:v>3</x:v>
      </x:c>
      <x:c r="F899" t="str">
        <x:v>COL-002</x:v>
      </x:c>
      <x:c r="G899" t="n">
        <x:v>180</x:v>
      </x:c>
      <x:c r="H899" t="str">
        <x:v>CQ-A12</x:v>
      </x:c>
      <x:c r="I899" s="36" t="str">
        <x:v>Bestandsfrage Kolosser 2: repetitive Kapitel-Erkennungsfrage</x:v>
      </x:c>
      <x:c r="J899" s="36"/>
      <x:c r="K899" s="36"/>
      <x:c r="L899" s="36" t="str">
        <x:v>MASTER_STATUS_VERIFIZIERT</x:v>
      </x:c>
      <x:c r="M899" s="36" t="str">
        <x:v>ERSETZEN</x:v>
      </x:c>
      <x:c r="N899" s="36" t="str">
        <x:v>REPETITIVE_FRAGEFORM</x:v>
      </x:c>
      <x:c r="O899" s="36" t="str">
        <x:v>REINE_WIEDERERKENNUNG</x:v>
      </x:c>
      <x:c r="P899" s="36" t="str">
        <x:v>ZUSAMMENHANG</x:v>
      </x:c>
      <x:c r="Q899" s="36" t="str">
        <x:v>Was verbindet Paulus in Kolosser 2 mit Taufe, Glauben und neuem Leben?</x:v>
      </x:c>
      <x:c r="R899" s="36" t="str">
        <x:v>Durch Taufe automatisch jede zukünftige Sünde unmöglich zu machen.</x:v>
      </x:c>
      <x:c r="S899" s="36" t="str">
        <x:v>Nur äußerlich zu einer religiösen Gruppe zu gehören.</x:v>
      </x:c>
      <x:c r="T899" s="36" t="str">
        <x:v>Die Auferstehung ausschließlich als Bild ohne Bezug auf Gottes Wirken zu verstehen.</x:v>
      </x:c>
      <x:c r="U899" s="36" t="str">
        <x:v>Mit Christus begraben und durch den Glauben an Gottes Wirken mit ihm auferweckt zu sein.</x:v>
      </x:c>
      <x:c r="V899" s="36" t="n">
        <x:v>3</x:v>
      </x:c>
      <x:c r="W899" s="36" t="str">
        <x:v>Mit Christus begraben und durch den Glauben an Gottes Wirken mit ihm auferweckt zu sein.</x:v>
      </x:c>
      <x:c r="X899" s="36" t="str">
        <x:v>Kolosser 2,11–13</x:v>
      </x:c>
      <x:c r="Y899" s="36" t="str">
        <x:v>Paulus verbindet die Taufe mit Teilhabe an Christi Tod und Auferstehung. Entscheidend ist Gottes Wirken, das auch Christus von den Toten auferweckt hat.</x:v>
      </x:c>
      <x:c r="Z899" s="36" t="str">
        <x:v>JA</x:v>
      </x:c>
      <x:c r="AA899" s="36" t="str">
        <x:v>JA</x:v>
      </x:c>
      <x:c r="AB899" s="36" t="str">
        <x:v>JA</x:v>
      </x:c>
      <x:c r="AC899" s="36" t="str">
        <x:v>JA</x:v>
      </x:c>
      <x:c r="AD899" s="36" t="str">
        <x:v>JA</x:v>
      </x:c>
      <x:c r="AE899" s="36" t="str">
        <x:v>JA</x:v>
      </x:c>
      <x:c r="AF899" s="36" t="str">
        <x:v>JA</x:v>
      </x:c>
      <x:c r="AG899" s="36" t="str">
        <x:v>FREIGEGEBEN</x:v>
      </x:c>
      <x:c r="AH899" s="36" t="str">
        <x:v>GPT-5.6 Sol · Buchprüfung Kolosser · L1912/OTB</x:v>
      </x:c>
      <x:c r="AI899" s="36" t="str">
        <x:v>FREIGEGEBEN</x:v>
      </x:c>
      <x:c r="AJ899" s="36" t="str">
        <x:v>Kolosser 2: repetitive Kapitel-Erkennungsfrage durch hochwertige ZUSAMMENHANG-Frage ersetzt.</x:v>
      </x:c>
      <x:c r="AK899" s="36" t="str">
        <x:v>FaithPath repo develop/v4 · data/bibles/l1912/COL.json · data/bibles/otb/COL.json</x:v>
      </x:c>
      <x:c r="AL899" t="str">
        <x:v>JA</x:v>
      </x:c>
    </x:row>
    <x:row r="900">
      <x:c r="A900" t="str">
        <x:v>FP-1159</x:v>
      </x:c>
      <x:c r="B900" t="str">
        <x:v>COL</x:v>
      </x:c>
      <x:c r="C900" t="str">
        <x:v>Kolosser</x:v>
      </x:c>
      <x:c r="D900" t="n">
        <x:v>2</x:v>
      </x:c>
      <x:c r="E900" t="n">
        <x:v>4</x:v>
      </x:c>
      <x:c r="F900" t="str">
        <x:v>COL-002</x:v>
      </x:c>
      <x:c r="G900" t="n">
        <x:v>180</x:v>
      </x:c>
      <x:c r="H900" t="str">
        <x:v>CQ-A12</x:v>
      </x:c>
      <x:c r="I900" s="36" t="str">
        <x:v>Bestandsfrage Kolosser 2: repetitive Kapitel-Erkennungsfrage</x:v>
      </x:c>
      <x:c r="J900" s="36"/>
      <x:c r="K900" s="36"/>
      <x:c r="L900" s="36" t="str">
        <x:v>MASTER_STATUS_VERIFIZIERT</x:v>
      </x:c>
      <x:c r="M900" s="36" t="str">
        <x:v>ERSETZEN</x:v>
      </x:c>
      <x:c r="N900" s="36" t="str">
        <x:v>REPETITIVE_FRAGEFORM</x:v>
      </x:c>
      <x:c r="O900" s="36" t="str">
        <x:v>REINE_WIEDERERKENNUNG</x:v>
      </x:c>
      <x:c r="P900" s="36" t="str">
        <x:v>KREUZ</x:v>
      </x:c>
      <x:c r="Q900" s="36" t="str">
        <x:v>Was geschieht nach Kolosser 2 mit der gegen uns stehenden Schuldschrift?</x:v>
      </x:c>
      <x:c r="R900" s="36" t="str">
        <x:v>Sie wird beseitigt und bildlich ans Kreuz geheftet.</x:v>
      </x:c>
      <x:c r="S900" s="36" t="str">
        <x:v>Sie wird lediglich verschoben und später wieder eingesetzt.</x:v>
      </x:c>
      <x:c r="T900" s="36" t="str">
        <x:v>Sie wird durch neue menschliche Vorschriften ersetzt.</x:v>
      </x:c>
      <x:c r="U900" s="36" t="str">
        <x:v>Sie bleibt trotz Christi Werk unverändert bestehen.</x:v>
      </x:c>
      <x:c r="V900" s="36" t="n">
        <x:v>0</x:v>
      </x:c>
      <x:c r="W900" s="36" t="str">
        <x:v>Sie wird beseitigt und bildlich ans Kreuz geheftet.</x:v>
      </x:c>
      <x:c r="X900" s="36" t="str">
        <x:v>Kolosser 2,13–15</x:v>
      </x:c>
      <x:c r="Y900" s="36" t="str">
        <x:v>Paulus beschreibt Gottes Vergebung bildhaft: Die gegen den Menschen stehende Schuldschrift wird ausgelöscht und ans Kreuz geheftet. Zugleich spricht er vom Triumph über Mächte und Gewalten.</x:v>
      </x:c>
      <x:c r="Z900" s="36" t="str">
        <x:v>JA</x:v>
      </x:c>
      <x:c r="AA900" s="36" t="str">
        <x:v>JA</x:v>
      </x:c>
      <x:c r="AB900" s="36" t="str">
        <x:v>JA</x:v>
      </x:c>
      <x:c r="AC900" s="36" t="str">
        <x:v>JA</x:v>
      </x:c>
      <x:c r="AD900" s="36" t="str">
        <x:v>JA</x:v>
      </x:c>
      <x:c r="AE900" s="36" t="str">
        <x:v>JA</x:v>
      </x:c>
      <x:c r="AF900" s="36" t="str">
        <x:v>JA</x:v>
      </x:c>
      <x:c r="AG900" s="36" t="str">
        <x:v>FREIGEGEBEN</x:v>
      </x:c>
      <x:c r="AH900" s="36" t="str">
        <x:v>GPT-5.6 Sol · Buchprüfung Kolosser · L1912/OTB</x:v>
      </x:c>
      <x:c r="AI900" s="36" t="str">
        <x:v>FREIGEGEBEN</x:v>
      </x:c>
      <x:c r="AJ900" s="36" t="str">
        <x:v>Kolosser 2: repetitive Kapitel-Erkennungsfrage durch hochwertige KREUZ-Frage ersetzt.</x:v>
      </x:c>
      <x:c r="AK900" s="36" t="str">
        <x:v>FaithPath repo develop/v4 · data/bibles/l1912/COL.json · data/bibles/otb/COL.json</x:v>
      </x:c>
      <x:c r="AL900" t="str">
        <x:v>JA</x:v>
      </x:c>
    </x:row>
    <x:row r="901">
      <x:c r="A901" t="str">
        <x:v>FP-1160</x:v>
      </x:c>
      <x:c r="B901" t="str">
        <x:v>COL</x:v>
      </x:c>
      <x:c r="C901" t="str">
        <x:v>Kolosser</x:v>
      </x:c>
      <x:c r="D901" t="n">
        <x:v>2</x:v>
      </x:c>
      <x:c r="E901" t="n">
        <x:v>5</x:v>
      </x:c>
      <x:c r="F901" t="str">
        <x:v>COL-002</x:v>
      </x:c>
      <x:c r="G901" t="n">
        <x:v>180</x:v>
      </x:c>
      <x:c r="H901" t="str">
        <x:v>CQ-A12</x:v>
      </x:c>
      <x:c r="I901" s="36" t="str">
        <x:v>Bestandsfrage Kolosser 2: repetitive Kapitel-Erkennungsfrage</x:v>
      </x:c>
      <x:c r="J901" s="36"/>
      <x:c r="K901" s="36"/>
      <x:c r="L901" s="36" t="str">
        <x:v>MASTER_STATUS_VERIFIZIERT</x:v>
      </x:c>
      <x:c r="M901" s="36" t="str">
        <x:v>ERSETZEN</x:v>
      </x:c>
      <x:c r="N901" s="36" t="str">
        <x:v>REPETITIVE_FRAGEFORM</x:v>
      </x:c>
      <x:c r="O901" s="36" t="str">
        <x:v>REINE_WIEDERERKENNUNG</x:v>
      </x:c>
      <x:c r="P901" s="36" t="str">
        <x:v>UNTERSCHEIDUNG</x:v>
      </x:c>
      <x:c r="Q901" s="36" t="str">
        <x:v>Warum sollen sich die Kolosser nicht wegen Speise, Trank oder bestimmter Festtage verurteilen lassen?</x:v>
      </x:c>
      <x:c r="R901" s="36" t="str">
        <x:v>Weil jede religiöse Praxis grundsätzlich wertlos ist.</x:v>
      </x:c>
      <x:c r="S901" s="36" t="str">
        <x:v>Weil diese Dinge als Schatten bezeichnet werden, während die Wirklichkeit in Christus liegt.</x:v>
      </x:c>
      <x:c r="T901" s="36" t="str">
        <x:v>Weil nur Paulus über solche Fragen entscheiden darf.</x:v>
      </x:c>
      <x:c r="U901" s="36" t="str">
        <x:v>Weil alle Feste und Sabbate für Menschen verboten sind.</x:v>
      </x:c>
      <x:c r="V901" s="36" t="n">
        <x:v>1</x:v>
      </x:c>
      <x:c r="W901" s="36" t="str">
        <x:v>Weil diese Dinge als Schatten bezeichnet werden, während die Wirklichkeit in Christus liegt.</x:v>
      </x:c>
      <x:c r="X901" s="36" t="str">
        <x:v>Kolosser 2,16–19</x:v>
      </x:c>
      <x:c r="Y901" s="36" t="str">
        <x:v>Paulus verschiebt den Fokus von äußeren Vorschriften auf Christus. Die genannten Dinge bezeichnet er als Schatten; entscheidend ist, am Haupt – Christus – festzuhalten.</x:v>
      </x:c>
      <x:c r="Z901" s="36" t="str">
        <x:v>JA</x:v>
      </x:c>
      <x:c r="AA901" s="36" t="str">
        <x:v>JA</x:v>
      </x:c>
      <x:c r="AB901" s="36" t="str">
        <x:v>JA</x:v>
      </x:c>
      <x:c r="AC901" s="36" t="str">
        <x:v>JA</x:v>
      </x:c>
      <x:c r="AD901" s="36" t="str">
        <x:v>JA</x:v>
      </x:c>
      <x:c r="AE901" s="36" t="str">
        <x:v>JA</x:v>
      </x:c>
      <x:c r="AF901" s="36" t="str">
        <x:v>JA</x:v>
      </x:c>
      <x:c r="AG901" s="36" t="str">
        <x:v>FREIGEGEBEN</x:v>
      </x:c>
      <x:c r="AH901" s="36" t="str">
        <x:v>GPT-5.6 Sol · Buchprüfung Kolosser · L1912/OTB</x:v>
      </x:c>
      <x:c r="AI901" s="36" t="str">
        <x:v>FREIGEGEBEN</x:v>
      </x:c>
      <x:c r="AJ901" s="36" t="str">
        <x:v>Kolosser 2: repetitive Kapitel-Erkennungsfrage durch hochwertige UNTERSCHEIDUNG-Frage ersetzt.</x:v>
      </x:c>
      <x:c r="AK901" s="36" t="str">
        <x:v>FaithPath repo develop/v4 · data/bibles/l1912/COL.json · data/bibles/otb/COL.json</x:v>
      </x:c>
      <x:c r="AL901" t="str">
        <x:v>JA</x:v>
      </x:c>
    </x:row>
    <x:row r="902">
      <x:c r="A902" t="str">
        <x:v>FP-1161</x:v>
      </x:c>
      <x:c r="B902" t="str">
        <x:v>COL</x:v>
      </x:c>
      <x:c r="C902" t="str">
        <x:v>Kolosser</x:v>
      </x:c>
      <x:c r="D902" t="n">
        <x:v>3</x:v>
      </x:c>
      <x:c r="E902" t="n">
        <x:v>1</x:v>
      </x:c>
      <x:c r="F902" t="str">
        <x:v>COL-003</x:v>
      </x:c>
      <x:c r="G902" t="n">
        <x:v>181</x:v>
      </x:c>
      <x:c r="H902" t="str">
        <x:v>CQ-A12</x:v>
      </x:c>
      <x:c r="I902" s="36" t="str">
        <x:v>Bestandsfrage Kolosser 3: repetitive Kapitel-Erkennungsfrage</x:v>
      </x:c>
      <x:c r="J902" s="36"/>
      <x:c r="K902" s="36"/>
      <x:c r="L902" s="36" t="str">
        <x:v>MASTER_STATUS_VERIFIZIERT</x:v>
      </x:c>
      <x:c r="M902" s="36" t="str">
        <x:v>ERSETZEN</x:v>
      </x:c>
      <x:c r="N902" s="36" t="str">
        <x:v>REPETITIVE_FRAGEFORM</x:v>
      </x:c>
      <x:c r="O902" s="36" t="str">
        <x:v>REINE_WIEDERERKENNUNG</x:v>
      </x:c>
      <x:c r="P902" s="36" t="str">
        <x:v>AUSRICHTUNG</x:v>
      </x:c>
      <x:c r="Q902" s="36" t="str">
        <x:v>Worauf sollen Menschen ihren Sinn richten, wenn sie mit Christus auferweckt sind?</x:v>
      </x:c>
      <x:c r="R902" s="36" t="str">
        <x:v>Ausschließlich auf irdischen Besitz.</x:v>
      </x:c>
      <x:c r="S902" s="36" t="str">
        <x:v>Nur auf gesellschaftlichen Einfluss.</x:v>
      </x:c>
      <x:c r="T902" s="36" t="str">
        <x:v>Auf das, was oben ist, wo Christus ist.</x:v>
      </x:c>
      <x:c r="U902" s="36" t="str">
        <x:v>Auf die Anerkennung durch andere.</x:v>
      </x:c>
      <x:c r="V902" s="36" t="n">
        <x:v>2</x:v>
      </x:c>
      <x:c r="W902" s="36" t="str">
        <x:v>Auf das, was oben ist, wo Christus ist.</x:v>
      </x:c>
      <x:c r="X902" s="36" t="str">
        <x:v>Kolosser 3,1–4</x:v>
      </x:c>
      <x:c r="Y902" s="36" t="str">
        <x:v>Paulus leitet aus der Verbindung mit Christus eine neue Ausrichtung ab. Das verborgene Leben mit Christus bestimmt, worauf die Glaubenden ihr Denken und ihre Hoffnung richten.</x:v>
      </x:c>
      <x:c r="Z902" s="36" t="str">
        <x:v>JA</x:v>
      </x:c>
      <x:c r="AA902" s="36" t="str">
        <x:v>JA</x:v>
      </x:c>
      <x:c r="AB902" s="36" t="str">
        <x:v>JA</x:v>
      </x:c>
      <x:c r="AC902" s="36" t="str">
        <x:v>JA</x:v>
      </x:c>
      <x:c r="AD902" s="36" t="str">
        <x:v>JA</x:v>
      </x:c>
      <x:c r="AE902" s="36" t="str">
        <x:v>JA</x:v>
      </x:c>
      <x:c r="AF902" s="36" t="str">
        <x:v>JA</x:v>
      </x:c>
      <x:c r="AG902" s="36" t="str">
        <x:v>FREIGEGEBEN</x:v>
      </x:c>
      <x:c r="AH902" s="36" t="str">
        <x:v>GPT-5.6 Sol · Buchprüfung Kolosser · L1912/OTB</x:v>
      </x:c>
      <x:c r="AI902" s="36" t="str">
        <x:v>FREIGEGEBEN</x:v>
      </x:c>
      <x:c r="AJ902" s="36" t="str">
        <x:v>Kolosser 3: repetitive Kapitel-Erkennungsfrage durch hochwertige AUSRICHTUNG-Frage ersetzt.</x:v>
      </x:c>
      <x:c r="AK902" s="36" t="str">
        <x:v>FaithPath repo develop/v4 · data/bibles/l1912/COL.json · data/bibles/otb/COL.json</x:v>
      </x:c>
      <x:c r="AL902" t="str">
        <x:v>JA</x:v>
      </x:c>
    </x:row>
    <x:row r="903">
      <x:c r="A903" t="str">
        <x:v>FP-1162</x:v>
      </x:c>
      <x:c r="B903" t="str">
        <x:v>COL</x:v>
      </x:c>
      <x:c r="C903" t="str">
        <x:v>Kolosser</x:v>
      </x:c>
      <x:c r="D903" t="n">
        <x:v>3</x:v>
      </x:c>
      <x:c r="E903" t="n">
        <x:v>2</x:v>
      </x:c>
      <x:c r="F903" t="str">
        <x:v>COL-003</x:v>
      </x:c>
      <x:c r="G903" t="n">
        <x:v>181</x:v>
      </x:c>
      <x:c r="H903" t="str">
        <x:v>CQ-A12</x:v>
      </x:c>
      <x:c r="I903" s="36" t="str">
        <x:v>Bestandsfrage Kolosser 3: repetitive Kapitel-Erkennungsfrage</x:v>
      </x:c>
      <x:c r="J903" s="36"/>
      <x:c r="K903" s="36"/>
      <x:c r="L903" s="36" t="str">
        <x:v>MASTER_STATUS_VERIFIZIERT</x:v>
      </x:c>
      <x:c r="M903" s="36" t="str">
        <x:v>ERSETZEN</x:v>
      </x:c>
      <x:c r="N903" s="36" t="str">
        <x:v>REPETITIVE_FRAGEFORM</x:v>
      </x:c>
      <x:c r="O903" s="36" t="str">
        <x:v>REINE_WIEDERERKENNUNG</x:v>
      </x:c>
      <x:c r="P903" s="36" t="str">
        <x:v>VERÄNDERUNG</x:v>
      </x:c>
      <x:c r="Q903" s="36" t="str">
        <x:v>Welches Bild verwendet Paulus für die Veränderung des Lebens in Kolosser 3?</x:v>
      </x:c>
      <x:c r="R903" s="36" t="str">
        <x:v>Ein neues Haus kaufen.</x:v>
      </x:c>
      <x:c r="S903" s="36" t="str">
        <x:v>Alle bisherigen Beziehungen abbrechen.</x:v>
      </x:c>
      <x:c r="T903" s="36" t="str">
        <x:v>Eine neue politische Identität annehmen.</x:v>
      </x:c>
      <x:c r="U903" s="36" t="str">
        <x:v>Den alten Menschen ausziehen und den neuen anziehen.</x:v>
      </x:c>
      <x:c r="V903" s="36" t="n">
        <x:v>3</x:v>
      </x:c>
      <x:c r="W903" s="36" t="str">
        <x:v>Den alten Menschen ausziehen und den neuen anziehen.</x:v>
      </x:c>
      <x:c r="X903" s="36" t="str">
        <x:v>Kolosser 3,5–11</x:v>
      </x:c>
      <x:c r="Y903" s="36" t="str">
        <x:v>Paulus beschreibt ethische Veränderung mit dem Bild des Aus- und Anziehens. Alte Verhaltensweisen wie Lüge, Zorn und Bosheit sollen abgelegt werden; der neue Mensch wird nach dem Bild seines Schöpfers erneuert.</x:v>
      </x:c>
      <x:c r="Z903" s="36" t="str">
        <x:v>JA</x:v>
      </x:c>
      <x:c r="AA903" s="36" t="str">
        <x:v>JA</x:v>
      </x:c>
      <x:c r="AB903" s="36" t="str">
        <x:v>JA</x:v>
      </x:c>
      <x:c r="AC903" s="36" t="str">
        <x:v>JA</x:v>
      </x:c>
      <x:c r="AD903" s="36" t="str">
        <x:v>JA</x:v>
      </x:c>
      <x:c r="AE903" s="36" t="str">
        <x:v>JA</x:v>
      </x:c>
      <x:c r="AF903" s="36" t="str">
        <x:v>JA</x:v>
      </x:c>
      <x:c r="AG903" s="36" t="str">
        <x:v>FREIGEGEBEN</x:v>
      </x:c>
      <x:c r="AH903" s="36" t="str">
        <x:v>GPT-5.6 Sol · Buchprüfung Kolosser · L1912/OTB</x:v>
      </x:c>
      <x:c r="AI903" s="36" t="str">
        <x:v>FREIGEGEBEN</x:v>
      </x:c>
      <x:c r="AJ903" s="36" t="str">
        <x:v>Kolosser 3: repetitive Kapitel-Erkennungsfrage durch hochwertige VERÄNDERUNG-Frage ersetzt.</x:v>
      </x:c>
      <x:c r="AK903" s="36" t="str">
        <x:v>FaithPath repo develop/v4 · data/bibles/l1912/COL.json · data/bibles/otb/COL.json</x:v>
      </x:c>
      <x:c r="AL903" t="str">
        <x:v>JA</x:v>
      </x:c>
    </x:row>
    <x:row r="904">
      <x:c r="A904" t="str">
        <x:v>FP-1163</x:v>
      </x:c>
      <x:c r="B904" t="str">
        <x:v>COL</x:v>
      </x:c>
      <x:c r="C904" t="str">
        <x:v>Kolosser</x:v>
      </x:c>
      <x:c r="D904" t="n">
        <x:v>3</x:v>
      </x:c>
      <x:c r="E904" t="n">
        <x:v>3</x:v>
      </x:c>
      <x:c r="F904" t="str">
        <x:v>COL-003</x:v>
      </x:c>
      <x:c r="G904" t="n">
        <x:v>181</x:v>
      </x:c>
      <x:c r="H904" t="str">
        <x:v>CQ-A12</x:v>
      </x:c>
      <x:c r="I904" s="36" t="str">
        <x:v>Bestandsfrage Kolosser 3: repetitive Kapitel-Erkennungsfrage</x:v>
      </x:c>
      <x:c r="J904" s="36"/>
      <x:c r="K904" s="36"/>
      <x:c r="L904" s="36" t="str">
        <x:v>MASTER_STATUS_VERIFIZIERT</x:v>
      </x:c>
      <x:c r="M904" s="36" t="str">
        <x:v>ERSETZEN</x:v>
      </x:c>
      <x:c r="N904" s="36" t="str">
        <x:v>REPETITIVE_FRAGEFORM</x:v>
      </x:c>
      <x:c r="O904" s="36" t="str">
        <x:v>REINE_WIEDERERKENNUNG</x:v>
      </x:c>
      <x:c r="P904" s="36" t="str">
        <x:v>GEMEINSCHAFT</x:v>
      </x:c>
      <x:c r="Q904" s="36" t="str">
        <x:v>Welche Haltung soll nach Kolosser 3 besonders über allem stehen und die Gemeinschaft verbinden?</x:v>
      </x:c>
      <x:c r="R904" s="36" t="str">
        <x:v>Die Liebe als Band der Vollkommenheit.</x:v>
      </x:c>
      <x:c r="S904" s="36" t="str">
        <x:v>Der Wettbewerb um Anerkennung.</x:v>
      </x:c>
      <x:c r="T904" s="36" t="str">
        <x:v>Die Angst vor Fehlern.</x:v>
      </x:c>
      <x:c r="U904" s="36" t="str">
        <x:v>Die strikte Trennung voneinander.</x:v>
      </x:c>
      <x:c r="V904" s="36" t="n">
        <x:v>0</x:v>
      </x:c>
      <x:c r="W904" s="36" t="str">
        <x:v>Die Liebe als Band der Vollkommenheit.</x:v>
      </x:c>
      <x:c r="X904" s="36" t="str">
        <x:v>Kolosser 3,12–14</x:v>
      </x:c>
      <x:c r="Y904" s="36" t="str">
        <x:v>Nach Erbarmen, Freundlichkeit, Demut, Sanftmut, Geduld und Vergebung nennt Paulus die Liebe als das verbindende Element über allem.</x:v>
      </x:c>
      <x:c r="Z904" s="36" t="str">
        <x:v>JA</x:v>
      </x:c>
      <x:c r="AA904" s="36" t="str">
        <x:v>JA</x:v>
      </x:c>
      <x:c r="AB904" s="36" t="str">
        <x:v>JA</x:v>
      </x:c>
      <x:c r="AC904" s="36" t="str">
        <x:v>JA</x:v>
      </x:c>
      <x:c r="AD904" s="36" t="str">
        <x:v>JA</x:v>
      </x:c>
      <x:c r="AE904" s="36" t="str">
        <x:v>JA</x:v>
      </x:c>
      <x:c r="AF904" s="36" t="str">
        <x:v>JA</x:v>
      </x:c>
      <x:c r="AG904" s="36" t="str">
        <x:v>FREIGEGEBEN</x:v>
      </x:c>
      <x:c r="AH904" s="36" t="str">
        <x:v>GPT-5.6 Sol · Buchprüfung Kolosser · L1912/OTB</x:v>
      </x:c>
      <x:c r="AI904" s="36" t="str">
        <x:v>FREIGEGEBEN</x:v>
      </x:c>
      <x:c r="AJ904" s="36" t="str">
        <x:v>Kolosser 3: repetitive Kapitel-Erkennungsfrage durch hochwertige GEMEINSCHAFT-Frage ersetzt.</x:v>
      </x:c>
      <x:c r="AK904" s="36" t="str">
        <x:v>FaithPath repo develop/v4 · data/bibles/l1912/COL.json · data/bibles/otb/COL.json</x:v>
      </x:c>
      <x:c r="AL904" t="str">
        <x:v>JA</x:v>
      </x:c>
    </x:row>
    <x:row r="905">
      <x:c r="A905" t="str">
        <x:v>FP-1164</x:v>
      </x:c>
      <x:c r="B905" t="str">
        <x:v>COL</x:v>
      </x:c>
      <x:c r="C905" t="str">
        <x:v>Kolosser</x:v>
      </x:c>
      <x:c r="D905" t="n">
        <x:v>3</x:v>
      </x:c>
      <x:c r="E905" t="n">
        <x:v>4</x:v>
      </x:c>
      <x:c r="F905" t="str">
        <x:v>COL-003</x:v>
      </x:c>
      <x:c r="G905" t="n">
        <x:v>181</x:v>
      </x:c>
      <x:c r="H905" t="str">
        <x:v>CQ-A12</x:v>
      </x:c>
      <x:c r="I905" s="36" t="str">
        <x:v>Bestandsfrage Kolosser 3: repetitive Kapitel-Erkennungsfrage</x:v>
      </x:c>
      <x:c r="J905" s="36"/>
      <x:c r="K905" s="36"/>
      <x:c r="L905" s="36" t="str">
        <x:v>MASTER_STATUS_VERIFIZIERT</x:v>
      </x:c>
      <x:c r="M905" s="36" t="str">
        <x:v>ERSETZEN</x:v>
      </x:c>
      <x:c r="N905" s="36" t="str">
        <x:v>REPETITIVE_FRAGEFORM</x:v>
      </x:c>
      <x:c r="O905" s="36" t="str">
        <x:v>REINE_WIEDERERKENNUNG</x:v>
      </x:c>
      <x:c r="P905" s="36" t="str">
        <x:v>GEMEINDELEBEN</x:v>
      </x:c>
      <x:c r="Q905" s="36" t="str">
        <x:v>Wie soll das Wort Christi nach Kolosser 3 in der Gemeinde wirken?</x:v>
      </x:c>
      <x:c r="R905" s="36" t="str">
        <x:v>Es soll nur von wenigen Leitern gekannt werden.</x:v>
      </x:c>
      <x:c r="S905" s="36" t="str">
        <x:v>Es soll reichlich unter ihnen wohnen, sodass sie einander in Weisheit lehren und ermahnen.</x:v>
      </x:c>
      <x:c r="T905" s="36" t="str">
        <x:v>Es soll ausschließlich privat gelesen werden.</x:v>
      </x:c>
      <x:c r="U905" s="36" t="str">
        <x:v>Es soll durch menschliche Überlieferung ersetzt werden.</x:v>
      </x:c>
      <x:c r="V905" s="36" t="n">
        <x:v>1</x:v>
      </x:c>
      <x:c r="W905" s="36" t="str">
        <x:v>Es soll reichlich unter ihnen wohnen, sodass sie einander in Weisheit lehren und ermahnen.</x:v>
      </x:c>
      <x:c r="X905" s="36" t="str">
        <x:v>Kolosser 3,15–17</x:v>
      </x:c>
      <x:c r="Y905" s="36" t="str">
        <x:v>Paulus verbindet den Frieden Christi, Dankbarkeit und das reichliche Wohnen des Wortes Christi. Lehren, Ermahnen, Singen und Handeln sollen auf Christus ausgerichtet sein.</x:v>
      </x:c>
      <x:c r="Z905" s="36" t="str">
        <x:v>JA</x:v>
      </x:c>
      <x:c r="AA905" s="36" t="str">
        <x:v>JA</x:v>
      </x:c>
      <x:c r="AB905" s="36" t="str">
        <x:v>JA</x:v>
      </x:c>
      <x:c r="AC905" s="36" t="str">
        <x:v>JA</x:v>
      </x:c>
      <x:c r="AD905" s="36" t="str">
        <x:v>JA</x:v>
      </x:c>
      <x:c r="AE905" s="36" t="str">
        <x:v>JA</x:v>
      </x:c>
      <x:c r="AF905" s="36" t="str">
        <x:v>JA</x:v>
      </x:c>
      <x:c r="AG905" s="36" t="str">
        <x:v>FREIGEGEBEN</x:v>
      </x:c>
      <x:c r="AH905" s="36" t="str">
        <x:v>GPT-5.6 Sol · Buchprüfung Kolosser · L1912/OTB</x:v>
      </x:c>
      <x:c r="AI905" s="36" t="str">
        <x:v>FREIGEGEBEN</x:v>
      </x:c>
      <x:c r="AJ905" s="36" t="str">
        <x:v>Kolosser 3: repetitive Kapitel-Erkennungsfrage durch hochwertige GEMEINDELEBEN-Frage ersetzt.</x:v>
      </x:c>
      <x:c r="AK905" s="36" t="str">
        <x:v>FaithPath repo develop/v4 · data/bibles/l1912/COL.json · data/bibles/otb/COL.json</x:v>
      </x:c>
      <x:c r="AL905" t="str">
        <x:v>JA</x:v>
      </x:c>
    </x:row>
    <x:row r="906">
      <x:c r="A906" t="str">
        <x:v>FP-1165</x:v>
      </x:c>
      <x:c r="B906" t="str">
        <x:v>COL</x:v>
      </x:c>
      <x:c r="C906" t="str">
        <x:v>Kolosser</x:v>
      </x:c>
      <x:c r="D906" t="n">
        <x:v>3</x:v>
      </x:c>
      <x:c r="E906" t="n">
        <x:v>5</x:v>
      </x:c>
      <x:c r="F906" t="str">
        <x:v>COL-003</x:v>
      </x:c>
      <x:c r="G906" t="n">
        <x:v>181</x:v>
      </x:c>
      <x:c r="H906" t="str">
        <x:v>CQ-A12</x:v>
      </x:c>
      <x:c r="I906" s="36" t="str">
        <x:v>Bestandsfrage Kolosser 3: repetitive Kapitel-Erkennungsfrage</x:v>
      </x:c>
      <x:c r="J906" s="36"/>
      <x:c r="K906" s="36"/>
      <x:c r="L906" s="36" t="str">
        <x:v>MASTER_STATUS_VERIFIZIERT</x:v>
      </x:c>
      <x:c r="M906" s="36" t="str">
        <x:v>ERSETZEN</x:v>
      </x:c>
      <x:c r="N906" s="36" t="str">
        <x:v>REPETITIVE_FRAGEFORM</x:v>
      </x:c>
      <x:c r="O906" s="36" t="str">
        <x:v>REINE_WIEDERERKENNUNG</x:v>
      </x:c>
      <x:c r="P906" s="36" t="str">
        <x:v>ARBEIT</x:v>
      </x:c>
      <x:c r="Q906" s="36" t="str">
        <x:v>Welche Grundhaltung nennt Paulus für das eigene Tun in Kolosser 3?</x:v>
      </x:c>
      <x:c r="R906" s="36" t="str">
        <x:v>Nur dann sorgfältig zu arbeiten, wenn jemand zusieht.</x:v>
      </x:c>
      <x:c r="S906" s="36" t="str">
        <x:v>Anerkennung durch Menschen zum höchsten Ziel zu machen.</x:v>
      </x:c>
      <x:c r="T906" s="36" t="str">
        <x:v>Von Herzen zu handeln wie für den Herrn und nicht nur für Menschen.</x:v>
      </x:c>
      <x:c r="U906" s="36" t="str">
        <x:v>Verantwortung nur zu übernehmen, wenn eine Belohnung garantiert ist.</x:v>
      </x:c>
      <x:c r="V906" s="36" t="n">
        <x:v>2</x:v>
      </x:c>
      <x:c r="W906" s="36" t="str">
        <x:v>Von Herzen zu handeln wie für den Herrn und nicht nur für Menschen.</x:v>
      </x:c>
      <x:c r="X906" s="36" t="str">
        <x:v>Kolosser 3,22–25</x:v>
      </x:c>
      <x:c r="Y906" s="36" t="str">
        <x:v>Der damalige soziale Kontext wird nicht verschwiegen, doch Paulus richtet die Motivation auf Christus: Arbeit soll aufrichtig und von Herzen geschehen, weil letztlich dem Herrn gedient wird.</x:v>
      </x:c>
      <x:c r="Z906" s="36" t="str">
        <x:v>JA</x:v>
      </x:c>
      <x:c r="AA906" s="36" t="str">
        <x:v>JA</x:v>
      </x:c>
      <x:c r="AB906" s="36" t="str">
        <x:v>JA</x:v>
      </x:c>
      <x:c r="AC906" s="36" t="str">
        <x:v>JA</x:v>
      </x:c>
      <x:c r="AD906" s="36" t="str">
        <x:v>JA</x:v>
      </x:c>
      <x:c r="AE906" s="36" t="str">
        <x:v>JA</x:v>
      </x:c>
      <x:c r="AF906" s="36" t="str">
        <x:v>JA</x:v>
      </x:c>
      <x:c r="AG906" s="36" t="str">
        <x:v>FREIGEGEBEN</x:v>
      </x:c>
      <x:c r="AH906" s="36" t="str">
        <x:v>GPT-5.6 Sol · Buchprüfung Kolosser · L1912/OTB</x:v>
      </x:c>
      <x:c r="AI906" s="36" t="str">
        <x:v>FREIGEGEBEN</x:v>
      </x:c>
      <x:c r="AJ906" s="36" t="str">
        <x:v>Kolosser 3: repetitive Kapitel-Erkennungsfrage durch hochwertige ARBEIT-Frage ersetzt.</x:v>
      </x:c>
      <x:c r="AK906" s="36" t="str">
        <x:v>FaithPath repo develop/v4 · data/bibles/l1912/COL.json · data/bibles/otb/COL.json</x:v>
      </x:c>
      <x:c r="AL906" t="str">
        <x:v>JA</x:v>
      </x:c>
    </x:row>
    <x:row r="907">
      <x:c r="A907" t="str">
        <x:v>FP-1166</x:v>
      </x:c>
      <x:c r="B907" t="str">
        <x:v>COL</x:v>
      </x:c>
      <x:c r="C907" t="str">
        <x:v>Kolosser</x:v>
      </x:c>
      <x:c r="D907" t="n">
        <x:v>4</x:v>
      </x:c>
      <x:c r="E907" t="n">
        <x:v>1</x:v>
      </x:c>
      <x:c r="F907" t="str">
        <x:v>COL-004</x:v>
      </x:c>
      <x:c r="G907" t="n">
        <x:v>182</x:v>
      </x:c>
      <x:c r="H907" t="str">
        <x:v>CQ-A12</x:v>
      </x:c>
      <x:c r="I907" s="36" t="str">
        <x:v>Bestandsfrage Kolosser 4: repetitive Kapitel-Erkennungsfrage</x:v>
      </x:c>
      <x:c r="J907" s="36"/>
      <x:c r="K907" s="36"/>
      <x:c r="L907" s="36" t="str">
        <x:v>MASTER_STATUS_VERIFIZIERT</x:v>
      </x:c>
      <x:c r="M907" s="36" t="str">
        <x:v>ERSETZEN</x:v>
      </x:c>
      <x:c r="N907" s="36" t="str">
        <x:v>REPETITIVE_FRAGEFORM</x:v>
      </x:c>
      <x:c r="O907" s="36" t="str">
        <x:v>REINE_WIEDERERKENNUNG</x:v>
      </x:c>
      <x:c r="P907" s="36" t="str">
        <x:v>VERANTWORTUNG</x:v>
      </x:c>
      <x:c r="Q907" s="36" t="str">
        <x:v>Woran erinnert Paulus irdische Herren in Kolosser 4?</x:v>
      </x:c>
      <x:c r="R907" s="36" t="str">
        <x:v>Sie dürfen ihre Stellung ohne Einschränkung ausnutzen.</x:v>
      </x:c>
      <x:c r="S907" s="36" t="str">
        <x:v>Vor Gott zählt gesellschaftlicher Rang mehr als Gerechtigkeit.</x:v>
      </x:c>
      <x:c r="T907" s="36" t="str">
        <x:v>Nur Untergebene tragen moralische Verantwortung.</x:v>
      </x:c>
      <x:c r="U907" s="36" t="str">
        <x:v>Sie sollen gerecht und fair handeln, weil auch sie einen Herrn im Himmel haben.</x:v>
      </x:c>
      <x:c r="V907" s="36" t="n">
        <x:v>3</x:v>
      </x:c>
      <x:c r="W907" s="36" t="str">
        <x:v>Sie sollen gerecht und fair handeln, weil auch sie einen Herrn im Himmel haben.</x:v>
      </x:c>
      <x:c r="X907" s="36" t="str">
        <x:v>Kolosser 4,1</x:v>
      </x:c>
      <x:c r="Y907" s="36" t="str">
        <x:v>Paulus stellt auch Menschen mit gesellschaftlicher Macht unter eine höhere Rechenschaft: Sie selbst haben einen Herrn im Himmel und sollen deshalb gerecht handeln.</x:v>
      </x:c>
      <x:c r="Z907" s="36" t="str">
        <x:v>JA</x:v>
      </x:c>
      <x:c r="AA907" s="36" t="str">
        <x:v>JA</x:v>
      </x:c>
      <x:c r="AB907" s="36" t="str">
        <x:v>JA</x:v>
      </x:c>
      <x:c r="AC907" s="36" t="str">
        <x:v>JA</x:v>
      </x:c>
      <x:c r="AD907" s="36" t="str">
        <x:v>JA</x:v>
      </x:c>
      <x:c r="AE907" s="36" t="str">
        <x:v>JA</x:v>
      </x:c>
      <x:c r="AF907" s="36" t="str">
        <x:v>JA</x:v>
      </x:c>
      <x:c r="AG907" s="36" t="str">
        <x:v>FREIGEGEBEN</x:v>
      </x:c>
      <x:c r="AH907" s="36" t="str">
        <x:v>GPT-5.6 Sol · Buchprüfung Kolosser · L1912/OTB</x:v>
      </x:c>
      <x:c r="AI907" s="36" t="str">
        <x:v>FREIGEGEBEN</x:v>
      </x:c>
      <x:c r="AJ907" s="36" t="str">
        <x:v>Kolosser 4: repetitive Kapitel-Erkennungsfrage durch hochwertige VERANTWORTUNG-Frage ersetzt.</x:v>
      </x:c>
      <x:c r="AK907" s="36" t="str">
        <x:v>FaithPath repo develop/v4 · data/bibles/l1912/COL.json · data/bibles/otb/COL.json</x:v>
      </x:c>
      <x:c r="AL907" t="str">
        <x:v>JA</x:v>
      </x:c>
    </x:row>
    <x:row r="908">
      <x:c r="A908" t="str">
        <x:v>FP-1167</x:v>
      </x:c>
      <x:c r="B908" t="str">
        <x:v>COL</x:v>
      </x:c>
      <x:c r="C908" t="str">
        <x:v>Kolosser</x:v>
      </x:c>
      <x:c r="D908" t="n">
        <x:v>4</x:v>
      </x:c>
      <x:c r="E908" t="n">
        <x:v>2</x:v>
      </x:c>
      <x:c r="F908" t="str">
        <x:v>COL-004</x:v>
      </x:c>
      <x:c r="G908" t="n">
        <x:v>182</x:v>
      </x:c>
      <x:c r="H908" t="str">
        <x:v>CQ-A12</x:v>
      </x:c>
      <x:c r="I908" s="36" t="str">
        <x:v>Bestandsfrage Kolosser 4: repetitive Kapitel-Erkennungsfrage</x:v>
      </x:c>
      <x:c r="J908" s="36"/>
      <x:c r="K908" s="36"/>
      <x:c r="L908" s="36" t="str">
        <x:v>MASTER_STATUS_VERIFIZIERT</x:v>
      </x:c>
      <x:c r="M908" s="36" t="str">
        <x:v>ERSETZEN</x:v>
      </x:c>
      <x:c r="N908" s="36" t="str">
        <x:v>REPETITIVE_FRAGEFORM</x:v>
      </x:c>
      <x:c r="O908" s="36" t="str">
        <x:v>REINE_WIEDERERKENNUNG</x:v>
      </x:c>
      <x:c r="P908" s="36" t="str">
        <x:v>GEBET</x:v>
      </x:c>
      <x:c r="Q908" s="36" t="str">
        <x:v>Welche Haltung fordert Paulus beim Gebet in Kolosser 4?</x:v>
      </x:c>
      <x:c r="R908" s="36" t="str">
        <x:v>Ausdauer, Wachsamkeit und Dankbarkeit.</x:v>
      </x:c>
      <x:c r="S908" s="36" t="str">
        <x:v>Nur spontane Gebete in Krisen.</x:v>
      </x:c>
      <x:c r="T908" s="36" t="str">
        <x:v>Gebet ohne Bezug zu anderen Menschen.</x:v>
      </x:c>
      <x:c r="U908" s="36" t="str">
        <x:v>Gebet ausschließlich für persönlichen Erfolg.</x:v>
      </x:c>
      <x:c r="V908" s="36" t="n">
        <x:v>0</x:v>
      </x:c>
      <x:c r="W908" s="36" t="str">
        <x:v>Ausdauer, Wachsamkeit und Dankbarkeit.</x:v>
      </x:c>
      <x:c r="X908" s="36" t="str">
        <x:v>Kolosser 4,2–4</x:v>
      </x:c>
      <x:c r="Y908" s="36" t="str">
        <x:v>Paulus fordert beständiges, wachsames und dankbares Gebet. Zugleich bittet er um Fürbitte, damit Gott eine Tür für die Verkündigung öffnet und er das Geheimnis Christi klar sagen kann.</x:v>
      </x:c>
      <x:c r="Z908" s="36" t="str">
        <x:v>JA</x:v>
      </x:c>
      <x:c r="AA908" s="36" t="str">
        <x:v>JA</x:v>
      </x:c>
      <x:c r="AB908" s="36" t="str">
        <x:v>JA</x:v>
      </x:c>
      <x:c r="AC908" s="36" t="str">
        <x:v>JA</x:v>
      </x:c>
      <x:c r="AD908" s="36" t="str">
        <x:v>JA</x:v>
      </x:c>
      <x:c r="AE908" s="36" t="str">
        <x:v>JA</x:v>
      </x:c>
      <x:c r="AF908" s="36" t="str">
        <x:v>JA</x:v>
      </x:c>
      <x:c r="AG908" s="36" t="str">
        <x:v>FREIGEGEBEN</x:v>
      </x:c>
      <x:c r="AH908" s="36" t="str">
        <x:v>GPT-5.6 Sol · Buchprüfung Kolosser · L1912/OTB</x:v>
      </x:c>
      <x:c r="AI908" s="36" t="str">
        <x:v>FREIGEGEBEN</x:v>
      </x:c>
      <x:c r="AJ908" s="36" t="str">
        <x:v>Kolosser 4: repetitive Kapitel-Erkennungsfrage durch hochwertige GEBET-Frage ersetzt.</x:v>
      </x:c>
      <x:c r="AK908" s="36" t="str">
        <x:v>FaithPath repo develop/v4 · data/bibles/l1912/COL.json · data/bibles/otb/COL.json</x:v>
      </x:c>
      <x:c r="AL908" t="str">
        <x:v>JA</x:v>
      </x:c>
    </x:row>
    <x:row r="909">
      <x:c r="A909" t="str">
        <x:v>FP-1168</x:v>
      </x:c>
      <x:c r="B909" t="str">
        <x:v>COL</x:v>
      </x:c>
      <x:c r="C909" t="str">
        <x:v>Kolosser</x:v>
      </x:c>
      <x:c r="D909" t="n">
        <x:v>4</x:v>
      </x:c>
      <x:c r="E909" t="n">
        <x:v>3</x:v>
      </x:c>
      <x:c r="F909" t="str">
        <x:v>COL-004</x:v>
      </x:c>
      <x:c r="G909" t="n">
        <x:v>182</x:v>
      </x:c>
      <x:c r="H909" t="str">
        <x:v>CQ-A12</x:v>
      </x:c>
      <x:c r="I909" s="36" t="str">
        <x:v>Bestandsfrage Kolosser 4: repetitive Kapitel-Erkennungsfrage</x:v>
      </x:c>
      <x:c r="J909" s="36"/>
      <x:c r="K909" s="36"/>
      <x:c r="L909" s="36" t="str">
        <x:v>MASTER_STATUS_VERIFIZIERT</x:v>
      </x:c>
      <x:c r="M909" s="36" t="str">
        <x:v>ERSETZEN</x:v>
      </x:c>
      <x:c r="N909" s="36" t="str">
        <x:v>REPETITIVE_FRAGEFORM</x:v>
      </x:c>
      <x:c r="O909" s="36" t="str">
        <x:v>REINE_WIEDERERKENNUNG</x:v>
      </x:c>
      <x:c r="P909" s="36" t="str">
        <x:v>ANWENDUNG</x:v>
      </x:c>
      <x:c r="Q909" s="36" t="str">
        <x:v>Wie sollen Christen nach Kolosser 4 mit Menschen außerhalb der Gemeinde umgehen?</x:v>
      </x:c>
      <x:c r="R909" s="36" t="str">
        <x:v>Jeden Kontakt möglichst vermeiden.</x:v>
      </x:c>
      <x:c r="S909" s="36" t="str">
        <x:v>Weise leben, Gelegenheiten nutzen und mit einer gnädigen, passenden Rede antworten.</x:v>
      </x:c>
      <x:c r="T909" s="36" t="str">
        <x:v>Immer möglichst scharf und konfrontativ sprechen.</x:v>
      </x:c>
      <x:c r="U909" s="36" t="str">
        <x:v>Nur auf Fragen antworten, wenn sie dieselbe Überzeugung teilen.</x:v>
      </x:c>
      <x:c r="V909" s="36" t="n">
        <x:v>1</x:v>
      </x:c>
      <x:c r="W909" s="36" t="str">
        <x:v>Weise leben, Gelegenheiten nutzen und mit einer gnädigen, passenden Rede antworten.</x:v>
      </x:c>
      <x:c r="X909" s="36" t="str">
        <x:v>Kolosser 4,5–6</x:v>
      </x:c>
      <x:c r="Y909" s="36" t="str">
        <x:v>Paulus verbindet weises Verhalten mit guter Kommunikation. Die Rede soll von Gnade geprägt und zugleich 'mit Salz gewürzt' sein – also passend und nicht belanglos.</x:v>
      </x:c>
      <x:c r="Z909" s="36" t="str">
        <x:v>JA</x:v>
      </x:c>
      <x:c r="AA909" s="36" t="str">
        <x:v>JA</x:v>
      </x:c>
      <x:c r="AB909" s="36" t="str">
        <x:v>JA</x:v>
      </x:c>
      <x:c r="AC909" s="36" t="str">
        <x:v>JA</x:v>
      </x:c>
      <x:c r="AD909" s="36" t="str">
        <x:v>JA</x:v>
      </x:c>
      <x:c r="AE909" s="36" t="str">
        <x:v>JA</x:v>
      </x:c>
      <x:c r="AF909" s="36" t="str">
        <x:v>JA</x:v>
      </x:c>
      <x:c r="AG909" s="36" t="str">
        <x:v>FREIGEGEBEN</x:v>
      </x:c>
      <x:c r="AH909" s="36" t="str">
        <x:v>GPT-5.6 Sol · Buchprüfung Kolosser · L1912/OTB</x:v>
      </x:c>
      <x:c r="AI909" s="36" t="str">
        <x:v>FREIGEGEBEN</x:v>
      </x:c>
      <x:c r="AJ909" s="36" t="str">
        <x:v>Kolosser 4: repetitive Kapitel-Erkennungsfrage durch hochwertige ANWENDUNG-Frage ersetzt.</x:v>
      </x:c>
      <x:c r="AK909" s="36" t="str">
        <x:v>FaithPath repo develop/v4 · data/bibles/l1912/COL.json · data/bibles/otb/COL.json</x:v>
      </x:c>
      <x:c r="AL909" t="str">
        <x:v>JA</x:v>
      </x:c>
    </x:row>
    <x:row r="910">
      <x:c r="A910" t="str">
        <x:v>FP-1169</x:v>
      </x:c>
      <x:c r="B910" t="str">
        <x:v>COL</x:v>
      </x:c>
      <x:c r="C910" t="str">
        <x:v>Kolosser</x:v>
      </x:c>
      <x:c r="D910" t="n">
        <x:v>4</x:v>
      </x:c>
      <x:c r="E910" t="n">
        <x:v>4</x:v>
      </x:c>
      <x:c r="F910" t="str">
        <x:v>COL-004</x:v>
      </x:c>
      <x:c r="G910" t="n">
        <x:v>182</x:v>
      </x:c>
      <x:c r="H910" t="str">
        <x:v>CQ-A12</x:v>
      </x:c>
      <x:c r="I910" s="36" t="str">
        <x:v>Bestandsfrage Kolosser 4: repetitive Kapitel-Erkennungsfrage</x:v>
      </x:c>
      <x:c r="J910" s="36"/>
      <x:c r="K910" s="36"/>
      <x:c r="L910" s="36" t="str">
        <x:v>MASTER_STATUS_VERIFIZIERT</x:v>
      </x:c>
      <x:c r="M910" s="36" t="str">
        <x:v>ERSETZEN</x:v>
      </x:c>
      <x:c r="N910" s="36" t="str">
        <x:v>REPETITIVE_FRAGEFORM</x:v>
      </x:c>
      <x:c r="O910" s="36" t="str">
        <x:v>REINE_WIEDERERKENNUNG</x:v>
      </x:c>
      <x:c r="P910" s="36" t="str">
        <x:v>PERSON</x:v>
      </x:c>
      <x:c r="Q910" s="36" t="str">
        <x:v>Wofür wird Epaphras am Ende des Kolosserbriefs besonders hervorgehoben?</x:v>
      </x:c>
      <x:c r="R910" s="36" t="str">
        <x:v>Er verwaltet das Gefängnis von Paulus.</x:v>
      </x:c>
      <x:c r="S910" s="36" t="str">
        <x:v>Er ist der römische Statthalter von Kolossä.</x:v>
      </x:c>
      <x:c r="T910" s="36" t="str">
        <x:v>Er ringt beständig im Gebet dafür, dass die Gemeinde reif und fest in Gottes Willen steht.</x:v>
      </x:c>
      <x:c r="U910" s="36" t="str">
        <x:v>Er soll die Gemeinde verlassen und nach Rom ziehen.</x:v>
      </x:c>
      <x:c r="V910" s="36" t="n">
        <x:v>2</x:v>
      </x:c>
      <x:c r="W910" s="36" t="str">
        <x:v>Er ringt beständig im Gebet dafür, dass die Gemeinde reif und fest in Gottes Willen steht.</x:v>
      </x:c>
      <x:c r="X910" s="36" t="str">
        <x:v>Kolosser 4,12–13</x:v>
      </x:c>
      <x:c r="Y910" s="36" t="str">
        <x:v>Epaphras wird als einer aus ihrer eigenen Gemeinde beschrieben, der sich intensiv im Gebet für sie einsetzt. Sein Ziel ist ihre Reife und feste Ausrichtung auf Gottes Willen.</x:v>
      </x:c>
      <x:c r="Z910" s="36" t="str">
        <x:v>JA</x:v>
      </x:c>
      <x:c r="AA910" s="36" t="str">
        <x:v>JA</x:v>
      </x:c>
      <x:c r="AB910" s="36" t="str">
        <x:v>JA</x:v>
      </x:c>
      <x:c r="AC910" s="36" t="str">
        <x:v>JA</x:v>
      </x:c>
      <x:c r="AD910" s="36" t="str">
        <x:v>JA</x:v>
      </x:c>
      <x:c r="AE910" s="36" t="str">
        <x:v>JA</x:v>
      </x:c>
      <x:c r="AF910" s="36" t="str">
        <x:v>JA</x:v>
      </x:c>
      <x:c r="AG910" s="36" t="str">
        <x:v>FREIGEGEBEN</x:v>
      </x:c>
      <x:c r="AH910" s="36" t="str">
        <x:v>GPT-5.6 Sol · Buchprüfung Kolosser · L1912/OTB</x:v>
      </x:c>
      <x:c r="AI910" s="36" t="str">
        <x:v>FREIGEGEBEN</x:v>
      </x:c>
      <x:c r="AJ910" s="36" t="str">
        <x:v>Kolosser 4: repetitive Kapitel-Erkennungsfrage durch hochwertige PERSON-Frage ersetzt.</x:v>
      </x:c>
      <x:c r="AK910" s="36" t="str">
        <x:v>FaithPath repo develop/v4 · data/bibles/l1912/COL.json · data/bibles/otb/COL.json</x:v>
      </x:c>
      <x:c r="AL910" t="str">
        <x:v>JA</x:v>
      </x:c>
    </x:row>
    <x:row r="911">
      <x:c r="A911" t="str">
        <x:v>FP-1170</x:v>
      </x:c>
      <x:c r="B911" t="str">
        <x:v>COL</x:v>
      </x:c>
      <x:c r="C911" t="str">
        <x:v>Kolosser</x:v>
      </x:c>
      <x:c r="D911" t="n">
        <x:v>4</x:v>
      </x:c>
      <x:c r="E911" t="n">
        <x:v>5</x:v>
      </x:c>
      <x:c r="F911" t="str">
        <x:v>COL-004</x:v>
      </x:c>
      <x:c r="G911" t="n">
        <x:v>182</x:v>
      </x:c>
      <x:c r="H911" t="str">
        <x:v>CQ-A12</x:v>
      </x:c>
      <x:c r="I911" s="36" t="str">
        <x:v>Bestandsfrage Kolosser 4: repetitive Kapitel-Erkennungsfrage</x:v>
      </x:c>
      <x:c r="J911" s="36"/>
      <x:c r="K911" s="36"/>
      <x:c r="L911" s="36" t="str">
        <x:v>MASTER_STATUS_VERIFIZIERT</x:v>
      </x:c>
      <x:c r="M911" s="36" t="str">
        <x:v>ERSETZEN</x:v>
      </x:c>
      <x:c r="N911" s="36" t="str">
        <x:v>REPETITIVE_FRAGEFORM</x:v>
      </x:c>
      <x:c r="O911" s="36" t="str">
        <x:v>REINE_WIEDERERKENNUNG</x:v>
      </x:c>
      <x:c r="P911" s="36" t="str">
        <x:v>GEMEINDENETZWERK</x:v>
      </x:c>
      <x:c r="Q911" s="36" t="str">
        <x:v>Was zeigt die Anweisung zum Austausch der Briefe zwischen Kolossä und Laodizea?</x:v>
      </x:c>
      <x:c r="R911" s="36" t="str">
        <x:v>Jede Gemeinde sollte alle anderen vollständig ignorieren.</x:v>
      </x:c>
      <x:c r="S911" s="36" t="str">
        <x:v>Der Kolosserbrief war nur für Paulus persönlich bestimmt.</x:v>
      </x:c>
      <x:c r="T911" s="36" t="str">
        <x:v>Laodizea sollte keine apostolischen Briefe lesen.</x:v>
      </x:c>
      <x:c r="U911" s="36" t="str">
        <x:v>Die Gemeinden sollten die apostolische Lehre miteinander teilen und voneinander profitieren.</x:v>
      </x:c>
      <x:c r="V911" s="36" t="n">
        <x:v>3</x:v>
      </x:c>
      <x:c r="W911" s="36" t="str">
        <x:v>Die Gemeinden sollten die apostolische Lehre miteinander teilen und voneinander profitieren.</x:v>
      </x:c>
      <x:c r="X911" s="36" t="str">
        <x:v>Kolosser 4,15–17</x:v>
      </x:c>
      <x:c r="Y911" s="36" t="str">
        <x:v>Paulus ordnet an, dass der Brief auch in Laodizea gelesen wird und umgekehrt ein Brief aus Laodizea in Kolossä. Das macht den übergemeindlichen Charakter der apostolischen Unterweisung sichtbar.</x:v>
      </x:c>
      <x:c r="Z911" s="36" t="str">
        <x:v>JA</x:v>
      </x:c>
      <x:c r="AA911" s="36" t="str">
        <x:v>JA</x:v>
      </x:c>
      <x:c r="AB911" s="36" t="str">
        <x:v>JA</x:v>
      </x:c>
      <x:c r="AC911" s="36" t="str">
        <x:v>JA</x:v>
      </x:c>
      <x:c r="AD911" s="36" t="str">
        <x:v>JA</x:v>
      </x:c>
      <x:c r="AE911" s="36" t="str">
        <x:v>JA</x:v>
      </x:c>
      <x:c r="AF911" s="36" t="str">
        <x:v>JA</x:v>
      </x:c>
      <x:c r="AG911" s="36" t="str">
        <x:v>FREIGEGEBEN</x:v>
      </x:c>
      <x:c r="AH911" s="36" t="str">
        <x:v>GPT-5.6 Sol · Buchprüfung Kolosser · L1912/OTB</x:v>
      </x:c>
      <x:c r="AI911" s="36" t="str">
        <x:v>FREIGEGEBEN</x:v>
      </x:c>
      <x:c r="AJ911" s="36" t="str">
        <x:v>Kolosser 4: repetitive Kapitel-Erkennungsfrage durch hochwertige GEMEINDENETZWERK-Frage ersetzt.</x:v>
      </x:c>
      <x:c r="AK911" s="36" t="str">
        <x:v>FaithPath repo develop/v4 · data/bibles/l1912/COL.json · data/bibles/otb/COL.json</x:v>
      </x:c>
      <x:c r="AL911" t="str">
        <x:v>JA</x:v>
      </x:c>
    </x:row>
    <x:row r="912">
      <x:c r="A912" t="str">
        <x:v>FP-1171</x:v>
      </x:c>
      <x:c r="B912" t="str">
        <x:v>1TH</x:v>
      </x:c>
      <x:c r="C912" t="str">
        <x:v>1. Thessalonicher</x:v>
      </x:c>
      <x:c r="D912" t="n">
        <x:v>1</x:v>
      </x:c>
      <x:c r="E912" t="n">
        <x:v>1</x:v>
      </x:c>
      <x:c r="F912" t="str">
        <x:v>1TH-001</x:v>
      </x:c>
      <x:c r="G912" t="n">
        <x:v>183</x:v>
      </x:c>
      <x:c r="H912" t="str">
        <x:v>CQ-A13</x:v>
      </x:c>
      <x:c r="I912" s="36" t="str">
        <x:v>Bestandsfrage: exakter Wortlaut in diesem Arbeitsschritt nicht rekonstruiert.</x:v>
      </x:c>
      <x:c r="J912" s="36"/>
      <x:c r="K912" s="36"/>
      <x:c r="L912" s="36" t="str">
        <x:v>MASTER_STATUS_VERIFIZIERT</x:v>
      </x:c>
      <x:c r="M912" s="36" t="str">
        <x:v>ERSETZEN</x:v>
      </x:c>
      <x:c r="N912" s="36" t="str">
        <x:v>REPETITIVE_FRAGEFORM</x:v>
      </x:c>
      <x:c r="O912" s="36" t="str">
        <x:v>REINE_WIEDERERKENNUNG</x:v>
      </x:c>
      <x:c r="P912" s="36" t="str">
        <x:v>KERNAUSSAGE</x:v>
      </x:c>
      <x:c r="Q912" s="36" t="str">
        <x:v>Woran erinnert Paulus, wenn er für die Thessalonicher dankt?</x:v>
      </x:c>
      <x:c r="R912" s="36" t="str">
        <x:v>An ihre genaue Kenntnis religiöser Vorschriften.</x:v>
      </x:c>
      <x:c r="S912" s="36" t="str">
        <x:v>An ihr Werk des Glaubens, ihre Mühe der Liebe und ihr Ausharren in der Hoffnung auf Jesus Christus.</x:v>
      </x:c>
      <x:c r="T912" s="36" t="str">
        <x:v>An ihren politischen Einfluss in Mazedonien.</x:v>
      </x:c>
      <x:c r="U912" s="36" t="str">
        <x:v>An ihre Freiheit von jeder Bedrängnis.</x:v>
      </x:c>
      <x:c r="V912" s="36" t="n">
        <x:v>1</x:v>
      </x:c>
      <x:c r="W912" s="36" t="str">
        <x:v>An ihr Werk des Glaubens, ihre Mühe der Liebe und ihr Ausharren in der Hoffnung auf Jesus Christus.</x:v>
      </x:c>
      <x:c r="X912" s="36" t="str">
        <x:v>1. Thessalonicher 1,2–3</x:v>
      </x:c>
      <x:c r="Y912" s="36" t="str">
        <x:v>Paulus nennt drei sichtbare Kennzeichen ihres Glaubens: Glauben, Liebe und Hoffnung zeigen sich in Werk, Mühe und Ausharren.</x:v>
      </x:c>
      <x:c r="Z912" s="36" t="str">
        <x:v>JA</x:v>
      </x:c>
      <x:c r="AA912" s="36" t="str">
        <x:v>JA</x:v>
      </x:c>
      <x:c r="AB912" s="36" t="str">
        <x:v>JA</x:v>
      </x:c>
      <x:c r="AC912" s="36" t="str">
        <x:v>JA</x:v>
      </x:c>
      <x:c r="AD912" s="36" t="str">
        <x:v>JA</x:v>
      </x:c>
      <x:c r="AE912" s="36" t="str">
        <x:v>JA</x:v>
      </x:c>
      <x:c r="AF912" s="36" t="str">
        <x:v>JA</x:v>
      </x:c>
      <x:c r="AG912" s="36" t="str">
        <x:v>FREIGEGEBEN</x:v>
      </x:c>
      <x:c r="AH912" s="36" t="str">
        <x:v>FREIGEGEBEN</x:v>
      </x:c>
      <x:c r="AI912" s="36" t="str">
        <x:v>FREIGEGEBEN</x:v>
      </x:c>
      <x:c r="AJ912" s="36" t="str">
        <x:v>FaithPath repo develop/v4 · data/bibles/l1912/1TH.json · data/bibles/otb/1TH.json</x:v>
      </x:c>
      <x:c r="AK912" s="36" t="str">
        <x:v>JA</x:v>
      </x:c>
      <x:c r="AL912" t="str">
        <x:v>JA</x:v>
      </x:c>
    </x:row>
    <x:row r="913">
      <x:c r="A913" t="str">
        <x:v>FP-1172</x:v>
      </x:c>
      <x:c r="B913" t="str">
        <x:v>1TH</x:v>
      </x:c>
      <x:c r="C913" t="str">
        <x:v>1. Thessalonicher</x:v>
      </x:c>
      <x:c r="D913" t="n">
        <x:v>1</x:v>
      </x:c>
      <x:c r="E913" t="n">
        <x:v>2</x:v>
      </x:c>
      <x:c r="F913" t="str">
        <x:v>1TH-001</x:v>
      </x:c>
      <x:c r="G913" t="n">
        <x:v>183</x:v>
      </x:c>
      <x:c r="H913" t="str">
        <x:v>CQ-A13</x:v>
      </x:c>
      <x:c r="I913" s="36" t="str">
        <x:v>Bestandsfrage: exakter Wortlaut in diesem Arbeitsschritt nicht rekonstruiert.</x:v>
      </x:c>
      <x:c r="J913" s="36"/>
      <x:c r="K913" s="36"/>
      <x:c r="L913" s="36" t="str">
        <x:v>MASTER_STATUS_VERIFIZIERT</x:v>
      </x:c>
      <x:c r="M913" s="36" t="str">
        <x:v>ERSETZEN</x:v>
      </x:c>
      <x:c r="N913" s="36" t="str">
        <x:v>REPETITIVE_FRAGEFORM</x:v>
      </x:c>
      <x:c r="O913" s="36" t="str">
        <x:v>REINE_WIEDERERKENNUNG</x:v>
      </x:c>
      <x:c r="P913" s="36" t="str">
        <x:v>ZUSAMMENHANG</x:v>
      </x:c>
      <x:c r="Q913" s="36" t="str">
        <x:v>Wie war das Evangelium nach Paulus zu den Thessalonichern gekommen?</x:v>
      </x:c>
      <x:c r="R913" s="36" t="str">
        <x:v>Nur als überzeugende menschliche Rede.</x:v>
      </x:c>
      <x:c r="S913" s="36" t="str">
        <x:v>Vor allem durch gesellschaftlichen Druck.</x:v>
      </x:c>
      <x:c r="T913" s="36" t="str">
        <x:v>Ausschließlich durch schriftliche Anweisungen.</x:v>
      </x:c>
      <x:c r="U913" s="36" t="str">
        <x:v>Nicht nur im Wort, sondern auch in Kraft, im Heiligen Geist und mit großer Gewissheit.</x:v>
      </x:c>
      <x:c r="V913" s="36" t="n">
        <x:v>3</x:v>
      </x:c>
      <x:c r="W913" s="36" t="str">
        <x:v>Nicht nur im Wort, sondern auch in Kraft, im Heiligen Geist und mit großer Gewissheit.</x:v>
      </x:c>
      <x:c r="X913" s="36" t="str">
        <x:v>1. Thessalonicher 1,4–5</x:v>
      </x:c>
      <x:c r="Y913" s="36" t="str">
        <x:v>Paulus beschreibt die Verkündigung als mehr als bloße Worte. Gottes Kraft, der Heilige Geist und Gewissheit begleiteten die Botschaft.</x:v>
      </x:c>
      <x:c r="Z913" s="36" t="str">
        <x:v>JA</x:v>
      </x:c>
      <x:c r="AA913" s="36" t="str">
        <x:v>JA</x:v>
      </x:c>
      <x:c r="AB913" s="36" t="str">
        <x:v>JA</x:v>
      </x:c>
      <x:c r="AC913" s="36" t="str">
        <x:v>JA</x:v>
      </x:c>
      <x:c r="AD913" s="36" t="str">
        <x:v>JA</x:v>
      </x:c>
      <x:c r="AE913" s="36" t="str">
        <x:v>JA</x:v>
      </x:c>
      <x:c r="AF913" s="36" t="str">
        <x:v>JA</x:v>
      </x:c>
      <x:c r="AG913" s="36" t="str">
        <x:v>FREIGEGEBEN</x:v>
      </x:c>
      <x:c r="AH913" s="36" t="str">
        <x:v>FREIGEGEBEN</x:v>
      </x:c>
      <x:c r="AI913" s="36" t="str">
        <x:v>FREIGEGEBEN</x:v>
      </x:c>
      <x:c r="AJ913" s="36" t="str">
        <x:v>FaithPath repo develop/v4 · data/bibles/l1912/1TH.json · data/bibles/otb/1TH.json</x:v>
      </x:c>
      <x:c r="AK913" s="36" t="str">
        <x:v>JA</x:v>
      </x:c>
      <x:c r="AL913" t="str">
        <x:v>JA</x:v>
      </x:c>
    </x:row>
    <x:row r="914">
      <x:c r="A914" t="str">
        <x:v>FP-1173</x:v>
      </x:c>
      <x:c r="B914" t="str">
        <x:v>1TH</x:v>
      </x:c>
      <x:c r="C914" t="str">
        <x:v>1. Thessalonicher</x:v>
      </x:c>
      <x:c r="D914" t="n">
        <x:v>1</x:v>
      </x:c>
      <x:c r="E914" t="n">
        <x:v>3</x:v>
      </x:c>
      <x:c r="F914" t="str">
        <x:v>1TH-001</x:v>
      </x:c>
      <x:c r="G914" t="n">
        <x:v>183</x:v>
      </x:c>
      <x:c r="H914" t="str">
        <x:v>CQ-A13</x:v>
      </x:c>
      <x:c r="I914" s="36" t="str">
        <x:v>Bestandsfrage: exakter Wortlaut in diesem Arbeitsschritt nicht rekonstruiert.</x:v>
      </x:c>
      <x:c r="J914" s="36"/>
      <x:c r="K914" s="36"/>
      <x:c r="L914" s="36" t="str">
        <x:v>MASTER_STATUS_VERIFIZIERT</x:v>
      </x:c>
      <x:c r="M914" s="36" t="str">
        <x:v>ERSETZEN</x:v>
      </x:c>
      <x:c r="N914" s="36" t="str">
        <x:v>REPETITIVE_FRAGEFORM</x:v>
      </x:c>
      <x:c r="O914" s="36" t="str">
        <x:v>REINE_WIEDERERKENNUNG</x:v>
      </x:c>
      <x:c r="P914" s="36" t="str">
        <x:v>ENTWICKLUNG</x:v>
      </x:c>
      <x:c r="Q914" s="36" t="str">
        <x:v>Was war bemerkenswert daran, wie die Thessalonicher das Wort aufgenommen hatten?</x:v>
      </x:c>
      <x:c r="R914" s="36" t="str">
        <x:v>Sie nahmen es trotz großer Bedrängnis mit Freude im Heiligen Geist auf und wurden zum Vorbild für andere.</x:v>
      </x:c>
      <x:c r="S914" s="36" t="str">
        <x:v>Sie warteten damit, bis jede Verfolgung aufgehört hatte.</x:v>
      </x:c>
      <x:c r="T914" s="36" t="str">
        <x:v>Sie hielten ihren Glauben vollständig geheim.</x:v>
      </x:c>
      <x:c r="U914" s="36" t="str">
        <x:v>Sie lehnten jedes Vorbild anderer Christen ab.</x:v>
      </x:c>
      <x:c r="V914" s="36" t="n">
        <x:v>0</x:v>
      </x:c>
      <x:c r="W914" s="36" t="str">
        <x:v>Sie nahmen es trotz großer Bedrängnis mit Freude im Heiligen Geist auf und wurden zum Vorbild für andere.</x:v>
      </x:c>
      <x:c r="X914" s="36" t="str">
        <x:v>1. Thessalonicher 1,6–8</x:v>
      </x:c>
      <x:c r="Y914" s="36" t="str">
        <x:v>Bedrängnis und Freude stehen im Text nebeneinander. Gerade darin wurde ihr Glaube sichtbar und für andere Gemeinden beispielhaft.</x:v>
      </x:c>
      <x:c r="Z914" s="36" t="str">
        <x:v>JA</x:v>
      </x:c>
      <x:c r="AA914" s="36" t="str">
        <x:v>JA</x:v>
      </x:c>
      <x:c r="AB914" s="36" t="str">
        <x:v>JA</x:v>
      </x:c>
      <x:c r="AC914" s="36" t="str">
        <x:v>JA</x:v>
      </x:c>
      <x:c r="AD914" s="36" t="str">
        <x:v>JA</x:v>
      </x:c>
      <x:c r="AE914" s="36" t="str">
        <x:v>JA</x:v>
      </x:c>
      <x:c r="AF914" s="36" t="str">
        <x:v>JA</x:v>
      </x:c>
      <x:c r="AG914" s="36" t="str">
        <x:v>FREIGEGEBEN</x:v>
      </x:c>
      <x:c r="AH914" s="36" t="str">
        <x:v>FREIGEGEBEN</x:v>
      </x:c>
      <x:c r="AI914" s="36" t="str">
        <x:v>FREIGEGEBEN</x:v>
      </x:c>
      <x:c r="AJ914" s="36" t="str">
        <x:v>FaithPath repo develop/v4 · data/bibles/l1912/1TH.json · data/bibles/otb/1TH.json</x:v>
      </x:c>
      <x:c r="AK914" s="36" t="str">
        <x:v>JA</x:v>
      </x:c>
      <x:c r="AL914" t="str">
        <x:v>JA</x:v>
      </x:c>
    </x:row>
    <x:row r="915">
      <x:c r="A915" t="str">
        <x:v>FP-1174</x:v>
      </x:c>
      <x:c r="B915" t="str">
        <x:v>1TH</x:v>
      </x:c>
      <x:c r="C915" t="str">
        <x:v>1. Thessalonicher</x:v>
      </x:c>
      <x:c r="D915" t="n">
        <x:v>1</x:v>
      </x:c>
      <x:c r="E915" t="n">
        <x:v>4</x:v>
      </x:c>
      <x:c r="F915" t="str">
        <x:v>1TH-001</x:v>
      </x:c>
      <x:c r="G915" t="n">
        <x:v>183</x:v>
      </x:c>
      <x:c r="H915" t="str">
        <x:v>CQ-A13</x:v>
      </x:c>
      <x:c r="I915" s="36" t="str">
        <x:v>Bestandsfrage: exakter Wortlaut in diesem Arbeitsschritt nicht rekonstruiert.</x:v>
      </x:c>
      <x:c r="J915" s="36"/>
      <x:c r="K915" s="36"/>
      <x:c r="L915" s="36" t="str">
        <x:v>MASTER_STATUS_VERIFIZIERT</x:v>
      </x:c>
      <x:c r="M915" s="36" t="str">
        <x:v>ERSETZEN</x:v>
      </x:c>
      <x:c r="N915" s="36" t="str">
        <x:v>REPETITIVE_FRAGEFORM</x:v>
      </x:c>
      <x:c r="O915" s="36" t="str">
        <x:v>REINE_WIEDERERKENNUNG</x:v>
      </x:c>
      <x:c r="P915" s="36" t="str">
        <x:v>UMKEHR</x:v>
      </x:c>
      <x:c r="Q915" s="36" t="str">
        <x:v>Wie beschreibt das Kapitel die Bekehrung der Thessalonicher?</x:v>
      </x:c>
      <x:c r="R915" s="36" t="str">
        <x:v>Sie wechselten lediglich von einer Stadtgemeinde in eine andere.</x:v>
      </x:c>
      <x:c r="S915" s="36" t="str">
        <x:v>Sie übernahmen zusätzliche religiöse Feste.</x:v>
      </x:c>
      <x:c r="T915" s="36" t="str">
        <x:v>Sie wandten sich von den Götzen zu Gott, um dem lebendigen und wahren Gott zu dienen.</x:v>
      </x:c>
      <x:c r="U915" s="36" t="str">
        <x:v>Sie verzichteten auf jede Beziehung zur übrigen Gesellschaft.</x:v>
      </x:c>
      <x:c r="V915" s="36" t="n">
        <x:v>2</x:v>
      </x:c>
      <x:c r="W915" s="36" t="str">
        <x:v>Sie wandten sich von den Götzen zu Gott, um dem lebendigen und wahren Gott zu dienen.</x:v>
      </x:c>
      <x:c r="X915" s="36" t="str">
        <x:v>1. Thessalonicher 1,9</x:v>
      </x:c>
      <x:c r="Y915" s="36" t="str">
        <x:v>Die Umkehr wird als klare Neuorientierung beschrieben: weg von Götzen und hin zum Dienst für den lebendigen und wahren Gott.</x:v>
      </x:c>
      <x:c r="Z915" s="36" t="str">
        <x:v>JA</x:v>
      </x:c>
      <x:c r="AA915" s="36" t="str">
        <x:v>JA</x:v>
      </x:c>
      <x:c r="AB915" s="36" t="str">
        <x:v>JA</x:v>
      </x:c>
      <x:c r="AC915" s="36" t="str">
        <x:v>JA</x:v>
      </x:c>
      <x:c r="AD915" s="36" t="str">
        <x:v>JA</x:v>
      </x:c>
      <x:c r="AE915" s="36" t="str">
        <x:v>JA</x:v>
      </x:c>
      <x:c r="AF915" s="36" t="str">
        <x:v>JA</x:v>
      </x:c>
      <x:c r="AG915" s="36" t="str">
        <x:v>FREIGEGEBEN</x:v>
      </x:c>
      <x:c r="AH915" s="36" t="str">
        <x:v>FREIGEGEBEN</x:v>
      </x:c>
      <x:c r="AI915" s="36" t="str">
        <x:v>FREIGEGEBEN</x:v>
      </x:c>
      <x:c r="AJ915" s="36" t="str">
        <x:v>FaithPath repo develop/v4 · data/bibles/l1912/1TH.json · data/bibles/otb/1TH.json</x:v>
      </x:c>
      <x:c r="AK915" s="36" t="str">
        <x:v>JA</x:v>
      </x:c>
      <x:c r="AL915" t="str">
        <x:v>JA</x:v>
      </x:c>
    </x:row>
    <x:row r="916">
      <x:c r="A916" t="str">
        <x:v>FP-1175</x:v>
      </x:c>
      <x:c r="B916" t="str">
        <x:v>1TH</x:v>
      </x:c>
      <x:c r="C916" t="str">
        <x:v>1. Thessalonicher</x:v>
      </x:c>
      <x:c r="D916" t="n">
        <x:v>1</x:v>
      </x:c>
      <x:c r="E916" t="n">
        <x:v>5</x:v>
      </x:c>
      <x:c r="F916" t="str">
        <x:v>1TH-001</x:v>
      </x:c>
      <x:c r="G916" t="n">
        <x:v>183</x:v>
      </x:c>
      <x:c r="H916" t="str">
        <x:v>CQ-A13</x:v>
      </x:c>
      <x:c r="I916" s="36" t="str">
        <x:v>Bestandsfrage: exakter Wortlaut in diesem Arbeitsschritt nicht rekonstruiert.</x:v>
      </x:c>
      <x:c r="J916" s="36"/>
      <x:c r="K916" s="36"/>
      <x:c r="L916" s="36" t="str">
        <x:v>MASTER_STATUS_VERIFIZIERT</x:v>
      </x:c>
      <x:c r="M916" s="36" t="str">
        <x:v>ERSETZEN</x:v>
      </x:c>
      <x:c r="N916" s="36" t="str">
        <x:v>REPETITIVE_FRAGEFORM</x:v>
      </x:c>
      <x:c r="O916" s="36" t="str">
        <x:v>REINE_WIEDERERKENNUNG</x:v>
      </x:c>
      <x:c r="P916" s="36" t="str">
        <x:v>HOFFNUNG</x:v>
      </x:c>
      <x:c r="Q916" s="36" t="str">
        <x:v>Welche Zukunftshoffnung gehört nach 1. Thessalonicher 1 zum neuen Leben der Gemeinde?</x:v>
      </x:c>
      <x:c r="R916" s="36" t="str">
        <x:v>Auf die Wiederherstellung des römischen Reiches zu warten.</x:v>
      </x:c>
      <x:c r="S916" s="36" t="str">
        <x:v>Auf Gottes Sohn vom Himmel zu warten, den Gott von den Toten auferweckt hat.</x:v>
      </x:c>
      <x:c r="T916" s="36" t="str">
        <x:v>Darauf zu hoffen, nie wieder Schwierigkeiten zu erleben.</x:v>
      </x:c>
      <x:c r="U916" s="36" t="str">
        <x:v>Die Zukunft grundsätzlich nicht zu beachten.</x:v>
      </x:c>
      <x:c r="V916" s="36" t="n">
        <x:v>1</x:v>
      </x:c>
      <x:c r="W916" s="36" t="str">
        <x:v>Auf Gottes Sohn vom Himmel zu warten, den Gott von den Toten auferweckt hat.</x:v>
      </x:c>
      <x:c r="X916" s="36" t="str">
        <x:v>1. Thessalonicher 1,10</x:v>
      </x:c>
      <x:c r="Y916" s="36" t="str">
        <x:v>Zum Glauben gehört hier eine konkrete Hoffnung: Die Gemeinde erwartet Jesus, den von Gott auferweckten Sohn, der vom kommenden Zorn rettet.</x:v>
      </x:c>
      <x:c r="Z916" s="36" t="str">
        <x:v>JA</x:v>
      </x:c>
      <x:c r="AA916" s="36" t="str">
        <x:v>JA</x:v>
      </x:c>
      <x:c r="AB916" s="36" t="str">
        <x:v>JA</x:v>
      </x:c>
      <x:c r="AC916" s="36" t="str">
        <x:v>JA</x:v>
      </x:c>
      <x:c r="AD916" s="36" t="str">
        <x:v>JA</x:v>
      </x:c>
      <x:c r="AE916" s="36" t="str">
        <x:v>JA</x:v>
      </x:c>
      <x:c r="AF916" s="36" t="str">
        <x:v>JA</x:v>
      </x:c>
      <x:c r="AG916" s="36" t="str">
        <x:v>FREIGEGEBEN</x:v>
      </x:c>
      <x:c r="AH916" s="36" t="str">
        <x:v>FREIGEGEBEN</x:v>
      </x:c>
      <x:c r="AI916" s="36" t="str">
        <x:v>FREIGEGEBEN</x:v>
      </x:c>
      <x:c r="AJ916" s="36" t="str">
        <x:v>FaithPath repo develop/v4 · data/bibles/l1912/1TH.json · data/bibles/otb/1TH.json</x:v>
      </x:c>
      <x:c r="AK916" s="36" t="str">
        <x:v>JA</x:v>
      </x:c>
      <x:c r="AL916" t="str">
        <x:v>JA</x:v>
      </x:c>
    </x:row>
    <x:row r="917">
      <x:c r="A917" t="str">
        <x:v>FP-1176</x:v>
      </x:c>
      <x:c r="B917" t="str">
        <x:v>1TH</x:v>
      </x:c>
      <x:c r="C917" t="str">
        <x:v>1. Thessalonicher</x:v>
      </x:c>
      <x:c r="D917" t="n">
        <x:v>2</x:v>
      </x:c>
      <x:c r="E917" t="n">
        <x:v>1</x:v>
      </x:c>
      <x:c r="F917" t="str">
        <x:v>1TH-002</x:v>
      </x:c>
      <x:c r="G917" t="n">
        <x:v>184</x:v>
      </x:c>
      <x:c r="H917" t="str">
        <x:v>CQ-A13</x:v>
      </x:c>
      <x:c r="I917" s="36" t="str">
        <x:v>Bestandsfrage: exakter Wortlaut in diesem Arbeitsschritt nicht rekonstruiert.</x:v>
      </x:c>
      <x:c r="J917" s="36"/>
      <x:c r="K917" s="36"/>
      <x:c r="L917" s="36" t="str">
        <x:v>MASTER_STATUS_VERIFIZIERT</x:v>
      </x:c>
      <x:c r="M917" s="36" t="str">
        <x:v>ERSETZEN</x:v>
      </x:c>
      <x:c r="N917" s="36" t="str">
        <x:v>REPETITIVE_FRAGEFORM</x:v>
      </x:c>
      <x:c r="O917" s="36" t="str">
        <x:v>REINE_WIEDERERKENNUNG</x:v>
      </x:c>
      <x:c r="P917" s="36" t="str">
        <x:v>MOTIVATION</x:v>
      </x:c>
      <x:c r="Q917" s="36" t="str">
        <x:v>Wem wollte Paulus mit seiner Verkündigung in erster Linie gefallen?</x:v>
      </x:c>
      <x:c r="R917" s="36" t="str">
        <x:v>Den einflussreichsten Menschen in Thessalonich.</x:v>
      </x:c>
      <x:c r="S917" s="36" t="str">
        <x:v>Der größtmöglichen Zahl an Zuhörern.</x:v>
      </x:c>
      <x:c r="T917" s="36" t="str">
        <x:v>Gott, der die Herzen prüft.</x:v>
      </x:c>
      <x:c r="U917" s="36" t="str">
        <x:v>Nur seinen eigenen Mitarbeitern.</x:v>
      </x:c>
      <x:c r="V917" s="36" t="n">
        <x:v>2</x:v>
      </x:c>
      <x:c r="W917" s="36" t="str">
        <x:v>Gott, der die Herzen prüft.</x:v>
      </x:c>
      <x:c r="X917" s="36" t="str">
        <x:v>1. Thessalonicher 2,3–6</x:v>
      </x:c>
      <x:c r="Y917" s="36" t="str">
        <x:v>Paulus grenzt seine Motivation von Täuschung, Schmeichelei, Habgier und menschlicher Ehre ab. Maßstab ist Gott, der das Herz prüft.</x:v>
      </x:c>
      <x:c r="Z917" s="36" t="str">
        <x:v>JA</x:v>
      </x:c>
      <x:c r="AA917" s="36" t="str">
        <x:v>JA</x:v>
      </x:c>
      <x:c r="AB917" s="36" t="str">
        <x:v>JA</x:v>
      </x:c>
      <x:c r="AC917" s="36" t="str">
        <x:v>JA</x:v>
      </x:c>
      <x:c r="AD917" s="36" t="str">
        <x:v>JA</x:v>
      </x:c>
      <x:c r="AE917" s="36" t="str">
        <x:v>JA</x:v>
      </x:c>
      <x:c r="AF917" s="36" t="str">
        <x:v>JA</x:v>
      </x:c>
      <x:c r="AG917" s="36" t="str">
        <x:v>FREIGEGEBEN</x:v>
      </x:c>
      <x:c r="AH917" s="36" t="str">
        <x:v>FREIGEGEBEN</x:v>
      </x:c>
      <x:c r="AI917" s="36" t="str">
        <x:v>FREIGEGEBEN</x:v>
      </x:c>
      <x:c r="AJ917" s="36" t="str">
        <x:v>FaithPath repo develop/v4 · data/bibles/l1912/1TH.json · data/bibles/otb/1TH.json</x:v>
      </x:c>
      <x:c r="AK917" s="36" t="str">
        <x:v>JA</x:v>
      </x:c>
      <x:c r="AL917" t="str">
        <x:v>JA</x:v>
      </x:c>
    </x:row>
    <x:row r="918">
      <x:c r="A918" t="str">
        <x:v>FP-1177</x:v>
      </x:c>
      <x:c r="B918" t="str">
        <x:v>1TH</x:v>
      </x:c>
      <x:c r="C918" t="str">
        <x:v>1. Thessalonicher</x:v>
      </x:c>
      <x:c r="D918" t="n">
        <x:v>2</x:v>
      </x:c>
      <x:c r="E918" t="n">
        <x:v>2</x:v>
      </x:c>
      <x:c r="F918" t="str">
        <x:v>1TH-002</x:v>
      </x:c>
      <x:c r="G918" t="n">
        <x:v>184</x:v>
      </x:c>
      <x:c r="H918" t="str">
        <x:v>CQ-A13</x:v>
      </x:c>
      <x:c r="I918" s="36" t="str">
        <x:v>Bestandsfrage: exakter Wortlaut in diesem Arbeitsschritt nicht rekonstruiert.</x:v>
      </x:c>
      <x:c r="J918" s="36"/>
      <x:c r="K918" s="36"/>
      <x:c r="L918" s="36" t="str">
        <x:v>MASTER_STATUS_VERIFIZIERT</x:v>
      </x:c>
      <x:c r="M918" s="36" t="str">
        <x:v>ERSETZEN</x:v>
      </x:c>
      <x:c r="N918" s="36" t="str">
        <x:v>REPETITIVE_FRAGEFORM</x:v>
      </x:c>
      <x:c r="O918" s="36" t="str">
        <x:v>REINE_WIEDERERKENNUNG</x:v>
      </x:c>
      <x:c r="P918" s="36" t="str">
        <x:v>BILD</x:v>
      </x:c>
      <x:c r="Q918" s="36" t="str">
        <x:v>Mit welchem Bild beschreibt Paulus seine fürsorgliche Haltung gegenüber der Gemeinde?</x:v>
      </x:c>
      <x:c r="R918" s="36" t="str">
        <x:v>Wie eine stillende Mutter, die liebevoll für ihre Kinder sorgt.</x:v>
      </x:c>
      <x:c r="S918" s="36" t="str">
        <x:v>Wie ein Richter, der vor allem Strafen verteilt.</x:v>
      </x:c>
      <x:c r="T918" s="36" t="str">
        <x:v>Wie ein Händler, der seinen Gewinn maximiert.</x:v>
      </x:c>
      <x:c r="U918" s="36" t="str">
        <x:v>Wie ein Feldherr, der Gehorsam erzwingt.</x:v>
      </x:c>
      <x:c r="V918" s="36" t="n">
        <x:v>0</x:v>
      </x:c>
      <x:c r="W918" s="36" t="str">
        <x:v>Wie eine stillende Mutter, die liebevoll für ihre Kinder sorgt.</x:v>
      </x:c>
      <x:c r="X918" s="36" t="str">
        <x:v>1. Thessalonicher 2,7–8</x:v>
      </x:c>
      <x:c r="Y918" s="36" t="str">
        <x:v>Paulus gebraucht ein sehr nahes Fürsorgebild. Er wollte nicht nur das Evangelium weitergeben, sondern war bereit, sein eigenes Leben mit ihnen zu teilen.</x:v>
      </x:c>
      <x:c r="Z918" s="36" t="str">
        <x:v>JA</x:v>
      </x:c>
      <x:c r="AA918" s="36" t="str">
        <x:v>JA</x:v>
      </x:c>
      <x:c r="AB918" s="36" t="str">
        <x:v>JA</x:v>
      </x:c>
      <x:c r="AC918" s="36" t="str">
        <x:v>JA</x:v>
      </x:c>
      <x:c r="AD918" s="36" t="str">
        <x:v>JA</x:v>
      </x:c>
      <x:c r="AE918" s="36" t="str">
        <x:v>JA</x:v>
      </x:c>
      <x:c r="AF918" s="36" t="str">
        <x:v>JA</x:v>
      </x:c>
      <x:c r="AG918" s="36" t="str">
        <x:v>FREIGEGEBEN</x:v>
      </x:c>
      <x:c r="AH918" s="36" t="str">
        <x:v>FREIGEGEBEN</x:v>
      </x:c>
      <x:c r="AI918" s="36" t="str">
        <x:v>FREIGEGEBEN</x:v>
      </x:c>
      <x:c r="AJ918" s="36" t="str">
        <x:v>FaithPath repo develop/v4 · data/bibles/l1912/1TH.json · data/bibles/otb/1TH.json</x:v>
      </x:c>
      <x:c r="AK918" s="36" t="str">
        <x:v>JA</x:v>
      </x:c>
      <x:c r="AL918" t="str">
        <x:v>JA</x:v>
      </x:c>
    </x:row>
    <x:row r="919">
      <x:c r="A919" t="str">
        <x:v>FP-1178</x:v>
      </x:c>
      <x:c r="B919" t="str">
        <x:v>1TH</x:v>
      </x:c>
      <x:c r="C919" t="str">
        <x:v>1. Thessalonicher</x:v>
      </x:c>
      <x:c r="D919" t="n">
        <x:v>2</x:v>
      </x:c>
      <x:c r="E919" t="n">
        <x:v>3</x:v>
      </x:c>
      <x:c r="F919" t="str">
        <x:v>1TH-002</x:v>
      </x:c>
      <x:c r="G919" t="n">
        <x:v>184</x:v>
      </x:c>
      <x:c r="H919" t="str">
        <x:v>CQ-A13</x:v>
      </x:c>
      <x:c r="I919" s="36" t="str">
        <x:v>Bestandsfrage: exakter Wortlaut in diesem Arbeitsschritt nicht rekonstruiert.</x:v>
      </x:c>
      <x:c r="J919" s="36"/>
      <x:c r="K919" s="36"/>
      <x:c r="L919" s="36" t="str">
        <x:v>MASTER_STATUS_VERIFIZIERT</x:v>
      </x:c>
      <x:c r="M919" s="36" t="str">
        <x:v>ERSETZEN</x:v>
      </x:c>
      <x:c r="N919" s="36" t="str">
        <x:v>REPETITIVE_FRAGEFORM</x:v>
      </x:c>
      <x:c r="O919" s="36" t="str">
        <x:v>REINE_WIEDERERKENNUNG</x:v>
      </x:c>
      <x:c r="P919" s="36" t="str">
        <x:v>VORBILD</x:v>
      </x:c>
      <x:c r="Q919" s="36" t="str">
        <x:v>Warum erinnert Paulus an seine Arbeit bei Tag und Nacht?</x:v>
      </x:c>
      <x:c r="R919" s="36" t="str">
        <x:v>Um zu zeigen, dass körperliche Arbeit wichtiger als das Evangelium ist.</x:v>
      </x:c>
      <x:c r="S919" s="36" t="str">
        <x:v>Weil er nur nachts predigen durfte.</x:v>
      </x:c>
      <x:c r="T919" s="36" t="str">
        <x:v>Um seinen Anspruch auf besondere Ehre zu begründen.</x:v>
      </x:c>
      <x:c r="U919" s="36" t="str">
        <x:v>Weil er niemandem zur Last fallen wollte, während er das Evangelium verkündigte.</x:v>
      </x:c>
      <x:c r="V919" s="36" t="n">
        <x:v>3</x:v>
      </x:c>
      <x:c r="W919" s="36" t="str">
        <x:v>Weil er niemandem zur Last fallen wollte, während er das Evangelium verkündigte.</x:v>
      </x:c>
      <x:c r="X919" s="36" t="str">
        <x:v>1. Thessalonicher 2,9–12</x:v>
      </x:c>
      <x:c r="Y919" s="36" t="str">
        <x:v>Paulus verbindet Verkündigung mit einem glaubwürdigen Lebensstil. Er arbeitete, um die Gemeinde nicht unnötig zu belasten, und ermutigte sie zu einem Gott würdigen Leben.</x:v>
      </x:c>
      <x:c r="Z919" s="36" t="str">
        <x:v>JA</x:v>
      </x:c>
      <x:c r="AA919" s="36" t="str">
        <x:v>JA</x:v>
      </x:c>
      <x:c r="AB919" s="36" t="str">
        <x:v>JA</x:v>
      </x:c>
      <x:c r="AC919" s="36" t="str">
        <x:v>JA</x:v>
      </x:c>
      <x:c r="AD919" s="36" t="str">
        <x:v>JA</x:v>
      </x:c>
      <x:c r="AE919" s="36" t="str">
        <x:v>JA</x:v>
      </x:c>
      <x:c r="AF919" s="36" t="str">
        <x:v>JA</x:v>
      </x:c>
      <x:c r="AG919" s="36" t="str">
        <x:v>FREIGEGEBEN</x:v>
      </x:c>
      <x:c r="AH919" s="36" t="str">
        <x:v>FREIGEGEBEN</x:v>
      </x:c>
      <x:c r="AI919" s="36" t="str">
        <x:v>FREIGEGEBEN</x:v>
      </x:c>
      <x:c r="AJ919" s="36" t="str">
        <x:v>FaithPath repo develop/v4 · data/bibles/l1912/1TH.json · data/bibles/otb/1TH.json</x:v>
      </x:c>
      <x:c r="AK919" s="36" t="str">
        <x:v>JA</x:v>
      </x:c>
      <x:c r="AL919" t="str">
        <x:v>JA</x:v>
      </x:c>
    </x:row>
    <x:row r="920">
      <x:c r="A920" t="str">
        <x:v>FP-1179</x:v>
      </x:c>
      <x:c r="B920" t="str">
        <x:v>1TH</x:v>
      </x:c>
      <x:c r="C920" t="str">
        <x:v>1. Thessalonicher</x:v>
      </x:c>
      <x:c r="D920" t="n">
        <x:v>2</x:v>
      </x:c>
      <x:c r="E920" t="n">
        <x:v>4</x:v>
      </x:c>
      <x:c r="F920" t="str">
        <x:v>1TH-002</x:v>
      </x:c>
      <x:c r="G920" t="n">
        <x:v>184</x:v>
      </x:c>
      <x:c r="H920" t="str">
        <x:v>CQ-A13</x:v>
      </x:c>
      <x:c r="I920" s="36" t="str">
        <x:v>Bestandsfrage: exakter Wortlaut in diesem Arbeitsschritt nicht rekonstruiert.</x:v>
      </x:c>
      <x:c r="J920" s="36"/>
      <x:c r="K920" s="36"/>
      <x:c r="L920" s="36" t="str">
        <x:v>MASTER_STATUS_VERIFIZIERT</x:v>
      </x:c>
      <x:c r="M920" s="36" t="str">
        <x:v>ERSETZEN</x:v>
      </x:c>
      <x:c r="N920" s="36" t="str">
        <x:v>REPETITIVE_FRAGEFORM</x:v>
      </x:c>
      <x:c r="O920" s="36" t="str">
        <x:v>REINE_WIEDERERKENNUNG</x:v>
      </x:c>
      <x:c r="P920" s="36" t="str">
        <x:v>WORT_GOTTES</x:v>
      </x:c>
      <x:c r="Q920" s="36" t="str">
        <x:v>Wie hatten die Thessalonicher die von Paulus verkündigte Botschaft aufgenommen?</x:v>
      </x:c>
      <x:c r="R920" s="36" t="str">
        <x:v>Als interessante, aber unverbindliche Meinung.</x:v>
      </x:c>
      <x:c r="S920" s="36" t="str">
        <x:v>Nicht als Menschenwort, sondern als Gottes Wort, das in den Glaubenden wirkt.</x:v>
      </x:c>
      <x:c r="T920" s="36" t="str">
        <x:v>Nur als Tradition aus Judäa.</x:v>
      </x:c>
      <x:c r="U920" s="36" t="str">
        <x:v>Als politische Botschaft gegen Rom.</x:v>
      </x:c>
      <x:c r="V920" s="36" t="n">
        <x:v>1</x:v>
      </x:c>
      <x:c r="W920" s="36" t="str">
        <x:v>Nicht als Menschenwort, sondern als Gottes Wort, das in den Glaubenden wirkt.</x:v>
      </x:c>
      <x:c r="X920" s="36" t="str">
        <x:v>1. Thessalonicher 2,13</x:v>
      </x:c>
      <x:c r="Y920" s="36" t="str">
        <x:v>Paulus dankt dafür, dass die Gemeinde die Botschaft ihrem Anspruch entsprechend als Gottes Wort annahm. Er betont zugleich, dass dieses Wort in den Glaubenden wirkt.</x:v>
      </x:c>
      <x:c r="Z920" s="36" t="str">
        <x:v>JA</x:v>
      </x:c>
      <x:c r="AA920" s="36" t="str">
        <x:v>JA</x:v>
      </x:c>
      <x:c r="AB920" s="36" t="str">
        <x:v>JA</x:v>
      </x:c>
      <x:c r="AC920" s="36" t="str">
        <x:v>JA</x:v>
      </x:c>
      <x:c r="AD920" s="36" t="str">
        <x:v>JA</x:v>
      </x:c>
      <x:c r="AE920" s="36" t="str">
        <x:v>JA</x:v>
      </x:c>
      <x:c r="AF920" s="36" t="str">
        <x:v>JA</x:v>
      </x:c>
      <x:c r="AG920" s="36" t="str">
        <x:v>FREIGEGEBEN</x:v>
      </x:c>
      <x:c r="AH920" s="36" t="str">
        <x:v>FREIGEGEBEN</x:v>
      </x:c>
      <x:c r="AI920" s="36" t="str">
        <x:v>FREIGEGEBEN</x:v>
      </x:c>
      <x:c r="AJ920" s="36" t="str">
        <x:v>FaithPath repo develop/v4 · data/bibles/l1912/1TH.json · data/bibles/otb/1TH.json</x:v>
      </x:c>
      <x:c r="AK920" s="36" t="str">
        <x:v>JA</x:v>
      </x:c>
      <x:c r="AL920" t="str">
        <x:v>JA</x:v>
      </x:c>
    </x:row>
    <x:row r="921">
      <x:c r="A921" t="str">
        <x:v>FP-1180</x:v>
      </x:c>
      <x:c r="B921" t="str">
        <x:v>1TH</x:v>
      </x:c>
      <x:c r="C921" t="str">
        <x:v>1. Thessalonicher</x:v>
      </x:c>
      <x:c r="D921" t="n">
        <x:v>2</x:v>
      </x:c>
      <x:c r="E921" t="n">
        <x:v>5</x:v>
      </x:c>
      <x:c r="F921" t="str">
        <x:v>1TH-002</x:v>
      </x:c>
      <x:c r="G921" t="n">
        <x:v>184</x:v>
      </x:c>
      <x:c r="H921" t="str">
        <x:v>CQ-A13</x:v>
      </x:c>
      <x:c r="I921" s="36" t="str">
        <x:v>Bestandsfrage: exakter Wortlaut in diesem Arbeitsschritt nicht rekonstruiert.</x:v>
      </x:c>
      <x:c r="J921" s="36"/>
      <x:c r="K921" s="36"/>
      <x:c r="L921" s="36" t="str">
        <x:v>MASTER_STATUS_VERIFIZIERT</x:v>
      </x:c>
      <x:c r="M921" s="36" t="str">
        <x:v>ERSETZEN</x:v>
      </x:c>
      <x:c r="N921" s="36" t="str">
        <x:v>REPETITIVE_FRAGEFORM</x:v>
      </x:c>
      <x:c r="O921" s="36" t="str">
        <x:v>REINE_WIEDERERKENNUNG</x:v>
      </x:c>
      <x:c r="P921" s="36" t="str">
        <x:v>BEZIEHUNG</x:v>
      </x:c>
      <x:c r="Q921" s="36" t="str">
        <x:v>Wie beschreibt Paulus die Thessalonicher im Blick auf die Wiederkunft Jesu?</x:v>
      </x:c>
      <x:c r="R921" s="36" t="str">
        <x:v>Als eine Gemeinde, die ihm gleichgültig geworden ist.</x:v>
      </x:c>
      <x:c r="S921" s="36" t="str">
        <x:v>Als Menschen, die er erst noch kennenlernen möchte.</x:v>
      </x:c>
      <x:c r="T921" s="36" t="str">
        <x:v>Als seine Hoffnung, Freude und Krone des Ruhmes.</x:v>
      </x:c>
      <x:c r="U921" s="36" t="str">
        <x:v>Als Hindernis für seine weitere Arbeit.</x:v>
      </x:c>
      <x:c r="V921" s="36" t="n">
        <x:v>2</x:v>
      </x:c>
      <x:c r="W921" s="36" t="str">
        <x:v>Als seine Hoffnung, Freude und Krone des Ruhmes.</x:v>
      </x:c>
      <x:c r="X921" s="36" t="str">
        <x:v>1. Thessalonicher 2,17–20</x:v>
      </x:c>
      <x:c r="Y921" s="36" t="str">
        <x:v>Die starke Sehnsucht nach einem Wiedersehen mündet in diese persönliche Aussage: Die Gemeinde selbst ist für Paulus Freude und Ruhm vor Christus bei dessen Kommen.</x:v>
      </x:c>
      <x:c r="Z921" s="36" t="str">
        <x:v>JA</x:v>
      </x:c>
      <x:c r="AA921" s="36" t="str">
        <x:v>JA</x:v>
      </x:c>
      <x:c r="AB921" s="36" t="str">
        <x:v>JA</x:v>
      </x:c>
      <x:c r="AC921" s="36" t="str">
        <x:v>JA</x:v>
      </x:c>
      <x:c r="AD921" s="36" t="str">
        <x:v>JA</x:v>
      </x:c>
      <x:c r="AE921" s="36" t="str">
        <x:v>JA</x:v>
      </x:c>
      <x:c r="AF921" s="36" t="str">
        <x:v>JA</x:v>
      </x:c>
      <x:c r="AG921" s="36" t="str">
        <x:v>FREIGEGEBEN</x:v>
      </x:c>
      <x:c r="AH921" s="36" t="str">
        <x:v>FREIGEGEBEN</x:v>
      </x:c>
      <x:c r="AI921" s="36" t="str">
        <x:v>FREIGEGEBEN</x:v>
      </x:c>
      <x:c r="AJ921" s="36" t="str">
        <x:v>FaithPath repo develop/v4 · data/bibles/l1912/1TH.json · data/bibles/otb/1TH.json</x:v>
      </x:c>
      <x:c r="AK921" s="36" t="str">
        <x:v>JA</x:v>
      </x:c>
      <x:c r="AL921" t="str">
        <x:v>JA</x:v>
      </x:c>
    </x:row>
    <x:row r="922">
      <x:c r="A922" t="str">
        <x:v>FP-1181</x:v>
      </x:c>
      <x:c r="B922" t="str">
        <x:v>1TH</x:v>
      </x:c>
      <x:c r="C922" t="str">
        <x:v>1. Thessalonicher</x:v>
      </x:c>
      <x:c r="D922" t="n">
        <x:v>3</x:v>
      </x:c>
      <x:c r="E922" t="n">
        <x:v>1</x:v>
      </x:c>
      <x:c r="F922" t="str">
        <x:v>1TH-003</x:v>
      </x:c>
      <x:c r="G922" t="n">
        <x:v>185</x:v>
      </x:c>
      <x:c r="H922" t="str">
        <x:v>CQ-A13</x:v>
      </x:c>
      <x:c r="I922" s="36" t="str">
        <x:v>Bestandsfrage: exakter Wortlaut in diesem Arbeitsschritt nicht rekonstruiert.</x:v>
      </x:c>
      <x:c r="J922" s="36"/>
      <x:c r="K922" s="36"/>
      <x:c r="L922" s="36" t="str">
        <x:v>MASTER_STATUS_VERIFIZIERT</x:v>
      </x:c>
      <x:c r="M922" s="36" t="str">
        <x:v>ERSETZEN</x:v>
      </x:c>
      <x:c r="N922" s="36" t="str">
        <x:v>REPETITIVE_FRAGEFORM</x:v>
      </x:c>
      <x:c r="O922" s="36" t="str">
        <x:v>REINE_WIEDERERKENNUNG</x:v>
      </x:c>
      <x:c r="P922" s="36" t="str">
        <x:v>AUFTRAG</x:v>
      </x:c>
      <x:c r="Q922" s="36" t="str">
        <x:v>Warum sandten Paulus und seine Mitarbeiter Timotheus nach Thessalonich?</x:v>
      </x:c>
      <x:c r="R922" s="36" t="str">
        <x:v>Um die Gemeinde im Glauben zu stärken und zu ermutigen, damit sie durch Bedrängnisse nicht ins Wanken gerät.</x:v>
      </x:c>
      <x:c r="S922" s="36" t="str">
        <x:v>Um die Gemeinde aufzulösen.</x:v>
      </x:c>
      <x:c r="T922" s="36" t="str">
        <x:v>Um Geld für Paulus einzusammeln.</x:v>
      </x:c>
      <x:c r="U922" s="36" t="str">
        <x:v>Um neue politische Leiter einzusetzen.</x:v>
      </x:c>
      <x:c r="V922" s="36" t="n">
        <x:v>0</x:v>
      </x:c>
      <x:c r="W922" s="36" t="str">
        <x:v>Um die Gemeinde im Glauben zu stärken und zu ermutigen, damit sie durch Bedrängnisse nicht ins Wanken gerät.</x:v>
      </x:c>
      <x:c r="X922" s="36" t="str">
        <x:v>1. Thessalonicher 3,1–4</x:v>
      </x:c>
      <x:c r="Y922" s="36" t="str">
        <x:v>Timotheus wurde nicht als Kontrolleur geschickt, sondern zur Stärkung und Ermutigung. Die Gemeinde sollte in vorher angekündigten Bedrängnissen festbleiben.</x:v>
      </x:c>
      <x:c r="Z922" s="36" t="str">
        <x:v>JA</x:v>
      </x:c>
      <x:c r="AA922" s="36" t="str">
        <x:v>JA</x:v>
      </x:c>
      <x:c r="AB922" s="36" t="str">
        <x:v>JA</x:v>
      </x:c>
      <x:c r="AC922" s="36" t="str">
        <x:v>JA</x:v>
      </x:c>
      <x:c r="AD922" s="36" t="str">
        <x:v>JA</x:v>
      </x:c>
      <x:c r="AE922" s="36" t="str">
        <x:v>JA</x:v>
      </x:c>
      <x:c r="AF922" s="36" t="str">
        <x:v>JA</x:v>
      </x:c>
      <x:c r="AG922" s="36" t="str">
        <x:v>FREIGEGEBEN</x:v>
      </x:c>
      <x:c r="AH922" s="36" t="str">
        <x:v>FREIGEGEBEN</x:v>
      </x:c>
      <x:c r="AI922" s="36" t="str">
        <x:v>FREIGEGEBEN</x:v>
      </x:c>
      <x:c r="AJ922" s="36" t="str">
        <x:v>FaithPath repo develop/v4 · data/bibles/l1912/1TH.json · data/bibles/otb/1TH.json</x:v>
      </x:c>
      <x:c r="AK922" s="36" t="str">
        <x:v>JA</x:v>
      </x:c>
      <x:c r="AL922" t="str">
        <x:v>JA</x:v>
      </x:c>
    </x:row>
    <x:row r="923">
      <x:c r="A923" t="str">
        <x:v>FP-1182</x:v>
      </x:c>
      <x:c r="B923" t="str">
        <x:v>1TH</x:v>
      </x:c>
      <x:c r="C923" t="str">
        <x:v>1. Thessalonicher</x:v>
      </x:c>
      <x:c r="D923" t="n">
        <x:v>3</x:v>
      </x:c>
      <x:c r="E923" t="n">
        <x:v>2</x:v>
      </x:c>
      <x:c r="F923" t="str">
        <x:v>1TH-003</x:v>
      </x:c>
      <x:c r="G923" t="n">
        <x:v>185</x:v>
      </x:c>
      <x:c r="H923" t="str">
        <x:v>CQ-A13</x:v>
      </x:c>
      <x:c r="I923" s="36" t="str">
        <x:v>Bestandsfrage: exakter Wortlaut in diesem Arbeitsschritt nicht rekonstruiert.</x:v>
      </x:c>
      <x:c r="J923" s="36"/>
      <x:c r="K923" s="36"/>
      <x:c r="L923" s="36" t="str">
        <x:v>MASTER_STATUS_VERIFIZIERT</x:v>
      </x:c>
      <x:c r="M923" s="36" t="str">
        <x:v>ERSETZEN</x:v>
      </x:c>
      <x:c r="N923" s="36" t="str">
        <x:v>REPETITIVE_FRAGEFORM</x:v>
      </x:c>
      <x:c r="O923" s="36" t="str">
        <x:v>REINE_WIEDERERKENNUNG</x:v>
      </x:c>
      <x:c r="P923" s="36" t="str">
        <x:v>SORGE</x:v>
      </x:c>
      <x:c r="Q923" s="36" t="str">
        <x:v>Was befürchtete Paulus, als er Timotheus nach dem Glauben der Gemeinde sehen ließ?</x:v>
      </x:c>
      <x:c r="R923" s="36" t="str">
        <x:v>Dass die Gemeinde zu viele neue Mitglieder aufgenommen hatte.</x:v>
      </x:c>
      <x:c r="S923" s="36" t="str">
        <x:v>Dass Paulus selbst seinen Glauben verlieren würde.</x:v>
      </x:c>
      <x:c r="T923" s="36" t="str">
        <x:v>Dass der Versucher sie zu Fall gebracht und die bisherige Arbeit vergeblich gemacht haben könnte.</x:v>
      </x:c>
      <x:c r="U923" s="36" t="str">
        <x:v>Dass Timotheus nicht nach Athen zurückkehren würde.</x:v>
      </x:c>
      <x:c r="V923" s="36" t="n">
        <x:v>2</x:v>
      </x:c>
      <x:c r="W923" s="36" t="str">
        <x:v>Dass der Versucher sie zu Fall gebracht und die bisherige Arbeit vergeblich gemacht haben könnte.</x:v>
      </x:c>
      <x:c r="X923" s="36" t="str">
        <x:v>1. Thessalonicher 3,5</x:v>
      </x:c>
      <x:c r="Y923" s="36" t="str">
        <x:v>Paulus' Sorge gilt der geistlichen Standfestigkeit der Gemeinde. Bedrängnis könnte zur Versuchung werden, weshalb er Gewissheit über ihren Glauben suchte.</x:v>
      </x:c>
      <x:c r="Z923" s="36" t="str">
        <x:v>JA</x:v>
      </x:c>
      <x:c r="AA923" s="36" t="str">
        <x:v>JA</x:v>
      </x:c>
      <x:c r="AB923" s="36" t="str">
        <x:v>JA</x:v>
      </x:c>
      <x:c r="AC923" s="36" t="str">
        <x:v>JA</x:v>
      </x:c>
      <x:c r="AD923" s="36" t="str">
        <x:v>JA</x:v>
      </x:c>
      <x:c r="AE923" s="36" t="str">
        <x:v>JA</x:v>
      </x:c>
      <x:c r="AF923" s="36" t="str">
        <x:v>JA</x:v>
      </x:c>
      <x:c r="AG923" s="36" t="str">
        <x:v>FREIGEGEBEN</x:v>
      </x:c>
      <x:c r="AH923" s="36" t="str">
        <x:v>FREIGEGEBEN</x:v>
      </x:c>
      <x:c r="AI923" s="36" t="str">
        <x:v>FREIGEGEBEN</x:v>
      </x:c>
      <x:c r="AJ923" s="36" t="str">
        <x:v>FaithPath repo develop/v4 · data/bibles/l1912/1TH.json · data/bibles/otb/1TH.json</x:v>
      </x:c>
      <x:c r="AK923" s="36" t="str">
        <x:v>JA</x:v>
      </x:c>
      <x:c r="AL923" t="str">
        <x:v>JA</x:v>
      </x:c>
    </x:row>
    <x:row r="924">
      <x:c r="A924" t="str">
        <x:v>FP-1183</x:v>
      </x:c>
      <x:c r="B924" t="str">
        <x:v>1TH</x:v>
      </x:c>
      <x:c r="C924" t="str">
        <x:v>1. Thessalonicher</x:v>
      </x:c>
      <x:c r="D924" t="n">
        <x:v>3</x:v>
      </x:c>
      <x:c r="E924" t="n">
        <x:v>3</x:v>
      </x:c>
      <x:c r="F924" t="str">
        <x:v>1TH-003</x:v>
      </x:c>
      <x:c r="G924" t="n">
        <x:v>185</x:v>
      </x:c>
      <x:c r="H924" t="str">
        <x:v>CQ-A13</x:v>
      </x:c>
      <x:c r="I924" s="36" t="str">
        <x:v>Bestandsfrage: exakter Wortlaut in diesem Arbeitsschritt nicht rekonstruiert.</x:v>
      </x:c>
      <x:c r="J924" s="36"/>
      <x:c r="K924" s="36"/>
      <x:c r="L924" s="36" t="str">
        <x:v>MASTER_STATUS_VERIFIZIERT</x:v>
      </x:c>
      <x:c r="M924" s="36" t="str">
        <x:v>ERSETZEN</x:v>
      </x:c>
      <x:c r="N924" s="36" t="str">
        <x:v>REPETITIVE_FRAGEFORM</x:v>
      </x:c>
      <x:c r="O924" s="36" t="str">
        <x:v>REINE_WIEDERERKENNUNG</x:v>
      </x:c>
      <x:c r="P924" s="36" t="str">
        <x:v>BERICHT</x:v>
      </x:c>
      <x:c r="Q924" s="36" t="str">
        <x:v>Welche Nachricht brachte Timotheus zurück?</x:v>
      </x:c>
      <x:c r="R924" s="36" t="str">
        <x:v>Dass die Gemeinde Paulus vergessen hatte.</x:v>
      </x:c>
      <x:c r="S924" s="36" t="str">
        <x:v>Gute Nachricht über ihren Glauben und ihre Liebe sowie ihre Sehnsucht nach einem Wiedersehen.</x:v>
      </x:c>
      <x:c r="T924" s="36" t="str">
        <x:v>Dass sie beschlossen hatte, Thessalonich zu verlassen.</x:v>
      </x:c>
      <x:c r="U924" s="36" t="str">
        <x:v>Dass sie das Evangelium nicht mehr hören wollte.</x:v>
      </x:c>
      <x:c r="V924" s="36" t="n">
        <x:v>1</x:v>
      </x:c>
      <x:c r="W924" s="36" t="str">
        <x:v>Gute Nachricht über ihren Glauben und ihre Liebe sowie ihre Sehnsucht nach einem Wiedersehen.</x:v>
      </x:c>
      <x:c r="X924" s="36" t="str">
        <x:v>1. Thessalonicher 3,6–8</x:v>
      </x:c>
      <x:c r="Y924" s="36" t="str">
        <x:v>Timotheus' Bericht tröstet Paulus mitten in eigener Not. Besonders wichtig ist ihm, dass die Thessalonicher fest im Herrn stehen.</x:v>
      </x:c>
      <x:c r="Z924" s="36" t="str">
        <x:v>JA</x:v>
      </x:c>
      <x:c r="AA924" s="36" t="str">
        <x:v>JA</x:v>
      </x:c>
      <x:c r="AB924" s="36" t="str">
        <x:v>JA</x:v>
      </x:c>
      <x:c r="AC924" s="36" t="str">
        <x:v>JA</x:v>
      </x:c>
      <x:c r="AD924" s="36" t="str">
        <x:v>JA</x:v>
      </x:c>
      <x:c r="AE924" s="36" t="str">
        <x:v>JA</x:v>
      </x:c>
      <x:c r="AF924" s="36" t="str">
        <x:v>JA</x:v>
      </x:c>
      <x:c r="AG924" s="36" t="str">
        <x:v>FREIGEGEBEN</x:v>
      </x:c>
      <x:c r="AH924" s="36" t="str">
        <x:v>FREIGEGEBEN</x:v>
      </x:c>
      <x:c r="AI924" s="36" t="str">
        <x:v>FREIGEGEBEN</x:v>
      </x:c>
      <x:c r="AJ924" s="36" t="str">
        <x:v>FaithPath repo develop/v4 · data/bibles/l1912/1TH.json · data/bibles/otb/1TH.json</x:v>
      </x:c>
      <x:c r="AK924" s="36" t="str">
        <x:v>JA</x:v>
      </x:c>
      <x:c r="AL924" t="str">
        <x:v>JA</x:v>
      </x:c>
    </x:row>
    <x:row r="925">
      <x:c r="A925" t="str">
        <x:v>FP-1184</x:v>
      </x:c>
      <x:c r="B925" t="str">
        <x:v>1TH</x:v>
      </x:c>
      <x:c r="C925" t="str">
        <x:v>1. Thessalonicher</x:v>
      </x:c>
      <x:c r="D925" t="n">
        <x:v>3</x:v>
      </x:c>
      <x:c r="E925" t="n">
        <x:v>4</x:v>
      </x:c>
      <x:c r="F925" t="str">
        <x:v>1TH-003</x:v>
      </x:c>
      <x:c r="G925" t="n">
        <x:v>185</x:v>
      </x:c>
      <x:c r="H925" t="str">
        <x:v>CQ-A13</x:v>
      </x:c>
      <x:c r="I925" s="36" t="str">
        <x:v>Bestandsfrage: exakter Wortlaut in diesem Arbeitsschritt nicht rekonstruiert.</x:v>
      </x:c>
      <x:c r="J925" s="36"/>
      <x:c r="K925" s="36"/>
      <x:c r="L925" s="36" t="str">
        <x:v>MASTER_STATUS_VERIFIZIERT</x:v>
      </x:c>
      <x:c r="M925" s="36" t="str">
        <x:v>ERSETZEN</x:v>
      </x:c>
      <x:c r="N925" s="36" t="str">
        <x:v>REPETITIVE_FRAGEFORM</x:v>
      </x:c>
      <x:c r="O925" s="36" t="str">
        <x:v>REINE_WIEDERERKENNUNG</x:v>
      </x:c>
      <x:c r="P925" s="36" t="str">
        <x:v>GEBET</x:v>
      </x:c>
      <x:c r="Q925" s="36" t="str">
        <x:v>Wofür betet Paulus Tag und Nacht im Blick auf ein mögliches Wiedersehen?</x:v>
      </x:c>
      <x:c r="R925" s="36" t="str">
        <x:v>Dass er ihnen neue politische Kontakte vermitteln kann.</x:v>
      </x:c>
      <x:c r="S925" s="36" t="str">
        <x:v>Dass alle Schwierigkeiten sofort verschwinden.</x:v>
      </x:c>
      <x:c r="T925" s="36" t="str">
        <x:v>Dass er nur einen kurzen Brief statt eines Besuchs senden muss.</x:v>
      </x:c>
      <x:c r="U925" s="36" t="str">
        <x:v>Dass er sie persönlich sehen und ergänzen kann, was ihrem Glauben noch fehlt.</x:v>
      </x:c>
      <x:c r="V925" s="36" t="n">
        <x:v>3</x:v>
      </x:c>
      <x:c r="W925" s="36" t="str">
        <x:v>Dass er sie persönlich sehen und ergänzen kann, was ihrem Glauben noch fehlt.</x:v>
      </x:c>
      <x:c r="X925" s="36" t="str">
        <x:v>1. Thessalonicher 3,9–11</x:v>
      </x:c>
      <x:c r="Y925" s="36" t="str">
        <x:v>Paulus freut sich über ihren Glauben, betrachtet Wachstum aber nicht als abgeschlossen. Er möchte sie wiedersehen und weiter im Glauben stärken.</x:v>
      </x:c>
      <x:c r="Z925" s="36" t="str">
        <x:v>JA</x:v>
      </x:c>
      <x:c r="AA925" s="36" t="str">
        <x:v>JA</x:v>
      </x:c>
      <x:c r="AB925" s="36" t="str">
        <x:v>JA</x:v>
      </x:c>
      <x:c r="AC925" s="36" t="str">
        <x:v>JA</x:v>
      </x:c>
      <x:c r="AD925" s="36" t="str">
        <x:v>JA</x:v>
      </x:c>
      <x:c r="AE925" s="36" t="str">
        <x:v>JA</x:v>
      </x:c>
      <x:c r="AF925" s="36" t="str">
        <x:v>JA</x:v>
      </x:c>
      <x:c r="AG925" s="36" t="str">
        <x:v>FREIGEGEBEN</x:v>
      </x:c>
      <x:c r="AH925" s="36" t="str">
        <x:v>FREIGEGEBEN</x:v>
      </x:c>
      <x:c r="AI925" s="36" t="str">
        <x:v>FREIGEGEBEN</x:v>
      </x:c>
      <x:c r="AJ925" s="36" t="str">
        <x:v>FaithPath repo develop/v4 · data/bibles/l1912/1TH.json · data/bibles/otb/1TH.json</x:v>
      </x:c>
      <x:c r="AK925" s="36" t="str">
        <x:v>JA</x:v>
      </x:c>
      <x:c r="AL925" t="str">
        <x:v>JA</x:v>
      </x:c>
    </x:row>
    <x:row r="926">
      <x:c r="A926" t="str">
        <x:v>FP-1185</x:v>
      </x:c>
      <x:c r="B926" t="str">
        <x:v>1TH</x:v>
      </x:c>
      <x:c r="C926" t="str">
        <x:v>1. Thessalonicher</x:v>
      </x:c>
      <x:c r="D926" t="n">
        <x:v>3</x:v>
      </x:c>
      <x:c r="E926" t="n">
        <x:v>5</x:v>
      </x:c>
      <x:c r="F926" t="str">
        <x:v>1TH-003</x:v>
      </x:c>
      <x:c r="G926" t="n">
        <x:v>185</x:v>
      </x:c>
      <x:c r="H926" t="str">
        <x:v>CQ-A13</x:v>
      </x:c>
      <x:c r="I926" s="36" t="str">
        <x:v>Bestandsfrage: exakter Wortlaut in diesem Arbeitsschritt nicht rekonstruiert.</x:v>
      </x:c>
      <x:c r="J926" s="36"/>
      <x:c r="K926" s="36"/>
      <x:c r="L926" s="36" t="str">
        <x:v>MASTER_STATUS_VERIFIZIERT</x:v>
      </x:c>
      <x:c r="M926" s="36" t="str">
        <x:v>ERSETZEN</x:v>
      </x:c>
      <x:c r="N926" s="36" t="str">
        <x:v>REPETITIVE_FRAGEFORM</x:v>
      </x:c>
      <x:c r="O926" s="36" t="str">
        <x:v>REINE_WIEDERERKENNUNG</x:v>
      </x:c>
      <x:c r="P926" s="36" t="str">
        <x:v>ZIEL</x:v>
      </x:c>
      <x:c r="Q926" s="36" t="str">
        <x:v>Wozu soll der Herr die Liebe der Thessalonicher wachsen lassen?</x:v>
      </x:c>
      <x:c r="R926" s="36" t="str">
        <x:v>Damit ihre Herzen gestärkt und in Heiligkeit vor Gott gefestigt werden bei der Ankunft Jesu.</x:v>
      </x:c>
      <x:c r="S926" s="36" t="str">
        <x:v>Damit sie sich von allen anderen Menschen abgrenzen.</x:v>
      </x:c>
      <x:c r="T926" s="36" t="str">
        <x:v>Damit sie keine weitere geistliche Entwicklung mehr brauchen.</x:v>
      </x:c>
      <x:c r="U926" s="36" t="str">
        <x:v>Damit ihre Gemeinde gesellschaftlich die mächtigste wird.</x:v>
      </x:c>
      <x:c r="V926" s="36" t="n">
        <x:v>0</x:v>
      </x:c>
      <x:c r="W926" s="36" t="str">
        <x:v>Damit ihre Herzen gestärkt und in Heiligkeit vor Gott gefestigt werden bei der Ankunft Jesu.</x:v>
      </x:c>
      <x:c r="X926" s="36" t="str">
        <x:v>1. Thessalonicher 3,12–13</x:v>
      </x:c>
      <x:c r="Y926" s="36" t="str">
        <x:v>Wachsende Liebe zu Glaubenden und zu allen Menschen wird mit innerer Festigkeit und Heiligkeit im Blick auf die Wiederkunft Christi verbunden.</x:v>
      </x:c>
      <x:c r="Z926" s="36" t="str">
        <x:v>JA</x:v>
      </x:c>
      <x:c r="AA926" s="36" t="str">
        <x:v>JA</x:v>
      </x:c>
      <x:c r="AB926" s="36" t="str">
        <x:v>JA</x:v>
      </x:c>
      <x:c r="AC926" s="36" t="str">
        <x:v>JA</x:v>
      </x:c>
      <x:c r="AD926" s="36" t="str">
        <x:v>JA</x:v>
      </x:c>
      <x:c r="AE926" s="36" t="str">
        <x:v>JA</x:v>
      </x:c>
      <x:c r="AF926" s="36" t="str">
        <x:v>JA</x:v>
      </x:c>
      <x:c r="AG926" s="36" t="str">
        <x:v>FREIGEGEBEN</x:v>
      </x:c>
      <x:c r="AH926" s="36" t="str">
        <x:v>FREIGEGEBEN</x:v>
      </x:c>
      <x:c r="AI926" s="36" t="str">
        <x:v>FREIGEGEBEN</x:v>
      </x:c>
      <x:c r="AJ926" s="36" t="str">
        <x:v>FaithPath repo develop/v4 · data/bibles/l1912/1TH.json · data/bibles/otb/1TH.json</x:v>
      </x:c>
      <x:c r="AK926" s="36" t="str">
        <x:v>JA</x:v>
      </x:c>
      <x:c r="AL926" t="str">
        <x:v>JA</x:v>
      </x:c>
    </x:row>
    <x:row r="927">
      <x:c r="A927" t="str">
        <x:v>FP-1186</x:v>
      </x:c>
      <x:c r="B927" t="str">
        <x:v>1TH</x:v>
      </x:c>
      <x:c r="C927" t="str">
        <x:v>1. Thessalonicher</x:v>
      </x:c>
      <x:c r="D927" t="n">
        <x:v>4</x:v>
      </x:c>
      <x:c r="E927" t="n">
        <x:v>1</x:v>
      </x:c>
      <x:c r="F927" t="str">
        <x:v>1TH-004</x:v>
      </x:c>
      <x:c r="G927" t="n">
        <x:v>186</x:v>
      </x:c>
      <x:c r="H927" t="str">
        <x:v>CQ-A13</x:v>
      </x:c>
      <x:c r="I927" s="36" t="str">
        <x:v>Bestandsfrage: exakter Wortlaut in diesem Arbeitsschritt nicht rekonstruiert.</x:v>
      </x:c>
      <x:c r="J927" s="36"/>
      <x:c r="K927" s="36"/>
      <x:c r="L927" s="36" t="str">
        <x:v>MASTER_STATUS_VERIFIZIERT</x:v>
      </x:c>
      <x:c r="M927" s="36" t="str">
        <x:v>ERSETZEN</x:v>
      </x:c>
      <x:c r="N927" s="36" t="str">
        <x:v>REPETITIVE_FRAGEFORM</x:v>
      </x:c>
      <x:c r="O927" s="36" t="str">
        <x:v>REINE_WIEDERERKENNUNG</x:v>
      </x:c>
      <x:c r="P927" s="36" t="str">
        <x:v>HEILIGUNG</x:v>
      </x:c>
      <x:c r="Q927" s="36" t="str">
        <x:v>Was nennt Paulus ausdrücklich als Teil von Gottes Willen für die Glaubenden?</x:v>
      </x:c>
      <x:c r="R927" s="36" t="str">
        <x:v>Möglichst großen materiellen Wohlstand.</x:v>
      </x:c>
      <x:c r="S927" s="36" t="str">
        <x:v>Heiligung und das Meiden sexueller Unmoral.</x:v>
      </x:c>
      <x:c r="T927" s="36" t="str">
        <x:v>Die vollständige Aufgabe jeder Arbeit.</x:v>
      </x:c>
      <x:c r="U927" s="36" t="str">
        <x:v>Die Trennung von allen Menschen außerhalb der Gemeinde.</x:v>
      </x:c>
      <x:c r="V927" s="36" t="n">
        <x:v>1</x:v>
      </x:c>
      <x:c r="W927" s="36" t="str">
        <x:v>Heiligung und das Meiden sexueller Unmoral.</x:v>
      </x:c>
      <x:c r="X927" s="36" t="str">
        <x:v>1. Thessalonicher 4,1–8</x:v>
      </x:c>
      <x:c r="Y927" s="36" t="str">
        <x:v>Der Abschnitt nennt Heiligung ausdrücklich als Gottes Willen. Sie zeigt sich unter anderem in einem verantwortlichen, ehrbaren Umgang mit Sexualität und anderen Menschen.</x:v>
      </x:c>
      <x:c r="Z927" s="36" t="str">
        <x:v>JA</x:v>
      </x:c>
      <x:c r="AA927" s="36" t="str">
        <x:v>JA</x:v>
      </x:c>
      <x:c r="AB927" s="36" t="str">
        <x:v>JA</x:v>
      </x:c>
      <x:c r="AC927" s="36" t="str">
        <x:v>JA</x:v>
      </x:c>
      <x:c r="AD927" s="36" t="str">
        <x:v>JA</x:v>
      </x:c>
      <x:c r="AE927" s="36" t="str">
        <x:v>JA</x:v>
      </x:c>
      <x:c r="AF927" s="36" t="str">
        <x:v>JA</x:v>
      </x:c>
      <x:c r="AG927" s="36" t="str">
        <x:v>FREIGEGEBEN</x:v>
      </x:c>
      <x:c r="AH927" s="36" t="str">
        <x:v>FREIGEGEBEN</x:v>
      </x:c>
      <x:c r="AI927" s="36" t="str">
        <x:v>FREIGEGEBEN</x:v>
      </x:c>
      <x:c r="AJ927" s="36" t="str">
        <x:v>FaithPath repo develop/v4 · data/bibles/l1912/1TH.json · data/bibles/otb/1TH.json</x:v>
      </x:c>
      <x:c r="AK927" s="36" t="str">
        <x:v>JA</x:v>
      </x:c>
      <x:c r="AL927" t="str">
        <x:v>JA</x:v>
      </x:c>
    </x:row>
    <x:row r="928">
      <x:c r="A928" t="str">
        <x:v>FP-1187</x:v>
      </x:c>
      <x:c r="B928" t="str">
        <x:v>1TH</x:v>
      </x:c>
      <x:c r="C928" t="str">
        <x:v>1. Thessalonicher</x:v>
      </x:c>
      <x:c r="D928" t="n">
        <x:v>4</x:v>
      </x:c>
      <x:c r="E928" t="n">
        <x:v>2</x:v>
      </x:c>
      <x:c r="F928" t="str">
        <x:v>1TH-004</x:v>
      </x:c>
      <x:c r="G928" t="n">
        <x:v>186</x:v>
      </x:c>
      <x:c r="H928" t="str">
        <x:v>CQ-A13</x:v>
      </x:c>
      <x:c r="I928" s="36" t="str">
        <x:v>Bestandsfrage: exakter Wortlaut in diesem Arbeitsschritt nicht rekonstruiert.</x:v>
      </x:c>
      <x:c r="J928" s="36"/>
      <x:c r="K928" s="36"/>
      <x:c r="L928" s="36" t="str">
        <x:v>MASTER_STATUS_VERIFIZIERT</x:v>
      </x:c>
      <x:c r="M928" s="36" t="str">
        <x:v>ERSETZEN</x:v>
      </x:c>
      <x:c r="N928" s="36" t="str">
        <x:v>REPETITIVE_FRAGEFORM</x:v>
      </x:c>
      <x:c r="O928" s="36" t="str">
        <x:v>REINE_WIEDERERKENNUNG</x:v>
      </x:c>
      <x:c r="P928" s="36" t="str">
        <x:v>ALLTAG</x:v>
      </x:c>
      <x:c r="Q928" s="36" t="str">
        <x:v>Welche Lebensweise empfiehlt Paulus neben wachsender Bruderliebe?</x:v>
      </x:c>
      <x:c r="R928" s="36" t="str">
        <x:v>Ein ruhiges Leben anzustreben, die eigenen Angelegenheiten zu besorgen und mit den eigenen Händen zu arbeiten.</x:v>
      </x:c>
      <x:c r="S928" s="36" t="str">
        <x:v>Jede gewöhnliche Arbeit zu vermeiden.</x:v>
      </x:c>
      <x:c r="T928" s="36" t="str">
        <x:v>Sich ständig in fremde Angelegenheiten einzumischen.</x:v>
      </x:c>
      <x:c r="U928" s="36" t="str">
        <x:v>Von anderen Gemeinden dauerhaft finanziell abhängig zu werden.</x:v>
      </x:c>
      <x:c r="V928" s="36" t="n">
        <x:v>0</x:v>
      </x:c>
      <x:c r="W928" s="36" t="str">
        <x:v>Ein ruhiges Leben anzustreben, die eigenen Angelegenheiten zu besorgen und mit den eigenen Händen zu arbeiten.</x:v>
      </x:c>
      <x:c r="X928" s="36" t="str">
        <x:v>1. Thessalonicher 4,9–12</x:v>
      </x:c>
      <x:c r="Y928" s="36" t="str">
        <x:v>Bruderliebe soll weiter wachsen. Gleichzeitig ermutigt Paulus zu einem ruhigen, verantwortlichen Alltag, der auch gegenüber Außenstehenden glaubwürdig ist.</x:v>
      </x:c>
      <x:c r="Z928" s="36" t="str">
        <x:v>JA</x:v>
      </x:c>
      <x:c r="AA928" s="36" t="str">
        <x:v>JA</x:v>
      </x:c>
      <x:c r="AB928" s="36" t="str">
        <x:v>JA</x:v>
      </x:c>
      <x:c r="AC928" s="36" t="str">
        <x:v>JA</x:v>
      </x:c>
      <x:c r="AD928" s="36" t="str">
        <x:v>JA</x:v>
      </x:c>
      <x:c r="AE928" s="36" t="str">
        <x:v>JA</x:v>
      </x:c>
      <x:c r="AF928" s="36" t="str">
        <x:v>JA</x:v>
      </x:c>
      <x:c r="AG928" s="36" t="str">
        <x:v>FREIGEGEBEN</x:v>
      </x:c>
      <x:c r="AH928" s="36" t="str">
        <x:v>FREIGEGEBEN</x:v>
      </x:c>
      <x:c r="AI928" s="36" t="str">
        <x:v>FREIGEGEBEN</x:v>
      </x:c>
      <x:c r="AJ928" s="36" t="str">
        <x:v>FaithPath repo develop/v4 · data/bibles/l1912/1TH.json · data/bibles/otb/1TH.json</x:v>
      </x:c>
      <x:c r="AK928" s="36" t="str">
        <x:v>JA</x:v>
      </x:c>
      <x:c r="AL928" t="str">
        <x:v>JA</x:v>
      </x:c>
    </x:row>
    <x:row r="929">
      <x:c r="A929" t="str">
        <x:v>FP-1188</x:v>
      </x:c>
      <x:c r="B929" t="str">
        <x:v>1TH</x:v>
      </x:c>
      <x:c r="C929" t="str">
        <x:v>1. Thessalonicher</x:v>
      </x:c>
      <x:c r="D929" t="n">
        <x:v>4</x:v>
      </x:c>
      <x:c r="E929" t="n">
        <x:v>3</x:v>
      </x:c>
      <x:c r="F929" t="str">
        <x:v>1TH-004</x:v>
      </x:c>
      <x:c r="G929" t="n">
        <x:v>186</x:v>
      </x:c>
      <x:c r="H929" t="str">
        <x:v>CQ-A13</x:v>
      </x:c>
      <x:c r="I929" s="36" t="str">
        <x:v>Bestandsfrage: exakter Wortlaut in diesem Arbeitsschritt nicht rekonstruiert.</x:v>
      </x:c>
      <x:c r="J929" s="36"/>
      <x:c r="K929" s="36"/>
      <x:c r="L929" s="36" t="str">
        <x:v>MASTER_STATUS_VERIFIZIERT</x:v>
      </x:c>
      <x:c r="M929" s="36" t="str">
        <x:v>ERSETZEN</x:v>
      </x:c>
      <x:c r="N929" s="36" t="str">
        <x:v>REPETITIVE_FRAGEFORM</x:v>
      </x:c>
      <x:c r="O929" s="36" t="str">
        <x:v>REINE_WIEDERERKENNUNG</x:v>
      </x:c>
      <x:c r="P929" s="36" t="str">
        <x:v>HOFFNUNG</x:v>
      </x:c>
      <x:c r="Q929" s="36" t="str">
        <x:v>Warum sollen Christen über Verstorbene nicht trauern wie Menschen ohne Hoffnung?</x:v>
      </x:c>
      <x:c r="R929" s="36" t="str">
        <x:v>Weil Trauer für Christen grundsätzlich verboten ist.</x:v>
      </x:c>
      <x:c r="S929" s="36" t="str">
        <x:v>Weil Christen den Tod nicht ernst nehmen müssen.</x:v>
      </x:c>
      <x:c r="T929" s="36" t="str">
        <x:v>Weil der Glaube an Jesu Tod und Auferstehung Hoffnung für die in Christus Entschlafenen gibt.</x:v>
      </x:c>
      <x:c r="U929" s="36" t="str">
        <x:v>Weil alle Verstorbenen bereits sichtbar auf die Erde zurückgekehrt sind.</x:v>
      </x:c>
      <x:c r="V929" s="36" t="n">
        <x:v>2</x:v>
      </x:c>
      <x:c r="W929" s="36" t="str">
        <x:v>Weil der Glaube an Jesu Tod und Auferstehung Hoffnung für die in Christus Entschlafenen gibt.</x:v>
      </x:c>
      <x:c r="X929" s="36" t="str">
        <x:v>1. Thessalonicher 4,13–14</x:v>
      </x:c>
      <x:c r="Y929" s="36" t="str">
        <x:v>Paulus verbietet Trauer nicht. Er unterscheidet vielmehr zwischen Trauer ohne Hoffnung und christlicher Trauer, die von Jesu Tod und Auferstehung geprägt ist.</x:v>
      </x:c>
      <x:c r="Z929" s="36" t="str">
        <x:v>JA</x:v>
      </x:c>
      <x:c r="AA929" s="36" t="str">
        <x:v>JA</x:v>
      </x:c>
      <x:c r="AB929" s="36" t="str">
        <x:v>JA</x:v>
      </x:c>
      <x:c r="AC929" s="36" t="str">
        <x:v>JA</x:v>
      </x:c>
      <x:c r="AD929" s="36" t="str">
        <x:v>JA</x:v>
      </x:c>
      <x:c r="AE929" s="36" t="str">
        <x:v>JA</x:v>
      </x:c>
      <x:c r="AF929" s="36" t="str">
        <x:v>JA</x:v>
      </x:c>
      <x:c r="AG929" s="36" t="str">
        <x:v>FREIGEGEBEN</x:v>
      </x:c>
      <x:c r="AH929" s="36" t="str">
        <x:v>FREIGEGEBEN</x:v>
      </x:c>
      <x:c r="AI929" s="36" t="str">
        <x:v>FREIGEGEBEN</x:v>
      </x:c>
      <x:c r="AJ929" s="36" t="str">
        <x:v>FaithPath repo develop/v4 · data/bibles/l1912/1TH.json · data/bibles/otb/1TH.json</x:v>
      </x:c>
      <x:c r="AK929" s="36" t="str">
        <x:v>JA</x:v>
      </x:c>
      <x:c r="AL929" t="str">
        <x:v>JA</x:v>
      </x:c>
    </x:row>
    <x:row r="930">
      <x:c r="A930" t="str">
        <x:v>FP-1189</x:v>
      </x:c>
      <x:c r="B930" t="str">
        <x:v>1TH</x:v>
      </x:c>
      <x:c r="C930" t="str">
        <x:v>1. Thessalonicher</x:v>
      </x:c>
      <x:c r="D930" t="n">
        <x:v>4</x:v>
      </x:c>
      <x:c r="E930" t="n">
        <x:v>4</x:v>
      </x:c>
      <x:c r="F930" t="str">
        <x:v>1TH-004</x:v>
      </x:c>
      <x:c r="G930" t="n">
        <x:v>186</x:v>
      </x:c>
      <x:c r="H930" t="str">
        <x:v>CQ-A13</x:v>
      </x:c>
      <x:c r="I930" s="36" t="str">
        <x:v>Bestandsfrage: exakter Wortlaut in diesem Arbeitsschritt nicht rekonstruiert.</x:v>
      </x:c>
      <x:c r="J930" s="36"/>
      <x:c r="K930" s="36"/>
      <x:c r="L930" s="36" t="str">
        <x:v>MASTER_STATUS_VERIFIZIERT</x:v>
      </x:c>
      <x:c r="M930" s="36" t="str">
        <x:v>ERSETZEN</x:v>
      </x:c>
      <x:c r="N930" s="36" t="str">
        <x:v>REPETITIVE_FRAGEFORM</x:v>
      </x:c>
      <x:c r="O930" s="36" t="str">
        <x:v>REINE_WIEDERERKENNUNG</x:v>
      </x:c>
      <x:c r="P930" s="36" t="str">
        <x:v>ABLAUF</x:v>
      </x:c>
      <x:c r="Q930" s="36" t="str">
        <x:v>Welche Reihenfolge beschreibt Paulus bei der Ankunft des Herrn?</x:v>
      </x:c>
      <x:c r="R930" s="36" t="str">
        <x:v>Zuerst werden alle Lebenden verwandelt und danach Christus auferweckt.</x:v>
      </x:c>
      <x:c r="S930" s="36" t="str">
        <x:v>Zuerst verlassen die Lebenden die Gemeinde, dann werden die Toten vergessen.</x:v>
      </x:c>
      <x:c r="T930" s="36" t="str">
        <x:v>Die Verstorbenen haben keinen Anteil an der Ankunft des Herrn.</x:v>
      </x:c>
      <x:c r="U930" s="36" t="str">
        <x:v>Der Herr kommt herab, die Toten in Christus stehen zuerst auf, danach werden die Lebenden zusammen mit ihnen dem Herrn begegnen.</x:v>
      </x:c>
      <x:c r="V930" s="36" t="n">
        <x:v>3</x:v>
      </x:c>
      <x:c r="W930" s="36" t="str">
        <x:v>Der Herr kommt herab, die Toten in Christus stehen zuerst auf, danach werden die Lebenden zusammen mit ihnen dem Herrn begegnen.</x:v>
      </x:c>
      <x:c r="X930" s="36" t="str">
        <x:v>1. Thessalonicher 4,15–17</x:v>
      </x:c>
      <x:c r="Y930" s="36" t="str">
        <x:v>Paulus will gerade verhindern, dass die Lebenden gegenüber den bereits Verstorbenen als bevorzugt gelten. Beide Gruppen werden schließlich gemeinsam beim Herrn sein.</x:v>
      </x:c>
      <x:c r="Z930" s="36" t="str">
        <x:v>JA</x:v>
      </x:c>
      <x:c r="AA930" s="36" t="str">
        <x:v>JA</x:v>
      </x:c>
      <x:c r="AB930" s="36" t="str">
        <x:v>JA</x:v>
      </x:c>
      <x:c r="AC930" s="36" t="str">
        <x:v>JA</x:v>
      </x:c>
      <x:c r="AD930" s="36" t="str">
        <x:v>JA</x:v>
      </x:c>
      <x:c r="AE930" s="36" t="str">
        <x:v>JA</x:v>
      </x:c>
      <x:c r="AF930" s="36" t="str">
        <x:v>JA</x:v>
      </x:c>
      <x:c r="AG930" s="36" t="str">
        <x:v>FREIGEGEBEN</x:v>
      </x:c>
      <x:c r="AH930" s="36" t="str">
        <x:v>FREIGEGEBEN</x:v>
      </x:c>
      <x:c r="AI930" s="36" t="str">
        <x:v>FREIGEGEBEN</x:v>
      </x:c>
      <x:c r="AJ930" s="36" t="str">
        <x:v>FaithPath repo develop/v4 · data/bibles/l1912/1TH.json · data/bibles/otb/1TH.json</x:v>
      </x:c>
      <x:c r="AK930" s="36" t="str">
        <x:v>JA</x:v>
      </x:c>
      <x:c r="AL930" t="str">
        <x:v>JA</x:v>
      </x:c>
    </x:row>
    <x:row r="931">
      <x:c r="A931" t="str">
        <x:v>FP-1190</x:v>
      </x:c>
      <x:c r="B931" t="str">
        <x:v>1TH</x:v>
      </x:c>
      <x:c r="C931" t="str">
        <x:v>1. Thessalonicher</x:v>
      </x:c>
      <x:c r="D931" t="n">
        <x:v>4</x:v>
      </x:c>
      <x:c r="E931" t="n">
        <x:v>5</x:v>
      </x:c>
      <x:c r="F931" t="str">
        <x:v>1TH-004</x:v>
      </x:c>
      <x:c r="G931" t="n">
        <x:v>186</x:v>
      </x:c>
      <x:c r="H931" t="str">
        <x:v>CQ-A13</x:v>
      </x:c>
      <x:c r="I931" s="36" t="str">
        <x:v>Bestandsfrage: exakter Wortlaut in diesem Arbeitsschritt nicht rekonstruiert.</x:v>
      </x:c>
      <x:c r="J931" s="36"/>
      <x:c r="K931" s="36"/>
      <x:c r="L931" s="36" t="str">
        <x:v>MASTER_STATUS_VERIFIZIERT</x:v>
      </x:c>
      <x:c r="M931" s="36" t="str">
        <x:v>ERSETZEN</x:v>
      </x:c>
      <x:c r="N931" s="36" t="str">
        <x:v>REPETITIVE_FRAGEFORM</x:v>
      </x:c>
      <x:c r="O931" s="36" t="str">
        <x:v>REINE_WIEDERERKENNUNG</x:v>
      </x:c>
      <x:c r="P931" s="36" t="str">
        <x:v>ANWENDUNG</x:v>
      </x:c>
      <x:c r="Q931" s="36" t="str">
        <x:v>Was sollen die Thessalonicher mit den Aussagen über die Auferstehung und das Kommen des Herrn tun?</x:v>
      </x:c>
      <x:c r="R931" s="36" t="str">
        <x:v>Sie ausschließlich für Berechnungen von Zeitpunkten verwenden.</x:v>
      </x:c>
      <x:c r="S931" s="36" t="str">
        <x:v>Einander damit ermutigen und trösten.</x:v>
      </x:c>
      <x:c r="T931" s="36" t="str">
        <x:v>Sie nur den Gemeindeleitern mitteilen.</x:v>
      </x:c>
      <x:c r="U931" s="36" t="str">
        <x:v>Darüber grundsätzlich nicht sprechen.</x:v>
      </x:c>
      <x:c r="V931" s="36" t="n">
        <x:v>1</x:v>
      </x:c>
      <x:c r="W931" s="36" t="str">
        <x:v>Einander damit ermutigen und trösten.</x:v>
      </x:c>
      <x:c r="X931" s="36" t="str">
        <x:v>1. Thessalonicher 4,18</x:v>
      </x:c>
      <x:c r="Y931" s="36" t="str">
        <x:v>Der praktische Zweck des Abschnitts ist ausdrücklich Trost und Ermutigung. Die Hoffnung soll der Gemeinde im Umgang mit Tod und Trauer dienen.</x:v>
      </x:c>
      <x:c r="Z931" s="36" t="str">
        <x:v>JA</x:v>
      </x:c>
      <x:c r="AA931" s="36" t="str">
        <x:v>JA</x:v>
      </x:c>
      <x:c r="AB931" s="36" t="str">
        <x:v>JA</x:v>
      </x:c>
      <x:c r="AC931" s="36" t="str">
        <x:v>JA</x:v>
      </x:c>
      <x:c r="AD931" s="36" t="str">
        <x:v>JA</x:v>
      </x:c>
      <x:c r="AE931" s="36" t="str">
        <x:v>JA</x:v>
      </x:c>
      <x:c r="AF931" s="36" t="str">
        <x:v>JA</x:v>
      </x:c>
      <x:c r="AG931" s="36" t="str">
        <x:v>FREIGEGEBEN</x:v>
      </x:c>
      <x:c r="AH931" s="36" t="str">
        <x:v>FREIGEGEBEN</x:v>
      </x:c>
      <x:c r="AI931" s="36" t="str">
        <x:v>FREIGEGEBEN</x:v>
      </x:c>
      <x:c r="AJ931" s="36" t="str">
        <x:v>FaithPath repo develop/v4 · data/bibles/l1912/1TH.json · data/bibles/otb/1TH.json</x:v>
      </x:c>
      <x:c r="AK931" s="36" t="str">
        <x:v>JA</x:v>
      </x:c>
      <x:c r="AL931" t="str">
        <x:v>JA</x:v>
      </x:c>
    </x:row>
    <x:row r="932">
      <x:c r="A932" t="str">
        <x:v>FP-1191</x:v>
      </x:c>
      <x:c r="B932" t="str">
        <x:v>1TH</x:v>
      </x:c>
      <x:c r="C932" t="str">
        <x:v>1. Thessalonicher</x:v>
      </x:c>
      <x:c r="D932" t="n">
        <x:v>5</x:v>
      </x:c>
      <x:c r="E932" t="n">
        <x:v>1</x:v>
      </x:c>
      <x:c r="F932" t="str">
        <x:v>1TH-005</x:v>
      </x:c>
      <x:c r="G932" t="n">
        <x:v>187</x:v>
      </x:c>
      <x:c r="H932" t="str">
        <x:v>CQ-A13</x:v>
      </x:c>
      <x:c r="I932" s="36" t="str">
        <x:v>Bestandsfrage: exakter Wortlaut in diesem Arbeitsschritt nicht rekonstruiert.</x:v>
      </x:c>
      <x:c r="J932" s="36"/>
      <x:c r="K932" s="36"/>
      <x:c r="L932" s="36" t="str">
        <x:v>MASTER_STATUS_VERIFIZIERT</x:v>
      </x:c>
      <x:c r="M932" s="36" t="str">
        <x:v>ERSETZEN</x:v>
      </x:c>
      <x:c r="N932" s="36" t="str">
        <x:v>REPETITIVE_FRAGEFORM</x:v>
      </x:c>
      <x:c r="O932" s="36" t="str">
        <x:v>REINE_WIEDERERKENNUNG</x:v>
      </x:c>
      <x:c r="P932" s="36" t="str">
        <x:v>WACHSAMKEIT</x:v>
      </x:c>
      <x:c r="Q932" s="36" t="str">
        <x:v>Welche Konsequenz zieht Paulus daraus, dass der Tag des Herrn unerwartet kommt?</x:v>
      </x:c>
      <x:c r="R932" s="36" t="str">
        <x:v>Christen sollen genaue Termine errechnen.</x:v>
      </x:c>
      <x:c r="S932" s="36" t="str">
        <x:v>Als Kinder des Lichts sollen sie wachsam und nüchtern leben.</x:v>
      </x:c>
      <x:c r="T932" s="36" t="str">
        <x:v>Sie sollen ihre normalen Aufgaben vollständig einstellen.</x:v>
      </x:c>
      <x:c r="U932" s="36" t="str">
        <x:v>Sie brauchen sich mit der Zukunft überhaupt nicht zu beschäftigen.</x:v>
      </x:c>
      <x:c r="V932" s="36" t="n">
        <x:v>1</x:v>
      </x:c>
      <x:c r="W932" s="36" t="str">
        <x:v>Als Kinder des Lichts sollen sie wachsam und nüchtern leben.</x:v>
      </x:c>
      <x:c r="X932" s="36" t="str">
        <x:v>1. Thessalonicher 5,1–8</x:v>
      </x:c>
      <x:c r="Y932" s="36" t="str">
        <x:v>Der Vergleich mit einem Dieb in der Nacht führt nicht zu Datumsberechnungen, sondern zu Wachsamkeit. Glaubende gehören zum Licht und sollen entsprechend nüchtern leben.</x:v>
      </x:c>
      <x:c r="Z932" s="36" t="str">
        <x:v>JA</x:v>
      </x:c>
      <x:c r="AA932" s="36" t="str">
        <x:v>JA</x:v>
      </x:c>
      <x:c r="AB932" s="36" t="str">
        <x:v>JA</x:v>
      </x:c>
      <x:c r="AC932" s="36" t="str">
        <x:v>JA</x:v>
      </x:c>
      <x:c r="AD932" s="36" t="str">
        <x:v>JA</x:v>
      </x:c>
      <x:c r="AE932" s="36" t="str">
        <x:v>JA</x:v>
      </x:c>
      <x:c r="AF932" s="36" t="str">
        <x:v>JA</x:v>
      </x:c>
      <x:c r="AG932" s="36" t="str">
        <x:v>FREIGEGEBEN</x:v>
      </x:c>
      <x:c r="AH932" s="36" t="str">
        <x:v>FREIGEGEBEN</x:v>
      </x:c>
      <x:c r="AI932" s="36" t="str">
        <x:v>FREIGEGEBEN</x:v>
      </x:c>
      <x:c r="AJ932" s="36" t="str">
        <x:v>FaithPath repo develop/v4 · data/bibles/l1912/1TH.json · data/bibles/otb/1TH.json</x:v>
      </x:c>
      <x:c r="AK932" s="36" t="str">
        <x:v>JA</x:v>
      </x:c>
      <x:c r="AL932" t="str">
        <x:v>JA</x:v>
      </x:c>
    </x:row>
    <x:row r="933">
      <x:c r="A933" t="str">
        <x:v>FP-1192</x:v>
      </x:c>
      <x:c r="B933" t="str">
        <x:v>1TH</x:v>
      </x:c>
      <x:c r="C933" t="str">
        <x:v>1. Thessalonicher</x:v>
      </x:c>
      <x:c r="D933" t="n">
        <x:v>5</x:v>
      </x:c>
      <x:c r="E933" t="n">
        <x:v>2</x:v>
      </x:c>
      <x:c r="F933" t="str">
        <x:v>1TH-005</x:v>
      </x:c>
      <x:c r="G933" t="n">
        <x:v>187</x:v>
      </x:c>
      <x:c r="H933" t="str">
        <x:v>CQ-A13</x:v>
      </x:c>
      <x:c r="I933" s="36" t="str">
        <x:v>Bestandsfrage: exakter Wortlaut in diesem Arbeitsschritt nicht rekonstruiert.</x:v>
      </x:c>
      <x:c r="J933" s="36"/>
      <x:c r="K933" s="36"/>
      <x:c r="L933" s="36" t="str">
        <x:v>MASTER_STATUS_VERIFIZIERT</x:v>
      </x:c>
      <x:c r="M933" s="36" t="str">
        <x:v>ERSETZEN</x:v>
      </x:c>
      <x:c r="N933" s="36" t="str">
        <x:v>REPETITIVE_FRAGEFORM</x:v>
      </x:c>
      <x:c r="O933" s="36" t="str">
        <x:v>REINE_WIEDERERKENNUNG</x:v>
      </x:c>
      <x:c r="P933" s="36" t="str">
        <x:v>BILD</x:v>
      </x:c>
      <x:c r="Q933" s="36" t="str">
        <x:v>Welche geistliche Ausrüstung nennt Paulus für die 'Kinder des Tages'?</x:v>
      </x:c>
      <x:c r="R933" s="36" t="str">
        <x:v>Den Brustpanzer des Glaubens und der Liebe sowie den Helm der Hoffnung auf das Heil.</x:v>
      </x:c>
      <x:c r="S933" s="36" t="str">
        <x:v>Das Schwert politischer Macht und den Schild gesellschaftlicher Anerkennung.</x:v>
      </x:c>
      <x:c r="T933" s="36" t="str">
        <x:v>Die Krone menschlicher Weisheit und den Mantel des Reichtums.</x:v>
      </x:c>
      <x:c r="U933" s="36" t="str">
        <x:v>Nur den Helm des Wissens ohne Glauben und Liebe.</x:v>
      </x:c>
      <x:c r="V933" s="36" t="n">
        <x:v>0</x:v>
      </x:c>
      <x:c r="W933" s="36" t="str">
        <x:v>Den Brustpanzer des Glaubens und der Liebe sowie den Helm der Hoffnung auf das Heil.</x:v>
      </x:c>
      <x:c r="X933" s="36" t="str">
        <x:v>1. Thessalonicher 5,8–11</x:v>
      </x:c>
      <x:c r="Y933" s="36" t="str">
        <x:v>Paulus fasst erneut Glauben, Liebe und Hoffnung zusammen. Diese Haltungen dienen hier als Bild für nüchterne Bereitschaft und gegenseitige Ermutigung.</x:v>
      </x:c>
      <x:c r="Z933" s="36" t="str">
        <x:v>JA</x:v>
      </x:c>
      <x:c r="AA933" s="36" t="str">
        <x:v>JA</x:v>
      </x:c>
      <x:c r="AB933" s="36" t="str">
        <x:v>JA</x:v>
      </x:c>
      <x:c r="AC933" s="36" t="str">
        <x:v>JA</x:v>
      </x:c>
      <x:c r="AD933" s="36" t="str">
        <x:v>JA</x:v>
      </x:c>
      <x:c r="AE933" s="36" t="str">
        <x:v>JA</x:v>
      </x:c>
      <x:c r="AF933" s="36" t="str">
        <x:v>JA</x:v>
      </x:c>
      <x:c r="AG933" s="36" t="str">
        <x:v>FREIGEGEBEN</x:v>
      </x:c>
      <x:c r="AH933" s="36" t="str">
        <x:v>FREIGEGEBEN</x:v>
      </x:c>
      <x:c r="AI933" s="36" t="str">
        <x:v>FREIGEGEBEN</x:v>
      </x:c>
      <x:c r="AJ933" s="36" t="str">
        <x:v>FaithPath repo develop/v4 · data/bibles/l1912/1TH.json · data/bibles/otb/1TH.json</x:v>
      </x:c>
      <x:c r="AK933" s="36" t="str">
        <x:v>JA</x:v>
      </x:c>
      <x:c r="AL933" t="str">
        <x:v>JA</x:v>
      </x:c>
    </x:row>
    <x:row r="934">
      <x:c r="A934" t="str">
        <x:v>FP-1193</x:v>
      </x:c>
      <x:c r="B934" t="str">
        <x:v>1TH</x:v>
      </x:c>
      <x:c r="C934" t="str">
        <x:v>1. Thessalonicher</x:v>
      </x:c>
      <x:c r="D934" t="n">
        <x:v>5</x:v>
      </x:c>
      <x:c r="E934" t="n">
        <x:v>3</x:v>
      </x:c>
      <x:c r="F934" t="str">
        <x:v>1TH-005</x:v>
      </x:c>
      <x:c r="G934" t="n">
        <x:v>187</x:v>
      </x:c>
      <x:c r="H934" t="str">
        <x:v>CQ-A13</x:v>
      </x:c>
      <x:c r="I934" s="36" t="str">
        <x:v>Bestandsfrage: exakter Wortlaut in diesem Arbeitsschritt nicht rekonstruiert.</x:v>
      </x:c>
      <x:c r="J934" s="36"/>
      <x:c r="K934" s="36"/>
      <x:c r="L934" s="36" t="str">
        <x:v>MASTER_STATUS_VERIFIZIERT</x:v>
      </x:c>
      <x:c r="M934" s="36" t="str">
        <x:v>ERSETZEN</x:v>
      </x:c>
      <x:c r="N934" s="36" t="str">
        <x:v>REPETITIVE_FRAGEFORM</x:v>
      </x:c>
      <x:c r="O934" s="36" t="str">
        <x:v>REINE_WIEDERERKENNUNG</x:v>
      </x:c>
      <x:c r="P934" s="36" t="str">
        <x:v>GEMEINDELEBEN</x:v>
      </x:c>
      <x:c r="Q934" s="36" t="str">
        <x:v>Wie soll die Gemeinde nach 1. Thessalonicher 5 mit unterschiedlichen Bedürfnissen umgehen?</x:v>
      </x:c>
      <x:c r="R934" s="36" t="str">
        <x:v>Alle Menschen unabhängig von ihrer Situation gleich streng behandeln.</x:v>
      </x:c>
      <x:c r="S934" s="36" t="str">
        <x:v>Nur die Starken unterstützen.</x:v>
      </x:c>
      <x:c r="T934" s="36" t="str">
        <x:v>Schwache Menschen aus Verantwortung entlassen und ignorieren.</x:v>
      </x:c>
      <x:c r="U934" s="36" t="str">
        <x:v>Unordentliche zurechtweisen, Mutlose ermutigen, Schwachen helfen und mit allen geduldig sein.</x:v>
      </x:c>
      <x:c r="V934" s="36" t="n">
        <x:v>3</x:v>
      </x:c>
      <x:c r="W934" s="36" t="str">
        <x:v>Unordentliche zurechtweisen, Mutlose ermutigen, Schwachen helfen und mit allen geduldig sein.</x:v>
      </x:c>
      <x:c r="X934" s="36" t="str">
        <x:v>1. Thessalonicher 5,12–15</x:v>
      </x:c>
      <x:c r="Y934" s="36" t="str">
        <x:v>Paulus fordert keine Einheitsreaktion. Je nach Situation braucht es Korrektur, Ermutigung, Unterstützung oder Geduld – und grundsätzlich das Streben nach dem Guten.</x:v>
      </x:c>
      <x:c r="Z934" s="36" t="str">
        <x:v>JA</x:v>
      </x:c>
      <x:c r="AA934" s="36" t="str">
        <x:v>JA</x:v>
      </x:c>
      <x:c r="AB934" s="36" t="str">
        <x:v>JA</x:v>
      </x:c>
      <x:c r="AC934" s="36" t="str">
        <x:v>JA</x:v>
      </x:c>
      <x:c r="AD934" s="36" t="str">
        <x:v>JA</x:v>
      </x:c>
      <x:c r="AE934" s="36" t="str">
        <x:v>JA</x:v>
      </x:c>
      <x:c r="AF934" s="36" t="str">
        <x:v>JA</x:v>
      </x:c>
      <x:c r="AG934" s="36" t="str">
        <x:v>FREIGEGEBEN</x:v>
      </x:c>
      <x:c r="AH934" s="36" t="str">
        <x:v>FREIGEGEBEN</x:v>
      </x:c>
      <x:c r="AI934" s="36" t="str">
        <x:v>FREIGEGEBEN</x:v>
      </x:c>
      <x:c r="AJ934" s="36" t="str">
        <x:v>FaithPath repo develop/v4 · data/bibles/l1912/1TH.json · data/bibles/otb/1TH.json</x:v>
      </x:c>
      <x:c r="AK934" s="36" t="str">
        <x:v>JA</x:v>
      </x:c>
      <x:c r="AL934" t="str">
        <x:v>JA</x:v>
      </x:c>
    </x:row>
    <x:row r="935">
      <x:c r="A935" t="str">
        <x:v>FP-1194</x:v>
      </x:c>
      <x:c r="B935" t="str">
        <x:v>1TH</x:v>
      </x:c>
      <x:c r="C935" t="str">
        <x:v>1. Thessalonicher</x:v>
      </x:c>
      <x:c r="D935" t="n">
        <x:v>5</x:v>
      </x:c>
      <x:c r="E935" t="n">
        <x:v>4</x:v>
      </x:c>
      <x:c r="F935" t="str">
        <x:v>1TH-005</x:v>
      </x:c>
      <x:c r="G935" t="n">
        <x:v>187</x:v>
      </x:c>
      <x:c r="H935" t="str">
        <x:v>CQ-A13</x:v>
      </x:c>
      <x:c r="I935" s="36" t="str">
        <x:v>Bestandsfrage: exakter Wortlaut in diesem Arbeitsschritt nicht rekonstruiert.</x:v>
      </x:c>
      <x:c r="J935" s="36"/>
      <x:c r="K935" s="36"/>
      <x:c r="L935" s="36" t="str">
        <x:v>MASTER_STATUS_VERIFIZIERT</x:v>
      </x:c>
      <x:c r="M935" s="36" t="str">
        <x:v>ERSETZEN</x:v>
      </x:c>
      <x:c r="N935" s="36" t="str">
        <x:v>REPETITIVE_FRAGEFORM</x:v>
      </x:c>
      <x:c r="O935" s="36" t="str">
        <x:v>REINE_WIEDERERKENNUNG</x:v>
      </x:c>
      <x:c r="P935" s="36" t="str">
        <x:v>UNTERSCHEIDUNG</x:v>
      </x:c>
      <x:c r="Q935" s="36" t="str">
        <x:v>Welche Kombination entspricht den kurzen Aufforderungen am Ende des Briefes?</x:v>
      </x:c>
      <x:c r="R935" s="36" t="str">
        <x:v>Freude vermeiden, selten beten und nur bei Erfolg danken.</x:v>
      </x:c>
      <x:c r="S935" s="36" t="str">
        <x:v>Jede geistliche Aussage ungeprüft übernehmen.</x:v>
      </x:c>
      <x:c r="T935" s="36" t="str">
        <x:v>Sich immer freuen, ohne Unterlass beten, in allem danken und zugleich alles prüfen und das Gute behalten.</x:v>
      </x:c>
      <x:c r="U935" s="36" t="str">
        <x:v>Prophetische Rede grundsätzlich verachten.</x:v>
      </x:c>
      <x:c r="V935" s="36" t="n">
        <x:v>2</x:v>
      </x:c>
      <x:c r="W935" s="36" t="str">
        <x:v>Sich immer freuen, ohne Unterlass beten, in allem danken und zugleich alles prüfen und das Gute behalten.</x:v>
      </x:c>
      <x:c r="X935" s="36" t="str">
        <x:v>1. Thessalonicher 5,16–22</x:v>
      </x:c>
      <x:c r="Y935" s="36" t="str">
        <x:v>Der Abschnitt verbindet Freude, Gebet und Dank mit geistlicher Offenheit und Prüfung. 'Alles prüfen' verhindert sowohl unkritische Leichtgläubigkeit als auch pauschale Ablehnung.</x:v>
      </x:c>
      <x:c r="Z935" s="36" t="str">
        <x:v>JA</x:v>
      </x:c>
      <x:c r="AA935" s="36" t="str">
        <x:v>JA</x:v>
      </x:c>
      <x:c r="AB935" s="36" t="str">
        <x:v>JA</x:v>
      </x:c>
      <x:c r="AC935" s="36" t="str">
        <x:v>JA</x:v>
      </x:c>
      <x:c r="AD935" s="36" t="str">
        <x:v>JA</x:v>
      </x:c>
      <x:c r="AE935" s="36" t="str">
        <x:v>JA</x:v>
      </x:c>
      <x:c r="AF935" s="36" t="str">
        <x:v>JA</x:v>
      </x:c>
      <x:c r="AG935" s="36" t="str">
        <x:v>FREIGEGEBEN</x:v>
      </x:c>
      <x:c r="AH935" s="36" t="str">
        <x:v>FREIGEGEBEN</x:v>
      </x:c>
      <x:c r="AI935" s="36" t="str">
        <x:v>FREIGEGEBEN</x:v>
      </x:c>
      <x:c r="AJ935" s="36" t="str">
        <x:v>FaithPath repo develop/v4 · data/bibles/l1912/1TH.json · data/bibles/otb/1TH.json</x:v>
      </x:c>
      <x:c r="AK935" s="36" t="str">
        <x:v>JA</x:v>
      </x:c>
      <x:c r="AL935" t="str">
        <x:v>JA</x:v>
      </x:c>
    </x:row>
    <x:row r="936">
      <x:c r="A936" t="str">
        <x:v>FP-1195</x:v>
      </x:c>
      <x:c r="B936" t="str">
        <x:v>1TH</x:v>
      </x:c>
      <x:c r="C936" t="str">
        <x:v>1. Thessalonicher</x:v>
      </x:c>
      <x:c r="D936" t="n">
        <x:v>5</x:v>
      </x:c>
      <x:c r="E936" t="n">
        <x:v>5</x:v>
      </x:c>
      <x:c r="F936" t="str">
        <x:v>1TH-005</x:v>
      </x:c>
      <x:c r="G936" t="n">
        <x:v>187</x:v>
      </x:c>
      <x:c r="H936" t="str">
        <x:v>CQ-A13</x:v>
      </x:c>
      <x:c r="I936" s="36" t="str">
        <x:v>Bestandsfrage: exakter Wortlaut in diesem Arbeitsschritt nicht rekonstruiert.</x:v>
      </x:c>
      <x:c r="J936" s="36"/>
      <x:c r="K936" s="36"/>
      <x:c r="L936" s="36" t="str">
        <x:v>MASTER_STATUS_VERIFIZIERT</x:v>
      </x:c>
      <x:c r="M936" s="36" t="str">
        <x:v>ERSETZEN</x:v>
      </x:c>
      <x:c r="N936" s="36" t="str">
        <x:v>REPETITIVE_FRAGEFORM</x:v>
      </x:c>
      <x:c r="O936" s="36" t="str">
        <x:v>REINE_WIEDERERKENNUNG</x:v>
      </x:c>
      <x:c r="P936" s="36" t="str">
        <x:v>ZUVERSICHT</x:v>
      </x:c>
      <x:c r="Q936" s="36" t="str">
        <x:v>Worauf gründet die Hoffnung, dass die Glaubenden bis zur Ankunft Jesu bewahrt werden?</x:v>
      </x:c>
      <x:c r="R936" s="36" t="str">
        <x:v>Auf ihre Fähigkeit, nie wieder einen Fehler zu machen.</x:v>
      </x:c>
      <x:c r="S936" s="36" t="str">
        <x:v>Auf die Stärke ihrer Gemeindeorganisation.</x:v>
      </x:c>
      <x:c r="T936" s="36" t="str">
        <x:v>Auf ihre genaue Kenntnis zukünftiger Zeitpunkte.</x:v>
      </x:c>
      <x:c r="U936" s="36" t="str">
        <x:v>Auf die Treue Gottes, der sie beruft und sein Werk auch vollenden wird.</x:v>
      </x:c>
      <x:c r="V936" s="36" t="n">
        <x:v>3</x:v>
      </x:c>
      <x:c r="W936" s="36" t="str">
        <x:v>Auf die Treue Gottes, der sie beruft und sein Werk auch vollenden wird.</x:v>
      </x:c>
      <x:c r="X936" s="36" t="str">
        <x:v>1. Thessalonicher 5,23–24</x:v>
      </x:c>
      <x:c r="Y936" s="36" t="str">
        <x:v>Paulus bittet um umfassende Heiligung und Bewahrung, setzt die letzte Zuversicht aber auf Gott selbst: Der Berufende ist treu und wird handeln.</x:v>
      </x:c>
      <x:c r="Z936" s="36" t="str">
        <x:v>JA</x:v>
      </x:c>
      <x:c r="AA936" s="36" t="str">
        <x:v>JA</x:v>
      </x:c>
      <x:c r="AB936" s="36" t="str">
        <x:v>JA</x:v>
      </x:c>
      <x:c r="AC936" s="36" t="str">
        <x:v>JA</x:v>
      </x:c>
      <x:c r="AD936" s="36" t="str">
        <x:v>JA</x:v>
      </x:c>
      <x:c r="AE936" s="36" t="str">
        <x:v>JA</x:v>
      </x:c>
      <x:c r="AF936" s="36" t="str">
        <x:v>JA</x:v>
      </x:c>
      <x:c r="AG936" s="36" t="str">
        <x:v>FREIGEGEBEN</x:v>
      </x:c>
      <x:c r="AH936" s="36" t="str">
        <x:v>FREIGEGEBEN</x:v>
      </x:c>
      <x:c r="AI936" s="36" t="str">
        <x:v>FREIGEGEBEN</x:v>
      </x:c>
      <x:c r="AJ936" s="36" t="str">
        <x:v>FaithPath repo develop/v4 · data/bibles/l1912/1TH.json · data/bibles/otb/1TH.json</x:v>
      </x:c>
      <x:c r="AK936" s="36" t="str">
        <x:v>JA</x:v>
      </x:c>
      <x:c r="AL936" t="str">
        <x:v>JA</x:v>
      </x:c>
    </x:row>
    <x:row r="937">
      <x:c r="A937" t="str">
        <x:v>FP-1196</x:v>
      </x:c>
      <x:c r="B937" t="str">
        <x:v>2TH</x:v>
      </x:c>
      <x:c r="C937" t="str">
        <x:v>2. Thessalonicher</x:v>
      </x:c>
      <x:c r="D937" t="n">
        <x:v>1</x:v>
      </x:c>
      <x:c r="E937" t="n">
        <x:v>1</x:v>
      </x:c>
      <x:c r="F937" t="str">
        <x:v>2TH-001</x:v>
      </x:c>
      <x:c r="G937" t="n">
        <x:v>188</x:v>
      </x:c>
      <x:c r="H937" t="str">
        <x:v>CQ-A14-18</x:v>
      </x:c>
      <x:c r="I937" s="36" t="str">
        <x:v>Bestandsfrage: exakter Wortlaut in diesem Arbeitsschritt nicht rekonstruiert.</x:v>
      </x:c>
      <x:c r="J937" s="36"/>
      <x:c r="K937" s="36"/>
      <x:c r="L937" s="36" t="str">
        <x:v>MASTER_STATUS_VERIFIZIERT</x:v>
      </x:c>
      <x:c r="M937" s="36" t="str">
        <x:v>ERSETZEN</x:v>
      </x:c>
      <x:c r="N937" s="36" t="str">
        <x:v>BESTAND_NOCH_NICHT_GEPRÜFT</x:v>
      </x:c>
      <x:c r="O937" s="36" t="str">
        <x:v>DIDAKTISCHE_NEUFASSUNG</x:v>
      </x:c>
      <x:c r="P937" s="36" t="str">
        <x:v>ENTWICKLUNG</x:v>
      </x:c>
      <x:c r="Q937" s="36" t="str">
        <x:v>Wofür dankt Paulus zu Beginn des zweiten Thessalonicherbriefs besonders?</x:v>
      </x:c>
      <x:c r="R937" s="36" t="str">
        <x:v>Für ihren stark wachsenden Glauben und die zunehmende Liebe zueinander.</x:v>
      </x:c>
      <x:c r="S937" s="36" t="str">
        <x:v>Für ihre wachsende politische Bedeutung.</x:v>
      </x:c>
      <x:c r="T937" s="36" t="str">
        <x:v>Für das Ende aller Verfolgungen.</x:v>
      </x:c>
      <x:c r="U937" s="36" t="str">
        <x:v>Für ihre besonders großen Gebäude.</x:v>
      </x:c>
      <x:c r="V937" s="36" t="n">
        <x:v>0</x:v>
      </x:c>
      <x:c r="W937" s="36" t="str">
        <x:v>Für ihren stark wachsenden Glauben und die zunehmende Liebe zueinander.</x:v>
      </x:c>
      <x:c r="X937" s="36" t="str">
        <x:v>2. Thessalonicher 1,3–4</x:v>
      </x:c>
      <x:c r="Y937" s="36" t="str">
        <x:v>Paulus sieht im Wachstum von Glauben, Liebe und standhaftem Ausharren einen Grund zu anhaltendem Dank.</x:v>
      </x:c>
      <x:c r="Z937" s="36" t="str">
        <x:v>JA</x:v>
      </x:c>
      <x:c r="AA937" s="36" t="str">
        <x:v>JA</x:v>
      </x:c>
      <x:c r="AB937" s="36" t="str">
        <x:v>JA</x:v>
      </x:c>
      <x:c r="AC937" s="36" t="str">
        <x:v>JA</x:v>
      </x:c>
      <x:c r="AD937" s="36" t="str">
        <x:v>JA</x:v>
      </x:c>
      <x:c r="AE937" s="36" t="str">
        <x:v>JA</x:v>
      </x:c>
      <x:c r="AF937" s="36" t="str">
        <x:v>JA</x:v>
      </x:c>
      <x:c r="AG937" s="36" t="str">
        <x:v>FREIGEGEBEN</x:v>
      </x:c>
      <x:c r="AH937" s="36" t="str">
        <x:v>GPT-5.6 Sol · Sammelprüfung · L1912/OTB</x:v>
      </x:c>
      <x:c r="AI937" s="36" t="str">
        <x:v>FREIGEGEBEN</x:v>
      </x:c>
      <x:c r="AJ937" s="36" t="str">
        <x:v>2. Thessalonicher 1: als neue, textnahe ENTWICKLUNG-Frage redaktionell freigegeben.</x:v>
      </x:c>
      <x:c r="AK937" s="36" t="str">
        <x:v>FaithPath repo develop/v4 · data/bibles/l1912/2TH.json · data/bibles/otb/2TH.json</x:v>
      </x:c>
      <x:c r="AL937" t="str">
        <x:v>JA</x:v>
      </x:c>
    </x:row>
    <x:row r="938">
      <x:c r="A938" t="str">
        <x:v>FP-1197</x:v>
      </x:c>
      <x:c r="B938" t="str">
        <x:v>2TH</x:v>
      </x:c>
      <x:c r="C938" t="str">
        <x:v>2. Thessalonicher</x:v>
      </x:c>
      <x:c r="D938" t="n">
        <x:v>1</x:v>
      </x:c>
      <x:c r="E938" t="n">
        <x:v>2</x:v>
      </x:c>
      <x:c r="F938" t="str">
        <x:v>2TH-001</x:v>
      </x:c>
      <x:c r="G938" t="n">
        <x:v>188</x:v>
      </x:c>
      <x:c r="H938" t="str">
        <x:v>CQ-A14-18</x:v>
      </x:c>
      <x:c r="I938" s="36" t="str">
        <x:v>Bestandsfrage: exakter Wortlaut in diesem Arbeitsschritt nicht rekonstruiert.</x:v>
      </x:c>
      <x:c r="J938" s="36"/>
      <x:c r="K938" s="36"/>
      <x:c r="L938" s="36" t="str">
        <x:v>MASTER_STATUS_VERIFIZIERT</x:v>
      </x:c>
      <x:c r="M938" s="36" t="str">
        <x:v>ERSETZEN</x:v>
      </x:c>
      <x:c r="N938" s="36" t="str">
        <x:v>BESTAND_NOCH_NICHT_GEPRÜFT</x:v>
      </x:c>
      <x:c r="O938" s="36" t="str">
        <x:v>DIDAKTISCHE_NEUFASSUNG</x:v>
      </x:c>
      <x:c r="P938" s="36" t="str">
        <x:v>ZUSAMMENHANG</x:v>
      </x:c>
      <x:c r="Q938" s="36" t="str">
        <x:v>Wie deutet Paulus das Ausharren der Gemeinde in Verfolgungen und Bedrängnissen?</x:v>
      </x:c>
      <x:c r="R938" s="36" t="str">
        <x:v>Als Zeichen dafür, dass Gott sie verlassen hat.</x:v>
      </x:c>
      <x:c r="S938" s="36" t="str">
        <x:v>Als Hinweis darauf, dass Gott gerecht richten und den Bedrängten schließlich Ruhe geben wird.</x:v>
      </x:c>
      <x:c r="T938" s="36" t="str">
        <x:v>Als Beweis, dass Christen Leiden grundsätzlich suchen sollen.</x:v>
      </x:c>
      <x:c r="U938" s="36" t="str">
        <x:v>Als Grund, die Verkündigung einzustellen.</x:v>
      </x:c>
      <x:c r="V938" s="36" t="n">
        <x:v>1</x:v>
      </x:c>
      <x:c r="W938" s="36" t="str">
        <x:v>Als Hinweis darauf, dass Gott gerecht richten und den Bedrängten schließlich Ruhe geben wird.</x:v>
      </x:c>
      <x:c r="X938" s="36" t="str">
        <x:v>2. Thessalonicher 1,4–7</x:v>
      </x:c>
      <x:c r="Y938" s="36" t="str">
        <x:v>Der Text verbindet gegenwärtiges Ausharren mit Gottes zukünftigem gerechten Urteil und mit Ruhe für die Bedrängten.</x:v>
      </x:c>
      <x:c r="Z938" s="36" t="str">
        <x:v>JA</x:v>
      </x:c>
      <x:c r="AA938" s="36" t="str">
        <x:v>JA</x:v>
      </x:c>
      <x:c r="AB938" s="36" t="str">
        <x:v>JA</x:v>
      </x:c>
      <x:c r="AC938" s="36" t="str">
        <x:v>JA</x:v>
      </x:c>
      <x:c r="AD938" s="36" t="str">
        <x:v>JA</x:v>
      </x:c>
      <x:c r="AE938" s="36" t="str">
        <x:v>JA</x:v>
      </x:c>
      <x:c r="AF938" s="36" t="str">
        <x:v>JA</x:v>
      </x:c>
      <x:c r="AG938" s="36" t="str">
        <x:v>FREIGEGEBEN</x:v>
      </x:c>
      <x:c r="AH938" s="36" t="str">
        <x:v>GPT-5.6 Sol · Sammelprüfung · L1912/OTB</x:v>
      </x:c>
      <x:c r="AI938" s="36" t="str">
        <x:v>FREIGEGEBEN</x:v>
      </x:c>
      <x:c r="AJ938" s="36" t="str">
        <x:v>2. Thessalonicher 1: als neue, textnahe ZUSAMMENHANG-Frage redaktionell freigegeben.</x:v>
      </x:c>
      <x:c r="AK938" s="36" t="str">
        <x:v>FaithPath repo develop/v4 · data/bibles/l1912/2TH.json · data/bibles/otb/2TH.json</x:v>
      </x:c>
      <x:c r="AL938" t="str">
        <x:v>JA</x:v>
      </x:c>
    </x:row>
    <x:row r="939">
      <x:c r="A939" t="str">
        <x:v>FP-1198</x:v>
      </x:c>
      <x:c r="B939" t="str">
        <x:v>2TH</x:v>
      </x:c>
      <x:c r="C939" t="str">
        <x:v>2. Thessalonicher</x:v>
      </x:c>
      <x:c r="D939" t="n">
        <x:v>1</x:v>
      </x:c>
      <x:c r="E939" t="n">
        <x:v>3</x:v>
      </x:c>
      <x:c r="F939" t="str">
        <x:v>2TH-001</x:v>
      </x:c>
      <x:c r="G939" t="n">
        <x:v>188</x:v>
      </x:c>
      <x:c r="H939" t="str">
        <x:v>CQ-A14-18</x:v>
      </x:c>
      <x:c r="I939" s="36" t="str">
        <x:v>Bestandsfrage: exakter Wortlaut in diesem Arbeitsschritt nicht rekonstruiert.</x:v>
      </x:c>
      <x:c r="J939" s="36"/>
      <x:c r="K939" s="36"/>
      <x:c r="L939" s="36" t="str">
        <x:v>MASTER_STATUS_VERIFIZIERT</x:v>
      </x:c>
      <x:c r="M939" s="36" t="str">
        <x:v>ERSETZEN</x:v>
      </x:c>
      <x:c r="N939" s="36" t="str">
        <x:v>BESTAND_NOCH_NICHT_GEPRÜFT</x:v>
      </x:c>
      <x:c r="O939" s="36" t="str">
        <x:v>DIDAKTISCHE_NEUFASSUNG</x:v>
      </x:c>
      <x:c r="P939" s="36" t="str">
        <x:v>HOFFNUNG</x:v>
      </x:c>
      <x:c r="Q939" s="36" t="str">
        <x:v>Was steht im Mittelpunkt der Zukunftsperspektive in 2. Thessalonicher 1?</x:v>
      </x:c>
      <x:c r="R939" s="36" t="str">
        <x:v>Die dauerhafte Herrschaft des Römischen Reiches.</x:v>
      </x:c>
      <x:c r="S939" s="36" t="str">
        <x:v>Die Rückkehr aller Christen nach Thessalonich.</x:v>
      </x:c>
      <x:c r="T939" s="36" t="str">
        <x:v>Die Offenbarung des Herrn Jesus, bei der Gottes gerechtes Urteil sichtbar wird.</x:v>
      </x:c>
      <x:c r="U939" s="36" t="str">
        <x:v>Die Abschaffung jeder irdischen Verantwortung.</x:v>
      </x:c>
      <x:c r="V939" s="36" t="n">
        <x:v>2</x:v>
      </x:c>
      <x:c r="W939" s="36" t="str">
        <x:v>Die Offenbarung des Herrn Jesus, bei der Gottes gerechtes Urteil sichtbar wird.</x:v>
      </x:c>
      <x:c r="X939" s="36" t="str">
        <x:v>2. Thessalonicher 1,7–10</x:v>
      </x:c>
      <x:c r="Y939" s="36" t="str">
        <x:v>Paulus richtet den Blick auf die Offenbarung Jesu. Dabei werden Gottes Gerechtigkeit und die Verherrlichung Christi bei seinen Glaubenden sichtbar.</x:v>
      </x:c>
      <x:c r="Z939" s="36" t="str">
        <x:v>JA</x:v>
      </x:c>
      <x:c r="AA939" s="36" t="str">
        <x:v>JA</x:v>
      </x:c>
      <x:c r="AB939" s="36" t="str">
        <x:v>JA</x:v>
      </x:c>
      <x:c r="AC939" s="36" t="str">
        <x:v>JA</x:v>
      </x:c>
      <x:c r="AD939" s="36" t="str">
        <x:v>JA</x:v>
      </x:c>
      <x:c r="AE939" s="36" t="str">
        <x:v>JA</x:v>
      </x:c>
      <x:c r="AF939" s="36" t="str">
        <x:v>JA</x:v>
      </x:c>
      <x:c r="AG939" s="36" t="str">
        <x:v>FREIGEGEBEN</x:v>
      </x:c>
      <x:c r="AH939" s="36" t="str">
        <x:v>GPT-5.6 Sol · Sammelprüfung · L1912/OTB</x:v>
      </x:c>
      <x:c r="AI939" s="36" t="str">
        <x:v>FREIGEGEBEN</x:v>
      </x:c>
      <x:c r="AJ939" s="36" t="str">
        <x:v>2. Thessalonicher 1: als neue, textnahe HOFFNUNG-Frage redaktionell freigegeben.</x:v>
      </x:c>
      <x:c r="AK939" s="36" t="str">
        <x:v>FaithPath repo develop/v4 · data/bibles/l1912/2TH.json · data/bibles/otb/2TH.json</x:v>
      </x:c>
      <x:c r="AL939" t="str">
        <x:v>JA</x:v>
      </x:c>
    </x:row>
    <x:row r="940">
      <x:c r="A940" t="str">
        <x:v>FP-1199</x:v>
      </x:c>
      <x:c r="B940" t="str">
        <x:v>2TH</x:v>
      </x:c>
      <x:c r="C940" t="str">
        <x:v>2. Thessalonicher</x:v>
      </x:c>
      <x:c r="D940" t="n">
        <x:v>1</x:v>
      </x:c>
      <x:c r="E940" t="n">
        <x:v>4</x:v>
      </x:c>
      <x:c r="F940" t="str">
        <x:v>2TH-001</x:v>
      </x:c>
      <x:c r="G940" t="n">
        <x:v>188</x:v>
      </x:c>
      <x:c r="H940" t="str">
        <x:v>CQ-A14-18</x:v>
      </x:c>
      <x:c r="I940" s="36" t="str">
        <x:v>Bestandsfrage: exakter Wortlaut in diesem Arbeitsschritt nicht rekonstruiert.</x:v>
      </x:c>
      <x:c r="J940" s="36"/>
      <x:c r="K940" s="36"/>
      <x:c r="L940" s="36" t="str">
        <x:v>MASTER_STATUS_VERIFIZIERT</x:v>
      </x:c>
      <x:c r="M940" s="36" t="str">
        <x:v>ERSETZEN</x:v>
      </x:c>
      <x:c r="N940" s="36" t="str">
        <x:v>BESTAND_NOCH_NICHT_GEPRÜFT</x:v>
      </x:c>
      <x:c r="O940" s="36" t="str">
        <x:v>DIDAKTISCHE_NEUFASSUNG</x:v>
      </x:c>
      <x:c r="P940" s="36" t="str">
        <x:v>GEBET</x:v>
      </x:c>
      <x:c r="Q940" s="36" t="str">
        <x:v>Worum betet Paulus am Ende von 2. Thessalonicher 1?</x:v>
      </x:c>
      <x:c r="R940" s="36" t="str">
        <x:v>Dass sie keinerlei Entscheidungen mehr selbst treffen müssen.</x:v>
      </x:c>
      <x:c r="S940" s="36" t="str">
        <x:v>Dass nur ihre äußere Religiosität wächst.</x:v>
      </x:c>
      <x:c r="T940" s="36" t="str">
        <x:v>Dass sie von jeder Arbeit befreit werden.</x:v>
      </x:c>
      <x:c r="U940" s="36" t="str">
        <x:v>Dass Gott die Glaubenden ihrer Berufung würdig mache und ihr gutes Wollen und Glaubenswerk mit Kraft erfülle.</x:v>
      </x:c>
      <x:c r="V940" s="36" t="n">
        <x:v>3</x:v>
      </x:c>
      <x:c r="W940" s="36" t="str">
        <x:v>Dass Gott die Glaubenden ihrer Berufung würdig mache und ihr gutes Wollen und Glaubenswerk mit Kraft erfülle.</x:v>
      </x:c>
      <x:c r="X940" s="36" t="str">
        <x:v>2. Thessalonicher 1,11</x:v>
      </x:c>
      <x:c r="Y940" s="36" t="str">
        <x:v>Paulus bittet darum, dass Gottes Kraft den Glauben praktisch wirksam macht und die Berufung im Leben Gestalt gewinnt.</x:v>
      </x:c>
      <x:c r="Z940" s="36" t="str">
        <x:v>JA</x:v>
      </x:c>
      <x:c r="AA940" s="36" t="str">
        <x:v>JA</x:v>
      </x:c>
      <x:c r="AB940" s="36" t="str">
        <x:v>JA</x:v>
      </x:c>
      <x:c r="AC940" s="36" t="str">
        <x:v>JA</x:v>
      </x:c>
      <x:c r="AD940" s="36" t="str">
        <x:v>JA</x:v>
      </x:c>
      <x:c r="AE940" s="36" t="str">
        <x:v>JA</x:v>
      </x:c>
      <x:c r="AF940" s="36" t="str">
        <x:v>JA</x:v>
      </x:c>
      <x:c r="AG940" s="36" t="str">
        <x:v>FREIGEGEBEN</x:v>
      </x:c>
      <x:c r="AH940" s="36" t="str">
        <x:v>GPT-5.6 Sol · Sammelprüfung · L1912/OTB</x:v>
      </x:c>
      <x:c r="AI940" s="36" t="str">
        <x:v>FREIGEGEBEN</x:v>
      </x:c>
      <x:c r="AJ940" s="36" t="str">
        <x:v>2. Thessalonicher 1: als neue, textnahe GEBET-Frage redaktionell freigegeben.</x:v>
      </x:c>
      <x:c r="AK940" s="36" t="str">
        <x:v>FaithPath repo develop/v4 · data/bibles/l1912/2TH.json · data/bibles/otb/2TH.json</x:v>
      </x:c>
      <x:c r="AL940" t="str">
        <x:v>JA</x:v>
      </x:c>
    </x:row>
    <x:row r="941">
      <x:c r="A941" t="str">
        <x:v>FP-1200</x:v>
      </x:c>
      <x:c r="B941" t="str">
        <x:v>2TH</x:v>
      </x:c>
      <x:c r="C941" t="str">
        <x:v>2. Thessalonicher</x:v>
      </x:c>
      <x:c r="D941" t="n">
        <x:v>1</x:v>
      </x:c>
      <x:c r="E941" t="n">
        <x:v>5</x:v>
      </x:c>
      <x:c r="F941" t="str">
        <x:v>2TH-001</x:v>
      </x:c>
      <x:c r="G941" t="n">
        <x:v>188</x:v>
      </x:c>
      <x:c r="H941" t="str">
        <x:v>CQ-A14-18</x:v>
      </x:c>
      <x:c r="I941" s="36" t="str">
        <x:v>Bestandsfrage: exakter Wortlaut in diesem Arbeitsschritt nicht rekonstruiert.</x:v>
      </x:c>
      <x:c r="J941" s="36"/>
      <x:c r="K941" s="36"/>
      <x:c r="L941" s="36" t="str">
        <x:v>MASTER_STATUS_VERIFIZIERT</x:v>
      </x:c>
      <x:c r="M941" s="36" t="str">
        <x:v>ERSETZEN</x:v>
      </x:c>
      <x:c r="N941" s="36" t="str">
        <x:v>BESTAND_NOCH_NICHT_GEPRÜFT</x:v>
      </x:c>
      <x:c r="O941" s="36" t="str">
        <x:v>DIDAKTISCHE_NEUFASSUNG</x:v>
      </x:c>
      <x:c r="P941" s="36" t="str">
        <x:v>ZIEL</x:v>
      </x:c>
      <x:c r="Q941" s="36" t="str">
        <x:v>Welches Ziel verbindet Paulus mit diesem Gebet?</x:v>
      </x:c>
      <x:c r="R941" s="36" t="str">
        <x:v>Dass der Name Jesu in den Glaubenden verherrlicht wird und sie in ihm – nach Gottes Gnade.</x:v>
      </x:c>
      <x:c r="S941" s="36" t="str">
        <x:v>Dass Paulus persönlich mehr Ansehen gewinnt.</x:v>
      </x:c>
      <x:c r="T941" s="36" t="str">
        <x:v>Dass die Gemeinde über andere Gemeinden herrscht.</x:v>
      </x:c>
      <x:c r="U941" s="36" t="str">
        <x:v>Dass niemand mehr auf Gottes Gnade angewiesen ist.</x:v>
      </x:c>
      <x:c r="V941" s="36" t="n">
        <x:v>0</x:v>
      </x:c>
      <x:c r="W941" s="36" t="str">
        <x:v>Dass der Name Jesu in den Glaubenden verherrlicht wird und sie in ihm – nach Gottes Gnade.</x:v>
      </x:c>
      <x:c r="X941" s="36" t="str">
        <x:v>2. Thessalonicher 1,11–12</x:v>
      </x:c>
      <x:c r="Y941" s="36" t="str">
        <x:v>Das Ziel ist nicht menschliche Selbstdarstellung, sondern die Verherrlichung Jesu in einem von Gnade getragenen Leben.</x:v>
      </x:c>
      <x:c r="Z941" s="36" t="str">
        <x:v>JA</x:v>
      </x:c>
      <x:c r="AA941" s="36" t="str">
        <x:v>JA</x:v>
      </x:c>
      <x:c r="AB941" s="36" t="str">
        <x:v>JA</x:v>
      </x:c>
      <x:c r="AC941" s="36" t="str">
        <x:v>JA</x:v>
      </x:c>
      <x:c r="AD941" s="36" t="str">
        <x:v>JA</x:v>
      </x:c>
      <x:c r="AE941" s="36" t="str">
        <x:v>JA</x:v>
      </x:c>
      <x:c r="AF941" s="36" t="str">
        <x:v>JA</x:v>
      </x:c>
      <x:c r="AG941" s="36" t="str">
        <x:v>FREIGEGEBEN</x:v>
      </x:c>
      <x:c r="AH941" s="36" t="str">
        <x:v>GPT-5.6 Sol · Sammelprüfung · L1912/OTB</x:v>
      </x:c>
      <x:c r="AI941" s="36" t="str">
        <x:v>FREIGEGEBEN</x:v>
      </x:c>
      <x:c r="AJ941" s="36" t="str">
        <x:v>2. Thessalonicher 1: als neue, textnahe ZIEL-Frage redaktionell freigegeben.</x:v>
      </x:c>
      <x:c r="AK941" s="36" t="str">
        <x:v>FaithPath repo develop/v4 · data/bibles/l1912/2TH.json · data/bibles/otb/2TH.json</x:v>
      </x:c>
      <x:c r="AL941" t="str">
        <x:v>JA</x:v>
      </x:c>
    </x:row>
    <x:row r="942">
      <x:c r="A942" t="str">
        <x:v>FP-1201</x:v>
      </x:c>
      <x:c r="B942" t="str">
        <x:v>2TH</x:v>
      </x:c>
      <x:c r="C942" t="str">
        <x:v>2. Thessalonicher</x:v>
      </x:c>
      <x:c r="D942" t="n">
        <x:v>2</x:v>
      </x:c>
      <x:c r="E942" t="n">
        <x:v>1</x:v>
      </x:c>
      <x:c r="F942" t="str">
        <x:v>2TH-002</x:v>
      </x:c>
      <x:c r="G942" t="n">
        <x:v>189</x:v>
      </x:c>
      <x:c r="H942" t="str">
        <x:v>CQ-A14-18</x:v>
      </x:c>
      <x:c r="I942" s="36" t="str">
        <x:v>Bestandsfrage: exakter Wortlaut in diesem Arbeitsschritt nicht rekonstruiert.</x:v>
      </x:c>
      <x:c r="J942" s="36"/>
      <x:c r="K942" s="36"/>
      <x:c r="L942" s="36" t="str">
        <x:v>MASTER_STATUS_VERIFIZIERT</x:v>
      </x:c>
      <x:c r="M942" s="36" t="str">
        <x:v>ERSETZEN</x:v>
      </x:c>
      <x:c r="N942" s="36" t="str">
        <x:v>BESTAND_NOCH_NICHT_GEPRÜFT</x:v>
      </x:c>
      <x:c r="O942" s="36" t="str">
        <x:v>DIDAKTISCHE_NEUFASSUNG</x:v>
      </x:c>
      <x:c r="P942" s="36" t="str">
        <x:v>WARNUNG</x:v>
      </x:c>
      <x:c r="Q942" s="36" t="str">
        <x:v>Wie sollen die Thessalonicher auf die Behauptung reagieren, der Tag des Herrn sei bereits da?</x:v>
      </x:c>
      <x:c r="R942" s="36" t="str">
        <x:v>Sie sollen sofort jeden Alltag einstellen.</x:v>
      </x:c>
      <x:c r="S942" s="36" t="str">
        <x:v>Sie sollen sich nicht vorschnell erschüttern oder erschrecken lassen.</x:v>
      </x:c>
      <x:c r="T942" s="36" t="str">
        <x:v>Sie sollen jedem angeblich apostolischen Brief ungeprüft glauben.</x:v>
      </x:c>
      <x:c r="U942" s="36" t="str">
        <x:v>Sie sollen selbst einen genauen Termin berechnen.</x:v>
      </x:c>
      <x:c r="V942" s="36" t="n">
        <x:v>1</x:v>
      </x:c>
      <x:c r="W942" s="36" t="str">
        <x:v>Sie sollen sich nicht vorschnell erschüttern oder erschrecken lassen.</x:v>
      </x:c>
      <x:c r="X942" s="36" t="str">
        <x:v>2. Thessalonicher 2,1–2</x:v>
      </x:c>
      <x:c r="Y942" s="36" t="str">
        <x:v>Paulus will die Gemeinde vor religiöser Panik und vorschnellen Behauptungen über den Tag des Herrn schützen.</x:v>
      </x:c>
      <x:c r="Z942" s="36" t="str">
        <x:v>JA</x:v>
      </x:c>
      <x:c r="AA942" s="36" t="str">
        <x:v>JA</x:v>
      </x:c>
      <x:c r="AB942" s="36" t="str">
        <x:v>JA</x:v>
      </x:c>
      <x:c r="AC942" s="36" t="str">
        <x:v>JA</x:v>
      </x:c>
      <x:c r="AD942" s="36" t="str">
        <x:v>JA</x:v>
      </x:c>
      <x:c r="AE942" s="36" t="str">
        <x:v>JA</x:v>
      </x:c>
      <x:c r="AF942" s="36" t="str">
        <x:v>JA</x:v>
      </x:c>
      <x:c r="AG942" s="36" t="str">
        <x:v>FREIGEGEBEN</x:v>
      </x:c>
      <x:c r="AH942" s="36" t="str">
        <x:v>GPT-5.6 Sol · Sammelprüfung · L1912/OTB</x:v>
      </x:c>
      <x:c r="AI942" s="36" t="str">
        <x:v>FREIGEGEBEN</x:v>
      </x:c>
      <x:c r="AJ942" s="36" t="str">
        <x:v>2. Thessalonicher 2: als neue, textnahe WARNUNG-Frage redaktionell freigegeben.</x:v>
      </x:c>
      <x:c r="AK942" s="36" t="str">
        <x:v>FaithPath repo develop/v4 · data/bibles/l1912/2TH.json · data/bibles/otb/2TH.json</x:v>
      </x:c>
      <x:c r="AL942" t="str">
        <x:v>JA</x:v>
      </x:c>
    </x:row>
    <x:row r="943">
      <x:c r="A943" t="str">
        <x:v>FP-1202</x:v>
      </x:c>
      <x:c r="B943" t="str">
        <x:v>2TH</x:v>
      </x:c>
      <x:c r="C943" t="str">
        <x:v>2. Thessalonicher</x:v>
      </x:c>
      <x:c r="D943" t="n">
        <x:v>2</x:v>
      </x:c>
      <x:c r="E943" t="n">
        <x:v>2</x:v>
      </x:c>
      <x:c r="F943" t="str">
        <x:v>2TH-002</x:v>
      </x:c>
      <x:c r="G943" t="n">
        <x:v>189</x:v>
      </x:c>
      <x:c r="H943" t="str">
        <x:v>CQ-A14-18</x:v>
      </x:c>
      <x:c r="I943" s="36" t="str">
        <x:v>Bestandsfrage: exakter Wortlaut in diesem Arbeitsschritt nicht rekonstruiert.</x:v>
      </x:c>
      <x:c r="J943" s="36"/>
      <x:c r="K943" s="36"/>
      <x:c r="L943" s="36" t="str">
        <x:v>MASTER_STATUS_VERIFIZIERT</x:v>
      </x:c>
      <x:c r="M943" s="36" t="str">
        <x:v>ERSETZEN</x:v>
      </x:c>
      <x:c r="N943" s="36" t="str">
        <x:v>BESTAND_NOCH_NICHT_GEPRÜFT</x:v>
      </x:c>
      <x:c r="O943" s="36" t="str">
        <x:v>DIDAKTISCHE_NEUFASSUNG</x:v>
      </x:c>
      <x:c r="P943" s="36" t="str">
        <x:v>ABLAUF</x:v>
      </x:c>
      <x:c r="Q943" s="36" t="str">
        <x:v>Was nennt Paulus als etwas, das vor diesem Tag geschehen wird?</x:v>
      </x:c>
      <x:c r="R943" s="36" t="str">
        <x:v>Die vollständige Bekehrung des Römischen Reiches.</x:v>
      </x:c>
      <x:c r="S943" s="36" t="str">
        <x:v>Die Wiedererrichtung des salomonischen Tempels als ausdrücklich genanntes Zeichen.</x:v>
      </x:c>
      <x:c r="T943" s="36" t="str">
        <x:v>Den Abfall und die Offenbarung des Menschen der Gesetzlosigkeit.</x:v>
      </x:c>
      <x:c r="U943" s="36" t="str">
        <x:v>Das Ende jeder falschen Lehre in der Gemeinde.</x:v>
      </x:c>
      <x:c r="V943" s="36" t="n">
        <x:v>2</x:v>
      </x:c>
      <x:c r="W943" s="36" t="str">
        <x:v>Den Abfall und die Offenbarung des Menschen der Gesetzlosigkeit.</x:v>
      </x:c>
      <x:c r="X943" s="36" t="str">
        <x:v>2. Thessalonicher 2,3–4</x:v>
      </x:c>
      <x:c r="Y943" s="36" t="str">
        <x:v>Paulus nennt den Abfall und die Offenbarung des gesetzlosen Widersachers als Ereignisse, die der Gemeinde zeigen sollen, dass sie sich nicht täuschen lassen darf.</x:v>
      </x:c>
      <x:c r="Z943" s="36" t="str">
        <x:v>JA</x:v>
      </x:c>
      <x:c r="AA943" s="36" t="str">
        <x:v>JA</x:v>
      </x:c>
      <x:c r="AB943" s="36" t="str">
        <x:v>JA</x:v>
      </x:c>
      <x:c r="AC943" s="36" t="str">
        <x:v>JA</x:v>
      </x:c>
      <x:c r="AD943" s="36" t="str">
        <x:v>JA</x:v>
      </x:c>
      <x:c r="AE943" s="36" t="str">
        <x:v>JA</x:v>
      </x:c>
      <x:c r="AF943" s="36" t="str">
        <x:v>JA</x:v>
      </x:c>
      <x:c r="AG943" s="36" t="str">
        <x:v>FREIGEGEBEN</x:v>
      </x:c>
      <x:c r="AH943" s="36" t="str">
        <x:v>GPT-5.6 Sol · Sammelprüfung · L1912/OTB</x:v>
      </x:c>
      <x:c r="AI943" s="36" t="str">
        <x:v>FREIGEGEBEN</x:v>
      </x:c>
      <x:c r="AJ943" s="36" t="str">
        <x:v>2. Thessalonicher 2: als neue, textnahe ABLAUF-Frage redaktionell freigegeben.</x:v>
      </x:c>
      <x:c r="AK943" s="36" t="str">
        <x:v>FaithPath repo develop/v4 · data/bibles/l1912/2TH.json · data/bibles/otb/2TH.json</x:v>
      </x:c>
      <x:c r="AL943" t="str">
        <x:v>JA</x:v>
      </x:c>
    </x:row>
    <x:row r="944">
      <x:c r="A944" t="str">
        <x:v>FP-1203</x:v>
      </x:c>
      <x:c r="B944" t="str">
        <x:v>2TH</x:v>
      </x:c>
      <x:c r="C944" t="str">
        <x:v>2. Thessalonicher</x:v>
      </x:c>
      <x:c r="D944" t="n">
        <x:v>2</x:v>
      </x:c>
      <x:c r="E944" t="n">
        <x:v>3</x:v>
      </x:c>
      <x:c r="F944" t="str">
        <x:v>2TH-002</x:v>
      </x:c>
      <x:c r="G944" t="n">
        <x:v>189</x:v>
      </x:c>
      <x:c r="H944" t="str">
        <x:v>CQ-A14-18</x:v>
      </x:c>
      <x:c r="I944" s="36" t="str">
        <x:v>Bestandsfrage: exakter Wortlaut in diesem Arbeitsschritt nicht rekonstruiert.</x:v>
      </x:c>
      <x:c r="J944" s="36"/>
      <x:c r="K944" s="36"/>
      <x:c r="L944" s="36" t="str">
        <x:v>MASTER_STATUS_VERIFIZIERT</x:v>
      </x:c>
      <x:c r="M944" s="36" t="str">
        <x:v>ERSETZEN</x:v>
      </x:c>
      <x:c r="N944" s="36" t="str">
        <x:v>BESTAND_NOCH_NICHT_GEPRÜFT</x:v>
      </x:c>
      <x:c r="O944" s="36" t="str">
        <x:v>DIDAKTISCHE_NEUFASSUNG</x:v>
      </x:c>
      <x:c r="P944" s="36" t="str">
        <x:v>CHRISTUS</x:v>
      </x:c>
      <x:c r="Q944" s="36" t="str">
        <x:v>Wie endet nach Paulus die Macht des Gesetzlosen?</x:v>
      </x:c>
      <x:c r="R944" s="36" t="str">
        <x:v>Er besiegt Jesus am Ende.</x:v>
      </x:c>
      <x:c r="S944" s="36" t="str">
        <x:v>Er verschwindet allein durch menschliche Politik.</x:v>
      </x:c>
      <x:c r="T944" s="36" t="str">
        <x:v>Seine Macht bleibt neben Christus dauerhaft bestehen.</x:v>
      </x:c>
      <x:c r="U944" s="36" t="str">
        <x:v>Der Herr Jesus wird ihm durch die Erscheinung seiner Ankunft ein Ende machen.</x:v>
      </x:c>
      <x:c r="V944" s="36" t="n">
        <x:v>3</x:v>
      </x:c>
      <x:c r="W944" s="36" t="str">
        <x:v>Der Herr Jesus wird ihm durch die Erscheinung seiner Ankunft ein Ende machen.</x:v>
      </x:c>
      <x:c r="X944" s="36" t="str">
        <x:v>2. Thessalonicher 2,8</x:v>
      </x:c>
      <x:c r="Y944" s="36" t="str">
        <x:v>Die endgültige Überlegenheit liegt im Text eindeutig bei Christus; seine Erscheinung beendet die Macht des Gesetzlosen.</x:v>
      </x:c>
      <x:c r="Z944" s="36" t="str">
        <x:v>JA</x:v>
      </x:c>
      <x:c r="AA944" s="36" t="str">
        <x:v>JA</x:v>
      </x:c>
      <x:c r="AB944" s="36" t="str">
        <x:v>JA</x:v>
      </x:c>
      <x:c r="AC944" s="36" t="str">
        <x:v>JA</x:v>
      </x:c>
      <x:c r="AD944" s="36" t="str">
        <x:v>JA</x:v>
      </x:c>
      <x:c r="AE944" s="36" t="str">
        <x:v>JA</x:v>
      </x:c>
      <x:c r="AF944" s="36" t="str">
        <x:v>JA</x:v>
      </x:c>
      <x:c r="AG944" s="36" t="str">
        <x:v>FREIGEGEBEN</x:v>
      </x:c>
      <x:c r="AH944" s="36" t="str">
        <x:v>GPT-5.6 Sol · Sammelprüfung · L1912/OTB</x:v>
      </x:c>
      <x:c r="AI944" s="36" t="str">
        <x:v>FREIGEGEBEN</x:v>
      </x:c>
      <x:c r="AJ944" s="36" t="str">
        <x:v>2. Thessalonicher 2: als neue, textnahe CHRISTUS-Frage redaktionell freigegeben.</x:v>
      </x:c>
      <x:c r="AK944" s="36" t="str">
        <x:v>FaithPath repo develop/v4 · data/bibles/l1912/2TH.json · data/bibles/otb/2TH.json</x:v>
      </x:c>
      <x:c r="AL944" t="str">
        <x:v>JA</x:v>
      </x:c>
    </x:row>
    <x:row r="945">
      <x:c r="A945" t="str">
        <x:v>FP-1204</x:v>
      </x:c>
      <x:c r="B945" t="str">
        <x:v>2TH</x:v>
      </x:c>
      <x:c r="C945" t="str">
        <x:v>2. Thessalonicher</x:v>
      </x:c>
      <x:c r="D945" t="n">
        <x:v>2</x:v>
      </x:c>
      <x:c r="E945" t="n">
        <x:v>4</x:v>
      </x:c>
      <x:c r="F945" t="str">
        <x:v>2TH-002</x:v>
      </x:c>
      <x:c r="G945" t="n">
        <x:v>189</x:v>
      </x:c>
      <x:c r="H945" t="str">
        <x:v>CQ-A14-18</x:v>
      </x:c>
      <x:c r="I945" s="36" t="str">
        <x:v>Bestandsfrage: exakter Wortlaut in diesem Arbeitsschritt nicht rekonstruiert.</x:v>
      </x:c>
      <x:c r="J945" s="36"/>
      <x:c r="K945" s="36"/>
      <x:c r="L945" s="36" t="str">
        <x:v>MASTER_STATUS_VERIFIZIERT</x:v>
      </x:c>
      <x:c r="M945" s="36" t="str">
        <x:v>ERSETZEN</x:v>
      </x:c>
      <x:c r="N945" s="36" t="str">
        <x:v>BESTAND_NOCH_NICHT_GEPRÜFT</x:v>
      </x:c>
      <x:c r="O945" s="36" t="str">
        <x:v>DIDAKTISCHE_NEUFASSUNG</x:v>
      </x:c>
      <x:c r="P945" s="36" t="str">
        <x:v>UNTERSCHEIDUNG</x:v>
      </x:c>
      <x:c r="Q945" s="36" t="str">
        <x:v>Warum fallen Menschen nach 2. Thessalonicher 2 der Verführung zum Opfer?</x:v>
      </x:c>
      <x:c r="R945" s="36" t="str">
        <x:v>Weil sie die Liebe zur Wahrheit nicht angenommen haben.</x:v>
      </x:c>
      <x:c r="S945" s="36" t="str">
        <x:v>Weil sie zu wenig politische Bildung besitzen.</x:v>
      </x:c>
      <x:c r="T945" s="36" t="str">
        <x:v>Weil sie keine bestimmten Speisen meiden.</x:v>
      </x:c>
      <x:c r="U945" s="36" t="str">
        <x:v>Weil sie den Zeitpunkt der Wiederkunft nicht berechnet haben.</x:v>
      </x:c>
      <x:c r="V945" s="36" t="n">
        <x:v>0</x:v>
      </x:c>
      <x:c r="W945" s="36" t="str">
        <x:v>Weil sie die Liebe zur Wahrheit nicht angenommen haben.</x:v>
      </x:c>
      <x:c r="X945" s="36" t="str">
        <x:v>2. Thessalonicher 2,9–12</x:v>
      </x:c>
      <x:c r="Y945" s="36" t="str">
        <x:v>Der entscheidende Gegensatz ist Wahrheit gegen Täuschung. Paulus beschreibt eine verweigerte Liebe zur Wahrheit als Kern des Problems.</x:v>
      </x:c>
      <x:c r="Z945" s="36" t="str">
        <x:v>JA</x:v>
      </x:c>
      <x:c r="AA945" s="36" t="str">
        <x:v>JA</x:v>
      </x:c>
      <x:c r="AB945" s="36" t="str">
        <x:v>JA</x:v>
      </x:c>
      <x:c r="AC945" s="36" t="str">
        <x:v>JA</x:v>
      </x:c>
      <x:c r="AD945" s="36" t="str">
        <x:v>JA</x:v>
      </x:c>
      <x:c r="AE945" s="36" t="str">
        <x:v>JA</x:v>
      </x:c>
      <x:c r="AF945" s="36" t="str">
        <x:v>JA</x:v>
      </x:c>
      <x:c r="AG945" s="36" t="str">
        <x:v>FREIGEGEBEN</x:v>
      </x:c>
      <x:c r="AH945" s="36" t="str">
        <x:v>GPT-5.6 Sol · Sammelprüfung · L1912/OTB</x:v>
      </x:c>
      <x:c r="AI945" s="36" t="str">
        <x:v>FREIGEGEBEN</x:v>
      </x:c>
      <x:c r="AJ945" s="36" t="str">
        <x:v>2. Thessalonicher 2: als neue, textnahe UNTERSCHEIDUNG-Frage redaktionell freigegeben.</x:v>
      </x:c>
      <x:c r="AK945" s="36" t="str">
        <x:v>FaithPath repo develop/v4 · data/bibles/l1912/2TH.json · data/bibles/otb/2TH.json</x:v>
      </x:c>
      <x:c r="AL945" t="str">
        <x:v>JA</x:v>
      </x:c>
    </x:row>
    <x:row r="946">
      <x:c r="A946" t="str">
        <x:v>FP-1205</x:v>
      </x:c>
      <x:c r="B946" t="str">
        <x:v>2TH</x:v>
      </x:c>
      <x:c r="C946" t="str">
        <x:v>2. Thessalonicher</x:v>
      </x:c>
      <x:c r="D946" t="n">
        <x:v>2</x:v>
      </x:c>
      <x:c r="E946" t="n">
        <x:v>5</x:v>
      </x:c>
      <x:c r="F946" t="str">
        <x:v>2TH-002</x:v>
      </x:c>
      <x:c r="G946" t="n">
        <x:v>189</x:v>
      </x:c>
      <x:c r="H946" t="str">
        <x:v>CQ-A14-18</x:v>
      </x:c>
      <x:c r="I946" s="36" t="str">
        <x:v>Bestandsfrage: exakter Wortlaut in diesem Arbeitsschritt nicht rekonstruiert.</x:v>
      </x:c>
      <x:c r="J946" s="36"/>
      <x:c r="K946" s="36"/>
      <x:c r="L946" s="36" t="str">
        <x:v>MASTER_STATUS_VERIFIZIERT</x:v>
      </x:c>
      <x:c r="M946" s="36" t="str">
        <x:v>ERSETZEN</x:v>
      </x:c>
      <x:c r="N946" s="36" t="str">
        <x:v>BESTAND_NOCH_NICHT_GEPRÜFT</x:v>
      </x:c>
      <x:c r="O946" s="36" t="str">
        <x:v>DIDAKTISCHE_NEUFASSUNG</x:v>
      </x:c>
      <x:c r="P946" s="36" t="str">
        <x:v>ANWENDUNG</x:v>
      </x:c>
      <x:c r="Q946" s="36" t="str">
        <x:v>Welche Reaktion fordert Paulus von den Glaubenden nach seinen Aussagen über Verführung und Zukunft?</x:v>
      </x:c>
      <x:c r="R946" s="36" t="str">
        <x:v>Sich aus jeder Gemeinschaft zurückzuziehen.</x:v>
      </x:c>
      <x:c r="S946" s="36" t="str">
        <x:v>Festzustehen und an der empfangenen apostolischen Unterweisung festzuhalten.</x:v>
      </x:c>
      <x:c r="T946" s="36" t="str">
        <x:v>Nur noch über Endzeitfragen zu sprechen.</x:v>
      </x:c>
      <x:c r="U946" s="36" t="str">
        <x:v>Alle früheren Unterweisungen zu verwerfen.</x:v>
      </x:c>
      <x:c r="V946" s="36" t="n">
        <x:v>1</x:v>
      </x:c>
      <x:c r="W946" s="36" t="str">
        <x:v>Festzustehen und an der empfangenen apostolischen Unterweisung festzuhalten.</x:v>
      </x:c>
      <x:c r="X946" s="36" t="str">
        <x:v>2. Thessalonicher 2,13–17</x:v>
      </x:c>
      <x:c r="Y946" s="36" t="str">
        <x:v>Die praktische Antwort auf Verunsicherung ist Standfestigkeit. Paulus verbindet sie mit Gottes Liebe, Trost, Hoffnung und Stärkung zu guten Werken und Worten.</x:v>
      </x:c>
      <x:c r="Z946" s="36" t="str">
        <x:v>JA</x:v>
      </x:c>
      <x:c r="AA946" s="36" t="str">
        <x:v>JA</x:v>
      </x:c>
      <x:c r="AB946" s="36" t="str">
        <x:v>JA</x:v>
      </x:c>
      <x:c r="AC946" s="36" t="str">
        <x:v>JA</x:v>
      </x:c>
      <x:c r="AD946" s="36" t="str">
        <x:v>JA</x:v>
      </x:c>
      <x:c r="AE946" s="36" t="str">
        <x:v>JA</x:v>
      </x:c>
      <x:c r="AF946" s="36" t="str">
        <x:v>JA</x:v>
      </x:c>
      <x:c r="AG946" s="36" t="str">
        <x:v>FREIGEGEBEN</x:v>
      </x:c>
      <x:c r="AH946" s="36" t="str">
        <x:v>GPT-5.6 Sol · Sammelprüfung · L1912/OTB</x:v>
      </x:c>
      <x:c r="AI946" s="36" t="str">
        <x:v>FREIGEGEBEN</x:v>
      </x:c>
      <x:c r="AJ946" s="36" t="str">
        <x:v>2. Thessalonicher 2: als neue, textnahe ANWENDUNG-Frage redaktionell freigegeben.</x:v>
      </x:c>
      <x:c r="AK946" s="36" t="str">
        <x:v>FaithPath repo develop/v4 · data/bibles/l1912/2TH.json · data/bibles/otb/2TH.json</x:v>
      </x:c>
      <x:c r="AL946" t="str">
        <x:v>JA</x:v>
      </x:c>
    </x:row>
    <x:row r="947">
      <x:c r="A947" t="str">
        <x:v>FP-1206</x:v>
      </x:c>
      <x:c r="B947" t="str">
        <x:v>2TH</x:v>
      </x:c>
      <x:c r="C947" t="str">
        <x:v>2. Thessalonicher</x:v>
      </x:c>
      <x:c r="D947" t="n">
        <x:v>3</x:v>
      </x:c>
      <x:c r="E947" t="n">
        <x:v>1</x:v>
      </x:c>
      <x:c r="F947" t="str">
        <x:v>2TH-003</x:v>
      </x:c>
      <x:c r="G947" t="n">
        <x:v>190</x:v>
      </x:c>
      <x:c r="H947" t="str">
        <x:v>CQ-A14-18</x:v>
      </x:c>
      <x:c r="I947" s="36" t="str">
        <x:v>Bestandsfrage: exakter Wortlaut in diesem Arbeitsschritt nicht rekonstruiert.</x:v>
      </x:c>
      <x:c r="J947" s="36"/>
      <x:c r="K947" s="36"/>
      <x:c r="L947" s="36" t="str">
        <x:v>MASTER_STATUS_VERIFIZIERT</x:v>
      </x:c>
      <x:c r="M947" s="36" t="str">
        <x:v>ERSETZEN</x:v>
      </x:c>
      <x:c r="N947" s="36" t="str">
        <x:v>BESTAND_NOCH_NICHT_GEPRÜFT</x:v>
      </x:c>
      <x:c r="O947" s="36" t="str">
        <x:v>DIDAKTISCHE_NEUFASSUNG</x:v>
      </x:c>
      <x:c r="P947" s="36" t="str">
        <x:v>GEBET</x:v>
      </x:c>
      <x:c r="Q947" s="36" t="str">
        <x:v>Wofür bittet Paulus die Gemeinde zu beten?</x:v>
      </x:c>
      <x:c r="R947" s="36" t="str">
        <x:v>Dass Paulus nie wieder auf Widerstand trifft.</x:v>
      </x:c>
      <x:c r="S947" s="36" t="str">
        <x:v>Dass nur Thessalonich das Evangelium hören darf.</x:v>
      </x:c>
      <x:c r="T947" s="36" t="str">
        <x:v>Dass sich das Wort des Herrn schnell verbreitet und geehrt wird.</x:v>
      </x:c>
      <x:c r="U947" s="36" t="str">
        <x:v>Dass alle Gegner sofort politisch entmachtet werden.</x:v>
      </x:c>
      <x:c r="V947" s="36" t="n">
        <x:v>2</x:v>
      </x:c>
      <x:c r="W947" s="36" t="str">
        <x:v>Dass sich das Wort des Herrn schnell verbreitet und geehrt wird.</x:v>
      </x:c>
      <x:c r="X947" s="36" t="str">
        <x:v>2. Thessalonicher 3,1–2</x:v>
      </x:c>
      <x:c r="Y947" s="36" t="str">
        <x:v>Paulus bittet um Fürbitte für die Ausbreitung des Evangeliums und zugleich um Bewahrung vor bösen Menschen.</x:v>
      </x:c>
      <x:c r="Z947" s="36" t="str">
        <x:v>JA</x:v>
      </x:c>
      <x:c r="AA947" s="36" t="str">
        <x:v>JA</x:v>
      </x:c>
      <x:c r="AB947" s="36" t="str">
        <x:v>JA</x:v>
      </x:c>
      <x:c r="AC947" s="36" t="str">
        <x:v>JA</x:v>
      </x:c>
      <x:c r="AD947" s="36" t="str">
        <x:v>JA</x:v>
      </x:c>
      <x:c r="AE947" s="36" t="str">
        <x:v>JA</x:v>
      </x:c>
      <x:c r="AF947" s="36" t="str">
        <x:v>JA</x:v>
      </x:c>
      <x:c r="AG947" s="36" t="str">
        <x:v>FREIGEGEBEN</x:v>
      </x:c>
      <x:c r="AH947" s="36" t="str">
        <x:v>GPT-5.6 Sol · Sammelprüfung · L1912/OTB</x:v>
      </x:c>
      <x:c r="AI947" s="36" t="str">
        <x:v>FREIGEGEBEN</x:v>
      </x:c>
      <x:c r="AJ947" s="36" t="str">
        <x:v>2. Thessalonicher 3: als neue, textnahe GEBET-Frage redaktionell freigegeben.</x:v>
      </x:c>
      <x:c r="AK947" s="36" t="str">
        <x:v>FaithPath repo develop/v4 · data/bibles/l1912/2TH.json · data/bibles/otb/2TH.json</x:v>
      </x:c>
      <x:c r="AL947" t="str">
        <x:v>JA</x:v>
      </x:c>
    </x:row>
    <x:row r="948">
      <x:c r="A948" t="str">
        <x:v>FP-1207</x:v>
      </x:c>
      <x:c r="B948" t="str">
        <x:v>2TH</x:v>
      </x:c>
      <x:c r="C948" t="str">
        <x:v>2. Thessalonicher</x:v>
      </x:c>
      <x:c r="D948" t="n">
        <x:v>3</x:v>
      </x:c>
      <x:c r="E948" t="n">
        <x:v>2</x:v>
      </x:c>
      <x:c r="F948" t="str">
        <x:v>2TH-003</x:v>
      </x:c>
      <x:c r="G948" t="n">
        <x:v>190</x:v>
      </x:c>
      <x:c r="H948" t="str">
        <x:v>CQ-A14-18</x:v>
      </x:c>
      <x:c r="I948" s="36" t="str">
        <x:v>Bestandsfrage: exakter Wortlaut in diesem Arbeitsschritt nicht rekonstruiert.</x:v>
      </x:c>
      <x:c r="J948" s="36"/>
      <x:c r="K948" s="36"/>
      <x:c r="L948" s="36" t="str">
        <x:v>MASTER_STATUS_VERIFIZIERT</x:v>
      </x:c>
      <x:c r="M948" s="36" t="str">
        <x:v>ERSETZEN</x:v>
      </x:c>
      <x:c r="N948" s="36" t="str">
        <x:v>BESTAND_NOCH_NICHT_GEPRÜFT</x:v>
      </x:c>
      <x:c r="O948" s="36" t="str">
        <x:v>DIDAKTISCHE_NEUFASSUNG</x:v>
      </x:c>
      <x:c r="P948" s="36" t="str">
        <x:v>ZUVERSICHT</x:v>
      </x:c>
      <x:c r="Q948" s="36" t="str">
        <x:v>Worauf gründet Paulus seine Zuversicht für die Gemeinde?</x:v>
      </x:c>
      <x:c r="R948" s="36" t="str">
        <x:v>Auf die Fehlerlosigkeit der Thessalonicher.</x:v>
      </x:c>
      <x:c r="S948" s="36" t="str">
        <x:v>Auf die Stärke ihrer wirtschaftlichen Lage.</x:v>
      </x:c>
      <x:c r="T948" s="36" t="str">
        <x:v>Auf die Abwesenheit jeder Versuchung.</x:v>
      </x:c>
      <x:c r="U948" s="36" t="str">
        <x:v>Auf die Treue des Herrn, der sie stärken und vor dem Bösen bewahren wird.</x:v>
      </x:c>
      <x:c r="V948" s="36" t="n">
        <x:v>3</x:v>
      </x:c>
      <x:c r="W948" s="36" t="str">
        <x:v>Auf die Treue des Herrn, der sie stärken und vor dem Bösen bewahren wird.</x:v>
      </x:c>
      <x:c r="X948" s="36" t="str">
        <x:v>2. Thessalonicher 3,3–5</x:v>
      </x:c>
      <x:c r="Y948" s="36" t="str">
        <x:v>Paulus richtet die letzte Zuversicht nicht auf menschliche Leistung, sondern auf die Treue des Herrn.</x:v>
      </x:c>
      <x:c r="Z948" s="36" t="str">
        <x:v>JA</x:v>
      </x:c>
      <x:c r="AA948" s="36" t="str">
        <x:v>JA</x:v>
      </x:c>
      <x:c r="AB948" s="36" t="str">
        <x:v>JA</x:v>
      </x:c>
      <x:c r="AC948" s="36" t="str">
        <x:v>JA</x:v>
      </x:c>
      <x:c r="AD948" s="36" t="str">
        <x:v>JA</x:v>
      </x:c>
      <x:c r="AE948" s="36" t="str">
        <x:v>JA</x:v>
      </x:c>
      <x:c r="AF948" s="36" t="str">
        <x:v>JA</x:v>
      </x:c>
      <x:c r="AG948" s="36" t="str">
        <x:v>FREIGEGEBEN</x:v>
      </x:c>
      <x:c r="AH948" s="36" t="str">
        <x:v>GPT-5.6 Sol · Sammelprüfung · L1912/OTB</x:v>
      </x:c>
      <x:c r="AI948" s="36" t="str">
        <x:v>FREIGEGEBEN</x:v>
      </x:c>
      <x:c r="AJ948" s="36" t="str">
        <x:v>2. Thessalonicher 3: als neue, textnahe ZUVERSICHT-Frage redaktionell freigegeben.</x:v>
      </x:c>
      <x:c r="AK948" s="36" t="str">
        <x:v>FaithPath repo develop/v4 · data/bibles/l1912/2TH.json · data/bibles/otb/2TH.json</x:v>
      </x:c>
      <x:c r="AL948" t="str">
        <x:v>JA</x:v>
      </x:c>
    </x:row>
    <x:row r="949">
      <x:c r="A949" t="str">
        <x:v>FP-1208</x:v>
      </x:c>
      <x:c r="B949" t="str">
        <x:v>2TH</x:v>
      </x:c>
      <x:c r="C949" t="str">
        <x:v>2. Thessalonicher</x:v>
      </x:c>
      <x:c r="D949" t="n">
        <x:v>3</x:v>
      </x:c>
      <x:c r="E949" t="n">
        <x:v>3</x:v>
      </x:c>
      <x:c r="F949" t="str">
        <x:v>2TH-003</x:v>
      </x:c>
      <x:c r="G949" t="n">
        <x:v>190</x:v>
      </x:c>
      <x:c r="H949" t="str">
        <x:v>CQ-A14-18</x:v>
      </x:c>
      <x:c r="I949" s="36" t="str">
        <x:v>Bestandsfrage: exakter Wortlaut in diesem Arbeitsschritt nicht rekonstruiert.</x:v>
      </x:c>
      <x:c r="J949" s="36"/>
      <x:c r="K949" s="36"/>
      <x:c r="L949" s="36" t="str">
        <x:v>MASTER_STATUS_VERIFIZIERT</x:v>
      </x:c>
      <x:c r="M949" s="36" t="str">
        <x:v>ERSETZEN</x:v>
      </x:c>
      <x:c r="N949" s="36" t="str">
        <x:v>BESTAND_NOCH_NICHT_GEPRÜFT</x:v>
      </x:c>
      <x:c r="O949" s="36" t="str">
        <x:v>DIDAKTISCHE_NEUFASSUNG</x:v>
      </x:c>
      <x:c r="P949" s="36" t="str">
        <x:v>VORBILD</x:v>
      </x:c>
      <x:c r="Q949" s="36" t="str">
        <x:v>Warum erinnert Paulus an seine eigene Arbeit bei Tag und Nacht?</x:v>
      </x:c>
      <x:c r="R949" s="36" t="str">
        <x:v>Er wollte der Gemeinde nicht zur Last fallen und ihr zugleich ein Vorbild geben.</x:v>
      </x:c>
      <x:c r="S949" s="36" t="str">
        <x:v>Er hielt Verkündigung für weniger wichtig als Arbeit.</x:v>
      </x:c>
      <x:c r="T949" s="36" t="str">
        <x:v>Er durfte Unterstützung grundsätzlich nie annehmen.</x:v>
      </x:c>
      <x:c r="U949" s="36" t="str">
        <x:v>Er wollte beweisen, dass nur körperlich Arbeitende Christen sein können.</x:v>
      </x:c>
      <x:c r="V949" s="36" t="n">
        <x:v>0</x:v>
      </x:c>
      <x:c r="W949" s="36" t="str">
        <x:v>Er wollte der Gemeinde nicht zur Last fallen und ihr zugleich ein Vorbild geben.</x:v>
      </x:c>
      <x:c r="X949" s="36" t="str">
        <x:v>2. Thessalonicher 3,6–10</x:v>
      </x:c>
      <x:c r="Y949" s="36" t="str">
        <x:v>Paulus hatte grundsätzlich ein Recht auf Unterstützung, verzichtete aber darauf, um der Gemeinde ein glaubwürdiges Beispiel zu geben.</x:v>
      </x:c>
      <x:c r="Z949" s="36" t="str">
        <x:v>JA</x:v>
      </x:c>
      <x:c r="AA949" s="36" t="str">
        <x:v>JA</x:v>
      </x:c>
      <x:c r="AB949" s="36" t="str">
        <x:v>JA</x:v>
      </x:c>
      <x:c r="AC949" s="36" t="str">
        <x:v>JA</x:v>
      </x:c>
      <x:c r="AD949" s="36" t="str">
        <x:v>JA</x:v>
      </x:c>
      <x:c r="AE949" s="36" t="str">
        <x:v>JA</x:v>
      </x:c>
      <x:c r="AF949" s="36" t="str">
        <x:v>JA</x:v>
      </x:c>
      <x:c r="AG949" s="36" t="str">
        <x:v>FREIGEGEBEN</x:v>
      </x:c>
      <x:c r="AH949" s="36" t="str">
        <x:v>GPT-5.6 Sol · Sammelprüfung · L1912/OTB</x:v>
      </x:c>
      <x:c r="AI949" s="36" t="str">
        <x:v>FREIGEGEBEN</x:v>
      </x:c>
      <x:c r="AJ949" s="36" t="str">
        <x:v>2. Thessalonicher 3: als neue, textnahe VORBILD-Frage redaktionell freigegeben.</x:v>
      </x:c>
      <x:c r="AK949" s="36" t="str">
        <x:v>FaithPath repo develop/v4 · data/bibles/l1912/2TH.json · data/bibles/otb/2TH.json</x:v>
      </x:c>
      <x:c r="AL949" t="str">
        <x:v>JA</x:v>
      </x:c>
    </x:row>
    <x:row r="950">
      <x:c r="A950" t="str">
        <x:v>FP-1209</x:v>
      </x:c>
      <x:c r="B950" t="str">
        <x:v>2TH</x:v>
      </x:c>
      <x:c r="C950" t="str">
        <x:v>2. Thessalonicher</x:v>
      </x:c>
      <x:c r="D950" t="n">
        <x:v>3</x:v>
      </x:c>
      <x:c r="E950" t="n">
        <x:v>4</x:v>
      </x:c>
      <x:c r="F950" t="str">
        <x:v>2TH-003</x:v>
      </x:c>
      <x:c r="G950" t="n">
        <x:v>190</x:v>
      </x:c>
      <x:c r="H950" t="str">
        <x:v>CQ-A14-18</x:v>
      </x:c>
      <x:c r="I950" s="36" t="str">
        <x:v>Bestandsfrage: exakter Wortlaut in diesem Arbeitsschritt nicht rekonstruiert.</x:v>
      </x:c>
      <x:c r="J950" s="36"/>
      <x:c r="K950" s="36"/>
      <x:c r="L950" s="36" t="str">
        <x:v>MASTER_STATUS_VERIFIZIERT</x:v>
      </x:c>
      <x:c r="M950" s="36" t="str">
        <x:v>ERSETZEN</x:v>
      </x:c>
      <x:c r="N950" s="36" t="str">
        <x:v>BESTAND_NOCH_NICHT_GEPRÜFT</x:v>
      </x:c>
      <x:c r="O950" s="36" t="str">
        <x:v>DIDAKTISCHE_NEUFASSUNG</x:v>
      </x:c>
      <x:c r="P950" s="36" t="str">
        <x:v>ANWENDUNG</x:v>
      </x:c>
      <x:c r="Q950" s="36" t="str">
        <x:v>Was sollen diejenigen tun, die ungeordnet leben und nicht arbeiten, sondern sich in fremde Angelegenheiten einmischen?</x:v>
      </x:c>
      <x:c r="R950" s="36" t="str">
        <x:v>Von der Arbeit der anderen leben.</x:v>
      </x:c>
      <x:c r="S950" s="36" t="str">
        <x:v>Ruhig arbeiten und ihr eigenes Brot essen.</x:v>
      </x:c>
      <x:c r="T950" s="36" t="str">
        <x:v>Noch stärker in fremde Angelegenheiten eingreifen.</x:v>
      </x:c>
      <x:c r="U950" s="36" t="str">
        <x:v>Die Gemeinde verlassen und nie zurückkehren.</x:v>
      </x:c>
      <x:c r="V950" s="36" t="n">
        <x:v>1</x:v>
      </x:c>
      <x:c r="W950" s="36" t="str">
        <x:v>Ruhig arbeiten und ihr eigenes Brot essen.</x:v>
      </x:c>
      <x:c r="X950" s="36" t="str">
        <x:v>2. Thessalonicher 3,11–12</x:v>
      </x:c>
      <x:c r="Y950" s="36" t="str">
        <x:v>Paulus verbindet einen ruhigen Lebensstil mit eigener Arbeit und Verantwortung.</x:v>
      </x:c>
      <x:c r="Z950" s="36" t="str">
        <x:v>JA</x:v>
      </x:c>
      <x:c r="AA950" s="36" t="str">
        <x:v>JA</x:v>
      </x:c>
      <x:c r="AB950" s="36" t="str">
        <x:v>JA</x:v>
      </x:c>
      <x:c r="AC950" s="36" t="str">
        <x:v>JA</x:v>
      </x:c>
      <x:c r="AD950" s="36" t="str">
        <x:v>JA</x:v>
      </x:c>
      <x:c r="AE950" s="36" t="str">
        <x:v>JA</x:v>
      </x:c>
      <x:c r="AF950" s="36" t="str">
        <x:v>JA</x:v>
      </x:c>
      <x:c r="AG950" s="36" t="str">
        <x:v>FREIGEGEBEN</x:v>
      </x:c>
      <x:c r="AH950" s="36" t="str">
        <x:v>GPT-5.6 Sol · Sammelprüfung · L1912/OTB</x:v>
      </x:c>
      <x:c r="AI950" s="36" t="str">
        <x:v>FREIGEGEBEN</x:v>
      </x:c>
      <x:c r="AJ950" s="36" t="str">
        <x:v>2. Thessalonicher 3: als neue, textnahe ANWENDUNG-Frage redaktionell freigegeben.</x:v>
      </x:c>
      <x:c r="AK950" s="36" t="str">
        <x:v>FaithPath repo develop/v4 · data/bibles/l1912/2TH.json · data/bibles/otb/2TH.json</x:v>
      </x:c>
      <x:c r="AL950" t="str">
        <x:v>JA</x:v>
      </x:c>
    </x:row>
    <x:row r="951">
      <x:c r="A951" t="str">
        <x:v>FP-1210</x:v>
      </x:c>
      <x:c r="B951" t="str">
        <x:v>2TH</x:v>
      </x:c>
      <x:c r="C951" t="str">
        <x:v>2. Thessalonicher</x:v>
      </x:c>
      <x:c r="D951" t="n">
        <x:v>3</x:v>
      </x:c>
      <x:c r="E951" t="n">
        <x:v>5</x:v>
      </x:c>
      <x:c r="F951" t="str">
        <x:v>2TH-003</x:v>
      </x:c>
      <x:c r="G951" t="n">
        <x:v>190</x:v>
      </x:c>
      <x:c r="H951" t="str">
        <x:v>CQ-A14-18</x:v>
      </x:c>
      <x:c r="I951" s="36" t="str">
        <x:v>Bestandsfrage: exakter Wortlaut in diesem Arbeitsschritt nicht rekonstruiert.</x:v>
      </x:c>
      <x:c r="J951" s="36"/>
      <x:c r="K951" s="36"/>
      <x:c r="L951" s="36" t="str">
        <x:v>MASTER_STATUS_VERIFIZIERT</x:v>
      </x:c>
      <x:c r="M951" s="36" t="str">
        <x:v>ERSETZEN</x:v>
      </x:c>
      <x:c r="N951" s="36" t="str">
        <x:v>BESTAND_NOCH_NICHT_GEPRÜFT</x:v>
      </x:c>
      <x:c r="O951" s="36" t="str">
        <x:v>DIDAKTISCHE_NEUFASSUNG</x:v>
      </x:c>
      <x:c r="P951" s="36" t="str">
        <x:v>GEMEINDELEBEN</x:v>
      </x:c>
      <x:c r="Q951" s="36" t="str">
        <x:v>Wie soll die Gemeinde mit jemandem umgehen, der die apostolische Anweisung hartnäckig nicht beachtet?</x:v>
      </x:c>
      <x:c r="R951" s="36" t="str">
        <x:v>Sie soll ihn wie einen persönlichen Feind behandeln.</x:v>
      </x:c>
      <x:c r="S951" s="36" t="str">
        <x:v>Sie soll sein Verhalten vollständig ignorieren.</x:v>
      </x:c>
      <x:c r="T951" s="36" t="str">
        <x:v>Sie soll Distanz markieren, ihn aber nicht als Feind behandeln, sondern als Bruder ermahnen.</x:v>
      </x:c>
      <x:c r="U951" s="36" t="str">
        <x:v>Sie soll ihm jede Möglichkeit zur Umkehr verwehren.</x:v>
      </x:c>
      <x:c r="V951" s="36" t="n">
        <x:v>2</x:v>
      </x:c>
      <x:c r="W951" s="36" t="str">
        <x:v>Sie soll Distanz markieren, ihn aber nicht als Feind behandeln, sondern als Bruder ermahnen.</x:v>
      </x:c>
      <x:c r="X951" s="36" t="str">
        <x:v>2. Thessalonicher 3,13–15</x:v>
      </x:c>
      <x:c r="Y951" s="36" t="str">
        <x:v>Gemeindedisziplin hat hier ein korrigierendes Ziel. Paulus verbindet klare Grenze und brüderliche Ermahnung.</x:v>
      </x:c>
      <x:c r="Z951" s="36" t="str">
        <x:v>JA</x:v>
      </x:c>
      <x:c r="AA951" s="36" t="str">
        <x:v>JA</x:v>
      </x:c>
      <x:c r="AB951" s="36" t="str">
        <x:v>JA</x:v>
      </x:c>
      <x:c r="AC951" s="36" t="str">
        <x:v>JA</x:v>
      </x:c>
      <x:c r="AD951" s="36" t="str">
        <x:v>JA</x:v>
      </x:c>
      <x:c r="AE951" s="36" t="str">
        <x:v>JA</x:v>
      </x:c>
      <x:c r="AF951" s="36" t="str">
        <x:v>JA</x:v>
      </x:c>
      <x:c r="AG951" s="36" t="str">
        <x:v>FREIGEGEBEN</x:v>
      </x:c>
      <x:c r="AH951" s="36" t="str">
        <x:v>GPT-5.6 Sol · Sammelprüfung · L1912/OTB</x:v>
      </x:c>
      <x:c r="AI951" s="36" t="str">
        <x:v>FREIGEGEBEN</x:v>
      </x:c>
      <x:c r="AJ951" s="36" t="str">
        <x:v>2. Thessalonicher 3: als neue, textnahe GEMEINDELEBEN-Frage redaktionell freigegeben.</x:v>
      </x:c>
      <x:c r="AK951" s="36" t="str">
        <x:v>FaithPath repo develop/v4 · data/bibles/l1912/2TH.json · data/bibles/otb/2TH.json</x:v>
      </x:c>
      <x:c r="AL951" t="str">
        <x:v>JA</x:v>
      </x:c>
    </x:row>
    <x:row r="952">
      <x:c r="A952" t="str">
        <x:v>FP-1211</x:v>
      </x:c>
      <x:c r="B952" t="str">
        <x:v>1TI</x:v>
      </x:c>
      <x:c r="C952" t="str">
        <x:v>1. Timotheus</x:v>
      </x:c>
      <x:c r="D952" t="n">
        <x:v>1</x:v>
      </x:c>
      <x:c r="E952" t="n">
        <x:v>1</x:v>
      </x:c>
      <x:c r="F952" t="str">
        <x:v>1TI-001</x:v>
      </x:c>
      <x:c r="G952" t="n">
        <x:v>191</x:v>
      </x:c>
      <x:c r="H952" t="str">
        <x:v>CQ-A14-18</x:v>
      </x:c>
      <x:c r="I952" s="36" t="str">
        <x:v>Bestandsfrage: exakter Wortlaut in diesem Arbeitsschritt nicht rekonstruiert.</x:v>
      </x:c>
      <x:c r="J952" s="36"/>
      <x:c r="K952" s="36"/>
      <x:c r="L952" s="36" t="str">
        <x:v>MASTER_STATUS_VERIFIZIERT</x:v>
      </x:c>
      <x:c r="M952" s="36" t="str">
        <x:v>ERSETZEN</x:v>
      </x:c>
      <x:c r="N952" s="36" t="str">
        <x:v>BESTAND_NOCH_NICHT_GEPRÜFT</x:v>
      </x:c>
      <x:c r="O952" s="36" t="str">
        <x:v>DIDAKTISCHE_NEUFASSUNG</x:v>
      </x:c>
      <x:c r="P952" s="36" t="str">
        <x:v>AUFTRAG</x:v>
      </x:c>
      <x:c r="Q952" s="36" t="str">
        <x:v>Warum sollte Timotheus in Ephesus bleiben?</x:v>
      </x:c>
      <x:c r="R952" s="36" t="str">
        <x:v>Damit er dort eine politische Verwaltung aufbaut.</x:v>
      </x:c>
      <x:c r="S952" s="36" t="str">
        <x:v>Damit er jede Diskussion in der Gemeinde verbietet.</x:v>
      </x:c>
      <x:c r="T952" s="36" t="str">
        <x:v>Damit er nur noch über Stammbäume predigt.</x:v>
      </x:c>
      <x:c r="U952" s="36" t="str">
        <x:v>Damit er bestimmten Personen gebietet, keine fremden Lehren zu verbreiten und sich nicht in endlosen Spekulationen zu verlieren.</x:v>
      </x:c>
      <x:c r="V952" s="36" t="n">
        <x:v>3</x:v>
      </x:c>
      <x:c r="W952" s="36" t="str">
        <x:v>Damit er bestimmten Personen gebietet, keine fremden Lehren zu verbreiten und sich nicht in endlosen Spekulationen zu verlieren.</x:v>
      </x:c>
      <x:c r="X952" s="36" t="str">
        <x:v>1. Timotheus 1,3–4</x:v>
      </x:c>
      <x:c r="Y952" s="36" t="str">
        <x:v>Timotheus soll Lehre schützen. Paulus stellt spekulative Streitfragen dem Glauben fördernden Auftrag Gottes gegenüber.</x:v>
      </x:c>
      <x:c r="Z952" s="36" t="str">
        <x:v>JA</x:v>
      </x:c>
      <x:c r="AA952" s="36" t="str">
        <x:v>JA</x:v>
      </x:c>
      <x:c r="AB952" s="36" t="str">
        <x:v>JA</x:v>
      </x:c>
      <x:c r="AC952" s="36" t="str">
        <x:v>JA</x:v>
      </x:c>
      <x:c r="AD952" s="36" t="str">
        <x:v>JA</x:v>
      </x:c>
      <x:c r="AE952" s="36" t="str">
        <x:v>JA</x:v>
      </x:c>
      <x:c r="AF952" s="36" t="str">
        <x:v>JA</x:v>
      </x:c>
      <x:c r="AG952" s="36" t="str">
        <x:v>FREIGEGEBEN</x:v>
      </x:c>
      <x:c r="AH952" s="36" t="str">
        <x:v>GPT-5.6 Sol · Sammelprüfung · L1912/OTB</x:v>
      </x:c>
      <x:c r="AI952" s="36" t="str">
        <x:v>FREIGEGEBEN</x:v>
      </x:c>
      <x:c r="AJ952" s="36" t="str">
        <x:v>1. Timotheus 1: als neue, textnahe AUFTRAG-Frage redaktionell freigegeben.</x:v>
      </x:c>
      <x:c r="AK952" s="36" t="str">
        <x:v>FaithPath repo develop/v4 · data/bibles/l1912/1TI.json · data/bibles/otb/1TI.json</x:v>
      </x:c>
      <x:c r="AL952" t="str">
        <x:v>JA</x:v>
      </x:c>
    </x:row>
    <x:row r="953">
      <x:c r="A953" t="str">
        <x:v>FP-1212</x:v>
      </x:c>
      <x:c r="B953" t="str">
        <x:v>1TI</x:v>
      </x:c>
      <x:c r="C953" t="str">
        <x:v>1. Timotheus</x:v>
      </x:c>
      <x:c r="D953" t="n">
        <x:v>1</x:v>
      </x:c>
      <x:c r="E953" t="n">
        <x:v>2</x:v>
      </x:c>
      <x:c r="F953" t="str">
        <x:v>1TI-001</x:v>
      </x:c>
      <x:c r="G953" t="n">
        <x:v>191</x:v>
      </x:c>
      <x:c r="H953" t="str">
        <x:v>CQ-A14-18</x:v>
      </x:c>
      <x:c r="I953" s="36" t="str">
        <x:v>Bestandsfrage: exakter Wortlaut in diesem Arbeitsschritt nicht rekonstruiert.</x:v>
      </x:c>
      <x:c r="J953" s="36"/>
      <x:c r="K953" s="36"/>
      <x:c r="L953" s="36" t="str">
        <x:v>MASTER_STATUS_VERIFIZIERT</x:v>
      </x:c>
      <x:c r="M953" s="36" t="str">
        <x:v>ERSETZEN</x:v>
      </x:c>
      <x:c r="N953" s="36" t="str">
        <x:v>BESTAND_NOCH_NICHT_GEPRÜFT</x:v>
      </x:c>
      <x:c r="O953" s="36" t="str">
        <x:v>DIDAKTISCHE_NEUFASSUNG</x:v>
      </x:c>
      <x:c r="P953" s="36" t="str">
        <x:v>ZIEL</x:v>
      </x:c>
      <x:c r="Q953" s="36" t="str">
        <x:v>Was ist nach 1. Timotheus 1 das Ziel der Unterweisung?</x:v>
      </x:c>
      <x:c r="R953" s="36" t="str">
        <x:v>Liebe aus reinem Herzen, gutem Gewissen und ungeheucheltem Glauben.</x:v>
      </x:c>
      <x:c r="S953" s="36" t="str">
        <x:v>Möglichst viele komplizierte Streitfragen.</x:v>
      </x:c>
      <x:c r="T953" s="36" t="str">
        <x:v>Persönlicher Ruhm für die Lehrenden.</x:v>
      </x:c>
      <x:c r="U953" s="36" t="str">
        <x:v>Eine möglichst strenge Außendarstellung.</x:v>
      </x:c>
      <x:c r="V953" s="36" t="n">
        <x:v>0</x:v>
      </x:c>
      <x:c r="W953" s="36" t="str">
        <x:v>Liebe aus reinem Herzen, gutem Gewissen und ungeheucheltem Glauben.</x:v>
      </x:c>
      <x:c r="X953" s="36" t="str">
        <x:v>1. Timotheus 1,5</x:v>
      </x:c>
      <x:c r="Y953" s="36" t="str">
        <x:v>Gesunde Lehre zielt für Paulus nicht auf bloßes Rechthaben, sondern auf Liebe, ein gutes Gewissen und echten Glauben.</x:v>
      </x:c>
      <x:c r="Z953" s="36" t="str">
        <x:v>JA</x:v>
      </x:c>
      <x:c r="AA953" s="36" t="str">
        <x:v>JA</x:v>
      </x:c>
      <x:c r="AB953" s="36" t="str">
        <x:v>JA</x:v>
      </x:c>
      <x:c r="AC953" s="36" t="str">
        <x:v>JA</x:v>
      </x:c>
      <x:c r="AD953" s="36" t="str">
        <x:v>JA</x:v>
      </x:c>
      <x:c r="AE953" s="36" t="str">
        <x:v>JA</x:v>
      </x:c>
      <x:c r="AF953" s="36" t="str">
        <x:v>JA</x:v>
      </x:c>
      <x:c r="AG953" s="36" t="str">
        <x:v>FREIGEGEBEN</x:v>
      </x:c>
      <x:c r="AH953" s="36" t="str">
        <x:v>GPT-5.6 Sol · Sammelprüfung · L1912/OTB</x:v>
      </x:c>
      <x:c r="AI953" s="36" t="str">
        <x:v>FREIGEGEBEN</x:v>
      </x:c>
      <x:c r="AJ953" s="36" t="str">
        <x:v>1. Timotheus 1: als neue, textnahe ZIEL-Frage redaktionell freigegeben.</x:v>
      </x:c>
      <x:c r="AK953" s="36" t="str">
        <x:v>FaithPath repo develop/v4 · data/bibles/l1912/1TI.json · data/bibles/otb/1TI.json</x:v>
      </x:c>
      <x:c r="AL953" t="str">
        <x:v>JA</x:v>
      </x:c>
    </x:row>
    <x:row r="954">
      <x:c r="A954" t="str">
        <x:v>FP-1213</x:v>
      </x:c>
      <x:c r="B954" t="str">
        <x:v>1TI</x:v>
      </x:c>
      <x:c r="C954" t="str">
        <x:v>1. Timotheus</x:v>
      </x:c>
      <x:c r="D954" t="n">
        <x:v>1</x:v>
      </x:c>
      <x:c r="E954" t="n">
        <x:v>3</x:v>
      </x:c>
      <x:c r="F954" t="str">
        <x:v>1TI-001</x:v>
      </x:c>
      <x:c r="G954" t="n">
        <x:v>191</x:v>
      </x:c>
      <x:c r="H954" t="str">
        <x:v>CQ-A14-18</x:v>
      </x:c>
      <x:c r="I954" s="36" t="str">
        <x:v>Bestandsfrage: exakter Wortlaut in diesem Arbeitsschritt nicht rekonstruiert.</x:v>
      </x:c>
      <x:c r="J954" s="36"/>
      <x:c r="K954" s="36"/>
      <x:c r="L954" s="36" t="str">
        <x:v>MASTER_STATUS_VERIFIZIERT</x:v>
      </x:c>
      <x:c r="M954" s="36" t="str">
        <x:v>ERSETZEN</x:v>
      </x:c>
      <x:c r="N954" s="36" t="str">
        <x:v>BESTAND_NOCH_NICHT_GEPRÜFT</x:v>
      </x:c>
      <x:c r="O954" s="36" t="str">
        <x:v>DIDAKTISCHE_NEUFASSUNG</x:v>
      </x:c>
      <x:c r="P954" s="36" t="str">
        <x:v>GESETZ</x:v>
      </x:c>
      <x:c r="Q954" s="36" t="str">
        <x:v>Wie bewertet Paulus das Gesetz?</x:v>
      </x:c>
      <x:c r="R954" s="36" t="str">
        <x:v>Es ist grundsätzlich böse.</x:v>
      </x:c>
      <x:c r="S954" s="36" t="str">
        <x:v>Es ist gut, wenn es recht gebraucht wird und im Einklang mit der gesunden Lehre steht.</x:v>
      </x:c>
      <x:c r="T954" s="36" t="str">
        <x:v>Es darf nur von Aposteln gelesen werden.</x:v>
      </x:c>
      <x:c r="U954" s="36" t="str">
        <x:v>Es ersetzt das Evangelium.</x:v>
      </x:c>
      <x:c r="V954" s="36" t="n">
        <x:v>1</x:v>
      </x:c>
      <x:c r="W954" s="36" t="str">
        <x:v>Es ist gut, wenn es recht gebraucht wird und im Einklang mit der gesunden Lehre steht.</x:v>
      </x:c>
      <x:c r="X954" s="36" t="str">
        <x:v>1. Timotheus 1,8–11</x:v>
      </x:c>
      <x:c r="Y954" s="36" t="str">
        <x:v>Paulus verwirft das Gesetz nicht, sondern unterscheidet zwischen richtigem und falschem Gebrauch.</x:v>
      </x:c>
      <x:c r="Z954" s="36" t="str">
        <x:v>JA</x:v>
      </x:c>
      <x:c r="AA954" s="36" t="str">
        <x:v>JA</x:v>
      </x:c>
      <x:c r="AB954" s="36" t="str">
        <x:v>JA</x:v>
      </x:c>
      <x:c r="AC954" s="36" t="str">
        <x:v>JA</x:v>
      </x:c>
      <x:c r="AD954" s="36" t="str">
        <x:v>JA</x:v>
      </x:c>
      <x:c r="AE954" s="36" t="str">
        <x:v>JA</x:v>
      </x:c>
      <x:c r="AF954" s="36" t="str">
        <x:v>JA</x:v>
      </x:c>
      <x:c r="AG954" s="36" t="str">
        <x:v>FREIGEGEBEN</x:v>
      </x:c>
      <x:c r="AH954" s="36" t="str">
        <x:v>GPT-5.6 Sol · Sammelprüfung · L1912/OTB</x:v>
      </x:c>
      <x:c r="AI954" s="36" t="str">
        <x:v>FREIGEGEBEN</x:v>
      </x:c>
      <x:c r="AJ954" s="36" t="str">
        <x:v>1. Timotheus 1: als neue, textnahe GESETZ-Frage redaktionell freigegeben.</x:v>
      </x:c>
      <x:c r="AK954" s="36" t="str">
        <x:v>FaithPath repo develop/v4 · data/bibles/l1912/1TI.json · data/bibles/otb/1TI.json</x:v>
      </x:c>
      <x:c r="AL954" t="str">
        <x:v>JA</x:v>
      </x:c>
    </x:row>
    <x:row r="955">
      <x:c r="A955" t="str">
        <x:v>FP-1214</x:v>
      </x:c>
      <x:c r="B955" t="str">
        <x:v>1TI</x:v>
      </x:c>
      <x:c r="C955" t="str">
        <x:v>1. Timotheus</x:v>
      </x:c>
      <x:c r="D955" t="n">
        <x:v>1</x:v>
      </x:c>
      <x:c r="E955" t="n">
        <x:v>4</x:v>
      </x:c>
      <x:c r="F955" t="str">
        <x:v>1TI-001</x:v>
      </x:c>
      <x:c r="G955" t="n">
        <x:v>191</x:v>
      </x:c>
      <x:c r="H955" t="str">
        <x:v>CQ-A14-18</x:v>
      </x:c>
      <x:c r="I955" s="36" t="str">
        <x:v>Bestandsfrage: exakter Wortlaut in diesem Arbeitsschritt nicht rekonstruiert.</x:v>
      </x:c>
      <x:c r="J955" s="36"/>
      <x:c r="K955" s="36"/>
      <x:c r="L955" s="36" t="str">
        <x:v>MASTER_STATUS_VERIFIZIERT</x:v>
      </x:c>
      <x:c r="M955" s="36" t="str">
        <x:v>ERSETZEN</x:v>
      </x:c>
      <x:c r="N955" s="36" t="str">
        <x:v>BESTAND_NOCH_NICHT_GEPRÜFT</x:v>
      </x:c>
      <x:c r="O955" s="36" t="str">
        <x:v>DIDAKTISCHE_NEUFASSUNG</x:v>
      </x:c>
      <x:c r="P955" s="36" t="str">
        <x:v>GNADE</x:v>
      </x:c>
      <x:c r="Q955" s="36" t="str">
        <x:v>Warum nennt Paulus seine eigene Geschichte als Beispiel für Barmherzigkeit?</x:v>
      </x:c>
      <x:c r="R955" s="36" t="str">
        <x:v>Weil Paulus nie schwer gesündigt hatte.</x:v>
      </x:c>
      <x:c r="S955" s="36" t="str">
        <x:v>Weil seine frühere Verfolgung der Gemeinde gerecht gewesen sei.</x:v>
      </x:c>
      <x:c r="T955" s="36" t="str">
        <x:v>Weil Christus an einem früheren Lästerer und Verfolger seine große Geduld zeigen konnte.</x:v>
      </x:c>
      <x:c r="U955" s="36" t="str">
        <x:v>Weil Barmherzigkeit nur Aposteln gilt.</x:v>
      </x:c>
      <x:c r="V955" s="36" t="n">
        <x:v>2</x:v>
      </x:c>
      <x:c r="W955" s="36" t="str">
        <x:v>Weil Christus an einem früheren Lästerer und Verfolger seine große Geduld zeigen konnte.</x:v>
      </x:c>
      <x:c r="X955" s="36" t="str">
        <x:v>1. Timotheus 1,12–16</x:v>
      </x:c>
      <x:c r="Y955" s="36" t="str">
        <x:v>Paulus stellt seine Vergangenheit und Christi Barmherzigkeit nebeneinander. Seine Geschichte soll anderen Glaubenden Hoffnung machen.</x:v>
      </x:c>
      <x:c r="Z955" s="36" t="str">
        <x:v>JA</x:v>
      </x:c>
      <x:c r="AA955" s="36" t="str">
        <x:v>JA</x:v>
      </x:c>
      <x:c r="AB955" s="36" t="str">
        <x:v>JA</x:v>
      </x:c>
      <x:c r="AC955" s="36" t="str">
        <x:v>JA</x:v>
      </x:c>
      <x:c r="AD955" s="36" t="str">
        <x:v>JA</x:v>
      </x:c>
      <x:c r="AE955" s="36" t="str">
        <x:v>JA</x:v>
      </x:c>
      <x:c r="AF955" s="36" t="str">
        <x:v>JA</x:v>
      </x:c>
      <x:c r="AG955" s="36" t="str">
        <x:v>FREIGEGEBEN</x:v>
      </x:c>
      <x:c r="AH955" s="36" t="str">
        <x:v>GPT-5.6 Sol · Sammelprüfung · L1912/OTB</x:v>
      </x:c>
      <x:c r="AI955" s="36" t="str">
        <x:v>FREIGEGEBEN</x:v>
      </x:c>
      <x:c r="AJ955" s="36" t="str">
        <x:v>1. Timotheus 1: als neue, textnahe GNADE-Frage redaktionell freigegeben.</x:v>
      </x:c>
      <x:c r="AK955" s="36" t="str">
        <x:v>FaithPath repo develop/v4 · data/bibles/l1912/1TI.json · data/bibles/otb/1TI.json</x:v>
      </x:c>
      <x:c r="AL955" t="str">
        <x:v>JA</x:v>
      </x:c>
    </x:row>
    <x:row r="956">
      <x:c r="A956" t="str">
        <x:v>FP-1215</x:v>
      </x:c>
      <x:c r="B956" t="str">
        <x:v>1TI</x:v>
      </x:c>
      <x:c r="C956" t="str">
        <x:v>1. Timotheus</x:v>
      </x:c>
      <x:c r="D956" t="n">
        <x:v>1</x:v>
      </x:c>
      <x:c r="E956" t="n">
        <x:v>5</x:v>
      </x:c>
      <x:c r="F956" t="str">
        <x:v>1TI-001</x:v>
      </x:c>
      <x:c r="G956" t="n">
        <x:v>191</x:v>
      </x:c>
      <x:c r="H956" t="str">
        <x:v>CQ-A14-18</x:v>
      </x:c>
      <x:c r="I956" s="36" t="str">
        <x:v>Bestandsfrage: exakter Wortlaut in diesem Arbeitsschritt nicht rekonstruiert.</x:v>
      </x:c>
      <x:c r="J956" s="36"/>
      <x:c r="K956" s="36"/>
      <x:c r="L956" s="36" t="str">
        <x:v>MASTER_STATUS_VERIFIZIERT</x:v>
      </x:c>
      <x:c r="M956" s="36" t="str">
        <x:v>ERSETZEN</x:v>
      </x:c>
      <x:c r="N956" s="36" t="str">
        <x:v>BESTAND_NOCH_NICHT_GEPRÜFT</x:v>
      </x:c>
      <x:c r="O956" s="36" t="str">
        <x:v>DIDAKTISCHE_NEUFASSUNG</x:v>
      </x:c>
      <x:c r="P956" s="36" t="str">
        <x:v>ANWENDUNG</x:v>
      </x:c>
      <x:c r="Q956" s="36" t="str">
        <x:v>Was soll Timotheus bewahren, während er den 'guten Kampf' führt?</x:v>
      </x:c>
      <x:c r="R956" s="36" t="str">
        <x:v>Nur seinen öffentlichen Ruf.</x:v>
      </x:c>
      <x:c r="S956" s="36" t="str">
        <x:v>Seine Unabhängigkeit von jeder Gemeinde.</x:v>
      </x:c>
      <x:c r="T956" s="36" t="str">
        <x:v>Die Zustimmung aller Menschen.</x:v>
      </x:c>
      <x:c r="U956" s="36" t="str">
        <x:v>Den Glauben und ein gutes Gewissen.</x:v>
      </x:c>
      <x:c r="V956" s="36" t="n">
        <x:v>3</x:v>
      </x:c>
      <x:c r="W956" s="36" t="str">
        <x:v>Den Glauben und ein gutes Gewissen.</x:v>
      </x:c>
      <x:c r="X956" s="36" t="str">
        <x:v>1. Timotheus 1,18–20</x:v>
      </x:c>
      <x:c r="Y956" s="36" t="str">
        <x:v>Paulus verbindet geistliche Standfestigkeit mit Glauben und Gewissen und warnt vor dem Schiffbruch des Glaubens.</x:v>
      </x:c>
      <x:c r="Z956" s="36" t="str">
        <x:v>JA</x:v>
      </x:c>
      <x:c r="AA956" s="36" t="str">
        <x:v>JA</x:v>
      </x:c>
      <x:c r="AB956" s="36" t="str">
        <x:v>JA</x:v>
      </x:c>
      <x:c r="AC956" s="36" t="str">
        <x:v>JA</x:v>
      </x:c>
      <x:c r="AD956" s="36" t="str">
        <x:v>JA</x:v>
      </x:c>
      <x:c r="AE956" s="36" t="str">
        <x:v>JA</x:v>
      </x:c>
      <x:c r="AF956" s="36" t="str">
        <x:v>JA</x:v>
      </x:c>
      <x:c r="AG956" s="36" t="str">
        <x:v>FREIGEGEBEN</x:v>
      </x:c>
      <x:c r="AH956" s="36" t="str">
        <x:v>GPT-5.6 Sol · Sammelprüfung · L1912/OTB</x:v>
      </x:c>
      <x:c r="AI956" s="36" t="str">
        <x:v>FREIGEGEBEN</x:v>
      </x:c>
      <x:c r="AJ956" s="36" t="str">
        <x:v>1. Timotheus 1: als neue, textnahe ANWENDUNG-Frage redaktionell freigegeben.</x:v>
      </x:c>
      <x:c r="AK956" s="36" t="str">
        <x:v>FaithPath repo develop/v4 · data/bibles/l1912/1TI.json · data/bibles/otb/1TI.json</x:v>
      </x:c>
      <x:c r="AL956" t="str">
        <x:v>JA</x:v>
      </x:c>
    </x:row>
    <x:row r="957">
      <x:c r="A957" t="str">
        <x:v>FP-1216</x:v>
      </x:c>
      <x:c r="B957" t="str">
        <x:v>1TI</x:v>
      </x:c>
      <x:c r="C957" t="str">
        <x:v>1. Timotheus</x:v>
      </x:c>
      <x:c r="D957" t="n">
        <x:v>2</x:v>
      </x:c>
      <x:c r="E957" t="n">
        <x:v>1</x:v>
      </x:c>
      <x:c r="F957" t="str">
        <x:v>1TI-002</x:v>
      </x:c>
      <x:c r="G957" t="n">
        <x:v>192</x:v>
      </x:c>
      <x:c r="H957" t="str">
        <x:v>CQ-A14-18</x:v>
      </x:c>
      <x:c r="I957" s="36" t="str">
        <x:v>Bestandsfrage: exakter Wortlaut in diesem Arbeitsschritt nicht rekonstruiert.</x:v>
      </x:c>
      <x:c r="J957" s="36"/>
      <x:c r="K957" s="36"/>
      <x:c r="L957" s="36" t="str">
        <x:v>MASTER_STATUS_VERIFIZIERT</x:v>
      </x:c>
      <x:c r="M957" s="36" t="str">
        <x:v>ERSETZEN</x:v>
      </x:c>
      <x:c r="N957" s="36" t="str">
        <x:v>BESTAND_NOCH_NICHT_GEPRÜFT</x:v>
      </x:c>
      <x:c r="O957" s="36" t="str">
        <x:v>DIDAKTISCHE_NEUFASSUNG</x:v>
      </x:c>
      <x:c r="P957" s="36" t="str">
        <x:v>GEBET</x:v>
      </x:c>
      <x:c r="Q957" s="36" t="str">
        <x:v>Für wen sollen nach 1. Timotheus 2 Bitten, Gebete, Fürbitten und Danksagungen dargebracht werden?</x:v>
      </x:c>
      <x:c r="R957" s="36" t="str">
        <x:v>Für alle Menschen, ausdrücklich auch für Könige und andere Verantwortungsträger.</x:v>
      </x:c>
      <x:c r="S957" s="36" t="str">
        <x:v>Nur für Gemeindeleiter.</x:v>
      </x:c>
      <x:c r="T957" s="36" t="str">
        <x:v>Nur für Menschen, die bereits glauben.</x:v>
      </x:c>
      <x:c r="U957" s="36" t="str">
        <x:v>Ausschließlich für die eigene Familie.</x:v>
      </x:c>
      <x:c r="V957" s="36" t="n">
        <x:v>0</x:v>
      </x:c>
      <x:c r="W957" s="36" t="str">
        <x:v>Für alle Menschen, ausdrücklich auch für Könige und andere Verantwortungsträger.</x:v>
      </x:c>
      <x:c r="X957" s="36" t="str">
        <x:v>1. Timotheus 2,1–2</x:v>
      </x:c>
      <x:c r="Y957" s="36" t="str">
        <x:v>Das Gebet wird weit gefasst. Auch öffentliche Verantwortungsträger werden eingeschlossen, mit dem Ziel eines ruhigen und gottesfürchtigen Lebens.</x:v>
      </x:c>
      <x:c r="Z957" s="36" t="str">
        <x:v>JA</x:v>
      </x:c>
      <x:c r="AA957" s="36" t="str">
        <x:v>JA</x:v>
      </x:c>
      <x:c r="AB957" s="36" t="str">
        <x:v>JA</x:v>
      </x:c>
      <x:c r="AC957" s="36" t="str">
        <x:v>JA</x:v>
      </x:c>
      <x:c r="AD957" s="36" t="str">
        <x:v>JA</x:v>
      </x:c>
      <x:c r="AE957" s="36" t="str">
        <x:v>JA</x:v>
      </x:c>
      <x:c r="AF957" s="36" t="str">
        <x:v>JA</x:v>
      </x:c>
      <x:c r="AG957" s="36" t="str">
        <x:v>FREIGEGEBEN</x:v>
      </x:c>
      <x:c r="AH957" s="36" t="str">
        <x:v>GPT-5.6 Sol · Sammelprüfung · L1912/OTB</x:v>
      </x:c>
      <x:c r="AI957" s="36" t="str">
        <x:v>FREIGEGEBEN</x:v>
      </x:c>
      <x:c r="AJ957" s="36" t="str">
        <x:v>1. Timotheus 2: als neue, textnahe GEBET-Frage redaktionell freigegeben.</x:v>
      </x:c>
      <x:c r="AK957" s="36" t="str">
        <x:v>FaithPath repo develop/v4 · data/bibles/l1912/1TI.json · data/bibles/otb/1TI.json</x:v>
      </x:c>
      <x:c r="AL957" t="str">
        <x:v>JA</x:v>
      </x:c>
    </x:row>
    <x:row r="958">
      <x:c r="A958" t="str">
        <x:v>FP-1217</x:v>
      </x:c>
      <x:c r="B958" t="str">
        <x:v>1TI</x:v>
      </x:c>
      <x:c r="C958" t="str">
        <x:v>1. Timotheus</x:v>
      </x:c>
      <x:c r="D958" t="n">
        <x:v>2</x:v>
      </x:c>
      <x:c r="E958" t="n">
        <x:v>2</x:v>
      </x:c>
      <x:c r="F958" t="str">
        <x:v>1TI-002</x:v>
      </x:c>
      <x:c r="G958" t="n">
        <x:v>192</x:v>
      </x:c>
      <x:c r="H958" t="str">
        <x:v>CQ-A14-18</x:v>
      </x:c>
      <x:c r="I958" s="36" t="str">
        <x:v>Bestandsfrage: exakter Wortlaut in diesem Arbeitsschritt nicht rekonstruiert.</x:v>
      </x:c>
      <x:c r="J958" s="36"/>
      <x:c r="K958" s="36"/>
      <x:c r="L958" s="36" t="str">
        <x:v>MASTER_STATUS_VERIFIZIERT</x:v>
      </x:c>
      <x:c r="M958" s="36" t="str">
        <x:v>ERSETZEN</x:v>
      </x:c>
      <x:c r="N958" s="36" t="str">
        <x:v>BESTAND_NOCH_NICHT_GEPRÜFT</x:v>
      </x:c>
      <x:c r="O958" s="36" t="str">
        <x:v>DIDAKTISCHE_NEUFASSUNG</x:v>
      </x:c>
      <x:c r="P958" s="36" t="str">
        <x:v>KERNAUSSAGE</x:v>
      </x:c>
      <x:c r="Q958" s="36" t="str">
        <x:v>Welche Aussage verbindet Paulus mit Gottes Rettungswillen?</x:v>
      </x:c>
      <x:c r="R958" s="36" t="str">
        <x:v>Jeder Mensch ist sein eigener Mittler.</x:v>
      </x:c>
      <x:c r="S958" s="36" t="str">
        <x:v>Es gibt einen Gott und einen Mittler zwischen Gott und Menschen: Christus Jesus, der sich als Lösegeld gab.</x:v>
      </x:c>
      <x:c r="T958" s="36" t="str">
        <x:v>Es gibt viele gleichrangige Mittler.</x:v>
      </x:c>
      <x:c r="U958" s="36" t="str">
        <x:v>Rettung hängt vom politischen Rang ab.</x:v>
      </x:c>
      <x:c r="V958" s="36" t="n">
        <x:v>1</x:v>
      </x:c>
      <x:c r="W958" s="36" t="str">
        <x:v>Es gibt einen Gott und einen Mittler zwischen Gott und Menschen: Christus Jesus, der sich als Lösegeld gab.</x:v>
      </x:c>
      <x:c r="X958" s="36" t="str">
        <x:v>1. Timotheus 2,3–6</x:v>
      </x:c>
      <x:c r="Y958" s="36" t="str">
        <x:v>Paulus verbindet Gottes Wunsch, dass Menschen zur Erkenntnis der Wahrheit kommen, mit Christus als dem einen Mittler.</x:v>
      </x:c>
      <x:c r="Z958" s="36" t="str">
        <x:v>JA</x:v>
      </x:c>
      <x:c r="AA958" s="36" t="str">
        <x:v>JA</x:v>
      </x:c>
      <x:c r="AB958" s="36" t="str">
        <x:v>JA</x:v>
      </x:c>
      <x:c r="AC958" s="36" t="str">
        <x:v>JA</x:v>
      </x:c>
      <x:c r="AD958" s="36" t="str">
        <x:v>JA</x:v>
      </x:c>
      <x:c r="AE958" s="36" t="str">
        <x:v>JA</x:v>
      </x:c>
      <x:c r="AF958" s="36" t="str">
        <x:v>JA</x:v>
      </x:c>
      <x:c r="AG958" s="36" t="str">
        <x:v>FREIGEGEBEN</x:v>
      </x:c>
      <x:c r="AH958" s="36" t="str">
        <x:v>GPT-5.6 Sol · Sammelprüfung · L1912/OTB</x:v>
      </x:c>
      <x:c r="AI958" s="36" t="str">
        <x:v>FREIGEGEBEN</x:v>
      </x:c>
      <x:c r="AJ958" s="36" t="str">
        <x:v>1. Timotheus 2: als neue, textnahe KERNAUSSAGE-Frage redaktionell freigegeben.</x:v>
      </x:c>
      <x:c r="AK958" s="36" t="str">
        <x:v>FaithPath repo develop/v4 · data/bibles/l1912/1TI.json · data/bibles/otb/1TI.json</x:v>
      </x:c>
      <x:c r="AL958" t="str">
        <x:v>JA</x:v>
      </x:c>
    </x:row>
    <x:row r="959">
      <x:c r="A959" t="str">
        <x:v>FP-1218</x:v>
      </x:c>
      <x:c r="B959" t="str">
        <x:v>1TI</x:v>
      </x:c>
      <x:c r="C959" t="str">
        <x:v>1. Timotheus</x:v>
      </x:c>
      <x:c r="D959" t="n">
        <x:v>2</x:v>
      </x:c>
      <x:c r="E959" t="n">
        <x:v>3</x:v>
      </x:c>
      <x:c r="F959" t="str">
        <x:v>1TI-002</x:v>
      </x:c>
      <x:c r="G959" t="n">
        <x:v>192</x:v>
      </x:c>
      <x:c r="H959" t="str">
        <x:v>CQ-A14-18</x:v>
      </x:c>
      <x:c r="I959" s="36" t="str">
        <x:v>Bestandsfrage: exakter Wortlaut in diesem Arbeitsschritt nicht rekonstruiert.</x:v>
      </x:c>
      <x:c r="J959" s="36"/>
      <x:c r="K959" s="36"/>
      <x:c r="L959" s="36" t="str">
        <x:v>MASTER_STATUS_VERIFIZIERT</x:v>
      </x:c>
      <x:c r="M959" s="36" t="str">
        <x:v>ERSETZEN</x:v>
      </x:c>
      <x:c r="N959" s="36" t="str">
        <x:v>BESTAND_NOCH_NICHT_GEPRÜFT</x:v>
      </x:c>
      <x:c r="O959" s="36" t="str">
        <x:v>DIDAKTISCHE_NEUFASSUNG</x:v>
      </x:c>
      <x:c r="P959" s="36" t="str">
        <x:v>HALTUNG</x:v>
      </x:c>
      <x:c r="Q959" s="36" t="str">
        <x:v>Welche Haltung nennt Paulus ausdrücklich für das Gebet der Männer?</x:v>
      </x:c>
      <x:c r="R959" s="36" t="str">
        <x:v>Sie sollen nur schweigend beten.</x:v>
      </x:c>
      <x:c r="S959" s="36" t="str">
        <x:v>Sie sollen zuerst alle Gegner besiegen.</x:v>
      </x:c>
      <x:c r="T959" s="36" t="str">
        <x:v>Sie sollen beten, ohne Zorn und Streit.</x:v>
      </x:c>
      <x:c r="U959" s="36" t="str">
        <x:v>Sie dürfen nur im Tempel beten.</x:v>
      </x:c>
      <x:c r="V959" s="36" t="n">
        <x:v>2</x:v>
      </x:c>
      <x:c r="W959" s="36" t="str">
        <x:v>Sie sollen beten, ohne Zorn und Streit.</x:v>
      </x:c>
      <x:c r="X959" s="36" t="str">
        <x:v>1. Timotheus 2,8</x:v>
      </x:c>
      <x:c r="Y959" s="36" t="str">
        <x:v>Gebet und zwischenmenschliche Haltung werden verbunden: Zorn und Streit passen nicht zu der beschriebenen Gebetshaltung.</x:v>
      </x:c>
      <x:c r="Z959" s="36" t="str">
        <x:v>JA</x:v>
      </x:c>
      <x:c r="AA959" s="36" t="str">
        <x:v>JA</x:v>
      </x:c>
      <x:c r="AB959" s="36" t="str">
        <x:v>JA</x:v>
      </x:c>
      <x:c r="AC959" s="36" t="str">
        <x:v>JA</x:v>
      </x:c>
      <x:c r="AD959" s="36" t="str">
        <x:v>JA</x:v>
      </x:c>
      <x:c r="AE959" s="36" t="str">
        <x:v>JA</x:v>
      </x:c>
      <x:c r="AF959" s="36" t="str">
        <x:v>JA</x:v>
      </x:c>
      <x:c r="AG959" s="36" t="str">
        <x:v>FREIGEGEBEN</x:v>
      </x:c>
      <x:c r="AH959" s="36" t="str">
        <x:v>GPT-5.6 Sol · Sammelprüfung · L1912/OTB</x:v>
      </x:c>
      <x:c r="AI959" s="36" t="str">
        <x:v>FREIGEGEBEN</x:v>
      </x:c>
      <x:c r="AJ959" s="36" t="str">
        <x:v>1. Timotheus 2: als neue, textnahe HALTUNG-Frage redaktionell freigegeben.</x:v>
      </x:c>
      <x:c r="AK959" s="36" t="str">
        <x:v>FaithPath repo develop/v4 · data/bibles/l1912/1TI.json · data/bibles/otb/1TI.json</x:v>
      </x:c>
      <x:c r="AL959" t="str">
        <x:v>JA</x:v>
      </x:c>
    </x:row>
    <x:row r="960">
      <x:c r="A960" t="str">
        <x:v>FP-1219</x:v>
      </x:c>
      <x:c r="B960" t="str">
        <x:v>1TI</x:v>
      </x:c>
      <x:c r="C960" t="str">
        <x:v>1. Timotheus</x:v>
      </x:c>
      <x:c r="D960" t="n">
        <x:v>2</x:v>
      </x:c>
      <x:c r="E960" t="n">
        <x:v>4</x:v>
      </x:c>
      <x:c r="F960" t="str">
        <x:v>1TI-002</x:v>
      </x:c>
      <x:c r="G960" t="n">
        <x:v>192</x:v>
      </x:c>
      <x:c r="H960" t="str">
        <x:v>CQ-A14-18</x:v>
      </x:c>
      <x:c r="I960" s="36" t="str">
        <x:v>Bestandsfrage: exakter Wortlaut in diesem Arbeitsschritt nicht rekonstruiert.</x:v>
      </x:c>
      <x:c r="J960" s="36"/>
      <x:c r="K960" s="36"/>
      <x:c r="L960" s="36" t="str">
        <x:v>MASTER_STATUS_VERIFIZIERT</x:v>
      </x:c>
      <x:c r="M960" s="36" t="str">
        <x:v>ERSETZEN</x:v>
      </x:c>
      <x:c r="N960" s="36" t="str">
        <x:v>BESTAND_NOCH_NICHT_GEPRÜFT</x:v>
      </x:c>
      <x:c r="O960" s="36" t="str">
        <x:v>DIDAKTISCHE_NEUFASSUNG</x:v>
      </x:c>
      <x:c r="P960" s="36" t="str">
        <x:v>ANWENDUNG</x:v>
      </x:c>
      <x:c r="Q960" s="36" t="str">
        <x:v>Womit soll sich gelebte Gottesfurcht nach Paulus besonders zeigen?</x:v>
      </x:c>
      <x:c r="R960" s="36" t="str">
        <x:v>Vor allem mit kostspieliger Kleidung.</x:v>
      </x:c>
      <x:c r="S960" s="36" t="str">
        <x:v>Mit möglichst auffälligem Schmuck.</x:v>
      </x:c>
      <x:c r="T960" s="36" t="str">
        <x:v>Durch gesellschaftliche Stellung.</x:v>
      </x:c>
      <x:c r="U960" s="36" t="str">
        <x:v>Mit guten Werken statt durch demonstrativen Luxus.</x:v>
      </x:c>
      <x:c r="V960" s="36" t="n">
        <x:v>3</x:v>
      </x:c>
      <x:c r="W960" s="36" t="str">
        <x:v>Mit guten Werken statt durch demonstrativen Luxus.</x:v>
      </x:c>
      <x:c r="X960" s="36" t="str">
        <x:v>1. Timotheus 2,9–10</x:v>
      </x:c>
      <x:c r="Y960" s="36" t="str">
        <x:v>Der Kontrast des Abschnitts liegt zwischen äußerer Selbstdarstellung und einem Leben, das Gottesfurcht durch gute Werke sichtbar macht.</x:v>
      </x:c>
      <x:c r="Z960" s="36" t="str">
        <x:v>JA</x:v>
      </x:c>
      <x:c r="AA960" s="36" t="str">
        <x:v>JA</x:v>
      </x:c>
      <x:c r="AB960" s="36" t="str">
        <x:v>JA</x:v>
      </x:c>
      <x:c r="AC960" s="36" t="str">
        <x:v>JA</x:v>
      </x:c>
      <x:c r="AD960" s="36" t="str">
        <x:v>JA</x:v>
      </x:c>
      <x:c r="AE960" s="36" t="str">
        <x:v>JA</x:v>
      </x:c>
      <x:c r="AF960" s="36" t="str">
        <x:v>JA</x:v>
      </x:c>
      <x:c r="AG960" s="36" t="str">
        <x:v>FREIGEGEBEN</x:v>
      </x:c>
      <x:c r="AH960" s="36" t="str">
        <x:v>GPT-5.6 Sol · Sammelprüfung · L1912/OTB</x:v>
      </x:c>
      <x:c r="AI960" s="36" t="str">
        <x:v>FREIGEGEBEN</x:v>
      </x:c>
      <x:c r="AJ960" s="36" t="str">
        <x:v>1. Timotheus 2: als neue, textnahe ANWENDUNG-Frage redaktionell freigegeben.</x:v>
      </x:c>
      <x:c r="AK960" s="36" t="str">
        <x:v>FaithPath repo develop/v4 · data/bibles/l1912/1TI.json · data/bibles/otb/1TI.json</x:v>
      </x:c>
      <x:c r="AL960" t="str">
        <x:v>JA</x:v>
      </x:c>
    </x:row>
    <x:row r="961">
      <x:c r="A961" t="str">
        <x:v>FP-1220</x:v>
      </x:c>
      <x:c r="B961" t="str">
        <x:v>1TI</x:v>
      </x:c>
      <x:c r="C961" t="str">
        <x:v>1. Timotheus</x:v>
      </x:c>
      <x:c r="D961" t="n">
        <x:v>2</x:v>
      </x:c>
      <x:c r="E961" t="n">
        <x:v>5</x:v>
      </x:c>
      <x:c r="F961" t="str">
        <x:v>1TI-002</x:v>
      </x:c>
      <x:c r="G961" t="n">
        <x:v>192</x:v>
      </x:c>
      <x:c r="H961" t="str">
        <x:v>CQ-A14-18</x:v>
      </x:c>
      <x:c r="I961" s="36" t="str">
        <x:v>Bestandsfrage: exakter Wortlaut in diesem Arbeitsschritt nicht rekonstruiert.</x:v>
      </x:c>
      <x:c r="J961" s="36"/>
      <x:c r="K961" s="36"/>
      <x:c r="L961" s="36" t="str">
        <x:v>MASTER_STATUS_VERIFIZIERT</x:v>
      </x:c>
      <x:c r="M961" s="36" t="str">
        <x:v>ERSETZEN</x:v>
      </x:c>
      <x:c r="N961" s="36" t="str">
        <x:v>BESTAND_NOCH_NICHT_GEPRÜFT</x:v>
      </x:c>
      <x:c r="O961" s="36" t="str">
        <x:v>DIDAKTISCHE_NEUFASSUNG</x:v>
      </x:c>
      <x:c r="P961" s="36" t="str">
        <x:v>TEXTKENNTNIS</x:v>
      </x:c>
      <x:c r="Q961" s="36" t="str">
        <x:v>Welche Eigenschaften nennt der Schluss des Kapitels zusammen mit der Aussage über das Kindergebären?</x:v>
      </x:c>
      <x:c r="R961" s="36" t="str">
        <x:v>Glaube, Liebe, Heiligkeit und Selbstbeherrschung.</x:v>
      </x:c>
      <x:c r="S961" s="36" t="str">
        <x:v>Macht, Reichtum, Einfluss und Ruhm.</x:v>
      </x:c>
      <x:c r="T961" s="36" t="str">
        <x:v>Fasten, Pilgern, Schweigen und Armut.</x:v>
      </x:c>
      <x:c r="U961" s="36" t="str">
        <x:v>Wissen, Herkunft, Amt und Alter.</x:v>
      </x:c>
      <x:c r="V961" s="36" t="n">
        <x:v>0</x:v>
      </x:c>
      <x:c r="W961" s="36" t="str">
        <x:v>Glaube, Liebe, Heiligkeit und Selbstbeherrschung.</x:v>
      </x:c>
      <x:c r="X961" s="36" t="str">
        <x:v>1. Timotheus 2,15</x:v>
      </x:c>
      <x:c r="Y961" s="36" t="str">
        <x:v>Unabhängig von weitergehenden Auslegungsfragen nennt der Vers ausdrücklich das Bleiben in Glauben, Liebe, Heiligkeit und Selbstbeherrschung.</x:v>
      </x:c>
      <x:c r="Z961" s="36" t="str">
        <x:v>JA</x:v>
      </x:c>
      <x:c r="AA961" s="36" t="str">
        <x:v>JA</x:v>
      </x:c>
      <x:c r="AB961" s="36" t="str">
        <x:v>JA</x:v>
      </x:c>
      <x:c r="AC961" s="36" t="str">
        <x:v>JA</x:v>
      </x:c>
      <x:c r="AD961" s="36" t="str">
        <x:v>JA</x:v>
      </x:c>
      <x:c r="AE961" s="36" t="str">
        <x:v>JA</x:v>
      </x:c>
      <x:c r="AF961" s="36" t="str">
        <x:v>JA</x:v>
      </x:c>
      <x:c r="AG961" s="36" t="str">
        <x:v>FREIGEGEBEN</x:v>
      </x:c>
      <x:c r="AH961" s="36" t="str">
        <x:v>GPT-5.6 Sol · Sammelprüfung · L1912/OTB</x:v>
      </x:c>
      <x:c r="AI961" s="36" t="str">
        <x:v>FREIGEGEBEN</x:v>
      </x:c>
      <x:c r="AJ961" s="36" t="str">
        <x:v>1. Timotheus 2: als neue, textnahe TEXTKENNTNIS-Frage redaktionell freigegeben.</x:v>
      </x:c>
      <x:c r="AK961" s="36" t="str">
        <x:v>FaithPath repo develop/v4 · data/bibles/l1912/1TI.json · data/bibles/otb/1TI.json</x:v>
      </x:c>
      <x:c r="AL961" t="str">
        <x:v>JA</x:v>
      </x:c>
    </x:row>
    <x:row r="962">
      <x:c r="A962" t="str">
        <x:v>FP-1221</x:v>
      </x:c>
      <x:c r="B962" t="str">
        <x:v>1TI</x:v>
      </x:c>
      <x:c r="C962" t="str">
        <x:v>1. Timotheus</x:v>
      </x:c>
      <x:c r="D962" t="n">
        <x:v>3</x:v>
      </x:c>
      <x:c r="E962" t="n">
        <x:v>1</x:v>
      </x:c>
      <x:c r="F962" t="str">
        <x:v>1TI-003</x:v>
      </x:c>
      <x:c r="G962" t="n">
        <x:v>193</x:v>
      </x:c>
      <x:c r="H962" t="str">
        <x:v>CQ-A14-18</x:v>
      </x:c>
      <x:c r="I962" s="36" t="str">
        <x:v>Bestandsfrage: exakter Wortlaut in diesem Arbeitsschritt nicht rekonstruiert.</x:v>
      </x:c>
      <x:c r="J962" s="36"/>
      <x:c r="K962" s="36"/>
      <x:c r="L962" s="36" t="str">
        <x:v>MASTER_STATUS_VERIFIZIERT</x:v>
      </x:c>
      <x:c r="M962" s="36" t="str">
        <x:v>ERSETZEN</x:v>
      </x:c>
      <x:c r="N962" s="36" t="str">
        <x:v>BESTAND_NOCH_NICHT_GEPRÜFT</x:v>
      </x:c>
      <x:c r="O962" s="36" t="str">
        <x:v>DIDAKTISCHE_NEUFASSUNG</x:v>
      </x:c>
      <x:c r="P962" s="36" t="str">
        <x:v>LEITUNG</x:v>
      </x:c>
      <x:c r="Q962" s="36" t="str">
        <x:v>Wie bewertet Paulus den Wunsch, Verantwortung als Aufseher zu übernehmen?</x:v>
      </x:c>
      <x:c r="R962" s="36" t="str">
        <x:v>Als grundsätzlich falschen Ehrgeiz.</x:v>
      </x:c>
      <x:c r="S962" s="36" t="str">
        <x:v>Als Wunsch nach einer guten beziehungsweise edlen Aufgabe.</x:v>
      </x:c>
      <x:c r="T962" s="36" t="str">
        <x:v>Als Aufgabe, die niemand anstreben darf.</x:v>
      </x:c>
      <x:c r="U962" s="36" t="str">
        <x:v>Als rein politische Funktion.</x:v>
      </x:c>
      <x:c r="V962" s="36" t="n">
        <x:v>1</x:v>
      </x:c>
      <x:c r="W962" s="36" t="str">
        <x:v>Als Wunsch nach einer guten beziehungsweise edlen Aufgabe.</x:v>
      </x:c>
      <x:c r="X962" s="36" t="str">
        <x:v>1. Timotheus 3,1</x:v>
      </x:c>
      <x:c r="Y962" s="36" t="str">
        <x:v>Der Dienst wird positiv bewertet, unmittelbar danach aber an einen anspruchsvollen Charaktermaßstab gebunden.</x:v>
      </x:c>
      <x:c r="Z962" s="36" t="str">
        <x:v>JA</x:v>
      </x:c>
      <x:c r="AA962" s="36" t="str">
        <x:v>JA</x:v>
      </x:c>
      <x:c r="AB962" s="36" t="str">
        <x:v>JA</x:v>
      </x:c>
      <x:c r="AC962" s="36" t="str">
        <x:v>JA</x:v>
      </x:c>
      <x:c r="AD962" s="36" t="str">
        <x:v>JA</x:v>
      </x:c>
      <x:c r="AE962" s="36" t="str">
        <x:v>JA</x:v>
      </x:c>
      <x:c r="AF962" s="36" t="str">
        <x:v>JA</x:v>
      </x:c>
      <x:c r="AG962" s="36" t="str">
        <x:v>FREIGEGEBEN</x:v>
      </x:c>
      <x:c r="AH962" s="36" t="str">
        <x:v>GPT-5.6 Sol · Sammelprüfung · L1912/OTB</x:v>
      </x:c>
      <x:c r="AI962" s="36" t="str">
        <x:v>FREIGEGEBEN</x:v>
      </x:c>
      <x:c r="AJ962" s="36" t="str">
        <x:v>1. Timotheus 3: als neue, textnahe LEITUNG-Frage redaktionell freigegeben.</x:v>
      </x:c>
      <x:c r="AK962" s="36" t="str">
        <x:v>FaithPath repo develop/v4 · data/bibles/l1912/1TI.json · data/bibles/otb/1TI.json</x:v>
      </x:c>
      <x:c r="AL962" t="str">
        <x:v>JA</x:v>
      </x:c>
    </x:row>
    <x:row r="963">
      <x:c r="A963" t="str">
        <x:v>FP-1222</x:v>
      </x:c>
      <x:c r="B963" t="str">
        <x:v>1TI</x:v>
      </x:c>
      <x:c r="C963" t="str">
        <x:v>1. Timotheus</x:v>
      </x:c>
      <x:c r="D963" t="n">
        <x:v>3</x:v>
      </x:c>
      <x:c r="E963" t="n">
        <x:v>2</x:v>
      </x:c>
      <x:c r="F963" t="str">
        <x:v>1TI-003</x:v>
      </x:c>
      <x:c r="G963" t="n">
        <x:v>193</x:v>
      </x:c>
      <x:c r="H963" t="str">
        <x:v>CQ-A14-18</x:v>
      </x:c>
      <x:c r="I963" s="36" t="str">
        <x:v>Bestandsfrage: exakter Wortlaut in diesem Arbeitsschritt nicht rekonstruiert.</x:v>
      </x:c>
      <x:c r="J963" s="36"/>
      <x:c r="K963" s="36"/>
      <x:c r="L963" s="36" t="str">
        <x:v>MASTER_STATUS_VERIFIZIERT</x:v>
      </x:c>
      <x:c r="M963" s="36" t="str">
        <x:v>ERSETZEN</x:v>
      </x:c>
      <x:c r="N963" s="36" t="str">
        <x:v>BESTAND_NOCH_NICHT_GEPRÜFT</x:v>
      </x:c>
      <x:c r="O963" s="36" t="str">
        <x:v>DIDAKTISCHE_NEUFASSUNG</x:v>
      </x:c>
      <x:c r="P963" s="36" t="str">
        <x:v>CHARAKTER</x:v>
      </x:c>
      <x:c r="Q963" s="36" t="str">
        <x:v>Welche Gruppe von Eigenschaften passt zu den Anforderungen an einen Aufseher?</x:v>
      </x:c>
      <x:c r="R963" s="36" t="str">
        <x:v>Jähzornig, streitsüchtig und auf Gewinn bedacht.</x:v>
      </x:c>
      <x:c r="S963" s="36" t="str">
        <x:v>Unbekannt außerhalb der Gemeinde und unerfahren im Glauben.</x:v>
      </x:c>
      <x:c r="T963" s="36" t="str">
        <x:v>Besonnen, gastfreundlich, lehrfähig, nicht gewalttätig und nicht geldgierig.</x:v>
      </x:c>
      <x:c r="U963" s="36" t="str">
        <x:v>Möglichst mächtig, reich und gesellschaftlich einflussreich.</x:v>
      </x:c>
      <x:c r="V963" s="36" t="n">
        <x:v>2</x:v>
      </x:c>
      <x:c r="W963" s="36" t="str">
        <x:v>Besonnen, gastfreundlich, lehrfähig, nicht gewalttätig und nicht geldgierig.</x:v>
      </x:c>
      <x:c r="X963" s="36" t="str">
        <x:v>1. Timotheus 3,2–7</x:v>
      </x:c>
      <x:c r="Y963" s="36" t="str">
        <x:v>Die Kriterien betonen Charakter, Selbstbeherrschung, Beziehungsfähigkeit, Lehre und einen guten Ruf.</x:v>
      </x:c>
      <x:c r="Z963" s="36" t="str">
        <x:v>JA</x:v>
      </x:c>
      <x:c r="AA963" s="36" t="str">
        <x:v>JA</x:v>
      </x:c>
      <x:c r="AB963" s="36" t="str">
        <x:v>JA</x:v>
      </x:c>
      <x:c r="AC963" s="36" t="str">
        <x:v>JA</x:v>
      </x:c>
      <x:c r="AD963" s="36" t="str">
        <x:v>JA</x:v>
      </x:c>
      <x:c r="AE963" s="36" t="str">
        <x:v>JA</x:v>
      </x:c>
      <x:c r="AF963" s="36" t="str">
        <x:v>JA</x:v>
      </x:c>
      <x:c r="AG963" s="36" t="str">
        <x:v>FREIGEGEBEN</x:v>
      </x:c>
      <x:c r="AH963" s="36" t="str">
        <x:v>GPT-5.6 Sol · Sammelprüfung · L1912/OTB</x:v>
      </x:c>
      <x:c r="AI963" s="36" t="str">
        <x:v>FREIGEGEBEN</x:v>
      </x:c>
      <x:c r="AJ963" s="36" t="str">
        <x:v>1. Timotheus 3: als neue, textnahe CHARAKTER-Frage redaktionell freigegeben.</x:v>
      </x:c>
      <x:c r="AK963" s="36" t="str">
        <x:v>FaithPath repo develop/v4 · data/bibles/l1912/1TI.json · data/bibles/otb/1TI.json</x:v>
      </x:c>
      <x:c r="AL963" t="str">
        <x:v>JA</x:v>
      </x:c>
    </x:row>
    <x:row r="964">
      <x:c r="A964" t="str">
        <x:v>FP-1223</x:v>
      </x:c>
      <x:c r="B964" t="str">
        <x:v>1TI</x:v>
      </x:c>
      <x:c r="C964" t="str">
        <x:v>1. Timotheus</x:v>
      </x:c>
      <x:c r="D964" t="n">
        <x:v>3</x:v>
      </x:c>
      <x:c r="E964" t="n">
        <x:v>3</x:v>
      </x:c>
      <x:c r="F964" t="str">
        <x:v>1TI-003</x:v>
      </x:c>
      <x:c r="G964" t="n">
        <x:v>193</x:v>
      </x:c>
      <x:c r="H964" t="str">
        <x:v>CQ-A14-18</x:v>
      </x:c>
      <x:c r="I964" s="36" t="str">
        <x:v>Bestandsfrage: exakter Wortlaut in diesem Arbeitsschritt nicht rekonstruiert.</x:v>
      </x:c>
      <x:c r="J964" s="36"/>
      <x:c r="K964" s="36"/>
      <x:c r="L964" s="36" t="str">
        <x:v>MASTER_STATUS_VERIFIZIERT</x:v>
      </x:c>
      <x:c r="M964" s="36" t="str">
        <x:v>ERSETZEN</x:v>
      </x:c>
      <x:c r="N964" s="36" t="str">
        <x:v>BESTAND_NOCH_NICHT_GEPRÜFT</x:v>
      </x:c>
      <x:c r="O964" s="36" t="str">
        <x:v>DIDAKTISCHE_NEUFASSUNG</x:v>
      </x:c>
      <x:c r="P964" s="36" t="str">
        <x:v>ZUSAMMENHANG</x:v>
      </x:c>
      <x:c r="Q964" s="36" t="str">
        <x:v>Warum spielt der Umgang mit dem eigenen Haushalt bei Gemeindeleitung eine Rolle?</x:v>
      </x:c>
      <x:c r="R964" s="36" t="str">
        <x:v>Weil nur große Familien leiten dürfen.</x:v>
      </x:c>
      <x:c r="S964" s="36" t="str">
        <x:v>Weil Gemeindeleitung ausschließlich Familienverwaltung ist.</x:v>
      </x:c>
      <x:c r="T964" s="36" t="str">
        <x:v>Weil kinderlose Menschen grundsätzlich vom Glauben ausgeschlossen sind.</x:v>
      </x:c>
      <x:c r="U964" s="36" t="str">
        <x:v>Weil Paulus fragt, wie jemand für Gottes Gemeinde sorgen soll, wenn er den eigenen Haushalt nicht gut führen kann.</x:v>
      </x:c>
      <x:c r="V964" s="36" t="n">
        <x:v>3</x:v>
      </x:c>
      <x:c r="W964" s="36" t="str">
        <x:v>Weil Paulus fragt, wie jemand für Gottes Gemeinde sorgen soll, wenn er den eigenen Haushalt nicht gut führen kann.</x:v>
      </x:c>
      <x:c r="X964" s="36" t="str">
        <x:v>1. Timotheus 3,4–5</x:v>
      </x:c>
      <x:c r="Y964" s="36" t="str">
        <x:v>Paulus verwendet den Haushalt als Prüfstein für verantwortliche Fürsorge und Leitung.</x:v>
      </x:c>
      <x:c r="Z964" s="36" t="str">
        <x:v>JA</x:v>
      </x:c>
      <x:c r="AA964" s="36" t="str">
        <x:v>JA</x:v>
      </x:c>
      <x:c r="AB964" s="36" t="str">
        <x:v>JA</x:v>
      </x:c>
      <x:c r="AC964" s="36" t="str">
        <x:v>JA</x:v>
      </x:c>
      <x:c r="AD964" s="36" t="str">
        <x:v>JA</x:v>
      </x:c>
      <x:c r="AE964" s="36" t="str">
        <x:v>JA</x:v>
      </x:c>
      <x:c r="AF964" s="36" t="str">
        <x:v>JA</x:v>
      </x:c>
      <x:c r="AG964" s="36" t="str">
        <x:v>FREIGEGEBEN</x:v>
      </x:c>
      <x:c r="AH964" s="36" t="str">
        <x:v>GPT-5.6 Sol · Sammelprüfung · L1912/OTB</x:v>
      </x:c>
      <x:c r="AI964" s="36" t="str">
        <x:v>FREIGEGEBEN</x:v>
      </x:c>
      <x:c r="AJ964" s="36" t="str">
        <x:v>1. Timotheus 3: als neue, textnahe ZUSAMMENHANG-Frage redaktionell freigegeben.</x:v>
      </x:c>
      <x:c r="AK964" s="36" t="str">
        <x:v>FaithPath repo develop/v4 · data/bibles/l1912/1TI.json · data/bibles/otb/1TI.json</x:v>
      </x:c>
      <x:c r="AL964" t="str">
        <x:v>JA</x:v>
      </x:c>
    </x:row>
    <x:row r="965">
      <x:c r="A965" t="str">
        <x:v>FP-1224</x:v>
      </x:c>
      <x:c r="B965" t="str">
        <x:v>1TI</x:v>
      </x:c>
      <x:c r="C965" t="str">
        <x:v>1. Timotheus</x:v>
      </x:c>
      <x:c r="D965" t="n">
        <x:v>3</x:v>
      </x:c>
      <x:c r="E965" t="n">
        <x:v>4</x:v>
      </x:c>
      <x:c r="F965" t="str">
        <x:v>1TI-003</x:v>
      </x:c>
      <x:c r="G965" t="n">
        <x:v>193</x:v>
      </x:c>
      <x:c r="H965" t="str">
        <x:v>CQ-A14-18</x:v>
      </x:c>
      <x:c r="I965" s="36" t="str">
        <x:v>Bestandsfrage: exakter Wortlaut in diesem Arbeitsschritt nicht rekonstruiert.</x:v>
      </x:c>
      <x:c r="J965" s="36"/>
      <x:c r="K965" s="36"/>
      <x:c r="L965" s="36" t="str">
        <x:v>MASTER_STATUS_VERIFIZIERT</x:v>
      </x:c>
      <x:c r="M965" s="36" t="str">
        <x:v>ERSETZEN</x:v>
      </x:c>
      <x:c r="N965" s="36" t="str">
        <x:v>BESTAND_NOCH_NICHT_GEPRÜFT</x:v>
      </x:c>
      <x:c r="O965" s="36" t="str">
        <x:v>DIDAKTISCHE_NEUFASSUNG</x:v>
      </x:c>
      <x:c r="P965" s="36" t="str">
        <x:v>DIENST</x:v>
      </x:c>
      <x:c r="Q965" s="36" t="str">
        <x:v>Welche Aussage gehört zu den Anforderungen an Diakone beziehungsweise Dienende?</x:v>
      </x:c>
      <x:c r="R965" s="36" t="str">
        <x:v>Sie sollen geprüft werden und den Glauben mit reinem Gewissen bewahren.</x:v>
      </x:c>
      <x:c r="S965" s="36" t="str">
        <x:v>Sie brauchen keine charakterliche Prüfung.</x:v>
      </x:c>
      <x:c r="T965" s="36" t="str">
        <x:v>Sie dürfen unehrlichen Gewinn suchen.</x:v>
      </x:c>
      <x:c r="U965" s="36" t="str">
        <x:v>Ihre Lehre und ihr Lebensstil spielen keine Rolle.</x:v>
      </x:c>
      <x:c r="V965" s="36" t="n">
        <x:v>0</x:v>
      </x:c>
      <x:c r="W965" s="36" t="str">
        <x:v>Sie sollen geprüft werden und den Glauben mit reinem Gewissen bewahren.</x:v>
      </x:c>
      <x:c r="X965" s="36" t="str">
        <x:v>1. Timotheus 3,8–13</x:v>
      </x:c>
      <x:c r="Y965" s="36" t="str">
        <x:v>Auch für diesen Dienst nennt Paulus überprüfbaren Charakter und ein glaubwürdiges Verhältnis zum Glauben.</x:v>
      </x:c>
      <x:c r="Z965" s="36" t="str">
        <x:v>JA</x:v>
      </x:c>
      <x:c r="AA965" s="36" t="str">
        <x:v>JA</x:v>
      </x:c>
      <x:c r="AB965" s="36" t="str">
        <x:v>JA</x:v>
      </x:c>
      <x:c r="AC965" s="36" t="str">
        <x:v>JA</x:v>
      </x:c>
      <x:c r="AD965" s="36" t="str">
        <x:v>JA</x:v>
      </x:c>
      <x:c r="AE965" s="36" t="str">
        <x:v>JA</x:v>
      </x:c>
      <x:c r="AF965" s="36" t="str">
        <x:v>JA</x:v>
      </x:c>
      <x:c r="AG965" s="36" t="str">
        <x:v>FREIGEGEBEN</x:v>
      </x:c>
      <x:c r="AH965" s="36" t="str">
        <x:v>GPT-5.6 Sol · Sammelprüfung · L1912/OTB</x:v>
      </x:c>
      <x:c r="AI965" s="36" t="str">
        <x:v>FREIGEGEBEN</x:v>
      </x:c>
      <x:c r="AJ965" s="36" t="str">
        <x:v>1. Timotheus 3: als neue, textnahe DIENST-Frage redaktionell freigegeben.</x:v>
      </x:c>
      <x:c r="AK965" s="36" t="str">
        <x:v>FaithPath repo develop/v4 · data/bibles/l1912/1TI.json · data/bibles/otb/1TI.json</x:v>
      </x:c>
      <x:c r="AL965" t="str">
        <x:v>JA</x:v>
      </x:c>
    </x:row>
    <x:row r="966">
      <x:c r="A966" t="str">
        <x:v>FP-1225</x:v>
      </x:c>
      <x:c r="B966" t="str">
        <x:v>1TI</x:v>
      </x:c>
      <x:c r="C966" t="str">
        <x:v>1. Timotheus</x:v>
      </x:c>
      <x:c r="D966" t="n">
        <x:v>3</x:v>
      </x:c>
      <x:c r="E966" t="n">
        <x:v>5</x:v>
      </x:c>
      <x:c r="F966" t="str">
        <x:v>1TI-003</x:v>
      </x:c>
      <x:c r="G966" t="n">
        <x:v>193</x:v>
      </x:c>
      <x:c r="H966" t="str">
        <x:v>CQ-A14-18</x:v>
      </x:c>
      <x:c r="I966" s="36" t="str">
        <x:v>Bestandsfrage: exakter Wortlaut in diesem Arbeitsschritt nicht rekonstruiert.</x:v>
      </x:c>
      <x:c r="J966" s="36"/>
      <x:c r="K966" s="36"/>
      <x:c r="L966" s="36" t="str">
        <x:v>MASTER_STATUS_VERIFIZIERT</x:v>
      </x:c>
      <x:c r="M966" s="36" t="str">
        <x:v>ERSETZEN</x:v>
      </x:c>
      <x:c r="N966" s="36" t="str">
        <x:v>BESTAND_NOCH_NICHT_GEPRÜFT</x:v>
      </x:c>
      <x:c r="O966" s="36" t="str">
        <x:v>DIDAKTISCHE_NEUFASSUNG</x:v>
      </x:c>
      <x:c r="P966" s="36" t="str">
        <x:v>GEMEINDE</x:v>
      </x:c>
      <x:c r="Q966" s="36" t="str">
        <x:v>Wie beschreibt Paulus die Gemeinde in 1. Timotheus 3?</x:v>
      </x:c>
      <x:c r="R966" s="36" t="str">
        <x:v>Als rein private Interessengruppe.</x:v>
      </x:c>
      <x:c r="S966" s="36" t="str">
        <x:v>Als Haus des lebendigen Gottes sowie Säule und Stütze der Wahrheit.</x:v>
      </x:c>
      <x:c r="T966" s="36" t="str">
        <x:v>Als politische Behörde.</x:v>
      </x:c>
      <x:c r="U966" s="36" t="str">
        <x:v>Als Gemeinschaft ohne Bezug zur Wahrheit.</x:v>
      </x:c>
      <x:c r="V966" s="36" t="n">
        <x:v>1</x:v>
      </x:c>
      <x:c r="W966" s="36" t="str">
        <x:v>Als Haus des lebendigen Gottes sowie Säule und Stütze der Wahrheit.</x:v>
      </x:c>
      <x:c r="X966" s="36" t="str">
        <x:v>1. Timotheus 3,14–16</x:v>
      </x:c>
      <x:c r="Y966" s="36" t="str">
        <x:v>Paulus erklärt, warum seine Anweisungen wichtig sind: Es geht um angemessenes Verhalten in Gottes Haus, der Gemeinde.</x:v>
      </x:c>
      <x:c r="Z966" s="36" t="str">
        <x:v>JA</x:v>
      </x:c>
      <x:c r="AA966" s="36" t="str">
        <x:v>JA</x:v>
      </x:c>
      <x:c r="AB966" s="36" t="str">
        <x:v>JA</x:v>
      </x:c>
      <x:c r="AC966" s="36" t="str">
        <x:v>JA</x:v>
      </x:c>
      <x:c r="AD966" s="36" t="str">
        <x:v>JA</x:v>
      </x:c>
      <x:c r="AE966" s="36" t="str">
        <x:v>JA</x:v>
      </x:c>
      <x:c r="AF966" s="36" t="str">
        <x:v>JA</x:v>
      </x:c>
      <x:c r="AG966" s="36" t="str">
        <x:v>FREIGEGEBEN</x:v>
      </x:c>
      <x:c r="AH966" s="36" t="str">
        <x:v>GPT-5.6 Sol · Sammelprüfung · L1912/OTB</x:v>
      </x:c>
      <x:c r="AI966" s="36" t="str">
        <x:v>FREIGEGEBEN</x:v>
      </x:c>
      <x:c r="AJ966" s="36" t="str">
        <x:v>1. Timotheus 3: als neue, textnahe GEMEINDE-Frage redaktionell freigegeben.</x:v>
      </x:c>
      <x:c r="AK966" s="36" t="str">
        <x:v>FaithPath repo develop/v4 · data/bibles/l1912/1TI.json · data/bibles/otb/1TI.json</x:v>
      </x:c>
      <x:c r="AL966" t="str">
        <x:v>JA</x:v>
      </x:c>
    </x:row>
    <x:row r="967">
      <x:c r="A967" t="str">
        <x:v>FP-1226</x:v>
      </x:c>
      <x:c r="B967" t="str">
        <x:v>1TI</x:v>
      </x:c>
      <x:c r="C967" t="str">
        <x:v>1. Timotheus</x:v>
      </x:c>
      <x:c r="D967" t="n">
        <x:v>4</x:v>
      </x:c>
      <x:c r="E967" t="n">
        <x:v>1</x:v>
      </x:c>
      <x:c r="F967" t="str">
        <x:v>1TI-004</x:v>
      </x:c>
      <x:c r="G967" t="n">
        <x:v>194</x:v>
      </x:c>
      <x:c r="H967" t="str">
        <x:v>CQ-A14-18</x:v>
      </x:c>
      <x:c r="I967" s="36" t="str">
        <x:v>Bestandsfrage: exakter Wortlaut in diesem Arbeitsschritt nicht rekonstruiert.</x:v>
      </x:c>
      <x:c r="J967" s="36"/>
      <x:c r="K967" s="36"/>
      <x:c r="L967" s="36" t="str">
        <x:v>MASTER_STATUS_VERIFIZIERT</x:v>
      </x:c>
      <x:c r="M967" s="36" t="str">
        <x:v>ERSETZEN</x:v>
      </x:c>
      <x:c r="N967" s="36" t="str">
        <x:v>BESTAND_NOCH_NICHT_GEPRÜFT</x:v>
      </x:c>
      <x:c r="O967" s="36" t="str">
        <x:v>DIDAKTISCHE_NEUFASSUNG</x:v>
      </x:c>
      <x:c r="P967" s="36" t="str">
        <x:v>WARNUNG</x:v>
      </x:c>
      <x:c r="Q967" s="36" t="str">
        <x:v>Welche Art falscher Lehre nennt Paulus als Beispiel für spätere Abkehr vom Glauben?</x:v>
      </x:c>
      <x:c r="R967" s="36" t="str">
        <x:v>Die Ermutigung zu Dankbarkeit.</x:v>
      </x:c>
      <x:c r="S967" s="36" t="str">
        <x:v>Die öffentliche Lesung der Schrift.</x:v>
      </x:c>
      <x:c r="T967" s="36" t="str">
        <x:v>Das Verbieten von Ehe und bestimmten von Gott geschaffenen Speisen.</x:v>
      </x:c>
      <x:c r="U967" s="36" t="str">
        <x:v>Das Streben nach einem vorbildlichen Leben.</x:v>
      </x:c>
      <x:c r="V967" s="36" t="n">
        <x:v>2</x:v>
      </x:c>
      <x:c r="W967" s="36" t="str">
        <x:v>Das Verbieten von Ehe und bestimmten von Gott geschaffenen Speisen.</x:v>
      </x:c>
      <x:c r="X967" s="36" t="str">
        <x:v>1. Timotheus 4,1–3</x:v>
      </x:c>
      <x:c r="Y967" s="36" t="str">
        <x:v>Der Text nennt asketische Verbote als konkrete Beispiele für irreführende Lehre.</x:v>
      </x:c>
      <x:c r="Z967" s="36" t="str">
        <x:v>JA</x:v>
      </x:c>
      <x:c r="AA967" s="36" t="str">
        <x:v>JA</x:v>
      </x:c>
      <x:c r="AB967" s="36" t="str">
        <x:v>JA</x:v>
      </x:c>
      <x:c r="AC967" s="36" t="str">
        <x:v>JA</x:v>
      </x:c>
      <x:c r="AD967" s="36" t="str">
        <x:v>JA</x:v>
      </x:c>
      <x:c r="AE967" s="36" t="str">
        <x:v>JA</x:v>
      </x:c>
      <x:c r="AF967" s="36" t="str">
        <x:v>JA</x:v>
      </x:c>
      <x:c r="AG967" s="36" t="str">
        <x:v>FREIGEGEBEN</x:v>
      </x:c>
      <x:c r="AH967" s="36" t="str">
        <x:v>GPT-5.6 Sol · Sammelprüfung · L1912/OTB</x:v>
      </x:c>
      <x:c r="AI967" s="36" t="str">
        <x:v>FREIGEGEBEN</x:v>
      </x:c>
      <x:c r="AJ967" s="36" t="str">
        <x:v>1. Timotheus 4: als neue, textnahe WARNUNG-Frage redaktionell freigegeben.</x:v>
      </x:c>
      <x:c r="AK967" s="36" t="str">
        <x:v>FaithPath repo develop/v4 · data/bibles/l1912/1TI.json · data/bibles/otb/1TI.json</x:v>
      </x:c>
      <x:c r="AL967" t="str">
        <x:v>JA</x:v>
      </x:c>
    </x:row>
    <x:row r="968">
      <x:c r="A968" t="str">
        <x:v>FP-1227</x:v>
      </x:c>
      <x:c r="B968" t="str">
        <x:v>1TI</x:v>
      </x:c>
      <x:c r="C968" t="str">
        <x:v>1. Timotheus</x:v>
      </x:c>
      <x:c r="D968" t="n">
        <x:v>4</x:v>
      </x:c>
      <x:c r="E968" t="n">
        <x:v>2</x:v>
      </x:c>
      <x:c r="F968" t="str">
        <x:v>1TI-004</x:v>
      </x:c>
      <x:c r="G968" t="n">
        <x:v>194</x:v>
      </x:c>
      <x:c r="H968" t="str">
        <x:v>CQ-A14-18</x:v>
      </x:c>
      <x:c r="I968" s="36" t="str">
        <x:v>Bestandsfrage: exakter Wortlaut in diesem Arbeitsschritt nicht rekonstruiert.</x:v>
      </x:c>
      <x:c r="J968" s="36"/>
      <x:c r="K968" s="36"/>
      <x:c r="L968" s="36" t="str">
        <x:v>MASTER_STATUS_VERIFIZIERT</x:v>
      </x:c>
      <x:c r="M968" s="36" t="str">
        <x:v>ERSETZEN</x:v>
      </x:c>
      <x:c r="N968" s="36" t="str">
        <x:v>BESTAND_NOCH_NICHT_GEPRÜFT</x:v>
      </x:c>
      <x:c r="O968" s="36" t="str">
        <x:v>DIDAKTISCHE_NEUFASSUNG</x:v>
      </x:c>
      <x:c r="P968" s="36" t="str">
        <x:v>SCHÖPFUNG</x:v>
      </x:c>
      <x:c r="Q968" s="36" t="str">
        <x:v>Warum sollen von Gott geschaffene Speisen nicht pauschal verworfen werden?</x:v>
      </x:c>
      <x:c r="R968" s="36" t="str">
        <x:v>Weil Ernährung keinerlei moralische Bedeutung haben kann.</x:v>
      </x:c>
      <x:c r="S968" s="36" t="str">
        <x:v>Weil Dankbarkeit nur für besondere Speisen gilt.</x:v>
      </x:c>
      <x:c r="T968" s="36" t="str">
        <x:v>Weil Gebet Speisen erst zu Gottes Schöpfung macht.</x:v>
      </x:c>
      <x:c r="U968" s="36" t="str">
        <x:v>Weil Gottes Schöpfung gut ist und mit Dankbarkeit empfangen werden kann.</x:v>
      </x:c>
      <x:c r="V968" s="36" t="n">
        <x:v>3</x:v>
      </x:c>
      <x:c r="W968" s="36" t="str">
        <x:v>Weil Gottes Schöpfung gut ist und mit Dankbarkeit empfangen werden kann.</x:v>
      </x:c>
      <x:c r="X968" s="36" t="str">
        <x:v>1. Timotheus 4,3–5</x:v>
      </x:c>
      <x:c r="Y968" s="36" t="str">
        <x:v>Paulus verbindet Schöpfung, Dankbarkeit, Gottes Wort und Gebet und widerspricht damit pauschalen Verboten.</x:v>
      </x:c>
      <x:c r="Z968" s="36" t="str">
        <x:v>JA</x:v>
      </x:c>
      <x:c r="AA968" s="36" t="str">
        <x:v>JA</x:v>
      </x:c>
      <x:c r="AB968" s="36" t="str">
        <x:v>JA</x:v>
      </x:c>
      <x:c r="AC968" s="36" t="str">
        <x:v>JA</x:v>
      </x:c>
      <x:c r="AD968" s="36" t="str">
        <x:v>JA</x:v>
      </x:c>
      <x:c r="AE968" s="36" t="str">
        <x:v>JA</x:v>
      </x:c>
      <x:c r="AF968" s="36" t="str">
        <x:v>JA</x:v>
      </x:c>
      <x:c r="AG968" s="36" t="str">
        <x:v>FREIGEGEBEN</x:v>
      </x:c>
      <x:c r="AH968" s="36" t="str">
        <x:v>GPT-5.6 Sol · Sammelprüfung · L1912/OTB</x:v>
      </x:c>
      <x:c r="AI968" s="36" t="str">
        <x:v>FREIGEGEBEN</x:v>
      </x:c>
      <x:c r="AJ968" s="36" t="str">
        <x:v>1. Timotheus 4: als neue, textnahe SCHÖPFUNG-Frage redaktionell freigegeben.</x:v>
      </x:c>
      <x:c r="AK968" s="36" t="str">
        <x:v>FaithPath repo develop/v4 · data/bibles/l1912/1TI.json · data/bibles/otb/1TI.json</x:v>
      </x:c>
      <x:c r="AL968" t="str">
        <x:v>JA</x:v>
      </x:c>
    </x:row>
    <x:row r="969">
      <x:c r="A969" t="str">
        <x:v>FP-1228</x:v>
      </x:c>
      <x:c r="B969" t="str">
        <x:v>1TI</x:v>
      </x:c>
      <x:c r="C969" t="str">
        <x:v>1. Timotheus</x:v>
      </x:c>
      <x:c r="D969" t="n">
        <x:v>4</x:v>
      </x:c>
      <x:c r="E969" t="n">
        <x:v>3</x:v>
      </x:c>
      <x:c r="F969" t="str">
        <x:v>1TI-004</x:v>
      </x:c>
      <x:c r="G969" t="n">
        <x:v>194</x:v>
      </x:c>
      <x:c r="H969" t="str">
        <x:v>CQ-A14-18</x:v>
      </x:c>
      <x:c r="I969" s="36" t="str">
        <x:v>Bestandsfrage: exakter Wortlaut in diesem Arbeitsschritt nicht rekonstruiert.</x:v>
      </x:c>
      <x:c r="J969" s="36"/>
      <x:c r="K969" s="36"/>
      <x:c r="L969" s="36" t="str">
        <x:v>MASTER_STATUS_VERIFIZIERT</x:v>
      </x:c>
      <x:c r="M969" s="36" t="str">
        <x:v>ERSETZEN</x:v>
      </x:c>
      <x:c r="N969" s="36" t="str">
        <x:v>BESTAND_NOCH_NICHT_GEPRÜFT</x:v>
      </x:c>
      <x:c r="O969" s="36" t="str">
        <x:v>DIDAKTISCHE_NEUFASSUNG</x:v>
      </x:c>
      <x:c r="P969" s="36" t="str">
        <x:v>BILD</x:v>
      </x:c>
      <x:c r="Q969" s="36" t="str">
        <x:v>Worin soll Timotheus sich besonders 'üben'?</x:v>
      </x:c>
      <x:c r="R969" s="36" t="str">
        <x:v>In Gottesfurcht beziehungsweise einem gottesfürchtigen Leben.</x:v>
      </x:c>
      <x:c r="S969" s="36" t="str">
        <x:v>Im Sammeln religiöser Mythen.</x:v>
      </x:c>
      <x:c r="T969" s="36" t="str">
        <x:v>Im Vermeiden jeder körperlichen Bewegung.</x:v>
      </x:c>
      <x:c r="U969" s="36" t="str">
        <x:v>Im Gewinnen theologischer Wortkämpfe.</x:v>
      </x:c>
      <x:c r="V969" s="36" t="n">
        <x:v>0</x:v>
      </x:c>
      <x:c r="W969" s="36" t="str">
        <x:v>In Gottesfurcht beziehungsweise einem gottesfürchtigen Leben.</x:v>
      </x:c>
      <x:c r="X969" s="36" t="str">
        <x:v>1. Timotheus 4,7–10</x:v>
      </x:c>
      <x:c r="Y969" s="36" t="str">
        <x:v>Paulus nutzt das Bild des Trainings. Körperliches Training hat einen begrenzten Wert, Gottesfurcht dagegen Bedeutung für Gegenwart und Zukunft.</x:v>
      </x:c>
      <x:c r="Z969" s="36" t="str">
        <x:v>JA</x:v>
      </x:c>
      <x:c r="AA969" s="36" t="str">
        <x:v>JA</x:v>
      </x:c>
      <x:c r="AB969" s="36" t="str">
        <x:v>JA</x:v>
      </x:c>
      <x:c r="AC969" s="36" t="str">
        <x:v>JA</x:v>
      </x:c>
      <x:c r="AD969" s="36" t="str">
        <x:v>JA</x:v>
      </x:c>
      <x:c r="AE969" s="36" t="str">
        <x:v>JA</x:v>
      </x:c>
      <x:c r="AF969" s="36" t="str">
        <x:v>JA</x:v>
      </x:c>
      <x:c r="AG969" s="36" t="str">
        <x:v>FREIGEGEBEN</x:v>
      </x:c>
      <x:c r="AH969" s="36" t="str">
        <x:v>GPT-5.6 Sol · Sammelprüfung · L1912/OTB</x:v>
      </x:c>
      <x:c r="AI969" s="36" t="str">
        <x:v>FREIGEGEBEN</x:v>
      </x:c>
      <x:c r="AJ969" s="36" t="str">
        <x:v>1. Timotheus 4: als neue, textnahe BILD-Frage redaktionell freigegeben.</x:v>
      </x:c>
      <x:c r="AK969" s="36" t="str">
        <x:v>FaithPath repo develop/v4 · data/bibles/l1912/1TI.json · data/bibles/otb/1TI.json</x:v>
      </x:c>
      <x:c r="AL969" t="str">
        <x:v>JA</x:v>
      </x:c>
    </x:row>
    <x:row r="970">
      <x:c r="A970" t="str">
        <x:v>FP-1229</x:v>
      </x:c>
      <x:c r="B970" t="str">
        <x:v>1TI</x:v>
      </x:c>
      <x:c r="C970" t="str">
        <x:v>1. Timotheus</x:v>
      </x:c>
      <x:c r="D970" t="n">
        <x:v>4</x:v>
      </x:c>
      <x:c r="E970" t="n">
        <x:v>4</x:v>
      </x:c>
      <x:c r="F970" t="str">
        <x:v>1TI-004</x:v>
      </x:c>
      <x:c r="G970" t="n">
        <x:v>194</x:v>
      </x:c>
      <x:c r="H970" t="str">
        <x:v>CQ-A14-18</x:v>
      </x:c>
      <x:c r="I970" s="36" t="str">
        <x:v>Bestandsfrage: exakter Wortlaut in diesem Arbeitsschritt nicht rekonstruiert.</x:v>
      </x:c>
      <x:c r="J970" s="36"/>
      <x:c r="K970" s="36"/>
      <x:c r="L970" s="36" t="str">
        <x:v>MASTER_STATUS_VERIFIZIERT</x:v>
      </x:c>
      <x:c r="M970" s="36" t="str">
        <x:v>ERSETZEN</x:v>
      </x:c>
      <x:c r="N970" s="36" t="str">
        <x:v>BESTAND_NOCH_NICHT_GEPRÜFT</x:v>
      </x:c>
      <x:c r="O970" s="36" t="str">
        <x:v>DIDAKTISCHE_NEUFASSUNG</x:v>
      </x:c>
      <x:c r="P970" s="36" t="str">
        <x:v>VORBILD</x:v>
      </x:c>
      <x:c r="Q970" s="36" t="str">
        <x:v>Wie soll Timotheus darauf reagieren, dass andere auf seine Jugend herabsehen könnten?</x:v>
      </x:c>
      <x:c r="R970" s="36" t="str">
        <x:v>Er soll sein Alter verbergen.</x:v>
      </x:c>
      <x:c r="S970" s="36" t="str">
        <x:v>Er soll den Glaubenden in Rede, Verhalten, Liebe, Glauben und Reinheit ein Vorbild sein.</x:v>
      </x:c>
      <x:c r="T970" s="36" t="str">
        <x:v>Er soll ältere Menschen grundsätzlich meiden.</x:v>
      </x:c>
      <x:c r="U970" s="36" t="str">
        <x:v>Er soll Autorität durch Härte erzwingen.</x:v>
      </x:c>
      <x:c r="V970" s="36" t="n">
        <x:v>1</x:v>
      </x:c>
      <x:c r="W970" s="36" t="str">
        <x:v>Er soll den Glaubenden in Rede, Verhalten, Liebe, Glauben und Reinheit ein Vorbild sein.</x:v>
      </x:c>
      <x:c r="X970" s="36" t="str">
        <x:v>1. Timotheus 4,11–12</x:v>
      </x:c>
      <x:c r="Y970" s="36" t="str">
        <x:v>Paulus beantwortet mögliche Geringschätzung nicht mit Selbstdarstellung, sondern mit einem glaubwürdigen Vorbild.</x:v>
      </x:c>
      <x:c r="Z970" s="36" t="str">
        <x:v>JA</x:v>
      </x:c>
      <x:c r="AA970" s="36" t="str">
        <x:v>JA</x:v>
      </x:c>
      <x:c r="AB970" s="36" t="str">
        <x:v>JA</x:v>
      </x:c>
      <x:c r="AC970" s="36" t="str">
        <x:v>JA</x:v>
      </x:c>
      <x:c r="AD970" s="36" t="str">
        <x:v>JA</x:v>
      </x:c>
      <x:c r="AE970" s="36" t="str">
        <x:v>JA</x:v>
      </x:c>
      <x:c r="AF970" s="36" t="str">
        <x:v>JA</x:v>
      </x:c>
      <x:c r="AG970" s="36" t="str">
        <x:v>FREIGEGEBEN</x:v>
      </x:c>
      <x:c r="AH970" s="36" t="str">
        <x:v>GPT-5.6 Sol · Sammelprüfung · L1912/OTB</x:v>
      </x:c>
      <x:c r="AI970" s="36" t="str">
        <x:v>FREIGEGEBEN</x:v>
      </x:c>
      <x:c r="AJ970" s="36" t="str">
        <x:v>1. Timotheus 4: als neue, textnahe VORBILD-Frage redaktionell freigegeben.</x:v>
      </x:c>
      <x:c r="AK970" s="36" t="str">
        <x:v>FaithPath repo develop/v4 · data/bibles/l1912/1TI.json · data/bibles/otb/1TI.json</x:v>
      </x:c>
      <x:c r="AL970" t="str">
        <x:v>JA</x:v>
      </x:c>
    </x:row>
    <x:row r="971">
      <x:c r="A971" t="str">
        <x:v>FP-1230</x:v>
      </x:c>
      <x:c r="B971" t="str">
        <x:v>1TI</x:v>
      </x:c>
      <x:c r="C971" t="str">
        <x:v>1. Timotheus</x:v>
      </x:c>
      <x:c r="D971" t="n">
        <x:v>4</x:v>
      </x:c>
      <x:c r="E971" t="n">
        <x:v>5</x:v>
      </x:c>
      <x:c r="F971" t="str">
        <x:v>1TI-004</x:v>
      </x:c>
      <x:c r="G971" t="n">
        <x:v>194</x:v>
      </x:c>
      <x:c r="H971" t="str">
        <x:v>CQ-A14-18</x:v>
      </x:c>
      <x:c r="I971" s="36" t="str">
        <x:v>Bestandsfrage: exakter Wortlaut in diesem Arbeitsschritt nicht rekonstruiert.</x:v>
      </x:c>
      <x:c r="J971" s="36"/>
      <x:c r="K971" s="36"/>
      <x:c r="L971" s="36" t="str">
        <x:v>MASTER_STATUS_VERIFIZIERT</x:v>
      </x:c>
      <x:c r="M971" s="36" t="str">
        <x:v>ERSETZEN</x:v>
      </x:c>
      <x:c r="N971" s="36" t="str">
        <x:v>BESTAND_NOCH_NICHT_GEPRÜFT</x:v>
      </x:c>
      <x:c r="O971" s="36" t="str">
        <x:v>DIDAKTISCHE_NEUFASSUNG</x:v>
      </x:c>
      <x:c r="P971" s="36" t="str">
        <x:v>DIENST</x:v>
      </x:c>
      <x:c r="Q971" s="36" t="str">
        <x:v>Worauf soll Timotheus bis zu Paulus' Kommen besonders achten?</x:v>
      </x:c>
      <x:c r="R971" s="36" t="str">
        <x:v>Auf den Aufbau persönlichen Reichtums.</x:v>
      </x:c>
      <x:c r="S971" s="36" t="str">
        <x:v>Auf möglichst viele Reisen außerhalb der Gemeinde.</x:v>
      </x:c>
      <x:c r="T971" s="36" t="str">
        <x:v>Auf öffentliche Schriftlesung, Ermahnung und Lehre sowie auf sein eigenes Leben und seine Lehre.</x:v>
      </x:c>
      <x:c r="U971" s="36" t="str">
        <x:v>Auf das Vermeiden jeder Korrektur.</x:v>
      </x:c>
      <x:c r="V971" s="36" t="n">
        <x:v>2</x:v>
      </x:c>
      <x:c r="W971" s="36" t="str">
        <x:v>Auf öffentliche Schriftlesung, Ermahnung und Lehre sowie auf sein eigenes Leben und seine Lehre.</x:v>
      </x:c>
      <x:c r="X971" s="36" t="str">
        <x:v>1. Timotheus 4,13–16</x:v>
      </x:c>
      <x:c r="Y971" s="36" t="str">
        <x:v>Dienst und persönliches Leben gehören zusammen. Timotheus soll seine Gabe nicht vernachlässigen und in Lehre und Lebensführung beharrlich bleiben.</x:v>
      </x:c>
      <x:c r="Z971" s="36" t="str">
        <x:v>JA</x:v>
      </x:c>
      <x:c r="AA971" s="36" t="str">
        <x:v>JA</x:v>
      </x:c>
      <x:c r="AB971" s="36" t="str">
        <x:v>JA</x:v>
      </x:c>
      <x:c r="AC971" s="36" t="str">
        <x:v>JA</x:v>
      </x:c>
      <x:c r="AD971" s="36" t="str">
        <x:v>JA</x:v>
      </x:c>
      <x:c r="AE971" s="36" t="str">
        <x:v>JA</x:v>
      </x:c>
      <x:c r="AF971" s="36" t="str">
        <x:v>JA</x:v>
      </x:c>
      <x:c r="AG971" s="36" t="str">
        <x:v>FREIGEGEBEN</x:v>
      </x:c>
      <x:c r="AH971" s="36" t="str">
        <x:v>GPT-5.6 Sol · Sammelprüfung · L1912/OTB</x:v>
      </x:c>
      <x:c r="AI971" s="36" t="str">
        <x:v>FREIGEGEBEN</x:v>
      </x:c>
      <x:c r="AJ971" s="36" t="str">
        <x:v>1. Timotheus 4: als neue, textnahe DIENST-Frage redaktionell freigegeben.</x:v>
      </x:c>
      <x:c r="AK971" s="36" t="str">
        <x:v>FaithPath repo develop/v4 · data/bibles/l1912/1TI.json · data/bibles/otb/1TI.json</x:v>
      </x:c>
      <x:c r="AL971" t="str">
        <x:v>JA</x:v>
      </x:c>
    </x:row>
    <x:row r="972">
      <x:c r="A972" t="str">
        <x:v>FP-1231</x:v>
      </x:c>
      <x:c r="B972" t="str">
        <x:v>1TI</x:v>
      </x:c>
      <x:c r="C972" t="str">
        <x:v>1. Timotheus</x:v>
      </x:c>
      <x:c r="D972" t="n">
        <x:v>5</x:v>
      </x:c>
      <x:c r="E972" t="n">
        <x:v>1</x:v>
      </x:c>
      <x:c r="F972" t="str">
        <x:v>1TI-005</x:v>
      </x:c>
      <x:c r="G972" t="n">
        <x:v>195</x:v>
      </x:c>
      <x:c r="H972" t="str">
        <x:v>CQ-A14-18</x:v>
      </x:c>
      <x:c r="I972" s="36" t="str">
        <x:v>Bestandsfrage: exakter Wortlaut in diesem Arbeitsschritt nicht rekonstruiert.</x:v>
      </x:c>
      <x:c r="J972" s="36"/>
      <x:c r="K972" s="36"/>
      <x:c r="L972" s="36" t="str">
        <x:v>MASTER_STATUS_VERIFIZIERT</x:v>
      </x:c>
      <x:c r="M972" s="36" t="str">
        <x:v>ERSETZEN</x:v>
      </x:c>
      <x:c r="N972" s="36" t="str">
        <x:v>BESTAND_NOCH_NICHT_GEPRÜFT</x:v>
      </x:c>
      <x:c r="O972" s="36" t="str">
        <x:v>DIDAKTISCHE_NEUFASSUNG</x:v>
      </x:c>
      <x:c r="P972" s="36" t="str">
        <x:v>BEZIEHUNG</x:v>
      </x:c>
      <x:c r="Q972" s="36" t="str">
        <x:v>Welches Grundbild verwendet Paulus für den respektvollen Umgang mit unterschiedlichen Altersgruppen in der Gemeinde?</x:v>
      </x:c>
      <x:c r="R972" s="36" t="str">
        <x:v>Alle Menschen wie Untergebene behandeln.</x:v>
      </x:c>
      <x:c r="S972" s="36" t="str">
        <x:v>Nur Gleichaltrige ernst nehmen.</x:v>
      </x:c>
      <x:c r="T972" s="36" t="str">
        <x:v>Ältere grundsätzlich nicht ansprechen.</x:v>
      </x:c>
      <x:c r="U972" s="36" t="str">
        <x:v>Ältere wie Vater und Mutter, Jüngere wie Brüder und Schwestern – bei den jüngeren Frauen mit aller Reinheit.</x:v>
      </x:c>
      <x:c r="V972" s="36" t="n">
        <x:v>3</x:v>
      </x:c>
      <x:c r="W972" s="36" t="str">
        <x:v>Ältere wie Vater und Mutter, Jüngere wie Brüder und Schwestern – bei den jüngeren Frauen mit aller Reinheit.</x:v>
      </x:c>
      <x:c r="X972" s="36" t="str">
        <x:v>1. Timotheus 5,1–2</x:v>
      </x:c>
      <x:c r="Y972" s="36" t="str">
        <x:v>Paulus beschreibt Gemeindebeziehungen mit familiären Kategorien und verbindet Nähe mit Respekt und Reinheit.</x:v>
      </x:c>
      <x:c r="Z972" s="36" t="str">
        <x:v>JA</x:v>
      </x:c>
      <x:c r="AA972" s="36" t="str">
        <x:v>JA</x:v>
      </x:c>
      <x:c r="AB972" s="36" t="str">
        <x:v>JA</x:v>
      </x:c>
      <x:c r="AC972" s="36" t="str">
        <x:v>JA</x:v>
      </x:c>
      <x:c r="AD972" s="36" t="str">
        <x:v>JA</x:v>
      </x:c>
      <x:c r="AE972" s="36" t="str">
        <x:v>JA</x:v>
      </x:c>
      <x:c r="AF972" s="36" t="str">
        <x:v>JA</x:v>
      </x:c>
      <x:c r="AG972" s="36" t="str">
        <x:v>FREIGEGEBEN</x:v>
      </x:c>
      <x:c r="AH972" s="36" t="str">
        <x:v>GPT-5.6 Sol · Sammelprüfung · L1912/OTB</x:v>
      </x:c>
      <x:c r="AI972" s="36" t="str">
        <x:v>FREIGEGEBEN</x:v>
      </x:c>
      <x:c r="AJ972" s="36" t="str">
        <x:v>1. Timotheus 5: als neue, textnahe BEZIEHUNG-Frage redaktionell freigegeben.</x:v>
      </x:c>
      <x:c r="AK972" s="36" t="str">
        <x:v>FaithPath repo develop/v4 · data/bibles/l1912/1TI.json · data/bibles/otb/1TI.json</x:v>
      </x:c>
      <x:c r="AL972" t="str">
        <x:v>JA</x:v>
      </x:c>
    </x:row>
    <x:row r="973">
      <x:c r="A973" t="str">
        <x:v>FP-1232</x:v>
      </x:c>
      <x:c r="B973" t="str">
        <x:v>1TI</x:v>
      </x:c>
      <x:c r="C973" t="str">
        <x:v>1. Timotheus</x:v>
      </x:c>
      <x:c r="D973" t="n">
        <x:v>5</x:v>
      </x:c>
      <x:c r="E973" t="n">
        <x:v>2</x:v>
      </x:c>
      <x:c r="F973" t="str">
        <x:v>1TI-005</x:v>
      </x:c>
      <x:c r="G973" t="n">
        <x:v>195</x:v>
      </x:c>
      <x:c r="H973" t="str">
        <x:v>CQ-A14-18</x:v>
      </x:c>
      <x:c r="I973" s="36" t="str">
        <x:v>Bestandsfrage: exakter Wortlaut in diesem Arbeitsschritt nicht rekonstruiert.</x:v>
      </x:c>
      <x:c r="J973" s="36"/>
      <x:c r="K973" s="36"/>
      <x:c r="L973" s="36" t="str">
        <x:v>MASTER_STATUS_VERIFIZIERT</x:v>
      </x:c>
      <x:c r="M973" s="36" t="str">
        <x:v>ERSETZEN</x:v>
      </x:c>
      <x:c r="N973" s="36" t="str">
        <x:v>BESTAND_NOCH_NICHT_GEPRÜFT</x:v>
      </x:c>
      <x:c r="O973" s="36" t="str">
        <x:v>DIDAKTISCHE_NEUFASSUNG</x:v>
      </x:c>
      <x:c r="P973" s="36" t="str">
        <x:v>VERANTWORTUNG</x:v>
      </x:c>
      <x:c r="Q973" s="36" t="str">
        <x:v>Wer soll nach 1. Timotheus 5 zuerst für bedürftige Witwen aus der eigenen Familie sorgen?</x:v>
      </x:c>
      <x:c r="R973" s="36" t="str">
        <x:v>Ihre Kinder oder Enkel beziehungsweise gläubige Angehörige.</x:v>
      </x:c>
      <x:c r="S973" s="36" t="str">
        <x:v>Immer ausschließlich die Gesamtgemeinde.</x:v>
      </x:c>
      <x:c r="T973" s="36" t="str">
        <x:v>Die römische Verwaltung.</x:v>
      </x:c>
      <x:c r="U973" s="36" t="str">
        <x:v>Niemand, weil Hilfe Abhängigkeit fördert.</x:v>
      </x:c>
      <x:c r="V973" s="36" t="n">
        <x:v>0</x:v>
      </x:c>
      <x:c r="W973" s="36" t="str">
        <x:v>Ihre Kinder oder Enkel beziehungsweise gläubige Angehörige.</x:v>
      </x:c>
      <x:c r="X973" s="36" t="str">
        <x:v>1. Timotheus 5,3–8.16</x:v>
      </x:c>
      <x:c r="Y973" s="36" t="str">
        <x:v>Familiäre Verantwortung soll wahrgenommen werden, damit die Gemeinde ihre Hilfe auf wirklich alleinstehende Bedürftige konzentrieren kann.</x:v>
      </x:c>
      <x:c r="Z973" s="36" t="str">
        <x:v>JA</x:v>
      </x:c>
      <x:c r="AA973" s="36" t="str">
        <x:v>JA</x:v>
      </x:c>
      <x:c r="AB973" s="36" t="str">
        <x:v>JA</x:v>
      </x:c>
      <x:c r="AC973" s="36" t="str">
        <x:v>JA</x:v>
      </x:c>
      <x:c r="AD973" s="36" t="str">
        <x:v>JA</x:v>
      </x:c>
      <x:c r="AE973" s="36" t="str">
        <x:v>JA</x:v>
      </x:c>
      <x:c r="AF973" s="36" t="str">
        <x:v>JA</x:v>
      </x:c>
      <x:c r="AG973" s="36" t="str">
        <x:v>FREIGEGEBEN</x:v>
      </x:c>
      <x:c r="AH973" s="36" t="str">
        <x:v>GPT-5.6 Sol · Sammelprüfung · L1912/OTB</x:v>
      </x:c>
      <x:c r="AI973" s="36" t="str">
        <x:v>FREIGEGEBEN</x:v>
      </x:c>
      <x:c r="AJ973" s="36" t="str">
        <x:v>1. Timotheus 5: als neue, textnahe VERANTWORTUNG-Frage redaktionell freigegeben.</x:v>
      </x:c>
      <x:c r="AK973" s="36" t="str">
        <x:v>FaithPath repo develop/v4 · data/bibles/l1912/1TI.json · data/bibles/otb/1TI.json</x:v>
      </x:c>
      <x:c r="AL973" t="str">
        <x:v>JA</x:v>
      </x:c>
    </x:row>
    <x:row r="974">
      <x:c r="A974" t="str">
        <x:v>FP-1233</x:v>
      </x:c>
      <x:c r="B974" t="str">
        <x:v>1TI</x:v>
      </x:c>
      <x:c r="C974" t="str">
        <x:v>1. Timotheus</x:v>
      </x:c>
      <x:c r="D974" t="n">
        <x:v>5</x:v>
      </x:c>
      <x:c r="E974" t="n">
        <x:v>3</x:v>
      </x:c>
      <x:c r="F974" t="str">
        <x:v>1TI-005</x:v>
      </x:c>
      <x:c r="G974" t="n">
        <x:v>195</x:v>
      </x:c>
      <x:c r="H974" t="str">
        <x:v>CQ-A14-18</x:v>
      </x:c>
      <x:c r="I974" s="36" t="str">
        <x:v>Bestandsfrage: exakter Wortlaut in diesem Arbeitsschritt nicht rekonstruiert.</x:v>
      </x:c>
      <x:c r="J974" s="36"/>
      <x:c r="K974" s="36"/>
      <x:c r="L974" s="36" t="str">
        <x:v>MASTER_STATUS_VERIFIZIERT</x:v>
      </x:c>
      <x:c r="M974" s="36" t="str">
        <x:v>ERSETZEN</x:v>
      </x:c>
      <x:c r="N974" s="36" t="str">
        <x:v>BESTAND_NOCH_NICHT_GEPRÜFT</x:v>
      </x:c>
      <x:c r="O974" s="36" t="str">
        <x:v>DIDAKTISCHE_NEUFASSUNG</x:v>
      </x:c>
      <x:c r="P974" s="36" t="str">
        <x:v>LEITUNG</x:v>
      </x:c>
      <x:c r="Q974" s="36" t="str">
        <x:v>Wie sollen Älteste behandelt werden, die gut leiten und besonders in Wort und Lehre arbeiten?</x:v>
      </x:c>
      <x:c r="R974" s="36" t="str">
        <x:v>Sie sollen grundsätzlich ohne Unterstützung dienen.</x:v>
      </x:c>
      <x:c r="S974" s="36" t="str">
        <x:v>Sie sollen besonderer beziehungsweise doppelter Ehre würdig geachtet werden.</x:v>
      </x:c>
      <x:c r="T974" s="36" t="str">
        <x:v>Sie dürfen niemals geprüft werden.</x:v>
      </x:c>
      <x:c r="U974" s="36" t="str">
        <x:v>Sie sollen nur nach ihrem Alter beurteilt werden.</x:v>
      </x:c>
      <x:c r="V974" s="36" t="n">
        <x:v>1</x:v>
      </x:c>
      <x:c r="W974" s="36" t="str">
        <x:v>Sie sollen besonderer beziehungsweise doppelter Ehre würdig geachtet werden.</x:v>
      </x:c>
      <x:c r="X974" s="36" t="str">
        <x:v>1. Timotheus 5,17–18</x:v>
      </x:c>
      <x:c r="Y974" s="36" t="str">
        <x:v>Paulus verbindet verantwortliche Leitung und Lehrarbeit mit Anerkennung und verwendet dafür Schriftbelege über angemessene Entlohnung.</x:v>
      </x:c>
      <x:c r="Z974" s="36" t="str">
        <x:v>JA</x:v>
      </x:c>
      <x:c r="AA974" s="36" t="str">
        <x:v>JA</x:v>
      </x:c>
      <x:c r="AB974" s="36" t="str">
        <x:v>JA</x:v>
      </x:c>
      <x:c r="AC974" s="36" t="str">
        <x:v>JA</x:v>
      </x:c>
      <x:c r="AD974" s="36" t="str">
        <x:v>JA</x:v>
      </x:c>
      <x:c r="AE974" s="36" t="str">
        <x:v>JA</x:v>
      </x:c>
      <x:c r="AF974" s="36" t="str">
        <x:v>JA</x:v>
      </x:c>
      <x:c r="AG974" s="36" t="str">
        <x:v>FREIGEGEBEN</x:v>
      </x:c>
      <x:c r="AH974" s="36" t="str">
        <x:v>GPT-5.6 Sol · Sammelprüfung · L1912/OTB</x:v>
      </x:c>
      <x:c r="AI974" s="36" t="str">
        <x:v>FREIGEGEBEN</x:v>
      </x:c>
      <x:c r="AJ974" s="36" t="str">
        <x:v>1. Timotheus 5: als neue, textnahe LEITUNG-Frage redaktionell freigegeben.</x:v>
      </x:c>
      <x:c r="AK974" s="36" t="str">
        <x:v>FaithPath repo develop/v4 · data/bibles/l1912/1TI.json · data/bibles/otb/1TI.json</x:v>
      </x:c>
      <x:c r="AL974" t="str">
        <x:v>JA</x:v>
      </x:c>
    </x:row>
    <x:row r="975">
      <x:c r="A975" t="str">
        <x:v>FP-1234</x:v>
      </x:c>
      <x:c r="B975" t="str">
        <x:v>1TI</x:v>
      </x:c>
      <x:c r="C975" t="str">
        <x:v>1. Timotheus</x:v>
      </x:c>
      <x:c r="D975" t="n">
        <x:v>5</x:v>
      </x:c>
      <x:c r="E975" t="n">
        <x:v>4</x:v>
      </x:c>
      <x:c r="F975" t="str">
        <x:v>1TI-005</x:v>
      </x:c>
      <x:c r="G975" t="n">
        <x:v>195</x:v>
      </x:c>
      <x:c r="H975" t="str">
        <x:v>CQ-A14-18</x:v>
      </x:c>
      <x:c r="I975" s="36" t="str">
        <x:v>Bestandsfrage: exakter Wortlaut in diesem Arbeitsschritt nicht rekonstruiert.</x:v>
      </x:c>
      <x:c r="J975" s="36"/>
      <x:c r="K975" s="36"/>
      <x:c r="L975" s="36" t="str">
        <x:v>MASTER_STATUS_VERIFIZIERT</x:v>
      </x:c>
      <x:c r="M975" s="36" t="str">
        <x:v>ERSETZEN</x:v>
      </x:c>
      <x:c r="N975" s="36" t="str">
        <x:v>BESTAND_NOCH_NICHT_GEPRÜFT</x:v>
      </x:c>
      <x:c r="O975" s="36" t="str">
        <x:v>DIDAKTISCHE_NEUFASSUNG</x:v>
      </x:c>
      <x:c r="P975" s="36" t="str">
        <x:v>GERECHTIGKEIT</x:v>
      </x:c>
      <x:c r="Q975" s="36" t="str">
        <x:v>Welche Schutzregel nennt Paulus bei einer Anklage gegen einen Ältesten?</x:v>
      </x:c>
      <x:c r="R975" s="36" t="str">
        <x:v>Jedes Gerücht reicht für eine Verurteilung.</x:v>
      </x:c>
      <x:c r="S975" s="36" t="str">
        <x:v>Älteste dürfen überhaupt nie kritisiert werden.</x:v>
      </x:c>
      <x:c r="T975" s="36" t="str">
        <x:v>Eine Anklage soll nicht ohne zwei oder drei Zeugen angenommen werden.</x:v>
      </x:c>
      <x:c r="U975" s="36" t="str">
        <x:v>Nur ein anonymer Vorwurf ist zulässig.</x:v>
      </x:c>
      <x:c r="V975" s="36" t="n">
        <x:v>2</x:v>
      </x:c>
      <x:c r="W975" s="36" t="str">
        <x:v>Eine Anklage soll nicht ohne zwei oder drei Zeugen angenommen werden.</x:v>
      </x:c>
      <x:c r="X975" s="36" t="str">
        <x:v>1. Timotheus 5,19–21</x:v>
      </x:c>
      <x:c r="Y975" s="36" t="str">
        <x:v>Der Abschnitt verbindet Rechenschaft mit Schutz vor willkürlicher Beschuldigung und fordert unparteiisches Handeln.</x:v>
      </x:c>
      <x:c r="Z975" s="36" t="str">
        <x:v>JA</x:v>
      </x:c>
      <x:c r="AA975" s="36" t="str">
        <x:v>JA</x:v>
      </x:c>
      <x:c r="AB975" s="36" t="str">
        <x:v>JA</x:v>
      </x:c>
      <x:c r="AC975" s="36" t="str">
        <x:v>JA</x:v>
      </x:c>
      <x:c r="AD975" s="36" t="str">
        <x:v>JA</x:v>
      </x:c>
      <x:c r="AE975" s="36" t="str">
        <x:v>JA</x:v>
      </x:c>
      <x:c r="AF975" s="36" t="str">
        <x:v>JA</x:v>
      </x:c>
      <x:c r="AG975" s="36" t="str">
        <x:v>FREIGEGEBEN</x:v>
      </x:c>
      <x:c r="AH975" s="36" t="str">
        <x:v>GPT-5.6 Sol · Sammelprüfung · L1912/OTB</x:v>
      </x:c>
      <x:c r="AI975" s="36" t="str">
        <x:v>FREIGEGEBEN</x:v>
      </x:c>
      <x:c r="AJ975" s="36" t="str">
        <x:v>1. Timotheus 5: als neue, textnahe GERECHTIGKEIT-Frage redaktionell freigegeben.</x:v>
      </x:c>
      <x:c r="AK975" s="36" t="str">
        <x:v>FaithPath repo develop/v4 · data/bibles/l1912/1TI.json · data/bibles/otb/1TI.json</x:v>
      </x:c>
      <x:c r="AL975" t="str">
        <x:v>JA</x:v>
      </x:c>
    </x:row>
    <x:row r="976">
      <x:c r="A976" t="str">
        <x:v>FP-1235</x:v>
      </x:c>
      <x:c r="B976" t="str">
        <x:v>1TI</x:v>
      </x:c>
      <x:c r="C976" t="str">
        <x:v>1. Timotheus</x:v>
      </x:c>
      <x:c r="D976" t="n">
        <x:v>5</x:v>
      </x:c>
      <x:c r="E976" t="n">
        <x:v>5</x:v>
      </x:c>
      <x:c r="F976" t="str">
        <x:v>1TI-005</x:v>
      </x:c>
      <x:c r="G976" t="n">
        <x:v>195</x:v>
      </x:c>
      <x:c r="H976" t="str">
        <x:v>CQ-A14-18</x:v>
      </x:c>
      <x:c r="I976" s="36" t="str">
        <x:v>Bestandsfrage: exakter Wortlaut in diesem Arbeitsschritt nicht rekonstruiert.</x:v>
      </x:c>
      <x:c r="J976" s="36"/>
      <x:c r="K976" s="36"/>
      <x:c r="L976" s="36" t="str">
        <x:v>MASTER_STATUS_VERIFIZIERT</x:v>
      </x:c>
      <x:c r="M976" s="36" t="str">
        <x:v>ERSETZEN</x:v>
      </x:c>
      <x:c r="N976" s="36" t="str">
        <x:v>BESTAND_NOCH_NICHT_GEPRÜFT</x:v>
      </x:c>
      <x:c r="O976" s="36" t="str">
        <x:v>DIDAKTISCHE_NEUFASSUNG</x:v>
      </x:c>
      <x:c r="P976" s="36" t="str">
        <x:v>VORSICHT</x:v>
      </x:c>
      <x:c r="Q976" s="36" t="str">
        <x:v>Was bedeutet die Aufforderung, niemandem vorschnell die Hände aufzulegen, im Zusammenhang des Kapitels?</x:v>
      </x:c>
      <x:c r="R976" s="36" t="str">
        <x:v>Er soll grundsätzlich niemanden mehr segnen.</x:v>
      </x:c>
      <x:c r="S976" s="36" t="str">
        <x:v>Er soll jede Leitungsentscheidung spontan treffen.</x:v>
      </x:c>
      <x:c r="T976" s="36" t="str">
        <x:v>Er soll nur Menschen aus seiner Familie einsetzen.</x:v>
      </x:c>
      <x:c r="U976" s="36" t="str">
        <x:v>Timotheus soll bei Anerkennung und Verantwortung nicht übereilt handeln und sich nicht an fremder Sünde beteiligen.</x:v>
      </x:c>
      <x:c r="V976" s="36" t="n">
        <x:v>3</x:v>
      </x:c>
      <x:c r="W976" s="36" t="str">
        <x:v>Timotheus soll bei Anerkennung und Verantwortung nicht übereilt handeln und sich nicht an fremder Sünde beteiligen.</x:v>
      </x:c>
      <x:c r="X976" s="36" t="str">
        <x:v>1. Timotheus 5,21–25</x:v>
      </x:c>
      <x:c r="Y976" s="36" t="str">
        <x:v>Paulus fordert sorgfältige, unparteiische Beurteilung. Manche Dinge sind sofort sichtbar, andere erst mit der Zeit.</x:v>
      </x:c>
      <x:c r="Z976" s="36" t="str">
        <x:v>JA</x:v>
      </x:c>
      <x:c r="AA976" s="36" t="str">
        <x:v>JA</x:v>
      </x:c>
      <x:c r="AB976" s="36" t="str">
        <x:v>JA</x:v>
      </x:c>
      <x:c r="AC976" s="36" t="str">
        <x:v>JA</x:v>
      </x:c>
      <x:c r="AD976" s="36" t="str">
        <x:v>JA</x:v>
      </x:c>
      <x:c r="AE976" s="36" t="str">
        <x:v>JA</x:v>
      </x:c>
      <x:c r="AF976" s="36" t="str">
        <x:v>JA</x:v>
      </x:c>
      <x:c r="AG976" s="36" t="str">
        <x:v>FREIGEGEBEN</x:v>
      </x:c>
      <x:c r="AH976" s="36" t="str">
        <x:v>GPT-5.6 Sol · Sammelprüfung · L1912/OTB</x:v>
      </x:c>
      <x:c r="AI976" s="36" t="str">
        <x:v>FREIGEGEBEN</x:v>
      </x:c>
      <x:c r="AJ976" s="36" t="str">
        <x:v>1. Timotheus 5: als neue, textnahe VORSICHT-Frage redaktionell freigegeben.</x:v>
      </x:c>
      <x:c r="AK976" s="36" t="str">
        <x:v>FaithPath repo develop/v4 · data/bibles/l1912/1TI.json · data/bibles/otb/1TI.json</x:v>
      </x:c>
      <x:c r="AL976" t="str">
        <x:v>JA</x:v>
      </x:c>
    </x:row>
    <x:row r="977">
      <x:c r="A977" t="str">
        <x:v>FP-1236</x:v>
      </x:c>
      <x:c r="B977" t="str">
        <x:v>1TI</x:v>
      </x:c>
      <x:c r="C977" t="str">
        <x:v>1. Timotheus</x:v>
      </x:c>
      <x:c r="D977" t="n">
        <x:v>6</x:v>
      </x:c>
      <x:c r="E977" t="n">
        <x:v>1</x:v>
      </x:c>
      <x:c r="F977" t="str">
        <x:v>1TI-006</x:v>
      </x:c>
      <x:c r="G977" t="n">
        <x:v>196</x:v>
      </x:c>
      <x:c r="H977" t="str">
        <x:v>CQ-A14-18</x:v>
      </x:c>
      <x:c r="I977" s="36" t="str">
        <x:v>Bestandsfrage: exakter Wortlaut in diesem Arbeitsschritt nicht rekonstruiert.</x:v>
      </x:c>
      <x:c r="J977" s="36"/>
      <x:c r="K977" s="36"/>
      <x:c r="L977" s="36" t="str">
        <x:v>MASTER_STATUS_VERIFIZIERT</x:v>
      </x:c>
      <x:c r="M977" s="36" t="str">
        <x:v>ERSETZEN</x:v>
      </x:c>
      <x:c r="N977" s="36" t="str">
        <x:v>BESTAND_NOCH_NICHT_GEPRÜFT</x:v>
      </x:c>
      <x:c r="O977" s="36" t="str">
        <x:v>DIDAKTISCHE_NEUFASSUNG</x:v>
      </x:c>
      <x:c r="P977" s="36" t="str">
        <x:v>UNTERSCHEIDUNG</x:v>
      </x:c>
      <x:c r="Q977" s="36" t="str">
        <x:v>Welchen Gegensatz stellt Paulus zwischen falscher Frömmigkeit und echter Genügsamkeit her?</x:v>
      </x:c>
      <x:c r="R977" s="36" t="str">
        <x:v>Manche behandeln Gottesfurcht als Mittel zum Gewinn; wirklicher Gewinn ist Gottesfurcht mit Genügsamkeit.</x:v>
      </x:c>
      <x:c r="S977" s="36" t="str">
        <x:v>Gottesfurcht ist nur dann sinnvoll, wenn sie reich macht.</x:v>
      </x:c>
      <x:c r="T977" s="36" t="str">
        <x:v>Genügsamkeit bedeutet, gute Werke zu vermeiden.</x:v>
      </x:c>
      <x:c r="U977" s="36" t="str">
        <x:v>Finanzieller Erfolg beweist immer gesunde Lehre.</x:v>
      </x:c>
      <x:c r="V977" s="36" t="n">
        <x:v>0</x:v>
      </x:c>
      <x:c r="W977" s="36" t="str">
        <x:v>Manche behandeln Gottesfurcht als Mittel zum Gewinn; wirklicher Gewinn ist Gottesfurcht mit Genügsamkeit.</x:v>
      </x:c>
      <x:c r="X977" s="36" t="str">
        <x:v>1. Timotheus 6,3–8</x:v>
      </x:c>
      <x:c r="Y977" s="36" t="str">
        <x:v>Paulus kritisiert Religion als Geschäftsmodell und verbindet echten Gewinn mit Gottesfurcht und Zufriedenheit.</x:v>
      </x:c>
      <x:c r="Z977" s="36" t="str">
        <x:v>JA</x:v>
      </x:c>
      <x:c r="AA977" s="36" t="str">
        <x:v>JA</x:v>
      </x:c>
      <x:c r="AB977" s="36" t="str">
        <x:v>JA</x:v>
      </x:c>
      <x:c r="AC977" s="36" t="str">
        <x:v>JA</x:v>
      </x:c>
      <x:c r="AD977" s="36" t="str">
        <x:v>JA</x:v>
      </x:c>
      <x:c r="AE977" s="36" t="str">
        <x:v>JA</x:v>
      </x:c>
      <x:c r="AF977" s="36" t="str">
        <x:v>JA</x:v>
      </x:c>
      <x:c r="AG977" s="36" t="str">
        <x:v>FREIGEGEBEN</x:v>
      </x:c>
      <x:c r="AH977" s="36" t="str">
        <x:v>GPT-5.6 Sol · Sammelprüfung · L1912/OTB</x:v>
      </x:c>
      <x:c r="AI977" s="36" t="str">
        <x:v>FREIGEGEBEN</x:v>
      </x:c>
      <x:c r="AJ977" s="36" t="str">
        <x:v>1. Timotheus 6: als neue, textnahe UNTERSCHEIDUNG-Frage redaktionell freigegeben.</x:v>
      </x:c>
      <x:c r="AK977" s="36" t="str">
        <x:v>FaithPath repo develop/v4 · data/bibles/l1912/1TI.json · data/bibles/otb/1TI.json</x:v>
      </x:c>
      <x:c r="AL977" t="str">
        <x:v>JA</x:v>
      </x:c>
    </x:row>
    <x:row r="978">
      <x:c r="A978" t="str">
        <x:v>FP-1237</x:v>
      </x:c>
      <x:c r="B978" t="str">
        <x:v>1TI</x:v>
      </x:c>
      <x:c r="C978" t="str">
        <x:v>1. Timotheus</x:v>
      </x:c>
      <x:c r="D978" t="n">
        <x:v>6</x:v>
      </x:c>
      <x:c r="E978" t="n">
        <x:v>2</x:v>
      </x:c>
      <x:c r="F978" t="str">
        <x:v>1TI-006</x:v>
      </x:c>
      <x:c r="G978" t="n">
        <x:v>196</x:v>
      </x:c>
      <x:c r="H978" t="str">
        <x:v>CQ-A14-18</x:v>
      </x:c>
      <x:c r="I978" s="36" t="str">
        <x:v>Bestandsfrage: exakter Wortlaut in diesem Arbeitsschritt nicht rekonstruiert.</x:v>
      </x:c>
      <x:c r="J978" s="36"/>
      <x:c r="K978" s="36"/>
      <x:c r="L978" s="36" t="str">
        <x:v>MASTER_STATUS_VERIFIZIERT</x:v>
      </x:c>
      <x:c r="M978" s="36" t="str">
        <x:v>ERSETZEN</x:v>
      </x:c>
      <x:c r="N978" s="36" t="str">
        <x:v>BESTAND_NOCH_NICHT_GEPRÜFT</x:v>
      </x:c>
      <x:c r="O978" s="36" t="str">
        <x:v>DIDAKTISCHE_NEUFASSUNG</x:v>
      </x:c>
      <x:c r="P978" s="36" t="str">
        <x:v>WARNUNG</x:v>
      </x:c>
      <x:c r="Q978" s="36" t="str">
        <x:v>Wovor warnt Paulus Menschen, die unbedingt reich werden wollen?</x:v>
      </x:c>
      <x:c r="R978" s="36" t="str">
        <x:v>Vor jeder Form bezahlter Arbeit.</x:v>
      </x:c>
      <x:c r="S978" s="36" t="str">
        <x:v>Vor Versuchung, Fallen und schädlichen Begierden; die Liebe zum Geld kann vom Glauben wegführen.</x:v>
      </x:c>
      <x:c r="T978" s="36" t="str">
        <x:v>Vor Besitz von Nahrung und Kleidung.</x:v>
      </x:c>
      <x:c r="U978" s="36" t="str">
        <x:v>Vor Großzügigkeit gegenüber anderen.</x:v>
      </x:c>
      <x:c r="V978" s="36" t="n">
        <x:v>1</x:v>
      </x:c>
      <x:c r="W978" s="36" t="str">
        <x:v>Vor Versuchung, Fallen und schädlichen Begierden; die Liebe zum Geld kann vom Glauben wegführen.</x:v>
      </x:c>
      <x:c r="X978" s="36" t="str">
        <x:v>1. Timotheus 6,9–10</x:v>
      </x:c>
      <x:c r="Y978" s="36" t="str">
        <x:v>Nicht Geld an sich, sondern die Liebe zum Geld und das zwanghafte Reichwerdenwollen werden als geistlich gefährlich beschrieben.</x:v>
      </x:c>
      <x:c r="Z978" s="36" t="str">
        <x:v>JA</x:v>
      </x:c>
      <x:c r="AA978" s="36" t="str">
        <x:v>JA</x:v>
      </x:c>
      <x:c r="AB978" s="36" t="str">
        <x:v>JA</x:v>
      </x:c>
      <x:c r="AC978" s="36" t="str">
        <x:v>JA</x:v>
      </x:c>
      <x:c r="AD978" s="36" t="str">
        <x:v>JA</x:v>
      </x:c>
      <x:c r="AE978" s="36" t="str">
        <x:v>JA</x:v>
      </x:c>
      <x:c r="AF978" s="36" t="str">
        <x:v>JA</x:v>
      </x:c>
      <x:c r="AG978" s="36" t="str">
        <x:v>FREIGEGEBEN</x:v>
      </x:c>
      <x:c r="AH978" s="36" t="str">
        <x:v>GPT-5.6 Sol · Sammelprüfung · L1912/OTB</x:v>
      </x:c>
      <x:c r="AI978" s="36" t="str">
        <x:v>FREIGEGEBEN</x:v>
      </x:c>
      <x:c r="AJ978" s="36" t="str">
        <x:v>1. Timotheus 6: als neue, textnahe WARNUNG-Frage redaktionell freigegeben.</x:v>
      </x:c>
      <x:c r="AK978" s="36" t="str">
        <x:v>FaithPath repo develop/v4 · data/bibles/l1912/1TI.json · data/bibles/otb/1TI.json</x:v>
      </x:c>
      <x:c r="AL978" t="str">
        <x:v>JA</x:v>
      </x:c>
    </x:row>
    <x:row r="979">
      <x:c r="A979" t="str">
        <x:v>FP-1238</x:v>
      </x:c>
      <x:c r="B979" t="str">
        <x:v>1TI</x:v>
      </x:c>
      <x:c r="C979" t="str">
        <x:v>1. Timotheus</x:v>
      </x:c>
      <x:c r="D979" t="n">
        <x:v>6</x:v>
      </x:c>
      <x:c r="E979" t="n">
        <x:v>3</x:v>
      </x:c>
      <x:c r="F979" t="str">
        <x:v>1TI-006</x:v>
      </x:c>
      <x:c r="G979" t="n">
        <x:v>196</x:v>
      </x:c>
      <x:c r="H979" t="str">
        <x:v>CQ-A14-18</x:v>
      </x:c>
      <x:c r="I979" s="36" t="str">
        <x:v>Bestandsfrage: exakter Wortlaut in diesem Arbeitsschritt nicht rekonstruiert.</x:v>
      </x:c>
      <x:c r="J979" s="36"/>
      <x:c r="K979" s="36"/>
      <x:c r="L979" s="36" t="str">
        <x:v>MASTER_STATUS_VERIFIZIERT</x:v>
      </x:c>
      <x:c r="M979" s="36" t="str">
        <x:v>ERSETZEN</x:v>
      </x:c>
      <x:c r="N979" s="36" t="str">
        <x:v>BESTAND_NOCH_NICHT_GEPRÜFT</x:v>
      </x:c>
      <x:c r="O979" s="36" t="str">
        <x:v>DIDAKTISCHE_NEUFASSUNG</x:v>
      </x:c>
      <x:c r="P979" s="36" t="str">
        <x:v>ANWENDUNG</x:v>
      </x:c>
      <x:c r="Q979" s="36" t="str">
        <x:v>Wonach soll der 'Mensch Gottes' statt nach Geldgier streben?</x:v>
      </x:c>
      <x:c r="R979" s="36" t="str">
        <x:v>Nach möglichst großem gesellschaftlichem Rang.</x:v>
      </x:c>
      <x:c r="S979" s="36" t="str">
        <x:v>Nach Streitfragen und Wortgefechten.</x:v>
      </x:c>
      <x:c r="T979" s="36" t="str">
        <x:v>Nach Gerechtigkeit, Gottesfurcht, Glauben, Liebe, Ausdauer und Sanftmut.</x:v>
      </x:c>
      <x:c r="U979" s="36" t="str">
        <x:v>Nach persönlicher Unabhängigkeit von Gott.</x:v>
      </x:c>
      <x:c r="V979" s="36" t="n">
        <x:v>2</x:v>
      </x:c>
      <x:c r="W979" s="36" t="str">
        <x:v>Nach Gerechtigkeit, Gottesfurcht, Glauben, Liebe, Ausdauer und Sanftmut.</x:v>
      </x:c>
      <x:c r="X979" s="36" t="str">
        <x:v>1. Timotheus 6,11–12</x:v>
      </x:c>
      <x:c r="Y979" s="36" t="str">
        <x:v>Paulus stellt der Geldgier einen positiven Weg gegenüber und verbindet ihn mit dem 'guten Kampf des Glaubens'.</x:v>
      </x:c>
      <x:c r="Z979" s="36" t="str">
        <x:v>JA</x:v>
      </x:c>
      <x:c r="AA979" s="36" t="str">
        <x:v>JA</x:v>
      </x:c>
      <x:c r="AB979" s="36" t="str">
        <x:v>JA</x:v>
      </x:c>
      <x:c r="AC979" s="36" t="str">
        <x:v>JA</x:v>
      </x:c>
      <x:c r="AD979" s="36" t="str">
        <x:v>JA</x:v>
      </x:c>
      <x:c r="AE979" s="36" t="str">
        <x:v>JA</x:v>
      </x:c>
      <x:c r="AF979" s="36" t="str">
        <x:v>JA</x:v>
      </x:c>
      <x:c r="AG979" s="36" t="str">
        <x:v>FREIGEGEBEN</x:v>
      </x:c>
      <x:c r="AH979" s="36" t="str">
        <x:v>GPT-5.6 Sol · Sammelprüfung · L1912/OTB</x:v>
      </x:c>
      <x:c r="AI979" s="36" t="str">
        <x:v>FREIGEGEBEN</x:v>
      </x:c>
      <x:c r="AJ979" s="36" t="str">
        <x:v>1. Timotheus 6: als neue, textnahe ANWENDUNG-Frage redaktionell freigegeben.</x:v>
      </x:c>
      <x:c r="AK979" s="36" t="str">
        <x:v>FaithPath repo develop/v4 · data/bibles/l1912/1TI.json · data/bibles/otb/1TI.json</x:v>
      </x:c>
      <x:c r="AL979" t="str">
        <x:v>JA</x:v>
      </x:c>
    </x:row>
    <x:row r="980">
      <x:c r="A980" t="str">
        <x:v>FP-1239</x:v>
      </x:c>
      <x:c r="B980" t="str">
        <x:v>1TI</x:v>
      </x:c>
      <x:c r="C980" t="str">
        <x:v>1. Timotheus</x:v>
      </x:c>
      <x:c r="D980" t="n">
        <x:v>6</x:v>
      </x:c>
      <x:c r="E980" t="n">
        <x:v>4</x:v>
      </x:c>
      <x:c r="F980" t="str">
        <x:v>1TI-006</x:v>
      </x:c>
      <x:c r="G980" t="n">
        <x:v>196</x:v>
      </x:c>
      <x:c r="H980" t="str">
        <x:v>CQ-A14-18</x:v>
      </x:c>
      <x:c r="I980" s="36" t="str">
        <x:v>Bestandsfrage: exakter Wortlaut in diesem Arbeitsschritt nicht rekonstruiert.</x:v>
      </x:c>
      <x:c r="J980" s="36"/>
      <x:c r="K980" s="36"/>
      <x:c r="L980" s="36" t="str">
        <x:v>MASTER_STATUS_VERIFIZIERT</x:v>
      </x:c>
      <x:c r="M980" s="36" t="str">
        <x:v>ERSETZEN</x:v>
      </x:c>
      <x:c r="N980" s="36" t="str">
        <x:v>BESTAND_NOCH_NICHT_GEPRÜFT</x:v>
      </x:c>
      <x:c r="O980" s="36" t="str">
        <x:v>DIDAKTISCHE_NEUFASSUNG</x:v>
      </x:c>
      <x:c r="P980" s="36" t="str">
        <x:v>REICHTUM</x:v>
      </x:c>
      <x:c r="Q980" s="36" t="str">
        <x:v>Welche Haltung sollen Reiche nach 1. Timotheus 6 einnehmen?</x:v>
      </x:c>
      <x:c r="R980" s="36" t="str">
        <x:v>Ihren Reichtum als Beweis besonderer Frömmigkeit betrachten.</x:v>
      </x:c>
      <x:c r="S980" s="36" t="str">
        <x:v>Sich vollständig von Bedürftigen fernhalten.</x:v>
      </x:c>
      <x:c r="T980" s="36" t="str">
        <x:v>Nur für sich selbst zukünftige Sicherheit aufbauen.</x:v>
      </x:c>
      <x:c r="U980" s="36" t="str">
        <x:v>Nicht auf unsicheren Reichtum hoffen, sondern auf Gott, Gutes tun, großzügig sein und teilen.</x:v>
      </x:c>
      <x:c r="V980" s="36" t="n">
        <x:v>3</x:v>
      </x:c>
      <x:c r="W980" s="36" t="str">
        <x:v>Nicht auf unsicheren Reichtum hoffen, sondern auf Gott, Gutes tun, großzügig sein und teilen.</x:v>
      </x:c>
      <x:c r="X980" s="36" t="str">
        <x:v>1. Timotheus 6,17–19</x:v>
      </x:c>
      <x:c r="Y980" s="36" t="str">
        <x:v>Reichtum soll nicht zur Grundlage von Stolz oder Sicherheit werden. Paulus lenkt die Hoffnung auf Gott und das Vermögen in Richtung Großzügigkeit.</x:v>
      </x:c>
      <x:c r="Z980" s="36" t="str">
        <x:v>JA</x:v>
      </x:c>
      <x:c r="AA980" s="36" t="str">
        <x:v>JA</x:v>
      </x:c>
      <x:c r="AB980" s="36" t="str">
        <x:v>JA</x:v>
      </x:c>
      <x:c r="AC980" s="36" t="str">
        <x:v>JA</x:v>
      </x:c>
      <x:c r="AD980" s="36" t="str">
        <x:v>JA</x:v>
      </x:c>
      <x:c r="AE980" s="36" t="str">
        <x:v>JA</x:v>
      </x:c>
      <x:c r="AF980" s="36" t="str">
        <x:v>JA</x:v>
      </x:c>
      <x:c r="AG980" s="36" t="str">
        <x:v>FREIGEGEBEN</x:v>
      </x:c>
      <x:c r="AH980" s="36" t="str">
        <x:v>GPT-5.6 Sol · Sammelprüfung · L1912/OTB</x:v>
      </x:c>
      <x:c r="AI980" s="36" t="str">
        <x:v>FREIGEGEBEN</x:v>
      </x:c>
      <x:c r="AJ980" s="36" t="str">
        <x:v>1. Timotheus 6: als neue, textnahe REICHTUM-Frage redaktionell freigegeben.</x:v>
      </x:c>
      <x:c r="AK980" s="36" t="str">
        <x:v>FaithPath repo develop/v4 · data/bibles/l1912/1TI.json · data/bibles/otb/1TI.json</x:v>
      </x:c>
      <x:c r="AL980" t="str">
        <x:v>JA</x:v>
      </x:c>
    </x:row>
    <x:row r="981">
      <x:c r="A981" t="str">
        <x:v>FP-1240</x:v>
      </x:c>
      <x:c r="B981" t="str">
        <x:v>1TI</x:v>
      </x:c>
      <x:c r="C981" t="str">
        <x:v>1. Timotheus</x:v>
      </x:c>
      <x:c r="D981" t="n">
        <x:v>6</x:v>
      </x:c>
      <x:c r="E981" t="n">
        <x:v>5</x:v>
      </x:c>
      <x:c r="F981" t="str">
        <x:v>1TI-006</x:v>
      </x:c>
      <x:c r="G981" t="n">
        <x:v>196</x:v>
      </x:c>
      <x:c r="H981" t="str">
        <x:v>CQ-A14-18</x:v>
      </x:c>
      <x:c r="I981" s="36" t="str">
        <x:v>Bestandsfrage: exakter Wortlaut in diesem Arbeitsschritt nicht rekonstruiert.</x:v>
      </x:c>
      <x:c r="J981" s="36"/>
      <x:c r="K981" s="36"/>
      <x:c r="L981" s="36" t="str">
        <x:v>MASTER_STATUS_VERIFIZIERT</x:v>
      </x:c>
      <x:c r="M981" s="36" t="str">
        <x:v>ERSETZEN</x:v>
      </x:c>
      <x:c r="N981" s="36" t="str">
        <x:v>BESTAND_NOCH_NICHT_GEPRÜFT</x:v>
      </x:c>
      <x:c r="O981" s="36" t="str">
        <x:v>DIDAKTISCHE_NEUFASSUNG</x:v>
      </x:c>
      <x:c r="P981" s="36" t="str">
        <x:v>AUFTRAG</x:v>
      </x:c>
      <x:c r="Q981" s="36" t="str">
        <x:v>Womit endet Paulus' persönlicher Auftrag an Timotheus?</x:v>
      </x:c>
      <x:c r="R981" s="36" t="str">
        <x:v>Er soll das anvertraute Gut bewahren und leeres Geschwätz sowie fälschlich so genannte Erkenntnis meiden.</x:v>
      </x:c>
      <x:c r="S981" s="36" t="str">
        <x:v>Er soll jede weitere Lehre einstellen.</x:v>
      </x:c>
      <x:c r="T981" s="36" t="str">
        <x:v>Er soll Ephesus sofort verlassen.</x:v>
      </x:c>
      <x:c r="U981" s="36" t="str">
        <x:v>Er soll alle philosophischen Fragen unabhängig vom Inhalt verbieten.</x:v>
      </x:c>
      <x:c r="V981" s="36" t="n">
        <x:v>0</x:v>
      </x:c>
      <x:c r="W981" s="36" t="str">
        <x:v>Er soll das anvertraute Gut bewahren und leeres Geschwätz sowie fälschlich so genannte Erkenntnis meiden.</x:v>
      </x:c>
      <x:c r="X981" s="36" t="str">
        <x:v>1. Timotheus 6,20–21</x:v>
      </x:c>
      <x:c r="Y981" s="36" t="str">
        <x:v>Der Brief endet mit einem Schutzauftrag: das Empfangene bewahren und sich nicht von leeren oder irreführenden Gegenpositionen vom Glauben wegziehen lassen.</x:v>
      </x:c>
      <x:c r="Z981" s="36" t="str">
        <x:v>JA</x:v>
      </x:c>
      <x:c r="AA981" s="36" t="str">
        <x:v>JA</x:v>
      </x:c>
      <x:c r="AB981" s="36" t="str">
        <x:v>JA</x:v>
      </x:c>
      <x:c r="AC981" s="36" t="str">
        <x:v>JA</x:v>
      </x:c>
      <x:c r="AD981" s="36" t="str">
        <x:v>JA</x:v>
      </x:c>
      <x:c r="AE981" s="36" t="str">
        <x:v>JA</x:v>
      </x:c>
      <x:c r="AF981" s="36" t="str">
        <x:v>JA</x:v>
      </x:c>
      <x:c r="AG981" s="36" t="str">
        <x:v>FREIGEGEBEN</x:v>
      </x:c>
      <x:c r="AH981" s="36" t="str">
        <x:v>GPT-5.6 Sol · Sammelprüfung · L1912/OTB</x:v>
      </x:c>
      <x:c r="AI981" s="36" t="str">
        <x:v>FREIGEGEBEN</x:v>
      </x:c>
      <x:c r="AJ981" s="36" t="str">
        <x:v>1. Timotheus 6: als neue, textnahe AUFTRAG-Frage redaktionell freigegeben.</x:v>
      </x:c>
      <x:c r="AK981" s="36" t="str">
        <x:v>FaithPath repo develop/v4 · data/bibles/l1912/1TI.json · data/bibles/otb/1TI.json</x:v>
      </x:c>
      <x:c r="AL981" t="str">
        <x:v>JA</x:v>
      </x:c>
    </x:row>
    <x:row r="982">
      <x:c r="A982" t="str">
        <x:v>FP-1241</x:v>
      </x:c>
      <x:c r="B982" t="str">
        <x:v>2TI</x:v>
      </x:c>
      <x:c r="C982" t="str">
        <x:v>2. Timotheus</x:v>
      </x:c>
      <x:c r="D982" t="n">
        <x:v>1</x:v>
      </x:c>
      <x:c r="E982" t="n">
        <x:v>1</x:v>
      </x:c>
      <x:c r="F982" t="str">
        <x:v>2TI-001</x:v>
      </x:c>
      <x:c r="G982" t="n">
        <x:v>197</x:v>
      </x:c>
      <x:c r="H982" t="str">
        <x:v>CQ-A14-18</x:v>
      </x:c>
      <x:c r="I982" s="36" t="str">
        <x:v>Bestandsfrage: exakter Wortlaut in diesem Arbeitsschritt nicht rekonstruiert.</x:v>
      </x:c>
      <x:c r="J982" s="36"/>
      <x:c r="K982" s="36"/>
      <x:c r="L982" s="36" t="str">
        <x:v>MASTER_STATUS_VERIFIZIERT</x:v>
      </x:c>
      <x:c r="M982" s="36" t="str">
        <x:v>ERSETZEN</x:v>
      </x:c>
      <x:c r="N982" s="36" t="str">
        <x:v>BESTAND_NOCH_NICHT_GEPRÜFT</x:v>
      </x:c>
      <x:c r="O982" s="36" t="str">
        <x:v>DIDAKTISCHE_NEUFASSUNG</x:v>
      </x:c>
      <x:c r="P982" s="36" t="str">
        <x:v>GLAUBE</x:v>
      </x:c>
      <x:c r="Q982" s="36" t="str">
        <x:v>An wessen Glauben erinnert Paulus, als er Timotheus' ungeheuchelten Glauben beschreibt?</x:v>
      </x:c>
      <x:c r="R982" s="36" t="str">
        <x:v>An Petrus und Johannes.</x:v>
      </x:c>
      <x:c r="S982" s="36" t="str">
        <x:v>An den Glauben seiner Großmutter Lois und seiner Mutter Eunike.</x:v>
      </x:c>
      <x:c r="T982" s="36" t="str">
        <x:v>An Aquila und Prisca.</x:v>
      </x:c>
      <x:c r="U982" s="36" t="str">
        <x:v>An Barnabas und Markus.</x:v>
      </x:c>
      <x:c r="V982" s="36" t="n">
        <x:v>1</x:v>
      </x:c>
      <x:c r="W982" s="36" t="str">
        <x:v>An den Glauben seiner Großmutter Lois und seiner Mutter Eunike.</x:v>
      </x:c>
      <x:c r="X982" s="36" t="str">
        <x:v>2. Timotheus 1,3–5</x:v>
      </x:c>
      <x:c r="Y982" s="36" t="str">
        <x:v>Paulus erinnert an eine Glaubensgeschichte über Generationen hinweg: zuerst Lois, dann Eunike und nun Timotheus.</x:v>
      </x:c>
      <x:c r="Z982" s="36" t="str">
        <x:v>JA</x:v>
      </x:c>
      <x:c r="AA982" s="36" t="str">
        <x:v>JA</x:v>
      </x:c>
      <x:c r="AB982" s="36" t="str">
        <x:v>JA</x:v>
      </x:c>
      <x:c r="AC982" s="36" t="str">
        <x:v>JA</x:v>
      </x:c>
      <x:c r="AD982" s="36" t="str">
        <x:v>JA</x:v>
      </x:c>
      <x:c r="AE982" s="36" t="str">
        <x:v>JA</x:v>
      </x:c>
      <x:c r="AF982" s="36" t="str">
        <x:v>JA</x:v>
      </x:c>
      <x:c r="AG982" s="36" t="str">
        <x:v>FREIGEGEBEN</x:v>
      </x:c>
      <x:c r="AH982" s="36" t="str">
        <x:v>GPT-5.6 Sol · Sammelprüfung · L1912/OTB</x:v>
      </x:c>
      <x:c r="AI982" s="36" t="str">
        <x:v>FREIGEGEBEN</x:v>
      </x:c>
      <x:c r="AJ982" s="36" t="str">
        <x:v>2. Timotheus 1: als neue, textnahe GLAUBE-Frage redaktionell freigegeben.</x:v>
      </x:c>
      <x:c r="AK982" s="36" t="str">
        <x:v>FaithPath repo develop/v4 · data/bibles/l1912/2TI.json · data/bibles/otb/2TI.json</x:v>
      </x:c>
      <x:c r="AL982" t="str">
        <x:v>JA</x:v>
      </x:c>
    </x:row>
    <x:row r="983">
      <x:c r="A983" t="str">
        <x:v>FP-1242</x:v>
      </x:c>
      <x:c r="B983" t="str">
        <x:v>2TI</x:v>
      </x:c>
      <x:c r="C983" t="str">
        <x:v>2. Timotheus</x:v>
      </x:c>
      <x:c r="D983" t="n">
        <x:v>1</x:v>
      </x:c>
      <x:c r="E983" t="n">
        <x:v>2</x:v>
      </x:c>
      <x:c r="F983" t="str">
        <x:v>2TI-001</x:v>
      </x:c>
      <x:c r="G983" t="n">
        <x:v>197</x:v>
      </x:c>
      <x:c r="H983" t="str">
        <x:v>CQ-A14-18</x:v>
      </x:c>
      <x:c r="I983" s="36" t="str">
        <x:v>Bestandsfrage: exakter Wortlaut in diesem Arbeitsschritt nicht rekonstruiert.</x:v>
      </x:c>
      <x:c r="J983" s="36"/>
      <x:c r="K983" s="36"/>
      <x:c r="L983" s="36" t="str">
        <x:v>MASTER_STATUS_VERIFIZIERT</x:v>
      </x:c>
      <x:c r="M983" s="36" t="str">
        <x:v>ERSETZEN</x:v>
      </x:c>
      <x:c r="N983" s="36" t="str">
        <x:v>BESTAND_NOCH_NICHT_GEPRÜFT</x:v>
      </x:c>
      <x:c r="O983" s="36" t="str">
        <x:v>DIDAKTISCHE_NEUFASSUNG</x:v>
      </x:c>
      <x:c r="P983" s="36" t="str">
        <x:v>ERMUTIGUNG</x:v>
      </x:c>
      <x:c r="Q983" s="36" t="str">
        <x:v>Warum soll Timotheus die Gabe Gottes neu entfachen?</x:v>
      </x:c>
      <x:c r="R983" s="36" t="str">
        <x:v>Weil geistliche Gaben ohne öffentliche Anerkennung verschwinden.</x:v>
      </x:c>
      <x:c r="S983" s="36" t="str">
        <x:v>Weil Timotheus älter als alle anderen Leiter war.</x:v>
      </x:c>
      <x:c r="T983" s="36" t="str">
        <x:v>Weil Gott nicht einen Geist der Furchtsamkeit gegeben hat, sondern der Kraft, Liebe und Selbstbeherrschung.</x:v>
      </x:c>
      <x:c r="U983" s="36" t="str">
        <x:v>Weil Leiden ein Zeichen fehlender Berufung ist.</x:v>
      </x:c>
      <x:c r="V983" s="36" t="n">
        <x:v>2</x:v>
      </x:c>
      <x:c r="W983" s="36" t="str">
        <x:v>Weil Gott nicht einen Geist der Furchtsamkeit gegeben hat, sondern der Kraft, Liebe und Selbstbeherrschung.</x:v>
      </x:c>
      <x:c r="X983" s="36" t="str">
        <x:v>2. Timotheus 1,6–7</x:v>
      </x:c>
      <x:c r="Y983" s="36" t="str">
        <x:v>Paulus stellt Furchtsamkeit den von Gott gegebenen Ressourcen Kraft, Liebe und Selbstbeherrschung gegenüber.</x:v>
      </x:c>
      <x:c r="Z983" s="36" t="str">
        <x:v>JA</x:v>
      </x:c>
      <x:c r="AA983" s="36" t="str">
        <x:v>JA</x:v>
      </x:c>
      <x:c r="AB983" s="36" t="str">
        <x:v>JA</x:v>
      </x:c>
      <x:c r="AC983" s="36" t="str">
        <x:v>JA</x:v>
      </x:c>
      <x:c r="AD983" s="36" t="str">
        <x:v>JA</x:v>
      </x:c>
      <x:c r="AE983" s="36" t="str">
        <x:v>JA</x:v>
      </x:c>
      <x:c r="AF983" s="36" t="str">
        <x:v>JA</x:v>
      </x:c>
      <x:c r="AG983" s="36" t="str">
        <x:v>FREIGEGEBEN</x:v>
      </x:c>
      <x:c r="AH983" s="36" t="str">
        <x:v>GPT-5.6 Sol · Sammelprüfung · L1912/OTB</x:v>
      </x:c>
      <x:c r="AI983" s="36" t="str">
        <x:v>FREIGEGEBEN</x:v>
      </x:c>
      <x:c r="AJ983" s="36" t="str">
        <x:v>2. Timotheus 1: als neue, textnahe ERMUTIGUNG-Frage redaktionell freigegeben.</x:v>
      </x:c>
      <x:c r="AK983" s="36" t="str">
        <x:v>FaithPath repo develop/v4 · data/bibles/l1912/2TI.json · data/bibles/otb/2TI.json</x:v>
      </x:c>
      <x:c r="AL983" t="str">
        <x:v>JA</x:v>
      </x:c>
    </x:row>
    <x:row r="984">
      <x:c r="A984" t="str">
        <x:v>FP-1243</x:v>
      </x:c>
      <x:c r="B984" t="str">
        <x:v>2TI</x:v>
      </x:c>
      <x:c r="C984" t="str">
        <x:v>2. Timotheus</x:v>
      </x:c>
      <x:c r="D984" t="n">
        <x:v>1</x:v>
      </x:c>
      <x:c r="E984" t="n">
        <x:v>3</x:v>
      </x:c>
      <x:c r="F984" t="str">
        <x:v>2TI-001</x:v>
      </x:c>
      <x:c r="G984" t="n">
        <x:v>197</x:v>
      </x:c>
      <x:c r="H984" t="str">
        <x:v>CQ-A14-18</x:v>
      </x:c>
      <x:c r="I984" s="36" t="str">
        <x:v>Bestandsfrage: exakter Wortlaut in diesem Arbeitsschritt nicht rekonstruiert.</x:v>
      </x:c>
      <x:c r="J984" s="36"/>
      <x:c r="K984" s="36"/>
      <x:c r="L984" s="36" t="str">
        <x:v>MASTER_STATUS_VERIFIZIERT</x:v>
      </x:c>
      <x:c r="M984" s="36" t="str">
        <x:v>ERSETZEN</x:v>
      </x:c>
      <x:c r="N984" s="36" t="str">
        <x:v>BESTAND_NOCH_NICHT_GEPRÜFT</x:v>
      </x:c>
      <x:c r="O984" s="36" t="str">
        <x:v>DIDAKTISCHE_NEUFASSUNG</x:v>
      </x:c>
      <x:c r="P984" s="36" t="str">
        <x:v>MUT</x:v>
      </x:c>
      <x:c r="Q984" s="36" t="str">
        <x:v>Wozu fordert Paulus Timotheus angesichts seiner eigenen Gefangenschaft auf?</x:v>
      </x:c>
      <x:c r="R984" s="36" t="str">
        <x:v>Den Kontakt zu Paulus aus Sicherheitsgründen abzubrechen.</x:v>
      </x:c>
      <x:c r="S984" s="36" t="str">
        <x:v>Das Evangelium nur noch privat zu vertreten.</x:v>
      </x:c>
      <x:c r="T984" s="36" t="str">
        <x:v>Leiden grundsätzlich als Niederlage zu betrachten.</x:v>
      </x:c>
      <x:c r="U984" s="36" t="str">
        <x:v>Sich des Zeugnisses von Jesus und Paulus' Gefangenschaft nicht zu schämen, sondern für das Evangelium mitzuleiden.</x:v>
      </x:c>
      <x:c r="V984" s="36" t="n">
        <x:v>3</x:v>
      </x:c>
      <x:c r="W984" s="36" t="str">
        <x:v>Sich des Zeugnisses von Jesus und Paulus' Gefangenschaft nicht zu schämen, sondern für das Evangelium mitzuleiden.</x:v>
      </x:c>
      <x:c r="X984" s="36" t="str">
        <x:v>2. Timotheus 1,8</x:v>
      </x:c>
      <x:c r="Y984" s="36" t="str">
        <x:v>Timotheus soll sich nicht von Scham oder Angst bestimmen lassen, sondern das Evangelium auch unter Kosten treu vertreten.</x:v>
      </x:c>
      <x:c r="Z984" s="36" t="str">
        <x:v>JA</x:v>
      </x:c>
      <x:c r="AA984" s="36" t="str">
        <x:v>JA</x:v>
      </x:c>
      <x:c r="AB984" s="36" t="str">
        <x:v>JA</x:v>
      </x:c>
      <x:c r="AC984" s="36" t="str">
        <x:v>JA</x:v>
      </x:c>
      <x:c r="AD984" s="36" t="str">
        <x:v>JA</x:v>
      </x:c>
      <x:c r="AE984" s="36" t="str">
        <x:v>JA</x:v>
      </x:c>
      <x:c r="AF984" s="36" t="str">
        <x:v>JA</x:v>
      </x:c>
      <x:c r="AG984" s="36" t="str">
        <x:v>FREIGEGEBEN</x:v>
      </x:c>
      <x:c r="AH984" s="36" t="str">
        <x:v>GPT-5.6 Sol · Sammelprüfung · L1912/OTB</x:v>
      </x:c>
      <x:c r="AI984" s="36" t="str">
        <x:v>FREIGEGEBEN</x:v>
      </x:c>
      <x:c r="AJ984" s="36" t="str">
        <x:v>2. Timotheus 1: als neue, textnahe MUT-Frage redaktionell freigegeben.</x:v>
      </x:c>
      <x:c r="AK984" s="36" t="str">
        <x:v>FaithPath repo develop/v4 · data/bibles/l1912/2TI.json · data/bibles/otb/2TI.json</x:v>
      </x:c>
      <x:c r="AL984" t="str">
        <x:v>JA</x:v>
      </x:c>
    </x:row>
    <x:row r="985">
      <x:c r="A985" t="str">
        <x:v>FP-1244</x:v>
      </x:c>
      <x:c r="B985" t="str">
        <x:v>2TI</x:v>
      </x:c>
      <x:c r="C985" t="str">
        <x:v>2. Timotheus</x:v>
      </x:c>
      <x:c r="D985" t="n">
        <x:v>1</x:v>
      </x:c>
      <x:c r="E985" t="n">
        <x:v>4</x:v>
      </x:c>
      <x:c r="F985" t="str">
        <x:v>2TI-001</x:v>
      </x:c>
      <x:c r="G985" t="n">
        <x:v>197</x:v>
      </x:c>
      <x:c r="H985" t="str">
        <x:v>CQ-A14-18</x:v>
      </x:c>
      <x:c r="I985" s="36" t="str">
        <x:v>Bestandsfrage: exakter Wortlaut in diesem Arbeitsschritt nicht rekonstruiert.</x:v>
      </x:c>
      <x:c r="J985" s="36"/>
      <x:c r="K985" s="36"/>
      <x:c r="L985" s="36" t="str">
        <x:v>MASTER_STATUS_VERIFIZIERT</x:v>
      </x:c>
      <x:c r="M985" s="36" t="str">
        <x:v>ERSETZEN</x:v>
      </x:c>
      <x:c r="N985" s="36" t="str">
        <x:v>BESTAND_NOCH_NICHT_GEPRÜFT</x:v>
      </x:c>
      <x:c r="O985" s="36" t="str">
        <x:v>DIDAKTISCHE_NEUFASSUNG</x:v>
      </x:c>
      <x:c r="P985" s="36" t="str">
        <x:v>GNADE</x:v>
      </x:c>
      <x:c r="Q985" s="36" t="str">
        <x:v>Worauf gründet Gottes rettende Berufung nach 2. Timotheus 1?</x:v>
      </x:c>
      <x:c r="R985" s="36" t="str">
        <x:v>Auf Gottes eigenen Vorsatz und seine Gnade, nicht auf unsere Werke.</x:v>
      </x:c>
      <x:c r="S985" s="36" t="str">
        <x:v>Auf menschliche Leistung allein.</x:v>
      </x:c>
      <x:c r="T985" s="36" t="str">
        <x:v>Auf familiäre Herkunft.</x:v>
      </x:c>
      <x:c r="U985" s="36" t="str">
        <x:v>Auf politischen Einfluss.</x:v>
      </x:c>
      <x:c r="V985" s="36" t="n">
        <x:v>0</x:v>
      </x:c>
      <x:c r="W985" s="36" t="str">
        <x:v>Auf Gottes eigenen Vorsatz und seine Gnade, nicht auf unsere Werke.</x:v>
      </x:c>
      <x:c r="X985" s="36" t="str">
        <x:v>2. Timotheus 1,9–10</x:v>
      </x:c>
      <x:c r="Y985" s="36" t="str">
        <x:v>Paulus verbindet Rettung und Berufung mit Gnade, die in Christus gegeben und durch sein Erscheinen sichtbar wurde.</x:v>
      </x:c>
      <x:c r="Z985" s="36" t="str">
        <x:v>JA</x:v>
      </x:c>
      <x:c r="AA985" s="36" t="str">
        <x:v>JA</x:v>
      </x:c>
      <x:c r="AB985" s="36" t="str">
        <x:v>JA</x:v>
      </x:c>
      <x:c r="AC985" s="36" t="str">
        <x:v>JA</x:v>
      </x:c>
      <x:c r="AD985" s="36" t="str">
        <x:v>JA</x:v>
      </x:c>
      <x:c r="AE985" s="36" t="str">
        <x:v>JA</x:v>
      </x:c>
      <x:c r="AF985" s="36" t="str">
        <x:v>JA</x:v>
      </x:c>
      <x:c r="AG985" s="36" t="str">
        <x:v>FREIGEGEBEN</x:v>
      </x:c>
      <x:c r="AH985" s="36" t="str">
        <x:v>GPT-5.6 Sol · Sammelprüfung · L1912/OTB</x:v>
      </x:c>
      <x:c r="AI985" s="36" t="str">
        <x:v>FREIGEGEBEN</x:v>
      </x:c>
      <x:c r="AJ985" s="36" t="str">
        <x:v>2. Timotheus 1: als neue, textnahe GNADE-Frage redaktionell freigegeben.</x:v>
      </x:c>
      <x:c r="AK985" s="36" t="str">
        <x:v>FaithPath repo develop/v4 · data/bibles/l1912/2TI.json · data/bibles/otb/2TI.json</x:v>
      </x:c>
      <x:c r="AL985" t="str">
        <x:v>JA</x:v>
      </x:c>
    </x:row>
    <x:row r="986">
      <x:c r="A986" t="str">
        <x:v>FP-1245</x:v>
      </x:c>
      <x:c r="B986" t="str">
        <x:v>2TI</x:v>
      </x:c>
      <x:c r="C986" t="str">
        <x:v>2. Timotheus</x:v>
      </x:c>
      <x:c r="D986" t="n">
        <x:v>1</x:v>
      </x:c>
      <x:c r="E986" t="n">
        <x:v>5</x:v>
      </x:c>
      <x:c r="F986" t="str">
        <x:v>2TI-001</x:v>
      </x:c>
      <x:c r="G986" t="n">
        <x:v>197</x:v>
      </x:c>
      <x:c r="H986" t="str">
        <x:v>CQ-A14-18</x:v>
      </x:c>
      <x:c r="I986" s="36" t="str">
        <x:v>Bestandsfrage: exakter Wortlaut in diesem Arbeitsschritt nicht rekonstruiert.</x:v>
      </x:c>
      <x:c r="J986" s="36"/>
      <x:c r="K986" s="36"/>
      <x:c r="L986" s="36" t="str">
        <x:v>MASTER_STATUS_VERIFIZIERT</x:v>
      </x:c>
      <x:c r="M986" s="36" t="str">
        <x:v>ERSETZEN</x:v>
      </x:c>
      <x:c r="N986" s="36" t="str">
        <x:v>BESTAND_NOCH_NICHT_GEPRÜFT</x:v>
      </x:c>
      <x:c r="O986" s="36" t="str">
        <x:v>DIDAKTISCHE_NEUFASSUNG</x:v>
      </x:c>
      <x:c r="P986" s="36" t="str">
        <x:v>BEISPIEL</x:v>
      </x:c>
      <x:c r="Q986" s="36" t="str">
        <x:v>Warum hebt Paulus Onesiphorus positiv hervor?</x:v>
      </x:c>
      <x:c r="R986" s="36" t="str">
        <x:v>Er sorgte dafür, dass Paulus nie gefangen wurde.</x:v>
      </x:c>
      <x:c r="S986" s="36" t="str">
        <x:v>Er erquickte Paulus oft, schämte sich seiner Ketten nicht und suchte ihn in Rom eifrig auf.</x:v>
      </x:c>
      <x:c r="T986" s="36" t="str">
        <x:v>Er war der römische Richter in Paulus' Prozess.</x:v>
      </x:c>
      <x:c r="U986" s="36" t="str">
        <x:v>Er ersetzte Timotheus dauerhaft als Apostel.</x:v>
      </x:c>
      <x:c r="V986" s="36" t="n">
        <x:v>1</x:v>
      </x:c>
      <x:c r="W986" s="36" t="str">
        <x:v>Er erquickte Paulus oft, schämte sich seiner Ketten nicht und suchte ihn in Rom eifrig auf.</x:v>
      </x:c>
      <x:c r="X986" s="36" t="str">
        <x:v>2. Timotheus 1,15–18</x:v>
      </x:c>
      <x:c r="Y986" s="36" t="str">
        <x:v>Onesiphorus steht als Gegenbild zu denen, die Paulus verlassen hatten: Er blieb loyal und suchte konkrete Nähe zum Gefangenen.</x:v>
      </x:c>
      <x:c r="Z986" s="36" t="str">
        <x:v>JA</x:v>
      </x:c>
      <x:c r="AA986" s="36" t="str">
        <x:v>JA</x:v>
      </x:c>
      <x:c r="AB986" s="36" t="str">
        <x:v>JA</x:v>
      </x:c>
      <x:c r="AC986" s="36" t="str">
        <x:v>JA</x:v>
      </x:c>
      <x:c r="AD986" s="36" t="str">
        <x:v>JA</x:v>
      </x:c>
      <x:c r="AE986" s="36" t="str">
        <x:v>JA</x:v>
      </x:c>
      <x:c r="AF986" s="36" t="str">
        <x:v>JA</x:v>
      </x:c>
      <x:c r="AG986" s="36" t="str">
        <x:v>FREIGEGEBEN</x:v>
      </x:c>
      <x:c r="AH986" s="36" t="str">
        <x:v>GPT-5.6 Sol · Sammelprüfung · L1912/OTB</x:v>
      </x:c>
      <x:c r="AI986" s="36" t="str">
        <x:v>FREIGEGEBEN</x:v>
      </x:c>
      <x:c r="AJ986" s="36" t="str">
        <x:v>2. Timotheus 1: als neue, textnahe BEISPIEL-Frage redaktionell freigegeben.</x:v>
      </x:c>
      <x:c r="AK986" s="36" t="str">
        <x:v>FaithPath repo develop/v4 · data/bibles/l1912/2TI.json · data/bibles/otb/2TI.json</x:v>
      </x:c>
      <x:c r="AL986" t="str">
        <x:v>JA</x:v>
      </x:c>
    </x:row>
    <x:row r="987">
      <x:c r="A987" t="str">
        <x:v>FP-1246</x:v>
      </x:c>
      <x:c r="B987" t="str">
        <x:v>2TI</x:v>
      </x:c>
      <x:c r="C987" t="str">
        <x:v>2. Timotheus</x:v>
      </x:c>
      <x:c r="D987" t="n">
        <x:v>2</x:v>
      </x:c>
      <x:c r="E987" t="n">
        <x:v>1</x:v>
      </x:c>
      <x:c r="F987" t="str">
        <x:v>2TI-002</x:v>
      </x:c>
      <x:c r="G987" t="n">
        <x:v>198</x:v>
      </x:c>
      <x:c r="H987" t="str">
        <x:v>CQ-A14-18</x:v>
      </x:c>
      <x:c r="I987" s="36" t="str">
        <x:v>Bestandsfrage: exakter Wortlaut in diesem Arbeitsschritt nicht rekonstruiert.</x:v>
      </x:c>
      <x:c r="J987" s="36"/>
      <x:c r="K987" s="36"/>
      <x:c r="L987" s="36" t="str">
        <x:v>MASTER_STATUS_VERIFIZIERT</x:v>
      </x:c>
      <x:c r="M987" s="36" t="str">
        <x:v>ERSETZEN</x:v>
      </x:c>
      <x:c r="N987" s="36" t="str">
        <x:v>BESTAND_NOCH_NICHT_GEPRÜFT</x:v>
      </x:c>
      <x:c r="O987" s="36" t="str">
        <x:v>DIDAKTISCHE_NEUFASSUNG</x:v>
      </x:c>
      <x:c r="P987" s="36" t="str">
        <x:v>WEITERGABE</x:v>
      </x:c>
      <x:c r="Q987" s="36" t="str">
        <x:v>Wie soll Timotheus die empfangene Lehre weitergeben?</x:v>
      </x:c>
      <x:c r="R987" s="36" t="str">
        <x:v>Er soll sie als persönliches Geheimwissen bewahren.</x:v>
      </x:c>
      <x:c r="S987" s="36" t="str">
        <x:v>Er soll sie nur innerhalb seiner Familie weitergeben.</x:v>
      </x:c>
      <x:c r="T987" s="36" t="str">
        <x:v>Er soll sie treuen Menschen anvertrauen, die wiederum fähig sind, andere zu lehren.</x:v>
      </x:c>
      <x:c r="U987" s="36" t="str">
        <x:v>Er soll auf jede strukturierte Weitergabe verzichten.</x:v>
      </x:c>
      <x:c r="V987" s="36" t="n">
        <x:v>2</x:v>
      </x:c>
      <x:c r="W987" s="36" t="str">
        <x:v>Er soll sie treuen Menschen anvertrauen, die wiederum fähig sind, andere zu lehren.</x:v>
      </x:c>
      <x:c r="X987" s="36" t="str">
        <x:v>2. Timotheus 2,1–2</x:v>
      </x:c>
      <x:c r="Y987" s="36" t="str">
        <x:v>Paulus beschreibt eine Kette verantwortlicher Weitergabe: von ihm zu Timotheus, zu treuen Lehrenden und von dort zu weiteren Menschen.</x:v>
      </x:c>
      <x:c r="Z987" s="36" t="str">
        <x:v>JA</x:v>
      </x:c>
      <x:c r="AA987" s="36" t="str">
        <x:v>JA</x:v>
      </x:c>
      <x:c r="AB987" s="36" t="str">
        <x:v>JA</x:v>
      </x:c>
      <x:c r="AC987" s="36" t="str">
        <x:v>JA</x:v>
      </x:c>
      <x:c r="AD987" s="36" t="str">
        <x:v>JA</x:v>
      </x:c>
      <x:c r="AE987" s="36" t="str">
        <x:v>JA</x:v>
      </x:c>
      <x:c r="AF987" s="36" t="str">
        <x:v>JA</x:v>
      </x:c>
      <x:c r="AG987" s="36" t="str">
        <x:v>FREIGEGEBEN</x:v>
      </x:c>
      <x:c r="AH987" s="36" t="str">
        <x:v>GPT-5.6 Sol · Sammelprüfung · L1912/OTB</x:v>
      </x:c>
      <x:c r="AI987" s="36" t="str">
        <x:v>FREIGEGEBEN</x:v>
      </x:c>
      <x:c r="AJ987" s="36" t="str">
        <x:v>2. Timotheus 2: als neue, textnahe WEITERGABE-Frage redaktionell freigegeben.</x:v>
      </x:c>
      <x:c r="AK987" s="36" t="str">
        <x:v>FaithPath repo develop/v4 · data/bibles/l1912/2TI.json · data/bibles/otb/2TI.json</x:v>
      </x:c>
      <x:c r="AL987" t="str">
        <x:v>JA</x:v>
      </x:c>
    </x:row>
    <x:row r="988">
      <x:c r="A988" t="str">
        <x:v>FP-1247</x:v>
      </x:c>
      <x:c r="B988" t="str">
        <x:v>2TI</x:v>
      </x:c>
      <x:c r="C988" t="str">
        <x:v>2. Timotheus</x:v>
      </x:c>
      <x:c r="D988" t="n">
        <x:v>2</x:v>
      </x:c>
      <x:c r="E988" t="n">
        <x:v>2</x:v>
      </x:c>
      <x:c r="F988" t="str">
        <x:v>2TI-002</x:v>
      </x:c>
      <x:c r="G988" t="n">
        <x:v>198</x:v>
      </x:c>
      <x:c r="H988" t="str">
        <x:v>CQ-A14-18</x:v>
      </x:c>
      <x:c r="I988" s="36" t="str">
        <x:v>Bestandsfrage: exakter Wortlaut in diesem Arbeitsschritt nicht rekonstruiert.</x:v>
      </x:c>
      <x:c r="J988" s="36"/>
      <x:c r="K988" s="36"/>
      <x:c r="L988" s="36" t="str">
        <x:v>MASTER_STATUS_VERIFIZIERT</x:v>
      </x:c>
      <x:c r="M988" s="36" t="str">
        <x:v>ERSETZEN</x:v>
      </x:c>
      <x:c r="N988" s="36" t="str">
        <x:v>BESTAND_NOCH_NICHT_GEPRÜFT</x:v>
      </x:c>
      <x:c r="O988" s="36" t="str">
        <x:v>DIDAKTISCHE_NEUFASSUNG</x:v>
      </x:c>
      <x:c r="P988" s="36" t="str">
        <x:v>BILDER</x:v>
      </x:c>
      <x:c r="Q988" s="36" t="str">
        <x:v>Was verbindet die Bilder vom Soldaten, Wettkämpfer und Bauern?</x:v>
      </x:c>
      <x:c r="R988" s="36" t="str">
        <x:v>Sie zeigen drei Wege, schnell reich zu werden.</x:v>
      </x:c>
      <x:c r="S988" s="36" t="str">
        <x:v>Sie erklären, dass christlicher Dienst ohne Mühe geschieht.</x:v>
      </x:c>
      <x:c r="T988" s="36" t="str">
        <x:v>Sie ersetzen die Erinnerung an Jesus Christus.</x:v>
      </x:c>
      <x:c r="U988" s="36" t="str">
        <x:v>Sie veranschaulichen Hingabe, regelgerechtes Handeln und ausdauernde Arbeit.</x:v>
      </x:c>
      <x:c r="V988" s="36" t="n">
        <x:v>3</x:v>
      </x:c>
      <x:c r="W988" s="36" t="str">
        <x:v>Sie veranschaulichen Hingabe, regelgerechtes Handeln und ausdauernde Arbeit.</x:v>
      </x:c>
      <x:c r="X988" s="36" t="str">
        <x:v>2. Timotheus 2,3–7</x:v>
      </x:c>
      <x:c r="Y988" s="36" t="str">
        <x:v>Die drei Bilder beleuchten unterschiedliche Seiten treuen Dienstes: Fokus, Disziplin und geduldige Arbeit.</x:v>
      </x:c>
      <x:c r="Z988" s="36" t="str">
        <x:v>JA</x:v>
      </x:c>
      <x:c r="AA988" s="36" t="str">
        <x:v>JA</x:v>
      </x:c>
      <x:c r="AB988" s="36" t="str">
        <x:v>JA</x:v>
      </x:c>
      <x:c r="AC988" s="36" t="str">
        <x:v>JA</x:v>
      </x:c>
      <x:c r="AD988" s="36" t="str">
        <x:v>JA</x:v>
      </x:c>
      <x:c r="AE988" s="36" t="str">
        <x:v>JA</x:v>
      </x:c>
      <x:c r="AF988" s="36" t="str">
        <x:v>JA</x:v>
      </x:c>
      <x:c r="AG988" s="36" t="str">
        <x:v>FREIGEGEBEN</x:v>
      </x:c>
      <x:c r="AH988" s="36" t="str">
        <x:v>GPT-5.6 Sol · Sammelprüfung · L1912/OTB</x:v>
      </x:c>
      <x:c r="AI988" s="36" t="str">
        <x:v>FREIGEGEBEN</x:v>
      </x:c>
      <x:c r="AJ988" s="36" t="str">
        <x:v>2. Timotheus 2: als neue, textnahe BILDER-Frage redaktionell freigegeben.</x:v>
      </x:c>
      <x:c r="AK988" s="36" t="str">
        <x:v>FaithPath repo develop/v4 · data/bibles/l1912/2TI.json · data/bibles/otb/2TI.json</x:v>
      </x:c>
      <x:c r="AL988" t="str">
        <x:v>JA</x:v>
      </x:c>
    </x:row>
    <x:row r="989">
      <x:c r="A989" t="str">
        <x:v>FP-1248</x:v>
      </x:c>
      <x:c r="B989" t="str">
        <x:v>2TI</x:v>
      </x:c>
      <x:c r="C989" t="str">
        <x:v>2. Timotheus</x:v>
      </x:c>
      <x:c r="D989" t="n">
        <x:v>2</x:v>
      </x:c>
      <x:c r="E989" t="n">
        <x:v>3</x:v>
      </x:c>
      <x:c r="F989" t="str">
        <x:v>2TI-002</x:v>
      </x:c>
      <x:c r="G989" t="n">
        <x:v>198</x:v>
      </x:c>
      <x:c r="H989" t="str">
        <x:v>CQ-A14-18</x:v>
      </x:c>
      <x:c r="I989" s="36" t="str">
        <x:v>Bestandsfrage: exakter Wortlaut in diesem Arbeitsschritt nicht rekonstruiert.</x:v>
      </x:c>
      <x:c r="J989" s="36"/>
      <x:c r="K989" s="36"/>
      <x:c r="L989" s="36" t="str">
        <x:v>MASTER_STATUS_VERIFIZIERT</x:v>
      </x:c>
      <x:c r="M989" s="36" t="str">
        <x:v>ERSETZEN</x:v>
      </x:c>
      <x:c r="N989" s="36" t="str">
        <x:v>BESTAND_NOCH_NICHT_GEPRÜFT</x:v>
      </x:c>
      <x:c r="O989" s="36" t="str">
        <x:v>DIDAKTISCHE_NEUFASSUNG</x:v>
      </x:c>
      <x:c r="P989" s="36" t="str">
        <x:v>HOFFNUNG</x:v>
      </x:c>
      <x:c r="Q989" s="36" t="str">
        <x:v>Was soll Timotheus trotz Paulus' Fesseln im Gedächtnis behalten?</x:v>
      </x:c>
      <x:c r="R989" s="36" t="str">
        <x:v>Jesus Christus ist von den Toten auferstanden, und Gottes Wort ist nicht gebunden.</x:v>
      </x:c>
      <x:c r="S989" s="36" t="str">
        <x:v>Das Evangelium ist durch Paulus' Gefangenschaft wirkungslos geworden.</x:v>
      </x:c>
      <x:c r="T989" s="36" t="str">
        <x:v>Nur freie Menschen können Gottes Wort verkündigen.</x:v>
      </x:c>
      <x:c r="U989" s="36" t="str">
        <x:v>Auferstehung ist bereits nur symbolisch abgeschlossen.</x:v>
      </x:c>
      <x:c r="V989" s="36" t="n">
        <x:v>0</x:v>
      </x:c>
      <x:c r="W989" s="36" t="str">
        <x:v>Jesus Christus ist von den Toten auferstanden, und Gottes Wort ist nicht gebunden.</x:v>
      </x:c>
      <x:c r="X989" s="36" t="str">
        <x:v>2. Timotheus 2,8–10</x:v>
      </x:c>
      <x:c r="Y989" s="36" t="str">
        <x:v>Paulus sitzt in Fesseln, stellt aber die Freiheit von Gottes Wort und die Auferstehung Christi in den Mittelpunkt.</x:v>
      </x:c>
      <x:c r="Z989" s="36" t="str">
        <x:v>JA</x:v>
      </x:c>
      <x:c r="AA989" s="36" t="str">
        <x:v>JA</x:v>
      </x:c>
      <x:c r="AB989" s="36" t="str">
        <x:v>JA</x:v>
      </x:c>
      <x:c r="AC989" s="36" t="str">
        <x:v>JA</x:v>
      </x:c>
      <x:c r="AD989" s="36" t="str">
        <x:v>JA</x:v>
      </x:c>
      <x:c r="AE989" s="36" t="str">
        <x:v>JA</x:v>
      </x:c>
      <x:c r="AF989" s="36" t="str">
        <x:v>JA</x:v>
      </x:c>
      <x:c r="AG989" s="36" t="str">
        <x:v>FREIGEGEBEN</x:v>
      </x:c>
      <x:c r="AH989" s="36" t="str">
        <x:v>GPT-5.6 Sol · Sammelprüfung · L1912/OTB</x:v>
      </x:c>
      <x:c r="AI989" s="36" t="str">
        <x:v>FREIGEGEBEN</x:v>
      </x:c>
      <x:c r="AJ989" s="36" t="str">
        <x:v>2. Timotheus 2: als neue, textnahe HOFFNUNG-Frage redaktionell freigegeben.</x:v>
      </x:c>
      <x:c r="AK989" s="36" t="str">
        <x:v>FaithPath repo develop/v4 · data/bibles/l1912/2TI.json · data/bibles/otb/2TI.json</x:v>
      </x:c>
      <x:c r="AL989" t="str">
        <x:v>JA</x:v>
      </x:c>
    </x:row>
    <x:row r="990">
      <x:c r="A990" t="str">
        <x:v>FP-1249</x:v>
      </x:c>
      <x:c r="B990" t="str">
        <x:v>2TI</x:v>
      </x:c>
      <x:c r="C990" t="str">
        <x:v>2. Timotheus</x:v>
      </x:c>
      <x:c r="D990" t="n">
        <x:v>2</x:v>
      </x:c>
      <x:c r="E990" t="n">
        <x:v>4</x:v>
      </x:c>
      <x:c r="F990" t="str">
        <x:v>2TI-002</x:v>
      </x:c>
      <x:c r="G990" t="n">
        <x:v>198</x:v>
      </x:c>
      <x:c r="H990" t="str">
        <x:v>CQ-A14-18</x:v>
      </x:c>
      <x:c r="I990" s="36" t="str">
        <x:v>Bestandsfrage: exakter Wortlaut in diesem Arbeitsschritt nicht rekonstruiert.</x:v>
      </x:c>
      <x:c r="J990" s="36"/>
      <x:c r="K990" s="36"/>
      <x:c r="L990" s="36" t="str">
        <x:v>MASTER_STATUS_VERIFIZIERT</x:v>
      </x:c>
      <x:c r="M990" s="36" t="str">
        <x:v>ERSETZEN</x:v>
      </x:c>
      <x:c r="N990" s="36" t="str">
        <x:v>BESTAND_NOCH_NICHT_GEPRÜFT</x:v>
      </x:c>
      <x:c r="O990" s="36" t="str">
        <x:v>DIDAKTISCHE_NEUFASSUNG</x:v>
      </x:c>
      <x:c r="P990" s="36" t="str">
        <x:v>LEHRE</x:v>
      </x:c>
      <x:c r="Q990" s="36" t="str">
        <x:v>Wie soll sich Timotheus als bewährter Arbeiter im Umgang mit Lehre verhalten?</x:v>
      </x:c>
      <x:c r="R990" s="36" t="str">
        <x:v>Jeden Wortstreit gewinnen.</x:v>
      </x:c>
      <x:c r="S990" s="36" t="str">
        <x:v>Das Wort der Wahrheit richtig behandeln und leeres, gottloses Geschwätz meiden.</x:v>
      </x:c>
      <x:c r="T990" s="36" t="str">
        <x:v>Schwierige Themen grundsätzlich verschweigen.</x:v>
      </x:c>
      <x:c r="U990" s="36" t="str">
        <x:v>Die Wahrheit an die Erwartungen des Publikums anpassen.</x:v>
      </x:c>
      <x:c r="V990" s="36" t="n">
        <x:v>1</x:v>
      </x:c>
      <x:c r="W990" s="36" t="str">
        <x:v>Das Wort der Wahrheit richtig behandeln und leeres, gottloses Geschwätz meiden.</x:v>
      </x:c>
      <x:c r="X990" s="36" t="str">
        <x:v>2. Timotheus 2,14–18</x:v>
      </x:c>
      <x:c r="Y990" s="36" t="str">
        <x:v>Paulus kontrastiert sorgfältigen Umgang mit der Wahrheit und zerstörerische Wortstreitigkeiten.</x:v>
      </x:c>
      <x:c r="Z990" s="36" t="str">
        <x:v>JA</x:v>
      </x:c>
      <x:c r="AA990" s="36" t="str">
        <x:v>JA</x:v>
      </x:c>
      <x:c r="AB990" s="36" t="str">
        <x:v>JA</x:v>
      </x:c>
      <x:c r="AC990" s="36" t="str">
        <x:v>JA</x:v>
      </x:c>
      <x:c r="AD990" s="36" t="str">
        <x:v>JA</x:v>
      </x:c>
      <x:c r="AE990" s="36" t="str">
        <x:v>JA</x:v>
      </x:c>
      <x:c r="AF990" s="36" t="str">
        <x:v>JA</x:v>
      </x:c>
      <x:c r="AG990" s="36" t="str">
        <x:v>FREIGEGEBEN</x:v>
      </x:c>
      <x:c r="AH990" s="36" t="str">
        <x:v>GPT-5.6 Sol · Sammelprüfung · L1912/OTB</x:v>
      </x:c>
      <x:c r="AI990" s="36" t="str">
        <x:v>FREIGEGEBEN</x:v>
      </x:c>
      <x:c r="AJ990" s="36" t="str">
        <x:v>2. Timotheus 2: als neue, textnahe LEHRE-Frage redaktionell freigegeben.</x:v>
      </x:c>
      <x:c r="AK990" s="36" t="str">
        <x:v>FaithPath repo develop/v4 · data/bibles/l1912/2TI.json · data/bibles/otb/2TI.json</x:v>
      </x:c>
      <x:c r="AL990" t="str">
        <x:v>JA</x:v>
      </x:c>
    </x:row>
    <x:row r="991">
      <x:c r="A991" t="str">
        <x:v>FP-1250</x:v>
      </x:c>
      <x:c r="B991" t="str">
        <x:v>2TI</x:v>
      </x:c>
      <x:c r="C991" t="str">
        <x:v>2. Timotheus</x:v>
      </x:c>
      <x:c r="D991" t="n">
        <x:v>2</x:v>
      </x:c>
      <x:c r="E991" t="n">
        <x:v>5</x:v>
      </x:c>
      <x:c r="F991" t="str">
        <x:v>2TI-002</x:v>
      </x:c>
      <x:c r="G991" t="n">
        <x:v>198</x:v>
      </x:c>
      <x:c r="H991" t="str">
        <x:v>CQ-A14-18</x:v>
      </x:c>
      <x:c r="I991" s="36" t="str">
        <x:v>Bestandsfrage: exakter Wortlaut in diesem Arbeitsschritt nicht rekonstruiert.</x:v>
      </x:c>
      <x:c r="J991" s="36"/>
      <x:c r="K991" s="36"/>
      <x:c r="L991" s="36" t="str">
        <x:v>MASTER_STATUS_VERIFIZIERT</x:v>
      </x:c>
      <x:c r="M991" s="36" t="str">
        <x:v>ERSETZEN</x:v>
      </x:c>
      <x:c r="N991" s="36" t="str">
        <x:v>BESTAND_NOCH_NICHT_GEPRÜFT</x:v>
      </x:c>
      <x:c r="O991" s="36" t="str">
        <x:v>DIDAKTISCHE_NEUFASSUNG</x:v>
      </x:c>
      <x:c r="P991" s="36" t="str">
        <x:v>HALTUNG</x:v>
      </x:c>
      <x:c r="Q991" s="36" t="str">
        <x:v>Wie soll ein Diener des Herrn mit Widersachern umgehen?</x:v>
      </x:c>
      <x:c r="R991" s="36" t="str">
        <x:v>Mit möglichst scharfer persönlicher Herabsetzung.</x:v>
      </x:c>
      <x:c r="S991" s="36" t="str">
        <x:v>Indem er jede falsche Aussage ignoriert.</x:v>
      </x:c>
      <x:c r="T991" s="36" t="str">
        <x:v>Nicht streitsüchtig, sondern freundlich, lehrfähig, geduldig und sanft korrigierend.</x:v>
      </x:c>
      <x:c r="U991" s="36" t="str">
        <x:v>Mit Gewalt, wenn Argumente nicht ausreichen.</x:v>
      </x:c>
      <x:c r="V991" s="36" t="n">
        <x:v>2</x:v>
      </x:c>
      <x:c r="W991" s="36" t="str">
        <x:v>Nicht streitsüchtig, sondern freundlich, lehrfähig, geduldig und sanft korrigierend.</x:v>
      </x:c>
      <x:c r="X991" s="36" t="str">
        <x:v>2. Timotheus 2,22–26</x:v>
      </x:c>
      <x:c r="Y991" s="36" t="str">
        <x:v>Korrektur bleibt nötig, soll aber mit Sanftmut geschehen und auf Umkehr und Erkenntnis der Wahrheit zielen.</x:v>
      </x:c>
      <x:c r="Z991" s="36" t="str">
        <x:v>JA</x:v>
      </x:c>
      <x:c r="AA991" s="36" t="str">
        <x:v>JA</x:v>
      </x:c>
      <x:c r="AB991" s="36" t="str">
        <x:v>JA</x:v>
      </x:c>
      <x:c r="AC991" s="36" t="str">
        <x:v>JA</x:v>
      </x:c>
      <x:c r="AD991" s="36" t="str">
        <x:v>JA</x:v>
      </x:c>
      <x:c r="AE991" s="36" t="str">
        <x:v>JA</x:v>
      </x:c>
      <x:c r="AF991" s="36" t="str">
        <x:v>JA</x:v>
      </x:c>
      <x:c r="AG991" s="36" t="str">
        <x:v>FREIGEGEBEN</x:v>
      </x:c>
      <x:c r="AH991" s="36" t="str">
        <x:v>GPT-5.6 Sol · Sammelprüfung · L1912/OTB</x:v>
      </x:c>
      <x:c r="AI991" s="36" t="str">
        <x:v>FREIGEGEBEN</x:v>
      </x:c>
      <x:c r="AJ991" s="36" t="str">
        <x:v>2. Timotheus 2: als neue, textnahe HALTUNG-Frage redaktionell freigegeben.</x:v>
      </x:c>
      <x:c r="AK991" s="36" t="str">
        <x:v>FaithPath repo develop/v4 · data/bibles/l1912/2TI.json · data/bibles/otb/2TI.json</x:v>
      </x:c>
      <x:c r="AL991" t="str">
        <x:v>JA</x:v>
      </x:c>
    </x:row>
    <x:row r="992">
      <x:c r="A992" t="str">
        <x:v>FP-1251</x:v>
      </x:c>
      <x:c r="B992" t="str">
        <x:v>2TI</x:v>
      </x:c>
      <x:c r="C992" t="str">
        <x:v>2. Timotheus</x:v>
      </x:c>
      <x:c r="D992" t="n">
        <x:v>3</x:v>
      </x:c>
      <x:c r="E992" t="n">
        <x:v>1</x:v>
      </x:c>
      <x:c r="F992" t="str">
        <x:v>2TI-003</x:v>
      </x:c>
      <x:c r="G992" t="n">
        <x:v>199</x:v>
      </x:c>
      <x:c r="H992" t="str">
        <x:v>CQ-A14-18</x:v>
      </x:c>
      <x:c r="I992" s="36" t="str">
        <x:v>Bestandsfrage: exakter Wortlaut in diesem Arbeitsschritt nicht rekonstruiert.</x:v>
      </x:c>
      <x:c r="J992" s="36"/>
      <x:c r="K992" s="36"/>
      <x:c r="L992" s="36" t="str">
        <x:v>MASTER_STATUS_VERIFIZIERT</x:v>
      </x:c>
      <x:c r="M992" s="36" t="str">
        <x:v>ERSETZEN</x:v>
      </x:c>
      <x:c r="N992" s="36" t="str">
        <x:v>BESTAND_NOCH_NICHT_GEPRÜFT</x:v>
      </x:c>
      <x:c r="O992" s="36" t="str">
        <x:v>DIDAKTISCHE_NEUFASSUNG</x:v>
      </x:c>
      <x:c r="P992" s="36" t="str">
        <x:v>WARNUNG</x:v>
      </x:c>
      <x:c r="Q992" s="36" t="str">
        <x:v>Was kennzeichnet nach Paulus die 'schweren Zeiten' der letzten Tage?</x:v>
      </x:c>
      <x:c r="R992" s="36" t="str">
        <x:v>Alle Menschen werden automatisch gläubig.</x:v>
      </x:c>
      <x:c r="S992" s="36" t="str">
        <x:v>Es wird keine religiöse Sprache mehr geben.</x:v>
      </x:c>
      <x:c r="T992" s="36" t="str">
        <x:v>Verfolgung von Christen wird vollständig enden.</x:v>
      </x:c>
      <x:c r="U992" s="36" t="str">
        <x:v>Menschen können eine Form der Gottesfurcht zeigen, ihre Kraft aber verleugnen, während Selbstsucht und andere zerstörerische Haltungen zunehmen.</x:v>
      </x:c>
      <x:c r="V992" s="36" t="n">
        <x:v>3</x:v>
      </x:c>
      <x:c r="W992" s="36" t="str">
        <x:v>Menschen können eine Form der Gottesfurcht zeigen, ihre Kraft aber verleugnen, während Selbstsucht und andere zerstörerische Haltungen zunehmen.</x:v>
      </x:c>
      <x:c r="X992" s="36" t="str">
        <x:v>2. Timotheus 3,1–5</x:v>
      </x:c>
      <x:c r="Y992" s="36" t="str">
        <x:v>Paulus warnt nicht nur vor offenem Unglauben, sondern auch vor einer äußeren Form von Frömmigkeit ohne entsprechende Wirklichkeit.</x:v>
      </x:c>
      <x:c r="Z992" s="36" t="str">
        <x:v>JA</x:v>
      </x:c>
      <x:c r="AA992" s="36" t="str">
        <x:v>JA</x:v>
      </x:c>
      <x:c r="AB992" s="36" t="str">
        <x:v>JA</x:v>
      </x:c>
      <x:c r="AC992" s="36" t="str">
        <x:v>JA</x:v>
      </x:c>
      <x:c r="AD992" s="36" t="str">
        <x:v>JA</x:v>
      </x:c>
      <x:c r="AE992" s="36" t="str">
        <x:v>JA</x:v>
      </x:c>
      <x:c r="AF992" s="36" t="str">
        <x:v>JA</x:v>
      </x:c>
      <x:c r="AG992" s="36" t="str">
        <x:v>FREIGEGEBEN</x:v>
      </x:c>
      <x:c r="AH992" s="36" t="str">
        <x:v>GPT-5.6 Sol · Sammelprüfung · L1912/OTB</x:v>
      </x:c>
      <x:c r="AI992" s="36" t="str">
        <x:v>FREIGEGEBEN</x:v>
      </x:c>
      <x:c r="AJ992" s="36" t="str">
        <x:v>2. Timotheus 3: als neue, textnahe WARNUNG-Frage redaktionell freigegeben.</x:v>
      </x:c>
      <x:c r="AK992" s="36" t="str">
        <x:v>FaithPath repo develop/v4 · data/bibles/l1912/2TI.json · data/bibles/otb/2TI.json</x:v>
      </x:c>
      <x:c r="AL992" t="str">
        <x:v>JA</x:v>
      </x:c>
    </x:row>
    <x:row r="993">
      <x:c r="A993" t="str">
        <x:v>FP-1252</x:v>
      </x:c>
      <x:c r="B993" t="str">
        <x:v>2TI</x:v>
      </x:c>
      <x:c r="C993" t="str">
        <x:v>2. Timotheus</x:v>
      </x:c>
      <x:c r="D993" t="n">
        <x:v>3</x:v>
      </x:c>
      <x:c r="E993" t="n">
        <x:v>2</x:v>
      </x:c>
      <x:c r="F993" t="str">
        <x:v>2TI-003</x:v>
      </x:c>
      <x:c r="G993" t="n">
        <x:v>199</x:v>
      </x:c>
      <x:c r="H993" t="str">
        <x:v>CQ-A14-18</x:v>
      </x:c>
      <x:c r="I993" s="36" t="str">
        <x:v>Bestandsfrage: exakter Wortlaut in diesem Arbeitsschritt nicht rekonstruiert.</x:v>
      </x:c>
      <x:c r="J993" s="36"/>
      <x:c r="K993" s="36"/>
      <x:c r="L993" s="36" t="str">
        <x:v>MASTER_STATUS_VERIFIZIERT</x:v>
      </x:c>
      <x:c r="M993" s="36" t="str">
        <x:v>ERSETZEN</x:v>
      </x:c>
      <x:c r="N993" s="36" t="str">
        <x:v>BESTAND_NOCH_NICHT_GEPRÜFT</x:v>
      </x:c>
      <x:c r="O993" s="36" t="str">
        <x:v>DIDAKTISCHE_NEUFASSUNG</x:v>
      </x:c>
      <x:c r="P993" s="36" t="str">
        <x:v>VORBILD</x:v>
      </x:c>
      <x:c r="Q993" s="36" t="str">
        <x:v>Worin hatte Timotheus Paulus nach dessen Aussage genau beobachtet?</x:v>
      </x:c>
      <x:c r="R993" s="36" t="str">
        <x:v>In Lehre, Lebensführung, Ziel, Glauben, Geduld, Liebe, Ausharren sowie in Verfolgungen und Leiden.</x:v>
      </x:c>
      <x:c r="S993" s="36" t="str">
        <x:v>Nur in seiner Rhetorik.</x:v>
      </x:c>
      <x:c r="T993" s="36" t="str">
        <x:v>Nur in seinen Reiseplänen.</x:v>
      </x:c>
      <x:c r="U993" s="36" t="str">
        <x:v>Nur in seinem Umgang mit Geld.</x:v>
      </x:c>
      <x:c r="V993" s="36" t="n">
        <x:v>0</x:v>
      </x:c>
      <x:c r="W993" s="36" t="str">
        <x:v>In Lehre, Lebensführung, Ziel, Glauben, Geduld, Liebe, Ausharren sowie in Verfolgungen und Leiden.</x:v>
      </x:c>
      <x:c r="X993" s="36" t="str">
        <x:v>2. Timotheus 3,10–11</x:v>
      </x:c>
      <x:c r="Y993" s="36" t="str">
        <x:v>Paulus verweist auf ein ganzes Lebensmuster, nicht nur auf Inhalte. Lehre und Lebensführung gehören zusammen.</x:v>
      </x:c>
      <x:c r="Z993" s="36" t="str">
        <x:v>JA</x:v>
      </x:c>
      <x:c r="AA993" s="36" t="str">
        <x:v>JA</x:v>
      </x:c>
      <x:c r="AB993" s="36" t="str">
        <x:v>JA</x:v>
      </x:c>
      <x:c r="AC993" s="36" t="str">
        <x:v>JA</x:v>
      </x:c>
      <x:c r="AD993" s="36" t="str">
        <x:v>JA</x:v>
      </x:c>
      <x:c r="AE993" s="36" t="str">
        <x:v>JA</x:v>
      </x:c>
      <x:c r="AF993" s="36" t="str">
        <x:v>JA</x:v>
      </x:c>
      <x:c r="AG993" s="36" t="str">
        <x:v>FREIGEGEBEN</x:v>
      </x:c>
      <x:c r="AH993" s="36" t="str">
        <x:v>GPT-5.6 Sol · Sammelprüfung · L1912/OTB</x:v>
      </x:c>
      <x:c r="AI993" s="36" t="str">
        <x:v>FREIGEGEBEN</x:v>
      </x:c>
      <x:c r="AJ993" s="36" t="str">
        <x:v>2. Timotheus 3: als neue, textnahe VORBILD-Frage redaktionell freigegeben.</x:v>
      </x:c>
      <x:c r="AK993" s="36" t="str">
        <x:v>FaithPath repo develop/v4 · data/bibles/l1912/2TI.json · data/bibles/otb/2TI.json</x:v>
      </x:c>
      <x:c r="AL993" t="str">
        <x:v>JA</x:v>
      </x:c>
    </x:row>
    <x:row r="994">
      <x:c r="A994" t="str">
        <x:v>FP-1253</x:v>
      </x:c>
      <x:c r="B994" t="str">
        <x:v>2TI</x:v>
      </x:c>
      <x:c r="C994" t="str">
        <x:v>2. Timotheus</x:v>
      </x:c>
      <x:c r="D994" t="n">
        <x:v>3</x:v>
      </x:c>
      <x:c r="E994" t="n">
        <x:v>3</x:v>
      </x:c>
      <x:c r="F994" t="str">
        <x:v>2TI-003</x:v>
      </x:c>
      <x:c r="G994" t="n">
        <x:v>199</x:v>
      </x:c>
      <x:c r="H994" t="str">
        <x:v>CQ-A14-18</x:v>
      </x:c>
      <x:c r="I994" s="36" t="str">
        <x:v>Bestandsfrage: exakter Wortlaut in diesem Arbeitsschritt nicht rekonstruiert.</x:v>
      </x:c>
      <x:c r="J994" s="36"/>
      <x:c r="K994" s="36"/>
      <x:c r="L994" s="36" t="str">
        <x:v>MASTER_STATUS_VERIFIZIERT</x:v>
      </x:c>
      <x:c r="M994" s="36" t="str">
        <x:v>ERSETZEN</x:v>
      </x:c>
      <x:c r="N994" s="36" t="str">
        <x:v>BESTAND_NOCH_NICHT_GEPRÜFT</x:v>
      </x:c>
      <x:c r="O994" s="36" t="str">
        <x:v>DIDAKTISCHE_NEUFASSUNG</x:v>
      </x:c>
      <x:c r="P994" s="36" t="str">
        <x:v>REALISMUS</x:v>
      </x:c>
      <x:c r="Q994" s="36" t="str">
        <x:v>Welche Erwartung nennt Paulus für Menschen, die gottesfürchtig in Christus Jesus leben wollen?</x:v>
      </x:c>
      <x:c r="R994" s="36" t="str">
        <x:v>Sie werden automatisch gesellschaftlich erfolgreich.</x:v>
      </x:c>
      <x:c r="S994" s="36" t="str">
        <x:v>Sie werden Verfolgung erleben.</x:v>
      </x:c>
      <x:c r="T994" s="36" t="str">
        <x:v>Sie werden nie wieder Widerstand erfahren.</x:v>
      </x:c>
      <x:c r="U994" s="36" t="str">
        <x:v>Sie werden keine Geduld mehr benötigen.</x:v>
      </x:c>
      <x:c r="V994" s="36" t="n">
        <x:v>1</x:v>
      </x:c>
      <x:c r="W994" s="36" t="str">
        <x:v>Sie werden Verfolgung erleben.</x:v>
      </x:c>
      <x:c r="X994" s="36" t="str">
        <x:v>2. Timotheus 3,12–13</x:v>
      </x:c>
      <x:c r="Y994" s="36" t="str">
        <x:v>Paulus zeichnet keinen Weg ohne Widerstand. Er stellt Timotheus auf Verfolgung und zunehmende Täuschung ein.</x:v>
      </x:c>
      <x:c r="Z994" s="36" t="str">
        <x:v>JA</x:v>
      </x:c>
      <x:c r="AA994" s="36" t="str">
        <x:v>JA</x:v>
      </x:c>
      <x:c r="AB994" s="36" t="str">
        <x:v>JA</x:v>
      </x:c>
      <x:c r="AC994" s="36" t="str">
        <x:v>JA</x:v>
      </x:c>
      <x:c r="AD994" s="36" t="str">
        <x:v>JA</x:v>
      </x:c>
      <x:c r="AE994" s="36" t="str">
        <x:v>JA</x:v>
      </x:c>
      <x:c r="AF994" s="36" t="str">
        <x:v>JA</x:v>
      </x:c>
      <x:c r="AG994" s="36" t="str">
        <x:v>FREIGEGEBEN</x:v>
      </x:c>
      <x:c r="AH994" s="36" t="str">
        <x:v>GPT-5.6 Sol · Sammelprüfung · L1912/OTB</x:v>
      </x:c>
      <x:c r="AI994" s="36" t="str">
        <x:v>FREIGEGEBEN</x:v>
      </x:c>
      <x:c r="AJ994" s="36" t="str">
        <x:v>2. Timotheus 3: als neue, textnahe REALISMUS-Frage redaktionell freigegeben.</x:v>
      </x:c>
      <x:c r="AK994" s="36" t="str">
        <x:v>FaithPath repo develop/v4 · data/bibles/l1912/2TI.json · data/bibles/otb/2TI.json</x:v>
      </x:c>
      <x:c r="AL994" t="str">
        <x:v>JA</x:v>
      </x:c>
    </x:row>
    <x:row r="995">
      <x:c r="A995" t="str">
        <x:v>FP-1254</x:v>
      </x:c>
      <x:c r="B995" t="str">
        <x:v>2TI</x:v>
      </x:c>
      <x:c r="C995" t="str">
        <x:v>2. Timotheus</x:v>
      </x:c>
      <x:c r="D995" t="n">
        <x:v>3</x:v>
      </x:c>
      <x:c r="E995" t="n">
        <x:v>4</x:v>
      </x:c>
      <x:c r="F995" t="str">
        <x:v>2TI-003</x:v>
      </x:c>
      <x:c r="G995" t="n">
        <x:v>199</x:v>
      </x:c>
      <x:c r="H995" t="str">
        <x:v>CQ-A14-18</x:v>
      </x:c>
      <x:c r="I995" s="36" t="str">
        <x:v>Bestandsfrage: exakter Wortlaut in diesem Arbeitsschritt nicht rekonstruiert.</x:v>
      </x:c>
      <x:c r="J995" s="36"/>
      <x:c r="K995" s="36"/>
      <x:c r="L995" s="36" t="str">
        <x:v>MASTER_STATUS_VERIFIZIERT</x:v>
      </x:c>
      <x:c r="M995" s="36" t="str">
        <x:v>ERSETZEN</x:v>
      </x:c>
      <x:c r="N995" s="36" t="str">
        <x:v>BESTAND_NOCH_NICHT_GEPRÜFT</x:v>
      </x:c>
      <x:c r="O995" s="36" t="str">
        <x:v>DIDAKTISCHE_NEUFASSUNG</x:v>
      </x:c>
      <x:c r="P995" s="36" t="str">
        <x:v>SCHRIFT</x:v>
      </x:c>
      <x:c r="Q995" s="36" t="str">
        <x:v>Welche Bedeutung haben die heiligen Schriften, die Timotheus von Kindheit an kennt?</x:v>
      </x:c>
      <x:c r="R995" s="36" t="str">
        <x:v>Sie machen den Glauben an Christus überflüssig.</x:v>
      </x:c>
      <x:c r="S995" s="36" t="str">
        <x:v>Sie dienen nur historischen Informationen.</x:v>
      </x:c>
      <x:c r="T995" s="36" t="str">
        <x:v>Sie können Weisheit zur Rettung durch den Glauben an Christus Jesus geben.</x:v>
      </x:c>
      <x:c r="U995" s="36" t="str">
        <x:v>Sie sind ausschließlich für Gemeindeleiter bestimmt.</x:v>
      </x:c>
      <x:c r="V995" s="36" t="n">
        <x:v>2</x:v>
      </x:c>
      <x:c r="W995" s="36" t="str">
        <x:v>Sie können Weisheit zur Rettung durch den Glauben an Christus Jesus geben.</x:v>
      </x:c>
      <x:c r="X995" s="36" t="str">
        <x:v>2. Timotheus 3,14–15</x:v>
      </x:c>
      <x:c r="Y995" s="36" t="str">
        <x:v>Paulus verbindet die Schriften ausdrücklich mit Weisheit zur Rettung durch den Glauben an Christus.</x:v>
      </x:c>
      <x:c r="Z995" s="36" t="str">
        <x:v>JA</x:v>
      </x:c>
      <x:c r="AA995" s="36" t="str">
        <x:v>JA</x:v>
      </x:c>
      <x:c r="AB995" s="36" t="str">
        <x:v>JA</x:v>
      </x:c>
      <x:c r="AC995" s="36" t="str">
        <x:v>JA</x:v>
      </x:c>
      <x:c r="AD995" s="36" t="str">
        <x:v>JA</x:v>
      </x:c>
      <x:c r="AE995" s="36" t="str">
        <x:v>JA</x:v>
      </x:c>
      <x:c r="AF995" s="36" t="str">
        <x:v>JA</x:v>
      </x:c>
      <x:c r="AG995" s="36" t="str">
        <x:v>FREIGEGEBEN</x:v>
      </x:c>
      <x:c r="AH995" s="36" t="str">
        <x:v>GPT-5.6 Sol · Sammelprüfung · L1912/OTB</x:v>
      </x:c>
      <x:c r="AI995" s="36" t="str">
        <x:v>FREIGEGEBEN</x:v>
      </x:c>
      <x:c r="AJ995" s="36" t="str">
        <x:v>2. Timotheus 3: als neue, textnahe SCHRIFT-Frage redaktionell freigegeben.</x:v>
      </x:c>
      <x:c r="AK995" s="36" t="str">
        <x:v>FaithPath repo develop/v4 · data/bibles/l1912/2TI.json · data/bibles/otb/2TI.json</x:v>
      </x:c>
      <x:c r="AL995" t="str">
        <x:v>JA</x:v>
      </x:c>
    </x:row>
    <x:row r="996">
      <x:c r="A996" t="str">
        <x:v>FP-1255</x:v>
      </x:c>
      <x:c r="B996" t="str">
        <x:v>2TI</x:v>
      </x:c>
      <x:c r="C996" t="str">
        <x:v>2. Timotheus</x:v>
      </x:c>
      <x:c r="D996" t="n">
        <x:v>3</x:v>
      </x:c>
      <x:c r="E996" t="n">
        <x:v>5</x:v>
      </x:c>
      <x:c r="F996" t="str">
        <x:v>2TI-003</x:v>
      </x:c>
      <x:c r="G996" t="n">
        <x:v>199</x:v>
      </x:c>
      <x:c r="H996" t="str">
        <x:v>CQ-A14-18</x:v>
      </x:c>
      <x:c r="I996" s="36" t="str">
        <x:v>Bestandsfrage: exakter Wortlaut in diesem Arbeitsschritt nicht rekonstruiert.</x:v>
      </x:c>
      <x:c r="J996" s="36"/>
      <x:c r="K996" s="36"/>
      <x:c r="L996" s="36" t="str">
        <x:v>MASTER_STATUS_VERIFIZIERT</x:v>
      </x:c>
      <x:c r="M996" s="36" t="str">
        <x:v>ERSETZEN</x:v>
      </x:c>
      <x:c r="N996" s="36" t="str">
        <x:v>BESTAND_NOCH_NICHT_GEPRÜFT</x:v>
      </x:c>
      <x:c r="O996" s="36" t="str">
        <x:v>DIDAKTISCHE_NEUFASSUNG</x:v>
      </x:c>
      <x:c r="P996" s="36" t="str">
        <x:v>KERNAUSSAGE</x:v>
      </x:c>
      <x:c r="Q996" s="36" t="str">
        <x:v>Wozu ist die von Gott eingegebene Schrift nach 2. Timotheus 3 nützlich?</x:v>
      </x:c>
      <x:c r="R996" s="36" t="str">
        <x:v>Nur zur privaten Ermutigung ohne Korrektur.</x:v>
      </x:c>
      <x:c r="S996" s="36" t="str">
        <x:v>Zum Ersetzen jedes persönlichen Urteilsvermögens.</x:v>
      </x:c>
      <x:c r="T996" s="36" t="str">
        <x:v>Vor allem zur Berechnung zukünftiger Termine.</x:v>
      </x:c>
      <x:c r="U996" s="36" t="str">
        <x:v>Zur Lehre, Überführung, Zurechtweisung und Erziehung in Gerechtigkeit, damit der Mensch Gottes zu guten Werken ausgerüstet ist.</x:v>
      </x:c>
      <x:c r="V996" s="36" t="n">
        <x:v>3</x:v>
      </x:c>
      <x:c r="W996" s="36" t="str">
        <x:v>Zur Lehre, Überführung, Zurechtweisung und Erziehung in Gerechtigkeit, damit der Mensch Gottes zu guten Werken ausgerüstet ist.</x:v>
      </x:c>
      <x:c r="X996" s="36" t="str">
        <x:v>2. Timotheus 3,16–17</x:v>
      </x:c>
      <x:c r="Y996" s="36" t="str">
        <x:v>Der Zweck wird praktisch formuliert: Schrift soll formen und ausrüsten, damit Menschen Gottes zu guten Werken bereit sind.</x:v>
      </x:c>
      <x:c r="Z996" s="36" t="str">
        <x:v>JA</x:v>
      </x:c>
      <x:c r="AA996" s="36" t="str">
        <x:v>JA</x:v>
      </x:c>
      <x:c r="AB996" s="36" t="str">
        <x:v>JA</x:v>
      </x:c>
      <x:c r="AC996" s="36" t="str">
        <x:v>JA</x:v>
      </x:c>
      <x:c r="AD996" s="36" t="str">
        <x:v>JA</x:v>
      </x:c>
      <x:c r="AE996" s="36" t="str">
        <x:v>JA</x:v>
      </x:c>
      <x:c r="AF996" s="36" t="str">
        <x:v>JA</x:v>
      </x:c>
      <x:c r="AG996" s="36" t="str">
        <x:v>FREIGEGEBEN</x:v>
      </x:c>
      <x:c r="AH996" s="36" t="str">
        <x:v>GPT-5.6 Sol · Sammelprüfung · L1912/OTB</x:v>
      </x:c>
      <x:c r="AI996" s="36" t="str">
        <x:v>FREIGEGEBEN</x:v>
      </x:c>
      <x:c r="AJ996" s="36" t="str">
        <x:v>2. Timotheus 3: als neue, textnahe KERNAUSSAGE-Frage redaktionell freigegeben.</x:v>
      </x:c>
      <x:c r="AK996" s="36" t="str">
        <x:v>FaithPath repo develop/v4 · data/bibles/l1912/2TI.json · data/bibles/otb/2TI.json</x:v>
      </x:c>
      <x:c r="AL996" t="str">
        <x:v>JA</x:v>
      </x:c>
    </x:row>
    <x:row r="997">
      <x:c r="A997" t="str">
        <x:v>FP-1256</x:v>
      </x:c>
      <x:c r="B997" t="str">
        <x:v>2TI</x:v>
      </x:c>
      <x:c r="C997" t="str">
        <x:v>2. Timotheus</x:v>
      </x:c>
      <x:c r="D997" t="n">
        <x:v>4</x:v>
      </x:c>
      <x:c r="E997" t="n">
        <x:v>1</x:v>
      </x:c>
      <x:c r="F997" t="str">
        <x:v>2TI-004</x:v>
      </x:c>
      <x:c r="G997" t="n">
        <x:v>200</x:v>
      </x:c>
      <x:c r="H997" t="str">
        <x:v>CQ-A14-18</x:v>
      </x:c>
      <x:c r="I997" s="36" t="str">
        <x:v>Bestandsfrage: exakter Wortlaut in diesem Arbeitsschritt nicht rekonstruiert.</x:v>
      </x:c>
      <x:c r="J997" s="36"/>
      <x:c r="K997" s="36"/>
      <x:c r="L997" s="36" t="str">
        <x:v>MASTER_STATUS_VERIFIZIERT</x:v>
      </x:c>
      <x:c r="M997" s="36" t="str">
        <x:v>ERSETZEN</x:v>
      </x:c>
      <x:c r="N997" s="36" t="str">
        <x:v>BESTAND_NOCH_NICHT_GEPRÜFT</x:v>
      </x:c>
      <x:c r="O997" s="36" t="str">
        <x:v>DIDAKTISCHE_NEUFASSUNG</x:v>
      </x:c>
      <x:c r="P997" s="36" t="str">
        <x:v>AUFTRAG</x:v>
      </x:c>
      <x:c r="Q997" s="36" t="str">
        <x:v>Welchen zentralen Auftrag gibt Paulus Timotheus angesichts von Christi Gericht und Reich?</x:v>
      </x:c>
      <x:c r="R997" s="36" t="str">
        <x:v>Das Wort zu verkündigen und mit Geduld und Lehre zurechtzuweisen, zu tadeln und zu ermahnen.</x:v>
      </x:c>
      <x:c r="S997" s="36" t="str">
        <x:v>Nur dann zu lehren, wenn niemand widerspricht.</x:v>
      </x:c>
      <x:c r="T997" s="36" t="str">
        <x:v>Die Verkündigung anderen vollständig zu überlassen.</x:v>
      </x:c>
      <x:c r="U997" s="36" t="str">
        <x:v>Vor allem seine eigene Person zu verteidigen.</x:v>
      </x:c>
      <x:c r="V997" s="36" t="n">
        <x:v>0</x:v>
      </x:c>
      <x:c r="W997" s="36" t="str">
        <x:v>Das Wort zu verkündigen und mit Geduld und Lehre zurechtzuweisen, zu tadeln und zu ermahnen.</x:v>
      </x:c>
      <x:c r="X997" s="36" t="str">
        <x:v>2. Timotheus 4,1–2</x:v>
      </x:c>
      <x:c r="Y997" s="36" t="str">
        <x:v>Paulus fordert Beharrlichkeit in der Verkündigung, verbunden mit Geduld und sorgfältiger Lehre.</x:v>
      </x:c>
      <x:c r="Z997" s="36" t="str">
        <x:v>JA</x:v>
      </x:c>
      <x:c r="AA997" s="36" t="str">
        <x:v>JA</x:v>
      </x:c>
      <x:c r="AB997" s="36" t="str">
        <x:v>JA</x:v>
      </x:c>
      <x:c r="AC997" s="36" t="str">
        <x:v>JA</x:v>
      </x:c>
      <x:c r="AD997" s="36" t="str">
        <x:v>JA</x:v>
      </x:c>
      <x:c r="AE997" s="36" t="str">
        <x:v>JA</x:v>
      </x:c>
      <x:c r="AF997" s="36" t="str">
        <x:v>JA</x:v>
      </x:c>
      <x:c r="AG997" s="36" t="str">
        <x:v>FREIGEGEBEN</x:v>
      </x:c>
      <x:c r="AH997" s="36" t="str">
        <x:v>GPT-5.6 Sol · Sammelprüfung · L1912/OTB</x:v>
      </x:c>
      <x:c r="AI997" s="36" t="str">
        <x:v>FREIGEGEBEN</x:v>
      </x:c>
      <x:c r="AJ997" s="36" t="str">
        <x:v>2. Timotheus 4: als neue, textnahe AUFTRAG-Frage redaktionell freigegeben.</x:v>
      </x:c>
      <x:c r="AK997" s="36" t="str">
        <x:v>FaithPath repo develop/v4 · data/bibles/l1912/2TI.json · data/bibles/otb/2TI.json</x:v>
      </x:c>
      <x:c r="AL997" t="str">
        <x:v>JA</x:v>
      </x:c>
    </x:row>
    <x:row r="998">
      <x:c r="A998" t="str">
        <x:v>FP-1257</x:v>
      </x:c>
      <x:c r="B998" t="str">
        <x:v>2TI</x:v>
      </x:c>
      <x:c r="C998" t="str">
        <x:v>2. Timotheus</x:v>
      </x:c>
      <x:c r="D998" t="n">
        <x:v>4</x:v>
      </x:c>
      <x:c r="E998" t="n">
        <x:v>2</x:v>
      </x:c>
      <x:c r="F998" t="str">
        <x:v>2TI-004</x:v>
      </x:c>
      <x:c r="G998" t="n">
        <x:v>200</x:v>
      </x:c>
      <x:c r="H998" t="str">
        <x:v>CQ-A14-18</x:v>
      </x:c>
      <x:c r="I998" s="36" t="str">
        <x:v>Bestandsfrage: exakter Wortlaut in diesem Arbeitsschritt nicht rekonstruiert.</x:v>
      </x:c>
      <x:c r="J998" s="36"/>
      <x:c r="K998" s="36"/>
      <x:c r="L998" s="36" t="str">
        <x:v>MASTER_STATUS_VERIFIZIERT</x:v>
      </x:c>
      <x:c r="M998" s="36" t="str">
        <x:v>ERSETZEN</x:v>
      </x:c>
      <x:c r="N998" s="36" t="str">
        <x:v>BESTAND_NOCH_NICHT_GEPRÜFT</x:v>
      </x:c>
      <x:c r="O998" s="36" t="str">
        <x:v>DIDAKTISCHE_NEUFASSUNG</x:v>
      </x:c>
      <x:c r="P998" s="36" t="str">
        <x:v>WARNUNG</x:v>
      </x:c>
      <x:c r="Q998" s="36" t="str">
        <x:v>Warum braucht Timotheus nach Paulus besondere Ausdauer in der Lehre?</x:v>
      </x:c>
      <x:c r="R998" s="36" t="str">
        <x:v>Weil niemand mehr religiöse Lehrer hören wird.</x:v>
      </x:c>
      <x:c r="S998" s="36" t="str">
        <x:v>Weil Menschen eine Zeitlang gesunde Lehre nicht ertragen und sich Lehrer nach ihren eigenen Wünschen suchen werden.</x:v>
      </x:c>
      <x:c r="T998" s="36" t="str">
        <x:v>Weil die Wahrheit sich ständig ändern soll.</x:v>
      </x:c>
      <x:c r="U998" s="36" t="str">
        <x:v>Weil Timotheus grundsätzlich nicht lehren darf.</x:v>
      </x:c>
      <x:c r="V998" s="36" t="n">
        <x:v>1</x:v>
      </x:c>
      <x:c r="W998" s="36" t="str">
        <x:v>Weil Menschen eine Zeitlang gesunde Lehre nicht ertragen und sich Lehrer nach ihren eigenen Wünschen suchen werden.</x:v>
      </x:c>
      <x:c r="X998" s="36" t="str">
        <x:v>2. Timotheus 4,3–5</x:v>
      </x:c>
      <x:c r="Y998" s="36" t="str">
        <x:v>Paulus warnt vor selektivem Hören: Menschen können sich Lehre suchen, die ihren Begierden entspricht, statt sich an der Wahrheit auszurichten.</x:v>
      </x:c>
      <x:c r="Z998" s="36" t="str">
        <x:v>JA</x:v>
      </x:c>
      <x:c r="AA998" s="36" t="str">
        <x:v>JA</x:v>
      </x:c>
      <x:c r="AB998" s="36" t="str">
        <x:v>JA</x:v>
      </x:c>
      <x:c r="AC998" s="36" t="str">
        <x:v>JA</x:v>
      </x:c>
      <x:c r="AD998" s="36" t="str">
        <x:v>JA</x:v>
      </x:c>
      <x:c r="AE998" s="36" t="str">
        <x:v>JA</x:v>
      </x:c>
      <x:c r="AF998" s="36" t="str">
        <x:v>JA</x:v>
      </x:c>
      <x:c r="AG998" s="36" t="str">
        <x:v>FREIGEGEBEN</x:v>
      </x:c>
      <x:c r="AH998" s="36" t="str">
        <x:v>GPT-5.6 Sol · Sammelprüfung · L1912/OTB</x:v>
      </x:c>
      <x:c r="AI998" s="36" t="str">
        <x:v>FREIGEGEBEN</x:v>
      </x:c>
      <x:c r="AJ998" s="36" t="str">
        <x:v>2. Timotheus 4: als neue, textnahe WARNUNG-Frage redaktionell freigegeben.</x:v>
      </x:c>
      <x:c r="AK998" s="36" t="str">
        <x:v>FaithPath repo develop/v4 · data/bibles/l1912/2TI.json · data/bibles/otb/2TI.json</x:v>
      </x:c>
      <x:c r="AL998" t="str">
        <x:v>JA</x:v>
      </x:c>
    </x:row>
    <x:row r="999">
      <x:c r="A999" t="str">
        <x:v>FP-1258</x:v>
      </x:c>
      <x:c r="B999" t="str">
        <x:v>2TI</x:v>
      </x:c>
      <x:c r="C999" t="str">
        <x:v>2. Timotheus</x:v>
      </x:c>
      <x:c r="D999" t="n">
        <x:v>4</x:v>
      </x:c>
      <x:c r="E999" t="n">
        <x:v>3</x:v>
      </x:c>
      <x:c r="F999" t="str">
        <x:v>2TI-004</x:v>
      </x:c>
      <x:c r="G999" t="n">
        <x:v>200</x:v>
      </x:c>
      <x:c r="H999" t="str">
        <x:v>CQ-A14-18</x:v>
      </x:c>
      <x:c r="I999" s="36" t="str">
        <x:v>Bestandsfrage: exakter Wortlaut in diesem Arbeitsschritt nicht rekonstruiert.</x:v>
      </x:c>
      <x:c r="J999" s="36"/>
      <x:c r="K999" s="36"/>
      <x:c r="L999" s="36" t="str">
        <x:v>MASTER_STATUS_VERIFIZIERT</x:v>
      </x:c>
      <x:c r="M999" s="36" t="str">
        <x:v>ERSETZEN</x:v>
      </x:c>
      <x:c r="N999" s="36" t="str">
        <x:v>BESTAND_NOCH_NICHT_GEPRÜFT</x:v>
      </x:c>
      <x:c r="O999" s="36" t="str">
        <x:v>DIDAKTISCHE_NEUFASSUNG</x:v>
      </x:c>
      <x:c r="P999" s="36" t="str">
        <x:v>RÜCKBLICK</x:v>
      </x:c>
      <x:c r="Q999" s="36" t="str">
        <x:v>Wie blickt Paulus kurz vor seinem erwarteten Abschied auf seinen Dienst zurück?</x:v>
      </x:c>
      <x:c r="R999" s="36" t="str">
        <x:v>Er erklärt seinen Dienst für gescheitert.</x:v>
      </x:c>
      <x:c r="S999" s="36" t="str">
        <x:v>Er bereut, das Evangelium verkündigt zu haben.</x:v>
      </x:c>
      <x:c r="T999" s="36" t="str">
        <x:v>Er hat den guten Kampf gekämpft, den Lauf vollendet und den Glauben bewahrt.</x:v>
      </x:c>
      <x:c r="U999" s="36" t="str">
        <x:v>Er sagt, er habe jede Schwierigkeit vermieden.</x:v>
      </x:c>
      <x:c r="V999" s="36" t="n">
        <x:v>2</x:v>
      </x:c>
      <x:c r="W999" s="36" t="str">
        <x:v>Er hat den guten Kampf gekämpft, den Lauf vollendet und den Glauben bewahrt.</x:v>
      </x:c>
      <x:c r="X999" s="36" t="str">
        <x:v>2. Timotheus 4,6–8</x:v>
      </x:c>
      <x:c r="Y999" s="36" t="str">
        <x:v>Paulus verwendet Bilder von Kampf und Lauf und verbindet sie mit Treue bis zum Ende sowie der Hoffnung auf die Krone der Gerechtigkeit.</x:v>
      </x:c>
      <x:c r="Z999" s="36" t="str">
        <x:v>JA</x:v>
      </x:c>
      <x:c r="AA999" s="36" t="str">
        <x:v>JA</x:v>
      </x:c>
      <x:c r="AB999" s="36" t="str">
        <x:v>JA</x:v>
      </x:c>
      <x:c r="AC999" s="36" t="str">
        <x:v>JA</x:v>
      </x:c>
      <x:c r="AD999" s="36" t="str">
        <x:v>JA</x:v>
      </x:c>
      <x:c r="AE999" s="36" t="str">
        <x:v>JA</x:v>
      </x:c>
      <x:c r="AF999" s="36" t="str">
        <x:v>JA</x:v>
      </x:c>
      <x:c r="AG999" s="36" t="str">
        <x:v>FREIGEGEBEN</x:v>
      </x:c>
      <x:c r="AH999" s="36" t="str">
        <x:v>GPT-5.6 Sol · Sammelprüfung · L1912/OTB</x:v>
      </x:c>
      <x:c r="AI999" s="36" t="str">
        <x:v>FREIGEGEBEN</x:v>
      </x:c>
      <x:c r="AJ999" s="36" t="str">
        <x:v>2. Timotheus 4: als neue, textnahe RÜCKBLICK-Frage redaktionell freigegeben.</x:v>
      </x:c>
      <x:c r="AK999" s="36" t="str">
        <x:v>FaithPath repo develop/v4 · data/bibles/l1912/2TI.json · data/bibles/otb/2TI.json</x:v>
      </x:c>
      <x:c r="AL999" t="str">
        <x:v>JA</x:v>
      </x:c>
    </x:row>
    <x:row r="1000">
      <x:c r="A1000" t="str">
        <x:v>FP-1259</x:v>
      </x:c>
      <x:c r="B1000" t="str">
        <x:v>2TI</x:v>
      </x:c>
      <x:c r="C1000" t="str">
        <x:v>2. Timotheus</x:v>
      </x:c>
      <x:c r="D1000" t="n">
        <x:v>4</x:v>
      </x:c>
      <x:c r="E1000" t="n">
        <x:v>4</x:v>
      </x:c>
      <x:c r="F1000" t="str">
        <x:v>2TI-004</x:v>
      </x:c>
      <x:c r="G1000" t="n">
        <x:v>200</x:v>
      </x:c>
      <x:c r="H1000" t="str">
        <x:v>CQ-A14-18</x:v>
      </x:c>
      <x:c r="I1000" s="36" t="str">
        <x:v>Bestandsfrage: exakter Wortlaut in diesem Arbeitsschritt nicht rekonstruiert.</x:v>
      </x:c>
      <x:c r="J1000" s="36"/>
      <x:c r="K1000" s="36"/>
      <x:c r="L1000" s="36" t="str">
        <x:v>MASTER_STATUS_VERIFIZIERT</x:v>
      </x:c>
      <x:c r="M1000" s="36" t="str">
        <x:v>ERSETZEN</x:v>
      </x:c>
      <x:c r="N1000" s="36" t="str">
        <x:v>BESTAND_NOCH_NICHT_GEPRÜFT</x:v>
      </x:c>
      <x:c r="O1000" s="36" t="str">
        <x:v>DIDAKTISCHE_NEUFASSUNG</x:v>
      </x:c>
      <x:c r="P1000" s="36" t="str">
        <x:v>PERSONEN</x:v>
      </x:c>
      <x:c r="Q1000" s="36" t="str">
        <x:v>Welche Aussage trifft auf die Mitarbeiter-Situation am Ende des Briefes zu?</x:v>
      </x:c>
      <x:c r="R1000" s="36" t="str">
        <x:v>Alle Mitarbeiter waren bei Paulus geblieben.</x:v>
      </x:c>
      <x:c r="S1000" s="36" t="str">
        <x:v>Markus sollte ausdrücklich fernbleiben.</x:v>
      </x:c>
      <x:c r="T1000" s="36" t="str">
        <x:v>Lukas hatte Paulus wegen der Liebe zur Welt verlassen.</x:v>
      </x:c>
      <x:c r="U1000" s="36" t="str">
        <x:v>Demas hatte Paulus verlassen, Lukas war bei ihm, und Markus sollte mitgebracht werden, weil er nützlich zum Dienst war.</x:v>
      </x:c>
      <x:c r="V1000" s="36" t="n">
        <x:v>3</x:v>
      </x:c>
      <x:c r="W1000" s="36" t="str">
        <x:v>Demas hatte Paulus verlassen, Lukas war bei ihm, und Markus sollte mitgebracht werden, weil er nützlich zum Dienst war.</x:v>
      </x:c>
      <x:c r="X1000" s="36" t="str">
        <x:v>2. Timotheus 4,9–13</x:v>
      </x:c>
      <x:c r="Y1000" s="36" t="str">
        <x:v>Der Schluss ist sehr persönlich: Paulus nennt Enttäuschung, verbliebene Unterstützung und den Wunsch nach Markus' Hilfe.</x:v>
      </x:c>
      <x:c r="Z1000" s="36" t="str">
        <x:v>JA</x:v>
      </x:c>
      <x:c r="AA1000" s="36" t="str">
        <x:v>JA</x:v>
      </x:c>
      <x:c r="AB1000" s="36" t="str">
        <x:v>JA</x:v>
      </x:c>
      <x:c r="AC1000" s="36" t="str">
        <x:v>JA</x:v>
      </x:c>
      <x:c r="AD1000" s="36" t="str">
        <x:v>JA</x:v>
      </x:c>
      <x:c r="AE1000" s="36" t="str">
        <x:v>JA</x:v>
      </x:c>
      <x:c r="AF1000" s="36" t="str">
        <x:v>JA</x:v>
      </x:c>
      <x:c r="AG1000" s="36" t="str">
        <x:v>FREIGEGEBEN</x:v>
      </x:c>
      <x:c r="AH1000" s="36" t="str">
        <x:v>GPT-5.6 Sol · Sammelprüfung · L1912/OTB</x:v>
      </x:c>
      <x:c r="AI1000" s="36" t="str">
        <x:v>FREIGEGEBEN</x:v>
      </x:c>
      <x:c r="AJ1000" s="36" t="str">
        <x:v>2. Timotheus 4: als neue, textnahe PERSONEN-Frage redaktionell freigegeben.</x:v>
      </x:c>
      <x:c r="AK1000" s="36" t="str">
        <x:v>FaithPath repo develop/v4 · data/bibles/l1912/2TI.json · data/bibles/otb/2TI.json</x:v>
      </x:c>
      <x:c r="AL1000" t="str">
        <x:v>JA</x:v>
      </x:c>
    </x:row>
    <x:row r="1001">
      <x:c r="A1001" t="str">
        <x:v>FP-1260</x:v>
      </x:c>
      <x:c r="B1001" t="str">
        <x:v>2TI</x:v>
      </x:c>
      <x:c r="C1001" t="str">
        <x:v>2. Timotheus</x:v>
      </x:c>
      <x:c r="D1001" t="n">
        <x:v>4</x:v>
      </x:c>
      <x:c r="E1001" t="n">
        <x:v>5</x:v>
      </x:c>
      <x:c r="F1001" t="str">
        <x:v>2TI-004</x:v>
      </x:c>
      <x:c r="G1001" t="n">
        <x:v>200</x:v>
      </x:c>
      <x:c r="H1001" t="str">
        <x:v>CQ-A14-18</x:v>
      </x:c>
      <x:c r="I1001" s="36" t="str">
        <x:v>Bestandsfrage: exakter Wortlaut in diesem Arbeitsschritt nicht rekonstruiert.</x:v>
      </x:c>
      <x:c r="J1001" s="36"/>
      <x:c r="K1001" s="36"/>
      <x:c r="L1001" s="36" t="str">
        <x:v>MASTER_STATUS_VERIFIZIERT</x:v>
      </x:c>
      <x:c r="M1001" s="36" t="str">
        <x:v>ERSETZEN</x:v>
      </x:c>
      <x:c r="N1001" s="36" t="str">
        <x:v>BESTAND_NOCH_NICHT_GEPRÜFT</x:v>
      </x:c>
      <x:c r="O1001" s="36" t="str">
        <x:v>DIDAKTISCHE_NEUFASSUNG</x:v>
      </x:c>
      <x:c r="P1001" s="36" t="str">
        <x:v>ZUVERSICHT</x:v>
      </x:c>
      <x:c r="Q1001" s="36" t="str">
        <x:v>Was geschah bei Paulus' erster Verteidigung, als Menschen ihn im Stich ließen?</x:v>
      </x:c>
      <x:c r="R1001" s="36" t="str">
        <x:v>Der Herr stand ihm bei und stärkte ihn, damit die Botschaft vollständig verkündigt wurde.</x:v>
      </x:c>
      <x:c r="S1001" s="36" t="str">
        <x:v>Paulus gab seine Botschaft auf.</x:v>
      </x:c>
      <x:c r="T1001" s="36" t="str">
        <x:v>Er erklärte alle Menschen zu Feinden.</x:v>
      </x:c>
      <x:c r="U1001" s="36" t="str">
        <x:v>Er wurde nur durch politischen Einfluss gerettet.</x:v>
      </x:c>
      <x:c r="V1001" s="36" t="n">
        <x:v>0</x:v>
      </x:c>
      <x:c r="W1001" s="36" t="str">
        <x:v>Der Herr stand ihm bei und stärkte ihn, damit die Botschaft vollständig verkündigt wurde.</x:v>
      </x:c>
      <x:c r="X1001" s="36" t="str">
        <x:v>2. Timotheus 4,16–18</x:v>
      </x:c>
      <x:c r="Y1001" s="36" t="str">
        <x:v>Paulus verschweigt das Verlassenwerden nicht, setzt ihm aber Gottes Gegenwart und Stärkung entgegen.</x:v>
      </x:c>
      <x:c r="Z1001" s="36" t="str">
        <x:v>JA</x:v>
      </x:c>
      <x:c r="AA1001" s="36" t="str">
        <x:v>JA</x:v>
      </x:c>
      <x:c r="AB1001" s="36" t="str">
        <x:v>JA</x:v>
      </x:c>
      <x:c r="AC1001" s="36" t="str">
        <x:v>JA</x:v>
      </x:c>
      <x:c r="AD1001" s="36" t="str">
        <x:v>JA</x:v>
      </x:c>
      <x:c r="AE1001" s="36" t="str">
        <x:v>JA</x:v>
      </x:c>
      <x:c r="AF1001" s="36" t="str">
        <x:v>JA</x:v>
      </x:c>
      <x:c r="AG1001" s="36" t="str">
        <x:v>FREIGEGEBEN</x:v>
      </x:c>
      <x:c r="AH1001" s="36" t="str">
        <x:v>GPT-5.6 Sol · Sammelprüfung · L1912/OTB</x:v>
      </x:c>
      <x:c r="AI1001" s="36" t="str">
        <x:v>FREIGEGEBEN</x:v>
      </x:c>
      <x:c r="AJ1001" s="36" t="str">
        <x:v>2. Timotheus 4: als neue, textnahe ZUVERSICHT-Frage redaktionell freigegeben.</x:v>
      </x:c>
      <x:c r="AK1001" s="36" t="str">
        <x:v>FaithPath repo develop/v4 · data/bibles/l1912/2TI.json · data/bibles/otb/2TI.json</x:v>
      </x:c>
      <x:c r="AL1001" t="str">
        <x:v>JA</x:v>
      </x:c>
    </x:row>
    <x:row r="1002">
      <x:c r="A1002" t="str">
        <x:v>FP-1261</x:v>
      </x:c>
      <x:c r="B1002" t="str">
        <x:v>TIT</x:v>
      </x:c>
      <x:c r="C1002" t="str">
        <x:v>Titus</x:v>
      </x:c>
      <x:c r="D1002" t="n">
        <x:v>1</x:v>
      </x:c>
      <x:c r="E1002" t="n">
        <x:v>1</x:v>
      </x:c>
      <x:c r="F1002" t="str">
        <x:v>TIT-001</x:v>
      </x:c>
      <x:c r="G1002" t="n">
        <x:v>201</x:v>
      </x:c>
      <x:c r="H1002" t="str">
        <x:v>CQ-A14-18</x:v>
      </x:c>
      <x:c r="I1002" s="36" t="str">
        <x:v>Bestandsfrage: exakter Wortlaut in diesem Arbeitsschritt nicht rekonstruiert.</x:v>
      </x:c>
      <x:c r="J1002" s="36"/>
      <x:c r="K1002" s="36"/>
      <x:c r="L1002" s="36" t="str">
        <x:v>MASTER_STATUS_VERIFIZIERT</x:v>
      </x:c>
      <x:c r="M1002" s="36" t="str">
        <x:v>ERSETZEN</x:v>
      </x:c>
      <x:c r="N1002" s="36" t="str">
        <x:v>BESTAND_NOCH_NICHT_GEPRÜFT</x:v>
      </x:c>
      <x:c r="O1002" s="36" t="str">
        <x:v>DIDAKTISCHE_NEUFASSUNG</x:v>
      </x:c>
      <x:c r="P1002" s="36" t="str">
        <x:v>AUFTRAG</x:v>
      </x:c>
      <x:c r="Q1002" s="36" t="str">
        <x:v>Warum ließ Paulus Titus auf Kreta zurück?</x:v>
      </x:c>
      <x:c r="R1002" s="36" t="str">
        <x:v>Damit er eine neue Hauptstadt gründet.</x:v>
      </x:c>
      <x:c r="S1002" s="36" t="str">
        <x:v>Damit er Unvollendetes ordnet und in den Städten Älteste einsetzt.</x:v>
      </x:c>
      <x:c r="T1002" s="36" t="str">
        <x:v>Damit er jede Gemeinde auf Kreta schließt.</x:v>
      </x:c>
      <x:c r="U1002" s="36" t="str">
        <x:v>Damit er nur persönliche Briefe verteilt.</x:v>
      </x:c>
      <x:c r="V1002" s="36" t="n">
        <x:v>1</x:v>
      </x:c>
      <x:c r="W1002" s="36" t="str">
        <x:v>Damit er Unvollendetes ordnet und in den Städten Älteste einsetzt.</x:v>
      </x:c>
      <x:c r="X1002" s="36" t="str">
        <x:v>Titus 1,5</x:v>
      </x:c>
      <x:c r="Y1002" s="36" t="str">
        <x:v>Titus erhält einen konkreten Ordnungs- und Leitungsauftrag für die Gemeinden auf Kreta.</x:v>
      </x:c>
      <x:c r="Z1002" s="36" t="str">
        <x:v>JA</x:v>
      </x:c>
      <x:c r="AA1002" s="36" t="str">
        <x:v>JA</x:v>
      </x:c>
      <x:c r="AB1002" s="36" t="str">
        <x:v>JA</x:v>
      </x:c>
      <x:c r="AC1002" s="36" t="str">
        <x:v>JA</x:v>
      </x:c>
      <x:c r="AD1002" s="36" t="str">
        <x:v>JA</x:v>
      </x:c>
      <x:c r="AE1002" s="36" t="str">
        <x:v>JA</x:v>
      </x:c>
      <x:c r="AF1002" s="36" t="str">
        <x:v>JA</x:v>
      </x:c>
      <x:c r="AG1002" s="36" t="str">
        <x:v>FREIGEGEBEN</x:v>
      </x:c>
      <x:c r="AH1002" s="36" t="str">
        <x:v>GPT-5.6 Sol · Sammelprüfung · L1912/OTB</x:v>
      </x:c>
      <x:c r="AI1002" s="36" t="str">
        <x:v>FREIGEGEBEN</x:v>
      </x:c>
      <x:c r="AJ1002" s="36" t="str">
        <x:v>Titus 1: als neue, textnahe AUFTRAG-Frage redaktionell freigegeben.</x:v>
      </x:c>
      <x:c r="AK1002" s="36" t="str">
        <x:v>FaithPath repo develop/v4 · data/bibles/l1912/TIT.json · data/bibles/otb/TIT.json</x:v>
      </x:c>
      <x:c r="AL1002" t="str">
        <x:v>JA</x:v>
      </x:c>
    </x:row>
    <x:row r="1003">
      <x:c r="A1003" t="str">
        <x:v>FP-1262</x:v>
      </x:c>
      <x:c r="B1003" t="str">
        <x:v>TIT</x:v>
      </x:c>
      <x:c r="C1003" t="str">
        <x:v>Titus</x:v>
      </x:c>
      <x:c r="D1003" t="n">
        <x:v>1</x:v>
      </x:c>
      <x:c r="E1003" t="n">
        <x:v>2</x:v>
      </x:c>
      <x:c r="F1003" t="str">
        <x:v>TIT-001</x:v>
      </x:c>
      <x:c r="G1003" t="n">
        <x:v>201</x:v>
      </x:c>
      <x:c r="H1003" t="str">
        <x:v>CQ-A14-18</x:v>
      </x:c>
      <x:c r="I1003" s="36" t="str">
        <x:v>Bestandsfrage: exakter Wortlaut in diesem Arbeitsschritt nicht rekonstruiert.</x:v>
      </x:c>
      <x:c r="J1003" s="36"/>
      <x:c r="K1003" s="36"/>
      <x:c r="L1003" s="36" t="str">
        <x:v>MASTER_STATUS_VERIFIZIERT</x:v>
      </x:c>
      <x:c r="M1003" s="36" t="str">
        <x:v>ERSETZEN</x:v>
      </x:c>
      <x:c r="N1003" s="36" t="str">
        <x:v>BESTAND_NOCH_NICHT_GEPRÜFT</x:v>
      </x:c>
      <x:c r="O1003" s="36" t="str">
        <x:v>DIDAKTISCHE_NEUFASSUNG</x:v>
      </x:c>
      <x:c r="P1003" s="36" t="str">
        <x:v>LEITUNG</x:v>
      </x:c>
      <x:c r="Q1003" s="36" t="str">
        <x:v>Welche Eigenschaft ist für Älteste besonders mit ihrer Lehrverantwortung verbunden?</x:v>
      </x:c>
      <x:c r="R1003" s="36" t="str">
        <x:v>Sie sollen jede Diskussion vermeiden.</x:v>
      </x:c>
      <x:c r="S1003" s="36" t="str">
        <x:v>Sie brauchen den Inhalt der Lehre nicht zu kennen.</x:v>
      </x:c>
      <x:c r="T1003" s="36" t="str">
        <x:v>Sie sollen am zuverlässigen Wort festhalten, um mit gesunder Lehre zu ermutigen und Widersprechende zu widerlegen.</x:v>
      </x:c>
      <x:c r="U1003" s="36" t="str">
        <x:v>Sie sollen vor allem wirtschaftlich erfolgreich sein.</x:v>
      </x:c>
      <x:c r="V1003" s="36" t="n">
        <x:v>2</x:v>
      </x:c>
      <x:c r="W1003" s="36" t="str">
        <x:v>Sie sollen am zuverlässigen Wort festhalten, um mit gesunder Lehre zu ermutigen und Widersprechende zu widerlegen.</x:v>
      </x:c>
      <x:c r="X1003" s="36" t="str">
        <x:v>Titus 1,6–9</x:v>
      </x:c>
      <x:c r="Y1003" s="36" t="str">
        <x:v>Charakter und Lehre gehören zusammen. Ein Leiter soll an der verlässlichen Botschaft festhalten und sie verantwortungsvoll anwenden.</x:v>
      </x:c>
      <x:c r="Z1003" s="36" t="str">
        <x:v>JA</x:v>
      </x:c>
      <x:c r="AA1003" s="36" t="str">
        <x:v>JA</x:v>
      </x:c>
      <x:c r="AB1003" s="36" t="str">
        <x:v>JA</x:v>
      </x:c>
      <x:c r="AC1003" s="36" t="str">
        <x:v>JA</x:v>
      </x:c>
      <x:c r="AD1003" s="36" t="str">
        <x:v>JA</x:v>
      </x:c>
      <x:c r="AE1003" s="36" t="str">
        <x:v>JA</x:v>
      </x:c>
      <x:c r="AF1003" s="36" t="str">
        <x:v>JA</x:v>
      </x:c>
      <x:c r="AG1003" s="36" t="str">
        <x:v>FREIGEGEBEN</x:v>
      </x:c>
      <x:c r="AH1003" s="36" t="str">
        <x:v>GPT-5.6 Sol · Sammelprüfung · L1912/OTB</x:v>
      </x:c>
      <x:c r="AI1003" s="36" t="str">
        <x:v>FREIGEGEBEN</x:v>
      </x:c>
      <x:c r="AJ1003" s="36" t="str">
        <x:v>Titus 1: als neue, textnahe LEITUNG-Frage redaktionell freigegeben.</x:v>
      </x:c>
      <x:c r="AK1003" s="36" t="str">
        <x:v>FaithPath repo develop/v4 · data/bibles/l1912/TIT.json · data/bibles/otb/TIT.json</x:v>
      </x:c>
      <x:c r="AL1003" t="str">
        <x:v>JA</x:v>
      </x:c>
    </x:row>
    <x:row r="1004">
      <x:c r="A1004" t="str">
        <x:v>FP-1263</x:v>
      </x:c>
      <x:c r="B1004" t="str">
        <x:v>TIT</x:v>
      </x:c>
      <x:c r="C1004" t="str">
        <x:v>Titus</x:v>
      </x:c>
      <x:c r="D1004" t="n">
        <x:v>1</x:v>
      </x:c>
      <x:c r="E1004" t="n">
        <x:v>3</x:v>
      </x:c>
      <x:c r="F1004" t="str">
        <x:v>TIT-001</x:v>
      </x:c>
      <x:c r="G1004" t="n">
        <x:v>201</x:v>
      </x:c>
      <x:c r="H1004" t="str">
        <x:v>CQ-A14-18</x:v>
      </x:c>
      <x:c r="I1004" s="36" t="str">
        <x:v>Bestandsfrage: exakter Wortlaut in diesem Arbeitsschritt nicht rekonstruiert.</x:v>
      </x:c>
      <x:c r="J1004" s="36"/>
      <x:c r="K1004" s="36"/>
      <x:c r="L1004" s="36" t="str">
        <x:v>MASTER_STATUS_VERIFIZIERT</x:v>
      </x:c>
      <x:c r="M1004" s="36" t="str">
        <x:v>ERSETZEN</x:v>
      </x:c>
      <x:c r="N1004" s="36" t="str">
        <x:v>BESTAND_NOCH_NICHT_GEPRÜFT</x:v>
      </x:c>
      <x:c r="O1004" s="36" t="str">
        <x:v>DIDAKTISCHE_NEUFASSUNG</x:v>
      </x:c>
      <x:c r="P1004" s="36" t="str">
        <x:v>WARNUNG</x:v>
      </x:c>
      <x:c r="Q1004" s="36" t="str">
        <x:v>Warum müssen bestimmte irreführende Lehrer zum Schweigen gebracht werden?</x:v>
      </x:c>
      <x:c r="R1004" s="36" t="str">
        <x:v>Weil sie aus einer anderen Stadt kommen.</x:v>
      </x:c>
      <x:c r="S1004" s="36" t="str">
        <x:v>Weil jede Meinungsverschiedenheit verboten ist.</x:v>
      </x:c>
      <x:c r="T1004" s="36" t="str">
        <x:v>Weil sie zu wenig öffentlich auftreten.</x:v>
      </x:c>
      <x:c r="U1004" s="36" t="str">
        <x:v>Weil sie ganze Haushalte durcheinanderbringen und um unehrlichen Gewinns willen lehren, was sie nicht sollen.</x:v>
      </x:c>
      <x:c r="V1004" s="36" t="n">
        <x:v>3</x:v>
      </x:c>
      <x:c r="W1004" s="36" t="str">
        <x:v>Weil sie ganze Haushalte durcheinanderbringen und um unehrlichen Gewinns willen lehren, was sie nicht sollen.</x:v>
      </x:c>
      <x:c r="X1004" s="36" t="str">
        <x:v>Titus 1,10–11</x:v>
      </x:c>
      <x:c r="Y1004" s="36" t="str">
        <x:v>Paulus nennt sowohl die schädliche Wirkung als auch das falsche Motiv dieser Lehre.</x:v>
      </x:c>
      <x:c r="Z1004" s="36" t="str">
        <x:v>JA</x:v>
      </x:c>
      <x:c r="AA1004" s="36" t="str">
        <x:v>JA</x:v>
      </x:c>
      <x:c r="AB1004" s="36" t="str">
        <x:v>JA</x:v>
      </x:c>
      <x:c r="AC1004" s="36" t="str">
        <x:v>JA</x:v>
      </x:c>
      <x:c r="AD1004" s="36" t="str">
        <x:v>JA</x:v>
      </x:c>
      <x:c r="AE1004" s="36" t="str">
        <x:v>JA</x:v>
      </x:c>
      <x:c r="AF1004" s="36" t="str">
        <x:v>JA</x:v>
      </x:c>
      <x:c r="AG1004" s="36" t="str">
        <x:v>FREIGEGEBEN</x:v>
      </x:c>
      <x:c r="AH1004" s="36" t="str">
        <x:v>GPT-5.6 Sol · Sammelprüfung · L1912/OTB</x:v>
      </x:c>
      <x:c r="AI1004" s="36" t="str">
        <x:v>FREIGEGEBEN</x:v>
      </x:c>
      <x:c r="AJ1004" s="36" t="str">
        <x:v>Titus 1: als neue, textnahe WARNUNG-Frage redaktionell freigegeben.</x:v>
      </x:c>
      <x:c r="AK1004" s="36" t="str">
        <x:v>FaithPath repo develop/v4 · data/bibles/l1912/TIT.json · data/bibles/otb/TIT.json</x:v>
      </x:c>
      <x:c r="AL1004" t="str">
        <x:v>JA</x:v>
      </x:c>
    </x:row>
    <x:row r="1005">
      <x:c r="A1005" t="str">
        <x:v>FP-1264</x:v>
      </x:c>
      <x:c r="B1005" t="str">
        <x:v>TIT</x:v>
      </x:c>
      <x:c r="C1005" t="str">
        <x:v>Titus</x:v>
      </x:c>
      <x:c r="D1005" t="n">
        <x:v>1</x:v>
      </x:c>
      <x:c r="E1005" t="n">
        <x:v>4</x:v>
      </x:c>
      <x:c r="F1005" t="str">
        <x:v>TIT-001</x:v>
      </x:c>
      <x:c r="G1005" t="n">
        <x:v>201</x:v>
      </x:c>
      <x:c r="H1005" t="str">
        <x:v>CQ-A14-18</x:v>
      </x:c>
      <x:c r="I1005" s="36" t="str">
        <x:v>Bestandsfrage: exakter Wortlaut in diesem Arbeitsschritt nicht rekonstruiert.</x:v>
      </x:c>
      <x:c r="J1005" s="36"/>
      <x:c r="K1005" s="36"/>
      <x:c r="L1005" s="36" t="str">
        <x:v>MASTER_STATUS_VERIFIZIERT</x:v>
      </x:c>
      <x:c r="M1005" s="36" t="str">
        <x:v>ERSETZEN</x:v>
      </x:c>
      <x:c r="N1005" s="36" t="str">
        <x:v>BESTAND_NOCH_NICHT_GEPRÜFT</x:v>
      </x:c>
      <x:c r="O1005" s="36" t="str">
        <x:v>DIDAKTISCHE_NEUFASSUNG</x:v>
      </x:c>
      <x:c r="P1005" s="36" t="str">
        <x:v>ZIEL</x:v>
      </x:c>
      <x:c r="Q1005" s="36" t="str">
        <x:v>Welches Ziel hat die scharfe Zurechtweisung in Titus 1?</x:v>
      </x:c>
      <x:c r="R1005" s="36" t="str">
        <x:v>Dass die Betroffenen gesund im Glauben werden und sich nicht an Mythen und menschengeprägte Gebote hängen.</x:v>
      </x:c>
      <x:c r="S1005" s="36" t="str">
        <x:v>Dass sie dauerhaft beschämt bleiben.</x:v>
      </x:c>
      <x:c r="T1005" s="36" t="str">
        <x:v>Dass sie nie wieder Teil einer Gemeinde sein können.</x:v>
      </x:c>
      <x:c r="U1005" s="36" t="str">
        <x:v>Dass Titus seine persönliche Autorität demonstriert.</x:v>
      </x:c>
      <x:c r="V1005" s="36" t="n">
        <x:v>0</x:v>
      </x:c>
      <x:c r="W1005" s="36" t="str">
        <x:v>Dass die Betroffenen gesund im Glauben werden und sich nicht an Mythen und menschengeprägte Gebote hängen.</x:v>
      </x:c>
      <x:c r="X1005" s="36" t="str">
        <x:v>Titus 1,12–14</x:v>
      </x:c>
      <x:c r="Y1005" s="36" t="str">
        <x:v>Die Korrektur hat ein Wiederherstellungsziel: gesunder Glaube und Abkehr von irreführenden Geschichten und Geboten.</x:v>
      </x:c>
      <x:c r="Z1005" s="36" t="str">
        <x:v>JA</x:v>
      </x:c>
      <x:c r="AA1005" s="36" t="str">
        <x:v>JA</x:v>
      </x:c>
      <x:c r="AB1005" s="36" t="str">
        <x:v>JA</x:v>
      </x:c>
      <x:c r="AC1005" s="36" t="str">
        <x:v>JA</x:v>
      </x:c>
      <x:c r="AD1005" s="36" t="str">
        <x:v>JA</x:v>
      </x:c>
      <x:c r="AE1005" s="36" t="str">
        <x:v>JA</x:v>
      </x:c>
      <x:c r="AF1005" s="36" t="str">
        <x:v>JA</x:v>
      </x:c>
      <x:c r="AG1005" s="36" t="str">
        <x:v>FREIGEGEBEN</x:v>
      </x:c>
      <x:c r="AH1005" s="36" t="str">
        <x:v>GPT-5.6 Sol · Sammelprüfung · L1912/OTB</x:v>
      </x:c>
      <x:c r="AI1005" s="36" t="str">
        <x:v>FREIGEGEBEN</x:v>
      </x:c>
      <x:c r="AJ1005" s="36" t="str">
        <x:v>Titus 1: als neue, textnahe ZIEL-Frage redaktionell freigegeben.</x:v>
      </x:c>
      <x:c r="AK1005" s="36" t="str">
        <x:v>FaithPath repo develop/v4 · data/bibles/l1912/TIT.json · data/bibles/otb/TIT.json</x:v>
      </x:c>
      <x:c r="AL1005" t="str">
        <x:v>JA</x:v>
      </x:c>
    </x:row>
    <x:row r="1006">
      <x:c r="A1006" t="str">
        <x:v>FP-1265</x:v>
      </x:c>
      <x:c r="B1006" t="str">
        <x:v>TIT</x:v>
      </x:c>
      <x:c r="C1006" t="str">
        <x:v>Titus</x:v>
      </x:c>
      <x:c r="D1006" t="n">
        <x:v>1</x:v>
      </x:c>
      <x:c r="E1006" t="n">
        <x:v>5</x:v>
      </x:c>
      <x:c r="F1006" t="str">
        <x:v>TIT-001</x:v>
      </x:c>
      <x:c r="G1006" t="n">
        <x:v>201</x:v>
      </x:c>
      <x:c r="H1006" t="str">
        <x:v>CQ-A14-18</x:v>
      </x:c>
      <x:c r="I1006" s="36" t="str">
        <x:v>Bestandsfrage: exakter Wortlaut in diesem Arbeitsschritt nicht rekonstruiert.</x:v>
      </x:c>
      <x:c r="J1006" s="36"/>
      <x:c r="K1006" s="36"/>
      <x:c r="L1006" s="36" t="str">
        <x:v>MASTER_STATUS_VERIFIZIERT</x:v>
      </x:c>
      <x:c r="M1006" s="36" t="str">
        <x:v>ERSETZEN</x:v>
      </x:c>
      <x:c r="N1006" s="36" t="str">
        <x:v>BESTAND_NOCH_NICHT_GEPRÜFT</x:v>
      </x:c>
      <x:c r="O1006" s="36" t="str">
        <x:v>DIDAKTISCHE_NEUFASSUNG</x:v>
      </x:c>
      <x:c r="P1006" s="36" t="str">
        <x:v>Glaubwürdigkeit</x:v>
      </x:c>
      <x:c r="Q1006" s="36" t="str">
        <x:v>Woran erkennt Paulus den Widerspruch bei Menschen, die behaupten, Gott zu kennen?</x:v>
      </x:c>
      <x:c r="R1006" s="36" t="str">
        <x:v>Ihre Herkunft ist entscheidend.</x:v>
      </x:c>
      <x:c r="S1006" s="36" t="str">
        <x:v>Ihre Taten können ihr Bekenntnis verleugnen.</x:v>
      </x:c>
      <x:c r="T1006" s="36" t="str">
        <x:v>Sie besitzen zu wenig religiöse Literatur.</x:v>
      </x:c>
      <x:c r="U1006" s="36" t="str">
        <x:v>Sie verwenden die falsche Sprache.</x:v>
      </x:c>
      <x:c r="V1006" s="36" t="n">
        <x:v>1</x:v>
      </x:c>
      <x:c r="W1006" s="36" t="str">
        <x:v>Ihre Taten können ihr Bekenntnis verleugnen.</x:v>
      </x:c>
      <x:c r="X1006" s="36" t="str">
        <x:v>Titus 1,15–16</x:v>
      </x:c>
      <x:c r="Y1006" s="36" t="str">
        <x:v>Der Abschnitt stellt Bekenntnis und Lebenspraxis gegenüber. Ein bloßer Anspruch, Gott zu kennen, genügt nicht.</x:v>
      </x:c>
      <x:c r="Z1006" s="36" t="str">
        <x:v>JA</x:v>
      </x:c>
      <x:c r="AA1006" s="36" t="str">
        <x:v>JA</x:v>
      </x:c>
      <x:c r="AB1006" s="36" t="str">
        <x:v>JA</x:v>
      </x:c>
      <x:c r="AC1006" s="36" t="str">
        <x:v>JA</x:v>
      </x:c>
      <x:c r="AD1006" s="36" t="str">
        <x:v>JA</x:v>
      </x:c>
      <x:c r="AE1006" s="36" t="str">
        <x:v>JA</x:v>
      </x:c>
      <x:c r="AF1006" s="36" t="str">
        <x:v>JA</x:v>
      </x:c>
      <x:c r="AG1006" s="36" t="str">
        <x:v>FREIGEGEBEN</x:v>
      </x:c>
      <x:c r="AH1006" s="36" t="str">
        <x:v>GPT-5.6 Sol · Sammelprüfung · L1912/OTB</x:v>
      </x:c>
      <x:c r="AI1006" s="36" t="str">
        <x:v>FREIGEGEBEN</x:v>
      </x:c>
      <x:c r="AJ1006" s="36" t="str">
        <x:v>Titus 1: als neue, textnahe Glaubwürdigkeit-Frage redaktionell freigegeben.</x:v>
      </x:c>
      <x:c r="AK1006" s="36" t="str">
        <x:v>FaithPath repo develop/v4 · data/bibles/l1912/TIT.json · data/bibles/otb/TIT.json</x:v>
      </x:c>
      <x:c r="AL1006" t="str">
        <x:v>JA</x:v>
      </x:c>
    </x:row>
    <x:row r="1007">
      <x:c r="A1007" t="str">
        <x:v>FP-1266</x:v>
      </x:c>
      <x:c r="B1007" t="str">
        <x:v>TIT</x:v>
      </x:c>
      <x:c r="C1007" t="str">
        <x:v>Titus</x:v>
      </x:c>
      <x:c r="D1007" t="n">
        <x:v>2</x:v>
      </x:c>
      <x:c r="E1007" t="n">
        <x:v>1</x:v>
      </x:c>
      <x:c r="F1007" t="str">
        <x:v>TIT-002</x:v>
      </x:c>
      <x:c r="G1007" t="n">
        <x:v>202</x:v>
      </x:c>
      <x:c r="H1007" t="str">
        <x:v>CQ-A14-18</x:v>
      </x:c>
      <x:c r="I1007" s="36" t="str">
        <x:v>Bestandsfrage: exakter Wortlaut in diesem Arbeitsschritt nicht rekonstruiert.</x:v>
      </x:c>
      <x:c r="J1007" s="36"/>
      <x:c r="K1007" s="36"/>
      <x:c r="L1007" s="36" t="str">
        <x:v>MASTER_STATUS_VERIFIZIERT</x:v>
      </x:c>
      <x:c r="M1007" s="36" t="str">
        <x:v>ERSETZEN</x:v>
      </x:c>
      <x:c r="N1007" s="36" t="str">
        <x:v>BESTAND_NOCH_NICHT_GEPRÜFT</x:v>
      </x:c>
      <x:c r="O1007" s="36" t="str">
        <x:v>DIDAKTISCHE_NEUFASSUNG</x:v>
      </x:c>
      <x:c r="P1007" s="36" t="str">
        <x:v>LEBENSWEISE</x:v>
      </x:c>
      <x:c r="Q1007" s="36" t="str">
        <x:v>Was zieht sich durch die Anweisungen an ältere und jüngere Menschen in Titus 2?</x:v>
      </x:c>
      <x:c r="R1007" s="36" t="str">
        <x:v>Möglichst identische Aufgaben für jede Altersgruppe.</x:v>
      </x:c>
      <x:c r="S1007" s="36" t="str">
        <x:v>Rückzug aus jeder gesellschaftlichen Beziehung.</x:v>
      </x:c>
      <x:c r="T1007" s="36" t="str">
        <x:v>Ein glaubwürdiges, besonnenes Leben, das zur gesunden Lehre passt.</x:v>
      </x:c>
      <x:c r="U1007" s="36" t="str">
        <x:v>Das Streben nach möglichst viel öffentlichem Ansehen.</x:v>
      </x:c>
      <x:c r="V1007" s="36" t="n">
        <x:v>2</x:v>
      </x:c>
      <x:c r="W1007" s="36" t="str">
        <x:v>Ein glaubwürdiges, besonnenes Leben, das zur gesunden Lehre passt.</x:v>
      </x:c>
      <x:c r="X1007" s="36" t="str">
        <x:v>Titus 2,1–6</x:v>
      </x:c>
      <x:c r="Y1007" s="36" t="str">
        <x:v>Die konkreten Akzente unterscheiden sich, aber Selbstbeherrschung, Glaubwürdigkeit und ein zur Lehre passender Lebensstil verbinden die Gruppen.</x:v>
      </x:c>
      <x:c r="Z1007" s="36" t="str">
        <x:v>JA</x:v>
      </x:c>
      <x:c r="AA1007" s="36" t="str">
        <x:v>JA</x:v>
      </x:c>
      <x:c r="AB1007" s="36" t="str">
        <x:v>JA</x:v>
      </x:c>
      <x:c r="AC1007" s="36" t="str">
        <x:v>JA</x:v>
      </x:c>
      <x:c r="AD1007" s="36" t="str">
        <x:v>JA</x:v>
      </x:c>
      <x:c r="AE1007" s="36" t="str">
        <x:v>JA</x:v>
      </x:c>
      <x:c r="AF1007" s="36" t="str">
        <x:v>JA</x:v>
      </x:c>
      <x:c r="AG1007" s="36" t="str">
        <x:v>FREIGEGEBEN</x:v>
      </x:c>
      <x:c r="AH1007" s="36" t="str">
        <x:v>GPT-5.6 Sol · Sammelprüfung · L1912/OTB</x:v>
      </x:c>
      <x:c r="AI1007" s="36" t="str">
        <x:v>FREIGEGEBEN</x:v>
      </x:c>
      <x:c r="AJ1007" s="36" t="str">
        <x:v>Titus 2: als neue, textnahe LEBENSWEISE-Frage redaktionell freigegeben.</x:v>
      </x:c>
      <x:c r="AK1007" s="36" t="str">
        <x:v>FaithPath repo develop/v4 · data/bibles/l1912/TIT.json · data/bibles/otb/TIT.json</x:v>
      </x:c>
      <x:c r="AL1007" t="str">
        <x:v>JA</x:v>
      </x:c>
    </x:row>
    <x:row r="1008">
      <x:c r="A1008" t="str">
        <x:v>FP-1267</x:v>
      </x:c>
      <x:c r="B1008" t="str">
        <x:v>TIT</x:v>
      </x:c>
      <x:c r="C1008" t="str">
        <x:v>Titus</x:v>
      </x:c>
      <x:c r="D1008" t="n">
        <x:v>2</x:v>
      </x:c>
      <x:c r="E1008" t="n">
        <x:v>2</x:v>
      </x:c>
      <x:c r="F1008" t="str">
        <x:v>TIT-002</x:v>
      </x:c>
      <x:c r="G1008" t="n">
        <x:v>202</x:v>
      </x:c>
      <x:c r="H1008" t="str">
        <x:v>CQ-A14-18</x:v>
      </x:c>
      <x:c r="I1008" s="36" t="str">
        <x:v>Bestandsfrage: exakter Wortlaut in diesem Arbeitsschritt nicht rekonstruiert.</x:v>
      </x:c>
      <x:c r="J1008" s="36"/>
      <x:c r="K1008" s="36"/>
      <x:c r="L1008" s="36" t="str">
        <x:v>MASTER_STATUS_VERIFIZIERT</x:v>
      </x:c>
      <x:c r="M1008" s="36" t="str">
        <x:v>ERSETZEN</x:v>
      </x:c>
      <x:c r="N1008" s="36" t="str">
        <x:v>BESTAND_NOCH_NICHT_GEPRÜFT</x:v>
      </x:c>
      <x:c r="O1008" s="36" t="str">
        <x:v>DIDAKTISCHE_NEUFASSUNG</x:v>
      </x:c>
      <x:c r="P1008" s="36" t="str">
        <x:v>VORBILD</x:v>
      </x:c>
      <x:c r="Q1008" s="36" t="str">
        <x:v>Wie soll Titus selbst seine Lehre glaubwürdig machen?</x:v>
      </x:c>
      <x:c r="R1008" s="36" t="str">
        <x:v>Durch möglichst harte Sprache.</x:v>
      </x:c>
      <x:c r="S1008" s="36" t="str">
        <x:v>Durch Verzicht auf jedes praktische Vorbild.</x:v>
      </x:c>
      <x:c r="T1008" s="36" t="str">
        <x:v>Durch Anpassung der Lehre an jede Kritik.</x:v>
      </x:c>
      <x:c r="U1008" s="36" t="str">
        <x:v>Durch ein Vorbild guter Werke, unverfälschte Lehre und gesunde, nicht angreifbare Rede.</x:v>
      </x:c>
      <x:c r="V1008" s="36" t="n">
        <x:v>3</x:v>
      </x:c>
      <x:c r="W1008" s="36" t="str">
        <x:v>Durch ein Vorbild guter Werke, unverfälschte Lehre und gesunde, nicht angreifbare Rede.</x:v>
      </x:c>
      <x:c r="X1008" s="36" t="str">
        <x:v>Titus 2,7–8</x:v>
      </x:c>
      <x:c r="Y1008" s="36" t="str">
        <x:v>Titus soll Inhalt und Lebensführung zusammenbringen, damit Gegner keinen berechtigten Anlass zu Anklage haben.</x:v>
      </x:c>
      <x:c r="Z1008" s="36" t="str">
        <x:v>JA</x:v>
      </x:c>
      <x:c r="AA1008" s="36" t="str">
        <x:v>JA</x:v>
      </x:c>
      <x:c r="AB1008" s="36" t="str">
        <x:v>JA</x:v>
      </x:c>
      <x:c r="AC1008" s="36" t="str">
        <x:v>JA</x:v>
      </x:c>
      <x:c r="AD1008" s="36" t="str">
        <x:v>JA</x:v>
      </x:c>
      <x:c r="AE1008" s="36" t="str">
        <x:v>JA</x:v>
      </x:c>
      <x:c r="AF1008" s="36" t="str">
        <x:v>JA</x:v>
      </x:c>
      <x:c r="AG1008" s="36" t="str">
        <x:v>FREIGEGEBEN</x:v>
      </x:c>
      <x:c r="AH1008" s="36" t="str">
        <x:v>GPT-5.6 Sol · Sammelprüfung · L1912/OTB</x:v>
      </x:c>
      <x:c r="AI1008" s="36" t="str">
        <x:v>FREIGEGEBEN</x:v>
      </x:c>
      <x:c r="AJ1008" s="36" t="str">
        <x:v>Titus 2: als neue, textnahe VORBILD-Frage redaktionell freigegeben.</x:v>
      </x:c>
      <x:c r="AK1008" s="36" t="str">
        <x:v>FaithPath repo develop/v4 · data/bibles/l1912/TIT.json · data/bibles/otb/TIT.json</x:v>
      </x:c>
      <x:c r="AL1008" t="str">
        <x:v>JA</x:v>
      </x:c>
    </x:row>
    <x:row r="1009">
      <x:c r="A1009" t="str">
        <x:v>FP-1268</x:v>
      </x:c>
      <x:c r="B1009" t="str">
        <x:v>TIT</x:v>
      </x:c>
      <x:c r="C1009" t="str">
        <x:v>Titus</x:v>
      </x:c>
      <x:c r="D1009" t="n">
        <x:v>2</x:v>
      </x:c>
      <x:c r="E1009" t="n">
        <x:v>3</x:v>
      </x:c>
      <x:c r="F1009" t="str">
        <x:v>TIT-002</x:v>
      </x:c>
      <x:c r="G1009" t="n">
        <x:v>202</x:v>
      </x:c>
      <x:c r="H1009" t="str">
        <x:v>CQ-A14-18</x:v>
      </x:c>
      <x:c r="I1009" s="36" t="str">
        <x:v>Bestandsfrage: exakter Wortlaut in diesem Arbeitsschritt nicht rekonstruiert.</x:v>
      </x:c>
      <x:c r="J1009" s="36"/>
      <x:c r="K1009" s="36"/>
      <x:c r="L1009" s="36" t="str">
        <x:v>MASTER_STATUS_VERIFIZIERT</x:v>
      </x:c>
      <x:c r="M1009" s="36" t="str">
        <x:v>ERSETZEN</x:v>
      </x:c>
      <x:c r="N1009" s="36" t="str">
        <x:v>BESTAND_NOCH_NICHT_GEPRÜFT</x:v>
      </x:c>
      <x:c r="O1009" s="36" t="str">
        <x:v>DIDAKTISCHE_NEUFASSUNG</x:v>
      </x:c>
      <x:c r="P1009" s="36" t="str">
        <x:v>GNADE</x:v>
      </x:c>
      <x:c r="Q1009" s="36" t="str">
        <x:v>Was bewirkt Gottes rettende Gnade nach Titus 2 im gegenwärtigen Leben?</x:v>
      </x:c>
      <x:c r="R1009" s="36" t="str">
        <x:v>Sie erzieht dazu, Gottlosigkeit und weltliche Begierden abzulehnen und besonnen, gerecht und gottesfürchtig zu leben.</x:v>
      </x:c>
      <x:c r="S1009" s="36" t="str">
        <x:v>Sie macht jede Lebensveränderung überflüssig.</x:v>
      </x:c>
      <x:c r="T1009" s="36" t="str">
        <x:v>Sie betrifft nur die Zukunft nach dem Tod.</x:v>
      </x:c>
      <x:c r="U1009" s="36" t="str">
        <x:v>Sie erlaubt jede Begierde, solange man glaubt.</x:v>
      </x:c>
      <x:c r="V1009" s="36" t="n">
        <x:v>0</x:v>
      </x:c>
      <x:c r="W1009" s="36" t="str">
        <x:v>Sie erzieht dazu, Gottlosigkeit und weltliche Begierden abzulehnen und besonnen, gerecht und gottesfürchtig zu leben.</x:v>
      </x:c>
      <x:c r="X1009" s="36" t="str">
        <x:v>Titus 2,11–12</x:v>
      </x:c>
      <x:c r="Y1009" s="36" t="str">
        <x:v>Gnade wird nicht nur als Vergebung beschrieben, sondern als erziehende Kraft zu einem veränderten Leben.</x:v>
      </x:c>
      <x:c r="Z1009" s="36" t="str">
        <x:v>JA</x:v>
      </x:c>
      <x:c r="AA1009" s="36" t="str">
        <x:v>JA</x:v>
      </x:c>
      <x:c r="AB1009" s="36" t="str">
        <x:v>JA</x:v>
      </x:c>
      <x:c r="AC1009" s="36" t="str">
        <x:v>JA</x:v>
      </x:c>
      <x:c r="AD1009" s="36" t="str">
        <x:v>JA</x:v>
      </x:c>
      <x:c r="AE1009" s="36" t="str">
        <x:v>JA</x:v>
      </x:c>
      <x:c r="AF1009" s="36" t="str">
        <x:v>JA</x:v>
      </x:c>
      <x:c r="AG1009" s="36" t="str">
        <x:v>FREIGEGEBEN</x:v>
      </x:c>
      <x:c r="AH1009" s="36" t="str">
        <x:v>GPT-5.6 Sol · Sammelprüfung · L1912/OTB</x:v>
      </x:c>
      <x:c r="AI1009" s="36" t="str">
        <x:v>FREIGEGEBEN</x:v>
      </x:c>
      <x:c r="AJ1009" s="36" t="str">
        <x:v>Titus 2: als neue, textnahe GNADE-Frage redaktionell freigegeben.</x:v>
      </x:c>
      <x:c r="AK1009" s="36" t="str">
        <x:v>FaithPath repo develop/v4 · data/bibles/l1912/TIT.json · data/bibles/otb/TIT.json</x:v>
      </x:c>
      <x:c r="AL1009" t="str">
        <x:v>JA</x:v>
      </x:c>
    </x:row>
    <x:row r="1010">
      <x:c r="A1010" t="str">
        <x:v>FP-1269</x:v>
      </x:c>
      <x:c r="B1010" t="str">
        <x:v>TIT</x:v>
      </x:c>
      <x:c r="C1010" t="str">
        <x:v>Titus</x:v>
      </x:c>
      <x:c r="D1010" t="n">
        <x:v>2</x:v>
      </x:c>
      <x:c r="E1010" t="n">
        <x:v>4</x:v>
      </x:c>
      <x:c r="F1010" t="str">
        <x:v>TIT-002</x:v>
      </x:c>
      <x:c r="G1010" t="n">
        <x:v>202</x:v>
      </x:c>
      <x:c r="H1010" t="str">
        <x:v>CQ-A14-18</x:v>
      </x:c>
      <x:c r="I1010" s="36" t="str">
        <x:v>Bestandsfrage: exakter Wortlaut in diesem Arbeitsschritt nicht rekonstruiert.</x:v>
      </x:c>
      <x:c r="J1010" s="36"/>
      <x:c r="K1010" s="36"/>
      <x:c r="L1010" s="36" t="str">
        <x:v>MASTER_STATUS_VERIFIZIERT</x:v>
      </x:c>
      <x:c r="M1010" s="36" t="str">
        <x:v>ERSETZEN</x:v>
      </x:c>
      <x:c r="N1010" s="36" t="str">
        <x:v>BESTAND_NOCH_NICHT_GEPRÜFT</x:v>
      </x:c>
      <x:c r="O1010" s="36" t="str">
        <x:v>DIDAKTISCHE_NEUFASSUNG</x:v>
      </x:c>
      <x:c r="P1010" s="36" t="str">
        <x:v>HOFFNUNG</x:v>
      </x:c>
      <x:c r="Q1010" s="36" t="str">
        <x:v>Worauf sollen Glaubende nach Titus 2 warten?</x:v>
      </x:c>
      <x:c r="R1010" s="36" t="str">
        <x:v>Auf eine Zeit ohne jede irdische Verantwortung.</x:v>
      </x:c>
      <x:c r="S1010" s="36" t="str">
        <x:v>Auf die selige Hoffnung und die Erscheinung der Herrlichkeit Jesu Christi.</x:v>
      </x:c>
      <x:c r="T1010" s="36" t="str">
        <x:v>Auf den Aufbau eines politischen Gottesstaates auf Kreta.</x:v>
      </x:c>
      <x:c r="U1010" s="36" t="str">
        <x:v>Auf die Rückkehr zu früheren Begierden.</x:v>
      </x:c>
      <x:c r="V1010" s="36" t="n">
        <x:v>1</x:v>
      </x:c>
      <x:c r="W1010" s="36" t="str">
        <x:v>Auf die selige Hoffnung und die Erscheinung der Herrlichkeit Jesu Christi.</x:v>
      </x:c>
      <x:c r="X1010" s="36" t="str">
        <x:v>Titus 2,13</x:v>
      </x:c>
      <x:c r="Y1010" s="36" t="str">
        <x:v>Das gegenwärtige Leben wird mit einer Zukunftshoffnung verbunden: der Erscheinung Christi.</x:v>
      </x:c>
      <x:c r="Z1010" s="36" t="str">
        <x:v>JA</x:v>
      </x:c>
      <x:c r="AA1010" s="36" t="str">
        <x:v>JA</x:v>
      </x:c>
      <x:c r="AB1010" s="36" t="str">
        <x:v>JA</x:v>
      </x:c>
      <x:c r="AC1010" s="36" t="str">
        <x:v>JA</x:v>
      </x:c>
      <x:c r="AD1010" s="36" t="str">
        <x:v>JA</x:v>
      </x:c>
      <x:c r="AE1010" s="36" t="str">
        <x:v>JA</x:v>
      </x:c>
      <x:c r="AF1010" s="36" t="str">
        <x:v>JA</x:v>
      </x:c>
      <x:c r="AG1010" s="36" t="str">
        <x:v>FREIGEGEBEN</x:v>
      </x:c>
      <x:c r="AH1010" s="36" t="str">
        <x:v>GPT-5.6 Sol · Sammelprüfung · L1912/OTB</x:v>
      </x:c>
      <x:c r="AI1010" s="36" t="str">
        <x:v>FREIGEGEBEN</x:v>
      </x:c>
      <x:c r="AJ1010" s="36" t="str">
        <x:v>Titus 2: als neue, textnahe HOFFNUNG-Frage redaktionell freigegeben.</x:v>
      </x:c>
      <x:c r="AK1010" s="36" t="str">
        <x:v>FaithPath repo develop/v4 · data/bibles/l1912/TIT.json · data/bibles/otb/TIT.json</x:v>
      </x:c>
      <x:c r="AL1010" t="str">
        <x:v>JA</x:v>
      </x:c>
    </x:row>
    <x:row r="1011">
      <x:c r="A1011" t="str">
        <x:v>FP-1270</x:v>
      </x:c>
      <x:c r="B1011" t="str">
        <x:v>TIT</x:v>
      </x:c>
      <x:c r="C1011" t="str">
        <x:v>Titus</x:v>
      </x:c>
      <x:c r="D1011" t="n">
        <x:v>2</x:v>
      </x:c>
      <x:c r="E1011" t="n">
        <x:v>5</x:v>
      </x:c>
      <x:c r="F1011" t="str">
        <x:v>TIT-002</x:v>
      </x:c>
      <x:c r="G1011" t="n">
        <x:v>202</x:v>
      </x:c>
      <x:c r="H1011" t="str">
        <x:v>CQ-A14-18</x:v>
      </x:c>
      <x:c r="I1011" s="36" t="str">
        <x:v>Bestandsfrage: exakter Wortlaut in diesem Arbeitsschritt nicht rekonstruiert.</x:v>
      </x:c>
      <x:c r="J1011" s="36"/>
      <x:c r="K1011" s="36"/>
      <x:c r="L1011" s="36" t="str">
        <x:v>MASTER_STATUS_VERIFIZIERT</x:v>
      </x:c>
      <x:c r="M1011" s="36" t="str">
        <x:v>ERSETZEN</x:v>
      </x:c>
      <x:c r="N1011" s="36" t="str">
        <x:v>BESTAND_NOCH_NICHT_GEPRÜFT</x:v>
      </x:c>
      <x:c r="O1011" s="36" t="str">
        <x:v>DIDAKTISCHE_NEUFASSUNG</x:v>
      </x:c>
      <x:c r="P1011" s="36" t="str">
        <x:v>CHRISTUS</x:v>
      </x:c>
      <x:c r="Q1011" s="36" t="str">
        <x:v>Wozu hat Christus sich nach Titus 2 selbst gegeben?</x:v>
      </x:c>
      <x:c r="R1011" s="36" t="str">
        <x:v>Um gute Werke grundsätzlich unnötig zu machen.</x:v>
      </x:c>
      <x:c r="S1011" s="36" t="str">
        <x:v>Um nur eine kleine gesellschaftliche Elite zu retten.</x:v>
      </x:c>
      <x:c r="T1011" s="36" t="str">
        <x:v>Um von Gesetzlosigkeit zu erlösen und sich ein eigenes Volk zu reinigen, das eifrig gute Werke tut.</x:v>
      </x:c>
      <x:c r="U1011" s="36" t="str">
        <x:v>Um menschliche Leistung an die Stelle von Gnade zu setzen.</x:v>
      </x:c>
      <x:c r="V1011" s="36" t="n">
        <x:v>2</x:v>
      </x:c>
      <x:c r="W1011" s="36" t="str">
        <x:v>Um von Gesetzlosigkeit zu erlösen und sich ein eigenes Volk zu reinigen, das eifrig gute Werke tut.</x:v>
      </x:c>
      <x:c r="X1011" s="36" t="str">
        <x:v>Titus 2,14</x:v>
      </x:c>
      <x:c r="Y1011" s="36" t="str">
        <x:v>Erlösung, Reinigung und ein Leben voller guter Werke werden im Text eng miteinander verbunden.</x:v>
      </x:c>
      <x:c r="Z1011" s="36" t="str">
        <x:v>JA</x:v>
      </x:c>
      <x:c r="AA1011" s="36" t="str">
        <x:v>JA</x:v>
      </x:c>
      <x:c r="AB1011" s="36" t="str">
        <x:v>JA</x:v>
      </x:c>
      <x:c r="AC1011" s="36" t="str">
        <x:v>JA</x:v>
      </x:c>
      <x:c r="AD1011" s="36" t="str">
        <x:v>JA</x:v>
      </x:c>
      <x:c r="AE1011" s="36" t="str">
        <x:v>JA</x:v>
      </x:c>
      <x:c r="AF1011" s="36" t="str">
        <x:v>JA</x:v>
      </x:c>
      <x:c r="AG1011" s="36" t="str">
        <x:v>FREIGEGEBEN</x:v>
      </x:c>
      <x:c r="AH1011" s="36" t="str">
        <x:v>GPT-5.6 Sol · Sammelprüfung · L1912/OTB</x:v>
      </x:c>
      <x:c r="AI1011" s="36" t="str">
        <x:v>FREIGEGEBEN</x:v>
      </x:c>
      <x:c r="AJ1011" s="36" t="str">
        <x:v>Titus 2: als neue, textnahe CHRISTUS-Frage redaktionell freigegeben.</x:v>
      </x:c>
      <x:c r="AK1011" s="36" t="str">
        <x:v>FaithPath repo develop/v4 · data/bibles/l1912/TIT.json · data/bibles/otb/TIT.json</x:v>
      </x:c>
      <x:c r="AL1011" t="str">
        <x:v>JA</x:v>
      </x:c>
    </x:row>
    <x:row r="1012">
      <x:c r="A1012" t="str">
        <x:v>FP-1271</x:v>
      </x:c>
      <x:c r="B1012" t="str">
        <x:v>TIT</x:v>
      </x:c>
      <x:c r="C1012" t="str">
        <x:v>Titus</x:v>
      </x:c>
      <x:c r="D1012" t="n">
        <x:v>3</x:v>
      </x:c>
      <x:c r="E1012" t="n">
        <x:v>1</x:v>
      </x:c>
      <x:c r="F1012" t="str">
        <x:v>TIT-003</x:v>
      </x:c>
      <x:c r="G1012" t="n">
        <x:v>203</x:v>
      </x:c>
      <x:c r="H1012" t="str">
        <x:v>CQ-A14-18</x:v>
      </x:c>
      <x:c r="I1012" s="36" t="str">
        <x:v>Bestandsfrage: exakter Wortlaut in diesem Arbeitsschritt nicht rekonstruiert.</x:v>
      </x:c>
      <x:c r="J1012" s="36"/>
      <x:c r="K1012" s="36"/>
      <x:c r="L1012" s="36" t="str">
        <x:v>MASTER_STATUS_VERIFIZIERT</x:v>
      </x:c>
      <x:c r="M1012" s="36" t="str">
        <x:v>ERSETZEN</x:v>
      </x:c>
      <x:c r="N1012" s="36" t="str">
        <x:v>BESTAND_NOCH_NICHT_GEPRÜFT</x:v>
      </x:c>
      <x:c r="O1012" s="36" t="str">
        <x:v>DIDAKTISCHE_NEUFASSUNG</x:v>
      </x:c>
      <x:c r="P1012" s="36" t="str">
        <x:v>HALTUNG</x:v>
      </x:c>
      <x:c r="Q1012" s="36" t="str">
        <x:v>Wie sollen Christen nach Titus 3 gegenüber anderen Menschen auftreten?</x:v>
      </x:c>
      <x:c r="R1012" s="36" t="str">
        <x:v>Aggressiv gegenüber allen Andersdenkenden.</x:v>
      </x:c>
      <x:c r="S1012" s="36" t="str">
        <x:v>Nur gegenüber Christen höflich.</x:v>
      </x:c>
      <x:c r="T1012" s="36" t="str">
        <x:v>Grundsätzlich unbeteiligt an guten Werken.</x:v>
      </x:c>
      <x:c r="U1012" s="36" t="str">
        <x:v>Bereit zu guten Werken, nicht verleumderisch oder streitsüchtig, sondern freundlich und sanft.</x:v>
      </x:c>
      <x:c r="V1012" s="36" t="n">
        <x:v>3</x:v>
      </x:c>
      <x:c r="W1012" s="36" t="str">
        <x:v>Bereit zu guten Werken, nicht verleumderisch oder streitsüchtig, sondern freundlich und sanft.</x:v>
      </x:c>
      <x:c r="X1012" s="36" t="str">
        <x:v>Titus 3,1–2</x:v>
      </x:c>
      <x:c r="Y1012" s="36" t="str">
        <x:v>Paulus verbindet gesellschaftliche Verantwortlichkeit mit einer nicht streitsüchtigen, sanften Haltung gegenüber allen Menschen.</x:v>
      </x:c>
      <x:c r="Z1012" s="36" t="str">
        <x:v>JA</x:v>
      </x:c>
      <x:c r="AA1012" s="36" t="str">
        <x:v>JA</x:v>
      </x:c>
      <x:c r="AB1012" s="36" t="str">
        <x:v>JA</x:v>
      </x:c>
      <x:c r="AC1012" s="36" t="str">
        <x:v>JA</x:v>
      </x:c>
      <x:c r="AD1012" s="36" t="str">
        <x:v>JA</x:v>
      </x:c>
      <x:c r="AE1012" s="36" t="str">
        <x:v>JA</x:v>
      </x:c>
      <x:c r="AF1012" s="36" t="str">
        <x:v>JA</x:v>
      </x:c>
      <x:c r="AG1012" s="36" t="str">
        <x:v>FREIGEGEBEN</x:v>
      </x:c>
      <x:c r="AH1012" s="36" t="str">
        <x:v>GPT-5.6 Sol · Sammelprüfung · L1912/OTB</x:v>
      </x:c>
      <x:c r="AI1012" s="36" t="str">
        <x:v>FREIGEGEBEN</x:v>
      </x:c>
      <x:c r="AJ1012" s="36" t="str">
        <x:v>Titus 3: als neue, textnahe HALTUNG-Frage redaktionell freigegeben.</x:v>
      </x:c>
      <x:c r="AK1012" s="36" t="str">
        <x:v>FaithPath repo develop/v4 · data/bibles/l1912/TIT.json · data/bibles/otb/TIT.json</x:v>
      </x:c>
      <x:c r="AL1012" t="str">
        <x:v>JA</x:v>
      </x:c>
    </x:row>
    <x:row r="1013">
      <x:c r="A1013" t="str">
        <x:v>FP-1272</x:v>
      </x:c>
      <x:c r="B1013" t="str">
        <x:v>TIT</x:v>
      </x:c>
      <x:c r="C1013" t="str">
        <x:v>Titus</x:v>
      </x:c>
      <x:c r="D1013" t="n">
        <x:v>3</x:v>
      </x:c>
      <x:c r="E1013" t="n">
        <x:v>2</x:v>
      </x:c>
      <x:c r="F1013" t="str">
        <x:v>TIT-003</x:v>
      </x:c>
      <x:c r="G1013" t="n">
        <x:v>203</x:v>
      </x:c>
      <x:c r="H1013" t="str">
        <x:v>CQ-A14-18</x:v>
      </x:c>
      <x:c r="I1013" s="36" t="str">
        <x:v>Bestandsfrage: exakter Wortlaut in diesem Arbeitsschritt nicht rekonstruiert.</x:v>
      </x:c>
      <x:c r="J1013" s="36"/>
      <x:c r="K1013" s="36"/>
      <x:c r="L1013" s="36" t="str">
        <x:v>MASTER_STATUS_VERIFIZIERT</x:v>
      </x:c>
      <x:c r="M1013" s="36" t="str">
        <x:v>ERSETZEN</x:v>
      </x:c>
      <x:c r="N1013" s="36" t="str">
        <x:v>BESTAND_NOCH_NICHT_GEPRÜFT</x:v>
      </x:c>
      <x:c r="O1013" s="36" t="str">
        <x:v>DIDAKTISCHE_NEUFASSUNG</x:v>
      </x:c>
      <x:c r="P1013" s="36" t="str">
        <x:v>RETTUNG</x:v>
      </x:c>
      <x:c r="Q1013" s="36" t="str">
        <x:v>Worauf gründet die Rettung nach Titus 3 ausdrücklich nicht?</x:v>
      </x:c>
      <x:c r="R1013" s="36" t="str">
        <x:v>Auf Werken der Gerechtigkeit, die wir selbst getan hätten.</x:v>
      </x:c>
      <x:c r="S1013" s="36" t="str">
        <x:v>Auf Gottes Barmherzigkeit.</x:v>
      </x:c>
      <x:c r="T1013" s="36" t="str">
        <x:v>Auf die Erneuerung durch den Heiligen Geist.</x:v>
      </x:c>
      <x:c r="U1013" s="36" t="str">
        <x:v>Auf Gottes Gnade.</x:v>
      </x:c>
      <x:c r="V1013" s="36" t="n">
        <x:v>0</x:v>
      </x:c>
      <x:c r="W1013" s="36" t="str">
        <x:v>Auf Werken der Gerechtigkeit, die wir selbst getan hätten.</x:v>
      </x:c>
      <x:c r="X1013" s="36" t="str">
        <x:v>Titus 3,3–7</x:v>
      </x:c>
      <x:c r="Y1013" s="36" t="str">
        <x:v>Der Abschnitt setzt einen klaren Kontrast: Rettung geschieht aus Gottes Barmherzigkeit und Gnade, nicht als Verdienst eigener gerechter Werke.</x:v>
      </x:c>
      <x:c r="Z1013" s="36" t="str">
        <x:v>JA</x:v>
      </x:c>
      <x:c r="AA1013" s="36" t="str">
        <x:v>JA</x:v>
      </x:c>
      <x:c r="AB1013" s="36" t="str">
        <x:v>JA</x:v>
      </x:c>
      <x:c r="AC1013" s="36" t="str">
        <x:v>JA</x:v>
      </x:c>
      <x:c r="AD1013" s="36" t="str">
        <x:v>JA</x:v>
      </x:c>
      <x:c r="AE1013" s="36" t="str">
        <x:v>JA</x:v>
      </x:c>
      <x:c r="AF1013" s="36" t="str">
        <x:v>JA</x:v>
      </x:c>
      <x:c r="AG1013" s="36" t="str">
        <x:v>FREIGEGEBEN</x:v>
      </x:c>
      <x:c r="AH1013" s="36" t="str">
        <x:v>GPT-5.6 Sol · Sammelprüfung · L1912/OTB</x:v>
      </x:c>
      <x:c r="AI1013" s="36" t="str">
        <x:v>FREIGEGEBEN</x:v>
      </x:c>
      <x:c r="AJ1013" s="36" t="str">
        <x:v>Titus 3: als neue, textnahe RETTUNG-Frage redaktionell freigegeben.</x:v>
      </x:c>
      <x:c r="AK1013" s="36" t="str">
        <x:v>FaithPath repo develop/v4 · data/bibles/l1912/TIT.json · data/bibles/otb/TIT.json</x:v>
      </x:c>
      <x:c r="AL1013" t="str">
        <x:v>JA</x:v>
      </x:c>
    </x:row>
    <x:row r="1014">
      <x:c r="A1014" t="str">
        <x:v>FP-1273</x:v>
      </x:c>
      <x:c r="B1014" t="str">
        <x:v>TIT</x:v>
      </x:c>
      <x:c r="C1014" t="str">
        <x:v>Titus</x:v>
      </x:c>
      <x:c r="D1014" t="n">
        <x:v>3</x:v>
      </x:c>
      <x:c r="E1014" t="n">
        <x:v>3</x:v>
      </x:c>
      <x:c r="F1014" t="str">
        <x:v>TIT-003</x:v>
      </x:c>
      <x:c r="G1014" t="n">
        <x:v>203</x:v>
      </x:c>
      <x:c r="H1014" t="str">
        <x:v>CQ-A14-18</x:v>
      </x:c>
      <x:c r="I1014" s="36" t="str">
        <x:v>Bestandsfrage: exakter Wortlaut in diesem Arbeitsschritt nicht rekonstruiert.</x:v>
      </x:c>
      <x:c r="J1014" s="36"/>
      <x:c r="K1014" s="36"/>
      <x:c r="L1014" s="36" t="str">
        <x:v>MASTER_STATUS_VERIFIZIERT</x:v>
      </x:c>
      <x:c r="M1014" s="36" t="str">
        <x:v>ERSETZEN</x:v>
      </x:c>
      <x:c r="N1014" s="36" t="str">
        <x:v>BESTAND_NOCH_NICHT_GEPRÜFT</x:v>
      </x:c>
      <x:c r="O1014" s="36" t="str">
        <x:v>DIDAKTISCHE_NEUFASSUNG</x:v>
      </x:c>
      <x:c r="P1014" s="36" t="str">
        <x:v>ZUSAMMENHANG</x:v>
      </x:c>
      <x:c r="Q1014" s="36" t="str">
        <x:v>Welche Folge verbindet Paulus mit der Rechtfertigung aus Gnade?</x:v>
      </x:c>
      <x:c r="R1014" s="36" t="str">
        <x:v>Sie erhalten automatisch politischen Einfluss.</x:v>
      </x:c>
      <x:c r="S1014" s="36" t="str">
        <x:v>Die Glaubenden werden Erben entsprechend der Hoffnung auf ewiges Leben.</x:v>
      </x:c>
      <x:c r="T1014" s="36" t="str">
        <x:v>Sie brauchen keine Veränderung mehr.</x:v>
      </x:c>
      <x:c r="U1014" s="36" t="str">
        <x:v>Sie werden unabhängig von Gott.</x:v>
      </x:c>
      <x:c r="V1014" s="36" t="n">
        <x:v>1</x:v>
      </x:c>
      <x:c r="W1014" s="36" t="str">
        <x:v>Die Glaubenden werden Erben entsprechend der Hoffnung auf ewiges Leben.</x:v>
      </x:c>
      <x:c r="X1014" s="36" t="str">
        <x:v>Titus 3,5–7</x:v>
      </x:c>
      <x:c r="Y1014" s="36" t="str">
        <x:v>Gnade führt im Text zu einer neuen Stellung: gerechtfertigt und Erben mit der Hoffnung auf ewiges Leben.</x:v>
      </x:c>
      <x:c r="Z1014" s="36" t="str">
        <x:v>JA</x:v>
      </x:c>
      <x:c r="AA1014" s="36" t="str">
        <x:v>JA</x:v>
      </x:c>
      <x:c r="AB1014" s="36" t="str">
        <x:v>JA</x:v>
      </x:c>
      <x:c r="AC1014" s="36" t="str">
        <x:v>JA</x:v>
      </x:c>
      <x:c r="AD1014" s="36" t="str">
        <x:v>JA</x:v>
      </x:c>
      <x:c r="AE1014" s="36" t="str">
        <x:v>JA</x:v>
      </x:c>
      <x:c r="AF1014" s="36" t="str">
        <x:v>JA</x:v>
      </x:c>
      <x:c r="AG1014" s="36" t="str">
        <x:v>FREIGEGEBEN</x:v>
      </x:c>
      <x:c r="AH1014" s="36" t="str">
        <x:v>GPT-5.6 Sol · Sammelprüfung · L1912/OTB</x:v>
      </x:c>
      <x:c r="AI1014" s="36" t="str">
        <x:v>FREIGEGEBEN</x:v>
      </x:c>
      <x:c r="AJ1014" s="36" t="str">
        <x:v>Titus 3: als neue, textnahe ZUSAMMENHANG-Frage redaktionell freigegeben.</x:v>
      </x:c>
      <x:c r="AK1014" s="36" t="str">
        <x:v>FaithPath repo develop/v4 · data/bibles/l1912/TIT.json · data/bibles/otb/TIT.json</x:v>
      </x:c>
      <x:c r="AL1014" t="str">
        <x:v>JA</x:v>
      </x:c>
    </x:row>
    <x:row r="1015">
      <x:c r="A1015" t="str">
        <x:v>FP-1274</x:v>
      </x:c>
      <x:c r="B1015" t="str">
        <x:v>TIT</x:v>
      </x:c>
      <x:c r="C1015" t="str">
        <x:v>Titus</x:v>
      </x:c>
      <x:c r="D1015" t="n">
        <x:v>3</x:v>
      </x:c>
      <x:c r="E1015" t="n">
        <x:v>4</x:v>
      </x:c>
      <x:c r="F1015" t="str">
        <x:v>TIT-003</x:v>
      </x:c>
      <x:c r="G1015" t="n">
        <x:v>203</x:v>
      </x:c>
      <x:c r="H1015" t="str">
        <x:v>CQ-A14-18</x:v>
      </x:c>
      <x:c r="I1015" s="36" t="str">
        <x:v>Bestandsfrage: exakter Wortlaut in diesem Arbeitsschritt nicht rekonstruiert.</x:v>
      </x:c>
      <x:c r="J1015" s="36"/>
      <x:c r="K1015" s="36"/>
      <x:c r="L1015" s="36" t="str">
        <x:v>MASTER_STATUS_VERIFIZIERT</x:v>
      </x:c>
      <x:c r="M1015" s="36" t="str">
        <x:v>ERSETZEN</x:v>
      </x:c>
      <x:c r="N1015" s="36" t="str">
        <x:v>BESTAND_NOCH_NICHT_GEPRÜFT</x:v>
      </x:c>
      <x:c r="O1015" s="36" t="str">
        <x:v>DIDAKTISCHE_NEUFASSUNG</x:v>
      </x:c>
      <x:c r="P1015" s="36" t="str">
        <x:v>GUTE_WERKE</x:v>
      </x:c>
      <x:c r="Q1015" s="36" t="str">
        <x:v>Warum soll Titus darauf bestehen, dass Glaubende sich guten Werken widmen?</x:v>
      </x:c>
      <x:c r="R1015" s="36" t="str">
        <x:v>Weil sie dadurch Gottes Gnade verdienen.</x:v>
      </x:c>
      <x:c r="S1015" s="36" t="str">
        <x:v>Weil gute Werke das Evangelium ersetzen.</x:v>
      </x:c>
      <x:c r="T1015" s="36" t="str">
        <x:v>Weil solche Werke gut und nützlich für Menschen sind.</x:v>
      </x:c>
      <x:c r="U1015" s="36" t="str">
        <x:v>Weil nur öffentliche Werke zählen.</x:v>
      </x:c>
      <x:c r="V1015" s="36" t="n">
        <x:v>2</x:v>
      </x:c>
      <x:c r="W1015" s="36" t="str">
        <x:v>Weil solche Werke gut und nützlich für Menschen sind.</x:v>
      </x:c>
      <x:c r="X1015" s="36" t="str">
        <x:v>Titus 3,8</x:v>
      </x:c>
      <x:c r="Y1015" s="36" t="str">
        <x:v>Gute Werke sind nicht die Grundlage der Rettung, werden aber als sinnvolle Frucht des Glaubens ausdrücklich betont.</x:v>
      </x:c>
      <x:c r="Z1015" s="36" t="str">
        <x:v>JA</x:v>
      </x:c>
      <x:c r="AA1015" s="36" t="str">
        <x:v>JA</x:v>
      </x:c>
      <x:c r="AB1015" s="36" t="str">
        <x:v>JA</x:v>
      </x:c>
      <x:c r="AC1015" s="36" t="str">
        <x:v>JA</x:v>
      </x:c>
      <x:c r="AD1015" s="36" t="str">
        <x:v>JA</x:v>
      </x:c>
      <x:c r="AE1015" s="36" t="str">
        <x:v>JA</x:v>
      </x:c>
      <x:c r="AF1015" s="36" t="str">
        <x:v>JA</x:v>
      </x:c>
      <x:c r="AG1015" s="36" t="str">
        <x:v>FREIGEGEBEN</x:v>
      </x:c>
      <x:c r="AH1015" s="36" t="str">
        <x:v>GPT-5.6 Sol · Sammelprüfung · L1912/OTB</x:v>
      </x:c>
      <x:c r="AI1015" s="36" t="str">
        <x:v>FREIGEGEBEN</x:v>
      </x:c>
      <x:c r="AJ1015" s="36" t="str">
        <x:v>Titus 3: als neue, textnahe GUTE_WERKE-Frage redaktionell freigegeben.</x:v>
      </x:c>
      <x:c r="AK1015" s="36" t="str">
        <x:v>FaithPath repo develop/v4 · data/bibles/l1912/TIT.json · data/bibles/otb/TIT.json</x:v>
      </x:c>
      <x:c r="AL1015" t="str">
        <x:v>JA</x:v>
      </x:c>
    </x:row>
    <x:row r="1016">
      <x:c r="A1016" t="str">
        <x:v>FP-1275</x:v>
      </x:c>
      <x:c r="B1016" t="str">
        <x:v>TIT</x:v>
      </x:c>
      <x:c r="C1016" t="str">
        <x:v>Titus</x:v>
      </x:c>
      <x:c r="D1016" t="n">
        <x:v>3</x:v>
      </x:c>
      <x:c r="E1016" t="n">
        <x:v>5</x:v>
      </x:c>
      <x:c r="F1016" t="str">
        <x:v>TIT-003</x:v>
      </x:c>
      <x:c r="G1016" t="n">
        <x:v>203</x:v>
      </x:c>
      <x:c r="H1016" t="str">
        <x:v>CQ-A14-18</x:v>
      </x:c>
      <x:c r="I1016" s="36" t="str">
        <x:v>Bestandsfrage: exakter Wortlaut in diesem Arbeitsschritt nicht rekonstruiert.</x:v>
      </x:c>
      <x:c r="J1016" s="36"/>
      <x:c r="K1016" s="36"/>
      <x:c r="L1016" s="36" t="str">
        <x:v>MASTER_STATUS_VERIFIZIERT</x:v>
      </x:c>
      <x:c r="M1016" s="36" t="str">
        <x:v>ERSETZEN</x:v>
      </x:c>
      <x:c r="N1016" s="36" t="str">
        <x:v>BESTAND_NOCH_NICHT_GEPRÜFT</x:v>
      </x:c>
      <x:c r="O1016" s="36" t="str">
        <x:v>DIDAKTISCHE_NEUFASSUNG</x:v>
      </x:c>
      <x:c r="P1016" s="36" t="str">
        <x:v>KONFLIKT</x:v>
      </x:c>
      <x:c r="Q1016" s="36" t="str">
        <x:v>Wie soll Titus mit törichten Streitfragen und einem hartnäckig spaltenden Menschen umgehen?</x:v>
      </x:c>
      <x:c r="R1016" s="36" t="str">
        <x:v>Jeden Streit möglichst lange fortsetzen.</x:v>
      </x:c>
      <x:c r="S1016" s="36" t="str">
        <x:v>Einen Menschen ohne vorherige Ermahnung sofort verurteilen.</x:v>
      </x:c>
      <x:c r="T1016" s="36" t="str">
        <x:v>Spaltungen ignorieren, solange die Lehre interessant klingt.</x:v>
      </x:c>
      <x:c r="U1016" s="36" t="str">
        <x:v>Streitfragen meiden; einen spaltenden Menschen nach wiederholter Ermahnung schließlich meiden.</x:v>
      </x:c>
      <x:c r="V1016" s="36" t="n">
        <x:v>3</x:v>
      </x:c>
      <x:c r="W1016" s="36" t="str">
        <x:v>Streitfragen meiden; einen spaltenden Menschen nach wiederholter Ermahnung schließlich meiden.</x:v>
      </x:c>
      <x:c r="X1016" s="36" t="str">
        <x:v>Titus 3,9–11</x:v>
      </x:c>
      <x:c r="Y1016" s="36" t="str">
        <x:v>Paulus will nutzlose Streitspiralen beenden. Bei einem spaltenden Menschen nennt er zuerst Ermahnung und danach eine klare Grenze.</x:v>
      </x:c>
      <x:c r="Z1016" s="36" t="str">
        <x:v>JA</x:v>
      </x:c>
      <x:c r="AA1016" s="36" t="str">
        <x:v>JA</x:v>
      </x:c>
      <x:c r="AB1016" s="36" t="str">
        <x:v>JA</x:v>
      </x:c>
      <x:c r="AC1016" s="36" t="str">
        <x:v>JA</x:v>
      </x:c>
      <x:c r="AD1016" s="36" t="str">
        <x:v>JA</x:v>
      </x:c>
      <x:c r="AE1016" s="36" t="str">
        <x:v>JA</x:v>
      </x:c>
      <x:c r="AF1016" s="36" t="str">
        <x:v>JA</x:v>
      </x:c>
      <x:c r="AG1016" s="36" t="str">
        <x:v>FREIGEGEBEN</x:v>
      </x:c>
      <x:c r="AH1016" s="36" t="str">
        <x:v>GPT-5.6 Sol · Sammelprüfung · L1912/OTB</x:v>
      </x:c>
      <x:c r="AI1016" s="36" t="str">
        <x:v>FREIGEGEBEN</x:v>
      </x:c>
      <x:c r="AJ1016" s="36" t="str">
        <x:v>Titus 3: als neue, textnahe KONFLIKT-Frage redaktionell freigegeben.</x:v>
      </x:c>
      <x:c r="AK1016" s="36" t="str">
        <x:v>FaithPath repo develop/v4 · data/bibles/l1912/TIT.json · data/bibles/otb/TIT.json</x:v>
      </x:c>
      <x:c r="AL1016" t="str">
        <x:v>JA</x:v>
      </x:c>
    </x:row>
    <x:row r="1017">
      <x:c r="A1017" t="str">
        <x:v>FP-1276</x:v>
      </x:c>
      <x:c r="B1017" t="str">
        <x:v>PHM</x:v>
      </x:c>
      <x:c r="C1017" t="str">
        <x:v>Philemon</x:v>
      </x:c>
      <x:c r="D1017" t="n">
        <x:v>1</x:v>
      </x:c>
      <x:c r="E1017" t="n">
        <x:v>1</x:v>
      </x:c>
      <x:c r="F1017" t="str">
        <x:v>PHM-001</x:v>
      </x:c>
      <x:c r="G1017" t="n">
        <x:v>204</x:v>
      </x:c>
      <x:c r="H1017" t="str">
        <x:v>CQ-A14-18</x:v>
      </x:c>
      <x:c r="I1017" s="36" t="str">
        <x:v>Bestandsfrage: exakter Wortlaut in diesem Arbeitsschritt nicht rekonstruiert.</x:v>
      </x:c>
      <x:c r="J1017" s="36"/>
      <x:c r="K1017" s="36"/>
      <x:c r="L1017" s="36" t="str">
        <x:v>MASTER_STATUS_VERIFIZIERT</x:v>
      </x:c>
      <x:c r="M1017" s="36" t="str">
        <x:v>ERSETZEN</x:v>
      </x:c>
      <x:c r="N1017" s="36" t="str">
        <x:v>BESTAND_NOCH_NICHT_GEPRÜFT</x:v>
      </x:c>
      <x:c r="O1017" s="36" t="str">
        <x:v>DIDAKTISCHE_NEUFASSUNG</x:v>
      </x:c>
      <x:c r="P1017" s="36" t="str">
        <x:v>BEZIEHUNG</x:v>
      </x:c>
      <x:c r="Q1017" s="36" t="str">
        <x:v>Warum bereitet Philemons Liebe Paulus Freude und Trost?</x:v>
      </x:c>
      <x:c r="R1017" s="36" t="str">
        <x:v>Weil durch Philemon die Herzen der Heiligen erquickt worden sind.</x:v>
      </x:c>
      <x:c r="S1017" s="36" t="str">
        <x:v>Weil Philemon Paulus aus dem Gefängnis befreit hat.</x:v>
      </x:c>
      <x:c r="T1017" s="36" t="str">
        <x:v>Weil Philemon eine hohe politische Position besitzt.</x:v>
      </x:c>
      <x:c r="U1017" s="36" t="str">
        <x:v>Weil Philemon nie Hilfe von anderen brauchte.</x:v>
      </x:c>
      <x:c r="V1017" s="36" t="n">
        <x:v>0</x:v>
      </x:c>
      <x:c r="W1017" s="36" t="str">
        <x:v>Weil durch Philemon die Herzen der Heiligen erquickt worden sind.</x:v>
      </x:c>
      <x:c r="X1017" s="36" t="str">
        <x:v>Philemon 4–7</x:v>
      </x:c>
      <x:c r="Y1017" s="36" t="str">
        <x:v>Paulus würdigt Philemons Glauben und Liebe nicht abstrakt, sondern weil andere Glaubende durch ihn konkrete Ermutigung erfahren.</x:v>
      </x:c>
      <x:c r="Z1017" s="36" t="str">
        <x:v>JA</x:v>
      </x:c>
      <x:c r="AA1017" s="36" t="str">
        <x:v>JA</x:v>
      </x:c>
      <x:c r="AB1017" s="36" t="str">
        <x:v>JA</x:v>
      </x:c>
      <x:c r="AC1017" s="36" t="str">
        <x:v>JA</x:v>
      </x:c>
      <x:c r="AD1017" s="36" t="str">
        <x:v>JA</x:v>
      </x:c>
      <x:c r="AE1017" s="36" t="str">
        <x:v>JA</x:v>
      </x:c>
      <x:c r="AF1017" s="36" t="str">
        <x:v>JA</x:v>
      </x:c>
      <x:c r="AG1017" s="36" t="str">
        <x:v>FREIGEGEBEN</x:v>
      </x:c>
      <x:c r="AH1017" s="36" t="str">
        <x:v>GPT-5.6 Sol · Sammelprüfung · L1912/OTB</x:v>
      </x:c>
      <x:c r="AI1017" s="36" t="str">
        <x:v>FREIGEGEBEN</x:v>
      </x:c>
      <x:c r="AJ1017" s="36" t="str">
        <x:v>Philemon 1: als neue, textnahe BEZIEHUNG-Frage redaktionell freigegeben.</x:v>
      </x:c>
      <x:c r="AK1017" s="36" t="str">
        <x:v>FaithPath repo develop/v4 · data/bibles/l1912/PHM.json · data/bibles/otb/PHM.json</x:v>
      </x:c>
      <x:c r="AL1017" t="str">
        <x:v>JA</x:v>
      </x:c>
    </x:row>
    <x:row r="1018">
      <x:c r="A1018" t="str">
        <x:v>FP-1277</x:v>
      </x:c>
      <x:c r="B1018" t="str">
        <x:v>PHM</x:v>
      </x:c>
      <x:c r="C1018" t="str">
        <x:v>Philemon</x:v>
      </x:c>
      <x:c r="D1018" t="n">
        <x:v>1</x:v>
      </x:c>
      <x:c r="E1018" t="n">
        <x:v>2</x:v>
      </x:c>
      <x:c r="F1018" t="str">
        <x:v>PHM-001</x:v>
      </x:c>
      <x:c r="G1018" t="n">
        <x:v>204</x:v>
      </x:c>
      <x:c r="H1018" t="str">
        <x:v>CQ-A14-18</x:v>
      </x:c>
      <x:c r="I1018" s="36" t="str">
        <x:v>Bestandsfrage: exakter Wortlaut in diesem Arbeitsschritt nicht rekonstruiert.</x:v>
      </x:c>
      <x:c r="J1018" s="36"/>
      <x:c r="K1018" s="36"/>
      <x:c r="L1018" s="36" t="str">
        <x:v>MASTER_STATUS_VERIFIZIERT</x:v>
      </x:c>
      <x:c r="M1018" s="36" t="str">
        <x:v>ERSETZEN</x:v>
      </x:c>
      <x:c r="N1018" s="36" t="str">
        <x:v>BESTAND_NOCH_NICHT_GEPRÜFT</x:v>
      </x:c>
      <x:c r="O1018" s="36" t="str">
        <x:v>DIDAKTISCHE_NEUFASSUNG</x:v>
      </x:c>
      <x:c r="P1018" s="36" t="str">
        <x:v>MOTIVATION</x:v>
      </x:c>
      <x:c r="Q1018" s="36" t="str">
        <x:v>Warum bittet Paulus Philemon, obwohl er ihm auch etwas gebieten könnte?</x:v>
      </x:c>
      <x:c r="R1018" s="36" t="str">
        <x:v>Er hat keinerlei Vertrauen zu Philemon.</x:v>
      </x:c>
      <x:c r="S1018" s="36" t="str">
        <x:v>Er zieht es um der Liebe willen vor, an Philemon zu appellieren.</x:v>
      </x:c>
      <x:c r="T1018" s="36" t="str">
        <x:v>Er weiß nicht, worum es in der Sache geht.</x:v>
      </x:c>
      <x:c r="U1018" s="36" t="str">
        <x:v>Er will Onesimus heimlich bei sich behalten.</x:v>
      </x:c>
      <x:c r="V1018" s="36" t="n">
        <x:v>1</x:v>
      </x:c>
      <x:c r="W1018" s="36" t="str">
        <x:v>Er zieht es um der Liebe willen vor, an Philemon zu appellieren.</x:v>
      </x:c>
      <x:c r="X1018" s="36" t="str">
        <x:v>Philemon 8–9</x:v>
      </x:c>
      <x:c r="Y1018" s="36" t="str">
        <x:v>Paulus setzt bewusst auf eine freiwillige Antwort aus Liebe statt auf bloßen Zwang durch Autorität.</x:v>
      </x:c>
      <x:c r="Z1018" s="36" t="str">
        <x:v>JA</x:v>
      </x:c>
      <x:c r="AA1018" s="36" t="str">
        <x:v>JA</x:v>
      </x:c>
      <x:c r="AB1018" s="36" t="str">
        <x:v>JA</x:v>
      </x:c>
      <x:c r="AC1018" s="36" t="str">
        <x:v>JA</x:v>
      </x:c>
      <x:c r="AD1018" s="36" t="str">
        <x:v>JA</x:v>
      </x:c>
      <x:c r="AE1018" s="36" t="str">
        <x:v>JA</x:v>
      </x:c>
      <x:c r="AF1018" s="36" t="str">
        <x:v>JA</x:v>
      </x:c>
      <x:c r="AG1018" s="36" t="str">
        <x:v>FREIGEGEBEN</x:v>
      </x:c>
      <x:c r="AH1018" s="36" t="str">
        <x:v>GPT-5.6 Sol · Sammelprüfung · L1912/OTB</x:v>
      </x:c>
      <x:c r="AI1018" s="36" t="str">
        <x:v>FREIGEGEBEN</x:v>
      </x:c>
      <x:c r="AJ1018" s="36" t="str">
        <x:v>Philemon 1: als neue, textnahe MOTIVATION-Frage redaktionell freigegeben.</x:v>
      </x:c>
      <x:c r="AK1018" s="36" t="str">
        <x:v>FaithPath repo develop/v4 · data/bibles/l1912/PHM.json · data/bibles/otb/PHM.json</x:v>
      </x:c>
      <x:c r="AL1018" t="str">
        <x:v>JA</x:v>
      </x:c>
    </x:row>
    <x:row r="1019">
      <x:c r="A1019" t="str">
        <x:v>FP-1278</x:v>
      </x:c>
      <x:c r="B1019" t="str">
        <x:v>PHM</x:v>
      </x:c>
      <x:c r="C1019" t="str">
        <x:v>Philemon</x:v>
      </x:c>
      <x:c r="D1019" t="n">
        <x:v>1</x:v>
      </x:c>
      <x:c r="E1019" t="n">
        <x:v>3</x:v>
      </x:c>
      <x:c r="F1019" t="str">
        <x:v>PHM-001</x:v>
      </x:c>
      <x:c r="G1019" t="n">
        <x:v>204</x:v>
      </x:c>
      <x:c r="H1019" t="str">
        <x:v>CQ-A14-18</x:v>
      </x:c>
      <x:c r="I1019" s="36" t="str">
        <x:v>Bestandsfrage: exakter Wortlaut in diesem Arbeitsschritt nicht rekonstruiert.</x:v>
      </x:c>
      <x:c r="J1019" s="36"/>
      <x:c r="K1019" s="36"/>
      <x:c r="L1019" s="36" t="str">
        <x:v>MASTER_STATUS_VERIFIZIERT</x:v>
      </x:c>
      <x:c r="M1019" s="36" t="str">
        <x:v>ERSETZEN</x:v>
      </x:c>
      <x:c r="N1019" s="36" t="str">
        <x:v>BESTAND_NOCH_NICHT_GEPRÜFT</x:v>
      </x:c>
      <x:c r="O1019" s="36" t="str">
        <x:v>DIDAKTISCHE_NEUFASSUNG</x:v>
      </x:c>
      <x:c r="P1019" s="36" t="str">
        <x:v>ENTWICKLUNG</x:v>
      </x:c>
      <x:c r="Q1019" s="36" t="str">
        <x:v>Wie beschreibt Paulus die Veränderung bei Onesimus?</x:v>
      </x:c>
      <x:c r="R1019" s="36" t="str">
        <x:v>Onesimus ist römischer Beamter geworden.</x:v>
      </x:c>
      <x:c r="S1019" s="36" t="str">
        <x:v>Onesimus hat jede Beziehung zu Philemon abgebrochen.</x:v>
      </x:c>
      <x:c r="T1019" s="36" t="str">
        <x:v>Der früher für Philemon 'unnütze' Onesimus ist nun für Philemon und Paulus nützlich und Paulus geistlich zum Sohn geworden.</x:v>
      </x:c>
      <x:c r="U1019" s="36" t="str">
        <x:v>Onesimus soll nie wieder nach Philemon zurückkehren.</x:v>
      </x:c>
      <x:c r="V1019" s="36" t="n">
        <x:v>2</x:v>
      </x:c>
      <x:c r="W1019" s="36" t="str">
        <x:v>Der früher für Philemon 'unnütze' Onesimus ist nun für Philemon und Paulus nützlich und Paulus geistlich zum Sohn geworden.</x:v>
      </x:c>
      <x:c r="X1019" s="36" t="str">
        <x:v>Philemon 10–13</x:v>
      </x:c>
      <x:c r="Y1019" s="36" t="str">
        <x:v>Paulus benutzt ein Wortspiel mit Onesimus' Nutzen und beschreibt zugleich eine neue geistliche Beziehung, die während seiner Gefangenschaft entstanden ist.</x:v>
      </x:c>
      <x:c r="Z1019" s="36" t="str">
        <x:v>JA</x:v>
      </x:c>
      <x:c r="AA1019" s="36" t="str">
        <x:v>JA</x:v>
      </x:c>
      <x:c r="AB1019" s="36" t="str">
        <x:v>JA</x:v>
      </x:c>
      <x:c r="AC1019" s="36" t="str">
        <x:v>JA</x:v>
      </x:c>
      <x:c r="AD1019" s="36" t="str">
        <x:v>JA</x:v>
      </x:c>
      <x:c r="AE1019" s="36" t="str">
        <x:v>JA</x:v>
      </x:c>
      <x:c r="AF1019" s="36" t="str">
        <x:v>JA</x:v>
      </x:c>
      <x:c r="AG1019" s="36" t="str">
        <x:v>FREIGEGEBEN</x:v>
      </x:c>
      <x:c r="AH1019" s="36" t="str">
        <x:v>GPT-5.6 Sol · Sammelprüfung · L1912/OTB</x:v>
      </x:c>
      <x:c r="AI1019" s="36" t="str">
        <x:v>FREIGEGEBEN</x:v>
      </x:c>
      <x:c r="AJ1019" s="36" t="str">
        <x:v>Philemon 1: als neue, textnahe ENTWICKLUNG-Frage redaktionell freigegeben.</x:v>
      </x:c>
      <x:c r="AK1019" s="36" t="str">
        <x:v>FaithPath repo develop/v4 · data/bibles/l1912/PHM.json · data/bibles/otb/PHM.json</x:v>
      </x:c>
      <x:c r="AL1019" t="str">
        <x:v>JA</x:v>
      </x:c>
    </x:row>
    <x:row r="1020">
      <x:c r="A1020" t="str">
        <x:v>FP-1279</x:v>
      </x:c>
      <x:c r="B1020" t="str">
        <x:v>PHM</x:v>
      </x:c>
      <x:c r="C1020" t="str">
        <x:v>Philemon</x:v>
      </x:c>
      <x:c r="D1020" t="n">
        <x:v>1</x:v>
      </x:c>
      <x:c r="E1020" t="n">
        <x:v>4</x:v>
      </x:c>
      <x:c r="F1020" t="str">
        <x:v>PHM-001</x:v>
      </x:c>
      <x:c r="G1020" t="n">
        <x:v>204</x:v>
      </x:c>
      <x:c r="H1020" t="str">
        <x:v>CQ-A14-18</x:v>
      </x:c>
      <x:c r="I1020" s="36" t="str">
        <x:v>Bestandsfrage: exakter Wortlaut in diesem Arbeitsschritt nicht rekonstruiert.</x:v>
      </x:c>
      <x:c r="J1020" s="36"/>
      <x:c r="K1020" s="36"/>
      <x:c r="L1020" s="36" t="str">
        <x:v>MASTER_STATUS_VERIFIZIERT</x:v>
      </x:c>
      <x:c r="M1020" s="36" t="str">
        <x:v>ERSETZEN</x:v>
      </x:c>
      <x:c r="N1020" s="36" t="str">
        <x:v>BESTAND_NOCH_NICHT_GEPRÜFT</x:v>
      </x:c>
      <x:c r="O1020" s="36" t="str">
        <x:v>DIDAKTISCHE_NEUFASSUNG</x:v>
      </x:c>
      <x:c r="P1020" s="36" t="str">
        <x:v>VERSÖHNUNG</x:v>
      </x:c>
      <x:c r="Q1020" s="36" t="str">
        <x:v>Wie soll Philemon Onesimus nach Paulus aufnehmen?</x:v>
      </x:c>
      <x:c r="R1020" s="36" t="str">
        <x:v>Als persönlichen Feind.</x:v>
      </x:c>
      <x:c r="S1020" s="36" t="str">
        <x:v>Nur als wirtschaftlichen Besitz ohne neue Beziehung.</x:v>
      </x:c>
      <x:c r="T1020" s="36" t="str">
        <x:v>Als Fremden ohne Verbindung zur Gemeinde.</x:v>
      </x:c>
      <x:c r="U1020" s="36" t="str">
        <x:v>Nicht nur als Diener, sondern als geliebten Bruder – und so, wie er Paulus selbst aufnehmen würde.</x:v>
      </x:c>
      <x:c r="V1020" s="36" t="n">
        <x:v>3</x:v>
      </x:c>
      <x:c r="W1020" s="36" t="str">
        <x:v>Nicht nur als Diener, sondern als geliebten Bruder – und so, wie er Paulus selbst aufnehmen würde.</x:v>
      </x:c>
      <x:c r="X1020" s="36" t="str">
        <x:v>Philemon 15–17</x:v>
      </x:c>
      <x:c r="Y1020" s="36" t="str">
        <x:v>Paulus verändert die Beziehungsperspektive ausdrücklich: Onesimus soll als geliebter Bruder und in enger Verbundenheit mit Paulus aufgenommen werden.</x:v>
      </x:c>
      <x:c r="Z1020" s="36" t="str">
        <x:v>JA</x:v>
      </x:c>
      <x:c r="AA1020" s="36" t="str">
        <x:v>JA</x:v>
      </x:c>
      <x:c r="AB1020" s="36" t="str">
        <x:v>JA</x:v>
      </x:c>
      <x:c r="AC1020" s="36" t="str">
        <x:v>JA</x:v>
      </x:c>
      <x:c r="AD1020" s="36" t="str">
        <x:v>JA</x:v>
      </x:c>
      <x:c r="AE1020" s="36" t="str">
        <x:v>JA</x:v>
      </x:c>
      <x:c r="AF1020" s="36" t="str">
        <x:v>JA</x:v>
      </x:c>
      <x:c r="AG1020" s="36" t="str">
        <x:v>FREIGEGEBEN</x:v>
      </x:c>
      <x:c r="AH1020" s="36" t="str">
        <x:v>GPT-5.6 Sol · Sammelprüfung · L1912/OTB</x:v>
      </x:c>
      <x:c r="AI1020" s="36" t="str">
        <x:v>FREIGEGEBEN</x:v>
      </x:c>
      <x:c r="AJ1020" s="36" t="str">
        <x:v>Philemon 1: als neue, textnahe VERSÖHNUNG-Frage redaktionell freigegeben.</x:v>
      </x:c>
      <x:c r="AK1020" s="36" t="str">
        <x:v>FaithPath repo develop/v4 · data/bibles/l1912/PHM.json · data/bibles/otb/PHM.json</x:v>
      </x:c>
      <x:c r="AL1020" t="str">
        <x:v>JA</x:v>
      </x:c>
    </x:row>
    <x:row r="1021">
      <x:c r="A1021" t="str">
        <x:v>FP-1280</x:v>
      </x:c>
      <x:c r="B1021" t="str">
        <x:v>PHM</x:v>
      </x:c>
      <x:c r="C1021" t="str">
        <x:v>Philemon</x:v>
      </x:c>
      <x:c r="D1021" t="n">
        <x:v>1</x:v>
      </x:c>
      <x:c r="E1021" t="n">
        <x:v>5</x:v>
      </x:c>
      <x:c r="F1021" t="str">
        <x:v>PHM-001</x:v>
      </x:c>
      <x:c r="G1021" t="n">
        <x:v>204</x:v>
      </x:c>
      <x:c r="H1021" t="str">
        <x:v>CQ-A14-18</x:v>
      </x:c>
      <x:c r="I1021" s="36" t="str">
        <x:v>Bestandsfrage: exakter Wortlaut in diesem Arbeitsschritt nicht rekonstruiert.</x:v>
      </x:c>
      <x:c r="J1021" s="36"/>
      <x:c r="K1021" s="36"/>
      <x:c r="L1021" s="36" t="str">
        <x:v>MASTER_STATUS_VERIFIZIERT</x:v>
      </x:c>
      <x:c r="M1021" s="36" t="str">
        <x:v>ERSETZEN</x:v>
      </x:c>
      <x:c r="N1021" s="36" t="str">
        <x:v>BESTAND_NOCH_NICHT_GEPRÜFT</x:v>
      </x:c>
      <x:c r="O1021" s="36" t="str">
        <x:v>DIDAKTISCHE_NEUFASSUNG</x:v>
      </x:c>
      <x:c r="P1021" s="36" t="str">
        <x:v>VERANTWORTUNG</x:v>
      </x:c>
      <x:c r="Q1021" s="36" t="str">
        <x:v>Was bietet Paulus an, falls Onesimus Philemon geschädigt hat oder ihm etwas schuldet?</x:v>
      </x:c>
      <x:c r="R1021" s="36" t="str">
        <x:v>Philemon soll es Paulus anrechnen; Paulus erklärt sich bereit, dafür einzustehen.</x:v>
      </x:c>
      <x:c r="S1021" s="36" t="str">
        <x:v>Philemon soll die Schuld ignorieren und niemand übernimmt Verantwortung.</x:v>
      </x:c>
      <x:c r="T1021" s="36" t="str">
        <x:v>Onesimus soll ohne jede Vermittlung verurteilt werden.</x:v>
      </x:c>
      <x:c r="U1021" s="36" t="str">
        <x:v>Die Gemeinde soll die Schuld unter allen Mitgliedern aufteilen.</x:v>
      </x:c>
      <x:c r="V1021" s="36" t="n">
        <x:v>0</x:v>
      </x:c>
      <x:c r="W1021" s="36" t="str">
        <x:v>Philemon soll es Paulus anrechnen; Paulus erklärt sich bereit, dafür einzustehen.</x:v>
      </x:c>
      <x:c r="X1021" s="36" t="str">
        <x:v>Philemon 18–21</x:v>
      </x:c>
      <x:c r="Y1021" s="36" t="str">
        <x:v>Paulus verbindet Versöhnung mit konkreter Verantwortungsübernahme. Zugleich vertraut er darauf, dass Philemon freiwillig sogar mehr tun wird als er bittet.</x:v>
      </x:c>
      <x:c r="Z1021" s="36" t="str">
        <x:v>JA</x:v>
      </x:c>
      <x:c r="AA1021" s="36" t="str">
        <x:v>JA</x:v>
      </x:c>
      <x:c r="AB1021" s="36" t="str">
        <x:v>JA</x:v>
      </x:c>
      <x:c r="AC1021" s="36" t="str">
        <x:v>JA</x:v>
      </x:c>
      <x:c r="AD1021" s="36" t="str">
        <x:v>JA</x:v>
      </x:c>
      <x:c r="AE1021" s="36" t="str">
        <x:v>JA</x:v>
      </x:c>
      <x:c r="AF1021" s="36" t="str">
        <x:v>JA</x:v>
      </x:c>
      <x:c r="AG1021" s="36" t="str">
        <x:v>FREIGEGEBEN</x:v>
      </x:c>
      <x:c r="AH1021" s="36" t="str">
        <x:v>GPT-5.6 Sol · Sammelprüfung · L1912/OTB</x:v>
      </x:c>
      <x:c r="AI1021" s="36" t="str">
        <x:v>FREIGEGEBEN</x:v>
      </x:c>
      <x:c r="AJ1021" s="36" t="str">
        <x:v>Philemon 1: als neue, textnahe VERANTWORTUNG-Frage redaktionell freigegeben.</x:v>
      </x:c>
      <x:c r="AK1021" s="36" t="str">
        <x:v>FaithPath repo develop/v4 · data/bibles/l1912/PHM.json · data/bibles/otb/PHM.json</x:v>
      </x:c>
      <x:c r="AL1021" t="str">
        <x:v>JA</x:v>
      </x:c>
    </x:row>
    <x:row r="1022">
      <x:c r="A1022" t="str">
        <x:v>FP-1281</x:v>
      </x:c>
      <x:c r="B1022" t="str">
        <x:v>HEB</x:v>
      </x:c>
      <x:c r="C1022" t="str">
        <x:v>Hebräer</x:v>
      </x:c>
      <x:c r="D1022" t="n">
        <x:v>1</x:v>
      </x:c>
      <x:c r="E1022" t="n">
        <x:v>1</x:v>
      </x:c>
      <x:c r="F1022" t="str">
        <x:v>HEB-001</x:v>
      </x:c>
      <x:c r="G1022" t="n">
        <x:v>205</x:v>
      </x:c>
      <x:c r="H1022" t="str">
        <x:v>CQ-A19</x:v>
      </x:c>
      <x:c r="I1022" s="36" t="str">
        <x:v>Bestandsfrage: exakter Wortlaut in diesem Arbeitsschritt nicht rekonstruiert.</x:v>
      </x:c>
      <x:c r="J1022" s="36"/>
      <x:c r="K1022" s="36"/>
      <x:c r="L1022" s="36" t="str">
        <x:v>MASTER_STATUS_VERIFIZIERT</x:v>
      </x:c>
      <x:c r="M1022" s="36" t="str">
        <x:v>ERSETZEN</x:v>
      </x:c>
      <x:c r="N1022" s="36" t="str">
        <x:v>BESTAND_NOCH_NICHT_GEPRÜFT</x:v>
      </x:c>
      <x:c r="O1022" s="36" t="str">
        <x:v>DIDAKTISCHE_NEUFASSUNG</x:v>
      </x:c>
      <x:c r="P1022" s="36" t="str">
        <x:v>OFFENBARUNG</x:v>
      </x:c>
      <x:c r="Q1022" s="36" t="str">
        <x:v>Wie beschreibt Hebräer 1 den Unterschied zwischen Gottes früherem und seinem jetzigen Reden?</x:v>
      </x:c>
      <x:c r="R1022" s="36" t="str">
        <x:v>Früher redete Gott auf vielfältige Weise durch die Propheten; in diesen letzten Tagen hat er durch den Sohn geredet.</x:v>
      </x:c>
      <x:c r="S1022" s="36" t="str">
        <x:v>Gott redete früher nur durch Engel und heute nur durch Träume.</x:v>
      </x:c>
      <x:c r="T1022" s="36" t="str">
        <x:v>Früher redete Gott direkt zu allen Menschen; heute nur noch zu Priestern.</x:v>
      </x:c>
      <x:c r="U1022" s="36" t="str">
        <x:v>Gottes Reden hat sich überhaupt nicht verändert.</x:v>
      </x:c>
      <x:c r="V1022" s="36" t="n">
        <x:v>0</x:v>
      </x:c>
      <x:c r="W1022" s="36" t="str">
        <x:v>Früher redete Gott auf vielfältige Weise durch die Propheten; in diesen letzten Tagen hat er durch den Sohn geredet.</x:v>
      </x:c>
      <x:c r="X1022" s="36" t="str">
        <x:v>Hebräer 1,1–2</x:v>
      </x:c>
      <x:c r="Y1022" s="36" t="str">
        <x:v>Der Brief beginnt mit einer heilsgeschichtlichen Steigerung: Auf das vielfältige Reden durch die Propheten folgt Gottes Reden durch den Sohn.</x:v>
      </x:c>
      <x:c r="Z1022" s="36" t="str">
        <x:v>JA</x:v>
      </x:c>
      <x:c r="AA1022" s="36" t="str">
        <x:v>JA</x:v>
      </x:c>
      <x:c r="AB1022" s="36" t="str">
        <x:v>JA</x:v>
      </x:c>
      <x:c r="AC1022" s="36" t="str">
        <x:v>JA</x:v>
      </x:c>
      <x:c r="AD1022" s="36" t="str">
        <x:v>JA</x:v>
      </x:c>
      <x:c r="AE1022" s="36" t="str">
        <x:v>JA</x:v>
      </x:c>
      <x:c r="AF1022" s="36" t="str">
        <x:v>JA</x:v>
      </x:c>
      <x:c r="AG1022" s="36" t="str">
        <x:v>FREIGEGEBEN</x:v>
      </x:c>
      <x:c r="AH1022" s="36" t="str">
        <x:v>GPT-5.6 Sol · Buchprüfung Hebräer · L1912/OTB</x:v>
      </x:c>
      <x:c r="AI1022" s="36" t="str">
        <x:v>FREIGEGEBEN</x:v>
      </x:c>
      <x:c r="AJ1022" s="36" t="str">
        <x:v>Hebräer 1: neue textnahe OFFENBARUNG-Frage redaktionell freigegeben.</x:v>
      </x:c>
      <x:c r="AK1022" s="36" t="str">
        <x:v>FaithPath repo develop/v4 · data/bibles/l1912/HEB.json · data/bibles/otb/HEB.json</x:v>
      </x:c>
      <x:c r="AL1022" t="str">
        <x:v>JA</x:v>
      </x:c>
    </x:row>
    <x:row r="1023">
      <x:c r="A1023" t="str">
        <x:v>FP-1282</x:v>
      </x:c>
      <x:c r="B1023" t="str">
        <x:v>HEB</x:v>
      </x:c>
      <x:c r="C1023" t="str">
        <x:v>Hebräer</x:v>
      </x:c>
      <x:c r="D1023" t="n">
        <x:v>1</x:v>
      </x:c>
      <x:c r="E1023" t="n">
        <x:v>2</x:v>
      </x:c>
      <x:c r="F1023" t="str">
        <x:v>HEB-001</x:v>
      </x:c>
      <x:c r="G1023" t="n">
        <x:v>205</x:v>
      </x:c>
      <x:c r="H1023" t="str">
        <x:v>CQ-A19</x:v>
      </x:c>
      <x:c r="I1023" s="36" t="str">
        <x:v>Bestandsfrage: exakter Wortlaut in diesem Arbeitsschritt nicht rekonstruiert.</x:v>
      </x:c>
      <x:c r="J1023" s="36"/>
      <x:c r="K1023" s="36"/>
      <x:c r="L1023" s="36" t="str">
        <x:v>MASTER_STATUS_VERIFIZIERT</x:v>
      </x:c>
      <x:c r="M1023" s="36" t="str">
        <x:v>ERSETZEN</x:v>
      </x:c>
      <x:c r="N1023" s="36" t="str">
        <x:v>BESTAND_NOCH_NICHT_GEPRÜFT</x:v>
      </x:c>
      <x:c r="O1023" s="36" t="str">
        <x:v>DIDAKTISCHE_NEUFASSUNG</x:v>
      </x:c>
      <x:c r="P1023" s="36" t="str">
        <x:v>CHRISTOLOGIE</x:v>
      </x:c>
      <x:c r="Q1023" s="36" t="str">
        <x:v>Welche Aussage macht Hebräer 1 über die Stellung des Sohnes zur Schöpfung?</x:v>
      </x:c>
      <x:c r="R1023" s="36" t="str">
        <x:v>Der Sohn ist erst nach der Schöpfung in Gottes Plan aufgenommen worden.</x:v>
      </x:c>
      <x:c r="S1023" s="36" t="str">
        <x:v>Durch ihn hat Gott die Welt geschaffen, und er trägt alle Dinge durch sein mächtiges Wort.</x:v>
      </x:c>
      <x:c r="T1023" s="36" t="str">
        <x:v>Der Sohn wirkt nur innerhalb der Gemeinde, nicht in Bezug auf die Schöpfung.</x:v>
      </x:c>
      <x:c r="U1023" s="36" t="str">
        <x:v>Die Schöpfung besteht unabhängig von ihm.</x:v>
      </x:c>
      <x:c r="V1023" s="36" t="n">
        <x:v>1</x:v>
      </x:c>
      <x:c r="W1023" s="36" t="str">
        <x:v>Durch ihn hat Gott die Welt geschaffen, und er trägt alle Dinge durch sein mächtiges Wort.</x:v>
      </x:c>
      <x:c r="X1023" s="36" t="str">
        <x:v>Hebräer 1,2–3</x:v>
      </x:c>
      <x:c r="Y1023" s="36" t="str">
        <x:v>Der Sohn wird als Schöpfungsmittler und Erhalter beschrieben. Das unterstreicht seine einzigartige Stellung.</x:v>
      </x:c>
      <x:c r="Z1023" s="36" t="str">
        <x:v>JA</x:v>
      </x:c>
      <x:c r="AA1023" s="36" t="str">
        <x:v>JA</x:v>
      </x:c>
      <x:c r="AB1023" s="36" t="str">
        <x:v>JA</x:v>
      </x:c>
      <x:c r="AC1023" s="36" t="str">
        <x:v>JA</x:v>
      </x:c>
      <x:c r="AD1023" s="36" t="str">
        <x:v>JA</x:v>
      </x:c>
      <x:c r="AE1023" s="36" t="str">
        <x:v>JA</x:v>
      </x:c>
      <x:c r="AF1023" s="36" t="str">
        <x:v>JA</x:v>
      </x:c>
      <x:c r="AG1023" s="36" t="str">
        <x:v>FREIGEGEBEN</x:v>
      </x:c>
      <x:c r="AH1023" s="36" t="str">
        <x:v>GPT-5.6 Sol · Buchprüfung Hebräer · L1912/OTB</x:v>
      </x:c>
      <x:c r="AI1023" s="36" t="str">
        <x:v>FREIGEGEBEN</x:v>
      </x:c>
      <x:c r="AJ1023" s="36" t="str">
        <x:v>Hebräer 1: neue textnahe CHRISTOLOGIE-Frage redaktionell freigegeben.</x:v>
      </x:c>
      <x:c r="AK1023" s="36" t="str">
        <x:v>FaithPath repo develop/v4 · data/bibles/l1912/HEB.json · data/bibles/otb/HEB.json</x:v>
      </x:c>
      <x:c r="AL1023" t="str">
        <x:v>JA</x:v>
      </x:c>
    </x:row>
    <x:row r="1024">
      <x:c r="A1024" t="str">
        <x:v>FP-1283</x:v>
      </x:c>
      <x:c r="B1024" t="str">
        <x:v>HEB</x:v>
      </x:c>
      <x:c r="C1024" t="str">
        <x:v>Hebräer</x:v>
      </x:c>
      <x:c r="D1024" t="n">
        <x:v>1</x:v>
      </x:c>
      <x:c r="E1024" t="n">
        <x:v>3</x:v>
      </x:c>
      <x:c r="F1024" t="str">
        <x:v>HEB-001</x:v>
      </x:c>
      <x:c r="G1024" t="n">
        <x:v>205</x:v>
      </x:c>
      <x:c r="H1024" t="str">
        <x:v>CQ-A19</x:v>
      </x:c>
      <x:c r="I1024" s="36" t="str">
        <x:v>Bestandsfrage: exakter Wortlaut in diesem Arbeitsschritt nicht rekonstruiert.</x:v>
      </x:c>
      <x:c r="J1024" s="36"/>
      <x:c r="K1024" s="36"/>
      <x:c r="L1024" s="36" t="str">
        <x:v>MASTER_STATUS_VERIFIZIERT</x:v>
      </x:c>
      <x:c r="M1024" s="36" t="str">
        <x:v>ERSETZEN</x:v>
      </x:c>
      <x:c r="N1024" s="36" t="str">
        <x:v>BESTAND_NOCH_NICHT_GEPRÜFT</x:v>
      </x:c>
      <x:c r="O1024" s="36" t="str">
        <x:v>DIDAKTISCHE_NEUFASSUNG</x:v>
      </x:c>
      <x:c r="P1024" s="36" t="str">
        <x:v>ERLÖSUNG</x:v>
      </x:c>
      <x:c r="Q1024" s="36" t="str">
        <x:v>Was tat der Sohn nach der Reinigung von den Sünden?</x:v>
      </x:c>
      <x:c r="R1024" s="36" t="str">
        <x:v>Er zog sich aus Gottes Gegenwart zurück.</x:v>
      </x:c>
      <x:c r="S1024" s="36" t="str">
        <x:v>Er übergab seine Aufgabe vollständig den Engeln.</x:v>
      </x:c>
      <x:c r="T1024" s="36" t="str">
        <x:v>Er setzte sich zur Rechten der Majestät in der Höhe.</x:v>
      </x:c>
      <x:c r="U1024" s="36" t="str">
        <x:v>Er begann erst dann, die Schöpfung zu tragen.</x:v>
      </x:c>
      <x:c r="V1024" s="36" t="n">
        <x:v>2</x:v>
      </x:c>
      <x:c r="W1024" s="36" t="str">
        <x:v>Er setzte sich zur Rechten der Majestät in der Höhe.</x:v>
      </x:c>
      <x:c r="X1024" s="36" t="str">
        <x:v>Hebräer 1,3</x:v>
      </x:c>
      <x:c r="Y1024" s="36" t="str">
        <x:v>Die vollbrachte Reinigung der Sünden wird mit der Erhöhung des Sohnes zur Rechten Gottes verbunden.</x:v>
      </x:c>
      <x:c r="Z1024" s="36" t="str">
        <x:v>JA</x:v>
      </x:c>
      <x:c r="AA1024" s="36" t="str">
        <x:v>JA</x:v>
      </x:c>
      <x:c r="AB1024" s="36" t="str">
        <x:v>JA</x:v>
      </x:c>
      <x:c r="AC1024" s="36" t="str">
        <x:v>JA</x:v>
      </x:c>
      <x:c r="AD1024" s="36" t="str">
        <x:v>JA</x:v>
      </x:c>
      <x:c r="AE1024" s="36" t="str">
        <x:v>JA</x:v>
      </x:c>
      <x:c r="AF1024" s="36" t="str">
        <x:v>JA</x:v>
      </x:c>
      <x:c r="AG1024" s="36" t="str">
        <x:v>FREIGEGEBEN</x:v>
      </x:c>
      <x:c r="AH1024" s="36" t="str">
        <x:v>GPT-5.6 Sol · Buchprüfung Hebräer · L1912/OTB</x:v>
      </x:c>
      <x:c r="AI1024" s="36" t="str">
        <x:v>FREIGEGEBEN</x:v>
      </x:c>
      <x:c r="AJ1024" s="36" t="str">
        <x:v>Hebräer 1: neue textnahe ERLÖSUNG-Frage redaktionell freigegeben.</x:v>
      </x:c>
      <x:c r="AK1024" s="36" t="str">
        <x:v>FaithPath repo develop/v4 · data/bibles/l1912/HEB.json · data/bibles/otb/HEB.json</x:v>
      </x:c>
      <x:c r="AL1024" t="str">
        <x:v>JA</x:v>
      </x:c>
    </x:row>
    <x:row r="1025">
      <x:c r="A1025" t="str">
        <x:v>FP-1284</x:v>
      </x:c>
      <x:c r="B1025" t="str">
        <x:v>HEB</x:v>
      </x:c>
      <x:c r="C1025" t="str">
        <x:v>Hebräer</x:v>
      </x:c>
      <x:c r="D1025" t="n">
        <x:v>1</x:v>
      </x:c>
      <x:c r="E1025" t="n">
        <x:v>4</x:v>
      </x:c>
      <x:c r="F1025" t="str">
        <x:v>HEB-001</x:v>
      </x:c>
      <x:c r="G1025" t="n">
        <x:v>205</x:v>
      </x:c>
      <x:c r="H1025" t="str">
        <x:v>CQ-A19</x:v>
      </x:c>
      <x:c r="I1025" s="36" t="str">
        <x:v>Bestandsfrage: exakter Wortlaut in diesem Arbeitsschritt nicht rekonstruiert.</x:v>
      </x:c>
      <x:c r="J1025" s="36"/>
      <x:c r="K1025" s="36"/>
      <x:c r="L1025" s="36" t="str">
        <x:v>MASTER_STATUS_VERIFIZIERT</x:v>
      </x:c>
      <x:c r="M1025" s="36" t="str">
        <x:v>ERSETZEN</x:v>
      </x:c>
      <x:c r="N1025" s="36" t="str">
        <x:v>BESTAND_NOCH_NICHT_GEPRÜFT</x:v>
      </x:c>
      <x:c r="O1025" s="36" t="str">
        <x:v>DIDAKTISCHE_NEUFASSUNG</x:v>
      </x:c>
      <x:c r="P1025" s="36" t="str">
        <x:v>VERGLEICH</x:v>
      </x:c>
      <x:c r="Q1025" s="36" t="str">
        <x:v>Warum wird der Sohn in Hebräer 1 über die Engel gestellt?</x:v>
      </x:c>
      <x:c r="R1025" s="36" t="str">
        <x:v>Weil Engel grundsätzlich böse Wesen seien.</x:v>
      </x:c>
      <x:c r="S1025" s="36" t="str">
        <x:v>Weil der Sohn selbst nur der höchste Engel sei.</x:v>
      </x:c>
      <x:c r="T1025" s="36" t="str">
        <x:v>Weil Engel keine Aufgabe im Dienst Gottes hätten.</x:v>
      </x:c>
      <x:c r="U1025" s="36" t="str">
        <x:v>Er besitzt einen höheren Namen und wird als Sohn, Herr und ewiger König beschrieben.</x:v>
      </x:c>
      <x:c r="V1025" s="36" t="n">
        <x:v>3</x:v>
      </x:c>
      <x:c r="W1025" s="36" t="str">
        <x:v>Er besitzt einen höheren Namen und wird als Sohn, Herr und ewiger König beschrieben.</x:v>
      </x:c>
      <x:c r="X1025" s="36" t="str">
        <x:v>Hebräer 1,4–13</x:v>
      </x:c>
      <x:c r="Y1025" s="36" t="str">
        <x:v>Mehrere Schriftzitate unterscheiden den Sohn deutlich von den Engeln und weisen ihm eine einzigartige, königliche Stellung zu.</x:v>
      </x:c>
      <x:c r="Z1025" s="36" t="str">
        <x:v>JA</x:v>
      </x:c>
      <x:c r="AA1025" s="36" t="str">
        <x:v>JA</x:v>
      </x:c>
      <x:c r="AB1025" s="36" t="str">
        <x:v>JA</x:v>
      </x:c>
      <x:c r="AC1025" s="36" t="str">
        <x:v>JA</x:v>
      </x:c>
      <x:c r="AD1025" s="36" t="str">
        <x:v>JA</x:v>
      </x:c>
      <x:c r="AE1025" s="36" t="str">
        <x:v>JA</x:v>
      </x:c>
      <x:c r="AF1025" s="36" t="str">
        <x:v>JA</x:v>
      </x:c>
      <x:c r="AG1025" s="36" t="str">
        <x:v>FREIGEGEBEN</x:v>
      </x:c>
      <x:c r="AH1025" s="36" t="str">
        <x:v>GPT-5.6 Sol · Buchprüfung Hebräer · L1912/OTB</x:v>
      </x:c>
      <x:c r="AI1025" s="36" t="str">
        <x:v>FREIGEGEBEN</x:v>
      </x:c>
      <x:c r="AJ1025" s="36" t="str">
        <x:v>Hebräer 1: neue textnahe VERGLEICH-Frage redaktionell freigegeben.</x:v>
      </x:c>
      <x:c r="AK1025" s="36" t="str">
        <x:v>FaithPath repo develop/v4 · data/bibles/l1912/HEB.json · data/bibles/otb/HEB.json</x:v>
      </x:c>
      <x:c r="AL1025" t="str">
        <x:v>JA</x:v>
      </x:c>
    </x:row>
    <x:row r="1026">
      <x:c r="A1026" t="str">
        <x:v>FP-1285</x:v>
      </x:c>
      <x:c r="B1026" t="str">
        <x:v>HEB</x:v>
      </x:c>
      <x:c r="C1026" t="str">
        <x:v>Hebräer</x:v>
      </x:c>
      <x:c r="D1026" t="n">
        <x:v>1</x:v>
      </x:c>
      <x:c r="E1026" t="n">
        <x:v>5</x:v>
      </x:c>
      <x:c r="F1026" t="str">
        <x:v>HEB-001</x:v>
      </x:c>
      <x:c r="G1026" t="n">
        <x:v>205</x:v>
      </x:c>
      <x:c r="H1026" t="str">
        <x:v>CQ-A19</x:v>
      </x:c>
      <x:c r="I1026" s="36" t="str">
        <x:v>Bestandsfrage: exakter Wortlaut in diesem Arbeitsschritt nicht rekonstruiert.</x:v>
      </x:c>
      <x:c r="J1026" s="36"/>
      <x:c r="K1026" s="36"/>
      <x:c r="L1026" s="36" t="str">
        <x:v>MASTER_STATUS_VERIFIZIERT</x:v>
      </x:c>
      <x:c r="M1026" s="36" t="str">
        <x:v>ERSETZEN</x:v>
      </x:c>
      <x:c r="N1026" s="36" t="str">
        <x:v>BESTAND_NOCH_NICHT_GEPRÜFT</x:v>
      </x:c>
      <x:c r="O1026" s="36" t="str">
        <x:v>DIDAKTISCHE_NEUFASSUNG</x:v>
      </x:c>
      <x:c r="P1026" s="36" t="str">
        <x:v>ENGEL</x:v>
      </x:c>
      <x:c r="Q1026" s="36" t="str">
        <x:v>Welche Rolle haben Engel am Ende von Hebräer 1?</x:v>
      </x:c>
      <x:c r="R1026" s="36" t="str">
        <x:v>Sie sind dienstbare Geister, ausgesandt zum Dienst für die, die das Heil erben sollen.</x:v>
      </x:c>
      <x:c r="S1026" s="36" t="str">
        <x:v>Sie regieren unabhängig von Gott über die Gemeinde.</x:v>
      </x:c>
      <x:c r="T1026" s="36" t="str">
        <x:v>Sie vermitteln anstelle des Sohnes die endgültige Rettung.</x:v>
      </x:c>
      <x:c r="U1026" s="36" t="str">
        <x:v>Sie sollen selbst angebetet werden.</x:v>
      </x:c>
      <x:c r="V1026" s="36" t="n">
        <x:v>0</x:v>
      </x:c>
      <x:c r="W1026" s="36" t="str">
        <x:v>Sie sind dienstbare Geister, ausgesandt zum Dienst für die, die das Heil erben sollen.</x:v>
      </x:c>
      <x:c r="X1026" s="36" t="str">
        <x:v>Hebräer 1,14</x:v>
      </x:c>
      <x:c r="Y1026" s="36" t="str">
        <x:v>Engel haben eine echte, aber dienende Rolle. Der Sohn steht über ihnen.</x:v>
      </x:c>
      <x:c r="Z1026" s="36" t="str">
        <x:v>JA</x:v>
      </x:c>
      <x:c r="AA1026" s="36" t="str">
        <x:v>JA</x:v>
      </x:c>
      <x:c r="AB1026" s="36" t="str">
        <x:v>JA</x:v>
      </x:c>
      <x:c r="AC1026" s="36" t="str">
        <x:v>JA</x:v>
      </x:c>
      <x:c r="AD1026" s="36" t="str">
        <x:v>JA</x:v>
      </x:c>
      <x:c r="AE1026" s="36" t="str">
        <x:v>JA</x:v>
      </x:c>
      <x:c r="AF1026" s="36" t="str">
        <x:v>JA</x:v>
      </x:c>
      <x:c r="AG1026" s="36" t="str">
        <x:v>FREIGEGEBEN</x:v>
      </x:c>
      <x:c r="AH1026" s="36" t="str">
        <x:v>GPT-5.6 Sol · Buchprüfung Hebräer · L1912/OTB</x:v>
      </x:c>
      <x:c r="AI1026" s="36" t="str">
        <x:v>FREIGEGEBEN</x:v>
      </x:c>
      <x:c r="AJ1026" s="36" t="str">
        <x:v>Hebräer 1: neue textnahe ENGEL-Frage redaktionell freigegeben.</x:v>
      </x:c>
      <x:c r="AK1026" s="36" t="str">
        <x:v>FaithPath repo develop/v4 · data/bibles/l1912/HEB.json · data/bibles/otb/HEB.json</x:v>
      </x:c>
      <x:c r="AL1026" t="str">
        <x:v>JA</x:v>
      </x:c>
    </x:row>
    <x:row r="1027">
      <x:c r="A1027" t="str">
        <x:v>FP-1286</x:v>
      </x:c>
      <x:c r="B1027" t="str">
        <x:v>HEB</x:v>
      </x:c>
      <x:c r="C1027" t="str">
        <x:v>Hebräer</x:v>
      </x:c>
      <x:c r="D1027" t="n">
        <x:v>2</x:v>
      </x:c>
      <x:c r="E1027" t="n">
        <x:v>1</x:v>
      </x:c>
      <x:c r="F1027" t="str">
        <x:v>HEB-002</x:v>
      </x:c>
      <x:c r="G1027" t="n">
        <x:v>206</x:v>
      </x:c>
      <x:c r="H1027" t="str">
        <x:v>CQ-A19</x:v>
      </x:c>
      <x:c r="I1027" s="36" t="str">
        <x:v>Bestandsfrage: exakter Wortlaut in diesem Arbeitsschritt nicht rekonstruiert.</x:v>
      </x:c>
      <x:c r="J1027" s="36"/>
      <x:c r="K1027" s="36"/>
      <x:c r="L1027" s="36" t="str">
        <x:v>MASTER_STATUS_VERIFIZIERT</x:v>
      </x:c>
      <x:c r="M1027" s="36" t="str">
        <x:v>ERSETZEN</x:v>
      </x:c>
      <x:c r="N1027" s="36" t="str">
        <x:v>BESTAND_NOCH_NICHT_GEPRÜFT</x:v>
      </x:c>
      <x:c r="O1027" s="36" t="str">
        <x:v>DIDAKTISCHE_NEUFASSUNG</x:v>
      </x:c>
      <x:c r="P1027" s="36" t="str">
        <x:v>WARNUNG</x:v>
      </x:c>
      <x:c r="Q1027" s="36" t="str">
        <x:v>Warum sollen die Glaubenden besonders aufmerksam auf das Gehörte achten?</x:v>
      </x:c>
      <x:c r="R1027" s="36" t="str">
        <x:v>Damit sie jedes neue religiöse Gerücht übernehmen.</x:v>
      </x:c>
      <x:c r="S1027" s="36" t="str">
        <x:v>Damit sie nicht davon abdriften und eine so große Rettung vernachlässigen.</x:v>
      </x:c>
      <x:c r="T1027" s="36" t="str">
        <x:v>Damit sie sich ausschließlich mit Engeln beschäftigen.</x:v>
      </x:c>
      <x:c r="U1027" s="36" t="str">
        <x:v>Damit sie keine Fragen mehr stellen.</x:v>
      </x:c>
      <x:c r="V1027" s="36" t="n">
        <x:v>1</x:v>
      </x:c>
      <x:c r="W1027" s="36" t="str">
        <x:v>Damit sie nicht davon abdriften und eine so große Rettung vernachlässigen.</x:v>
      </x:c>
      <x:c r="X1027" s="36" t="str">
        <x:v>Hebräer 2,1–4</x:v>
      </x:c>
      <x:c r="Y1027" s="36" t="str">
        <x:v>Die Größe der durch den Herrn verkündeten und von Gott bestätigten Rettung macht Gleichgültigkeit besonders ernst.</x:v>
      </x:c>
      <x:c r="Z1027" s="36" t="str">
        <x:v>JA</x:v>
      </x:c>
      <x:c r="AA1027" s="36" t="str">
        <x:v>JA</x:v>
      </x:c>
      <x:c r="AB1027" s="36" t="str">
        <x:v>JA</x:v>
      </x:c>
      <x:c r="AC1027" s="36" t="str">
        <x:v>JA</x:v>
      </x:c>
      <x:c r="AD1027" s="36" t="str">
        <x:v>JA</x:v>
      </x:c>
      <x:c r="AE1027" s="36" t="str">
        <x:v>JA</x:v>
      </x:c>
      <x:c r="AF1027" s="36" t="str">
        <x:v>JA</x:v>
      </x:c>
      <x:c r="AG1027" s="36" t="str">
        <x:v>FREIGEGEBEN</x:v>
      </x:c>
      <x:c r="AH1027" s="36" t="str">
        <x:v>GPT-5.6 Sol · Buchprüfung Hebräer · L1912/OTB</x:v>
      </x:c>
      <x:c r="AI1027" s="36" t="str">
        <x:v>FREIGEGEBEN</x:v>
      </x:c>
      <x:c r="AJ1027" s="36" t="str">
        <x:v>Hebräer 2: neue textnahe WARNUNG-Frage redaktionell freigegeben.</x:v>
      </x:c>
      <x:c r="AK1027" s="36" t="str">
        <x:v>FaithPath repo develop/v4 · data/bibles/l1912/HEB.json · data/bibles/otb/HEB.json</x:v>
      </x:c>
      <x:c r="AL1027" t="str">
        <x:v>JA</x:v>
      </x:c>
    </x:row>
    <x:row r="1028">
      <x:c r="A1028" t="str">
        <x:v>FP-1287</x:v>
      </x:c>
      <x:c r="B1028" t="str">
        <x:v>HEB</x:v>
      </x:c>
      <x:c r="C1028" t="str">
        <x:v>Hebräer</x:v>
      </x:c>
      <x:c r="D1028" t="n">
        <x:v>2</x:v>
      </x:c>
      <x:c r="E1028" t="n">
        <x:v>2</x:v>
      </x:c>
      <x:c r="F1028" t="str">
        <x:v>HEB-002</x:v>
      </x:c>
      <x:c r="G1028" t="n">
        <x:v>206</x:v>
      </x:c>
      <x:c r="H1028" t="str">
        <x:v>CQ-A19</x:v>
      </x:c>
      <x:c r="I1028" s="36" t="str">
        <x:v>Bestandsfrage: exakter Wortlaut in diesem Arbeitsschritt nicht rekonstruiert.</x:v>
      </x:c>
      <x:c r="J1028" s="36"/>
      <x:c r="K1028" s="36"/>
      <x:c r="L1028" s="36" t="str">
        <x:v>MASTER_STATUS_VERIFIZIERT</x:v>
      </x:c>
      <x:c r="M1028" s="36" t="str">
        <x:v>ERSETZEN</x:v>
      </x:c>
      <x:c r="N1028" s="36" t="str">
        <x:v>BESTAND_NOCH_NICHT_GEPRÜFT</x:v>
      </x:c>
      <x:c r="O1028" s="36" t="str">
        <x:v>DIDAKTISCHE_NEUFASSUNG</x:v>
      </x:c>
      <x:c r="P1028" s="36" t="str">
        <x:v>JESUS</x:v>
      </x:c>
      <x:c r="Q1028" s="36" t="str">
        <x:v>Warum wurde Jesus für kurze Zeit niedriger als die Engel?</x:v>
      </x:c>
      <x:c r="R1028" s="36" t="str">
        <x:v>Damit er dauerhaft unter den Engeln bleibe.</x:v>
      </x:c>
      <x:c r="S1028" s="36" t="str">
        <x:v>Damit er seine göttliche Sendung aufgebe.</x:v>
      </x:c>
      <x:c r="T1028" s="36" t="str">
        <x:v>Damit er durch Gottes Gnade für alle den Tod schmecke und durch sein Leiden mit Herrlichkeit gekrönt werde.</x:v>
      </x:c>
      <x:c r="U1028" s="36" t="str">
        <x:v>Damit Engel statt seiner die Menschheit retten.</x:v>
      </x:c>
      <x:c r="V1028" s="36" t="n">
        <x:v>2</x:v>
      </x:c>
      <x:c r="W1028" s="36" t="str">
        <x:v>Damit er durch Gottes Gnade für alle den Tod schmecke und durch sein Leiden mit Herrlichkeit gekrönt werde.</x:v>
      </x:c>
      <x:c r="X1028" s="36" t="str">
        <x:v>Hebräer 2,7–9</x:v>
      </x:c>
      <x:c r="Y1028" s="36" t="str">
        <x:v>Die Erniedrigung Jesu wird mit seinem Tod verbunden, seine Erhöhung mit dem vollbrachten Leiden.</x:v>
      </x:c>
      <x:c r="Z1028" s="36" t="str">
        <x:v>JA</x:v>
      </x:c>
      <x:c r="AA1028" s="36" t="str">
        <x:v>JA</x:v>
      </x:c>
      <x:c r="AB1028" s="36" t="str">
        <x:v>JA</x:v>
      </x:c>
      <x:c r="AC1028" s="36" t="str">
        <x:v>JA</x:v>
      </x:c>
      <x:c r="AD1028" s="36" t="str">
        <x:v>JA</x:v>
      </x:c>
      <x:c r="AE1028" s="36" t="str">
        <x:v>JA</x:v>
      </x:c>
      <x:c r="AF1028" s="36" t="str">
        <x:v>JA</x:v>
      </x:c>
      <x:c r="AG1028" s="36" t="str">
        <x:v>FREIGEGEBEN</x:v>
      </x:c>
      <x:c r="AH1028" s="36" t="str">
        <x:v>GPT-5.6 Sol · Buchprüfung Hebräer · L1912/OTB</x:v>
      </x:c>
      <x:c r="AI1028" s="36" t="str">
        <x:v>FREIGEGEBEN</x:v>
      </x:c>
      <x:c r="AJ1028" s="36" t="str">
        <x:v>Hebräer 2: neue textnahe JESUS-Frage redaktionell freigegeben.</x:v>
      </x:c>
      <x:c r="AK1028" s="36" t="str">
        <x:v>FaithPath repo develop/v4 · data/bibles/l1912/HEB.json · data/bibles/otb/HEB.json</x:v>
      </x:c>
      <x:c r="AL1028" t="str">
        <x:v>JA</x:v>
      </x:c>
    </x:row>
    <x:row r="1029">
      <x:c r="A1029" t="str">
        <x:v>FP-1288</x:v>
      </x:c>
      <x:c r="B1029" t="str">
        <x:v>HEB</x:v>
      </x:c>
      <x:c r="C1029" t="str">
        <x:v>Hebräer</x:v>
      </x:c>
      <x:c r="D1029" t="n">
        <x:v>2</x:v>
      </x:c>
      <x:c r="E1029" t="n">
        <x:v>3</x:v>
      </x:c>
      <x:c r="F1029" t="str">
        <x:v>HEB-002</x:v>
      </x:c>
      <x:c r="G1029" t="n">
        <x:v>206</x:v>
      </x:c>
      <x:c r="H1029" t="str">
        <x:v>CQ-A19</x:v>
      </x:c>
      <x:c r="I1029" s="36" t="str">
        <x:v>Bestandsfrage: exakter Wortlaut in diesem Arbeitsschritt nicht rekonstruiert.</x:v>
      </x:c>
      <x:c r="J1029" s="36"/>
      <x:c r="K1029" s="36"/>
      <x:c r="L1029" s="36" t="str">
        <x:v>MASTER_STATUS_VERIFIZIERT</x:v>
      </x:c>
      <x:c r="M1029" s="36" t="str">
        <x:v>ERSETZEN</x:v>
      </x:c>
      <x:c r="N1029" s="36" t="str">
        <x:v>BESTAND_NOCH_NICHT_GEPRÜFT</x:v>
      </x:c>
      <x:c r="O1029" s="36" t="str">
        <x:v>DIDAKTISCHE_NEUFASSUNG</x:v>
      </x:c>
      <x:c r="P1029" s="36" t="str">
        <x:v>MENSCHWERDUNG</x:v>
      </x:c>
      <x:c r="Q1029" s="36" t="str">
        <x:v>Warum nahm Jesus nach Hebräer 2 an Fleisch und Blut teil?</x:v>
      </x:c>
      <x:c r="R1029" s="36" t="str">
        <x:v>Um selbst dauerhaft der Todesfurcht unterworfen zu bleiben.</x:v>
      </x:c>
      <x:c r="S1029" s="36" t="str">
        <x:v>Um die menschliche Natur grundsätzlich abzulehnen.</x:v>
      </x:c>
      <x:c r="T1029" s="36" t="str">
        <x:v>Um lediglich ein moralisches Beispiel ohne Erlösungsbedeutung zu geben.</x:v>
      </x:c>
      <x:c r="U1029" s="36" t="str">
        <x:v>Um durch den Tod die Macht des Todes zu brechen und Menschen aus der Knechtschaft der Todesfurcht zu befreien.</x:v>
      </x:c>
      <x:c r="V1029" s="36" t="n">
        <x:v>3</x:v>
      </x:c>
      <x:c r="W1029" s="36" t="str">
        <x:v>Um durch den Tod die Macht des Todes zu brechen und Menschen aus der Knechtschaft der Todesfurcht zu befreien.</x:v>
      </x:c>
      <x:c r="X1029" s="36" t="str">
        <x:v>Hebräer 2,14–15</x:v>
      </x:c>
      <x:c r="Y1029" s="36" t="str">
        <x:v>Jesu wirkliche Teilhabe am Menschsein steht im Dienst von Sieg, Befreiung und Erlösung.</x:v>
      </x:c>
      <x:c r="Z1029" s="36" t="str">
        <x:v>JA</x:v>
      </x:c>
      <x:c r="AA1029" s="36" t="str">
        <x:v>JA</x:v>
      </x:c>
      <x:c r="AB1029" s="36" t="str">
        <x:v>JA</x:v>
      </x:c>
      <x:c r="AC1029" s="36" t="str">
        <x:v>JA</x:v>
      </x:c>
      <x:c r="AD1029" s="36" t="str">
        <x:v>JA</x:v>
      </x:c>
      <x:c r="AE1029" s="36" t="str">
        <x:v>JA</x:v>
      </x:c>
      <x:c r="AF1029" s="36" t="str">
        <x:v>JA</x:v>
      </x:c>
      <x:c r="AG1029" s="36" t="str">
        <x:v>FREIGEGEBEN</x:v>
      </x:c>
      <x:c r="AH1029" s="36" t="str">
        <x:v>GPT-5.6 Sol · Buchprüfung Hebräer · L1912/OTB</x:v>
      </x:c>
      <x:c r="AI1029" s="36" t="str">
        <x:v>FREIGEGEBEN</x:v>
      </x:c>
      <x:c r="AJ1029" s="36" t="str">
        <x:v>Hebräer 2: neue textnahe MENSCHWERDUNG-Frage redaktionell freigegeben.</x:v>
      </x:c>
      <x:c r="AK1029" s="36" t="str">
        <x:v>FaithPath repo develop/v4 · data/bibles/l1912/HEB.json · data/bibles/otb/HEB.json</x:v>
      </x:c>
      <x:c r="AL1029" t="str">
        <x:v>JA</x:v>
      </x:c>
    </x:row>
    <x:row r="1030">
      <x:c r="A1030" t="str">
        <x:v>FP-1289</x:v>
      </x:c>
      <x:c r="B1030" t="str">
        <x:v>HEB</x:v>
      </x:c>
      <x:c r="C1030" t="str">
        <x:v>Hebräer</x:v>
      </x:c>
      <x:c r="D1030" t="n">
        <x:v>2</x:v>
      </x:c>
      <x:c r="E1030" t="n">
        <x:v>4</x:v>
      </x:c>
      <x:c r="F1030" t="str">
        <x:v>HEB-002</x:v>
      </x:c>
      <x:c r="G1030" t="n">
        <x:v>206</x:v>
      </x:c>
      <x:c r="H1030" t="str">
        <x:v>CQ-A19</x:v>
      </x:c>
      <x:c r="I1030" s="36" t="str">
        <x:v>Bestandsfrage: exakter Wortlaut in diesem Arbeitsschritt nicht rekonstruiert.</x:v>
      </x:c>
      <x:c r="J1030" s="36"/>
      <x:c r="K1030" s="36"/>
      <x:c r="L1030" s="36" t="str">
        <x:v>MASTER_STATUS_VERIFIZIERT</x:v>
      </x:c>
      <x:c r="M1030" s="36" t="str">
        <x:v>ERSETZEN</x:v>
      </x:c>
      <x:c r="N1030" s="36" t="str">
        <x:v>BESTAND_NOCH_NICHT_GEPRÜFT</x:v>
      </x:c>
      <x:c r="O1030" s="36" t="str">
        <x:v>DIDAKTISCHE_NEUFASSUNG</x:v>
      </x:c>
      <x:c r="P1030" s="36" t="str">
        <x:v>HOHEPRIESTER</x:v>
      </x:c>
      <x:c r="Q1030" s="36" t="str">
        <x:v>Warum musste Jesus seinen Brüdern in allem gleich werden?</x:v>
      </x:c>
      <x:c r="R1030" s="36" t="str">
        <x:v>Damit er ein barmherziger und treuer Hohepriester werde und für die Sünden des Volkes Sühne schaffe.</x:v>
      </x:c>
      <x:c r="S1030" s="36" t="str">
        <x:v>Damit er selbst zuerst von Sünde gereinigt werden müsse.</x:v>
      </x:c>
      <x:c r="T1030" s="36" t="str">
        <x:v>Damit er das Priestertum Aarons unverändert fortsetze.</x:v>
      </x:c>
      <x:c r="U1030" s="36" t="str">
        <x:v>Damit er nur Menschen jüdischer Herkunft helfen könne.</x:v>
      </x:c>
      <x:c r="V1030" s="36" t="n">
        <x:v>0</x:v>
      </x:c>
      <x:c r="W1030" s="36" t="str">
        <x:v>Damit er ein barmherziger und treuer Hohepriester werde und für die Sünden des Volkes Sühne schaffe.</x:v>
      </x:c>
      <x:c r="X1030" s="36" t="str">
        <x:v>Hebräer 2,16–17</x:v>
      </x:c>
      <x:c r="Y1030" s="36" t="str">
        <x:v>Die Menschwerdung wird direkt mit Jesu priesterlichem Dienst und seiner Barmherzigkeit verbunden.</x:v>
      </x:c>
      <x:c r="Z1030" s="36" t="str">
        <x:v>JA</x:v>
      </x:c>
      <x:c r="AA1030" s="36" t="str">
        <x:v>JA</x:v>
      </x:c>
      <x:c r="AB1030" s="36" t="str">
        <x:v>JA</x:v>
      </x:c>
      <x:c r="AC1030" s="36" t="str">
        <x:v>JA</x:v>
      </x:c>
      <x:c r="AD1030" s="36" t="str">
        <x:v>JA</x:v>
      </x:c>
      <x:c r="AE1030" s="36" t="str">
        <x:v>JA</x:v>
      </x:c>
      <x:c r="AF1030" s="36" t="str">
        <x:v>JA</x:v>
      </x:c>
      <x:c r="AG1030" s="36" t="str">
        <x:v>FREIGEGEBEN</x:v>
      </x:c>
      <x:c r="AH1030" s="36" t="str">
        <x:v>GPT-5.6 Sol · Buchprüfung Hebräer · L1912/OTB</x:v>
      </x:c>
      <x:c r="AI1030" s="36" t="str">
        <x:v>FREIGEGEBEN</x:v>
      </x:c>
      <x:c r="AJ1030" s="36" t="str">
        <x:v>Hebräer 2: neue textnahe HOHEPRIESTER-Frage redaktionell freigegeben.</x:v>
      </x:c>
      <x:c r="AK1030" s="36" t="str">
        <x:v>FaithPath repo develop/v4 · data/bibles/l1912/HEB.json · data/bibles/otb/HEB.json</x:v>
      </x:c>
      <x:c r="AL1030" t="str">
        <x:v>JA</x:v>
      </x:c>
    </x:row>
    <x:row r="1031">
      <x:c r="A1031" t="str">
        <x:v>FP-1290</x:v>
      </x:c>
      <x:c r="B1031" t="str">
        <x:v>HEB</x:v>
      </x:c>
      <x:c r="C1031" t="str">
        <x:v>Hebräer</x:v>
      </x:c>
      <x:c r="D1031" t="n">
        <x:v>2</x:v>
      </x:c>
      <x:c r="E1031" t="n">
        <x:v>5</x:v>
      </x:c>
      <x:c r="F1031" t="str">
        <x:v>HEB-002</x:v>
      </x:c>
      <x:c r="G1031" t="n">
        <x:v>206</x:v>
      </x:c>
      <x:c r="H1031" t="str">
        <x:v>CQ-A19</x:v>
      </x:c>
      <x:c r="I1031" s="36" t="str">
        <x:v>Bestandsfrage: exakter Wortlaut in diesem Arbeitsschritt nicht rekonstruiert.</x:v>
      </x:c>
      <x:c r="J1031" s="36"/>
      <x:c r="K1031" s="36"/>
      <x:c r="L1031" s="36" t="str">
        <x:v>MASTER_STATUS_VERIFIZIERT</x:v>
      </x:c>
      <x:c r="M1031" s="36" t="str">
        <x:v>ERSETZEN</x:v>
      </x:c>
      <x:c r="N1031" s="36" t="str">
        <x:v>BESTAND_NOCH_NICHT_GEPRÜFT</x:v>
      </x:c>
      <x:c r="O1031" s="36" t="str">
        <x:v>DIDAKTISCHE_NEUFASSUNG</x:v>
      </x:c>
      <x:c r="P1031" s="36" t="str">
        <x:v>TROST</x:v>
      </x:c>
      <x:c r="Q1031" s="36" t="str">
        <x:v>Warum kann Jesus denen helfen, die versucht werden?</x:v>
      </x:c>
      <x:c r="R1031" s="36" t="str">
        <x:v>Weil er Versuchung nur theoretisch kennt.</x:v>
      </x:c>
      <x:c r="S1031" s="36" t="str">
        <x:v>Weil er selbst gelitten hat und versucht worden ist.</x:v>
      </x:c>
      <x:c r="T1031" s="36" t="str">
        <x:v>Weil er jede menschliche Schwachheit ablehnt.</x:v>
      </x:c>
      <x:c r="U1031" s="36" t="str">
        <x:v>Weil Versuchung für Glaubende keine Rolle mehr spielt.</x:v>
      </x:c>
      <x:c r="V1031" s="36" t="n">
        <x:v>1</x:v>
      </x:c>
      <x:c r="W1031" s="36" t="str">
        <x:v>Weil er selbst gelitten hat und versucht worden ist.</x:v>
      </x:c>
      <x:c r="X1031" s="36" t="str">
        <x:v>Hebräer 2,18</x:v>
      </x:c>
      <x:c r="Y1031" s="36" t="str">
        <x:v>Hebräer begründet Jesu Hilfe mit seiner eigenen Erfahrung von Leiden und Versuchung.</x:v>
      </x:c>
      <x:c r="Z1031" s="36" t="str">
        <x:v>JA</x:v>
      </x:c>
      <x:c r="AA1031" s="36" t="str">
        <x:v>JA</x:v>
      </x:c>
      <x:c r="AB1031" s="36" t="str">
        <x:v>JA</x:v>
      </x:c>
      <x:c r="AC1031" s="36" t="str">
        <x:v>JA</x:v>
      </x:c>
      <x:c r="AD1031" s="36" t="str">
        <x:v>JA</x:v>
      </x:c>
      <x:c r="AE1031" s="36" t="str">
        <x:v>JA</x:v>
      </x:c>
      <x:c r="AF1031" s="36" t="str">
        <x:v>JA</x:v>
      </x:c>
      <x:c r="AG1031" s="36" t="str">
        <x:v>FREIGEGEBEN</x:v>
      </x:c>
      <x:c r="AH1031" s="36" t="str">
        <x:v>GPT-5.6 Sol · Buchprüfung Hebräer · L1912/OTB</x:v>
      </x:c>
      <x:c r="AI1031" s="36" t="str">
        <x:v>FREIGEGEBEN</x:v>
      </x:c>
      <x:c r="AJ1031" s="36" t="str">
        <x:v>Hebräer 2: neue textnahe TROST-Frage redaktionell freigegeben.</x:v>
      </x:c>
      <x:c r="AK1031" s="36" t="str">
        <x:v>FaithPath repo develop/v4 · data/bibles/l1912/HEB.json · data/bibles/otb/HEB.json</x:v>
      </x:c>
      <x:c r="AL1031" t="str">
        <x:v>JA</x:v>
      </x:c>
    </x:row>
    <x:row r="1032">
      <x:c r="A1032" t="str">
        <x:v>FP-1291</x:v>
      </x:c>
      <x:c r="B1032" t="str">
        <x:v>HEB</x:v>
      </x:c>
      <x:c r="C1032" t="str">
        <x:v>Hebräer</x:v>
      </x:c>
      <x:c r="D1032" t="n">
        <x:v>3</x:v>
      </x:c>
      <x:c r="E1032" t="n">
        <x:v>1</x:v>
      </x:c>
      <x:c r="F1032" t="str">
        <x:v>HEB-003</x:v>
      </x:c>
      <x:c r="G1032" t="n">
        <x:v>207</x:v>
      </x:c>
      <x:c r="H1032" t="str">
        <x:v>CQ-A19</x:v>
      </x:c>
      <x:c r="I1032" s="36" t="str">
        <x:v>Bestandsfrage: exakter Wortlaut in diesem Arbeitsschritt nicht rekonstruiert.</x:v>
      </x:c>
      <x:c r="J1032" s="36"/>
      <x:c r="K1032" s="36"/>
      <x:c r="L1032" s="36" t="str">
        <x:v>MASTER_STATUS_VERIFIZIERT</x:v>
      </x:c>
      <x:c r="M1032" s="36" t="str">
        <x:v>ERSETZEN</x:v>
      </x:c>
      <x:c r="N1032" s="36" t="str">
        <x:v>BESTAND_NOCH_NICHT_GEPRÜFT</x:v>
      </x:c>
      <x:c r="O1032" s="36" t="str">
        <x:v>DIDAKTISCHE_NEUFASSUNG</x:v>
      </x:c>
      <x:c r="P1032" s="36" t="str">
        <x:v>VERGLEICH</x:v>
      </x:c>
      <x:c r="Q1032" s="36" t="str">
        <x:v>Wie wird Jesus im Vergleich zu Mose beschrieben?</x:v>
      </x:c>
      <x:c r="R1032" s="36" t="str">
        <x:v>Mose wird als Sohn über Christus gestellt.</x:v>
      </x:c>
      <x:c r="S1032" s="36" t="str">
        <x:v>Beide erhalten im Kapitel exakt dieselbe Stellung.</x:v>
      </x:c>
      <x:c r="T1032" s="36" t="str">
        <x:v>Mose war treu als Diener in Gottes Haus; Christus ist treu als Sohn über Gottes Haus.</x:v>
      </x:c>
      <x:c r="U1032" s="36" t="str">
        <x:v>Christus wird nur als späterer Prophet wie Mose beschrieben.</x:v>
      </x:c>
      <x:c r="V1032" s="36" t="n">
        <x:v>2</x:v>
      </x:c>
      <x:c r="W1032" s="36" t="str">
        <x:v>Mose war treu als Diener in Gottes Haus; Christus ist treu als Sohn über Gottes Haus.</x:v>
      </x:c>
      <x:c r="X1032" s="36" t="str">
        <x:v>Hebräer 3,1–6</x:v>
      </x:c>
      <x:c r="Y1032" s="36" t="str">
        <x:v>Der Brief würdigt Moses Treue, stellt Christus aber als Sohn über das Haus höher.</x:v>
      </x:c>
      <x:c r="Z1032" s="36" t="str">
        <x:v>JA</x:v>
      </x:c>
      <x:c r="AA1032" s="36" t="str">
        <x:v>JA</x:v>
      </x:c>
      <x:c r="AB1032" s="36" t="str">
        <x:v>JA</x:v>
      </x:c>
      <x:c r="AC1032" s="36" t="str">
        <x:v>JA</x:v>
      </x:c>
      <x:c r="AD1032" s="36" t="str">
        <x:v>JA</x:v>
      </x:c>
      <x:c r="AE1032" s="36" t="str">
        <x:v>JA</x:v>
      </x:c>
      <x:c r="AF1032" s="36" t="str">
        <x:v>JA</x:v>
      </x:c>
      <x:c r="AG1032" s="36" t="str">
        <x:v>FREIGEGEBEN</x:v>
      </x:c>
      <x:c r="AH1032" s="36" t="str">
        <x:v>GPT-5.6 Sol · Buchprüfung Hebräer · L1912/OTB</x:v>
      </x:c>
      <x:c r="AI1032" s="36" t="str">
        <x:v>FREIGEGEBEN</x:v>
      </x:c>
      <x:c r="AJ1032" s="36" t="str">
        <x:v>Hebräer 3: neue textnahe VERGLEICH-Frage redaktionell freigegeben.</x:v>
      </x:c>
      <x:c r="AK1032" s="36" t="str">
        <x:v>FaithPath repo develop/v4 · data/bibles/l1912/HEB.json · data/bibles/otb/HEB.json</x:v>
      </x:c>
      <x:c r="AL1032" t="str">
        <x:v>JA</x:v>
      </x:c>
    </x:row>
    <x:row r="1033">
      <x:c r="A1033" t="str">
        <x:v>FP-1292</x:v>
      </x:c>
      <x:c r="B1033" t="str">
        <x:v>HEB</x:v>
      </x:c>
      <x:c r="C1033" t="str">
        <x:v>Hebräer</x:v>
      </x:c>
      <x:c r="D1033" t="n">
        <x:v>3</x:v>
      </x:c>
      <x:c r="E1033" t="n">
        <x:v>2</x:v>
      </x:c>
      <x:c r="F1033" t="str">
        <x:v>HEB-003</x:v>
      </x:c>
      <x:c r="G1033" t="n">
        <x:v>207</x:v>
      </x:c>
      <x:c r="H1033" t="str">
        <x:v>CQ-A19</x:v>
      </x:c>
      <x:c r="I1033" s="36" t="str">
        <x:v>Bestandsfrage: exakter Wortlaut in diesem Arbeitsschritt nicht rekonstruiert.</x:v>
      </x:c>
      <x:c r="J1033" s="36"/>
      <x:c r="K1033" s="36"/>
      <x:c r="L1033" s="36" t="str">
        <x:v>MASTER_STATUS_VERIFIZIERT</x:v>
      </x:c>
      <x:c r="M1033" s="36" t="str">
        <x:v>ERSETZEN</x:v>
      </x:c>
      <x:c r="N1033" s="36" t="str">
        <x:v>BESTAND_NOCH_NICHT_GEPRÜFT</x:v>
      </x:c>
      <x:c r="O1033" s="36" t="str">
        <x:v>DIDAKTISCHE_NEUFASSUNG</x:v>
      </x:c>
      <x:c r="P1033" s="36" t="str">
        <x:v>WARNUNG</x:v>
      </x:c>
      <x:c r="Q1033" s="36" t="str">
        <x:v>Welche Aufforderung wird aus Israels Erfahrung in der Wüste gezogen?</x:v>
      </x:c>
      <x:c r="R1033" s="36" t="str">
        <x:v>Die Wüstenerfahrung als bedeutungslos betrachten.</x:v>
      </x:c>
      <x:c r="S1033" s="36" t="str">
        <x:v>Nur auf zukünftige Generationen achten.</x:v>
      </x:c>
      <x:c r="T1033" s="36" t="str">
        <x:v>Ungehorsam nicht weiter ernst nehmen.</x:v>
      </x:c>
      <x:c r="U1033" s="36" t="str">
        <x:v>Heute Gottes Stimme hören und das Herz nicht verhärten.</x:v>
      </x:c>
      <x:c r="V1033" s="36" t="n">
        <x:v>3</x:v>
      </x:c>
      <x:c r="W1033" s="36" t="str">
        <x:v>Heute Gottes Stimme hören und das Herz nicht verhärten.</x:v>
      </x:c>
      <x:c r="X1033" s="36" t="str">
        <x:v>Hebräer 3,7–11</x:v>
      </x:c>
      <x:c r="Y1033" s="36" t="str">
        <x:v>Das Zitat aus den Psalmen wird direkt auf die Gegenwart der Leser bezogen: 'Heute' ist die Zeit zum Hören.</x:v>
      </x:c>
      <x:c r="Z1033" s="36" t="str">
        <x:v>JA</x:v>
      </x:c>
      <x:c r="AA1033" s="36" t="str">
        <x:v>JA</x:v>
      </x:c>
      <x:c r="AB1033" s="36" t="str">
        <x:v>JA</x:v>
      </x:c>
      <x:c r="AC1033" s="36" t="str">
        <x:v>JA</x:v>
      </x:c>
      <x:c r="AD1033" s="36" t="str">
        <x:v>JA</x:v>
      </x:c>
      <x:c r="AE1033" s="36" t="str">
        <x:v>JA</x:v>
      </x:c>
      <x:c r="AF1033" s="36" t="str">
        <x:v>JA</x:v>
      </x:c>
      <x:c r="AG1033" s="36" t="str">
        <x:v>FREIGEGEBEN</x:v>
      </x:c>
      <x:c r="AH1033" s="36" t="str">
        <x:v>GPT-5.6 Sol · Buchprüfung Hebräer · L1912/OTB</x:v>
      </x:c>
      <x:c r="AI1033" s="36" t="str">
        <x:v>FREIGEGEBEN</x:v>
      </x:c>
      <x:c r="AJ1033" s="36" t="str">
        <x:v>Hebräer 3: neue textnahe WARNUNG-Frage redaktionell freigegeben.</x:v>
      </x:c>
      <x:c r="AK1033" s="36" t="str">
        <x:v>FaithPath repo develop/v4 · data/bibles/l1912/HEB.json · data/bibles/otb/HEB.json</x:v>
      </x:c>
      <x:c r="AL1033" t="str">
        <x:v>JA</x:v>
      </x:c>
    </x:row>
    <x:row r="1034">
      <x:c r="A1034" t="str">
        <x:v>FP-1293</x:v>
      </x:c>
      <x:c r="B1034" t="str">
        <x:v>HEB</x:v>
      </x:c>
      <x:c r="C1034" t="str">
        <x:v>Hebräer</x:v>
      </x:c>
      <x:c r="D1034" t="n">
        <x:v>3</x:v>
      </x:c>
      <x:c r="E1034" t="n">
        <x:v>3</x:v>
      </x:c>
      <x:c r="F1034" t="str">
        <x:v>HEB-003</x:v>
      </x:c>
      <x:c r="G1034" t="n">
        <x:v>207</x:v>
      </x:c>
      <x:c r="H1034" t="str">
        <x:v>CQ-A19</x:v>
      </x:c>
      <x:c r="I1034" s="36" t="str">
        <x:v>Bestandsfrage: exakter Wortlaut in diesem Arbeitsschritt nicht rekonstruiert.</x:v>
      </x:c>
      <x:c r="J1034" s="36"/>
      <x:c r="K1034" s="36"/>
      <x:c r="L1034" s="36" t="str">
        <x:v>MASTER_STATUS_VERIFIZIERT</x:v>
      </x:c>
      <x:c r="M1034" s="36" t="str">
        <x:v>ERSETZEN</x:v>
      </x:c>
      <x:c r="N1034" s="36" t="str">
        <x:v>BESTAND_NOCH_NICHT_GEPRÜFT</x:v>
      </x:c>
      <x:c r="O1034" s="36" t="str">
        <x:v>DIDAKTISCHE_NEUFASSUNG</x:v>
      </x:c>
      <x:c r="P1034" s="36" t="str">
        <x:v>GEMEINDELEBEN</x:v>
      </x:c>
      <x:c r="Q1034" s="36" t="str">
        <x:v>Was sollen die Glaubenden täglich füreinander tun?</x:v>
      </x:c>
      <x:c r="R1034" s="36" t="str">
        <x:v>Einander ermutigen, damit niemand durch den Betrug der Sünde verhärtet wird.</x:v>
      </x:c>
      <x:c r="S1034" s="36" t="str">
        <x:v>Einander nur dann ansprechen, wenn ein schwerer Konflikt entsteht.</x:v>
      </x:c>
      <x:c r="T1034" s="36" t="str">
        <x:v>Sich aus dem Leben anderer vollständig heraushalten.</x:v>
      </x:c>
      <x:c r="U1034" s="36" t="str">
        <x:v>Einander vor allem nach gesellschaftlichem Erfolg beurteilen.</x:v>
      </x:c>
      <x:c r="V1034" s="36" t="n">
        <x:v>0</x:v>
      </x:c>
      <x:c r="W1034" s="36" t="str">
        <x:v>Einander ermutigen, damit niemand durch den Betrug der Sünde verhärtet wird.</x:v>
      </x:c>
      <x:c r="X1034" s="36" t="str">
        <x:v>Hebräer 3,12–13</x:v>
      </x:c>
      <x:c r="Y1034" s="36" t="str">
        <x:v>Gemeinschaft dient hier der geistlichen Bewahrung: regelmäßige Ermutigung soll Verhärtung entgegenwirken.</x:v>
      </x:c>
      <x:c r="Z1034" s="36" t="str">
        <x:v>JA</x:v>
      </x:c>
      <x:c r="AA1034" s="36" t="str">
        <x:v>JA</x:v>
      </x:c>
      <x:c r="AB1034" s="36" t="str">
        <x:v>JA</x:v>
      </x:c>
      <x:c r="AC1034" s="36" t="str">
        <x:v>JA</x:v>
      </x:c>
      <x:c r="AD1034" s="36" t="str">
        <x:v>JA</x:v>
      </x:c>
      <x:c r="AE1034" s="36" t="str">
        <x:v>JA</x:v>
      </x:c>
      <x:c r="AF1034" s="36" t="str">
        <x:v>JA</x:v>
      </x:c>
      <x:c r="AG1034" s="36" t="str">
        <x:v>FREIGEGEBEN</x:v>
      </x:c>
      <x:c r="AH1034" s="36" t="str">
        <x:v>GPT-5.6 Sol · Buchprüfung Hebräer · L1912/OTB</x:v>
      </x:c>
      <x:c r="AI1034" s="36" t="str">
        <x:v>FREIGEGEBEN</x:v>
      </x:c>
      <x:c r="AJ1034" s="36" t="str">
        <x:v>Hebräer 3: neue textnahe GEMEINDELEBEN-Frage redaktionell freigegeben.</x:v>
      </x:c>
      <x:c r="AK1034" s="36" t="str">
        <x:v>FaithPath repo develop/v4 · data/bibles/l1912/HEB.json · data/bibles/otb/HEB.json</x:v>
      </x:c>
      <x:c r="AL1034" t="str">
        <x:v>JA</x:v>
      </x:c>
    </x:row>
    <x:row r="1035">
      <x:c r="A1035" t="str">
        <x:v>FP-1294</x:v>
      </x:c>
      <x:c r="B1035" t="str">
        <x:v>HEB</x:v>
      </x:c>
      <x:c r="C1035" t="str">
        <x:v>Hebräer</x:v>
      </x:c>
      <x:c r="D1035" t="n">
        <x:v>3</x:v>
      </x:c>
      <x:c r="E1035" t="n">
        <x:v>4</x:v>
      </x:c>
      <x:c r="F1035" t="str">
        <x:v>HEB-003</x:v>
      </x:c>
      <x:c r="G1035" t="n">
        <x:v>207</x:v>
      </x:c>
      <x:c r="H1035" t="str">
        <x:v>CQ-A19</x:v>
      </x:c>
      <x:c r="I1035" s="36" t="str">
        <x:v>Bestandsfrage: exakter Wortlaut in diesem Arbeitsschritt nicht rekonstruiert.</x:v>
      </x:c>
      <x:c r="J1035" s="36"/>
      <x:c r="K1035" s="36"/>
      <x:c r="L1035" s="36" t="str">
        <x:v>MASTER_STATUS_VERIFIZIERT</x:v>
      </x:c>
      <x:c r="M1035" s="36" t="str">
        <x:v>ERSETZEN</x:v>
      </x:c>
      <x:c r="N1035" s="36" t="str">
        <x:v>BESTAND_NOCH_NICHT_GEPRÜFT</x:v>
      </x:c>
      <x:c r="O1035" s="36" t="str">
        <x:v>DIDAKTISCHE_NEUFASSUNG</x:v>
      </x:c>
      <x:c r="P1035" s="36" t="str">
        <x:v>AUSDAUER</x:v>
      </x:c>
      <x:c r="Q1035" s="36" t="str">
        <x:v>Welche Bedingung verbindet Hebräer 3 mit der Teilhabe an Christus?</x:v>
      </x:c>
      <x:c r="R1035" s="36" t="str">
        <x:v>Möglichst viele religiöse Leistungen zu sammeln.</x:v>
      </x:c>
      <x:c r="S1035" s="36" t="str">
        <x:v>Das anfängliche Vertrauen bis zum Ende festzuhalten.</x:v>
      </x:c>
      <x:c r="T1035" s="36" t="str">
        <x:v>Nie wieder mit Zweifel konfrontiert zu werden.</x:v>
      </x:c>
      <x:c r="U1035" s="36" t="str">
        <x:v>Sich nur auf die eigene Vergangenheit zu berufen.</x:v>
      </x:c>
      <x:c r="V1035" s="36" t="n">
        <x:v>1</x:v>
      </x:c>
      <x:c r="W1035" s="36" t="str">
        <x:v>Das anfängliche Vertrauen bis zum Ende festzuhalten.</x:v>
      </x:c>
      <x:c r="X1035" s="36" t="str">
        <x:v>Hebräer 3,14</x:v>
      </x:c>
      <x:c r="Y1035" s="36" t="str">
        <x:v>Der Text betont beharrliches Festhalten statt bloß eines vergangenen Anfangs.</x:v>
      </x:c>
      <x:c r="Z1035" s="36" t="str">
        <x:v>JA</x:v>
      </x:c>
      <x:c r="AA1035" s="36" t="str">
        <x:v>JA</x:v>
      </x:c>
      <x:c r="AB1035" s="36" t="str">
        <x:v>JA</x:v>
      </x:c>
      <x:c r="AC1035" s="36" t="str">
        <x:v>JA</x:v>
      </x:c>
      <x:c r="AD1035" s="36" t="str">
        <x:v>JA</x:v>
      </x:c>
      <x:c r="AE1035" s="36" t="str">
        <x:v>JA</x:v>
      </x:c>
      <x:c r="AF1035" s="36" t="str">
        <x:v>JA</x:v>
      </x:c>
      <x:c r="AG1035" s="36" t="str">
        <x:v>FREIGEGEBEN</x:v>
      </x:c>
      <x:c r="AH1035" s="36" t="str">
        <x:v>GPT-5.6 Sol · Buchprüfung Hebräer · L1912/OTB</x:v>
      </x:c>
      <x:c r="AI1035" s="36" t="str">
        <x:v>FREIGEGEBEN</x:v>
      </x:c>
      <x:c r="AJ1035" s="36" t="str">
        <x:v>Hebräer 3: neue textnahe AUSDAUER-Frage redaktionell freigegeben.</x:v>
      </x:c>
      <x:c r="AK1035" s="36" t="str">
        <x:v>FaithPath repo develop/v4 · data/bibles/l1912/HEB.json · data/bibles/otb/HEB.json</x:v>
      </x:c>
      <x:c r="AL1035" t="str">
        <x:v>JA</x:v>
      </x:c>
    </x:row>
    <x:row r="1036">
      <x:c r="A1036" t="str">
        <x:v>FP-1295</x:v>
      </x:c>
      <x:c r="B1036" t="str">
        <x:v>HEB</x:v>
      </x:c>
      <x:c r="C1036" t="str">
        <x:v>Hebräer</x:v>
      </x:c>
      <x:c r="D1036" t="n">
        <x:v>3</x:v>
      </x:c>
      <x:c r="E1036" t="n">
        <x:v>5</x:v>
      </x:c>
      <x:c r="F1036" t="str">
        <x:v>HEB-003</x:v>
      </x:c>
      <x:c r="G1036" t="n">
        <x:v>207</x:v>
      </x:c>
      <x:c r="H1036" t="str">
        <x:v>CQ-A19</x:v>
      </x:c>
      <x:c r="I1036" s="36" t="str">
        <x:v>Bestandsfrage: exakter Wortlaut in diesem Arbeitsschritt nicht rekonstruiert.</x:v>
      </x:c>
      <x:c r="J1036" s="36"/>
      <x:c r="K1036" s="36"/>
      <x:c r="L1036" s="36" t="str">
        <x:v>MASTER_STATUS_VERIFIZIERT</x:v>
      </x:c>
      <x:c r="M1036" s="36" t="str">
        <x:v>ERSETZEN</x:v>
      </x:c>
      <x:c r="N1036" s="36" t="str">
        <x:v>BESTAND_NOCH_NICHT_GEPRÜFT</x:v>
      </x:c>
      <x:c r="O1036" s="36" t="str">
        <x:v>DIDAKTISCHE_NEUFASSUNG</x:v>
      </x:c>
      <x:c r="P1036" s="36" t="str">
        <x:v>URSACHE</x:v>
      </x:c>
      <x:c r="Q1036" s="36" t="str">
        <x:v>Warum konnte die ungehorsame Generation nicht in Gottes Ruhe eingehen?</x:v>
      </x:c>
      <x:c r="R1036" s="36" t="str">
        <x:v>Weil Mose zu früh starb.</x:v>
      </x:c>
      <x:c r="S1036" s="36" t="str">
        <x:v>Weil die Engel sie daran hinderten.</x:v>
      </x:c>
      <x:c r="T1036" s="36" t="str">
        <x:v>Wegen ihres Unglaubens.</x:v>
      </x:c>
      <x:c r="U1036" s="36" t="str">
        <x:v>Weil ihnen keine Verheißung gegeben worden war.</x:v>
      </x:c>
      <x:c r="V1036" s="36" t="n">
        <x:v>2</x:v>
      </x:c>
      <x:c r="W1036" s="36" t="str">
        <x:v>Wegen ihres Unglaubens.</x:v>
      </x:c>
      <x:c r="X1036" s="36" t="str">
        <x:v>Hebräer 3,16–19</x:v>
      </x:c>
      <x:c r="Y1036" s="36" t="str">
        <x:v>Der Abschnitt fasst das Scheitern der Wüstengeneration mit Unglauben und Ungehorsam zusammen.</x:v>
      </x:c>
      <x:c r="Z1036" s="36" t="str">
        <x:v>JA</x:v>
      </x:c>
      <x:c r="AA1036" s="36" t="str">
        <x:v>JA</x:v>
      </x:c>
      <x:c r="AB1036" s="36" t="str">
        <x:v>JA</x:v>
      </x:c>
      <x:c r="AC1036" s="36" t="str">
        <x:v>JA</x:v>
      </x:c>
      <x:c r="AD1036" s="36" t="str">
        <x:v>JA</x:v>
      </x:c>
      <x:c r="AE1036" s="36" t="str">
        <x:v>JA</x:v>
      </x:c>
      <x:c r="AF1036" s="36" t="str">
        <x:v>JA</x:v>
      </x:c>
      <x:c r="AG1036" s="36" t="str">
        <x:v>FREIGEGEBEN</x:v>
      </x:c>
      <x:c r="AH1036" s="36" t="str">
        <x:v>GPT-5.6 Sol · Buchprüfung Hebräer · L1912/OTB</x:v>
      </x:c>
      <x:c r="AI1036" s="36" t="str">
        <x:v>FREIGEGEBEN</x:v>
      </x:c>
      <x:c r="AJ1036" s="36" t="str">
        <x:v>Hebräer 3: neue textnahe URSACHE-Frage redaktionell freigegeben.</x:v>
      </x:c>
      <x:c r="AK1036" s="36" t="str">
        <x:v>FaithPath repo develop/v4 · data/bibles/l1912/HEB.json · data/bibles/otb/HEB.json</x:v>
      </x:c>
      <x:c r="AL1036" t="str">
        <x:v>JA</x:v>
      </x:c>
    </x:row>
    <x:row r="1037">
      <x:c r="A1037" t="str">
        <x:v>FP-1296</x:v>
      </x:c>
      <x:c r="B1037" t="str">
        <x:v>HEB</x:v>
      </x:c>
      <x:c r="C1037" t="str">
        <x:v>Hebräer</x:v>
      </x:c>
      <x:c r="D1037" t="n">
        <x:v>4</x:v>
      </x:c>
      <x:c r="E1037" t="n">
        <x:v>1</x:v>
      </x:c>
      <x:c r="F1037" t="str">
        <x:v>HEB-004</x:v>
      </x:c>
      <x:c r="G1037" t="n">
        <x:v>208</x:v>
      </x:c>
      <x:c r="H1037" t="str">
        <x:v>CQ-A19</x:v>
      </x:c>
      <x:c r="I1037" s="36" t="str">
        <x:v>Bestandsfrage: exakter Wortlaut in diesem Arbeitsschritt nicht rekonstruiert.</x:v>
      </x:c>
      <x:c r="J1037" s="36"/>
      <x:c r="K1037" s="36"/>
      <x:c r="L1037" s="36" t="str">
        <x:v>MASTER_STATUS_VERIFIZIERT</x:v>
      </x:c>
      <x:c r="M1037" s="36" t="str">
        <x:v>ERSETZEN</x:v>
      </x:c>
      <x:c r="N1037" s="36" t="str">
        <x:v>BESTAND_NOCH_NICHT_GEPRÜFT</x:v>
      </x:c>
      <x:c r="O1037" s="36" t="str">
        <x:v>DIDAKTISCHE_NEUFASSUNG</x:v>
      </x:c>
      <x:c r="P1037" s="36" t="str">
        <x:v>VERHEISSUNG</x:v>
      </x:c>
      <x:c r="Q1037" s="36" t="str">
        <x:v>Welche Hoffnung besteht nach Hebräer 4 weiterhin für Gottes Volk?</x:v>
      </x:c>
      <x:c r="R1037" s="36" t="str">
        <x:v>Eine Garantie auf ein Leben ohne Arbeit.</x:v>
      </x:c>
      <x:c r="S1037" s="36" t="str">
        <x:v>Die Rückkehr in die Wüste.</x:v>
      </x:c>
      <x:c r="T1037" s="36" t="str">
        <x:v>Eine Ruhe, die bereits durch Josua vollständig erfüllt worden sei.</x:v>
      </x:c>
      <x:c r="U1037" s="36" t="str">
        <x:v>Die Verheißung, in Gottes Ruhe einzugehen.</x:v>
      </x:c>
      <x:c r="V1037" s="36" t="n">
        <x:v>3</x:v>
      </x:c>
      <x:c r="W1037" s="36" t="str">
        <x:v>Die Verheißung, in Gottes Ruhe einzugehen.</x:v>
      </x:c>
      <x:c r="X1037" s="36" t="str">
        <x:v>Hebräer 4,1–9</x:v>
      </x:c>
      <x:c r="Y1037" s="36" t="str">
        <x:v>Der Brief argumentiert, dass nach Josua noch von einem 'Heute' und einer bleibenden Ruhe gesprochen wird.</x:v>
      </x:c>
      <x:c r="Z1037" s="36" t="str">
        <x:v>JA</x:v>
      </x:c>
      <x:c r="AA1037" s="36" t="str">
        <x:v>JA</x:v>
      </x:c>
      <x:c r="AB1037" s="36" t="str">
        <x:v>JA</x:v>
      </x:c>
      <x:c r="AC1037" s="36" t="str">
        <x:v>JA</x:v>
      </x:c>
      <x:c r="AD1037" s="36" t="str">
        <x:v>JA</x:v>
      </x:c>
      <x:c r="AE1037" s="36" t="str">
        <x:v>JA</x:v>
      </x:c>
      <x:c r="AF1037" s="36" t="str">
        <x:v>JA</x:v>
      </x:c>
      <x:c r="AG1037" s="36" t="str">
        <x:v>FREIGEGEBEN</x:v>
      </x:c>
      <x:c r="AH1037" s="36" t="str">
        <x:v>GPT-5.6 Sol · Buchprüfung Hebräer · L1912/OTB</x:v>
      </x:c>
      <x:c r="AI1037" s="36" t="str">
        <x:v>FREIGEGEBEN</x:v>
      </x:c>
      <x:c r="AJ1037" s="36" t="str">
        <x:v>Hebräer 4: neue textnahe VERHEISSUNG-Frage redaktionell freigegeben.</x:v>
      </x:c>
      <x:c r="AK1037" s="36" t="str">
        <x:v>FaithPath repo develop/v4 · data/bibles/l1912/HEB.json · data/bibles/otb/HEB.json</x:v>
      </x:c>
      <x:c r="AL1037" t="str">
        <x:v>JA</x:v>
      </x:c>
    </x:row>
    <x:row r="1038">
      <x:c r="A1038" t="str">
        <x:v>FP-1297</x:v>
      </x:c>
      <x:c r="B1038" t="str">
        <x:v>HEB</x:v>
      </x:c>
      <x:c r="C1038" t="str">
        <x:v>Hebräer</x:v>
      </x:c>
      <x:c r="D1038" t="n">
        <x:v>4</x:v>
      </x:c>
      <x:c r="E1038" t="n">
        <x:v>2</x:v>
      </x:c>
      <x:c r="F1038" t="str">
        <x:v>HEB-004</x:v>
      </x:c>
      <x:c r="G1038" t="n">
        <x:v>208</x:v>
      </x:c>
      <x:c r="H1038" t="str">
        <x:v>CQ-A19</x:v>
      </x:c>
      <x:c r="I1038" s="36" t="str">
        <x:v>Bestandsfrage: exakter Wortlaut in diesem Arbeitsschritt nicht rekonstruiert.</x:v>
      </x:c>
      <x:c r="J1038" s="36"/>
      <x:c r="K1038" s="36"/>
      <x:c r="L1038" s="36" t="str">
        <x:v>MASTER_STATUS_VERIFIZIERT</x:v>
      </x:c>
      <x:c r="M1038" s="36" t="str">
        <x:v>ERSETZEN</x:v>
      </x:c>
      <x:c r="N1038" s="36" t="str">
        <x:v>BESTAND_NOCH_NICHT_GEPRÜFT</x:v>
      </x:c>
      <x:c r="O1038" s="36" t="str">
        <x:v>DIDAKTISCHE_NEUFASSUNG</x:v>
      </x:c>
      <x:c r="P1038" s="36" t="str">
        <x:v>GLAUBE</x:v>
      </x:c>
      <x:c r="Q1038" s="36" t="str">
        <x:v>Warum nützte die verkündigte Botschaft der Wüstengeneration nicht?</x:v>
      </x:c>
      <x:c r="R1038" s="36" t="str">
        <x:v>Weil das Gehörte nicht mit Glauben verbunden war.</x:v>
      </x:c>
      <x:c r="S1038" s="36" t="str">
        <x:v>Weil die Botschaft selbst falsch war.</x:v>
      </x:c>
      <x:c r="T1038" s="36" t="str">
        <x:v>Weil Gott keine Ruhe verheißen hatte.</x:v>
      </x:c>
      <x:c r="U1038" s="36" t="str">
        <x:v>Weil sie zu wenig über Engel wussten.</x:v>
      </x:c>
      <x:c r="V1038" s="36" t="n">
        <x:v>0</x:v>
      </x:c>
      <x:c r="W1038" s="36" t="str">
        <x:v>Weil das Gehörte nicht mit Glauben verbunden war.</x:v>
      </x:c>
      <x:c r="X1038" s="36" t="str">
        <x:v>Hebräer 4,2–6</x:v>
      </x:c>
      <x:c r="Y1038" s="36" t="str">
        <x:v>Hören allein genügt nicht; der Text stellt die Verbindung von Botschaft und Glauben heraus.</x:v>
      </x:c>
      <x:c r="Z1038" s="36" t="str">
        <x:v>JA</x:v>
      </x:c>
      <x:c r="AA1038" s="36" t="str">
        <x:v>JA</x:v>
      </x:c>
      <x:c r="AB1038" s="36" t="str">
        <x:v>JA</x:v>
      </x:c>
      <x:c r="AC1038" s="36" t="str">
        <x:v>JA</x:v>
      </x:c>
      <x:c r="AD1038" s="36" t="str">
        <x:v>JA</x:v>
      </x:c>
      <x:c r="AE1038" s="36" t="str">
        <x:v>JA</x:v>
      </x:c>
      <x:c r="AF1038" s="36" t="str">
        <x:v>JA</x:v>
      </x:c>
      <x:c r="AG1038" s="36" t="str">
        <x:v>FREIGEGEBEN</x:v>
      </x:c>
      <x:c r="AH1038" s="36" t="str">
        <x:v>GPT-5.6 Sol · Buchprüfung Hebräer · L1912/OTB</x:v>
      </x:c>
      <x:c r="AI1038" s="36" t="str">
        <x:v>FREIGEGEBEN</x:v>
      </x:c>
      <x:c r="AJ1038" s="36" t="str">
        <x:v>Hebräer 4: neue textnahe GLAUBE-Frage redaktionell freigegeben.</x:v>
      </x:c>
      <x:c r="AK1038" s="36" t="str">
        <x:v>FaithPath repo develop/v4 · data/bibles/l1912/HEB.json · data/bibles/otb/HEB.json</x:v>
      </x:c>
      <x:c r="AL1038" t="str">
        <x:v>JA</x:v>
      </x:c>
    </x:row>
    <x:row r="1039">
      <x:c r="A1039" t="str">
        <x:v>FP-1298</x:v>
      </x:c>
      <x:c r="B1039" t="str">
        <x:v>HEB</x:v>
      </x:c>
      <x:c r="C1039" t="str">
        <x:v>Hebräer</x:v>
      </x:c>
      <x:c r="D1039" t="n">
        <x:v>4</x:v>
      </x:c>
      <x:c r="E1039" t="n">
        <x:v>3</x:v>
      </x:c>
      <x:c r="F1039" t="str">
        <x:v>HEB-004</x:v>
      </x:c>
      <x:c r="G1039" t="n">
        <x:v>208</x:v>
      </x:c>
      <x:c r="H1039" t="str">
        <x:v>CQ-A19</x:v>
      </x:c>
      <x:c r="I1039" s="36" t="str">
        <x:v>Bestandsfrage: exakter Wortlaut in diesem Arbeitsschritt nicht rekonstruiert.</x:v>
      </x:c>
      <x:c r="J1039" s="36"/>
      <x:c r="K1039" s="36"/>
      <x:c r="L1039" s="36" t="str">
        <x:v>MASTER_STATUS_VERIFIZIERT</x:v>
      </x:c>
      <x:c r="M1039" s="36" t="str">
        <x:v>ERSETZEN</x:v>
      </x:c>
      <x:c r="N1039" s="36" t="str">
        <x:v>BESTAND_NOCH_NICHT_GEPRÜFT</x:v>
      </x:c>
      <x:c r="O1039" s="36" t="str">
        <x:v>DIDAKTISCHE_NEUFASSUNG</x:v>
      </x:c>
      <x:c r="P1039" s="36" t="str">
        <x:v>WORT_GOTTES</x:v>
      </x:c>
      <x:c r="Q1039" s="36" t="str">
        <x:v>Wie beschreibt Hebräer 4 das Wort Gottes?</x:v>
      </x:c>
      <x:c r="R1039" s="36" t="str">
        <x:v>Als rein historische Information ohne Gegenwartsbezug.</x:v>
      </x:c>
      <x:c r="S1039" s="36" t="str">
        <x:v>Als lebendig und wirksam, das Gedanken und Absichten des Herzens beurteilt.</x:v>
      </x:c>
      <x:c r="T1039" s="36" t="str">
        <x:v>Als verborgen und für Menschen grundsätzlich unverständlich.</x:v>
      </x:c>
      <x:c r="U1039" s="36" t="str">
        <x:v>Als nur für Priester wirksam.</x:v>
      </x:c>
      <x:c r="V1039" s="36" t="n">
        <x:v>1</x:v>
      </x:c>
      <x:c r="W1039" s="36" t="str">
        <x:v>Als lebendig und wirksam, das Gedanken und Absichten des Herzens beurteilt.</x:v>
      </x:c>
      <x:c r="X1039" s="36" t="str">
        <x:v>Hebräer 4,12–13</x:v>
      </x:c>
      <x:c r="Y1039" s="36" t="str">
        <x:v>Das Wort Gottes dringt nach dem Bild des Textes tief und legt das Innere des Menschen offen.</x:v>
      </x:c>
      <x:c r="Z1039" s="36" t="str">
        <x:v>JA</x:v>
      </x:c>
      <x:c r="AA1039" s="36" t="str">
        <x:v>JA</x:v>
      </x:c>
      <x:c r="AB1039" s="36" t="str">
        <x:v>JA</x:v>
      </x:c>
      <x:c r="AC1039" s="36" t="str">
        <x:v>JA</x:v>
      </x:c>
      <x:c r="AD1039" s="36" t="str">
        <x:v>JA</x:v>
      </x:c>
      <x:c r="AE1039" s="36" t="str">
        <x:v>JA</x:v>
      </x:c>
      <x:c r="AF1039" s="36" t="str">
        <x:v>JA</x:v>
      </x:c>
      <x:c r="AG1039" s="36" t="str">
        <x:v>FREIGEGEBEN</x:v>
      </x:c>
      <x:c r="AH1039" s="36" t="str">
        <x:v>GPT-5.6 Sol · Buchprüfung Hebräer · L1912/OTB</x:v>
      </x:c>
      <x:c r="AI1039" s="36" t="str">
        <x:v>FREIGEGEBEN</x:v>
      </x:c>
      <x:c r="AJ1039" s="36" t="str">
        <x:v>Hebräer 4: neue textnahe WORT_GOTTES-Frage redaktionell freigegeben.</x:v>
      </x:c>
      <x:c r="AK1039" s="36" t="str">
        <x:v>FaithPath repo develop/v4 · data/bibles/l1912/HEB.json · data/bibles/otb/HEB.json</x:v>
      </x:c>
      <x:c r="AL1039" t="str">
        <x:v>JA</x:v>
      </x:c>
    </x:row>
    <x:row r="1040">
      <x:c r="A1040" t="str">
        <x:v>FP-1299</x:v>
      </x:c>
      <x:c r="B1040" t="str">
        <x:v>HEB</x:v>
      </x:c>
      <x:c r="C1040" t="str">
        <x:v>Hebräer</x:v>
      </x:c>
      <x:c r="D1040" t="n">
        <x:v>4</x:v>
      </x:c>
      <x:c r="E1040" t="n">
        <x:v>4</x:v>
      </x:c>
      <x:c r="F1040" t="str">
        <x:v>HEB-004</x:v>
      </x:c>
      <x:c r="G1040" t="n">
        <x:v>208</x:v>
      </x:c>
      <x:c r="H1040" t="str">
        <x:v>CQ-A19</x:v>
      </x:c>
      <x:c r="I1040" s="36" t="str">
        <x:v>Bestandsfrage: exakter Wortlaut in diesem Arbeitsschritt nicht rekonstruiert.</x:v>
      </x:c>
      <x:c r="J1040" s="36"/>
      <x:c r="K1040" s="36"/>
      <x:c r="L1040" s="36" t="str">
        <x:v>MASTER_STATUS_VERIFIZIERT</x:v>
      </x:c>
      <x:c r="M1040" s="36" t="str">
        <x:v>ERSETZEN</x:v>
      </x:c>
      <x:c r="N1040" s="36" t="str">
        <x:v>BESTAND_NOCH_NICHT_GEPRÜFT</x:v>
      </x:c>
      <x:c r="O1040" s="36" t="str">
        <x:v>DIDAKTISCHE_NEUFASSUNG</x:v>
      </x:c>
      <x:c r="P1040" s="36" t="str">
        <x:v>HOHEPRIESTER</x:v>
      </x:c>
      <x:c r="Q1040" s="36" t="str">
        <x:v>Warum können Glaubende an ihrem Bekenntnis festhalten?</x:v>
      </x:c>
      <x:c r="R1040" s="36" t="str">
        <x:v>Weil sie keine Schwächen mehr besitzen.</x:v>
      </x:c>
      <x:c r="S1040" s="36" t="str">
        <x:v>Weil das Priestertum Jesu nur symbolisch sei.</x:v>
      </x:c>
      <x:c r="T1040" s="36" t="str">
        <x:v>Weil sie in Jesus, dem Sohn Gottes, einen großen Hohenpriester haben, der die Himmel durchschritten hat.</x:v>
      </x:c>
      <x:c r="U1040" s="36" t="str">
        <x:v>Weil sie keinen Mittler mehr brauchen.</x:v>
      </x:c>
      <x:c r="V1040" s="36" t="n">
        <x:v>2</x:v>
      </x:c>
      <x:c r="W1040" s="36" t="str">
        <x:v>Weil sie in Jesus, dem Sohn Gottes, einen großen Hohenpriester haben, der die Himmel durchschritten hat.</x:v>
      </x:c>
      <x:c r="X1040" s="36" t="str">
        <x:v>Hebräer 4,14</x:v>
      </x:c>
      <x:c r="Y1040" s="36" t="str">
        <x:v>Das Festhalten wird mit Jesu gegenwärtigem priesterlichem Dienst begründet.</x:v>
      </x:c>
      <x:c r="Z1040" s="36" t="str">
        <x:v>JA</x:v>
      </x:c>
      <x:c r="AA1040" s="36" t="str">
        <x:v>JA</x:v>
      </x:c>
      <x:c r="AB1040" s="36" t="str">
        <x:v>JA</x:v>
      </x:c>
      <x:c r="AC1040" s="36" t="str">
        <x:v>JA</x:v>
      </x:c>
      <x:c r="AD1040" s="36" t="str">
        <x:v>JA</x:v>
      </x:c>
      <x:c r="AE1040" s="36" t="str">
        <x:v>JA</x:v>
      </x:c>
      <x:c r="AF1040" s="36" t="str">
        <x:v>JA</x:v>
      </x:c>
      <x:c r="AG1040" s="36" t="str">
        <x:v>FREIGEGEBEN</x:v>
      </x:c>
      <x:c r="AH1040" s="36" t="str">
        <x:v>GPT-5.6 Sol · Buchprüfung Hebräer · L1912/OTB</x:v>
      </x:c>
      <x:c r="AI1040" s="36" t="str">
        <x:v>FREIGEGEBEN</x:v>
      </x:c>
      <x:c r="AJ1040" s="36" t="str">
        <x:v>Hebräer 4: neue textnahe HOHEPRIESTER-Frage redaktionell freigegeben.</x:v>
      </x:c>
      <x:c r="AK1040" s="36" t="str">
        <x:v>FaithPath repo develop/v4 · data/bibles/l1912/HEB.json · data/bibles/otb/HEB.json</x:v>
      </x:c>
      <x:c r="AL1040" t="str">
        <x:v>JA</x:v>
      </x:c>
    </x:row>
    <x:row r="1041">
      <x:c r="A1041" t="str">
        <x:v>FP-1300</x:v>
      </x:c>
      <x:c r="B1041" t="str">
        <x:v>HEB</x:v>
      </x:c>
      <x:c r="C1041" t="str">
        <x:v>Hebräer</x:v>
      </x:c>
      <x:c r="D1041" t="n">
        <x:v>4</x:v>
      </x:c>
      <x:c r="E1041" t="n">
        <x:v>5</x:v>
      </x:c>
      <x:c r="F1041" t="str">
        <x:v>HEB-004</x:v>
      </x:c>
      <x:c r="G1041" t="n">
        <x:v>208</x:v>
      </x:c>
      <x:c r="H1041" t="str">
        <x:v>CQ-A19</x:v>
      </x:c>
      <x:c r="I1041" s="36" t="str">
        <x:v>Bestandsfrage: exakter Wortlaut in diesem Arbeitsschritt nicht rekonstruiert.</x:v>
      </x:c>
      <x:c r="J1041" s="36"/>
      <x:c r="K1041" s="36"/>
      <x:c r="L1041" s="36" t="str">
        <x:v>MASTER_STATUS_VERIFIZIERT</x:v>
      </x:c>
      <x:c r="M1041" s="36" t="str">
        <x:v>ERSETZEN</x:v>
      </x:c>
      <x:c r="N1041" s="36" t="str">
        <x:v>BESTAND_NOCH_NICHT_GEPRÜFT</x:v>
      </x:c>
      <x:c r="O1041" s="36" t="str">
        <x:v>DIDAKTISCHE_NEUFASSUNG</x:v>
      </x:c>
      <x:c r="P1041" s="36" t="str">
        <x:v>GNADE</x:v>
      </x:c>
      <x:c r="Q1041" s="36" t="str">
        <x:v>Warum dürfen Glaubende mit Zuversicht zum Thron der Gnade kommen?</x:v>
      </x:c>
      <x:c r="R1041" s="36" t="str">
        <x:v>Weil Sünde vor Gott keine Bedeutung hat.</x:v>
      </x:c>
      <x:c r="S1041" s="36" t="str">
        <x:v>Weil sie aus eigener Leistung Anspruch auf Hilfe haben.</x:v>
      </x:c>
      <x:c r="T1041" s="36" t="str">
        <x:v>Weil Versuchung Jesus völlig unbekannt war.</x:v>
      </x:c>
      <x:c r="U1041" s="36" t="str">
        <x:v>Weil Jesus mit ihren Schwächen mitfühlen kann und doch ohne Sünde blieb.</x:v>
      </x:c>
      <x:c r="V1041" s="36" t="n">
        <x:v>3</x:v>
      </x:c>
      <x:c r="W1041" s="36" t="str">
        <x:v>Weil Jesus mit ihren Schwächen mitfühlen kann und doch ohne Sünde blieb.</x:v>
      </x:c>
      <x:c r="X1041" s="36" t="str">
        <x:v>Hebräer 4,15–16</x:v>
      </x:c>
      <x:c r="Y1041" s="36" t="str">
        <x:v>Jesu Sündlosigkeit und sein Mitgefühl begründen den freien Zugang zu Barmherzigkeit und rechtzeitiger Gnade.</x:v>
      </x:c>
      <x:c r="Z1041" s="36" t="str">
        <x:v>JA</x:v>
      </x:c>
      <x:c r="AA1041" s="36" t="str">
        <x:v>JA</x:v>
      </x:c>
      <x:c r="AB1041" s="36" t="str">
        <x:v>JA</x:v>
      </x:c>
      <x:c r="AC1041" s="36" t="str">
        <x:v>JA</x:v>
      </x:c>
      <x:c r="AD1041" s="36" t="str">
        <x:v>JA</x:v>
      </x:c>
      <x:c r="AE1041" s="36" t="str">
        <x:v>JA</x:v>
      </x:c>
      <x:c r="AF1041" s="36" t="str">
        <x:v>JA</x:v>
      </x:c>
      <x:c r="AG1041" s="36" t="str">
        <x:v>FREIGEGEBEN</x:v>
      </x:c>
      <x:c r="AH1041" s="36" t="str">
        <x:v>GPT-5.6 Sol · Buchprüfung Hebräer · L1912/OTB</x:v>
      </x:c>
      <x:c r="AI1041" s="36" t="str">
        <x:v>FREIGEGEBEN</x:v>
      </x:c>
      <x:c r="AJ1041" s="36" t="str">
        <x:v>Hebräer 4: neue textnahe GNADE-Frage redaktionell freigegeben.</x:v>
      </x:c>
      <x:c r="AK1041" s="36" t="str">
        <x:v>FaithPath repo develop/v4 · data/bibles/l1912/HEB.json · data/bibles/otb/HEB.json</x:v>
      </x:c>
      <x:c r="AL1041" t="str">
        <x:v>JA</x:v>
      </x:c>
    </x:row>
    <x:row r="1042">
      <x:c r="A1042" t="str">
        <x:v>FP-1301</x:v>
      </x:c>
      <x:c r="B1042" t="str">
        <x:v>HEB</x:v>
      </x:c>
      <x:c r="C1042" t="str">
        <x:v>Hebräer</x:v>
      </x:c>
      <x:c r="D1042" t="n">
        <x:v>5</x:v>
      </x:c>
      <x:c r="E1042" t="n">
        <x:v>1</x:v>
      </x:c>
      <x:c r="F1042" t="str">
        <x:v>HEB-005</x:v>
      </x:c>
      <x:c r="G1042" t="n">
        <x:v>209</x:v>
      </x:c>
      <x:c r="H1042" t="str">
        <x:v>CQ-A19</x:v>
      </x:c>
      <x:c r="I1042" s="36" t="str">
        <x:v>Bestandsfrage: exakter Wortlaut in diesem Arbeitsschritt nicht rekonstruiert.</x:v>
      </x:c>
      <x:c r="J1042" s="36"/>
      <x:c r="K1042" s="36"/>
      <x:c r="L1042" s="36" t="str">
        <x:v>MASTER_STATUS_VERIFIZIERT</x:v>
      </x:c>
      <x:c r="M1042" s="36" t="str">
        <x:v>ERSETZEN</x:v>
      </x:c>
      <x:c r="N1042" s="36" t="str">
        <x:v>BESTAND_NOCH_NICHT_GEPRÜFT</x:v>
      </x:c>
      <x:c r="O1042" s="36" t="str">
        <x:v>DIDAKTISCHE_NEUFASSUNG</x:v>
      </x:c>
      <x:c r="P1042" s="36" t="str">
        <x:v>PRIESTERTUM</x:v>
      </x:c>
      <x:c r="Q1042" s="36" t="str">
        <x:v>Wie gelangt jemand nach Hebräer 5 zum hohenpriesterlichen Dienst?</x:v>
      </x:c>
      <x:c r="R1042" s="36" t="str">
        <x:v>Nicht durch Selbsternennung, sondern durch Berufung von Gott.</x:v>
      </x:c>
      <x:c r="S1042" s="36" t="str">
        <x:v>Durch gesellschaftliche Wahl allein.</x:v>
      </x:c>
      <x:c r="T1042" s="36" t="str">
        <x:v>Durch möglichst großen Reichtum.</x:v>
      </x:c>
      <x:c r="U1042" s="36" t="str">
        <x:v>Durch persönliche Selbsterhöhung.</x:v>
      </x:c>
      <x:c r="V1042" s="36" t="n">
        <x:v>0</x:v>
      </x:c>
      <x:c r="W1042" s="36" t="str">
        <x:v>Nicht durch Selbsternennung, sondern durch Berufung von Gott.</x:v>
      </x:c>
      <x:c r="X1042" s="36" t="str">
        <x:v>Hebräer 5,1–4</x:v>
      </x:c>
      <x:c r="Y1042" s="36" t="str">
        <x:v>Der hohepriesterliche Dienst wird als von Gott verliehene Berufung beschrieben.</x:v>
      </x:c>
      <x:c r="Z1042" s="36" t="str">
        <x:v>JA</x:v>
      </x:c>
      <x:c r="AA1042" s="36" t="str">
        <x:v>JA</x:v>
      </x:c>
      <x:c r="AB1042" s="36" t="str">
        <x:v>JA</x:v>
      </x:c>
      <x:c r="AC1042" s="36" t="str">
        <x:v>JA</x:v>
      </x:c>
      <x:c r="AD1042" s="36" t="str">
        <x:v>JA</x:v>
      </x:c>
      <x:c r="AE1042" s="36" t="str">
        <x:v>JA</x:v>
      </x:c>
      <x:c r="AF1042" s="36" t="str">
        <x:v>JA</x:v>
      </x:c>
      <x:c r="AG1042" s="36" t="str">
        <x:v>FREIGEGEBEN</x:v>
      </x:c>
      <x:c r="AH1042" s="36" t="str">
        <x:v>GPT-5.6 Sol · Buchprüfung Hebräer · L1912/OTB</x:v>
      </x:c>
      <x:c r="AI1042" s="36" t="str">
        <x:v>FREIGEGEBEN</x:v>
      </x:c>
      <x:c r="AJ1042" s="36" t="str">
        <x:v>Hebräer 5: neue textnahe PRIESTERTUM-Frage redaktionell freigegeben.</x:v>
      </x:c>
      <x:c r="AK1042" s="36" t="str">
        <x:v>FaithPath repo develop/v4 · data/bibles/l1912/HEB.json · data/bibles/otb/HEB.json</x:v>
      </x:c>
      <x:c r="AL1042" t="str">
        <x:v>JA</x:v>
      </x:c>
    </x:row>
    <x:row r="1043">
      <x:c r="A1043" t="str">
        <x:v>FP-1302</x:v>
      </x:c>
      <x:c r="B1043" t="str">
        <x:v>HEB</x:v>
      </x:c>
      <x:c r="C1043" t="str">
        <x:v>Hebräer</x:v>
      </x:c>
      <x:c r="D1043" t="n">
        <x:v>5</x:v>
      </x:c>
      <x:c r="E1043" t="n">
        <x:v>2</x:v>
      </x:c>
      <x:c r="F1043" t="str">
        <x:v>HEB-005</x:v>
      </x:c>
      <x:c r="G1043" t="n">
        <x:v>209</x:v>
      </x:c>
      <x:c r="H1043" t="str">
        <x:v>CQ-A19</x:v>
      </x:c>
      <x:c r="I1043" s="36" t="str">
        <x:v>Bestandsfrage: exakter Wortlaut in diesem Arbeitsschritt nicht rekonstruiert.</x:v>
      </x:c>
      <x:c r="J1043" s="36"/>
      <x:c r="K1043" s="36"/>
      <x:c r="L1043" s="36" t="str">
        <x:v>MASTER_STATUS_VERIFIZIERT</x:v>
      </x:c>
      <x:c r="M1043" s="36" t="str">
        <x:v>ERSETZEN</x:v>
      </x:c>
      <x:c r="N1043" s="36" t="str">
        <x:v>BESTAND_NOCH_NICHT_GEPRÜFT</x:v>
      </x:c>
      <x:c r="O1043" s="36" t="str">
        <x:v>DIDAKTISCHE_NEUFASSUNG</x:v>
      </x:c>
      <x:c r="P1043" s="36" t="str">
        <x:v>CHRISTUS</x:v>
      </x:c>
      <x:c r="Q1043" s="36" t="str">
        <x:v>Wie wird Christi Hohepriestertum begründet?</x:v>
      </x:c>
      <x:c r="R1043" s="36" t="str">
        <x:v>Christus übernimmt das Amt ohne Gottes Berufung.</x:v>
      </x:c>
      <x:c r="S1043" s="36" t="str">
        <x:v>Gott beruft ihn und bezeichnet ihn als Priester in Ewigkeit nach der Ordnung Melchisedeks.</x:v>
      </x:c>
      <x:c r="T1043" s="36" t="str">
        <x:v>Er stammt aus dem levitischen Priestergeschlecht Aarons.</x:v>
      </x:c>
      <x:c r="U1043" s="36" t="str">
        <x:v>Er erhält sein Amt nur für eine begrenzte Zeit.</x:v>
      </x:c>
      <x:c r="V1043" s="36" t="n">
        <x:v>1</x:v>
      </x:c>
      <x:c r="W1043" s="36" t="str">
        <x:v>Gott beruft ihn und bezeichnet ihn als Priester in Ewigkeit nach der Ordnung Melchisedeks.</x:v>
      </x:c>
      <x:c r="X1043" s="36" t="str">
        <x:v>Hebräer 5,5–6</x:v>
      </x:c>
      <x:c r="Y1043" s="36" t="str">
        <x:v>Der Autor verbindet Sohnschaft und die priesterliche Ordnung Melchisedeks mit Gottes Berufung Christi.</x:v>
      </x:c>
      <x:c r="Z1043" s="36" t="str">
        <x:v>JA</x:v>
      </x:c>
      <x:c r="AA1043" s="36" t="str">
        <x:v>JA</x:v>
      </x:c>
      <x:c r="AB1043" s="36" t="str">
        <x:v>JA</x:v>
      </x:c>
      <x:c r="AC1043" s="36" t="str">
        <x:v>JA</x:v>
      </x:c>
      <x:c r="AD1043" s="36" t="str">
        <x:v>JA</x:v>
      </x:c>
      <x:c r="AE1043" s="36" t="str">
        <x:v>JA</x:v>
      </x:c>
      <x:c r="AF1043" s="36" t="str">
        <x:v>JA</x:v>
      </x:c>
      <x:c r="AG1043" s="36" t="str">
        <x:v>FREIGEGEBEN</x:v>
      </x:c>
      <x:c r="AH1043" s="36" t="str">
        <x:v>GPT-5.6 Sol · Buchprüfung Hebräer · L1912/OTB</x:v>
      </x:c>
      <x:c r="AI1043" s="36" t="str">
        <x:v>FREIGEGEBEN</x:v>
      </x:c>
      <x:c r="AJ1043" s="36" t="str">
        <x:v>Hebräer 5: neue textnahe CHRISTUS-Frage redaktionell freigegeben.</x:v>
      </x:c>
      <x:c r="AK1043" s="36" t="str">
        <x:v>FaithPath repo develop/v4 · data/bibles/l1912/HEB.json · data/bibles/otb/HEB.json</x:v>
      </x:c>
      <x:c r="AL1043" t="str">
        <x:v>JA</x:v>
      </x:c>
    </x:row>
    <x:row r="1044">
      <x:c r="A1044" t="str">
        <x:v>FP-1303</x:v>
      </x:c>
      <x:c r="B1044" t="str">
        <x:v>HEB</x:v>
      </x:c>
      <x:c r="C1044" t="str">
        <x:v>Hebräer</x:v>
      </x:c>
      <x:c r="D1044" t="n">
        <x:v>5</x:v>
      </x:c>
      <x:c r="E1044" t="n">
        <x:v>3</x:v>
      </x:c>
      <x:c r="F1044" t="str">
        <x:v>HEB-005</x:v>
      </x:c>
      <x:c r="G1044" t="n">
        <x:v>209</x:v>
      </x:c>
      <x:c r="H1044" t="str">
        <x:v>CQ-A19</x:v>
      </x:c>
      <x:c r="I1044" s="36" t="str">
        <x:v>Bestandsfrage: exakter Wortlaut in diesem Arbeitsschritt nicht rekonstruiert.</x:v>
      </x:c>
      <x:c r="J1044" s="36"/>
      <x:c r="K1044" s="36"/>
      <x:c r="L1044" s="36" t="str">
        <x:v>MASTER_STATUS_VERIFIZIERT</x:v>
      </x:c>
      <x:c r="M1044" s="36" t="str">
        <x:v>ERSETZEN</x:v>
      </x:c>
      <x:c r="N1044" s="36" t="str">
        <x:v>BESTAND_NOCH_NICHT_GEPRÜFT</x:v>
      </x:c>
      <x:c r="O1044" s="36" t="str">
        <x:v>DIDAKTISCHE_NEUFASSUNG</x:v>
      </x:c>
      <x:c r="P1044" s="36" t="str">
        <x:v>GEHORSAM</x:v>
      </x:c>
      <x:c r="Q1044" s="36" t="str">
        <x:v>Was lernte Christus nach Hebräer 5 durch das, was er litt?</x:v>
      </x:c>
      <x:c r="R1044" s="36" t="str">
        <x:v>Misstrauen gegenüber Gott.</x:v>
      </x:c>
      <x:c r="S1044" s="36" t="str">
        <x:v>Wie man Leiden grundsätzlich vermeidet.</x:v>
      </x:c>
      <x:c r="T1044" s="36" t="str">
        <x:v>Gehorsam.</x:v>
      </x:c>
      <x:c r="U1044" s="36" t="str">
        <x:v>Dass seine Sendung beendet werden müsse.</x:v>
      </x:c>
      <x:c r="V1044" s="36" t="n">
        <x:v>2</x:v>
      </x:c>
      <x:c r="W1044" s="36" t="str">
        <x:v>Gehorsam.</x:v>
      </x:c>
      <x:c r="X1044" s="36" t="str">
        <x:v>Hebräer 5,7–9</x:v>
      </x:c>
      <x:c r="Y1044" s="36" t="str">
        <x:v>Der Text beschreibt Jesu Weg des gehorsamen Leidens und verbindet ihn mit seiner vollendeten Heilsfunktion.</x:v>
      </x:c>
      <x:c r="Z1044" s="36" t="str">
        <x:v>JA</x:v>
      </x:c>
      <x:c r="AA1044" s="36" t="str">
        <x:v>JA</x:v>
      </x:c>
      <x:c r="AB1044" s="36" t="str">
        <x:v>JA</x:v>
      </x:c>
      <x:c r="AC1044" s="36" t="str">
        <x:v>JA</x:v>
      </x:c>
      <x:c r="AD1044" s="36" t="str">
        <x:v>JA</x:v>
      </x:c>
      <x:c r="AE1044" s="36" t="str">
        <x:v>JA</x:v>
      </x:c>
      <x:c r="AF1044" s="36" t="str">
        <x:v>JA</x:v>
      </x:c>
      <x:c r="AG1044" s="36" t="str">
        <x:v>FREIGEGEBEN</x:v>
      </x:c>
      <x:c r="AH1044" s="36" t="str">
        <x:v>GPT-5.6 Sol · Buchprüfung Hebräer · L1912/OTB</x:v>
      </x:c>
      <x:c r="AI1044" s="36" t="str">
        <x:v>FREIGEGEBEN</x:v>
      </x:c>
      <x:c r="AJ1044" s="36" t="str">
        <x:v>Hebräer 5: neue textnahe GEHORSAM-Frage redaktionell freigegeben.</x:v>
      </x:c>
      <x:c r="AK1044" s="36" t="str">
        <x:v>FaithPath repo develop/v4 · data/bibles/l1912/HEB.json · data/bibles/otb/HEB.json</x:v>
      </x:c>
      <x:c r="AL1044" t="str">
        <x:v>JA</x:v>
      </x:c>
    </x:row>
    <x:row r="1045">
      <x:c r="A1045" t="str">
        <x:v>FP-1304</x:v>
      </x:c>
      <x:c r="B1045" t="str">
        <x:v>HEB</x:v>
      </x:c>
      <x:c r="C1045" t="str">
        <x:v>Hebräer</x:v>
      </x:c>
      <x:c r="D1045" t="n">
        <x:v>5</x:v>
      </x:c>
      <x:c r="E1045" t="n">
        <x:v>4</x:v>
      </x:c>
      <x:c r="F1045" t="str">
        <x:v>HEB-005</x:v>
      </x:c>
      <x:c r="G1045" t="n">
        <x:v>209</x:v>
      </x:c>
      <x:c r="H1045" t="str">
        <x:v>CQ-A19</x:v>
      </x:c>
      <x:c r="I1045" s="36" t="str">
        <x:v>Bestandsfrage: exakter Wortlaut in diesem Arbeitsschritt nicht rekonstruiert.</x:v>
      </x:c>
      <x:c r="J1045" s="36"/>
      <x:c r="K1045" s="36"/>
      <x:c r="L1045" s="36" t="str">
        <x:v>MASTER_STATUS_VERIFIZIERT</x:v>
      </x:c>
      <x:c r="M1045" s="36" t="str">
        <x:v>ERSETZEN</x:v>
      </x:c>
      <x:c r="N1045" s="36" t="str">
        <x:v>BESTAND_NOCH_NICHT_GEPRÜFT</x:v>
      </x:c>
      <x:c r="O1045" s="36" t="str">
        <x:v>DIDAKTISCHE_NEUFASSUNG</x:v>
      </x:c>
      <x:c r="P1045" s="36" t="str">
        <x:v>ERLÖSUNG</x:v>
      </x:c>
      <x:c r="Q1045" s="36" t="str">
        <x:v>Für wen wird Christus in Hebräer 5 zur Quelle ewigen Heils?</x:v>
      </x:c>
      <x:c r="R1045" s="36" t="str">
        <x:v>Nur für Hohepriester.</x:v>
      </x:c>
      <x:c r="S1045" s="36" t="str">
        <x:v>Nur für Menschen ohne jede Schwäche.</x:v>
      </x:c>
      <x:c r="T1045" s="36" t="str">
        <x:v>Nur für diejenigen, die aus Levi stammen.</x:v>
      </x:c>
      <x:c r="U1045" s="36" t="str">
        <x:v>Für alle, die ihm gehorchen.</x:v>
      </x:c>
      <x:c r="V1045" s="36" t="n">
        <x:v>3</x:v>
      </x:c>
      <x:c r="W1045" s="36" t="str">
        <x:v>Für alle, die ihm gehorchen.</x:v>
      </x:c>
      <x:c r="X1045" s="36" t="str">
        <x:v>Hebräer 5,9–10</x:v>
      </x:c>
      <x:c r="Y1045" s="36" t="str">
        <x:v>Die Aussage verbindet Jesu vollendeten priesterlichen Dienst mit ewigem Heil für die, die ihm folgen.</x:v>
      </x:c>
      <x:c r="Z1045" s="36" t="str">
        <x:v>JA</x:v>
      </x:c>
      <x:c r="AA1045" s="36" t="str">
        <x:v>JA</x:v>
      </x:c>
      <x:c r="AB1045" s="36" t="str">
        <x:v>JA</x:v>
      </x:c>
      <x:c r="AC1045" s="36" t="str">
        <x:v>JA</x:v>
      </x:c>
      <x:c r="AD1045" s="36" t="str">
        <x:v>JA</x:v>
      </x:c>
      <x:c r="AE1045" s="36" t="str">
        <x:v>JA</x:v>
      </x:c>
      <x:c r="AF1045" s="36" t="str">
        <x:v>JA</x:v>
      </x:c>
      <x:c r="AG1045" s="36" t="str">
        <x:v>FREIGEGEBEN</x:v>
      </x:c>
      <x:c r="AH1045" s="36" t="str">
        <x:v>GPT-5.6 Sol · Buchprüfung Hebräer · L1912/OTB</x:v>
      </x:c>
      <x:c r="AI1045" s="36" t="str">
        <x:v>FREIGEGEBEN</x:v>
      </x:c>
      <x:c r="AJ1045" s="36" t="str">
        <x:v>Hebräer 5: neue textnahe ERLÖSUNG-Frage redaktionell freigegeben.</x:v>
      </x:c>
      <x:c r="AK1045" s="36" t="str">
        <x:v>FaithPath repo develop/v4 · data/bibles/l1912/HEB.json · data/bibles/otb/HEB.json</x:v>
      </x:c>
      <x:c r="AL1045" t="str">
        <x:v>JA</x:v>
      </x:c>
    </x:row>
    <x:row r="1046">
      <x:c r="A1046" t="str">
        <x:v>FP-1305</x:v>
      </x:c>
      <x:c r="B1046" t="str">
        <x:v>HEB</x:v>
      </x:c>
      <x:c r="C1046" t="str">
        <x:v>Hebräer</x:v>
      </x:c>
      <x:c r="D1046" t="n">
        <x:v>5</x:v>
      </x:c>
      <x:c r="E1046" t="n">
        <x:v>5</x:v>
      </x:c>
      <x:c r="F1046" t="str">
        <x:v>HEB-005</x:v>
      </x:c>
      <x:c r="G1046" t="n">
        <x:v>209</x:v>
      </x:c>
      <x:c r="H1046" t="str">
        <x:v>CQ-A19</x:v>
      </x:c>
      <x:c r="I1046" s="36" t="str">
        <x:v>Bestandsfrage: exakter Wortlaut in diesem Arbeitsschritt nicht rekonstruiert.</x:v>
      </x:c>
      <x:c r="J1046" s="36"/>
      <x:c r="K1046" s="36"/>
      <x:c r="L1046" s="36" t="str">
        <x:v>MASTER_STATUS_VERIFIZIERT</x:v>
      </x:c>
      <x:c r="M1046" s="36" t="str">
        <x:v>ERSETZEN</x:v>
      </x:c>
      <x:c r="N1046" s="36" t="str">
        <x:v>BESTAND_NOCH_NICHT_GEPRÜFT</x:v>
      </x:c>
      <x:c r="O1046" s="36" t="str">
        <x:v>DIDAKTISCHE_NEUFASSUNG</x:v>
      </x:c>
      <x:c r="P1046" s="36" t="str">
        <x:v>REIFE</x:v>
      </x:c>
      <x:c r="Q1046" s="36" t="str">
        <x:v>Woran erkennt man nach Hebräer 5 geistliche Reife?</x:v>
      </x:c>
      <x:c r="R1046" s="36" t="str">
        <x:v>An durch Übung geschultem Unterscheidungsvermögen zwischen Gut und Böse.</x:v>
      </x:c>
      <x:c r="S1046" s="36" t="str">
        <x:v>Daran, nur noch einfache Grundlagen hören zu wollen.</x:v>
      </x:c>
      <x:c r="T1046" s="36" t="str">
        <x:v>Daran, niemals mehr lernen zu müssen.</x:v>
      </x:c>
      <x:c r="U1046" s="36" t="str">
        <x:v>Daran, möglichst viele Streitfragen zu kennen.</x:v>
      </x:c>
      <x:c r="V1046" s="36" t="n">
        <x:v>0</x:v>
      </x:c>
      <x:c r="W1046" s="36" t="str">
        <x:v>An durch Übung geschultem Unterscheidungsvermögen zwischen Gut und Böse.</x:v>
      </x:c>
      <x:c r="X1046" s="36" t="str">
        <x:v>Hebräer 5,11–14</x:v>
      </x:c>
      <x:c r="Y1046" s="36" t="str">
        <x:v>Feste Nahrung steht für Reife; entscheidend ist eingeübte geistliche Unterscheidung.</x:v>
      </x:c>
      <x:c r="Z1046" s="36" t="str">
        <x:v>JA</x:v>
      </x:c>
      <x:c r="AA1046" s="36" t="str">
        <x:v>JA</x:v>
      </x:c>
      <x:c r="AB1046" s="36" t="str">
        <x:v>JA</x:v>
      </x:c>
      <x:c r="AC1046" s="36" t="str">
        <x:v>JA</x:v>
      </x:c>
      <x:c r="AD1046" s="36" t="str">
        <x:v>JA</x:v>
      </x:c>
      <x:c r="AE1046" s="36" t="str">
        <x:v>JA</x:v>
      </x:c>
      <x:c r="AF1046" s="36" t="str">
        <x:v>JA</x:v>
      </x:c>
      <x:c r="AG1046" s="36" t="str">
        <x:v>FREIGEGEBEN</x:v>
      </x:c>
      <x:c r="AH1046" s="36" t="str">
        <x:v>GPT-5.6 Sol · Buchprüfung Hebräer · L1912/OTB</x:v>
      </x:c>
      <x:c r="AI1046" s="36" t="str">
        <x:v>FREIGEGEBEN</x:v>
      </x:c>
      <x:c r="AJ1046" s="36" t="str">
        <x:v>Hebräer 5: neue textnahe REIFE-Frage redaktionell freigegeben.</x:v>
      </x:c>
      <x:c r="AK1046" s="36" t="str">
        <x:v>FaithPath repo develop/v4 · data/bibles/l1912/HEB.json · data/bibles/otb/HEB.json</x:v>
      </x:c>
      <x:c r="AL1046" t="str">
        <x:v>JA</x:v>
      </x:c>
    </x:row>
    <x:row r="1047">
      <x:c r="A1047" t="str">
        <x:v>FP-1306</x:v>
      </x:c>
      <x:c r="B1047" t="str">
        <x:v>HEB</x:v>
      </x:c>
      <x:c r="C1047" t="str">
        <x:v>Hebräer</x:v>
      </x:c>
      <x:c r="D1047" t="n">
        <x:v>6</x:v>
      </x:c>
      <x:c r="E1047" t="n">
        <x:v>1</x:v>
      </x:c>
      <x:c r="F1047" t="str">
        <x:v>HEB-006</x:v>
      </x:c>
      <x:c r="G1047" t="n">
        <x:v>210</x:v>
      </x:c>
      <x:c r="H1047" t="str">
        <x:v>CQ-A19</x:v>
      </x:c>
      <x:c r="I1047" s="36" t="str">
        <x:v>Bestandsfrage: exakter Wortlaut in diesem Arbeitsschritt nicht rekonstruiert.</x:v>
      </x:c>
      <x:c r="J1047" s="36"/>
      <x:c r="K1047" s="36"/>
      <x:c r="L1047" s="36" t="str">
        <x:v>MASTER_STATUS_VERIFIZIERT</x:v>
      </x:c>
      <x:c r="M1047" s="36" t="str">
        <x:v>ERSETZEN</x:v>
      </x:c>
      <x:c r="N1047" s="36" t="str">
        <x:v>BESTAND_NOCH_NICHT_GEPRÜFT</x:v>
      </x:c>
      <x:c r="O1047" s="36" t="str">
        <x:v>DIDAKTISCHE_NEUFASSUNG</x:v>
      </x:c>
      <x:c r="P1047" s="36" t="str">
        <x:v>REIFE</x:v>
      </x:c>
      <x:c r="Q1047" s="36" t="str">
        <x:v>Wozu fordert Hebräer 6 nach den grundlegenden Lehren auf?</x:v>
      </x:c>
      <x:c r="R1047" s="36" t="str">
        <x:v>Immer wieder ausschließlich beim Anfang zu bleiben.</x:v>
      </x:c>
      <x:c r="S1047" s="36" t="str">
        <x:v>Zur Reife weiterzugehen.</x:v>
      </x:c>
      <x:c r="T1047" s="36" t="str">
        <x:v>Die Grundlagen des Glaubens zu verwerfen.</x:v>
      </x:c>
      <x:c r="U1047" s="36" t="str">
        <x:v>Nur noch über Spekulationen zu sprechen.</x:v>
      </x:c>
      <x:c r="V1047" s="36" t="n">
        <x:v>1</x:v>
      </x:c>
      <x:c r="W1047" s="36" t="str">
        <x:v>Zur Reife weiterzugehen.</x:v>
      </x:c>
      <x:c r="X1047" s="36" t="str">
        <x:v>Hebräer 6,1–3</x:v>
      </x:c>
      <x:c r="Y1047" s="36" t="str">
        <x:v>Der Autor will die Grundlagen nicht abwerten, sondern auf ihnen zu geistlicher Reife weiterbauen.</x:v>
      </x:c>
      <x:c r="Z1047" s="36" t="str">
        <x:v>JA</x:v>
      </x:c>
      <x:c r="AA1047" s="36" t="str">
        <x:v>JA</x:v>
      </x:c>
      <x:c r="AB1047" s="36" t="str">
        <x:v>JA</x:v>
      </x:c>
      <x:c r="AC1047" s="36" t="str">
        <x:v>JA</x:v>
      </x:c>
      <x:c r="AD1047" s="36" t="str">
        <x:v>JA</x:v>
      </x:c>
      <x:c r="AE1047" s="36" t="str">
        <x:v>JA</x:v>
      </x:c>
      <x:c r="AF1047" s="36" t="str">
        <x:v>JA</x:v>
      </x:c>
      <x:c r="AG1047" s="36" t="str">
        <x:v>FREIGEGEBEN</x:v>
      </x:c>
      <x:c r="AH1047" s="36" t="str">
        <x:v>GPT-5.6 Sol · Buchprüfung Hebräer · L1912/OTB</x:v>
      </x:c>
      <x:c r="AI1047" s="36" t="str">
        <x:v>FREIGEGEBEN</x:v>
      </x:c>
      <x:c r="AJ1047" s="36" t="str">
        <x:v>Hebräer 6: neue textnahe REIFE-Frage redaktionell freigegeben.</x:v>
      </x:c>
      <x:c r="AK1047" s="36" t="str">
        <x:v>FaithPath repo develop/v4 · data/bibles/l1912/HEB.json · data/bibles/otb/HEB.json</x:v>
      </x:c>
      <x:c r="AL1047" t="str">
        <x:v>JA</x:v>
      </x:c>
    </x:row>
    <x:row r="1048">
      <x:c r="A1048" t="str">
        <x:v>FP-1307</x:v>
      </x:c>
      <x:c r="B1048" t="str">
        <x:v>HEB</x:v>
      </x:c>
      <x:c r="C1048" t="str">
        <x:v>Hebräer</x:v>
      </x:c>
      <x:c r="D1048" t="n">
        <x:v>6</x:v>
      </x:c>
      <x:c r="E1048" t="n">
        <x:v>2</x:v>
      </x:c>
      <x:c r="F1048" t="str">
        <x:v>HEB-006</x:v>
      </x:c>
      <x:c r="G1048" t="n">
        <x:v>210</x:v>
      </x:c>
      <x:c r="H1048" t="str">
        <x:v>CQ-A19</x:v>
      </x:c>
      <x:c r="I1048" s="36" t="str">
        <x:v>Bestandsfrage: exakter Wortlaut in diesem Arbeitsschritt nicht rekonstruiert.</x:v>
      </x:c>
      <x:c r="J1048" s="36"/>
      <x:c r="K1048" s="36"/>
      <x:c r="L1048" s="36" t="str">
        <x:v>MASTER_STATUS_VERIFIZIERT</x:v>
      </x:c>
      <x:c r="M1048" s="36" t="str">
        <x:v>ERSETZEN</x:v>
      </x:c>
      <x:c r="N1048" s="36" t="str">
        <x:v>BESTAND_NOCH_NICHT_GEPRÜFT</x:v>
      </x:c>
      <x:c r="O1048" s="36" t="str">
        <x:v>DIDAKTISCHE_NEUFASSUNG</x:v>
      </x:c>
      <x:c r="P1048" s="36" t="str">
        <x:v>WARNUNG</x:v>
      </x:c>
      <x:c r="Q1048" s="36" t="str">
        <x:v>Welchen ernsten Punkt macht die Warnpassage in Hebräer 6?</x:v>
      </x:c>
      <x:c r="R1048" s="36" t="str">
        <x:v>Jede einzelne Sünde sei automatisch unvergebbar.</x:v>
      </x:c>
      <x:c r="S1048" s="36" t="str">
        <x:v>Jeder Zweifel bedeute bereits endgültigen Abfall.</x:v>
      </x:c>
      <x:c r="T1048" s="36" t="str">
        <x:v>Bewusster Abfall nach tiefgreifender Teilhabe an den Gaben Gottes wird als äußerst ernst und nicht leicht rückgängig zu machen beschrieben.</x:v>
      </x:c>
      <x:c r="U1048" s="36" t="str">
        <x:v>Gott verweigere grundsätzlich jede Buße.</x:v>
      </x:c>
      <x:c r="V1048" s="36" t="n">
        <x:v>2</x:v>
      </x:c>
      <x:c r="W1048" s="36" t="str">
        <x:v>Bewusster Abfall nach tiefgreifender Teilhabe an den Gaben Gottes wird als äußerst ernst und nicht leicht rückgängig zu machen beschrieben.</x:v>
      </x:c>
      <x:c r="X1048" s="36" t="str">
        <x:v>Hebräer 6,4–8</x:v>
      </x:c>
      <x:c r="Y1048" s="36" t="str">
        <x:v>Die Passage ist bewusst scharf formuliert und warnt vor entschiedener Abkehr, nicht vor jedem einzelnen Versagen oder jeder Anfechtung.</x:v>
      </x:c>
      <x:c r="Z1048" s="36" t="str">
        <x:v>JA</x:v>
      </x:c>
      <x:c r="AA1048" s="36" t="str">
        <x:v>JA</x:v>
      </x:c>
      <x:c r="AB1048" s="36" t="str">
        <x:v>JA</x:v>
      </x:c>
      <x:c r="AC1048" s="36" t="str">
        <x:v>JA</x:v>
      </x:c>
      <x:c r="AD1048" s="36" t="str">
        <x:v>JA</x:v>
      </x:c>
      <x:c r="AE1048" s="36" t="str">
        <x:v>JA</x:v>
      </x:c>
      <x:c r="AF1048" s="36" t="str">
        <x:v>JA</x:v>
      </x:c>
      <x:c r="AG1048" s="36" t="str">
        <x:v>FREIGEGEBEN</x:v>
      </x:c>
      <x:c r="AH1048" s="36" t="str">
        <x:v>GPT-5.6 Sol · Buchprüfung Hebräer · L1912/OTB</x:v>
      </x:c>
      <x:c r="AI1048" s="36" t="str">
        <x:v>FREIGEGEBEN</x:v>
      </x:c>
      <x:c r="AJ1048" s="36" t="str">
        <x:v>Hebräer 6: neue textnahe WARNUNG-Frage redaktionell freigegeben.</x:v>
      </x:c>
      <x:c r="AK1048" s="36" t="str">
        <x:v>FaithPath repo develop/v4 · data/bibles/l1912/HEB.json · data/bibles/otb/HEB.json</x:v>
      </x:c>
      <x:c r="AL1048" t="str">
        <x:v>JA</x:v>
      </x:c>
    </x:row>
    <x:row r="1049">
      <x:c r="A1049" t="str">
        <x:v>FP-1308</x:v>
      </x:c>
      <x:c r="B1049" t="str">
        <x:v>HEB</x:v>
      </x:c>
      <x:c r="C1049" t="str">
        <x:v>Hebräer</x:v>
      </x:c>
      <x:c r="D1049" t="n">
        <x:v>6</x:v>
      </x:c>
      <x:c r="E1049" t="n">
        <x:v>3</x:v>
      </x:c>
      <x:c r="F1049" t="str">
        <x:v>HEB-006</x:v>
      </x:c>
      <x:c r="G1049" t="n">
        <x:v>210</x:v>
      </x:c>
      <x:c r="H1049" t="str">
        <x:v>CQ-A19</x:v>
      </x:c>
      <x:c r="I1049" s="36" t="str">
        <x:v>Bestandsfrage: exakter Wortlaut in diesem Arbeitsschritt nicht rekonstruiert.</x:v>
      </x:c>
      <x:c r="J1049" s="36"/>
      <x:c r="K1049" s="36"/>
      <x:c r="L1049" s="36" t="str">
        <x:v>MASTER_STATUS_VERIFIZIERT</x:v>
      </x:c>
      <x:c r="M1049" s="36" t="str">
        <x:v>ERSETZEN</x:v>
      </x:c>
      <x:c r="N1049" s="36" t="str">
        <x:v>BESTAND_NOCH_NICHT_GEPRÜFT</x:v>
      </x:c>
      <x:c r="O1049" s="36" t="str">
        <x:v>DIDAKTISCHE_NEUFASSUNG</x:v>
      </x:c>
      <x:c r="P1049" s="36" t="str">
        <x:v>ERINNERUNG</x:v>
      </x:c>
      <x:c r="Q1049" s="36" t="str">
        <x:v>Warum ist der Autor trotz seiner Warnung zuversichtlich im Blick auf die Leser?</x:v>
      </x:c>
      <x:c r="R1049" s="36" t="str">
        <x:v>Weil ihre Zukunft unabhängig von ihrem Leben garantiert sei.</x:v>
      </x:c>
      <x:c r="S1049" s="36" t="str">
        <x:v>Weil sie keinerlei weitere Ausdauer brauchen.</x:v>
      </x:c>
      <x:c r="T1049" s="36" t="str">
        <x:v>Weil gute Werke Gottes Gnade ersetzen.</x:v>
      </x:c>
      <x:c r="U1049" s="36" t="str">
        <x:v>Weil Gott ihre Arbeit und die Liebe nicht vergisst, die sie im Dienst an den Heiligen gezeigt haben.</x:v>
      </x:c>
      <x:c r="V1049" s="36" t="n">
        <x:v>3</x:v>
      </x:c>
      <x:c r="W1049" s="36" t="str">
        <x:v>Weil Gott ihre Arbeit und die Liebe nicht vergisst, die sie im Dienst an den Heiligen gezeigt haben.</x:v>
      </x:c>
      <x:c r="X1049" s="36" t="str">
        <x:v>Hebräer 6,9–10</x:v>
      </x:c>
      <x:c r="Y1049" s="36" t="str">
        <x:v>Nach der Warnung folgt bewusste Ermutigung: gelebte Liebe und Dienst werden von Gott nicht übersehen.</x:v>
      </x:c>
      <x:c r="Z1049" s="36" t="str">
        <x:v>JA</x:v>
      </x:c>
      <x:c r="AA1049" s="36" t="str">
        <x:v>JA</x:v>
      </x:c>
      <x:c r="AB1049" s="36" t="str">
        <x:v>JA</x:v>
      </x:c>
      <x:c r="AC1049" s="36" t="str">
        <x:v>JA</x:v>
      </x:c>
      <x:c r="AD1049" s="36" t="str">
        <x:v>JA</x:v>
      </x:c>
      <x:c r="AE1049" s="36" t="str">
        <x:v>JA</x:v>
      </x:c>
      <x:c r="AF1049" s="36" t="str">
        <x:v>JA</x:v>
      </x:c>
      <x:c r="AG1049" s="36" t="str">
        <x:v>FREIGEGEBEN</x:v>
      </x:c>
      <x:c r="AH1049" s="36" t="str">
        <x:v>GPT-5.6 Sol · Buchprüfung Hebräer · L1912/OTB</x:v>
      </x:c>
      <x:c r="AI1049" s="36" t="str">
        <x:v>FREIGEGEBEN</x:v>
      </x:c>
      <x:c r="AJ1049" s="36" t="str">
        <x:v>Hebräer 6: neue textnahe ERINNERUNG-Frage redaktionell freigegeben.</x:v>
      </x:c>
      <x:c r="AK1049" s="36" t="str">
        <x:v>FaithPath repo develop/v4 · data/bibles/l1912/HEB.json · data/bibles/otb/HEB.json</x:v>
      </x:c>
      <x:c r="AL1049" t="str">
        <x:v>JA</x:v>
      </x:c>
    </x:row>
    <x:row r="1050">
      <x:c r="A1050" t="str">
        <x:v>FP-1309</x:v>
      </x:c>
      <x:c r="B1050" t="str">
        <x:v>HEB</x:v>
      </x:c>
      <x:c r="C1050" t="str">
        <x:v>Hebräer</x:v>
      </x:c>
      <x:c r="D1050" t="n">
        <x:v>6</x:v>
      </x:c>
      <x:c r="E1050" t="n">
        <x:v>4</x:v>
      </x:c>
      <x:c r="F1050" t="str">
        <x:v>HEB-006</x:v>
      </x:c>
      <x:c r="G1050" t="n">
        <x:v>210</x:v>
      </x:c>
      <x:c r="H1050" t="str">
        <x:v>CQ-A19</x:v>
      </x:c>
      <x:c r="I1050" s="36" t="str">
        <x:v>Bestandsfrage: exakter Wortlaut in diesem Arbeitsschritt nicht rekonstruiert.</x:v>
      </x:c>
      <x:c r="J1050" s="36"/>
      <x:c r="K1050" s="36"/>
      <x:c r="L1050" s="36" t="str">
        <x:v>MASTER_STATUS_VERIFIZIERT</x:v>
      </x:c>
      <x:c r="M1050" s="36" t="str">
        <x:v>ERSETZEN</x:v>
      </x:c>
      <x:c r="N1050" s="36" t="str">
        <x:v>BESTAND_NOCH_NICHT_GEPRÜFT</x:v>
      </x:c>
      <x:c r="O1050" s="36" t="str">
        <x:v>DIDAKTISCHE_NEUFASSUNG</x:v>
      </x:c>
      <x:c r="P1050" s="36" t="str">
        <x:v>AUSDAUER</x:v>
      </x:c>
      <x:c r="Q1050" s="36" t="str">
        <x:v>Wen sollen die Glaubenden nachahmen?</x:v>
      </x:c>
      <x:c r="R1050" s="36" t="str">
        <x:v>Diejenigen, die durch Glauben und Geduld die Verheißungen erben.</x:v>
      </x:c>
      <x:c r="S1050" s="36" t="str">
        <x:v>Menschen, die jede Schwierigkeit vermeiden.</x:v>
      </x:c>
      <x:c r="T1050" s="36" t="str">
        <x:v>Nur besonders bekannte Leiter.</x:v>
      </x:c>
      <x:c r="U1050" s="36" t="str">
        <x:v>Menschen, die ihre Hoffnung aufgeben.</x:v>
      </x:c>
      <x:c r="V1050" s="36" t="n">
        <x:v>0</x:v>
      </x:c>
      <x:c r="W1050" s="36" t="str">
        <x:v>Diejenigen, die durch Glauben und Geduld die Verheißungen erben.</x:v>
      </x:c>
      <x:c r="X1050" s="36" t="str">
        <x:v>Hebräer 6,11–15</x:v>
      </x:c>
      <x:c r="Y1050" s="36" t="str">
        <x:v>Glaube und Geduld gehören im Kapitel zusammen; Abraham dient dafür als Beispiel.</x:v>
      </x:c>
      <x:c r="Z1050" s="36" t="str">
        <x:v>JA</x:v>
      </x:c>
      <x:c r="AA1050" s="36" t="str">
        <x:v>JA</x:v>
      </x:c>
      <x:c r="AB1050" s="36" t="str">
        <x:v>JA</x:v>
      </x:c>
      <x:c r="AC1050" s="36" t="str">
        <x:v>JA</x:v>
      </x:c>
      <x:c r="AD1050" s="36" t="str">
        <x:v>JA</x:v>
      </x:c>
      <x:c r="AE1050" s="36" t="str">
        <x:v>JA</x:v>
      </x:c>
      <x:c r="AF1050" s="36" t="str">
        <x:v>JA</x:v>
      </x:c>
      <x:c r="AG1050" s="36" t="str">
        <x:v>FREIGEGEBEN</x:v>
      </x:c>
      <x:c r="AH1050" s="36" t="str">
        <x:v>GPT-5.6 Sol · Buchprüfung Hebräer · L1912/OTB</x:v>
      </x:c>
      <x:c r="AI1050" s="36" t="str">
        <x:v>FREIGEGEBEN</x:v>
      </x:c>
      <x:c r="AJ1050" s="36" t="str">
        <x:v>Hebräer 6: neue textnahe AUSDAUER-Frage redaktionell freigegeben.</x:v>
      </x:c>
      <x:c r="AK1050" s="36" t="str">
        <x:v>FaithPath repo develop/v4 · data/bibles/l1912/HEB.json · data/bibles/otb/HEB.json</x:v>
      </x:c>
      <x:c r="AL1050" t="str">
        <x:v>JA</x:v>
      </x:c>
    </x:row>
    <x:row r="1051">
      <x:c r="A1051" t="str">
        <x:v>FP-1310</x:v>
      </x:c>
      <x:c r="B1051" t="str">
        <x:v>HEB</x:v>
      </x:c>
      <x:c r="C1051" t="str">
        <x:v>Hebräer</x:v>
      </x:c>
      <x:c r="D1051" t="n">
        <x:v>6</x:v>
      </x:c>
      <x:c r="E1051" t="n">
        <x:v>5</x:v>
      </x:c>
      <x:c r="F1051" t="str">
        <x:v>HEB-006</x:v>
      </x:c>
      <x:c r="G1051" t="n">
        <x:v>210</x:v>
      </x:c>
      <x:c r="H1051" t="str">
        <x:v>CQ-A19</x:v>
      </x:c>
      <x:c r="I1051" s="36" t="str">
        <x:v>Bestandsfrage: exakter Wortlaut in diesem Arbeitsschritt nicht rekonstruiert.</x:v>
      </x:c>
      <x:c r="J1051" s="36"/>
      <x:c r="K1051" s="36"/>
      <x:c r="L1051" s="36" t="str">
        <x:v>MASTER_STATUS_VERIFIZIERT</x:v>
      </x:c>
      <x:c r="M1051" s="36" t="str">
        <x:v>ERSETZEN</x:v>
      </x:c>
      <x:c r="N1051" s="36" t="str">
        <x:v>BESTAND_NOCH_NICHT_GEPRÜFT</x:v>
      </x:c>
      <x:c r="O1051" s="36" t="str">
        <x:v>DIDAKTISCHE_NEUFASSUNG</x:v>
      </x:c>
      <x:c r="P1051" s="36" t="str">
        <x:v>HOFFNUNG</x:v>
      </x:c>
      <x:c r="Q1051" s="36" t="str">
        <x:v>Welches Bild verwendet Hebräer 6 für die Hoffnung?</x:v>
      </x:c>
      <x:c r="R1051" s="36" t="str">
        <x:v>Ein wechselndes Gefühl ohne festen Grund.</x:v>
      </x:c>
      <x:c r="S1051" s="36" t="str">
        <x:v>Einen sicheren und festen Anker der Seele, der bis hinter den Vorhang reicht, wohin Jesus vorausgegangen ist.</x:v>
      </x:c>
      <x:c r="T1051" s="36" t="str">
        <x:v>Ein Schiff ohne Anker.</x:v>
      </x:c>
      <x:c r="U1051" s="36" t="str">
        <x:v>Eine Erinnerung nur an vergangene Ereignisse.</x:v>
      </x:c>
      <x:c r="V1051" s="36" t="n">
        <x:v>1</x:v>
      </x:c>
      <x:c r="W1051" s="36" t="str">
        <x:v>Einen sicheren und festen Anker der Seele, der bis hinter den Vorhang reicht, wohin Jesus vorausgegangen ist.</x:v>
      </x:c>
      <x:c r="X1051" s="36" t="str">
        <x:v>Hebräer 6,17–20</x:v>
      </x:c>
      <x:c r="Y1051" s="36" t="str">
        <x:v>Die Hoffnung ist fest, weil sie in Gottes unveränderlicher Verheißung und Jesu priesterlichem Zugang gründet.</x:v>
      </x:c>
      <x:c r="Z1051" s="36" t="str">
        <x:v>JA</x:v>
      </x:c>
      <x:c r="AA1051" s="36" t="str">
        <x:v>JA</x:v>
      </x:c>
      <x:c r="AB1051" s="36" t="str">
        <x:v>JA</x:v>
      </x:c>
      <x:c r="AC1051" s="36" t="str">
        <x:v>JA</x:v>
      </x:c>
      <x:c r="AD1051" s="36" t="str">
        <x:v>JA</x:v>
      </x:c>
      <x:c r="AE1051" s="36" t="str">
        <x:v>JA</x:v>
      </x:c>
      <x:c r="AF1051" s="36" t="str">
        <x:v>JA</x:v>
      </x:c>
      <x:c r="AG1051" s="36" t="str">
        <x:v>FREIGEGEBEN</x:v>
      </x:c>
      <x:c r="AH1051" s="36" t="str">
        <x:v>GPT-5.6 Sol · Buchprüfung Hebräer · L1912/OTB</x:v>
      </x:c>
      <x:c r="AI1051" s="36" t="str">
        <x:v>FREIGEGEBEN</x:v>
      </x:c>
      <x:c r="AJ1051" s="36" t="str">
        <x:v>Hebräer 6: neue textnahe HOFFNUNG-Frage redaktionell freigegeben.</x:v>
      </x:c>
      <x:c r="AK1051" s="36" t="str">
        <x:v>FaithPath repo develop/v4 · data/bibles/l1912/HEB.json · data/bibles/otb/HEB.json</x:v>
      </x:c>
      <x:c r="AL1051" t="str">
        <x:v>JA</x:v>
      </x:c>
    </x:row>
    <x:row r="1052">
      <x:c r="A1052" t="str">
        <x:v>FP-1311</x:v>
      </x:c>
      <x:c r="B1052" t="str">
        <x:v>HEB</x:v>
      </x:c>
      <x:c r="C1052" t="str">
        <x:v>Hebräer</x:v>
      </x:c>
      <x:c r="D1052" t="n">
        <x:v>7</x:v>
      </x:c>
      <x:c r="E1052" t="n">
        <x:v>1</x:v>
      </x:c>
      <x:c r="F1052" t="str">
        <x:v>HEB-007</x:v>
      </x:c>
      <x:c r="G1052" t="n">
        <x:v>211</x:v>
      </x:c>
      <x:c r="H1052" t="str">
        <x:v>CQ-A19</x:v>
      </x:c>
      <x:c r="I1052" s="36" t="str">
        <x:v>Bestandsfrage: exakter Wortlaut in diesem Arbeitsschritt nicht rekonstruiert.</x:v>
      </x:c>
      <x:c r="J1052" s="36"/>
      <x:c r="K1052" s="36"/>
      <x:c r="L1052" s="36" t="str">
        <x:v>MASTER_STATUS_VERIFIZIERT</x:v>
      </x:c>
      <x:c r="M1052" s="36" t="str">
        <x:v>ERSETZEN</x:v>
      </x:c>
      <x:c r="N1052" s="36" t="str">
        <x:v>BESTAND_NOCH_NICHT_GEPRÜFT</x:v>
      </x:c>
      <x:c r="O1052" s="36" t="str">
        <x:v>DIDAKTISCHE_NEUFASSUNG</x:v>
      </x:c>
      <x:c r="P1052" s="36" t="str">
        <x:v>MELCHISEDEK</x:v>
      </x:c>
      <x:c r="Q1052" s="36" t="str">
        <x:v>Wie wird Melchisedek zu Beginn von Hebräer 7 vorgestellt?</x:v>
      </x:c>
      <x:c r="R1052" s="36" t="str">
        <x:v>Als Sohn Aarons.</x:v>
      </x:c>
      <x:c r="S1052" s="36" t="str">
        <x:v>Als König von Ägypten.</x:v>
      </x:c>
      <x:c r="T1052" s="36" t="str">
        <x:v>Als König von Salem und Priester des höchsten Gottes, der Abraham segnete.</x:v>
      </x:c>
      <x:c r="U1052" s="36" t="str">
        <x:v>Als einer der zwölf Apostel.</x:v>
      </x:c>
      <x:c r="V1052" s="36" t="n">
        <x:v>2</x:v>
      </x:c>
      <x:c r="W1052" s="36" t="str">
        <x:v>Als König von Salem und Priester des höchsten Gottes, der Abraham segnete.</x:v>
      </x:c>
      <x:c r="X1052" s="36" t="str">
        <x:v>Hebräer 7,1–3</x:v>
      </x:c>
      <x:c r="Y1052" s="36" t="str">
        <x:v>Der Autor greift die Begegnung Abrahams mit Melchisedek auf und nutzt sie für den Vergleich des Priestertums.</x:v>
      </x:c>
      <x:c r="Z1052" s="36" t="str">
        <x:v>JA</x:v>
      </x:c>
      <x:c r="AA1052" s="36" t="str">
        <x:v>JA</x:v>
      </x:c>
      <x:c r="AB1052" s="36" t="str">
        <x:v>JA</x:v>
      </x:c>
      <x:c r="AC1052" s="36" t="str">
        <x:v>JA</x:v>
      </x:c>
      <x:c r="AD1052" s="36" t="str">
        <x:v>JA</x:v>
      </x:c>
      <x:c r="AE1052" s="36" t="str">
        <x:v>JA</x:v>
      </x:c>
      <x:c r="AF1052" s="36" t="str">
        <x:v>JA</x:v>
      </x:c>
      <x:c r="AG1052" s="36" t="str">
        <x:v>FREIGEGEBEN</x:v>
      </x:c>
      <x:c r="AH1052" s="36" t="str">
        <x:v>GPT-5.6 Sol · Buchprüfung Hebräer · L1912/OTB</x:v>
      </x:c>
      <x:c r="AI1052" s="36" t="str">
        <x:v>FREIGEGEBEN</x:v>
      </x:c>
      <x:c r="AJ1052" s="36" t="str">
        <x:v>Hebräer 7: neue textnahe MELCHISEDEK-Frage redaktionell freigegeben.</x:v>
      </x:c>
      <x:c r="AK1052" s="36" t="str">
        <x:v>FaithPath repo develop/v4 · data/bibles/l1912/HEB.json · data/bibles/otb/HEB.json</x:v>
      </x:c>
      <x:c r="AL1052" t="str">
        <x:v>JA</x:v>
      </x:c>
    </x:row>
    <x:row r="1053">
      <x:c r="A1053" t="str">
        <x:v>FP-1312</x:v>
      </x:c>
      <x:c r="B1053" t="str">
        <x:v>HEB</x:v>
      </x:c>
      <x:c r="C1053" t="str">
        <x:v>Hebräer</x:v>
      </x:c>
      <x:c r="D1053" t="n">
        <x:v>7</x:v>
      </x:c>
      <x:c r="E1053" t="n">
        <x:v>2</x:v>
      </x:c>
      <x:c r="F1053" t="str">
        <x:v>HEB-007</x:v>
      </x:c>
      <x:c r="G1053" t="n">
        <x:v>211</x:v>
      </x:c>
      <x:c r="H1053" t="str">
        <x:v>CQ-A19</x:v>
      </x:c>
      <x:c r="I1053" s="36" t="str">
        <x:v>Bestandsfrage: exakter Wortlaut in diesem Arbeitsschritt nicht rekonstruiert.</x:v>
      </x:c>
      <x:c r="J1053" s="36"/>
      <x:c r="K1053" s="36"/>
      <x:c r="L1053" s="36" t="str">
        <x:v>MASTER_STATUS_VERIFIZIERT</x:v>
      </x:c>
      <x:c r="M1053" s="36" t="str">
        <x:v>ERSETZEN</x:v>
      </x:c>
      <x:c r="N1053" s="36" t="str">
        <x:v>BESTAND_NOCH_NICHT_GEPRÜFT</x:v>
      </x:c>
      <x:c r="O1053" s="36" t="str">
        <x:v>DIDAKTISCHE_NEUFASSUNG</x:v>
      </x:c>
      <x:c r="P1053" s="36" t="str">
        <x:v>VERGLEICH</x:v>
      </x:c>
      <x:c r="Q1053" s="36" t="str">
        <x:v>Was soll Abrahams Zehntgabe an Melchisedek verdeutlichen?</x:v>
      </x:c>
      <x:c r="R1053" s="36" t="str">
        <x:v>Dass Abraham Priester nach der Ordnung Aarons war.</x:v>
      </x:c>
      <x:c r="S1053" s="36" t="str">
        <x:v>Dass Melchisedek von Abraham abhängig war.</x:v>
      </x:c>
      <x:c r="T1053" s="36" t="str">
        <x:v>Dass der Zehnte im Kapitel als bedeutungslos gilt.</x:v>
      </x:c>
      <x:c r="U1053" s="36" t="str">
        <x:v>Die besondere Größe und Vorrangstellung Melchisedeks gegenüber Abraham.</x:v>
      </x:c>
      <x:c r="V1053" s="36" t="n">
        <x:v>3</x:v>
      </x:c>
      <x:c r="W1053" s="36" t="str">
        <x:v>Die besondere Größe und Vorrangstellung Melchisedeks gegenüber Abraham.</x:v>
      </x:c>
      <x:c r="X1053" s="36" t="str">
        <x:v>Hebräer 7,4–10</x:v>
      </x:c>
      <x:c r="Y1053" s="36" t="str">
        <x:v>Dass Abraham den Zehnten gibt und von Melchisedek gesegnet wird, dient dem Argument seiner Vorrangstellung.</x:v>
      </x:c>
      <x:c r="Z1053" s="36" t="str">
        <x:v>JA</x:v>
      </x:c>
      <x:c r="AA1053" s="36" t="str">
        <x:v>JA</x:v>
      </x:c>
      <x:c r="AB1053" s="36" t="str">
        <x:v>JA</x:v>
      </x:c>
      <x:c r="AC1053" s="36" t="str">
        <x:v>JA</x:v>
      </x:c>
      <x:c r="AD1053" s="36" t="str">
        <x:v>JA</x:v>
      </x:c>
      <x:c r="AE1053" s="36" t="str">
        <x:v>JA</x:v>
      </x:c>
      <x:c r="AF1053" s="36" t="str">
        <x:v>JA</x:v>
      </x:c>
      <x:c r="AG1053" s="36" t="str">
        <x:v>FREIGEGEBEN</x:v>
      </x:c>
      <x:c r="AH1053" s="36" t="str">
        <x:v>GPT-5.6 Sol · Buchprüfung Hebräer · L1912/OTB</x:v>
      </x:c>
      <x:c r="AI1053" s="36" t="str">
        <x:v>FREIGEGEBEN</x:v>
      </x:c>
      <x:c r="AJ1053" s="36" t="str">
        <x:v>Hebräer 7: neue textnahe VERGLEICH-Frage redaktionell freigegeben.</x:v>
      </x:c>
      <x:c r="AK1053" s="36" t="str">
        <x:v>FaithPath repo develop/v4 · data/bibles/l1912/HEB.json · data/bibles/otb/HEB.json</x:v>
      </x:c>
      <x:c r="AL1053" t="str">
        <x:v>JA</x:v>
      </x:c>
    </x:row>
    <x:row r="1054">
      <x:c r="A1054" t="str">
        <x:v>FP-1313</x:v>
      </x:c>
      <x:c r="B1054" t="str">
        <x:v>HEB</x:v>
      </x:c>
      <x:c r="C1054" t="str">
        <x:v>Hebräer</x:v>
      </x:c>
      <x:c r="D1054" t="n">
        <x:v>7</x:v>
      </x:c>
      <x:c r="E1054" t="n">
        <x:v>3</x:v>
      </x:c>
      <x:c r="F1054" t="str">
        <x:v>HEB-007</x:v>
      </x:c>
      <x:c r="G1054" t="n">
        <x:v>211</x:v>
      </x:c>
      <x:c r="H1054" t="str">
        <x:v>CQ-A19</x:v>
      </x:c>
      <x:c r="I1054" s="36" t="str">
        <x:v>Bestandsfrage: exakter Wortlaut in diesem Arbeitsschritt nicht rekonstruiert.</x:v>
      </x:c>
      <x:c r="J1054" s="36"/>
      <x:c r="K1054" s="36"/>
      <x:c r="L1054" s="36" t="str">
        <x:v>MASTER_STATUS_VERIFIZIERT</x:v>
      </x:c>
      <x:c r="M1054" s="36" t="str">
        <x:v>ERSETZEN</x:v>
      </x:c>
      <x:c r="N1054" s="36" t="str">
        <x:v>BESTAND_NOCH_NICHT_GEPRÜFT</x:v>
      </x:c>
      <x:c r="O1054" s="36" t="str">
        <x:v>DIDAKTISCHE_NEUFASSUNG</x:v>
      </x:c>
      <x:c r="P1054" s="36" t="str">
        <x:v>PRIESTERTUM</x:v>
      </x:c>
      <x:c r="Q1054" s="36" t="str">
        <x:v>Warum ist nach Hebräer 7 ein anderes Priestertum nötig?</x:v>
      </x:c>
      <x:c r="R1054" s="36" t="str">
        <x:v>Weil das levitische Priestertum die Vollkommenheit nicht hervorbringen konnte.</x:v>
      </x:c>
      <x:c r="S1054" s="36" t="str">
        <x:v>Weil die Leviten überhaupt keinen Dienst ausgeübt hätten.</x:v>
      </x:c>
      <x:c r="T1054" s="36" t="str">
        <x:v>Weil Mose das Priestertum vollständig verboten hatte.</x:v>
      </x:c>
      <x:c r="U1054" s="36" t="str">
        <x:v>Weil Jesus aus dem Stamm Levi stammt.</x:v>
      </x:c>
      <x:c r="V1054" s="36" t="n">
        <x:v>0</x:v>
      </x:c>
      <x:c r="W1054" s="36" t="str">
        <x:v>Weil das levitische Priestertum die Vollkommenheit nicht hervorbringen konnte.</x:v>
      </x:c>
      <x:c r="X1054" s="36" t="str">
        <x:v>Hebräer 7,11–19</x:v>
      </x:c>
      <x:c r="Y1054" s="36" t="str">
        <x:v>Der Wechsel zum Priestertum nach der Ordnung Melchisedeks wird mit der Unzulänglichkeit des bisherigen Systems begründet.</x:v>
      </x:c>
      <x:c r="Z1054" s="36" t="str">
        <x:v>JA</x:v>
      </x:c>
      <x:c r="AA1054" s="36" t="str">
        <x:v>JA</x:v>
      </x:c>
      <x:c r="AB1054" s="36" t="str">
        <x:v>JA</x:v>
      </x:c>
      <x:c r="AC1054" s="36" t="str">
        <x:v>JA</x:v>
      </x:c>
      <x:c r="AD1054" s="36" t="str">
        <x:v>JA</x:v>
      </x:c>
      <x:c r="AE1054" s="36" t="str">
        <x:v>JA</x:v>
      </x:c>
      <x:c r="AF1054" s="36" t="str">
        <x:v>JA</x:v>
      </x:c>
      <x:c r="AG1054" s="36" t="str">
        <x:v>FREIGEGEBEN</x:v>
      </x:c>
      <x:c r="AH1054" s="36" t="str">
        <x:v>GPT-5.6 Sol · Buchprüfung Hebräer · L1912/OTB</x:v>
      </x:c>
      <x:c r="AI1054" s="36" t="str">
        <x:v>FREIGEGEBEN</x:v>
      </x:c>
      <x:c r="AJ1054" s="36" t="str">
        <x:v>Hebräer 7: neue textnahe PRIESTERTUM-Frage redaktionell freigegeben.</x:v>
      </x:c>
      <x:c r="AK1054" s="36" t="str">
        <x:v>FaithPath repo develop/v4 · data/bibles/l1912/HEB.json · data/bibles/otb/HEB.json</x:v>
      </x:c>
      <x:c r="AL1054" t="str">
        <x:v>JA</x:v>
      </x:c>
    </x:row>
    <x:row r="1055">
      <x:c r="A1055" t="str">
        <x:v>FP-1314</x:v>
      </x:c>
      <x:c r="B1055" t="str">
        <x:v>HEB</x:v>
      </x:c>
      <x:c r="C1055" t="str">
        <x:v>Hebräer</x:v>
      </x:c>
      <x:c r="D1055" t="n">
        <x:v>7</x:v>
      </x:c>
      <x:c r="E1055" t="n">
        <x:v>4</x:v>
      </x:c>
      <x:c r="F1055" t="str">
        <x:v>HEB-007</x:v>
      </x:c>
      <x:c r="G1055" t="n">
        <x:v>211</x:v>
      </x:c>
      <x:c r="H1055" t="str">
        <x:v>CQ-A19</x:v>
      </x:c>
      <x:c r="I1055" s="36" t="str">
        <x:v>Bestandsfrage: exakter Wortlaut in diesem Arbeitsschritt nicht rekonstruiert.</x:v>
      </x:c>
      <x:c r="J1055" s="36"/>
      <x:c r="K1055" s="36"/>
      <x:c r="L1055" s="36" t="str">
        <x:v>MASTER_STATUS_VERIFIZIERT</x:v>
      </x:c>
      <x:c r="M1055" s="36" t="str">
        <x:v>ERSETZEN</x:v>
      </x:c>
      <x:c r="N1055" s="36" t="str">
        <x:v>BESTAND_NOCH_NICHT_GEPRÜFT</x:v>
      </x:c>
      <x:c r="O1055" s="36" t="str">
        <x:v>DIDAKTISCHE_NEUFASSUNG</x:v>
      </x:c>
      <x:c r="P1055" s="36" t="str">
        <x:v>DAUER</x:v>
      </x:c>
      <x:c r="Q1055" s="36" t="str">
        <x:v>Was unterscheidet Jesu Priestertum wesentlich von den vielen früheren Priestern?</x:v>
      </x:c>
      <x:c r="R1055" s="36" t="str">
        <x:v>Jesus muss sein Amt regelmäßig weitergeben.</x:v>
      </x:c>
      <x:c r="S1055" s="36" t="str">
        <x:v>Jesus lebt für immer und besitzt deshalb ein bleibendes Priestertum.</x:v>
      </x:c>
      <x:c r="T1055" s="36" t="str">
        <x:v>Sein Priestertum endet mit seinem Tod.</x:v>
      </x:c>
      <x:c r="U1055" s="36" t="str">
        <x:v>Er ist nur für eine Generation Priester.</x:v>
      </x:c>
      <x:c r="V1055" s="36" t="n">
        <x:v>1</x:v>
      </x:c>
      <x:c r="W1055" s="36" t="str">
        <x:v>Jesus lebt für immer und besitzt deshalb ein bleibendes Priestertum.</x:v>
      </x:c>
      <x:c r="X1055" s="36" t="str">
        <x:v>Hebräer 7,23–25</x:v>
      </x:c>
      <x:c r="Y1055" s="36" t="str">
        <x:v>Der Tod begrenzte frühere Priester; Jesu unvergängliches Leben macht seinen Dienst dauerhaft.</x:v>
      </x:c>
      <x:c r="Z1055" s="36" t="str">
        <x:v>JA</x:v>
      </x:c>
      <x:c r="AA1055" s="36" t="str">
        <x:v>JA</x:v>
      </x:c>
      <x:c r="AB1055" s="36" t="str">
        <x:v>JA</x:v>
      </x:c>
      <x:c r="AC1055" s="36" t="str">
        <x:v>JA</x:v>
      </x:c>
      <x:c r="AD1055" s="36" t="str">
        <x:v>JA</x:v>
      </x:c>
      <x:c r="AE1055" s="36" t="str">
        <x:v>JA</x:v>
      </x:c>
      <x:c r="AF1055" s="36" t="str">
        <x:v>JA</x:v>
      </x:c>
      <x:c r="AG1055" s="36" t="str">
        <x:v>FREIGEGEBEN</x:v>
      </x:c>
      <x:c r="AH1055" s="36" t="str">
        <x:v>GPT-5.6 Sol · Buchprüfung Hebräer · L1912/OTB</x:v>
      </x:c>
      <x:c r="AI1055" s="36" t="str">
        <x:v>FREIGEGEBEN</x:v>
      </x:c>
      <x:c r="AJ1055" s="36" t="str">
        <x:v>Hebräer 7: neue textnahe DAUER-Frage redaktionell freigegeben.</x:v>
      </x:c>
      <x:c r="AK1055" s="36" t="str">
        <x:v>FaithPath repo develop/v4 · data/bibles/l1912/HEB.json · data/bibles/otb/HEB.json</x:v>
      </x:c>
      <x:c r="AL1055" t="str">
        <x:v>JA</x:v>
      </x:c>
    </x:row>
    <x:row r="1056">
      <x:c r="A1056" t="str">
        <x:v>FP-1315</x:v>
      </x:c>
      <x:c r="B1056" t="str">
        <x:v>HEB</x:v>
      </x:c>
      <x:c r="C1056" t="str">
        <x:v>Hebräer</x:v>
      </x:c>
      <x:c r="D1056" t="n">
        <x:v>7</x:v>
      </x:c>
      <x:c r="E1056" t="n">
        <x:v>5</x:v>
      </x:c>
      <x:c r="F1056" t="str">
        <x:v>HEB-007</x:v>
      </x:c>
      <x:c r="G1056" t="n">
        <x:v>211</x:v>
      </x:c>
      <x:c r="H1056" t="str">
        <x:v>CQ-A19</x:v>
      </x:c>
      <x:c r="I1056" s="36" t="str">
        <x:v>Bestandsfrage: exakter Wortlaut in diesem Arbeitsschritt nicht rekonstruiert.</x:v>
      </x:c>
      <x:c r="J1056" s="36"/>
      <x:c r="K1056" s="36"/>
      <x:c r="L1056" s="36" t="str">
        <x:v>MASTER_STATUS_VERIFIZIERT</x:v>
      </x:c>
      <x:c r="M1056" s="36" t="str">
        <x:v>ERSETZEN</x:v>
      </x:c>
      <x:c r="N1056" s="36" t="str">
        <x:v>BESTAND_NOCH_NICHT_GEPRÜFT</x:v>
      </x:c>
      <x:c r="O1056" s="36" t="str">
        <x:v>DIDAKTISCHE_NEUFASSUNG</x:v>
      </x:c>
      <x:c r="P1056" s="36" t="str">
        <x:v>ERLÖSUNG</x:v>
      </x:c>
      <x:c r="Q1056" s="36" t="str">
        <x:v>Warum kann Jesus die, die durch ihn zu Gott kommen, vollständig retten?</x:v>
      </x:c>
      <x:c r="R1056" s="36" t="str">
        <x:v>Weil er täglich neue Opfer für eigene Sünden bringt.</x:v>
      </x:c>
      <x:c r="S1056" s="36" t="str">
        <x:v>Weil er keine Fürbitte mehr ausübt.</x:v>
      </x:c>
      <x:c r="T1056" s="36" t="str">
        <x:v>Weil er immer lebt, um für sie einzutreten, und sich selbst ein für alle Mal geopfert hat.</x:v>
      </x:c>
      <x:c r="U1056" s="36" t="str">
        <x:v>Weil das Gesetz bereits alles vollkommen gemacht hatte.</x:v>
      </x:c>
      <x:c r="V1056" s="36" t="n">
        <x:v>2</x:v>
      </x:c>
      <x:c r="W1056" s="36" t="str">
        <x:v>Weil er immer lebt, um für sie einzutreten, und sich selbst ein für alle Mal geopfert hat.</x:v>
      </x:c>
      <x:c r="X1056" s="36" t="str">
        <x:v>Hebräer 7,25–28</x:v>
      </x:c>
      <x:c r="Y1056" s="36" t="str">
        <x:v>Jesu bleibende Fürbitte und sein einmaliges Selbstopfer stehen im Zentrum seiner überlegenen priesterlichen Wirksamkeit.</x:v>
      </x:c>
      <x:c r="Z1056" s="36" t="str">
        <x:v>JA</x:v>
      </x:c>
      <x:c r="AA1056" s="36" t="str">
        <x:v>JA</x:v>
      </x:c>
      <x:c r="AB1056" s="36" t="str">
        <x:v>JA</x:v>
      </x:c>
      <x:c r="AC1056" s="36" t="str">
        <x:v>JA</x:v>
      </x:c>
      <x:c r="AD1056" s="36" t="str">
        <x:v>JA</x:v>
      </x:c>
      <x:c r="AE1056" s="36" t="str">
        <x:v>JA</x:v>
      </x:c>
      <x:c r="AF1056" s="36" t="str">
        <x:v>JA</x:v>
      </x:c>
      <x:c r="AG1056" s="36" t="str">
        <x:v>FREIGEGEBEN</x:v>
      </x:c>
      <x:c r="AH1056" s="36" t="str">
        <x:v>GPT-5.6 Sol · Buchprüfung Hebräer · L1912/OTB</x:v>
      </x:c>
      <x:c r="AI1056" s="36" t="str">
        <x:v>FREIGEGEBEN</x:v>
      </x:c>
      <x:c r="AJ1056" s="36" t="str">
        <x:v>Hebräer 7: neue textnahe ERLÖSUNG-Frage redaktionell freigegeben.</x:v>
      </x:c>
      <x:c r="AK1056" s="36" t="str">
        <x:v>FaithPath repo develop/v4 · data/bibles/l1912/HEB.json · data/bibles/otb/HEB.json</x:v>
      </x:c>
      <x:c r="AL1056" t="str">
        <x:v>JA</x:v>
      </x:c>
    </x:row>
    <x:row r="1057">
      <x:c r="A1057" t="str">
        <x:v>FP-1316</x:v>
      </x:c>
      <x:c r="B1057" t="str">
        <x:v>HEB</x:v>
      </x:c>
      <x:c r="C1057" t="str">
        <x:v>Hebräer</x:v>
      </x:c>
      <x:c r="D1057" t="n">
        <x:v>8</x:v>
      </x:c>
      <x:c r="E1057" t="n">
        <x:v>1</x:v>
      </x:c>
      <x:c r="F1057" t="str">
        <x:v>HEB-008</x:v>
      </x:c>
      <x:c r="G1057" t="n">
        <x:v>212</x:v>
      </x:c>
      <x:c r="H1057" t="str">
        <x:v>CQ-A19</x:v>
      </x:c>
      <x:c r="I1057" s="36" t="str">
        <x:v>Bestandsfrage: exakter Wortlaut in diesem Arbeitsschritt nicht rekonstruiert.</x:v>
      </x:c>
      <x:c r="J1057" s="36"/>
      <x:c r="K1057" s="36"/>
      <x:c r="L1057" s="36" t="str">
        <x:v>MASTER_STATUS_VERIFIZIERT</x:v>
      </x:c>
      <x:c r="M1057" s="36" t="str">
        <x:v>ERSETZEN</x:v>
      </x:c>
      <x:c r="N1057" s="36" t="str">
        <x:v>BESTAND_NOCH_NICHT_GEPRÜFT</x:v>
      </x:c>
      <x:c r="O1057" s="36" t="str">
        <x:v>DIDAKTISCHE_NEUFASSUNG</x:v>
      </x:c>
      <x:c r="P1057" s="36" t="str">
        <x:v>HAUPTPUNKT</x:v>
      </x:c>
      <x:c r="Q1057" s="36" t="str">
        <x:v>Was nennt Hebräer 8 ausdrücklich als Hauptpunkt?</x:v>
      </x:c>
      <x:c r="R1057" s="36" t="str">
        <x:v>Das irdische Heiligtum sei endgültig das Zentrum des neuen Bundes.</x:v>
      </x:c>
      <x:c r="S1057" s="36" t="str">
        <x:v>Mose sei der letzte und höchste Priester.</x:v>
      </x:c>
      <x:c r="T1057" s="36" t="str">
        <x:v>Engel hätten den neuen Bund gestiftet.</x:v>
      </x:c>
      <x:c r="U1057" s="36" t="str">
        <x:v>Wir haben einen Hohenpriester, der zur Rechten der Majestät im Himmel sitzt.</x:v>
      </x:c>
      <x:c r="V1057" s="36" t="n">
        <x:v>3</x:v>
      </x:c>
      <x:c r="W1057" s="36" t="str">
        <x:v>Wir haben einen Hohenpriester, der zur Rechten der Majestät im Himmel sitzt.</x:v>
      </x:c>
      <x:c r="X1057" s="36" t="str">
        <x:v>Hebräer 8,1–2</x:v>
      </x:c>
      <x:c r="Y1057" s="36" t="str">
        <x:v>Der Autor bündelt sein bisheriges Argument in Jesu himmlischem Hohepriestertum.</x:v>
      </x:c>
      <x:c r="Z1057" s="36" t="str">
        <x:v>JA</x:v>
      </x:c>
      <x:c r="AA1057" s="36" t="str">
        <x:v>JA</x:v>
      </x:c>
      <x:c r="AB1057" s="36" t="str">
        <x:v>JA</x:v>
      </x:c>
      <x:c r="AC1057" s="36" t="str">
        <x:v>JA</x:v>
      </x:c>
      <x:c r="AD1057" s="36" t="str">
        <x:v>JA</x:v>
      </x:c>
      <x:c r="AE1057" s="36" t="str">
        <x:v>JA</x:v>
      </x:c>
      <x:c r="AF1057" s="36" t="str">
        <x:v>JA</x:v>
      </x:c>
      <x:c r="AG1057" s="36" t="str">
        <x:v>FREIGEGEBEN</x:v>
      </x:c>
      <x:c r="AH1057" s="36" t="str">
        <x:v>GPT-5.6 Sol · Buchprüfung Hebräer · L1912/OTB</x:v>
      </x:c>
      <x:c r="AI1057" s="36" t="str">
        <x:v>FREIGEGEBEN</x:v>
      </x:c>
      <x:c r="AJ1057" s="36" t="str">
        <x:v>Hebräer 8: neue textnahe HAUPTPUNKT-Frage redaktionell freigegeben.</x:v>
      </x:c>
      <x:c r="AK1057" s="36" t="str">
        <x:v>FaithPath repo develop/v4 · data/bibles/l1912/HEB.json · data/bibles/otb/HEB.json</x:v>
      </x:c>
      <x:c r="AL1057" t="str">
        <x:v>JA</x:v>
      </x:c>
    </x:row>
    <x:row r="1058">
      <x:c r="A1058" t="str">
        <x:v>FP-1317</x:v>
      </x:c>
      <x:c r="B1058" t="str">
        <x:v>HEB</x:v>
      </x:c>
      <x:c r="C1058" t="str">
        <x:v>Hebräer</x:v>
      </x:c>
      <x:c r="D1058" t="n">
        <x:v>8</x:v>
      </x:c>
      <x:c r="E1058" t="n">
        <x:v>2</x:v>
      </x:c>
      <x:c r="F1058" t="str">
        <x:v>HEB-008</x:v>
      </x:c>
      <x:c r="G1058" t="n">
        <x:v>212</x:v>
      </x:c>
      <x:c r="H1058" t="str">
        <x:v>CQ-A19</x:v>
      </x:c>
      <x:c r="I1058" s="36" t="str">
        <x:v>Bestandsfrage: exakter Wortlaut in diesem Arbeitsschritt nicht rekonstruiert.</x:v>
      </x:c>
      <x:c r="J1058" s="36"/>
      <x:c r="K1058" s="36"/>
      <x:c r="L1058" s="36" t="str">
        <x:v>MASTER_STATUS_VERIFIZIERT</x:v>
      </x:c>
      <x:c r="M1058" s="36" t="str">
        <x:v>ERSETZEN</x:v>
      </x:c>
      <x:c r="N1058" s="36" t="str">
        <x:v>BESTAND_NOCH_NICHT_GEPRÜFT</x:v>
      </x:c>
      <x:c r="O1058" s="36" t="str">
        <x:v>DIDAKTISCHE_NEUFASSUNG</x:v>
      </x:c>
      <x:c r="P1058" s="36" t="str">
        <x:v>SCHATTEN</x:v>
      </x:c>
      <x:c r="Q1058" s="36" t="str">
        <x:v>Wie wird der irdische priesterliche Dienst gegenüber den himmlischen Dingen beschrieben?</x:v>
      </x:c>
      <x:c r="R1058" s="36" t="str">
        <x:v>Als Abbild und Schatten der himmlischen Wirklichkeit.</x:v>
      </x:c>
      <x:c r="S1058" s="36" t="str">
        <x:v>Als die endgültige Wirklichkeit selbst.</x:v>
      </x:c>
      <x:c r="T1058" s="36" t="str">
        <x:v>Als bedeutungslos und ohne jeden Bezug zu Gott.</x:v>
      </x:c>
      <x:c r="U1058" s="36" t="str">
        <x:v>Als Werk, das Christus überflüssig macht.</x:v>
      </x:c>
      <x:c r="V1058" s="36" t="n">
        <x:v>0</x:v>
      </x:c>
      <x:c r="W1058" s="36" t="str">
        <x:v>Als Abbild und Schatten der himmlischen Wirklichkeit.</x:v>
      </x:c>
      <x:c r="X1058" s="36" t="str">
        <x:v>Hebräer 8,3–5</x:v>
      </x:c>
      <x:c r="Y1058" s="36" t="str">
        <x:v>Der irdische Dienst hat nach dem Text Vorbildcharakter, aber Christus dient in der eigentlichen himmlischen Wirklichkeit.</x:v>
      </x:c>
      <x:c r="Z1058" s="36" t="str">
        <x:v>JA</x:v>
      </x:c>
      <x:c r="AA1058" s="36" t="str">
        <x:v>JA</x:v>
      </x:c>
      <x:c r="AB1058" s="36" t="str">
        <x:v>JA</x:v>
      </x:c>
      <x:c r="AC1058" s="36" t="str">
        <x:v>JA</x:v>
      </x:c>
      <x:c r="AD1058" s="36" t="str">
        <x:v>JA</x:v>
      </x:c>
      <x:c r="AE1058" s="36" t="str">
        <x:v>JA</x:v>
      </x:c>
      <x:c r="AF1058" s="36" t="str">
        <x:v>JA</x:v>
      </x:c>
      <x:c r="AG1058" s="36" t="str">
        <x:v>FREIGEGEBEN</x:v>
      </x:c>
      <x:c r="AH1058" s="36" t="str">
        <x:v>GPT-5.6 Sol · Buchprüfung Hebräer · L1912/OTB</x:v>
      </x:c>
      <x:c r="AI1058" s="36" t="str">
        <x:v>FREIGEGEBEN</x:v>
      </x:c>
      <x:c r="AJ1058" s="36" t="str">
        <x:v>Hebräer 8: neue textnahe SCHATTEN-Frage redaktionell freigegeben.</x:v>
      </x:c>
      <x:c r="AK1058" s="36" t="str">
        <x:v>FaithPath repo develop/v4 · data/bibles/l1912/HEB.json · data/bibles/otb/HEB.json</x:v>
      </x:c>
      <x:c r="AL1058" t="str">
        <x:v>JA</x:v>
      </x:c>
    </x:row>
    <x:row r="1059">
      <x:c r="A1059" t="str">
        <x:v>FP-1318</x:v>
      </x:c>
      <x:c r="B1059" t="str">
        <x:v>HEB</x:v>
      </x:c>
      <x:c r="C1059" t="str">
        <x:v>Hebräer</x:v>
      </x:c>
      <x:c r="D1059" t="n">
        <x:v>8</x:v>
      </x:c>
      <x:c r="E1059" t="n">
        <x:v>3</x:v>
      </x:c>
      <x:c r="F1059" t="str">
        <x:v>HEB-008</x:v>
      </x:c>
      <x:c r="G1059" t="n">
        <x:v>212</x:v>
      </x:c>
      <x:c r="H1059" t="str">
        <x:v>CQ-A19</x:v>
      </x:c>
      <x:c r="I1059" s="36" t="str">
        <x:v>Bestandsfrage: exakter Wortlaut in diesem Arbeitsschritt nicht rekonstruiert.</x:v>
      </x:c>
      <x:c r="J1059" s="36"/>
      <x:c r="K1059" s="36"/>
      <x:c r="L1059" s="36" t="str">
        <x:v>MASTER_STATUS_VERIFIZIERT</x:v>
      </x:c>
      <x:c r="M1059" s="36" t="str">
        <x:v>ERSETZEN</x:v>
      </x:c>
      <x:c r="N1059" s="36" t="str">
        <x:v>BESTAND_NOCH_NICHT_GEPRÜFT</x:v>
      </x:c>
      <x:c r="O1059" s="36" t="str">
        <x:v>DIDAKTISCHE_NEUFASSUNG</x:v>
      </x:c>
      <x:c r="P1059" s="36" t="str">
        <x:v>BUND</x:v>
      </x:c>
      <x:c r="Q1059" s="36" t="str">
        <x:v>Warum wird Jesu Dienst als überlegen beschrieben?</x:v>
      </x:c>
      <x:c r="R1059" s="36" t="str">
        <x:v>Weil er den ersten Bund wortgleich wiederholt.</x:v>
      </x:c>
      <x:c r="S1059" s="36" t="str">
        <x:v>Er ist Mittler eines besseren Bundes, der auf besseren Verheißungen beruht.</x:v>
      </x:c>
      <x:c r="T1059" s="36" t="str">
        <x:v>Weil im neuen Bund keine Verheißungen mehr nötig sind.</x:v>
      </x:c>
      <x:c r="U1059" s="36" t="str">
        <x:v>Weil menschliche Leistung die Grundlage des neuen Bundes ist.</x:v>
      </x:c>
      <x:c r="V1059" s="36" t="n">
        <x:v>1</x:v>
      </x:c>
      <x:c r="W1059" s="36" t="str">
        <x:v>Er ist Mittler eines besseren Bundes, der auf besseren Verheißungen beruht.</x:v>
      </x:c>
      <x:c r="X1059" s="36" t="str">
        <x:v>Hebräer 8,6</x:v>
      </x:c>
      <x:c r="Y1059" s="36" t="str">
        <x:v>Jesu besserer Dienst und der bessere Bund werden im Vers unmittelbar miteinander verbunden.</x:v>
      </x:c>
      <x:c r="Z1059" s="36" t="str">
        <x:v>JA</x:v>
      </x:c>
      <x:c r="AA1059" s="36" t="str">
        <x:v>JA</x:v>
      </x:c>
      <x:c r="AB1059" s="36" t="str">
        <x:v>JA</x:v>
      </x:c>
      <x:c r="AC1059" s="36" t="str">
        <x:v>JA</x:v>
      </x:c>
      <x:c r="AD1059" s="36" t="str">
        <x:v>JA</x:v>
      </x:c>
      <x:c r="AE1059" s="36" t="str">
        <x:v>JA</x:v>
      </x:c>
      <x:c r="AF1059" s="36" t="str">
        <x:v>JA</x:v>
      </x:c>
      <x:c r="AG1059" s="36" t="str">
        <x:v>FREIGEGEBEN</x:v>
      </x:c>
      <x:c r="AH1059" s="36" t="str">
        <x:v>GPT-5.6 Sol · Buchprüfung Hebräer · L1912/OTB</x:v>
      </x:c>
      <x:c r="AI1059" s="36" t="str">
        <x:v>FREIGEGEBEN</x:v>
      </x:c>
      <x:c r="AJ1059" s="36" t="str">
        <x:v>Hebräer 8: neue textnahe BUND-Frage redaktionell freigegeben.</x:v>
      </x:c>
      <x:c r="AK1059" s="36" t="str">
        <x:v>FaithPath repo develop/v4 · data/bibles/l1912/HEB.json · data/bibles/otb/HEB.json</x:v>
      </x:c>
      <x:c r="AL1059" t="str">
        <x:v>JA</x:v>
      </x:c>
    </x:row>
    <x:row r="1060">
      <x:c r="A1060" t="str">
        <x:v>FP-1319</x:v>
      </x:c>
      <x:c r="B1060" t="str">
        <x:v>HEB</x:v>
      </x:c>
      <x:c r="C1060" t="str">
        <x:v>Hebräer</x:v>
      </x:c>
      <x:c r="D1060" t="n">
        <x:v>8</x:v>
      </x:c>
      <x:c r="E1060" t="n">
        <x:v>4</x:v>
      </x:c>
      <x:c r="F1060" t="str">
        <x:v>HEB-008</x:v>
      </x:c>
      <x:c r="G1060" t="n">
        <x:v>212</x:v>
      </x:c>
      <x:c r="H1060" t="str">
        <x:v>CQ-A19</x:v>
      </x:c>
      <x:c r="I1060" s="36" t="str">
        <x:v>Bestandsfrage: exakter Wortlaut in diesem Arbeitsschritt nicht rekonstruiert.</x:v>
      </x:c>
      <x:c r="J1060" s="36"/>
      <x:c r="K1060" s="36"/>
      <x:c r="L1060" s="36" t="str">
        <x:v>MASTER_STATUS_VERIFIZIERT</x:v>
      </x:c>
      <x:c r="M1060" s="36" t="str">
        <x:v>ERSETZEN</x:v>
      </x:c>
      <x:c r="N1060" s="36" t="str">
        <x:v>BESTAND_NOCH_NICHT_GEPRÜFT</x:v>
      </x:c>
      <x:c r="O1060" s="36" t="str">
        <x:v>DIDAKTISCHE_NEUFASSUNG</x:v>
      </x:c>
      <x:c r="P1060" s="36" t="str">
        <x:v>NEUER_BUND</x:v>
      </x:c>
      <x:c r="Q1060" s="36" t="str">
        <x:v>Was gehört nach Hebräer 8 zum neuen Bund?</x:v>
      </x:c>
      <x:c r="R1060" s="36" t="str">
        <x:v>Gottes Wille bleibt ausschließlich auf Steintafeln außerhalb des Menschen.</x:v>
      </x:c>
      <x:c r="S1060" s="36" t="str">
        <x:v>Die Beziehung zu Gott wird nur noch über menschliche Priester möglich.</x:v>
      </x:c>
      <x:c r="T1060" s="36" t="str">
        <x:v>Gottes Gesetze werden in Sinn und Herz geschrieben, und Gott will ihr Gott sein.</x:v>
      </x:c>
      <x:c r="U1060" s="36" t="str">
        <x:v>Nur eine kleine Gruppe darf Gott kennen.</x:v>
      </x:c>
      <x:c r="V1060" s="36" t="n">
        <x:v>2</x:v>
      </x:c>
      <x:c r="W1060" s="36" t="str">
        <x:v>Gottes Gesetze werden in Sinn und Herz geschrieben, und Gott will ihr Gott sein.</x:v>
      </x:c>
      <x:c r="X1060" s="36" t="str">
        <x:v>Hebräer 8,8–11</x:v>
      </x:c>
      <x:c r="Y1060" s="36" t="str">
        <x:v>Der neue Bund wird durch innere Erneuerung und unmittelbare Zugehörigkeit zu Gott charakterisiert.</x:v>
      </x:c>
      <x:c r="Z1060" s="36" t="str">
        <x:v>JA</x:v>
      </x:c>
      <x:c r="AA1060" s="36" t="str">
        <x:v>JA</x:v>
      </x:c>
      <x:c r="AB1060" s="36" t="str">
        <x:v>JA</x:v>
      </x:c>
      <x:c r="AC1060" s="36" t="str">
        <x:v>JA</x:v>
      </x:c>
      <x:c r="AD1060" s="36" t="str">
        <x:v>JA</x:v>
      </x:c>
      <x:c r="AE1060" s="36" t="str">
        <x:v>JA</x:v>
      </x:c>
      <x:c r="AF1060" s="36" t="str">
        <x:v>JA</x:v>
      </x:c>
      <x:c r="AG1060" s="36" t="str">
        <x:v>FREIGEGEBEN</x:v>
      </x:c>
      <x:c r="AH1060" s="36" t="str">
        <x:v>GPT-5.6 Sol · Buchprüfung Hebräer · L1912/OTB</x:v>
      </x:c>
      <x:c r="AI1060" s="36" t="str">
        <x:v>FREIGEGEBEN</x:v>
      </x:c>
      <x:c r="AJ1060" s="36" t="str">
        <x:v>Hebräer 8: neue textnahe NEUER_BUND-Frage redaktionell freigegeben.</x:v>
      </x:c>
      <x:c r="AK1060" s="36" t="str">
        <x:v>FaithPath repo develop/v4 · data/bibles/l1912/HEB.json · data/bibles/otb/HEB.json</x:v>
      </x:c>
      <x:c r="AL1060" t="str">
        <x:v>JA</x:v>
      </x:c>
    </x:row>
    <x:row r="1061">
      <x:c r="A1061" t="str">
        <x:v>FP-1320</x:v>
      </x:c>
      <x:c r="B1061" t="str">
        <x:v>HEB</x:v>
      </x:c>
      <x:c r="C1061" t="str">
        <x:v>Hebräer</x:v>
      </x:c>
      <x:c r="D1061" t="n">
        <x:v>8</x:v>
      </x:c>
      <x:c r="E1061" t="n">
        <x:v>5</x:v>
      </x:c>
      <x:c r="F1061" t="str">
        <x:v>HEB-008</x:v>
      </x:c>
      <x:c r="G1061" t="n">
        <x:v>212</x:v>
      </x:c>
      <x:c r="H1061" t="str">
        <x:v>CQ-A19</x:v>
      </x:c>
      <x:c r="I1061" s="36" t="str">
        <x:v>Bestandsfrage: exakter Wortlaut in diesem Arbeitsschritt nicht rekonstruiert.</x:v>
      </x:c>
      <x:c r="J1061" s="36"/>
      <x:c r="K1061" s="36"/>
      <x:c r="L1061" s="36" t="str">
        <x:v>MASTER_STATUS_VERIFIZIERT</x:v>
      </x:c>
      <x:c r="M1061" s="36" t="str">
        <x:v>ERSETZEN</x:v>
      </x:c>
      <x:c r="N1061" s="36" t="str">
        <x:v>BESTAND_NOCH_NICHT_GEPRÜFT</x:v>
      </x:c>
      <x:c r="O1061" s="36" t="str">
        <x:v>DIDAKTISCHE_NEUFASSUNG</x:v>
      </x:c>
      <x:c r="P1061" s="36" t="str">
        <x:v>VERGEBUNG</x:v>
      </x:c>
      <x:c r="Q1061" s="36" t="str">
        <x:v>Welche Verheißung steht am Ende des Zitats über den neuen Bund?</x:v>
      </x:c>
      <x:c r="R1061" s="36" t="str">
        <x:v>Gott werde jede vergangene Sünde ständig neu anrechnen.</x:v>
      </x:c>
      <x:c r="S1061" s="36" t="str">
        <x:v>Vergebung werde durch mehr Tieropfer verdient.</x:v>
      </x:c>
      <x:c r="T1061" s="36" t="str">
        <x:v>Nur äußere Reinheit sei entscheidend.</x:v>
      </x:c>
      <x:c r="U1061" s="36" t="str">
        <x:v>Gott wird gnädig sein und ihrer Sünden nicht mehr gedenken.</x:v>
      </x:c>
      <x:c r="V1061" s="36" t="n">
        <x:v>3</x:v>
      </x:c>
      <x:c r="W1061" s="36" t="str">
        <x:v>Gott wird gnädig sein und ihrer Sünden nicht mehr gedenken.</x:v>
      </x:c>
      <x:c r="X1061" s="36" t="str">
        <x:v>Hebräer 8,12–13</x:v>
      </x:c>
      <x:c r="Y1061" s="36" t="str">
        <x:v>Vergebung gehört zu den entscheidenden Kennzeichen des angekündigten neuen Bundes.</x:v>
      </x:c>
      <x:c r="Z1061" s="36" t="str">
        <x:v>JA</x:v>
      </x:c>
      <x:c r="AA1061" s="36" t="str">
        <x:v>JA</x:v>
      </x:c>
      <x:c r="AB1061" s="36" t="str">
        <x:v>JA</x:v>
      </x:c>
      <x:c r="AC1061" s="36" t="str">
        <x:v>JA</x:v>
      </x:c>
      <x:c r="AD1061" s="36" t="str">
        <x:v>JA</x:v>
      </x:c>
      <x:c r="AE1061" s="36" t="str">
        <x:v>JA</x:v>
      </x:c>
      <x:c r="AF1061" s="36" t="str">
        <x:v>JA</x:v>
      </x:c>
      <x:c r="AG1061" s="36" t="str">
        <x:v>FREIGEGEBEN</x:v>
      </x:c>
      <x:c r="AH1061" s="36" t="str">
        <x:v>GPT-5.6 Sol · Buchprüfung Hebräer · L1912/OTB</x:v>
      </x:c>
      <x:c r="AI1061" s="36" t="str">
        <x:v>FREIGEGEBEN</x:v>
      </x:c>
      <x:c r="AJ1061" s="36" t="str">
        <x:v>Hebräer 8: neue textnahe VERGEBUNG-Frage redaktionell freigegeben.</x:v>
      </x:c>
      <x:c r="AK1061" s="36" t="str">
        <x:v>FaithPath repo develop/v4 · data/bibles/l1912/HEB.json · data/bibles/otb/HEB.json</x:v>
      </x:c>
      <x:c r="AL1061" t="str">
        <x:v>JA</x:v>
      </x:c>
    </x:row>
    <x:row r="1062">
      <x:c r="A1062" t="str">
        <x:v>FP-1321</x:v>
      </x:c>
      <x:c r="B1062" t="str">
        <x:v>HEB</x:v>
      </x:c>
      <x:c r="C1062" t="str">
        <x:v>Hebräer</x:v>
      </x:c>
      <x:c r="D1062" t="n">
        <x:v>9</x:v>
      </x:c>
      <x:c r="E1062" t="n">
        <x:v>1</x:v>
      </x:c>
      <x:c r="F1062" t="str">
        <x:v>HEB-009</x:v>
      </x:c>
      <x:c r="G1062" t="n">
        <x:v>213</x:v>
      </x:c>
      <x:c r="H1062" t="str">
        <x:v>CQ-A19</x:v>
      </x:c>
      <x:c r="I1062" s="36" t="str">
        <x:v>Bestandsfrage: exakter Wortlaut in diesem Arbeitsschritt nicht rekonstruiert.</x:v>
      </x:c>
      <x:c r="J1062" s="36"/>
      <x:c r="K1062" s="36"/>
      <x:c r="L1062" s="36" t="str">
        <x:v>MASTER_STATUS_VERIFIZIERT</x:v>
      </x:c>
      <x:c r="M1062" s="36" t="str">
        <x:v>ERSETZEN</x:v>
      </x:c>
      <x:c r="N1062" s="36" t="str">
        <x:v>BESTAND_NOCH_NICHT_GEPRÜFT</x:v>
      </x:c>
      <x:c r="O1062" s="36" t="str">
        <x:v>DIDAKTISCHE_NEUFASSUNG</x:v>
      </x:c>
      <x:c r="P1062" s="36" t="str">
        <x:v>ALTES_HEILIGTUM</x:v>
      </x:c>
      <x:c r="Q1062" s="36" t="str">
        <x:v>Was zeigt der jährliche Zugang des Hohenpriesters zum Allerheiligsten im ersten Bund?</x:v>
      </x:c>
      <x:c r="R1062" s="36" t="str">
        <x:v>Der freie Weg ins Allerheiligste war unter dieser Ordnung noch nicht vollständig geöffnet.</x:v>
      </x:c>
      <x:c r="S1062" s="36" t="str">
        <x:v>Jeder Israelit konnte jederzeit eintreten.</x:v>
      </x:c>
      <x:c r="T1062" s="36" t="str">
        <x:v>Der Hohepriester ging täglich ohne Opfer hinein.</x:v>
      </x:c>
      <x:c r="U1062" s="36" t="str">
        <x:v>Das Allerheiligste hatte keinerlei Bedeutung.</x:v>
      </x:c>
      <x:c r="V1062" s="36" t="n">
        <x:v>0</x:v>
      </x:c>
      <x:c r="W1062" s="36" t="str">
        <x:v>Der freie Weg ins Allerheiligste war unter dieser Ordnung noch nicht vollständig geöffnet.</x:v>
      </x:c>
      <x:c r="X1062" s="36" t="str">
        <x:v>Hebräer 9,6–10</x:v>
      </x:c>
      <x:c r="Y1062" s="36" t="str">
        <x:v>Der begrenzte Zugang dient im Kapitel als Zeichen für die Grenzen der alten kultischen Ordnung.</x:v>
      </x:c>
      <x:c r="Z1062" s="36" t="str">
        <x:v>JA</x:v>
      </x:c>
      <x:c r="AA1062" s="36" t="str">
        <x:v>JA</x:v>
      </x:c>
      <x:c r="AB1062" s="36" t="str">
        <x:v>JA</x:v>
      </x:c>
      <x:c r="AC1062" s="36" t="str">
        <x:v>JA</x:v>
      </x:c>
      <x:c r="AD1062" s="36" t="str">
        <x:v>JA</x:v>
      </x:c>
      <x:c r="AE1062" s="36" t="str">
        <x:v>JA</x:v>
      </x:c>
      <x:c r="AF1062" s="36" t="str">
        <x:v>JA</x:v>
      </x:c>
      <x:c r="AG1062" s="36" t="str">
        <x:v>FREIGEGEBEN</x:v>
      </x:c>
      <x:c r="AH1062" s="36" t="str">
        <x:v>GPT-5.6 Sol · Buchprüfung Hebräer · L1912/OTB</x:v>
      </x:c>
      <x:c r="AI1062" s="36" t="str">
        <x:v>FREIGEGEBEN</x:v>
      </x:c>
      <x:c r="AJ1062" s="36" t="str">
        <x:v>Hebräer 9: neue textnahe ALTES_HEILIGTUM-Frage redaktionell freigegeben.</x:v>
      </x:c>
      <x:c r="AK1062" s="36" t="str">
        <x:v>FaithPath repo develop/v4 · data/bibles/l1912/HEB.json · data/bibles/otb/HEB.json</x:v>
      </x:c>
      <x:c r="AL1062" t="str">
        <x:v>JA</x:v>
      </x:c>
    </x:row>
    <x:row r="1063">
      <x:c r="A1063" t="str">
        <x:v>FP-1322</x:v>
      </x:c>
      <x:c r="B1063" t="str">
        <x:v>HEB</x:v>
      </x:c>
      <x:c r="C1063" t="str">
        <x:v>Hebräer</x:v>
      </x:c>
      <x:c r="D1063" t="n">
        <x:v>9</x:v>
      </x:c>
      <x:c r="E1063" t="n">
        <x:v>2</x:v>
      </x:c>
      <x:c r="F1063" t="str">
        <x:v>HEB-009</x:v>
      </x:c>
      <x:c r="G1063" t="n">
        <x:v>213</x:v>
      </x:c>
      <x:c r="H1063" t="str">
        <x:v>CQ-A19</x:v>
      </x:c>
      <x:c r="I1063" s="36" t="str">
        <x:v>Bestandsfrage: exakter Wortlaut in diesem Arbeitsschritt nicht rekonstruiert.</x:v>
      </x:c>
      <x:c r="J1063" s="36"/>
      <x:c r="K1063" s="36"/>
      <x:c r="L1063" s="36" t="str">
        <x:v>MASTER_STATUS_VERIFIZIERT</x:v>
      </x:c>
      <x:c r="M1063" s="36" t="str">
        <x:v>ERSETZEN</x:v>
      </x:c>
      <x:c r="N1063" s="36" t="str">
        <x:v>BESTAND_NOCH_NICHT_GEPRÜFT</x:v>
      </x:c>
      <x:c r="O1063" s="36" t="str">
        <x:v>DIDAKTISCHE_NEUFASSUNG</x:v>
      </x:c>
      <x:c r="P1063" s="36" t="str">
        <x:v>CHRISTUS</x:v>
      </x:c>
      <x:c r="Q1063" s="36" t="str">
        <x:v>Wodurch trat Christus als Hohepriester ein und was erlangte er?</x:v>
      </x:c>
      <x:c r="R1063" s="36" t="str">
        <x:v>Durch das Blut von Böcken und Kälbern jedes Jahr neu.</x:v>
      </x:c>
      <x:c r="S1063" s="36" t="str">
        <x:v>Durch sein eigenes Blut ein für alle Mal, wodurch er ewige Erlösung erlangte.</x:v>
      </x:c>
      <x:c r="T1063" s="36" t="str">
        <x:v>Ohne Opfer und ohne Bezug zur Erlösung.</x:v>
      </x:c>
      <x:c r="U1063" s="36" t="str">
        <x:v>Durch die Verdienste früherer Priester.</x:v>
      </x:c>
      <x:c r="V1063" s="36" t="n">
        <x:v>1</x:v>
      </x:c>
      <x:c r="W1063" s="36" t="str">
        <x:v>Durch sein eigenes Blut ein für alle Mal, wodurch er ewige Erlösung erlangte.</x:v>
      </x:c>
      <x:c r="X1063" s="36" t="str">
        <x:v>Hebräer 9,11–12</x:v>
      </x:c>
      <x:c r="Y1063" s="36" t="str">
        <x:v>Christi eigenes Opfer wird der wiederholten Tieropferpraxis gegenübergestellt und als einmalig wirksam beschrieben.</x:v>
      </x:c>
      <x:c r="Z1063" s="36" t="str">
        <x:v>JA</x:v>
      </x:c>
      <x:c r="AA1063" s="36" t="str">
        <x:v>JA</x:v>
      </x:c>
      <x:c r="AB1063" s="36" t="str">
        <x:v>JA</x:v>
      </x:c>
      <x:c r="AC1063" s="36" t="str">
        <x:v>JA</x:v>
      </x:c>
      <x:c r="AD1063" s="36" t="str">
        <x:v>JA</x:v>
      </x:c>
      <x:c r="AE1063" s="36" t="str">
        <x:v>JA</x:v>
      </x:c>
      <x:c r="AF1063" s="36" t="str">
        <x:v>JA</x:v>
      </x:c>
      <x:c r="AG1063" s="36" t="str">
        <x:v>FREIGEGEBEN</x:v>
      </x:c>
      <x:c r="AH1063" s="36" t="str">
        <x:v>GPT-5.6 Sol · Buchprüfung Hebräer · L1912/OTB</x:v>
      </x:c>
      <x:c r="AI1063" s="36" t="str">
        <x:v>FREIGEGEBEN</x:v>
      </x:c>
      <x:c r="AJ1063" s="36" t="str">
        <x:v>Hebräer 9: neue textnahe CHRISTUS-Frage redaktionell freigegeben.</x:v>
      </x:c>
      <x:c r="AK1063" s="36" t="str">
        <x:v>FaithPath repo develop/v4 · data/bibles/l1912/HEB.json · data/bibles/otb/HEB.json</x:v>
      </x:c>
      <x:c r="AL1063" t="str">
        <x:v>JA</x:v>
      </x:c>
    </x:row>
    <x:row r="1064">
      <x:c r="A1064" t="str">
        <x:v>FP-1323</x:v>
      </x:c>
      <x:c r="B1064" t="str">
        <x:v>HEB</x:v>
      </x:c>
      <x:c r="C1064" t="str">
        <x:v>Hebräer</x:v>
      </x:c>
      <x:c r="D1064" t="n">
        <x:v>9</x:v>
      </x:c>
      <x:c r="E1064" t="n">
        <x:v>3</x:v>
      </x:c>
      <x:c r="F1064" t="str">
        <x:v>HEB-009</x:v>
      </x:c>
      <x:c r="G1064" t="n">
        <x:v>213</x:v>
      </x:c>
      <x:c r="H1064" t="str">
        <x:v>CQ-A19</x:v>
      </x:c>
      <x:c r="I1064" s="36" t="str">
        <x:v>Bestandsfrage: exakter Wortlaut in diesem Arbeitsschritt nicht rekonstruiert.</x:v>
      </x:c>
      <x:c r="J1064" s="36"/>
      <x:c r="K1064" s="36"/>
      <x:c r="L1064" s="36" t="str">
        <x:v>MASTER_STATUS_VERIFIZIERT</x:v>
      </x:c>
      <x:c r="M1064" s="36" t="str">
        <x:v>ERSETZEN</x:v>
      </x:c>
      <x:c r="N1064" s="36" t="str">
        <x:v>BESTAND_NOCH_NICHT_GEPRÜFT</x:v>
      </x:c>
      <x:c r="O1064" s="36" t="str">
        <x:v>DIDAKTISCHE_NEUFASSUNG</x:v>
      </x:c>
      <x:c r="P1064" s="36" t="str">
        <x:v>GEWISSEN</x:v>
      </x:c>
      <x:c r="Q1064" s="36" t="str">
        <x:v>Was bewirkt das Blut Christi nach Hebräer 9 über äußere Reinigung hinaus?</x:v>
      </x:c>
      <x:c r="R1064" s="36" t="str">
        <x:v>Es betrifft nur körperliche Reinheit.</x:v>
      </x:c>
      <x:c r="S1064" s="36" t="str">
        <x:v>Es macht jeden weiteren Dienst an Gott unnötig.</x:v>
      </x:c>
      <x:c r="T1064" s="36" t="str">
        <x:v>Es reinigt das Gewissen von toten Werken, damit Menschen dem lebendigen Gott dienen.</x:v>
      </x:c>
      <x:c r="U1064" s="36" t="str">
        <x:v>Es ersetzt das Gewissen vollständig.</x:v>
      </x:c>
      <x:c r="V1064" s="36" t="n">
        <x:v>2</x:v>
      </x:c>
      <x:c r="W1064" s="36" t="str">
        <x:v>Es reinigt das Gewissen von toten Werken, damit Menschen dem lebendigen Gott dienen.</x:v>
      </x:c>
      <x:c r="X1064" s="36" t="str">
        <x:v>Hebräer 9,13–14</x:v>
      </x:c>
      <x:c r="Y1064" s="36" t="str">
        <x:v>Der neue Bund zielt tiefer als kultische Reinheit: auf das Gewissen und einen erneuerten Dienst für Gott.</x:v>
      </x:c>
      <x:c r="Z1064" s="36" t="str">
        <x:v>JA</x:v>
      </x:c>
      <x:c r="AA1064" s="36" t="str">
        <x:v>JA</x:v>
      </x:c>
      <x:c r="AB1064" s="36" t="str">
        <x:v>JA</x:v>
      </x:c>
      <x:c r="AC1064" s="36" t="str">
        <x:v>JA</x:v>
      </x:c>
      <x:c r="AD1064" s="36" t="str">
        <x:v>JA</x:v>
      </x:c>
      <x:c r="AE1064" s="36" t="str">
        <x:v>JA</x:v>
      </x:c>
      <x:c r="AF1064" s="36" t="str">
        <x:v>JA</x:v>
      </x:c>
      <x:c r="AG1064" s="36" t="str">
        <x:v>FREIGEGEBEN</x:v>
      </x:c>
      <x:c r="AH1064" s="36" t="str">
        <x:v>GPT-5.6 Sol · Buchprüfung Hebräer · L1912/OTB</x:v>
      </x:c>
      <x:c r="AI1064" s="36" t="str">
        <x:v>FREIGEGEBEN</x:v>
      </x:c>
      <x:c r="AJ1064" s="36" t="str">
        <x:v>Hebräer 9: neue textnahe GEWISSEN-Frage redaktionell freigegeben.</x:v>
      </x:c>
      <x:c r="AK1064" s="36" t="str">
        <x:v>FaithPath repo develop/v4 · data/bibles/l1912/HEB.json · data/bibles/otb/HEB.json</x:v>
      </x:c>
      <x:c r="AL1064" t="str">
        <x:v>JA</x:v>
      </x:c>
    </x:row>
    <x:row r="1065">
      <x:c r="A1065" t="str">
        <x:v>FP-1324</x:v>
      </x:c>
      <x:c r="B1065" t="str">
        <x:v>HEB</x:v>
      </x:c>
      <x:c r="C1065" t="str">
        <x:v>Hebräer</x:v>
      </x:c>
      <x:c r="D1065" t="n">
        <x:v>9</x:v>
      </x:c>
      <x:c r="E1065" t="n">
        <x:v>4</x:v>
      </x:c>
      <x:c r="F1065" t="str">
        <x:v>HEB-009</x:v>
      </x:c>
      <x:c r="G1065" t="n">
        <x:v>213</x:v>
      </x:c>
      <x:c r="H1065" t="str">
        <x:v>CQ-A19</x:v>
      </x:c>
      <x:c r="I1065" s="36" t="str">
        <x:v>Bestandsfrage: exakter Wortlaut in diesem Arbeitsschritt nicht rekonstruiert.</x:v>
      </x:c>
      <x:c r="J1065" s="36"/>
      <x:c r="K1065" s="36"/>
      <x:c r="L1065" s="36" t="str">
        <x:v>MASTER_STATUS_VERIFIZIERT</x:v>
      </x:c>
      <x:c r="M1065" s="36" t="str">
        <x:v>ERSETZEN</x:v>
      </x:c>
      <x:c r="N1065" s="36" t="str">
        <x:v>BESTAND_NOCH_NICHT_GEPRÜFT</x:v>
      </x:c>
      <x:c r="O1065" s="36" t="str">
        <x:v>DIDAKTISCHE_NEUFASSUNG</x:v>
      </x:c>
      <x:c r="P1065" s="36" t="str">
        <x:v>MITTLER</x:v>
      </x:c>
      <x:c r="Q1065" s="36" t="str">
        <x:v>Warum ist Christus Mittler eines neuen Bundes?</x:v>
      </x:c>
      <x:c r="R1065" s="36" t="str">
        <x:v>Damit der erste Bund ohne Veränderung fortgeführt wird.</x:v>
      </x:c>
      <x:c r="S1065" s="36" t="str">
        <x:v>Damit menschliche Opfer weiterhin nötig bleiben.</x:v>
      </x:c>
      <x:c r="T1065" s="36" t="str">
        <x:v>Damit nur Priester Zugang zur Verheißung erhalten.</x:v>
      </x:c>
      <x:c r="U1065" s="36" t="str">
        <x:v>Damit die Berufenen durch seinen Tod die verheißene ewige Erbschaft empfangen.</x:v>
      </x:c>
      <x:c r="V1065" s="36" t="n">
        <x:v>3</x:v>
      </x:c>
      <x:c r="W1065" s="36" t="str">
        <x:v>Damit die Berufenen durch seinen Tod die verheißene ewige Erbschaft empfangen.</x:v>
      </x:c>
      <x:c r="X1065" s="36" t="str">
        <x:v>Hebräer 9,15</x:v>
      </x:c>
      <x:c r="Y1065" s="36" t="str">
        <x:v>Jesu Tod wird mit Befreiung und dem Empfang der ewigen Erbschaft verbunden.</x:v>
      </x:c>
      <x:c r="Z1065" s="36" t="str">
        <x:v>JA</x:v>
      </x:c>
      <x:c r="AA1065" s="36" t="str">
        <x:v>JA</x:v>
      </x:c>
      <x:c r="AB1065" s="36" t="str">
        <x:v>JA</x:v>
      </x:c>
      <x:c r="AC1065" s="36" t="str">
        <x:v>JA</x:v>
      </x:c>
      <x:c r="AD1065" s="36" t="str">
        <x:v>JA</x:v>
      </x:c>
      <x:c r="AE1065" s="36" t="str">
        <x:v>JA</x:v>
      </x:c>
      <x:c r="AF1065" s="36" t="str">
        <x:v>JA</x:v>
      </x:c>
      <x:c r="AG1065" s="36" t="str">
        <x:v>FREIGEGEBEN</x:v>
      </x:c>
      <x:c r="AH1065" s="36" t="str">
        <x:v>GPT-5.6 Sol · Buchprüfung Hebräer · L1912/OTB</x:v>
      </x:c>
      <x:c r="AI1065" s="36" t="str">
        <x:v>FREIGEGEBEN</x:v>
      </x:c>
      <x:c r="AJ1065" s="36" t="str">
        <x:v>Hebräer 9: neue textnahe MITTLER-Frage redaktionell freigegeben.</x:v>
      </x:c>
      <x:c r="AK1065" s="36" t="str">
        <x:v>FaithPath repo develop/v4 · data/bibles/l1912/HEB.json · data/bibles/otb/HEB.json</x:v>
      </x:c>
      <x:c r="AL1065" t="str">
        <x:v>JA</x:v>
      </x:c>
    </x:row>
    <x:row r="1066">
      <x:c r="A1066" t="str">
        <x:v>FP-1325</x:v>
      </x:c>
      <x:c r="B1066" t="str">
        <x:v>HEB</x:v>
      </x:c>
      <x:c r="C1066" t="str">
        <x:v>Hebräer</x:v>
      </x:c>
      <x:c r="D1066" t="n">
        <x:v>9</x:v>
      </x:c>
      <x:c r="E1066" t="n">
        <x:v>5</x:v>
      </x:c>
      <x:c r="F1066" t="str">
        <x:v>HEB-009</x:v>
      </x:c>
      <x:c r="G1066" t="n">
        <x:v>213</x:v>
      </x:c>
      <x:c r="H1066" t="str">
        <x:v>CQ-A19</x:v>
      </x:c>
      <x:c r="I1066" s="36" t="str">
        <x:v>Bestandsfrage: exakter Wortlaut in diesem Arbeitsschritt nicht rekonstruiert.</x:v>
      </x:c>
      <x:c r="J1066" s="36"/>
      <x:c r="K1066" s="36"/>
      <x:c r="L1066" s="36" t="str">
        <x:v>MASTER_STATUS_VERIFIZIERT</x:v>
      </x:c>
      <x:c r="M1066" s="36" t="str">
        <x:v>ERSETZEN</x:v>
      </x:c>
      <x:c r="N1066" s="36" t="str">
        <x:v>BESTAND_NOCH_NICHT_GEPRÜFT</x:v>
      </x:c>
      <x:c r="O1066" s="36" t="str">
        <x:v>DIDAKTISCHE_NEUFASSUNG</x:v>
      </x:c>
      <x:c r="P1066" s="36" t="str">
        <x:v>EINMALIGKEIT</x:v>
      </x:c>
      <x:c r="Q1066" s="36" t="str">
        <x:v>Wie unterscheidet sich Christi Opfer von der wiederholten Opferpraxis des Hohenpriesters?</x:v>
      </x:c>
      <x:c r="R1066" s="36" t="str">
        <x:v>Christus brachte sich einmal dar und wird wieder erscheinen, um denen, die auf ihn warten, das Heil zu bringen.</x:v>
      </x:c>
      <x:c r="S1066" s="36" t="str">
        <x:v>Christus muss sich jedes Jahr erneut opfern.</x:v>
      </x:c>
      <x:c r="T1066" s="36" t="str">
        <x:v>Sein erstes Opfer hatte keine dauerhafte Wirkung.</x:v>
      </x:c>
      <x:c r="U1066" s="36" t="str">
        <x:v>Sein zweites Erscheinen dient einem erneuten Sündopfer.</x:v>
      </x:c>
      <x:c r="V1066" s="36" t="n">
        <x:v>0</x:v>
      </x:c>
      <x:c r="W1066" s="36" t="str">
        <x:v>Christus brachte sich einmal dar und wird wieder erscheinen, um denen, die auf ihn warten, das Heil zu bringen.</x:v>
      </x:c>
      <x:c r="X1066" s="36" t="str">
        <x:v>Hebräer 9,24–28</x:v>
      </x:c>
      <x:c r="Y1066" s="36" t="str">
        <x:v>Das Kapitel betont die Einmaligkeit des Opfers und unterscheidet sie von wiederholten kultischen Opfern.</x:v>
      </x:c>
      <x:c r="Z1066" s="36" t="str">
        <x:v>JA</x:v>
      </x:c>
      <x:c r="AA1066" s="36" t="str">
        <x:v>JA</x:v>
      </x:c>
      <x:c r="AB1066" s="36" t="str">
        <x:v>JA</x:v>
      </x:c>
      <x:c r="AC1066" s="36" t="str">
        <x:v>JA</x:v>
      </x:c>
      <x:c r="AD1066" s="36" t="str">
        <x:v>JA</x:v>
      </x:c>
      <x:c r="AE1066" s="36" t="str">
        <x:v>JA</x:v>
      </x:c>
      <x:c r="AF1066" s="36" t="str">
        <x:v>JA</x:v>
      </x:c>
      <x:c r="AG1066" s="36" t="str">
        <x:v>FREIGEGEBEN</x:v>
      </x:c>
      <x:c r="AH1066" s="36" t="str">
        <x:v>GPT-5.6 Sol · Buchprüfung Hebräer · L1912/OTB</x:v>
      </x:c>
      <x:c r="AI1066" s="36" t="str">
        <x:v>FREIGEGEBEN</x:v>
      </x:c>
      <x:c r="AJ1066" s="36" t="str">
        <x:v>Hebräer 9: neue textnahe EINMALIGKEIT-Frage redaktionell freigegeben.</x:v>
      </x:c>
      <x:c r="AK1066" s="36" t="str">
        <x:v>FaithPath repo develop/v4 · data/bibles/l1912/HEB.json · data/bibles/otb/HEB.json</x:v>
      </x:c>
      <x:c r="AL1066" t="str">
        <x:v>JA</x:v>
      </x:c>
    </x:row>
    <x:row r="1067">
      <x:c r="A1067" t="str">
        <x:v>FP-1326</x:v>
      </x:c>
      <x:c r="B1067" t="str">
        <x:v>HEB</x:v>
      </x:c>
      <x:c r="C1067" t="str">
        <x:v>Hebräer</x:v>
      </x:c>
      <x:c r="D1067" t="n">
        <x:v>10</x:v>
      </x:c>
      <x:c r="E1067" t="n">
        <x:v>1</x:v>
      </x:c>
      <x:c r="F1067" t="str">
        <x:v>HEB-010</x:v>
      </x:c>
      <x:c r="G1067" t="n">
        <x:v>214</x:v>
      </x:c>
      <x:c r="H1067" t="str">
        <x:v>CQ-A19</x:v>
      </x:c>
      <x:c r="I1067" s="36" t="str">
        <x:v>Bestandsfrage: exakter Wortlaut in diesem Arbeitsschritt nicht rekonstruiert.</x:v>
      </x:c>
      <x:c r="J1067" s="36"/>
      <x:c r="K1067" s="36"/>
      <x:c r="L1067" s="36" t="str">
        <x:v>MASTER_STATUS_VERIFIZIERT</x:v>
      </x:c>
      <x:c r="M1067" s="36" t="str">
        <x:v>ERSETZEN</x:v>
      </x:c>
      <x:c r="N1067" s="36" t="str">
        <x:v>BESTAND_NOCH_NICHT_GEPRÜFT</x:v>
      </x:c>
      <x:c r="O1067" s="36" t="str">
        <x:v>DIDAKTISCHE_NEUFASSUNG</x:v>
      </x:c>
      <x:c r="P1067" s="36" t="str">
        <x:v>GRENZE_DES_GESETZES</x:v>
      </x:c>
      <x:c r="Q1067" s="36" t="str">
        <x:v>Warum können die jährlich wiederholten Opfer nach Hebräer 10 nicht vollkommen machen?</x:v>
      </x:c>
      <x:c r="R1067" s="36" t="str">
        <x:v>Weil sie zu selten dargebracht wurden.</x:v>
      </x:c>
      <x:c r="S1067" s="36" t="str">
        <x:v>Weil sie nur Schatten sind und das Blut von Stieren und Böcken Sünden nicht wegnehmen kann.</x:v>
      </x:c>
      <x:c r="T1067" s="36" t="str">
        <x:v>Weil Priester grundsätzlich keine Opfer bringen durften.</x:v>
      </x:c>
      <x:c r="U1067" s="36" t="str">
        <x:v>Weil Vergebung im Alten Bund unbekannt war.</x:v>
      </x:c>
      <x:c r="V1067" s="36" t="n">
        <x:v>1</x:v>
      </x:c>
      <x:c r="W1067" s="36" t="str">
        <x:v>Weil sie nur Schatten sind und das Blut von Stieren und Böcken Sünden nicht wegnehmen kann.</x:v>
      </x:c>
      <x:c r="X1067" s="36" t="str">
        <x:v>Hebräer 10,1–4</x:v>
      </x:c>
      <x:c r="Y1067" s="36" t="str">
        <x:v>Die Wiederholung der Opfer macht ihre begrenzte Wirksamkeit sichtbar; sie erinnern an Sünde, beseitigen sie aber nicht endgültig.</x:v>
      </x:c>
      <x:c r="Z1067" s="36" t="str">
        <x:v>JA</x:v>
      </x:c>
      <x:c r="AA1067" s="36" t="str">
        <x:v>JA</x:v>
      </x:c>
      <x:c r="AB1067" s="36" t="str">
        <x:v>JA</x:v>
      </x:c>
      <x:c r="AC1067" s="36" t="str">
        <x:v>JA</x:v>
      </x:c>
      <x:c r="AD1067" s="36" t="str">
        <x:v>JA</x:v>
      </x:c>
      <x:c r="AE1067" s="36" t="str">
        <x:v>JA</x:v>
      </x:c>
      <x:c r="AF1067" s="36" t="str">
        <x:v>JA</x:v>
      </x:c>
      <x:c r="AG1067" s="36" t="str">
        <x:v>FREIGEGEBEN</x:v>
      </x:c>
      <x:c r="AH1067" s="36" t="str">
        <x:v>GPT-5.6 Sol · Buchprüfung Hebräer · L1912/OTB</x:v>
      </x:c>
      <x:c r="AI1067" s="36" t="str">
        <x:v>FREIGEGEBEN</x:v>
      </x:c>
      <x:c r="AJ1067" s="36" t="str">
        <x:v>Hebräer 10: neue textnahe GRENZE_DES_GESETZES-Frage redaktionell freigegeben.</x:v>
      </x:c>
      <x:c r="AK1067" s="36" t="str">
        <x:v>FaithPath repo develop/v4 · data/bibles/l1912/HEB.json · data/bibles/otb/HEB.json</x:v>
      </x:c>
      <x:c r="AL1067" t="str">
        <x:v>JA</x:v>
      </x:c>
    </x:row>
    <x:row r="1068">
      <x:c r="A1068" t="str">
        <x:v>FP-1327</x:v>
      </x:c>
      <x:c r="B1068" t="str">
        <x:v>HEB</x:v>
      </x:c>
      <x:c r="C1068" t="str">
        <x:v>Hebräer</x:v>
      </x:c>
      <x:c r="D1068" t="n">
        <x:v>10</x:v>
      </x:c>
      <x:c r="E1068" t="n">
        <x:v>2</x:v>
      </x:c>
      <x:c r="F1068" t="str">
        <x:v>HEB-010</x:v>
      </x:c>
      <x:c r="G1068" t="n">
        <x:v>214</x:v>
      </x:c>
      <x:c r="H1068" t="str">
        <x:v>CQ-A19</x:v>
      </x:c>
      <x:c r="I1068" s="36" t="str">
        <x:v>Bestandsfrage: exakter Wortlaut in diesem Arbeitsschritt nicht rekonstruiert.</x:v>
      </x:c>
      <x:c r="J1068" s="36"/>
      <x:c r="K1068" s="36"/>
      <x:c r="L1068" s="36" t="str">
        <x:v>MASTER_STATUS_VERIFIZIERT</x:v>
      </x:c>
      <x:c r="M1068" s="36" t="str">
        <x:v>ERSETZEN</x:v>
      </x:c>
      <x:c r="N1068" s="36" t="str">
        <x:v>BESTAND_NOCH_NICHT_GEPRÜFT</x:v>
      </x:c>
      <x:c r="O1068" s="36" t="str">
        <x:v>DIDAKTISCHE_NEUFASSUNG</x:v>
      </x:c>
      <x:c r="P1068" s="36" t="str">
        <x:v>CHRISTUS</x:v>
      </x:c>
      <x:c r="Q1068" s="36" t="str">
        <x:v>Was bewirkt das Opfer Jesu nach Hebräer 10?</x:v>
      </x:c>
      <x:c r="R1068" s="36" t="str">
        <x:v>Es muss täglich wiederholt werden.</x:v>
      </x:c>
      <x:c r="S1068" s="36" t="str">
        <x:v>Es gilt nur für frühere Generationen.</x:v>
      </x:c>
      <x:c r="T1068" s="36" t="str">
        <x:v>Durch sein einmaliges Opfer werden die Geheiligten für immer vollendet.</x:v>
      </x:c>
      <x:c r="U1068" s="36" t="str">
        <x:v>Es ersetzt Gottes Willen durch menschliche Leistung.</x:v>
      </x:c>
      <x:c r="V1068" s="36" t="n">
        <x:v>2</x:v>
      </x:c>
      <x:c r="W1068" s="36" t="str">
        <x:v>Durch sein einmaliges Opfer werden die Geheiligten für immer vollendet.</x:v>
      </x:c>
      <x:c r="X1068" s="36" t="str">
        <x:v>Hebräer 10,10–14</x:v>
      </x:c>
      <x:c r="Y1068" s="36" t="str">
        <x:v>Jesu einmaliges Selbstopfer steht im Kontrast zum fortgesetzten Dienst der Priester.</x:v>
      </x:c>
      <x:c r="Z1068" s="36" t="str">
        <x:v>JA</x:v>
      </x:c>
      <x:c r="AA1068" s="36" t="str">
        <x:v>JA</x:v>
      </x:c>
      <x:c r="AB1068" s="36" t="str">
        <x:v>JA</x:v>
      </x:c>
      <x:c r="AC1068" s="36" t="str">
        <x:v>JA</x:v>
      </x:c>
      <x:c r="AD1068" s="36" t="str">
        <x:v>JA</x:v>
      </x:c>
      <x:c r="AE1068" s="36" t="str">
        <x:v>JA</x:v>
      </x:c>
      <x:c r="AF1068" s="36" t="str">
        <x:v>JA</x:v>
      </x:c>
      <x:c r="AG1068" s="36" t="str">
        <x:v>FREIGEGEBEN</x:v>
      </x:c>
      <x:c r="AH1068" s="36" t="str">
        <x:v>GPT-5.6 Sol · Buchprüfung Hebräer · L1912/OTB</x:v>
      </x:c>
      <x:c r="AI1068" s="36" t="str">
        <x:v>FREIGEGEBEN</x:v>
      </x:c>
      <x:c r="AJ1068" s="36" t="str">
        <x:v>Hebräer 10: neue textnahe CHRISTUS-Frage redaktionell freigegeben.</x:v>
      </x:c>
      <x:c r="AK1068" s="36" t="str">
        <x:v>FaithPath repo develop/v4 · data/bibles/l1912/HEB.json · data/bibles/otb/HEB.json</x:v>
      </x:c>
      <x:c r="AL1068" t="str">
        <x:v>JA</x:v>
      </x:c>
    </x:row>
    <x:row r="1069">
      <x:c r="A1069" t="str">
        <x:v>FP-1328</x:v>
      </x:c>
      <x:c r="B1069" t="str">
        <x:v>HEB</x:v>
      </x:c>
      <x:c r="C1069" t="str">
        <x:v>Hebräer</x:v>
      </x:c>
      <x:c r="D1069" t="n">
        <x:v>10</x:v>
      </x:c>
      <x:c r="E1069" t="n">
        <x:v>3</x:v>
      </x:c>
      <x:c r="F1069" t="str">
        <x:v>HEB-010</x:v>
      </x:c>
      <x:c r="G1069" t="n">
        <x:v>214</x:v>
      </x:c>
      <x:c r="H1069" t="str">
        <x:v>CQ-A19</x:v>
      </x:c>
      <x:c r="I1069" s="36" t="str">
        <x:v>Bestandsfrage: exakter Wortlaut in diesem Arbeitsschritt nicht rekonstruiert.</x:v>
      </x:c>
      <x:c r="J1069" s="36"/>
      <x:c r="K1069" s="36"/>
      <x:c r="L1069" s="36" t="str">
        <x:v>MASTER_STATUS_VERIFIZIERT</x:v>
      </x:c>
      <x:c r="M1069" s="36" t="str">
        <x:v>ERSETZEN</x:v>
      </x:c>
      <x:c r="N1069" s="36" t="str">
        <x:v>BESTAND_NOCH_NICHT_GEPRÜFT</x:v>
      </x:c>
      <x:c r="O1069" s="36" t="str">
        <x:v>DIDAKTISCHE_NEUFASSUNG</x:v>
      </x:c>
      <x:c r="P1069" s="36" t="str">
        <x:v>ZUGANG</x:v>
      </x:c>
      <x:c r="Q1069" s="36" t="str">
        <x:v>Welche Konsequenz zieht der Brief aus Jesu Opfer und Hohepriestertum?</x:v>
      </x:c>
      <x:c r="R1069" s="36" t="str">
        <x:v>Sich wegen der eigenen Schwäche von Gott fernzuhalten.</x:v>
      </x:c>
      <x:c r="S1069" s="36" t="str">
        <x:v>Den Zugang zu Gott nur Priestern zu überlassen.</x:v>
      </x:c>
      <x:c r="T1069" s="36" t="str">
        <x:v>Auf jede Form des Gebets zu verzichten.</x:v>
      </x:c>
      <x:c r="U1069" s="36" t="str">
        <x:v>Mit aufrichtigem Herzen und voller Glaubensgewissheit zu Gott zu kommen.</x:v>
      </x:c>
      <x:c r="V1069" s="36" t="n">
        <x:v>3</x:v>
      </x:c>
      <x:c r="W1069" s="36" t="str">
        <x:v>Mit aufrichtigem Herzen und voller Glaubensgewissheit zu Gott zu kommen.</x:v>
      </x:c>
      <x:c r="X1069" s="36" t="str">
        <x:v>Hebräer 10,19–22</x:v>
      </x:c>
      <x:c r="Y1069" s="36" t="str">
        <x:v>Durch Jesu Blut und seinen priesterlichen Dienst ist ein neuer, lebendiger Zugang eröffnet.</x:v>
      </x:c>
      <x:c r="Z1069" s="36" t="str">
        <x:v>JA</x:v>
      </x:c>
      <x:c r="AA1069" s="36" t="str">
        <x:v>JA</x:v>
      </x:c>
      <x:c r="AB1069" s="36" t="str">
        <x:v>JA</x:v>
      </x:c>
      <x:c r="AC1069" s="36" t="str">
        <x:v>JA</x:v>
      </x:c>
      <x:c r="AD1069" s="36" t="str">
        <x:v>JA</x:v>
      </x:c>
      <x:c r="AE1069" s="36" t="str">
        <x:v>JA</x:v>
      </x:c>
      <x:c r="AF1069" s="36" t="str">
        <x:v>JA</x:v>
      </x:c>
      <x:c r="AG1069" s="36" t="str">
        <x:v>FREIGEGEBEN</x:v>
      </x:c>
      <x:c r="AH1069" s="36" t="str">
        <x:v>GPT-5.6 Sol · Buchprüfung Hebräer · L1912/OTB</x:v>
      </x:c>
      <x:c r="AI1069" s="36" t="str">
        <x:v>FREIGEGEBEN</x:v>
      </x:c>
      <x:c r="AJ1069" s="36" t="str">
        <x:v>Hebräer 10: neue textnahe ZUGANG-Frage redaktionell freigegeben.</x:v>
      </x:c>
      <x:c r="AK1069" s="36" t="str">
        <x:v>FaithPath repo develop/v4 · data/bibles/l1912/HEB.json · data/bibles/otb/HEB.json</x:v>
      </x:c>
      <x:c r="AL1069" t="str">
        <x:v>JA</x:v>
      </x:c>
    </x:row>
    <x:row r="1070">
      <x:c r="A1070" t="str">
        <x:v>FP-1329</x:v>
      </x:c>
      <x:c r="B1070" t="str">
        <x:v>HEB</x:v>
      </x:c>
      <x:c r="C1070" t="str">
        <x:v>Hebräer</x:v>
      </x:c>
      <x:c r="D1070" t="n">
        <x:v>10</x:v>
      </x:c>
      <x:c r="E1070" t="n">
        <x:v>4</x:v>
      </x:c>
      <x:c r="F1070" t="str">
        <x:v>HEB-010</x:v>
      </x:c>
      <x:c r="G1070" t="n">
        <x:v>214</x:v>
      </x:c>
      <x:c r="H1070" t="str">
        <x:v>CQ-A19</x:v>
      </x:c>
      <x:c r="I1070" s="36" t="str">
        <x:v>Bestandsfrage: exakter Wortlaut in diesem Arbeitsschritt nicht rekonstruiert.</x:v>
      </x:c>
      <x:c r="J1070" s="36"/>
      <x:c r="K1070" s="36"/>
      <x:c r="L1070" s="36" t="str">
        <x:v>MASTER_STATUS_VERIFIZIERT</x:v>
      </x:c>
      <x:c r="M1070" s="36" t="str">
        <x:v>ERSETZEN</x:v>
      </x:c>
      <x:c r="N1070" s="36" t="str">
        <x:v>BESTAND_NOCH_NICHT_GEPRÜFT</x:v>
      </x:c>
      <x:c r="O1070" s="36" t="str">
        <x:v>DIDAKTISCHE_NEUFASSUNG</x:v>
      </x:c>
      <x:c r="P1070" s="36" t="str">
        <x:v>GEMEINSCHAFT</x:v>
      </x:c>
      <x:c r="Q1070" s="36" t="str">
        <x:v>Wie sollen Glaubende ihre Hoffnung und Gemeinschaft praktisch leben?</x:v>
      </x:c>
      <x:c r="R1070" s="36" t="str">
        <x:v>An der Hoffnung festhalten, einander zu Liebe und guten Werken anspornen und die Zusammenkünfte nicht vernachlässigen.</x:v>
      </x:c>
      <x:c r="S1070" s="36" t="str">
        <x:v>Sich möglichst unabhängig voneinander machen.</x:v>
      </x:c>
      <x:c r="T1070" s="36" t="str">
        <x:v>Gute Werke als Gegensatz zum Glauben vermeiden.</x:v>
      </x:c>
      <x:c r="U1070" s="36" t="str">
        <x:v>Gemeinschaft nur in Krisenzeiten suchen.</x:v>
      </x:c>
      <x:c r="V1070" s="36" t="n">
        <x:v>0</x:v>
      </x:c>
      <x:c r="W1070" s="36" t="str">
        <x:v>An der Hoffnung festhalten, einander zu Liebe und guten Werken anspornen und die Zusammenkünfte nicht vernachlässigen.</x:v>
      </x:c>
      <x:c r="X1070" s="36" t="str">
        <x:v>Hebräer 10,23–25</x:v>
      </x:c>
      <x:c r="Y1070" s="36" t="str">
        <x:v>Treue zeigt sich gemeinschaftlich: festhalten, anspornen und einander ermutigen.</x:v>
      </x:c>
      <x:c r="Z1070" s="36" t="str">
        <x:v>JA</x:v>
      </x:c>
      <x:c r="AA1070" s="36" t="str">
        <x:v>JA</x:v>
      </x:c>
      <x:c r="AB1070" s="36" t="str">
        <x:v>JA</x:v>
      </x:c>
      <x:c r="AC1070" s="36" t="str">
        <x:v>JA</x:v>
      </x:c>
      <x:c r="AD1070" s="36" t="str">
        <x:v>JA</x:v>
      </x:c>
      <x:c r="AE1070" s="36" t="str">
        <x:v>JA</x:v>
      </x:c>
      <x:c r="AF1070" s="36" t="str">
        <x:v>JA</x:v>
      </x:c>
      <x:c r="AG1070" s="36" t="str">
        <x:v>FREIGEGEBEN</x:v>
      </x:c>
      <x:c r="AH1070" s="36" t="str">
        <x:v>GPT-5.6 Sol · Buchprüfung Hebräer · L1912/OTB</x:v>
      </x:c>
      <x:c r="AI1070" s="36" t="str">
        <x:v>FREIGEGEBEN</x:v>
      </x:c>
      <x:c r="AJ1070" s="36" t="str">
        <x:v>Hebräer 10: neue textnahe GEMEINSCHAFT-Frage redaktionell freigegeben.</x:v>
      </x:c>
      <x:c r="AK1070" s="36" t="str">
        <x:v>FaithPath repo develop/v4 · data/bibles/l1912/HEB.json · data/bibles/otb/HEB.json</x:v>
      </x:c>
      <x:c r="AL1070" t="str">
        <x:v>JA</x:v>
      </x:c>
    </x:row>
    <x:row r="1071">
      <x:c r="A1071" t="str">
        <x:v>FP-1330</x:v>
      </x:c>
      <x:c r="B1071" t="str">
        <x:v>HEB</x:v>
      </x:c>
      <x:c r="C1071" t="str">
        <x:v>Hebräer</x:v>
      </x:c>
      <x:c r="D1071" t="n">
        <x:v>10</x:v>
      </x:c>
      <x:c r="E1071" t="n">
        <x:v>5</x:v>
      </x:c>
      <x:c r="F1071" t="str">
        <x:v>HEB-010</x:v>
      </x:c>
      <x:c r="G1071" t="n">
        <x:v>214</x:v>
      </x:c>
      <x:c r="H1071" t="str">
        <x:v>CQ-A19</x:v>
      </x:c>
      <x:c r="I1071" s="36" t="str">
        <x:v>Bestandsfrage: exakter Wortlaut in diesem Arbeitsschritt nicht rekonstruiert.</x:v>
      </x:c>
      <x:c r="J1071" s="36"/>
      <x:c r="K1071" s="36"/>
      <x:c r="L1071" s="36" t="str">
        <x:v>MASTER_STATUS_VERIFIZIERT</x:v>
      </x:c>
      <x:c r="M1071" s="36" t="str">
        <x:v>ERSETZEN</x:v>
      </x:c>
      <x:c r="N1071" s="36" t="str">
        <x:v>BESTAND_NOCH_NICHT_GEPRÜFT</x:v>
      </x:c>
      <x:c r="O1071" s="36" t="str">
        <x:v>DIDAKTISCHE_NEUFASSUNG</x:v>
      </x:c>
      <x:c r="P1071" s="36" t="str">
        <x:v>AUSDAUER</x:v>
      </x:c>
      <x:c r="Q1071" s="36" t="str">
        <x:v>Was sollen die Leser angesichts früherer Leiden nicht wegwerfen?</x:v>
      </x:c>
      <x:c r="R1071" s="36" t="str">
        <x:v>Ihre Erinnerung an Gottes Verheißungen.</x:v>
      </x:c>
      <x:c r="S1071" s="36" t="str">
        <x:v>Ihre Zuversicht; sie brauchen Ausdauer, um nach dem Tun von Gottes Willen die Verheißung zu empfangen.</x:v>
      </x:c>
      <x:c r="T1071" s="36" t="str">
        <x:v>Jede Verbindung zu anderen Leidenden.</x:v>
      </x:c>
      <x:c r="U1071" s="36" t="str">
        <x:v>Den Glauben zugunsten materieller Sicherheit.</x:v>
      </x:c>
      <x:c r="V1071" s="36" t="n">
        <x:v>1</x:v>
      </x:c>
      <x:c r="W1071" s="36" t="str">
        <x:v>Ihre Zuversicht; sie brauchen Ausdauer, um nach dem Tun von Gottes Willen die Verheißung zu empfangen.</x:v>
      </x:c>
      <x:c r="X1071" s="36" t="str">
        <x:v>Hebräer 10,32–39</x:v>
      </x:c>
      <x:c r="Y1071" s="36" t="str">
        <x:v>Der Rückblick auf frühere Standhaftigkeit soll neue Ausdauer wecken und vor dem Zurückweichen bewahren.</x:v>
      </x:c>
      <x:c r="Z1071" s="36" t="str">
        <x:v>JA</x:v>
      </x:c>
      <x:c r="AA1071" s="36" t="str">
        <x:v>JA</x:v>
      </x:c>
      <x:c r="AB1071" s="36" t="str">
        <x:v>JA</x:v>
      </x:c>
      <x:c r="AC1071" s="36" t="str">
        <x:v>JA</x:v>
      </x:c>
      <x:c r="AD1071" s="36" t="str">
        <x:v>JA</x:v>
      </x:c>
      <x:c r="AE1071" s="36" t="str">
        <x:v>JA</x:v>
      </x:c>
      <x:c r="AF1071" s="36" t="str">
        <x:v>JA</x:v>
      </x:c>
      <x:c r="AG1071" s="36" t="str">
        <x:v>FREIGEGEBEN</x:v>
      </x:c>
      <x:c r="AH1071" s="36" t="str">
        <x:v>GPT-5.6 Sol · Buchprüfung Hebräer · L1912/OTB</x:v>
      </x:c>
      <x:c r="AI1071" s="36" t="str">
        <x:v>FREIGEGEBEN</x:v>
      </x:c>
      <x:c r="AJ1071" s="36" t="str">
        <x:v>Hebräer 10: neue textnahe AUSDAUER-Frage redaktionell freigegeben.</x:v>
      </x:c>
      <x:c r="AK1071" s="36" t="str">
        <x:v>FaithPath repo develop/v4 · data/bibles/l1912/HEB.json · data/bibles/otb/HEB.json</x:v>
      </x:c>
      <x:c r="AL1071" t="str">
        <x:v>JA</x:v>
      </x:c>
    </x:row>
    <x:row r="1072">
      <x:c r="A1072" t="str">
        <x:v>FP-1331</x:v>
      </x:c>
      <x:c r="B1072" t="str">
        <x:v>HEB</x:v>
      </x:c>
      <x:c r="C1072" t="str">
        <x:v>Hebräer</x:v>
      </x:c>
      <x:c r="D1072" t="n">
        <x:v>11</x:v>
      </x:c>
      <x:c r="E1072" t="n">
        <x:v>1</x:v>
      </x:c>
      <x:c r="F1072" t="str">
        <x:v>HEB-011</x:v>
      </x:c>
      <x:c r="G1072" t="n">
        <x:v>215</x:v>
      </x:c>
      <x:c r="H1072" t="str">
        <x:v>CQ-A19</x:v>
      </x:c>
      <x:c r="I1072" s="36" t="str">
        <x:v>Bestandsfrage: exakter Wortlaut in diesem Arbeitsschritt nicht rekonstruiert.</x:v>
      </x:c>
      <x:c r="J1072" s="36"/>
      <x:c r="K1072" s="36"/>
      <x:c r="L1072" s="36" t="str">
        <x:v>MASTER_STATUS_VERIFIZIERT</x:v>
      </x:c>
      <x:c r="M1072" s="36" t="str">
        <x:v>ERSETZEN</x:v>
      </x:c>
      <x:c r="N1072" s="36" t="str">
        <x:v>BESTAND_NOCH_NICHT_GEPRÜFT</x:v>
      </x:c>
      <x:c r="O1072" s="36" t="str">
        <x:v>DIDAKTISCHE_NEUFASSUNG</x:v>
      </x:c>
      <x:c r="P1072" s="36" t="str">
        <x:v>DEFINITION</x:v>
      </x:c>
      <x:c r="Q1072" s="36" t="str">
        <x:v>Wie beschreibt Hebräer 11 den Glauben?</x:v>
      </x:c>
      <x:c r="R1072" s="36" t="str">
        <x:v>Als bloßes optimistisches Gefühl ohne Grundlage.</x:v>
      </x:c>
      <x:c r="S1072" s="36" t="str">
        <x:v>Als vollständige Kenntnis aller zukünftigen Ereignisse.</x:v>
      </x:c>
      <x:c r="T1072" s="36" t="str">
        <x:v>Als feste Zuversicht auf das Erhoffte und Überzeugung von dem, was man nicht sieht.</x:v>
      </x:c>
      <x:c r="U1072" s="36" t="str">
        <x:v>Als Ersatz für jede Form von Gehorsam.</x:v>
      </x:c>
      <x:c r="V1072" s="36" t="n">
        <x:v>2</x:v>
      </x:c>
      <x:c r="W1072" s="36" t="str">
        <x:v>Als feste Zuversicht auf das Erhoffte und Überzeugung von dem, was man nicht sieht.</x:v>
      </x:c>
      <x:c r="X1072" s="36" t="str">
        <x:v>Hebräer 11,1</x:v>
      </x:c>
      <x:c r="Y1072" s="36" t="str">
        <x:v>Die Definition verbindet Hoffnung und Überzeugung mit einer Wirklichkeit, die noch nicht sichtbar ist.</x:v>
      </x:c>
      <x:c r="Z1072" s="36" t="str">
        <x:v>JA</x:v>
      </x:c>
      <x:c r="AA1072" s="36" t="str">
        <x:v>JA</x:v>
      </x:c>
      <x:c r="AB1072" s="36" t="str">
        <x:v>JA</x:v>
      </x:c>
      <x:c r="AC1072" s="36" t="str">
        <x:v>JA</x:v>
      </x:c>
      <x:c r="AD1072" s="36" t="str">
        <x:v>JA</x:v>
      </x:c>
      <x:c r="AE1072" s="36" t="str">
        <x:v>JA</x:v>
      </x:c>
      <x:c r="AF1072" s="36" t="str">
        <x:v>JA</x:v>
      </x:c>
      <x:c r="AG1072" s="36" t="str">
        <x:v>FREIGEGEBEN</x:v>
      </x:c>
      <x:c r="AH1072" s="36" t="str">
        <x:v>GPT-5.6 Sol · Buchprüfung Hebräer · L1912/OTB</x:v>
      </x:c>
      <x:c r="AI1072" s="36" t="str">
        <x:v>FREIGEGEBEN</x:v>
      </x:c>
      <x:c r="AJ1072" s="36" t="str">
        <x:v>Hebräer 11: neue textnahe DEFINITION-Frage redaktionell freigegeben.</x:v>
      </x:c>
      <x:c r="AK1072" s="36" t="str">
        <x:v>FaithPath repo develop/v4 · data/bibles/l1912/HEB.json · data/bibles/otb/HEB.json</x:v>
      </x:c>
      <x:c r="AL1072" t="str">
        <x:v>JA</x:v>
      </x:c>
    </x:row>
    <x:row r="1073">
      <x:c r="A1073" t="str">
        <x:v>FP-1332</x:v>
      </x:c>
      <x:c r="B1073" t="str">
        <x:v>HEB</x:v>
      </x:c>
      <x:c r="C1073" t="str">
        <x:v>Hebräer</x:v>
      </x:c>
      <x:c r="D1073" t="n">
        <x:v>11</x:v>
      </x:c>
      <x:c r="E1073" t="n">
        <x:v>2</x:v>
      </x:c>
      <x:c r="F1073" t="str">
        <x:v>HEB-011</x:v>
      </x:c>
      <x:c r="G1073" t="n">
        <x:v>215</x:v>
      </x:c>
      <x:c r="H1073" t="str">
        <x:v>CQ-A19</x:v>
      </x:c>
      <x:c r="I1073" s="36" t="str">
        <x:v>Bestandsfrage: exakter Wortlaut in diesem Arbeitsschritt nicht rekonstruiert.</x:v>
      </x:c>
      <x:c r="J1073" s="36"/>
      <x:c r="K1073" s="36"/>
      <x:c r="L1073" s="36" t="str">
        <x:v>MASTER_STATUS_VERIFIZIERT</x:v>
      </x:c>
      <x:c r="M1073" s="36" t="str">
        <x:v>ERSETZEN</x:v>
      </x:c>
      <x:c r="N1073" s="36" t="str">
        <x:v>BESTAND_NOCH_NICHT_GEPRÜFT</x:v>
      </x:c>
      <x:c r="O1073" s="36" t="str">
        <x:v>DIDAKTISCHE_NEUFASSUNG</x:v>
      </x:c>
      <x:c r="P1073" s="36" t="str">
        <x:v>GOTT_GEFALLEN</x:v>
      </x:c>
      <x:c r="Q1073" s="36" t="str">
        <x:v>Was ist nach Hebräer 11 notwendig, um Gott zu gefallen?</x:v>
      </x:c>
      <x:c r="R1073" s="36" t="str">
        <x:v>Ein vollkommen leidfreies Leben.</x:v>
      </x:c>
      <x:c r="S1073" s="36" t="str">
        <x:v>Die Zugehörigkeit zu einer bestimmten sozialen Gruppe.</x:v>
      </x:c>
      <x:c r="T1073" s="36" t="str">
        <x:v>Ausschließlich religiöses Wissen.</x:v>
      </x:c>
      <x:c r="U1073" s="36" t="str">
        <x:v>Glaube daran, dass Gott ist und die belohnt, die ihn suchen.</x:v>
      </x:c>
      <x:c r="V1073" s="36" t="n">
        <x:v>3</x:v>
      </x:c>
      <x:c r="W1073" s="36" t="str">
        <x:v>Glaube daran, dass Gott ist und die belohnt, die ihn suchen.</x:v>
      </x:c>
      <x:c r="X1073" s="36" t="str">
        <x:v>Hebräer 11,6</x:v>
      </x:c>
      <x:c r="Y1073" s="36" t="str">
        <x:v>Der Vers verbindet Glauben mit Vertrauen auf Gottes Wirklichkeit und seine Antwort auf ernsthaftes Suchen.</x:v>
      </x:c>
      <x:c r="Z1073" s="36" t="str">
        <x:v>JA</x:v>
      </x:c>
      <x:c r="AA1073" s="36" t="str">
        <x:v>JA</x:v>
      </x:c>
      <x:c r="AB1073" s="36" t="str">
        <x:v>JA</x:v>
      </x:c>
      <x:c r="AC1073" s="36" t="str">
        <x:v>JA</x:v>
      </x:c>
      <x:c r="AD1073" s="36" t="str">
        <x:v>JA</x:v>
      </x:c>
      <x:c r="AE1073" s="36" t="str">
        <x:v>JA</x:v>
      </x:c>
      <x:c r="AF1073" s="36" t="str">
        <x:v>JA</x:v>
      </x:c>
      <x:c r="AG1073" s="36" t="str">
        <x:v>FREIGEGEBEN</x:v>
      </x:c>
      <x:c r="AH1073" s="36" t="str">
        <x:v>GPT-5.6 Sol · Buchprüfung Hebräer · L1912/OTB</x:v>
      </x:c>
      <x:c r="AI1073" s="36" t="str">
        <x:v>FREIGEGEBEN</x:v>
      </x:c>
      <x:c r="AJ1073" s="36" t="str">
        <x:v>Hebräer 11: neue textnahe GOTT_GEFALLEN-Frage redaktionell freigegeben.</x:v>
      </x:c>
      <x:c r="AK1073" s="36" t="str">
        <x:v>FaithPath repo develop/v4 · data/bibles/l1912/HEB.json · data/bibles/otb/HEB.json</x:v>
      </x:c>
      <x:c r="AL1073" t="str">
        <x:v>JA</x:v>
      </x:c>
    </x:row>
    <x:row r="1074">
      <x:c r="A1074" t="str">
        <x:v>FP-1333</x:v>
      </x:c>
      <x:c r="B1074" t="str">
        <x:v>HEB</x:v>
      </x:c>
      <x:c r="C1074" t="str">
        <x:v>Hebräer</x:v>
      </x:c>
      <x:c r="D1074" t="n">
        <x:v>11</x:v>
      </x:c>
      <x:c r="E1074" t="n">
        <x:v>3</x:v>
      </x:c>
      <x:c r="F1074" t="str">
        <x:v>HEB-011</x:v>
      </x:c>
      <x:c r="G1074" t="n">
        <x:v>215</x:v>
      </x:c>
      <x:c r="H1074" t="str">
        <x:v>CQ-A19</x:v>
      </x:c>
      <x:c r="I1074" s="36" t="str">
        <x:v>Bestandsfrage: exakter Wortlaut in diesem Arbeitsschritt nicht rekonstruiert.</x:v>
      </x:c>
      <x:c r="J1074" s="36"/>
      <x:c r="K1074" s="36"/>
      <x:c r="L1074" s="36" t="str">
        <x:v>MASTER_STATUS_VERIFIZIERT</x:v>
      </x:c>
      <x:c r="M1074" s="36" t="str">
        <x:v>ERSETZEN</x:v>
      </x:c>
      <x:c r="N1074" s="36" t="str">
        <x:v>BESTAND_NOCH_NICHT_GEPRÜFT</x:v>
      </x:c>
      <x:c r="O1074" s="36" t="str">
        <x:v>DIDAKTISCHE_NEUFASSUNG</x:v>
      </x:c>
      <x:c r="P1074" s="36" t="str">
        <x:v>ABRAHAM</x:v>
      </x:c>
      <x:c r="Q1074" s="36" t="str">
        <x:v>Was zeigt Abrahams Aufbruch nach Hebräer 11?</x:v>
      </x:c>
      <x:c r="R1074" s="36" t="str">
        <x:v>Er gehorchte im Glauben und zog aus, obwohl er nicht wusste, wohin er kommen würde.</x:v>
      </x:c>
      <x:c r="S1074" s="36" t="str">
        <x:v>Er kannte jedes Detail seines Weges im Voraus.</x:v>
      </x:c>
      <x:c r="T1074" s="36" t="str">
        <x:v>Er weigerte sich, Gottes Ruf zu folgen.</x:v>
      </x:c>
      <x:c r="U1074" s="36" t="str">
        <x:v>Er suchte vor allem politische Sicherheit.</x:v>
      </x:c>
      <x:c r="V1074" s="36" t="n">
        <x:v>0</x:v>
      </x:c>
      <x:c r="W1074" s="36" t="str">
        <x:v>Er gehorchte im Glauben und zog aus, obwohl er nicht wusste, wohin er kommen würde.</x:v>
      </x:c>
      <x:c r="X1074" s="36" t="str">
        <x:v>Hebräer 11,8–10</x:v>
      </x:c>
      <x:c r="Y1074" s="36" t="str">
        <x:v>Abrahams Glaube zeigt sich im Gehorsam ohne vollständige Sicht und in der Erwartung der von Gott gebauten Stadt.</x:v>
      </x:c>
      <x:c r="Z1074" s="36" t="str">
        <x:v>JA</x:v>
      </x:c>
      <x:c r="AA1074" s="36" t="str">
        <x:v>JA</x:v>
      </x:c>
      <x:c r="AB1074" s="36" t="str">
        <x:v>JA</x:v>
      </x:c>
      <x:c r="AC1074" s="36" t="str">
        <x:v>JA</x:v>
      </x:c>
      <x:c r="AD1074" s="36" t="str">
        <x:v>JA</x:v>
      </x:c>
      <x:c r="AE1074" s="36" t="str">
        <x:v>JA</x:v>
      </x:c>
      <x:c r="AF1074" s="36" t="str">
        <x:v>JA</x:v>
      </x:c>
      <x:c r="AG1074" s="36" t="str">
        <x:v>FREIGEGEBEN</x:v>
      </x:c>
      <x:c r="AH1074" s="36" t="str">
        <x:v>GPT-5.6 Sol · Buchprüfung Hebräer · L1912/OTB</x:v>
      </x:c>
      <x:c r="AI1074" s="36" t="str">
        <x:v>FREIGEGEBEN</x:v>
      </x:c>
      <x:c r="AJ1074" s="36" t="str">
        <x:v>Hebräer 11: neue textnahe ABRAHAM-Frage redaktionell freigegeben.</x:v>
      </x:c>
      <x:c r="AK1074" s="36" t="str">
        <x:v>FaithPath repo develop/v4 · data/bibles/l1912/HEB.json · data/bibles/otb/HEB.json</x:v>
      </x:c>
      <x:c r="AL1074" t="str">
        <x:v>JA</x:v>
      </x:c>
    </x:row>
    <x:row r="1075">
      <x:c r="A1075" t="str">
        <x:v>FP-1334</x:v>
      </x:c>
      <x:c r="B1075" t="str">
        <x:v>HEB</x:v>
      </x:c>
      <x:c r="C1075" t="str">
        <x:v>Hebräer</x:v>
      </x:c>
      <x:c r="D1075" t="n">
        <x:v>11</x:v>
      </x:c>
      <x:c r="E1075" t="n">
        <x:v>4</x:v>
      </x:c>
      <x:c r="F1075" t="str">
        <x:v>HEB-011</x:v>
      </x:c>
      <x:c r="G1075" t="n">
        <x:v>215</x:v>
      </x:c>
      <x:c r="H1075" t="str">
        <x:v>CQ-A19</x:v>
      </x:c>
      <x:c r="I1075" s="36" t="str">
        <x:v>Bestandsfrage: exakter Wortlaut in diesem Arbeitsschritt nicht rekonstruiert.</x:v>
      </x:c>
      <x:c r="J1075" s="36"/>
      <x:c r="K1075" s="36"/>
      <x:c r="L1075" s="36" t="str">
        <x:v>MASTER_STATUS_VERIFIZIERT</x:v>
      </x:c>
      <x:c r="M1075" s="36" t="str">
        <x:v>ERSETZEN</x:v>
      </x:c>
      <x:c r="N1075" s="36" t="str">
        <x:v>BESTAND_NOCH_NICHT_GEPRÜFT</x:v>
      </x:c>
      <x:c r="O1075" s="36" t="str">
        <x:v>DIDAKTISCHE_NEUFASSUNG</x:v>
      </x:c>
      <x:c r="P1075" s="36" t="str">
        <x:v>MOSE</x:v>
      </x:c>
      <x:c r="Q1075" s="36" t="str">
        <x:v>Welche Entscheidung Moses wird als Ausdruck des Glaubens hervorgehoben?</x:v>
      </x:c>
      <x:c r="R1075" s="36" t="str">
        <x:v>Er wählte dauerhaft den Reichtum Ägyptens.</x:v>
      </x:c>
      <x:c r="S1075" s="36" t="str">
        <x:v>Er zog es vor, mit Gottes Volk Bedrängnis zu erleiden, statt den vorübergehenden Genuss der Sünde zu wählen.</x:v>
      </x:c>
      <x:c r="T1075" s="36" t="str">
        <x:v>Er vermied jeden Konflikt mit dem Pharao.</x:v>
      </x:c>
      <x:c r="U1075" s="36" t="str">
        <x:v>Er hielt irdische Schätze für wichtiger als Gottes Belohnung.</x:v>
      </x:c>
      <x:c r="V1075" s="36" t="n">
        <x:v>1</x:v>
      </x:c>
      <x:c r="W1075" s="36" t="str">
        <x:v>Er zog es vor, mit Gottes Volk Bedrängnis zu erleiden, statt den vorübergehenden Genuss der Sünde zu wählen.</x:v>
      </x:c>
      <x:c r="X1075" s="36" t="str">
        <x:v>Hebräer 11,24–27</x:v>
      </x:c>
      <x:c r="Y1075" s="36" t="str">
        <x:v>Moses Entscheidung zeigt einen Glauben, der kurzfristigen Vorteil gegen die größere, unsichtbare Hoffnung abwägt.</x:v>
      </x:c>
      <x:c r="Z1075" s="36" t="str">
        <x:v>JA</x:v>
      </x:c>
      <x:c r="AA1075" s="36" t="str">
        <x:v>JA</x:v>
      </x:c>
      <x:c r="AB1075" s="36" t="str">
        <x:v>JA</x:v>
      </x:c>
      <x:c r="AC1075" s="36" t="str">
        <x:v>JA</x:v>
      </x:c>
      <x:c r="AD1075" s="36" t="str">
        <x:v>JA</x:v>
      </x:c>
      <x:c r="AE1075" s="36" t="str">
        <x:v>JA</x:v>
      </x:c>
      <x:c r="AF1075" s="36" t="str">
        <x:v>JA</x:v>
      </x:c>
      <x:c r="AG1075" s="36" t="str">
        <x:v>FREIGEGEBEN</x:v>
      </x:c>
      <x:c r="AH1075" s="36" t="str">
        <x:v>GPT-5.6 Sol · Buchprüfung Hebräer · L1912/OTB</x:v>
      </x:c>
      <x:c r="AI1075" s="36" t="str">
        <x:v>FREIGEGEBEN</x:v>
      </x:c>
      <x:c r="AJ1075" s="36" t="str">
        <x:v>Hebräer 11: neue textnahe MOSE-Frage redaktionell freigegeben.</x:v>
      </x:c>
      <x:c r="AK1075" s="36" t="str">
        <x:v>FaithPath repo develop/v4 · data/bibles/l1912/HEB.json · data/bibles/otb/HEB.json</x:v>
      </x:c>
      <x:c r="AL1075" t="str">
        <x:v>JA</x:v>
      </x:c>
    </x:row>
    <x:row r="1076">
      <x:c r="A1076" t="str">
        <x:v>FP-1335</x:v>
      </x:c>
      <x:c r="B1076" t="str">
        <x:v>HEB</x:v>
      </x:c>
      <x:c r="C1076" t="str">
        <x:v>Hebräer</x:v>
      </x:c>
      <x:c r="D1076" t="n">
        <x:v>11</x:v>
      </x:c>
      <x:c r="E1076" t="n">
        <x:v>5</x:v>
      </x:c>
      <x:c r="F1076" t="str">
        <x:v>HEB-011</x:v>
      </x:c>
      <x:c r="G1076" t="n">
        <x:v>215</x:v>
      </x:c>
      <x:c r="H1076" t="str">
        <x:v>CQ-A19</x:v>
      </x:c>
      <x:c r="I1076" s="36" t="str">
        <x:v>Bestandsfrage: exakter Wortlaut in diesem Arbeitsschritt nicht rekonstruiert.</x:v>
      </x:c>
      <x:c r="J1076" s="36"/>
      <x:c r="K1076" s="36"/>
      <x:c r="L1076" s="36" t="str">
        <x:v>MASTER_STATUS_VERIFIZIERT</x:v>
      </x:c>
      <x:c r="M1076" s="36" t="str">
        <x:v>ERSETZEN</x:v>
      </x:c>
      <x:c r="N1076" s="36" t="str">
        <x:v>BESTAND_NOCH_NICHT_GEPRÜFT</x:v>
      </x:c>
      <x:c r="O1076" s="36" t="str">
        <x:v>DIDAKTISCHE_NEUFASSUNG</x:v>
      </x:c>
      <x:c r="P1076" s="36" t="str">
        <x:v>GESAMTBILD</x:v>
      </x:c>
      <x:c r="Q1076" s="36" t="str">
        <x:v>Was zeigt das Ende von Hebräer 11 über ein Leben im Glauben?</x:v>
      </x:c>
      <x:c r="R1076" s="36" t="str">
        <x:v>Glaube garantiert immer sofortige äußere Erfolge.</x:v>
      </x:c>
      <x:c r="S1076" s="36" t="str">
        <x:v>Menschen mit Glauben erleben grundsätzlich keine Verfolgung.</x:v>
      </x:c>
      <x:c r="T1076" s="36" t="str">
        <x:v>Glaube kann zu sichtbaren Siegen führen, aber ebenso zum treuen Ausharren in schwerem Leiden.</x:v>
      </x:c>
      <x:c r="U1076" s="36" t="str">
        <x:v>Nur diejenigen mit sichtbarem Erfolg erhalten Gottes Anerkennung.</x:v>
      </x:c>
      <x:c r="V1076" s="36" t="n">
        <x:v>2</x:v>
      </x:c>
      <x:c r="W1076" s="36" t="str">
        <x:v>Glaube kann zu sichtbaren Siegen führen, aber ebenso zum treuen Ausharren in schwerem Leiden.</x:v>
      </x:c>
      <x:c r="X1076" s="36" t="str">
        <x:v>Hebräer 11,32–40</x:v>
      </x:c>
      <x:c r="Y1076" s="36" t="str">
        <x:v>Die Liste enthält sowohl Befreiung und Sieg als auch Gefängnis, Verfolgung und Tod; gemeinsam ist ihnen das Zeugnis des Glaubens.</x:v>
      </x:c>
      <x:c r="Z1076" s="36" t="str">
        <x:v>JA</x:v>
      </x:c>
      <x:c r="AA1076" s="36" t="str">
        <x:v>JA</x:v>
      </x:c>
      <x:c r="AB1076" s="36" t="str">
        <x:v>JA</x:v>
      </x:c>
      <x:c r="AC1076" s="36" t="str">
        <x:v>JA</x:v>
      </x:c>
      <x:c r="AD1076" s="36" t="str">
        <x:v>JA</x:v>
      </x:c>
      <x:c r="AE1076" s="36" t="str">
        <x:v>JA</x:v>
      </x:c>
      <x:c r="AF1076" s="36" t="str">
        <x:v>JA</x:v>
      </x:c>
      <x:c r="AG1076" s="36" t="str">
        <x:v>FREIGEGEBEN</x:v>
      </x:c>
      <x:c r="AH1076" s="36" t="str">
        <x:v>GPT-5.6 Sol · Buchprüfung Hebräer · L1912/OTB</x:v>
      </x:c>
      <x:c r="AI1076" s="36" t="str">
        <x:v>FREIGEGEBEN</x:v>
      </x:c>
      <x:c r="AJ1076" s="36" t="str">
        <x:v>Hebräer 11: neue textnahe GESAMTBILD-Frage redaktionell freigegeben.</x:v>
      </x:c>
      <x:c r="AK1076" s="36" t="str">
        <x:v>FaithPath repo develop/v4 · data/bibles/l1912/HEB.json · data/bibles/otb/HEB.json</x:v>
      </x:c>
      <x:c r="AL1076" t="str">
        <x:v>JA</x:v>
      </x:c>
    </x:row>
    <x:row r="1077">
      <x:c r="A1077" t="str">
        <x:v>FP-1336</x:v>
      </x:c>
      <x:c r="B1077" t="str">
        <x:v>HEB</x:v>
      </x:c>
      <x:c r="C1077" t="str">
        <x:v>Hebräer</x:v>
      </x:c>
      <x:c r="D1077" t="n">
        <x:v>12</x:v>
      </x:c>
      <x:c r="E1077" t="n">
        <x:v>1</x:v>
      </x:c>
      <x:c r="F1077" t="str">
        <x:v>HEB-012</x:v>
      </x:c>
      <x:c r="G1077" t="n">
        <x:v>216</x:v>
      </x:c>
      <x:c r="H1077" t="str">
        <x:v>CQ-A19</x:v>
      </x:c>
      <x:c r="I1077" s="36" t="str">
        <x:v>Bestandsfrage: exakter Wortlaut in diesem Arbeitsschritt nicht rekonstruiert.</x:v>
      </x:c>
      <x:c r="J1077" s="36"/>
      <x:c r="K1077" s="36"/>
      <x:c r="L1077" s="36" t="str">
        <x:v>MASTER_STATUS_VERIFIZIERT</x:v>
      </x:c>
      <x:c r="M1077" s="36" t="str">
        <x:v>ERSETZEN</x:v>
      </x:c>
      <x:c r="N1077" s="36" t="str">
        <x:v>BESTAND_NOCH_NICHT_GEPRÜFT</x:v>
      </x:c>
      <x:c r="O1077" s="36" t="str">
        <x:v>DIDAKTISCHE_NEUFASSUNG</x:v>
      </x:c>
      <x:c r="P1077" s="36" t="str">
        <x:v>WETTLAUF</x:v>
      </x:c>
      <x:c r="Q1077" s="36" t="str">
        <x:v>Wie sollen Glaubende den vor ihnen liegenden Wettlauf laufen?</x:v>
      </x:c>
      <x:c r="R1077" s="36" t="str">
        <x:v>Indem sie sich ständig mit anderen vergleichen.</x:v>
      </x:c>
      <x:c r="S1077" s="36" t="str">
        <x:v>Indem sie jede Schwierigkeit als Zeichen des Scheiterns sehen.</x:v>
      </x:c>
      <x:c r="T1077" s="36" t="str">
        <x:v>Indem sie nur auf ihre eigene Kraft vertrauen.</x:v>
      </x:c>
      <x:c r="U1077" s="36" t="str">
        <x:v>Mit Ausdauer, indem sie Belastendes und Sünde ablegen und auf Jesus schauen.</x:v>
      </x:c>
      <x:c r="V1077" s="36" t="n">
        <x:v>3</x:v>
      </x:c>
      <x:c r="W1077" s="36" t="str">
        <x:v>Mit Ausdauer, indem sie Belastendes und Sünde ablegen und auf Jesus schauen.</x:v>
      </x:c>
      <x:c r="X1077" s="36" t="str">
        <x:v>Hebräer 12,1–3</x:v>
      </x:c>
      <x:c r="Y1077" s="36" t="str">
        <x:v>Die Wolke der Zeugen führt nicht zur Selbstbeobachtung, sondern zum ausdauernden Blick auf Jesus.</x:v>
      </x:c>
      <x:c r="Z1077" s="36" t="str">
        <x:v>JA</x:v>
      </x:c>
      <x:c r="AA1077" s="36" t="str">
        <x:v>JA</x:v>
      </x:c>
      <x:c r="AB1077" s="36" t="str">
        <x:v>JA</x:v>
      </x:c>
      <x:c r="AC1077" s="36" t="str">
        <x:v>JA</x:v>
      </x:c>
      <x:c r="AD1077" s="36" t="str">
        <x:v>JA</x:v>
      </x:c>
      <x:c r="AE1077" s="36" t="str">
        <x:v>JA</x:v>
      </x:c>
      <x:c r="AF1077" s="36" t="str">
        <x:v>JA</x:v>
      </x:c>
      <x:c r="AG1077" s="36" t="str">
        <x:v>FREIGEGEBEN</x:v>
      </x:c>
      <x:c r="AH1077" s="36" t="str">
        <x:v>GPT-5.6 Sol · Buchprüfung Hebräer · L1912/OTB</x:v>
      </x:c>
      <x:c r="AI1077" s="36" t="str">
        <x:v>FREIGEGEBEN</x:v>
      </x:c>
      <x:c r="AJ1077" s="36" t="str">
        <x:v>Hebräer 12: neue textnahe WETTLAUF-Frage redaktionell freigegeben.</x:v>
      </x:c>
      <x:c r="AK1077" s="36" t="str">
        <x:v>FaithPath repo develop/v4 · data/bibles/l1912/HEB.json · data/bibles/otb/HEB.json</x:v>
      </x:c>
      <x:c r="AL1077" t="str">
        <x:v>JA</x:v>
      </x:c>
    </x:row>
    <x:row r="1078">
      <x:c r="A1078" t="str">
        <x:v>FP-1337</x:v>
      </x:c>
      <x:c r="B1078" t="str">
        <x:v>HEB</x:v>
      </x:c>
      <x:c r="C1078" t="str">
        <x:v>Hebräer</x:v>
      </x:c>
      <x:c r="D1078" t="n">
        <x:v>12</x:v>
      </x:c>
      <x:c r="E1078" t="n">
        <x:v>2</x:v>
      </x:c>
      <x:c r="F1078" t="str">
        <x:v>HEB-012</x:v>
      </x:c>
      <x:c r="G1078" t="n">
        <x:v>216</x:v>
      </x:c>
      <x:c r="H1078" t="str">
        <x:v>CQ-A19</x:v>
      </x:c>
      <x:c r="I1078" s="36" t="str">
        <x:v>Bestandsfrage: exakter Wortlaut in diesem Arbeitsschritt nicht rekonstruiert.</x:v>
      </x:c>
      <x:c r="J1078" s="36"/>
      <x:c r="K1078" s="36"/>
      <x:c r="L1078" s="36" t="str">
        <x:v>MASTER_STATUS_VERIFIZIERT</x:v>
      </x:c>
      <x:c r="M1078" s="36" t="str">
        <x:v>ERSETZEN</x:v>
      </x:c>
      <x:c r="N1078" s="36" t="str">
        <x:v>BESTAND_NOCH_NICHT_GEPRÜFT</x:v>
      </x:c>
      <x:c r="O1078" s="36" t="str">
        <x:v>DIDAKTISCHE_NEUFASSUNG</x:v>
      </x:c>
      <x:c r="P1078" s="36" t="str">
        <x:v>ERZIEHUNG</x:v>
      </x:c>
      <x:c r="Q1078" s="36" t="str">
        <x:v>Wie deutet Hebräer 12 Gottes Zurechtweisung?</x:v>
      </x:c>
      <x:c r="R1078" s="36" t="str">
        <x:v>Als Erziehung eines liebenden Vaters, die auf Teilhabe an seiner Heiligkeit zielt.</x:v>
      </x:c>
      <x:c r="S1078" s="36" t="str">
        <x:v>Als Beweis, dass Gott seine Kinder abgelehnt hat.</x:v>
      </x:c>
      <x:c r="T1078" s="36" t="str">
        <x:v>Als reine Strafe ohne positives Ziel.</x:v>
      </x:c>
      <x:c r="U1078" s="36" t="str">
        <x:v>Als etwas, das nur Ungläubige betrifft.</x:v>
      </x:c>
      <x:c r="V1078" s="36" t="n">
        <x:v>0</x:v>
      </x:c>
      <x:c r="W1078" s="36" t="str">
        <x:v>Als Erziehung eines liebenden Vaters, die auf Teilhabe an seiner Heiligkeit zielt.</x:v>
      </x:c>
      <x:c r="X1078" s="36" t="str">
        <x:v>Hebräer 12,5–11</x:v>
      </x:c>
      <x:c r="Y1078" s="36" t="str">
        <x:v>Die schmerzhafte Erziehung wird als Ausdruck von Sohnschaft und als Weg zu einer Frucht der Gerechtigkeit beschrieben.</x:v>
      </x:c>
      <x:c r="Z1078" s="36" t="str">
        <x:v>JA</x:v>
      </x:c>
      <x:c r="AA1078" s="36" t="str">
        <x:v>JA</x:v>
      </x:c>
      <x:c r="AB1078" s="36" t="str">
        <x:v>JA</x:v>
      </x:c>
      <x:c r="AC1078" s="36" t="str">
        <x:v>JA</x:v>
      </x:c>
      <x:c r="AD1078" s="36" t="str">
        <x:v>JA</x:v>
      </x:c>
      <x:c r="AE1078" s="36" t="str">
        <x:v>JA</x:v>
      </x:c>
      <x:c r="AF1078" s="36" t="str">
        <x:v>JA</x:v>
      </x:c>
      <x:c r="AG1078" s="36" t="str">
        <x:v>FREIGEGEBEN</x:v>
      </x:c>
      <x:c r="AH1078" s="36" t="str">
        <x:v>GPT-5.6 Sol · Buchprüfung Hebräer · L1912/OTB</x:v>
      </x:c>
      <x:c r="AI1078" s="36" t="str">
        <x:v>FREIGEGEBEN</x:v>
      </x:c>
      <x:c r="AJ1078" s="36" t="str">
        <x:v>Hebräer 12: neue textnahe ERZIEHUNG-Frage redaktionell freigegeben.</x:v>
      </x:c>
      <x:c r="AK1078" s="36" t="str">
        <x:v>FaithPath repo develop/v4 · data/bibles/l1912/HEB.json · data/bibles/otb/HEB.json</x:v>
      </x:c>
      <x:c r="AL1078" t="str">
        <x:v>JA</x:v>
      </x:c>
    </x:row>
    <x:row r="1079">
      <x:c r="A1079" t="str">
        <x:v>FP-1338</x:v>
      </x:c>
      <x:c r="B1079" t="str">
        <x:v>HEB</x:v>
      </x:c>
      <x:c r="C1079" t="str">
        <x:v>Hebräer</x:v>
      </x:c>
      <x:c r="D1079" t="n">
        <x:v>12</x:v>
      </x:c>
      <x:c r="E1079" t="n">
        <x:v>3</x:v>
      </x:c>
      <x:c r="F1079" t="str">
        <x:v>HEB-012</x:v>
      </x:c>
      <x:c r="G1079" t="n">
        <x:v>216</x:v>
      </x:c>
      <x:c r="H1079" t="str">
        <x:v>CQ-A19</x:v>
      </x:c>
      <x:c r="I1079" s="36" t="str">
        <x:v>Bestandsfrage: exakter Wortlaut in diesem Arbeitsschritt nicht rekonstruiert.</x:v>
      </x:c>
      <x:c r="J1079" s="36"/>
      <x:c r="K1079" s="36"/>
      <x:c r="L1079" s="36" t="str">
        <x:v>MASTER_STATUS_VERIFIZIERT</x:v>
      </x:c>
      <x:c r="M1079" s="36" t="str">
        <x:v>ERSETZEN</x:v>
      </x:c>
      <x:c r="N1079" s="36" t="str">
        <x:v>BESTAND_NOCH_NICHT_GEPRÜFT</x:v>
      </x:c>
      <x:c r="O1079" s="36" t="str">
        <x:v>DIDAKTISCHE_NEUFASSUNG</x:v>
      </x:c>
      <x:c r="P1079" s="36" t="str">
        <x:v>ANWENDUNG</x:v>
      </x:c>
      <x:c r="Q1079" s="36" t="str">
        <x:v>Wonach sollen die Glaubenden gemeinsam streben?</x:v>
      </x:c>
      <x:c r="R1079" s="36" t="str">
        <x:v>Nach möglichst vielen Konflikten.</x:v>
      </x:c>
      <x:c r="S1079" s="36" t="str">
        <x:v>Nach Frieden mit allen und nach Heiligung; zugleich sollen sie Bitterkeit nicht wachsen lassen.</x:v>
      </x:c>
      <x:c r="T1079" s="36" t="str">
        <x:v>Nach völliger Gleichgültigkeit gegenüber anderen.</x:v>
      </x:c>
      <x:c r="U1079" s="36" t="str">
        <x:v>Nach persönlicher Vergeltung bei jeder Verletzung.</x:v>
      </x:c>
      <x:c r="V1079" s="36" t="n">
        <x:v>1</x:v>
      </x:c>
      <x:c r="W1079" s="36" t="str">
        <x:v>Nach Frieden mit allen und nach Heiligung; zugleich sollen sie Bitterkeit nicht wachsen lassen.</x:v>
      </x:c>
      <x:c r="X1079" s="36" t="str">
        <x:v>Hebräer 12,12–15</x:v>
      </x:c>
      <x:c r="Y1079" s="36" t="str">
        <x:v>Der Text verbindet persönliche Stärkung mit Frieden, Heiligung und Wachsamkeit gegenüber zerstörerischer Bitterkeit.</x:v>
      </x:c>
      <x:c r="Z1079" s="36" t="str">
        <x:v>JA</x:v>
      </x:c>
      <x:c r="AA1079" s="36" t="str">
        <x:v>JA</x:v>
      </x:c>
      <x:c r="AB1079" s="36" t="str">
        <x:v>JA</x:v>
      </x:c>
      <x:c r="AC1079" s="36" t="str">
        <x:v>JA</x:v>
      </x:c>
      <x:c r="AD1079" s="36" t="str">
        <x:v>JA</x:v>
      </x:c>
      <x:c r="AE1079" s="36" t="str">
        <x:v>JA</x:v>
      </x:c>
      <x:c r="AF1079" s="36" t="str">
        <x:v>JA</x:v>
      </x:c>
      <x:c r="AG1079" s="36" t="str">
        <x:v>FREIGEGEBEN</x:v>
      </x:c>
      <x:c r="AH1079" s="36" t="str">
        <x:v>GPT-5.6 Sol · Buchprüfung Hebräer · L1912/OTB</x:v>
      </x:c>
      <x:c r="AI1079" s="36" t="str">
        <x:v>FREIGEGEBEN</x:v>
      </x:c>
      <x:c r="AJ1079" s="36" t="str">
        <x:v>Hebräer 12: neue textnahe ANWENDUNG-Frage redaktionell freigegeben.</x:v>
      </x:c>
      <x:c r="AK1079" s="36" t="str">
        <x:v>FaithPath repo develop/v4 · data/bibles/l1912/HEB.json · data/bibles/otb/HEB.json</x:v>
      </x:c>
      <x:c r="AL1079" t="str">
        <x:v>JA</x:v>
      </x:c>
    </x:row>
    <x:row r="1080">
      <x:c r="A1080" t="str">
        <x:v>FP-1339</x:v>
      </x:c>
      <x:c r="B1080" t="str">
        <x:v>HEB</x:v>
      </x:c>
      <x:c r="C1080" t="str">
        <x:v>Hebräer</x:v>
      </x:c>
      <x:c r="D1080" t="n">
        <x:v>12</x:v>
      </x:c>
      <x:c r="E1080" t="n">
        <x:v>4</x:v>
      </x:c>
      <x:c r="F1080" t="str">
        <x:v>HEB-012</x:v>
      </x:c>
      <x:c r="G1080" t="n">
        <x:v>216</x:v>
      </x:c>
      <x:c r="H1080" t="str">
        <x:v>CQ-A19</x:v>
      </x:c>
      <x:c r="I1080" s="36" t="str">
        <x:v>Bestandsfrage: exakter Wortlaut in diesem Arbeitsschritt nicht rekonstruiert.</x:v>
      </x:c>
      <x:c r="J1080" s="36"/>
      <x:c r="K1080" s="36"/>
      <x:c r="L1080" s="36" t="str">
        <x:v>MASTER_STATUS_VERIFIZIERT</x:v>
      </x:c>
      <x:c r="M1080" s="36" t="str">
        <x:v>ERSETZEN</x:v>
      </x:c>
      <x:c r="N1080" s="36" t="str">
        <x:v>BESTAND_NOCH_NICHT_GEPRÜFT</x:v>
      </x:c>
      <x:c r="O1080" s="36" t="str">
        <x:v>DIDAKTISCHE_NEUFASSUNG</x:v>
      </x:c>
      <x:c r="P1080" s="36" t="str">
        <x:v>ZION</x:v>
      </x:c>
      <x:c r="Q1080" s="36" t="str">
        <x:v>Wozu sind die Glaubenden nach Hebräer 12 gekommen?</x:v>
      </x:c>
      <x:c r="R1080" s="36" t="str">
        <x:v>Nur zum sichtbaren Sinai mit seiner Furcht.</x:v>
      </x:c>
      <x:c r="S1080" s="36" t="str">
        <x:v>Zu einer rein irdischen politischen Hauptstadt.</x:v>
      </x:c>
      <x:c r="T1080" s="36" t="str">
        <x:v>Zum himmlischen Zion, zur Stadt des lebendigen Gottes und zu Jesus, dem Mittler des neuen Bundes.</x:v>
      </x:c>
      <x:c r="U1080" s="36" t="str">
        <x:v>Zu einem Bund ohne Mittler.</x:v>
      </x:c>
      <x:c r="V1080" s="36" t="n">
        <x:v>2</x:v>
      </x:c>
      <x:c r="W1080" s="36" t="str">
        <x:v>Zum himmlischen Zion, zur Stadt des lebendigen Gottes und zu Jesus, dem Mittler des neuen Bundes.</x:v>
      </x:c>
      <x:c r="X1080" s="36" t="str">
        <x:v>Hebräer 12,18–24</x:v>
      </x:c>
      <x:c r="Y1080" s="36" t="str">
        <x:v>Der Abschnitt kontrastiert die furchterregende Sinai-Szene mit der neuen Bundeswirklichkeit um Zion und Jesus.</x:v>
      </x:c>
      <x:c r="Z1080" s="36" t="str">
        <x:v>JA</x:v>
      </x:c>
      <x:c r="AA1080" s="36" t="str">
        <x:v>JA</x:v>
      </x:c>
      <x:c r="AB1080" s="36" t="str">
        <x:v>JA</x:v>
      </x:c>
      <x:c r="AC1080" s="36" t="str">
        <x:v>JA</x:v>
      </x:c>
      <x:c r="AD1080" s="36" t="str">
        <x:v>JA</x:v>
      </x:c>
      <x:c r="AE1080" s="36" t="str">
        <x:v>JA</x:v>
      </x:c>
      <x:c r="AF1080" s="36" t="str">
        <x:v>JA</x:v>
      </x:c>
      <x:c r="AG1080" s="36" t="str">
        <x:v>FREIGEGEBEN</x:v>
      </x:c>
      <x:c r="AH1080" s="36" t="str">
        <x:v>GPT-5.6 Sol · Buchprüfung Hebräer · L1912/OTB</x:v>
      </x:c>
      <x:c r="AI1080" s="36" t="str">
        <x:v>FREIGEGEBEN</x:v>
      </x:c>
      <x:c r="AJ1080" s="36" t="str">
        <x:v>Hebräer 12: neue textnahe ZION-Frage redaktionell freigegeben.</x:v>
      </x:c>
      <x:c r="AK1080" s="36" t="str">
        <x:v>FaithPath repo develop/v4 · data/bibles/l1912/HEB.json · data/bibles/otb/HEB.json</x:v>
      </x:c>
      <x:c r="AL1080" t="str">
        <x:v>JA</x:v>
      </x:c>
    </x:row>
    <x:row r="1081">
      <x:c r="A1081" t="str">
        <x:v>FP-1340</x:v>
      </x:c>
      <x:c r="B1081" t="str">
        <x:v>HEB</x:v>
      </x:c>
      <x:c r="C1081" t="str">
        <x:v>Hebräer</x:v>
      </x:c>
      <x:c r="D1081" t="n">
        <x:v>12</x:v>
      </x:c>
      <x:c r="E1081" t="n">
        <x:v>5</x:v>
      </x:c>
      <x:c r="F1081" t="str">
        <x:v>HEB-012</x:v>
      </x:c>
      <x:c r="G1081" t="n">
        <x:v>216</x:v>
      </x:c>
      <x:c r="H1081" t="str">
        <x:v>CQ-A19</x:v>
      </x:c>
      <x:c r="I1081" s="36" t="str">
        <x:v>Bestandsfrage: exakter Wortlaut in diesem Arbeitsschritt nicht rekonstruiert.</x:v>
      </x:c>
      <x:c r="J1081" s="36"/>
      <x:c r="K1081" s="36"/>
      <x:c r="L1081" s="36" t="str">
        <x:v>MASTER_STATUS_VERIFIZIERT</x:v>
      </x:c>
      <x:c r="M1081" s="36" t="str">
        <x:v>ERSETZEN</x:v>
      </x:c>
      <x:c r="N1081" s="36" t="str">
        <x:v>BESTAND_NOCH_NICHT_GEPRÜFT</x:v>
      </x:c>
      <x:c r="O1081" s="36" t="str">
        <x:v>DIDAKTISCHE_NEUFASSUNG</x:v>
      </x:c>
      <x:c r="P1081" s="36" t="str">
        <x:v>DANKBARKEIT</x:v>
      </x:c>
      <x:c r="Q1081" s="36" t="str">
        <x:v>Welche Haltung passt zu dem unerschütterlichen Reich, das die Glaubenden empfangen?</x:v>
      </x:c>
      <x:c r="R1081" s="36" t="str">
        <x:v>Gleichgültigkeit gegenüber Gottes Heiligkeit.</x:v>
      </x:c>
      <x:c r="S1081" s="36" t="str">
        <x:v>Selbstsicherheit ohne Ehrfurcht.</x:v>
      </x:c>
      <x:c r="T1081" s="36" t="str">
        <x:v>Verachtung jeder Form von Gottesdienst.</x:v>
      </x:c>
      <x:c r="U1081" s="36" t="str">
        <x:v>Dankbarkeit und ein Gott wohlgefälliger Dienst mit Ehrfurcht und Scheu.</x:v>
      </x:c>
      <x:c r="V1081" s="36" t="n">
        <x:v>3</x:v>
      </x:c>
      <x:c r="W1081" s="36" t="str">
        <x:v>Dankbarkeit und ein Gott wohlgefälliger Dienst mit Ehrfurcht und Scheu.</x:v>
      </x:c>
      <x:c r="X1081" s="36" t="str">
        <x:v>Hebräer 12,25–29</x:v>
      </x:c>
      <x:c r="Y1081" s="36" t="str">
        <x:v>Weil Gottes Reich unerschütterlich ist, folgt daraus nicht Leichtfertigkeit, sondern dankbarer und ehrfürchtiger Dienst.</x:v>
      </x:c>
      <x:c r="Z1081" s="36" t="str">
        <x:v>JA</x:v>
      </x:c>
      <x:c r="AA1081" s="36" t="str">
        <x:v>JA</x:v>
      </x:c>
      <x:c r="AB1081" s="36" t="str">
        <x:v>JA</x:v>
      </x:c>
      <x:c r="AC1081" s="36" t="str">
        <x:v>JA</x:v>
      </x:c>
      <x:c r="AD1081" s="36" t="str">
        <x:v>JA</x:v>
      </x:c>
      <x:c r="AE1081" s="36" t="str">
        <x:v>JA</x:v>
      </x:c>
      <x:c r="AF1081" s="36" t="str">
        <x:v>JA</x:v>
      </x:c>
      <x:c r="AG1081" s="36" t="str">
        <x:v>FREIGEGEBEN</x:v>
      </x:c>
      <x:c r="AH1081" s="36" t="str">
        <x:v>GPT-5.6 Sol · Buchprüfung Hebräer · L1912/OTB</x:v>
      </x:c>
      <x:c r="AI1081" s="36" t="str">
        <x:v>FREIGEGEBEN</x:v>
      </x:c>
      <x:c r="AJ1081" s="36" t="str">
        <x:v>Hebräer 12: neue textnahe DANKBARKEIT-Frage redaktionell freigegeben.</x:v>
      </x:c>
      <x:c r="AK1081" s="36" t="str">
        <x:v>FaithPath repo develop/v4 · data/bibles/l1912/HEB.json · data/bibles/otb/HEB.json</x:v>
      </x:c>
      <x:c r="AL1081" t="str">
        <x:v>JA</x:v>
      </x:c>
    </x:row>
    <x:row r="1082">
      <x:c r="A1082" t="str">
        <x:v>FP-1341</x:v>
      </x:c>
      <x:c r="B1082" t="str">
        <x:v>HEB</x:v>
      </x:c>
      <x:c r="C1082" t="str">
        <x:v>Hebräer</x:v>
      </x:c>
      <x:c r="D1082" t="n">
        <x:v>13</x:v>
      </x:c>
      <x:c r="E1082" t="n">
        <x:v>1</x:v>
      </x:c>
      <x:c r="F1082" t="str">
        <x:v>HEB-013</x:v>
      </x:c>
      <x:c r="G1082" t="n">
        <x:v>217</x:v>
      </x:c>
      <x:c r="H1082" t="str">
        <x:v>CQ-A19</x:v>
      </x:c>
      <x:c r="I1082" s="36" t="str">
        <x:v>Bestandsfrage: exakter Wortlaut in diesem Arbeitsschritt nicht rekonstruiert.</x:v>
      </x:c>
      <x:c r="J1082" s="36"/>
      <x:c r="K1082" s="36"/>
      <x:c r="L1082" s="36" t="str">
        <x:v>MASTER_STATUS_VERIFIZIERT</x:v>
      </x:c>
      <x:c r="M1082" s="36" t="str">
        <x:v>ERSETZEN</x:v>
      </x:c>
      <x:c r="N1082" s="36" t="str">
        <x:v>BESTAND_NOCH_NICHT_GEPRÜFT</x:v>
      </x:c>
      <x:c r="O1082" s="36" t="str">
        <x:v>DIDAKTISCHE_NEUFASSUNG</x:v>
      </x:c>
      <x:c r="P1082" s="36" t="str">
        <x:v>NÄCHSTENLIEBE</x:v>
      </x:c>
      <x:c r="Q1082" s="36" t="str">
        <x:v>Welche praktischen Formen der Liebe nennt Hebräer 13 zu Beginn?</x:v>
      </x:c>
      <x:c r="R1082" s="36" t="str">
        <x:v>Bruderliebe, Gastfreundschaft sowie Mitgefühl mit Gefangenen und Misshandelten.</x:v>
      </x:c>
      <x:c r="S1082" s="36" t="str">
        <x:v>Rückzug von Fremden und Leidenden.</x:v>
      </x:c>
      <x:c r="T1082" s="36" t="str">
        <x:v>Nur finanzielle Unterstützung für Leiter.</x:v>
      </x:c>
      <x:c r="U1082" s="36" t="str">
        <x:v>Vermeidung jeder persönlichen Beteiligung am Leid anderer.</x:v>
      </x:c>
      <x:c r="V1082" s="36" t="n">
        <x:v>0</x:v>
      </x:c>
      <x:c r="W1082" s="36" t="str">
        <x:v>Bruderliebe, Gastfreundschaft sowie Mitgefühl mit Gefangenen und Misshandelten.</x:v>
      </x:c>
      <x:c r="X1082" s="36" t="str">
        <x:v>Hebräer 13,1–3</x:v>
      </x:c>
      <x:c r="Y1082" s="36" t="str">
        <x:v>Der Brief endet sehr praktisch: Liebe zeigt sich in Gastfreundschaft und solidarischem Erinnern an Leidende.</x:v>
      </x:c>
      <x:c r="Z1082" s="36" t="str">
        <x:v>JA</x:v>
      </x:c>
      <x:c r="AA1082" s="36" t="str">
        <x:v>JA</x:v>
      </x:c>
      <x:c r="AB1082" s="36" t="str">
        <x:v>JA</x:v>
      </x:c>
      <x:c r="AC1082" s="36" t="str">
        <x:v>JA</x:v>
      </x:c>
      <x:c r="AD1082" s="36" t="str">
        <x:v>JA</x:v>
      </x:c>
      <x:c r="AE1082" s="36" t="str">
        <x:v>JA</x:v>
      </x:c>
      <x:c r="AF1082" s="36" t="str">
        <x:v>JA</x:v>
      </x:c>
      <x:c r="AG1082" s="36" t="str">
        <x:v>FREIGEGEBEN</x:v>
      </x:c>
      <x:c r="AH1082" s="36" t="str">
        <x:v>GPT-5.6 Sol · Buchprüfung Hebräer · L1912/OTB</x:v>
      </x:c>
      <x:c r="AI1082" s="36" t="str">
        <x:v>FREIGEGEBEN</x:v>
      </x:c>
      <x:c r="AJ1082" s="36" t="str">
        <x:v>Hebräer 13: neue textnahe NÄCHSTENLIEBE-Frage redaktionell freigegeben.</x:v>
      </x:c>
      <x:c r="AK1082" s="36" t="str">
        <x:v>FaithPath repo develop/v4 · data/bibles/l1912/HEB.json · data/bibles/otb/HEB.json</x:v>
      </x:c>
      <x:c r="AL1082" t="str">
        <x:v>JA</x:v>
      </x:c>
    </x:row>
    <x:row r="1083">
      <x:c r="A1083" t="str">
        <x:v>FP-1342</x:v>
      </x:c>
      <x:c r="B1083" t="str">
        <x:v>HEB</x:v>
      </x:c>
      <x:c r="C1083" t="str">
        <x:v>Hebräer</x:v>
      </x:c>
      <x:c r="D1083" t="n">
        <x:v>13</x:v>
      </x:c>
      <x:c r="E1083" t="n">
        <x:v>2</x:v>
      </x:c>
      <x:c r="F1083" t="str">
        <x:v>HEB-013</x:v>
      </x:c>
      <x:c r="G1083" t="n">
        <x:v>217</x:v>
      </x:c>
      <x:c r="H1083" t="str">
        <x:v>CQ-A19</x:v>
      </x:c>
      <x:c r="I1083" s="36" t="str">
        <x:v>Bestandsfrage: exakter Wortlaut in diesem Arbeitsschritt nicht rekonstruiert.</x:v>
      </x:c>
      <x:c r="J1083" s="36"/>
      <x:c r="K1083" s="36"/>
      <x:c r="L1083" s="36" t="str">
        <x:v>MASTER_STATUS_VERIFIZIERT</x:v>
      </x:c>
      <x:c r="M1083" s="36" t="str">
        <x:v>ERSETZEN</x:v>
      </x:c>
      <x:c r="N1083" s="36" t="str">
        <x:v>BESTAND_NOCH_NICHT_GEPRÜFT</x:v>
      </x:c>
      <x:c r="O1083" s="36" t="str">
        <x:v>DIDAKTISCHE_NEUFASSUNG</x:v>
      </x:c>
      <x:c r="P1083" s="36" t="str">
        <x:v>GENÜGSAMKEIT</x:v>
      </x:c>
      <x:c r="Q1083" s="36" t="str">
        <x:v>Warum sollen Glaubende frei von Geldliebe und zufrieden mit dem Vorhandenen leben?</x:v>
      </x:c>
      <x:c r="R1083" s="36" t="str">
        <x:v>Weil Besitz grundsätzlich sündig ist.</x:v>
      </x:c>
      <x:c r="S1083" s="36" t="str">
        <x:v>Weil Gott versprochen hat, sie nicht zu verlassen, sodass sie auf den Herrn als Helfer vertrauen können.</x:v>
      </x:c>
      <x:c r="T1083" s="36" t="str">
        <x:v>Weil Christen nie finanzielle Verantwortung tragen sollen.</x:v>
      </x:c>
      <x:c r="U1083" s="36" t="str">
        <x:v>Weil Armut automatisch geistliche Reife beweist.</x:v>
      </x:c>
      <x:c r="V1083" s="36" t="n">
        <x:v>1</x:v>
      </x:c>
      <x:c r="W1083" s="36" t="str">
        <x:v>Weil Gott versprochen hat, sie nicht zu verlassen, sodass sie auf den Herrn als Helfer vertrauen können.</x:v>
      </x:c>
      <x:c r="X1083" s="36" t="str">
        <x:v>Hebräer 13,5–6</x:v>
      </x:c>
      <x:c r="Y1083" s="36" t="str">
        <x:v>Genügsamkeit wird nicht mit Besitzlosigkeit, sondern mit Vertrauen auf Gottes Gegenwart begründet.</x:v>
      </x:c>
      <x:c r="Z1083" s="36" t="str">
        <x:v>JA</x:v>
      </x:c>
      <x:c r="AA1083" s="36" t="str">
        <x:v>JA</x:v>
      </x:c>
      <x:c r="AB1083" s="36" t="str">
        <x:v>JA</x:v>
      </x:c>
      <x:c r="AC1083" s="36" t="str">
        <x:v>JA</x:v>
      </x:c>
      <x:c r="AD1083" s="36" t="str">
        <x:v>JA</x:v>
      </x:c>
      <x:c r="AE1083" s="36" t="str">
        <x:v>JA</x:v>
      </x:c>
      <x:c r="AF1083" s="36" t="str">
        <x:v>JA</x:v>
      </x:c>
      <x:c r="AG1083" s="36" t="str">
        <x:v>FREIGEGEBEN</x:v>
      </x:c>
      <x:c r="AH1083" s="36" t="str">
        <x:v>GPT-5.6 Sol · Buchprüfung Hebräer · L1912/OTB</x:v>
      </x:c>
      <x:c r="AI1083" s="36" t="str">
        <x:v>FREIGEGEBEN</x:v>
      </x:c>
      <x:c r="AJ1083" s="36" t="str">
        <x:v>Hebräer 13: neue textnahe GENÜGSAMKEIT-Frage redaktionell freigegeben.</x:v>
      </x:c>
      <x:c r="AK1083" s="36" t="str">
        <x:v>FaithPath repo develop/v4 · data/bibles/l1912/HEB.json · data/bibles/otb/HEB.json</x:v>
      </x:c>
      <x:c r="AL1083" t="str">
        <x:v>JA</x:v>
      </x:c>
    </x:row>
    <x:row r="1084">
      <x:c r="A1084" t="str">
        <x:v>FP-1343</x:v>
      </x:c>
      <x:c r="B1084" t="str">
        <x:v>HEB</x:v>
      </x:c>
      <x:c r="C1084" t="str">
        <x:v>Hebräer</x:v>
      </x:c>
      <x:c r="D1084" t="n">
        <x:v>13</x:v>
      </x:c>
      <x:c r="E1084" t="n">
        <x:v>3</x:v>
      </x:c>
      <x:c r="F1084" t="str">
        <x:v>HEB-013</x:v>
      </x:c>
      <x:c r="G1084" t="n">
        <x:v>217</x:v>
      </x:c>
      <x:c r="H1084" t="str">
        <x:v>CQ-A19</x:v>
      </x:c>
      <x:c r="I1084" s="36" t="str">
        <x:v>Bestandsfrage: exakter Wortlaut in diesem Arbeitsschritt nicht rekonstruiert.</x:v>
      </x:c>
      <x:c r="J1084" s="36"/>
      <x:c r="K1084" s="36"/>
      <x:c r="L1084" s="36" t="str">
        <x:v>MASTER_STATUS_VERIFIZIERT</x:v>
      </x:c>
      <x:c r="M1084" s="36" t="str">
        <x:v>ERSETZEN</x:v>
      </x:c>
      <x:c r="N1084" s="36" t="str">
        <x:v>BESTAND_NOCH_NICHT_GEPRÜFT</x:v>
      </x:c>
      <x:c r="O1084" s="36" t="str">
        <x:v>DIDAKTISCHE_NEUFASSUNG</x:v>
      </x:c>
      <x:c r="P1084" s="36" t="str">
        <x:v>BESTÄNDIGKEIT</x:v>
      </x:c>
      <x:c r="Q1084" s="36" t="str">
        <x:v>Welche Aussage über Jesus steht zwischen der Erinnerung an frühere Leiter und der Warnung vor fremden Lehren?</x:v>
      </x:c>
      <x:c r="R1084" s="36" t="str">
        <x:v>Jesus verändert seine Identität mit jeder Generation.</x:v>
      </x:c>
      <x:c r="S1084" s="36" t="str">
        <x:v>Leiter sind unveränderlicher als Christus.</x:v>
      </x:c>
      <x:c r="T1084" s="36" t="str">
        <x:v>Jesus Christus ist derselbe gestern, heute und in Ewigkeit.</x:v>
      </x:c>
      <x:c r="U1084" s="36" t="str">
        <x:v>Gnade hat keinen Bezug zu geistlicher Standfestigkeit.</x:v>
      </x:c>
      <x:c r="V1084" s="36" t="n">
        <x:v>2</x:v>
      </x:c>
      <x:c r="W1084" s="36" t="str">
        <x:v>Jesus Christus ist derselbe gestern, heute und in Ewigkeit.</x:v>
      </x:c>
      <x:c r="X1084" s="36" t="str">
        <x:v>Hebräer 13,7–9</x:v>
      </x:c>
      <x:c r="Y1084" s="36" t="str">
        <x:v>Die Beständigkeit Christi bildet einen starken Gegenpunkt zu wechselnden und fremden Lehren.</x:v>
      </x:c>
      <x:c r="Z1084" s="36" t="str">
        <x:v>JA</x:v>
      </x:c>
      <x:c r="AA1084" s="36" t="str">
        <x:v>JA</x:v>
      </x:c>
      <x:c r="AB1084" s="36" t="str">
        <x:v>JA</x:v>
      </x:c>
      <x:c r="AC1084" s="36" t="str">
        <x:v>JA</x:v>
      </x:c>
      <x:c r="AD1084" s="36" t="str">
        <x:v>JA</x:v>
      </x:c>
      <x:c r="AE1084" s="36" t="str">
        <x:v>JA</x:v>
      </x:c>
      <x:c r="AF1084" s="36" t="str">
        <x:v>JA</x:v>
      </x:c>
      <x:c r="AG1084" s="36" t="str">
        <x:v>FREIGEGEBEN</x:v>
      </x:c>
      <x:c r="AH1084" s="36" t="str">
        <x:v>GPT-5.6 Sol · Buchprüfung Hebräer · L1912/OTB</x:v>
      </x:c>
      <x:c r="AI1084" s="36" t="str">
        <x:v>FREIGEGEBEN</x:v>
      </x:c>
      <x:c r="AJ1084" s="36" t="str">
        <x:v>Hebräer 13: neue textnahe BESTÄNDIGKEIT-Frage redaktionell freigegeben.</x:v>
      </x:c>
      <x:c r="AK1084" s="36" t="str">
        <x:v>FaithPath repo develop/v4 · data/bibles/l1912/HEB.json · data/bibles/otb/HEB.json</x:v>
      </x:c>
      <x:c r="AL1084" t="str">
        <x:v>JA</x:v>
      </x:c>
    </x:row>
    <x:row r="1085">
      <x:c r="A1085" t="str">
        <x:v>FP-1344</x:v>
      </x:c>
      <x:c r="B1085" t="str">
        <x:v>HEB</x:v>
      </x:c>
      <x:c r="C1085" t="str">
        <x:v>Hebräer</x:v>
      </x:c>
      <x:c r="D1085" t="n">
        <x:v>13</x:v>
      </x:c>
      <x:c r="E1085" t="n">
        <x:v>4</x:v>
      </x:c>
      <x:c r="F1085" t="str">
        <x:v>HEB-013</x:v>
      </x:c>
      <x:c r="G1085" t="n">
        <x:v>217</x:v>
      </x:c>
      <x:c r="H1085" t="str">
        <x:v>CQ-A19</x:v>
      </x:c>
      <x:c r="I1085" s="36" t="str">
        <x:v>Bestandsfrage: exakter Wortlaut in diesem Arbeitsschritt nicht rekonstruiert.</x:v>
      </x:c>
      <x:c r="J1085" s="36"/>
      <x:c r="K1085" s="36"/>
      <x:c r="L1085" s="36" t="str">
        <x:v>MASTER_STATUS_VERIFIZIERT</x:v>
      </x:c>
      <x:c r="M1085" s="36" t="str">
        <x:v>ERSETZEN</x:v>
      </x:c>
      <x:c r="N1085" s="36" t="str">
        <x:v>BESTAND_NOCH_NICHT_GEPRÜFT</x:v>
      </x:c>
      <x:c r="O1085" s="36" t="str">
        <x:v>DIDAKTISCHE_NEUFASSUNG</x:v>
      </x:c>
      <x:c r="P1085" s="36" t="str">
        <x:v>NACHFOLGE</x:v>
      </x:c>
      <x:c r="Q1085" s="36" t="str">
        <x:v>Was bedeutet das Bild, zu Jesus 'außerhalb des Lagers' hinauszugehen?</x:v>
      </x:c>
      <x:c r="R1085" s="36" t="str">
        <x:v>Sich grundsätzlich aus jeder menschlichen Gemeinschaft zurückzuziehen.</x:v>
      </x:c>
      <x:c r="S1085" s="36" t="str">
        <x:v>Jerusalem als endgültige bleibende Stadt zu betrachten.</x:v>
      </x:c>
      <x:c r="T1085" s="36" t="str">
        <x:v>Leiden um jeden Preis selbst zu suchen.</x:v>
      </x:c>
      <x:c r="U1085" s="36" t="str">
        <x:v>Seine Schmach mitzutragen und sich nicht an eine bleibende irdische Stadt zu klammern, sondern die zukünftige zu suchen.</x:v>
      </x:c>
      <x:c r="V1085" s="36" t="n">
        <x:v>3</x:v>
      </x:c>
      <x:c r="W1085" s="36" t="str">
        <x:v>Seine Schmach mitzutragen und sich nicht an eine bleibende irdische Stadt zu klammern, sondern die zukünftige zu suchen.</x:v>
      </x:c>
      <x:c r="X1085" s="36" t="str">
        <x:v>Hebräer 13,12–14</x:v>
      </x:c>
      <x:c r="Y1085" s="36" t="str">
        <x:v>Jesu Leiden außerhalb des Tores wird zu einem Bild kostbarer Nachfolge und der Hoffnung auf die kommende Stadt.</x:v>
      </x:c>
      <x:c r="Z1085" s="36" t="str">
        <x:v>JA</x:v>
      </x:c>
      <x:c r="AA1085" s="36" t="str">
        <x:v>JA</x:v>
      </x:c>
      <x:c r="AB1085" s="36" t="str">
        <x:v>JA</x:v>
      </x:c>
      <x:c r="AC1085" s="36" t="str">
        <x:v>JA</x:v>
      </x:c>
      <x:c r="AD1085" s="36" t="str">
        <x:v>JA</x:v>
      </x:c>
      <x:c r="AE1085" s="36" t="str">
        <x:v>JA</x:v>
      </x:c>
      <x:c r="AF1085" s="36" t="str">
        <x:v>JA</x:v>
      </x:c>
      <x:c r="AG1085" s="36" t="str">
        <x:v>FREIGEGEBEN</x:v>
      </x:c>
      <x:c r="AH1085" s="36" t="str">
        <x:v>GPT-5.6 Sol · Buchprüfung Hebräer · L1912/OTB</x:v>
      </x:c>
      <x:c r="AI1085" s="36" t="str">
        <x:v>FREIGEGEBEN</x:v>
      </x:c>
      <x:c r="AJ1085" s="36" t="str">
        <x:v>Hebräer 13: neue textnahe NACHFOLGE-Frage redaktionell freigegeben.</x:v>
      </x:c>
      <x:c r="AK1085" s="36" t="str">
        <x:v>FaithPath repo develop/v4 · data/bibles/l1912/HEB.json · data/bibles/otb/HEB.json</x:v>
      </x:c>
      <x:c r="AL1085" t="str">
        <x:v>JA</x:v>
      </x:c>
    </x:row>
    <x:row r="1086">
      <x:c r="A1086" t="str">
        <x:v>FP-1345</x:v>
      </x:c>
      <x:c r="B1086" t="str">
        <x:v>HEB</x:v>
      </x:c>
      <x:c r="C1086" t="str">
        <x:v>Hebräer</x:v>
      </x:c>
      <x:c r="D1086" t="n">
        <x:v>13</x:v>
      </x:c>
      <x:c r="E1086" t="n">
        <x:v>5</x:v>
      </x:c>
      <x:c r="F1086" t="str">
        <x:v>HEB-013</x:v>
      </x:c>
      <x:c r="G1086" t="n">
        <x:v>217</x:v>
      </x:c>
      <x:c r="H1086" t="str">
        <x:v>CQ-A19</x:v>
      </x:c>
      <x:c r="I1086" s="36" t="str">
        <x:v>Bestandsfrage: exakter Wortlaut in diesem Arbeitsschritt nicht rekonstruiert.</x:v>
      </x:c>
      <x:c r="J1086" s="36"/>
      <x:c r="K1086" s="36"/>
      <x:c r="L1086" s="36" t="str">
        <x:v>MASTER_STATUS_VERIFIZIERT</x:v>
      </x:c>
      <x:c r="M1086" s="36" t="str">
        <x:v>ERSETZEN</x:v>
      </x:c>
      <x:c r="N1086" s="36" t="str">
        <x:v>BESTAND_NOCH_NICHT_GEPRÜFT</x:v>
      </x:c>
      <x:c r="O1086" s="36" t="str">
        <x:v>DIDAKTISCHE_NEUFASSUNG</x:v>
      </x:c>
      <x:c r="P1086" s="36" t="str">
        <x:v>OPFER</x:v>
      </x:c>
      <x:c r="Q1086" s="36" t="str">
        <x:v>Welche 'Opfer' sollen Glaubende Gott nach Hebräer 13 bringen?</x:v>
      </x:c>
      <x:c r="R1086" s="36" t="str">
        <x:v>Lob durch das Bekenntnis seines Namens sowie Gutes tun und mit anderen teilen.</x:v>
      </x:c>
      <x:c r="S1086" s="36" t="str">
        <x:v>Neue Tieropfer zur Sündenvergebung.</x:v>
      </x:c>
      <x:c r="T1086" s="36" t="str">
        <x:v>Nur persönliche Gebete ohne praktische Konsequenz.</x:v>
      </x:c>
      <x:c r="U1086" s="36" t="str">
        <x:v>Materielle Gaben als Ersatz für ein Leben des Glaubens.</x:v>
      </x:c>
      <x:c r="V1086" s="36" t="n">
        <x:v>0</x:v>
      </x:c>
      <x:c r="W1086" s="36" t="str">
        <x:v>Lob durch das Bekenntnis seines Namens sowie Gutes tun und mit anderen teilen.</x:v>
      </x:c>
      <x:c r="X1086" s="36" t="str">
        <x:v>Hebräer 13,15–16</x:v>
      </x:c>
      <x:c r="Y1086" s="36" t="str">
        <x:v>Nach Christi einmaligem Opfer werden Lob, gute Werke und Teilen als Gott wohlgefällige Opfer beschrieben.</x:v>
      </x:c>
      <x:c r="Z1086" s="36" t="str">
        <x:v>JA</x:v>
      </x:c>
      <x:c r="AA1086" s="36" t="str">
        <x:v>JA</x:v>
      </x:c>
      <x:c r="AB1086" s="36" t="str">
        <x:v>JA</x:v>
      </x:c>
      <x:c r="AC1086" s="36" t="str">
        <x:v>JA</x:v>
      </x:c>
      <x:c r="AD1086" s="36" t="str">
        <x:v>JA</x:v>
      </x:c>
      <x:c r="AE1086" s="36" t="str">
        <x:v>JA</x:v>
      </x:c>
      <x:c r="AF1086" s="36" t="str">
        <x:v>JA</x:v>
      </x:c>
      <x:c r="AG1086" s="36" t="str">
        <x:v>FREIGEGEBEN</x:v>
      </x:c>
      <x:c r="AH1086" s="36" t="str">
        <x:v>GPT-5.6 Sol · Buchprüfung Hebräer · L1912/OTB</x:v>
      </x:c>
      <x:c r="AI1086" s="36" t="str">
        <x:v>FREIGEGEBEN</x:v>
      </x:c>
      <x:c r="AJ1086" s="36" t="str">
        <x:v>Hebräer 13: neue textnahe OPFER-Frage redaktionell freigegeben.</x:v>
      </x:c>
      <x:c r="AK1086" s="36" t="str">
        <x:v>FaithPath repo develop/v4 · data/bibles/l1912/HEB.json · data/bibles/otb/HEB.json</x:v>
      </x:c>
      <x:c r="AL1086" t="str">
        <x:v>JA</x:v>
      </x:c>
    </x:row>
    <x:row r="1087">
      <x:c r="A1087" t="str">
        <x:v>FP-1346</x:v>
      </x:c>
      <x:c r="B1087" t="str">
        <x:v>JAS</x:v>
      </x:c>
      <x:c r="C1087" t="str">
        <x:v>Jakobus</x:v>
      </x:c>
      <x:c r="D1087" t="n">
        <x:v>1</x:v>
      </x:c>
      <x:c r="E1087" t="n">
        <x:v>1</x:v>
      </x:c>
      <x:c r="F1087" t="str">
        <x:v>JAS-001</x:v>
      </x:c>
      <x:c r="G1087" t="n">
        <x:v>218</x:v>
      </x:c>
      <x:c r="H1087" t="str">
        <x:v>CQ-A20-26</x:v>
      </x:c>
      <x:c r="I1087" s="36" t="str">
        <x:v>Bestandsfrage: exakter Wortlaut in diesem Arbeitsschritt nicht rekonstruiert.</x:v>
      </x:c>
      <x:c r="J1087" s="36"/>
      <x:c r="K1087" s="36"/>
      <x:c r="L1087" s="36" t="str">
        <x:v>MASTER_STATUS_VERIFIZIERT</x:v>
      </x:c>
      <x:c r="M1087" s="36" t="str">
        <x:v>ERSETZEN</x:v>
      </x:c>
      <x:c r="N1087" s="36" t="str">
        <x:v>BESTAND_NOCH_NICHT_GEPRÜFT</x:v>
      </x:c>
      <x:c r="O1087" s="36" t="str">
        <x:v>DIDAKTISCHE_NEUFASSUNG</x:v>
      </x:c>
      <x:c r="P1087" s="36" t="str">
        <x:v>PRÜFUNG</x:v>
      </x:c>
      <x:c r="Q1087" s="36" t="str">
        <x:v>Welche Wirkung kann die Erprobung des Glaubens nach Jakobus 1 hervorbringen?</x:v>
      </x:c>
      <x:c r="R1087" s="36" t="str">
        <x:v>Ausdauer, die zur geistlichen Reife führen soll.</x:v>
      </x:c>
      <x:c r="S1087" s="36" t="str">
        <x:v>Automatisch materiellen Wohlstand.</x:v>
      </x:c>
      <x:c r="T1087" s="36" t="str">
        <x:v>Die Vermeidung jeder weiteren Prüfung.</x:v>
      </x:c>
      <x:c r="U1087" s="36" t="str">
        <x:v>Unabhängigkeit von Gottes Hilfe.</x:v>
      </x:c>
      <x:c r="V1087" s="36" t="n">
        <x:v>0</x:v>
      </x:c>
      <x:c r="W1087" s="36" t="str">
        <x:v>Ausdauer, die zur geistlichen Reife führen soll.</x:v>
      </x:c>
      <x:c r="X1087" s="36" t="str">
        <x:v>Jakobus 1,2–4</x:v>
      </x:c>
      <x:c r="Y1087" s="36" t="str">
        <x:v>Jakobus bewertet Prüfungen nicht als angenehm, sieht in der bewährten Glaubenstreue aber einen Weg zu Ausdauer und Reife.</x:v>
      </x:c>
      <x:c r="Z1087" s="36" t="str">
        <x:v>JA</x:v>
      </x:c>
      <x:c r="AA1087" s="36" t="str">
        <x:v>JA</x:v>
      </x:c>
      <x:c r="AB1087" s="36" t="str">
        <x:v>JA</x:v>
      </x:c>
      <x:c r="AC1087" s="36" t="str">
        <x:v>JA</x:v>
      </x:c>
      <x:c r="AD1087" s="36" t="str">
        <x:v>JA</x:v>
      </x:c>
      <x:c r="AE1087" s="36" t="str">
        <x:v>JA</x:v>
      </x:c>
      <x:c r="AF1087" s="36" t="str">
        <x:v>JA</x:v>
      </x:c>
      <x:c r="AG1087" s="36" t="str">
        <x:v>FREIGEGEBEN</x:v>
      </x:c>
      <x:c r="AH1087" s="36" t="str">
        <x:v>GPT-5.6 Sol · Sammelprüfung Allgemeine Briefe · L1912/OTB</x:v>
      </x:c>
      <x:c r="AI1087" s="36" t="str">
        <x:v>FREIGEGEBEN</x:v>
      </x:c>
      <x:c r="AJ1087" s="36" t="str">
        <x:v>Jakobus 1: neue textnahe PRÜFUNG-Frage redaktionell freigegeben.</x:v>
      </x:c>
      <x:c r="AK1087" s="36" t="str">
        <x:v>FaithPath repo develop/v4 · data/bibles/l1912/JAS.json · data/bibles/otb/JAS.json</x:v>
      </x:c>
      <x:c r="AL1087" t="str">
        <x:v>JA</x:v>
      </x:c>
    </x:row>
    <x:row r="1088">
      <x:c r="A1088" t="str">
        <x:v>FP-1347</x:v>
      </x:c>
      <x:c r="B1088" t="str">
        <x:v>JAS</x:v>
      </x:c>
      <x:c r="C1088" t="str">
        <x:v>Jakobus</x:v>
      </x:c>
      <x:c r="D1088" t="n">
        <x:v>1</x:v>
      </x:c>
      <x:c r="E1088" t="n">
        <x:v>2</x:v>
      </x:c>
      <x:c r="F1088" t="str">
        <x:v>JAS-001</x:v>
      </x:c>
      <x:c r="G1088" t="n">
        <x:v>218</x:v>
      </x:c>
      <x:c r="H1088" t="str">
        <x:v>CQ-A20-26</x:v>
      </x:c>
      <x:c r="I1088" s="36" t="str">
        <x:v>Bestandsfrage: exakter Wortlaut in diesem Arbeitsschritt nicht rekonstruiert.</x:v>
      </x:c>
      <x:c r="J1088" s="36"/>
      <x:c r="K1088" s="36"/>
      <x:c r="L1088" s="36" t="str">
        <x:v>MASTER_STATUS_VERIFIZIERT</x:v>
      </x:c>
      <x:c r="M1088" s="36" t="str">
        <x:v>ERSETZEN</x:v>
      </x:c>
      <x:c r="N1088" s="36" t="str">
        <x:v>BESTAND_NOCH_NICHT_GEPRÜFT</x:v>
      </x:c>
      <x:c r="O1088" s="36" t="str">
        <x:v>DIDAKTISCHE_NEUFASSUNG</x:v>
      </x:c>
      <x:c r="P1088" s="36" t="str">
        <x:v>GEBET</x:v>
      </x:c>
      <x:c r="Q1088" s="36" t="str">
        <x:v>Was soll jemand tun, dem Weisheit fehlt?</x:v>
      </x:c>
      <x:c r="R1088" s="36" t="str">
        <x:v>Nur auf die eigene Erfahrung vertrauen.</x:v>
      </x:c>
      <x:c r="S1088" s="36" t="str">
        <x:v>Gott darum bitten, der großzügig gibt.</x:v>
      </x:c>
      <x:c r="T1088" s="36" t="str">
        <x:v>Andere Menschen um jeden Preis imitieren.</x:v>
      </x:c>
      <x:c r="U1088" s="36" t="str">
        <x:v>Entscheidungen grundsätzlich vermeiden.</x:v>
      </x:c>
      <x:c r="V1088" s="36" t="n">
        <x:v>1</x:v>
      </x:c>
      <x:c r="W1088" s="36" t="str">
        <x:v>Gott darum bitten, der großzügig gibt.</x:v>
      </x:c>
      <x:c r="X1088" s="36" t="str">
        <x:v>Jakobus 1,5–8</x:v>
      </x:c>
      <x:c r="Y1088" s="36" t="str">
        <x:v>Weisheit wird als Gabe Gottes vorgestellt; zugleich fordert Jakobus ein vertrauendes, nicht dauerhaft gespaltenes Bitten.</x:v>
      </x:c>
      <x:c r="Z1088" s="36" t="str">
        <x:v>JA</x:v>
      </x:c>
      <x:c r="AA1088" s="36" t="str">
        <x:v>JA</x:v>
      </x:c>
      <x:c r="AB1088" s="36" t="str">
        <x:v>JA</x:v>
      </x:c>
      <x:c r="AC1088" s="36" t="str">
        <x:v>JA</x:v>
      </x:c>
      <x:c r="AD1088" s="36" t="str">
        <x:v>JA</x:v>
      </x:c>
      <x:c r="AE1088" s="36" t="str">
        <x:v>JA</x:v>
      </x:c>
      <x:c r="AF1088" s="36" t="str">
        <x:v>JA</x:v>
      </x:c>
      <x:c r="AG1088" s="36" t="str">
        <x:v>FREIGEGEBEN</x:v>
      </x:c>
      <x:c r="AH1088" s="36" t="str">
        <x:v>GPT-5.6 Sol · Sammelprüfung Allgemeine Briefe · L1912/OTB</x:v>
      </x:c>
      <x:c r="AI1088" s="36" t="str">
        <x:v>FREIGEGEBEN</x:v>
      </x:c>
      <x:c r="AJ1088" s="36" t="str">
        <x:v>Jakobus 1: neue textnahe GEBET-Frage redaktionell freigegeben.</x:v>
      </x:c>
      <x:c r="AK1088" s="36" t="str">
        <x:v>FaithPath repo develop/v4 · data/bibles/l1912/JAS.json · data/bibles/otb/JAS.json</x:v>
      </x:c>
      <x:c r="AL1088" t="str">
        <x:v>JA</x:v>
      </x:c>
    </x:row>
    <x:row r="1089">
      <x:c r="A1089" t="str">
        <x:v>FP-1348</x:v>
      </x:c>
      <x:c r="B1089" t="str">
        <x:v>JAS</x:v>
      </x:c>
      <x:c r="C1089" t="str">
        <x:v>Jakobus</x:v>
      </x:c>
      <x:c r="D1089" t="n">
        <x:v>1</x:v>
      </x:c>
      <x:c r="E1089" t="n">
        <x:v>3</x:v>
      </x:c>
      <x:c r="F1089" t="str">
        <x:v>JAS-001</x:v>
      </x:c>
      <x:c r="G1089" t="n">
        <x:v>218</x:v>
      </x:c>
      <x:c r="H1089" t="str">
        <x:v>CQ-A20-26</x:v>
      </x:c>
      <x:c r="I1089" s="36" t="str">
        <x:v>Bestandsfrage: exakter Wortlaut in diesem Arbeitsschritt nicht rekonstruiert.</x:v>
      </x:c>
      <x:c r="J1089" s="36"/>
      <x:c r="K1089" s="36"/>
      <x:c r="L1089" s="36" t="str">
        <x:v>MASTER_STATUS_VERIFIZIERT</x:v>
      </x:c>
      <x:c r="M1089" s="36" t="str">
        <x:v>ERSETZEN</x:v>
      </x:c>
      <x:c r="N1089" s="36" t="str">
        <x:v>BESTAND_NOCH_NICHT_GEPRÜFT</x:v>
      </x:c>
      <x:c r="O1089" s="36" t="str">
        <x:v>DIDAKTISCHE_NEUFASSUNG</x:v>
      </x:c>
      <x:c r="P1089" s="36" t="str">
        <x:v>VERSUCHUNG</x:v>
      </x:c>
      <x:c r="Q1089" s="36" t="str">
        <x:v>Woher kommt die Versuchung zum Bösen nach Jakobus 1 nicht?</x:v>
      </x:c>
      <x:c r="R1089" s="36" t="str">
        <x:v>Aus ungeordneten eigenen Begierden.</x:v>
      </x:c>
      <x:c r="S1089" s="36" t="str">
        <x:v>Aus einer inneren Lockung zur Sünde.</x:v>
      </x:c>
      <x:c r="T1089" s="36" t="str">
        <x:v>Von Gott, denn Gott versucht niemanden zum Bösen.</x:v>
      </x:c>
      <x:c r="U1089" s="36" t="str">
        <x:v>Aus einem Prozess, der in Sünde und Tod münden kann.</x:v>
      </x:c>
      <x:c r="V1089" s="36" t="n">
        <x:v>2</x:v>
      </x:c>
      <x:c r="W1089" s="36" t="str">
        <x:v>Von Gott, denn Gott versucht niemanden zum Bösen.</x:v>
      </x:c>
      <x:c r="X1089" s="36" t="str">
        <x:v>Jakobus 1,13–15</x:v>
      </x:c>
      <x:c r="Y1089" s="36" t="str">
        <x:v>Jakobus weist die Schuldzuweisung an Gott zurück und beschreibt stattdessen den Weg von Begierde über Sünde bis zum Tod.</x:v>
      </x:c>
      <x:c r="Z1089" s="36" t="str">
        <x:v>JA</x:v>
      </x:c>
      <x:c r="AA1089" s="36" t="str">
        <x:v>JA</x:v>
      </x:c>
      <x:c r="AB1089" s="36" t="str">
        <x:v>JA</x:v>
      </x:c>
      <x:c r="AC1089" s="36" t="str">
        <x:v>JA</x:v>
      </x:c>
      <x:c r="AD1089" s="36" t="str">
        <x:v>JA</x:v>
      </x:c>
      <x:c r="AE1089" s="36" t="str">
        <x:v>JA</x:v>
      </x:c>
      <x:c r="AF1089" s="36" t="str">
        <x:v>JA</x:v>
      </x:c>
      <x:c r="AG1089" s="36" t="str">
        <x:v>FREIGEGEBEN</x:v>
      </x:c>
      <x:c r="AH1089" s="36" t="str">
        <x:v>GPT-5.6 Sol · Sammelprüfung Allgemeine Briefe · L1912/OTB</x:v>
      </x:c>
      <x:c r="AI1089" s="36" t="str">
        <x:v>FREIGEGEBEN</x:v>
      </x:c>
      <x:c r="AJ1089" s="36" t="str">
        <x:v>Jakobus 1: neue textnahe VERSUCHUNG-Frage redaktionell freigegeben.</x:v>
      </x:c>
      <x:c r="AK1089" s="36" t="str">
        <x:v>FaithPath repo develop/v4 · data/bibles/l1912/JAS.json · data/bibles/otb/JAS.json</x:v>
      </x:c>
      <x:c r="AL1089" t="str">
        <x:v>JA</x:v>
      </x:c>
    </x:row>
    <x:row r="1090">
      <x:c r="A1090" t="str">
        <x:v>FP-1349</x:v>
      </x:c>
      <x:c r="B1090" t="str">
        <x:v>JAS</x:v>
      </x:c>
      <x:c r="C1090" t="str">
        <x:v>Jakobus</x:v>
      </x:c>
      <x:c r="D1090" t="n">
        <x:v>1</x:v>
      </x:c>
      <x:c r="E1090" t="n">
        <x:v>4</x:v>
      </x:c>
      <x:c r="F1090" t="str">
        <x:v>JAS-001</x:v>
      </x:c>
      <x:c r="G1090" t="n">
        <x:v>218</x:v>
      </x:c>
      <x:c r="H1090" t="str">
        <x:v>CQ-A20-26</x:v>
      </x:c>
      <x:c r="I1090" s="36" t="str">
        <x:v>Bestandsfrage: exakter Wortlaut in diesem Arbeitsschritt nicht rekonstruiert.</x:v>
      </x:c>
      <x:c r="J1090" s="36"/>
      <x:c r="K1090" s="36"/>
      <x:c r="L1090" s="36" t="str">
        <x:v>MASTER_STATUS_VERIFIZIERT</x:v>
      </x:c>
      <x:c r="M1090" s="36" t="str">
        <x:v>ERSETZEN</x:v>
      </x:c>
      <x:c r="N1090" s="36" t="str">
        <x:v>BESTAND_NOCH_NICHT_GEPRÜFT</x:v>
      </x:c>
      <x:c r="O1090" s="36" t="str">
        <x:v>DIDAKTISCHE_NEUFASSUNG</x:v>
      </x:c>
      <x:c r="P1090" s="36" t="str">
        <x:v>ANWENDUNG</x:v>
      </x:c>
      <x:c r="Q1090" s="36" t="str">
        <x:v>Welche Haltung verbindet Jakobus mit Hören, Reden und Zorn?</x:v>
      </x:c>
      <x:c r="R1090" s="36" t="str">
        <x:v>Schnell zum Reden und langsam zum Hören.</x:v>
      </x:c>
      <x:c r="S1090" s="36" t="str">
        <x:v>Zorn als zuverlässigsten Weg zu Gottes Gerechtigkeit.</x:v>
      </x:c>
      <x:c r="T1090" s="36" t="str">
        <x:v>Schweigen in jeder Situation.</x:v>
      </x:c>
      <x:c r="U1090" s="36" t="str">
        <x:v>Schnell zum Hören, langsam zum Reden und langsam zum Zorn.</x:v>
      </x:c>
      <x:c r="V1090" s="36" t="n">
        <x:v>3</x:v>
      </x:c>
      <x:c r="W1090" s="36" t="str">
        <x:v>Schnell zum Hören, langsam zum Reden und langsam zum Zorn.</x:v>
      </x:c>
      <x:c r="X1090" s="36" t="str">
        <x:v>Jakobus 1,19–20</x:v>
      </x:c>
      <x:c r="Y1090" s="36" t="str">
        <x:v>Der menschliche Zorn bewirkt nach Jakobus nicht die Gerechtigkeit Gottes; deshalb betont er besonnenes Hören und Reden.</x:v>
      </x:c>
      <x:c r="Z1090" s="36" t="str">
        <x:v>JA</x:v>
      </x:c>
      <x:c r="AA1090" s="36" t="str">
        <x:v>JA</x:v>
      </x:c>
      <x:c r="AB1090" s="36" t="str">
        <x:v>JA</x:v>
      </x:c>
      <x:c r="AC1090" s="36" t="str">
        <x:v>JA</x:v>
      </x:c>
      <x:c r="AD1090" s="36" t="str">
        <x:v>JA</x:v>
      </x:c>
      <x:c r="AE1090" s="36" t="str">
        <x:v>JA</x:v>
      </x:c>
      <x:c r="AF1090" s="36" t="str">
        <x:v>JA</x:v>
      </x:c>
      <x:c r="AG1090" s="36" t="str">
        <x:v>FREIGEGEBEN</x:v>
      </x:c>
      <x:c r="AH1090" s="36" t="str">
        <x:v>GPT-5.6 Sol · Sammelprüfung Allgemeine Briefe · L1912/OTB</x:v>
      </x:c>
      <x:c r="AI1090" s="36" t="str">
        <x:v>FREIGEGEBEN</x:v>
      </x:c>
      <x:c r="AJ1090" s="36" t="str">
        <x:v>Jakobus 1: neue textnahe ANWENDUNG-Frage redaktionell freigegeben.</x:v>
      </x:c>
      <x:c r="AK1090" s="36" t="str">
        <x:v>FaithPath repo develop/v4 · data/bibles/l1912/JAS.json · data/bibles/otb/JAS.json</x:v>
      </x:c>
      <x:c r="AL1090" t="str">
        <x:v>JA</x:v>
      </x:c>
    </x:row>
    <x:row r="1091">
      <x:c r="A1091" t="str">
        <x:v>FP-1350</x:v>
      </x:c>
      <x:c r="B1091" t="str">
        <x:v>JAS</x:v>
      </x:c>
      <x:c r="C1091" t="str">
        <x:v>Jakobus</x:v>
      </x:c>
      <x:c r="D1091" t="n">
        <x:v>1</x:v>
      </x:c>
      <x:c r="E1091" t="n">
        <x:v>5</x:v>
      </x:c>
      <x:c r="F1091" t="str">
        <x:v>JAS-001</x:v>
      </x:c>
      <x:c r="G1091" t="n">
        <x:v>218</x:v>
      </x:c>
      <x:c r="H1091" t="str">
        <x:v>CQ-A20-26</x:v>
      </x:c>
      <x:c r="I1091" s="36" t="str">
        <x:v>Bestandsfrage: exakter Wortlaut in diesem Arbeitsschritt nicht rekonstruiert.</x:v>
      </x:c>
      <x:c r="J1091" s="36"/>
      <x:c r="K1091" s="36"/>
      <x:c r="L1091" s="36" t="str">
        <x:v>MASTER_STATUS_VERIFIZIERT</x:v>
      </x:c>
      <x:c r="M1091" s="36" t="str">
        <x:v>ERSETZEN</x:v>
      </x:c>
      <x:c r="N1091" s="36" t="str">
        <x:v>BESTAND_NOCH_NICHT_GEPRÜFT</x:v>
      </x:c>
      <x:c r="O1091" s="36" t="str">
        <x:v>DIDAKTISCHE_NEUFASSUNG</x:v>
      </x:c>
      <x:c r="P1091" s="36" t="str">
        <x:v>TAT</x:v>
      </x:c>
      <x:c r="Q1091" s="36" t="str">
        <x:v>Was unterscheidet den gesegneten Umgang mit Gottes Wort vom bloßen Hören?</x:v>
      </x:c>
      <x:c r="R1091" s="36" t="str">
        <x:v>Das Wort nicht nur hören, sondern danach handeln.</x:v>
      </x:c>
      <x:c r="S1091" s="36" t="str">
        <x:v>Das Gehörte möglichst schnell vergessen.</x:v>
      </x:c>
      <x:c r="T1091" s="36" t="str">
        <x:v>Nur über das Wort diskutieren.</x:v>
      </x:c>
      <x:c r="U1091" s="36" t="str">
        <x:v>Das Wort ausschließlich anderen erklären.</x:v>
      </x:c>
      <x:c r="V1091" s="36" t="n">
        <x:v>0</x:v>
      </x:c>
      <x:c r="W1091" s="36" t="str">
        <x:v>Das Wort nicht nur hören, sondern danach handeln.</x:v>
      </x:c>
      <x:c r="X1091" s="36" t="str">
        <x:v>Jakobus 1,22–27</x:v>
      </x:c>
      <x:c r="Y1091" s="36" t="str">
        <x:v>Jakobus vergleicht bloßes Hören mit einem flüchtigen Blick in den Spiegel. Echtes Hören führt zu gelebter Praxis, kontrollierter Rede und Fürsorge.</x:v>
      </x:c>
      <x:c r="Z1091" s="36" t="str">
        <x:v>JA</x:v>
      </x:c>
      <x:c r="AA1091" s="36" t="str">
        <x:v>JA</x:v>
      </x:c>
      <x:c r="AB1091" s="36" t="str">
        <x:v>JA</x:v>
      </x:c>
      <x:c r="AC1091" s="36" t="str">
        <x:v>JA</x:v>
      </x:c>
      <x:c r="AD1091" s="36" t="str">
        <x:v>JA</x:v>
      </x:c>
      <x:c r="AE1091" s="36" t="str">
        <x:v>JA</x:v>
      </x:c>
      <x:c r="AF1091" s="36" t="str">
        <x:v>JA</x:v>
      </x:c>
      <x:c r="AG1091" s="36" t="str">
        <x:v>FREIGEGEBEN</x:v>
      </x:c>
      <x:c r="AH1091" s="36" t="str">
        <x:v>GPT-5.6 Sol · Sammelprüfung Allgemeine Briefe · L1912/OTB</x:v>
      </x:c>
      <x:c r="AI1091" s="36" t="str">
        <x:v>FREIGEGEBEN</x:v>
      </x:c>
      <x:c r="AJ1091" s="36" t="str">
        <x:v>Jakobus 1: neue textnahe TAT-Frage redaktionell freigegeben.</x:v>
      </x:c>
      <x:c r="AK1091" s="36" t="str">
        <x:v>FaithPath repo develop/v4 · data/bibles/l1912/JAS.json · data/bibles/otb/JAS.json</x:v>
      </x:c>
      <x:c r="AL1091" t="str">
        <x:v>JA</x:v>
      </x:c>
    </x:row>
    <x:row r="1092">
      <x:c r="A1092" t="str">
        <x:v>FP-1351</x:v>
      </x:c>
      <x:c r="B1092" t="str">
        <x:v>JAS</x:v>
      </x:c>
      <x:c r="C1092" t="str">
        <x:v>Jakobus</x:v>
      </x:c>
      <x:c r="D1092" t="n">
        <x:v>2</x:v>
      </x:c>
      <x:c r="E1092" t="n">
        <x:v>1</x:v>
      </x:c>
      <x:c r="F1092" t="str">
        <x:v>JAS-002</x:v>
      </x:c>
      <x:c r="G1092" t="n">
        <x:v>219</x:v>
      </x:c>
      <x:c r="H1092" t="str">
        <x:v>CQ-A20-26</x:v>
      </x:c>
      <x:c r="I1092" s="36" t="str">
        <x:v>Bestandsfrage: exakter Wortlaut in diesem Arbeitsschritt nicht rekonstruiert.</x:v>
      </x:c>
      <x:c r="J1092" s="36"/>
      <x:c r="K1092" s="36"/>
      <x:c r="L1092" s="36" t="str">
        <x:v>MASTER_STATUS_VERIFIZIERT</x:v>
      </x:c>
      <x:c r="M1092" s="36" t="str">
        <x:v>ERSETZEN</x:v>
      </x:c>
      <x:c r="N1092" s="36" t="str">
        <x:v>BESTAND_NOCH_NICHT_GEPRÜFT</x:v>
      </x:c>
      <x:c r="O1092" s="36" t="str">
        <x:v>DIDAKTISCHE_NEUFASSUNG</x:v>
      </x:c>
      <x:c r="P1092" s="36" t="str">
        <x:v>PARTEILICHKEIT</x:v>
      </x:c>
      <x:c r="Q1092" s="36" t="str">
        <x:v>Was kritisiert Jakobus am unterschiedlichen Umgang mit reichen und armen Besuchern?</x:v>
      </x:c>
      <x:c r="R1092" s="36" t="str">
        <x:v>Dass reiche Menschen überhaupt eine Gemeinde besuchen.</x:v>
      </x:c>
      <x:c r="S1092" s="36" t="str">
        <x:v>Parteilichkeit und ungerechte Bevorzugung.</x:v>
      </x:c>
      <x:c r="T1092" s="36" t="str">
        <x:v>Dass Arme einen Sitzplatz erhalten.</x:v>
      </x:c>
      <x:c r="U1092" s="36" t="str">
        <x:v>Dass Kleidung in der Gemeinde sichtbar ist.</x:v>
      </x:c>
      <x:c r="V1092" s="36" t="n">
        <x:v>1</x:v>
      </x:c>
      <x:c r="W1092" s="36" t="str">
        <x:v>Parteilichkeit und ungerechte Bevorzugung.</x:v>
      </x:c>
      <x:c r="X1092" s="36" t="str">
        <x:v>Jakobus 2,1–7</x:v>
      </x:c>
      <x:c r="Y1092" s="36" t="str">
        <x:v>Der Glaube an Jesus soll nicht mit Ansehen der Person verbunden werden. Soziale Bevorzugung widerspricht der christlichen Gemeinschaft.</x:v>
      </x:c>
      <x:c r="Z1092" s="36" t="str">
        <x:v>JA</x:v>
      </x:c>
      <x:c r="AA1092" s="36" t="str">
        <x:v>JA</x:v>
      </x:c>
      <x:c r="AB1092" s="36" t="str">
        <x:v>JA</x:v>
      </x:c>
      <x:c r="AC1092" s="36" t="str">
        <x:v>JA</x:v>
      </x:c>
      <x:c r="AD1092" s="36" t="str">
        <x:v>JA</x:v>
      </x:c>
      <x:c r="AE1092" s="36" t="str">
        <x:v>JA</x:v>
      </x:c>
      <x:c r="AF1092" s="36" t="str">
        <x:v>JA</x:v>
      </x:c>
      <x:c r="AG1092" s="36" t="str">
        <x:v>FREIGEGEBEN</x:v>
      </x:c>
      <x:c r="AH1092" s="36" t="str">
        <x:v>GPT-5.6 Sol · Sammelprüfung Allgemeine Briefe · L1912/OTB</x:v>
      </x:c>
      <x:c r="AI1092" s="36" t="str">
        <x:v>FREIGEGEBEN</x:v>
      </x:c>
      <x:c r="AJ1092" s="36" t="str">
        <x:v>Jakobus 2: neue textnahe PARTEILICHKEIT-Frage redaktionell freigegeben.</x:v>
      </x:c>
      <x:c r="AK1092" s="36" t="str">
        <x:v>FaithPath repo develop/v4 · data/bibles/l1912/JAS.json · data/bibles/otb/JAS.json</x:v>
      </x:c>
      <x:c r="AL1092" t="str">
        <x:v>JA</x:v>
      </x:c>
    </x:row>
    <x:row r="1093">
      <x:c r="A1093" t="str">
        <x:v>FP-1352</x:v>
      </x:c>
      <x:c r="B1093" t="str">
        <x:v>JAS</x:v>
      </x:c>
      <x:c r="C1093" t="str">
        <x:v>Jakobus</x:v>
      </x:c>
      <x:c r="D1093" t="n">
        <x:v>2</x:v>
      </x:c>
      <x:c r="E1093" t="n">
        <x:v>2</x:v>
      </x:c>
      <x:c r="F1093" t="str">
        <x:v>JAS-002</x:v>
      </x:c>
      <x:c r="G1093" t="n">
        <x:v>219</x:v>
      </x:c>
      <x:c r="H1093" t="str">
        <x:v>CQ-A20-26</x:v>
      </x:c>
      <x:c r="I1093" s="36" t="str">
        <x:v>Bestandsfrage: exakter Wortlaut in diesem Arbeitsschritt nicht rekonstruiert.</x:v>
      </x:c>
      <x:c r="J1093" s="36"/>
      <x:c r="K1093" s="36"/>
      <x:c r="L1093" s="36" t="str">
        <x:v>MASTER_STATUS_VERIFIZIERT</x:v>
      </x:c>
      <x:c r="M1093" s="36" t="str">
        <x:v>ERSETZEN</x:v>
      </x:c>
      <x:c r="N1093" s="36" t="str">
        <x:v>BESTAND_NOCH_NICHT_GEPRÜFT</x:v>
      </x:c>
      <x:c r="O1093" s="36" t="str">
        <x:v>DIDAKTISCHE_NEUFASSUNG</x:v>
      </x:c>
      <x:c r="P1093" s="36" t="str">
        <x:v>KÖNIGLICHES_GESETZ</x:v>
      </x:c>
      <x:c r="Q1093" s="36" t="str">
        <x:v>Welches Gebot nennt Jakobus das königliche Gesetz?</x:v>
      </x:c>
      <x:c r="R1093" s="36" t="str">
        <x:v>Du sollst ausschließlich Reiche ehren.</x:v>
      </x:c>
      <x:c r="S1093" s="36" t="str">
        <x:v>Du sollst niemals Entscheidungen treffen.</x:v>
      </x:c>
      <x:c r="T1093" s="36" t="str">
        <x:v>Liebe deinen Nächsten wie dich selbst.</x:v>
      </x:c>
      <x:c r="U1093" s="36" t="str">
        <x:v>Du sollst deinen Besitz verdoppeln.</x:v>
      </x:c>
      <x:c r="V1093" s="36" t="n">
        <x:v>2</x:v>
      </x:c>
      <x:c r="W1093" s="36" t="str">
        <x:v>Liebe deinen Nächsten wie dich selbst.</x:v>
      </x:c>
      <x:c r="X1093" s="36" t="str">
        <x:v>Jakobus 2,8–9</x:v>
      </x:c>
      <x:c r="Y1093" s="36" t="str">
        <x:v>Nächstenliebe und Parteilichkeit stehen im direkten Gegensatz; Bevorzugung wird ausdrücklich als Sünde bezeichnet.</x:v>
      </x:c>
      <x:c r="Z1093" s="36" t="str">
        <x:v>JA</x:v>
      </x:c>
      <x:c r="AA1093" s="36" t="str">
        <x:v>JA</x:v>
      </x:c>
      <x:c r="AB1093" s="36" t="str">
        <x:v>JA</x:v>
      </x:c>
      <x:c r="AC1093" s="36" t="str">
        <x:v>JA</x:v>
      </x:c>
      <x:c r="AD1093" s="36" t="str">
        <x:v>JA</x:v>
      </x:c>
      <x:c r="AE1093" s="36" t="str">
        <x:v>JA</x:v>
      </x:c>
      <x:c r="AF1093" s="36" t="str">
        <x:v>JA</x:v>
      </x:c>
      <x:c r="AG1093" s="36" t="str">
        <x:v>FREIGEGEBEN</x:v>
      </x:c>
      <x:c r="AH1093" s="36" t="str">
        <x:v>GPT-5.6 Sol · Sammelprüfung Allgemeine Briefe · L1912/OTB</x:v>
      </x:c>
      <x:c r="AI1093" s="36" t="str">
        <x:v>FREIGEGEBEN</x:v>
      </x:c>
      <x:c r="AJ1093" s="36" t="str">
        <x:v>Jakobus 2: neue textnahe KÖNIGLICHES_GESETZ-Frage redaktionell freigegeben.</x:v>
      </x:c>
      <x:c r="AK1093" s="36" t="str">
        <x:v>FaithPath repo develop/v4 · data/bibles/l1912/JAS.json · data/bibles/otb/JAS.json</x:v>
      </x:c>
      <x:c r="AL1093" t="str">
        <x:v>JA</x:v>
      </x:c>
    </x:row>
    <x:row r="1094">
      <x:c r="A1094" t="str">
        <x:v>FP-1353</x:v>
      </x:c>
      <x:c r="B1094" t="str">
        <x:v>JAS</x:v>
      </x:c>
      <x:c r="C1094" t="str">
        <x:v>Jakobus</x:v>
      </x:c>
      <x:c r="D1094" t="n">
        <x:v>2</x:v>
      </x:c>
      <x:c r="E1094" t="n">
        <x:v>3</x:v>
      </x:c>
      <x:c r="F1094" t="str">
        <x:v>JAS-002</x:v>
      </x:c>
      <x:c r="G1094" t="n">
        <x:v>219</x:v>
      </x:c>
      <x:c r="H1094" t="str">
        <x:v>CQ-A20-26</x:v>
      </x:c>
      <x:c r="I1094" s="36" t="str">
        <x:v>Bestandsfrage: exakter Wortlaut in diesem Arbeitsschritt nicht rekonstruiert.</x:v>
      </x:c>
      <x:c r="J1094" s="36"/>
      <x:c r="K1094" s="36"/>
      <x:c r="L1094" s="36" t="str">
        <x:v>MASTER_STATUS_VERIFIZIERT</x:v>
      </x:c>
      <x:c r="M1094" s="36" t="str">
        <x:v>ERSETZEN</x:v>
      </x:c>
      <x:c r="N1094" s="36" t="str">
        <x:v>BESTAND_NOCH_NICHT_GEPRÜFT</x:v>
      </x:c>
      <x:c r="O1094" s="36" t="str">
        <x:v>DIDAKTISCHE_NEUFASSUNG</x:v>
      </x:c>
      <x:c r="P1094" s="36" t="str">
        <x:v>BARMHERZIGKEIT</x:v>
      </x:c>
      <x:c r="Q1094" s="36" t="str">
        <x:v>Welche Aussage macht Jakobus über Barmherzigkeit und Gericht?</x:v>
      </x:c>
      <x:c r="R1094" s="36" t="str">
        <x:v>Barmherzigkeit ist im Gericht bedeutungslos.</x:v>
      </x:c>
      <x:c r="S1094" s="36" t="str">
        <x:v>Gericht betrifft nur Menschen ohne Besitz.</x:v>
      </x:c>
      <x:c r="T1094" s="36" t="str">
        <x:v>Barmherzigkeit ersetzt jede Verantwortung.</x:v>
      </x:c>
      <x:c r="U1094" s="36" t="str">
        <x:v>Barmherzigkeit triumphiert über das Gericht.</x:v>
      </x:c>
      <x:c r="V1094" s="36" t="n">
        <x:v>3</x:v>
      </x:c>
      <x:c r="W1094" s="36" t="str">
        <x:v>Barmherzigkeit triumphiert über das Gericht.</x:v>
      </x:c>
      <x:c r="X1094" s="36" t="str">
        <x:v>Jakobus 2,12–13</x:v>
      </x:c>
      <x:c r="Y1094" s="36" t="str">
        <x:v>Der Abschnitt fordert ein Reden und Handeln im Licht des Gesetzes der Freiheit und warnt vor unbarmherzigem Verhalten.</x:v>
      </x:c>
      <x:c r="Z1094" s="36" t="str">
        <x:v>JA</x:v>
      </x:c>
      <x:c r="AA1094" s="36" t="str">
        <x:v>JA</x:v>
      </x:c>
      <x:c r="AB1094" s="36" t="str">
        <x:v>JA</x:v>
      </x:c>
      <x:c r="AC1094" s="36" t="str">
        <x:v>JA</x:v>
      </x:c>
      <x:c r="AD1094" s="36" t="str">
        <x:v>JA</x:v>
      </x:c>
      <x:c r="AE1094" s="36" t="str">
        <x:v>JA</x:v>
      </x:c>
      <x:c r="AF1094" s="36" t="str">
        <x:v>JA</x:v>
      </x:c>
      <x:c r="AG1094" s="36" t="str">
        <x:v>FREIGEGEBEN</x:v>
      </x:c>
      <x:c r="AH1094" s="36" t="str">
        <x:v>GPT-5.6 Sol · Sammelprüfung Allgemeine Briefe · L1912/OTB</x:v>
      </x:c>
      <x:c r="AI1094" s="36" t="str">
        <x:v>FREIGEGEBEN</x:v>
      </x:c>
      <x:c r="AJ1094" s="36" t="str">
        <x:v>Jakobus 2: neue textnahe BARMHERZIGKEIT-Frage redaktionell freigegeben.</x:v>
      </x:c>
      <x:c r="AK1094" s="36" t="str">
        <x:v>FaithPath repo develop/v4 · data/bibles/l1912/JAS.json · data/bibles/otb/JAS.json</x:v>
      </x:c>
      <x:c r="AL1094" t="str">
        <x:v>JA</x:v>
      </x:c>
    </x:row>
    <x:row r="1095">
      <x:c r="A1095" t="str">
        <x:v>FP-1354</x:v>
      </x:c>
      <x:c r="B1095" t="str">
        <x:v>JAS</x:v>
      </x:c>
      <x:c r="C1095" t="str">
        <x:v>Jakobus</x:v>
      </x:c>
      <x:c r="D1095" t="n">
        <x:v>2</x:v>
      </x:c>
      <x:c r="E1095" t="n">
        <x:v>4</x:v>
      </x:c>
      <x:c r="F1095" t="str">
        <x:v>JAS-002</x:v>
      </x:c>
      <x:c r="G1095" t="n">
        <x:v>219</x:v>
      </x:c>
      <x:c r="H1095" t="str">
        <x:v>CQ-A20-26</x:v>
      </x:c>
      <x:c r="I1095" s="36" t="str">
        <x:v>Bestandsfrage: exakter Wortlaut in diesem Arbeitsschritt nicht rekonstruiert.</x:v>
      </x:c>
      <x:c r="J1095" s="36"/>
      <x:c r="K1095" s="36"/>
      <x:c r="L1095" s="36" t="str">
        <x:v>MASTER_STATUS_VERIFIZIERT</x:v>
      </x:c>
      <x:c r="M1095" s="36" t="str">
        <x:v>ERSETZEN</x:v>
      </x:c>
      <x:c r="N1095" s="36" t="str">
        <x:v>BESTAND_NOCH_NICHT_GEPRÜFT</x:v>
      </x:c>
      <x:c r="O1095" s="36" t="str">
        <x:v>DIDAKTISCHE_NEUFASSUNG</x:v>
      </x:c>
      <x:c r="P1095" s="36" t="str">
        <x:v>GLAUBE_UND_WERKE</x:v>
      </x:c>
      <x:c r="Q1095" s="36" t="str">
        <x:v>Was zeigt das Beispiel eines bedürftigen Bruders oder einer bedürftigen Schwester?</x:v>
      </x:c>
      <x:c r="R1095" s="36" t="str">
        <x:v>Ein Glaube ohne praktische Hilfe und entsprechende Werke ist tot.</x:v>
      </x:c>
      <x:c r="S1095" s="36" t="str">
        <x:v>Gute Wünsche reichen immer aus.</x:v>
      </x:c>
      <x:c r="T1095" s="36" t="str">
        <x:v>Materielle Not hat mit Glauben nichts zu tun.</x:v>
      </x:c>
      <x:c r="U1095" s="36" t="str">
        <x:v>Werke können Glauben vollständig ersetzen.</x:v>
      </x:c>
      <x:c r="V1095" s="36" t="n">
        <x:v>0</x:v>
      </x:c>
      <x:c r="W1095" s="36" t="str">
        <x:v>Ein Glaube ohne praktische Hilfe und entsprechende Werke ist tot.</x:v>
      </x:c>
      <x:c r="X1095" s="36" t="str">
        <x:v>Jakobus 2,14–17</x:v>
      </x:c>
      <x:c r="Y1095" s="36" t="str">
        <x:v>Jakobus richtet sich gegen ein bloßes Glaubensbekenntnis, das sich nicht in konkreter Liebe und Hilfe zeigt.</x:v>
      </x:c>
      <x:c r="Z1095" s="36" t="str">
        <x:v>JA</x:v>
      </x:c>
      <x:c r="AA1095" s="36" t="str">
        <x:v>JA</x:v>
      </x:c>
      <x:c r="AB1095" s="36" t="str">
        <x:v>JA</x:v>
      </x:c>
      <x:c r="AC1095" s="36" t="str">
        <x:v>JA</x:v>
      </x:c>
      <x:c r="AD1095" s="36" t="str">
        <x:v>JA</x:v>
      </x:c>
      <x:c r="AE1095" s="36" t="str">
        <x:v>JA</x:v>
      </x:c>
      <x:c r="AF1095" s="36" t="str">
        <x:v>JA</x:v>
      </x:c>
      <x:c r="AG1095" s="36" t="str">
        <x:v>FREIGEGEBEN</x:v>
      </x:c>
      <x:c r="AH1095" s="36" t="str">
        <x:v>GPT-5.6 Sol · Sammelprüfung Allgemeine Briefe · L1912/OTB</x:v>
      </x:c>
      <x:c r="AI1095" s="36" t="str">
        <x:v>FREIGEGEBEN</x:v>
      </x:c>
      <x:c r="AJ1095" s="36" t="str">
        <x:v>Jakobus 2: neue textnahe GLAUBE_UND_WERKE-Frage redaktionell freigegeben.</x:v>
      </x:c>
      <x:c r="AK1095" s="36" t="str">
        <x:v>FaithPath repo develop/v4 · data/bibles/l1912/JAS.json · data/bibles/otb/JAS.json</x:v>
      </x:c>
      <x:c r="AL1095" t="str">
        <x:v>JA</x:v>
      </x:c>
    </x:row>
    <x:row r="1096">
      <x:c r="A1096" t="str">
        <x:v>FP-1355</x:v>
      </x:c>
      <x:c r="B1096" t="str">
        <x:v>JAS</x:v>
      </x:c>
      <x:c r="C1096" t="str">
        <x:v>Jakobus</x:v>
      </x:c>
      <x:c r="D1096" t="n">
        <x:v>2</x:v>
      </x:c>
      <x:c r="E1096" t="n">
        <x:v>5</x:v>
      </x:c>
      <x:c r="F1096" t="str">
        <x:v>JAS-002</x:v>
      </x:c>
      <x:c r="G1096" t="n">
        <x:v>219</x:v>
      </x:c>
      <x:c r="H1096" t="str">
        <x:v>CQ-A20-26</x:v>
      </x:c>
      <x:c r="I1096" s="36" t="str">
        <x:v>Bestandsfrage: exakter Wortlaut in diesem Arbeitsschritt nicht rekonstruiert.</x:v>
      </x:c>
      <x:c r="J1096" s="36"/>
      <x:c r="K1096" s="36"/>
      <x:c r="L1096" s="36" t="str">
        <x:v>MASTER_STATUS_VERIFIZIERT</x:v>
      </x:c>
      <x:c r="M1096" s="36" t="str">
        <x:v>ERSETZEN</x:v>
      </x:c>
      <x:c r="N1096" s="36" t="str">
        <x:v>BESTAND_NOCH_NICHT_GEPRÜFT</x:v>
      </x:c>
      <x:c r="O1096" s="36" t="str">
        <x:v>DIDAKTISCHE_NEUFASSUNG</x:v>
      </x:c>
      <x:c r="P1096" s="36" t="str">
        <x:v>BEISPIELE</x:v>
      </x:c>
      <x:c r="Q1096" s="36" t="str">
        <x:v>Welche beiden Personen nennt Jakobus als Beispiele dafür, dass Glaube sich im Handeln zeigt?</x:v>
      </x:c>
      <x:c r="R1096" s="36" t="str">
        <x:v>Mose und Aaron.</x:v>
      </x:c>
      <x:c r="S1096" s="36" t="str">
        <x:v>Abraham und Rahab.</x:v>
      </x:c>
      <x:c r="T1096" s="36" t="str">
        <x:v>Petrus und Johannes.</x:v>
      </x:c>
      <x:c r="U1096" s="36" t="str">
        <x:v>David und Salomo.</x:v>
      </x:c>
      <x:c r="V1096" s="36" t="n">
        <x:v>1</x:v>
      </x:c>
      <x:c r="W1096" s="36" t="str">
        <x:v>Abraham und Rahab.</x:v>
      </x:c>
      <x:c r="X1096" s="36" t="str">
        <x:v>Jakobus 2,20–26</x:v>
      </x:c>
      <x:c r="Y1096" s="36" t="str">
        <x:v>Abraham und Rahab werden unterschiedlich erzählt, aber beide dienen Jakobus als Beispiele für einen Glauben, der sichtbar handelt.</x:v>
      </x:c>
      <x:c r="Z1096" s="36" t="str">
        <x:v>JA</x:v>
      </x:c>
      <x:c r="AA1096" s="36" t="str">
        <x:v>JA</x:v>
      </x:c>
      <x:c r="AB1096" s="36" t="str">
        <x:v>JA</x:v>
      </x:c>
      <x:c r="AC1096" s="36" t="str">
        <x:v>JA</x:v>
      </x:c>
      <x:c r="AD1096" s="36" t="str">
        <x:v>JA</x:v>
      </x:c>
      <x:c r="AE1096" s="36" t="str">
        <x:v>JA</x:v>
      </x:c>
      <x:c r="AF1096" s="36" t="str">
        <x:v>JA</x:v>
      </x:c>
      <x:c r="AG1096" s="36" t="str">
        <x:v>FREIGEGEBEN</x:v>
      </x:c>
      <x:c r="AH1096" s="36" t="str">
        <x:v>GPT-5.6 Sol · Sammelprüfung Allgemeine Briefe · L1912/OTB</x:v>
      </x:c>
      <x:c r="AI1096" s="36" t="str">
        <x:v>FREIGEGEBEN</x:v>
      </x:c>
      <x:c r="AJ1096" s="36" t="str">
        <x:v>Jakobus 2: neue textnahe BEISPIELE-Frage redaktionell freigegeben.</x:v>
      </x:c>
      <x:c r="AK1096" s="36" t="str">
        <x:v>FaithPath repo develop/v4 · data/bibles/l1912/JAS.json · data/bibles/otb/JAS.json</x:v>
      </x:c>
      <x:c r="AL1096" t="str">
        <x:v>JA</x:v>
      </x:c>
    </x:row>
    <x:row r="1097">
      <x:c r="A1097" t="str">
        <x:v>FP-1356</x:v>
      </x:c>
      <x:c r="B1097" t="str">
        <x:v>JAS</x:v>
      </x:c>
      <x:c r="C1097" t="str">
        <x:v>Jakobus</x:v>
      </x:c>
      <x:c r="D1097" t="n">
        <x:v>3</x:v>
      </x:c>
      <x:c r="E1097" t="n">
        <x:v>1</x:v>
      </x:c>
      <x:c r="F1097" t="str">
        <x:v>JAS-003</x:v>
      </x:c>
      <x:c r="G1097" t="n">
        <x:v>220</x:v>
      </x:c>
      <x:c r="H1097" t="str">
        <x:v>CQ-A20-26</x:v>
      </x:c>
      <x:c r="I1097" s="36" t="str">
        <x:v>Bestandsfrage: exakter Wortlaut in diesem Arbeitsschritt nicht rekonstruiert.</x:v>
      </x:c>
      <x:c r="J1097" s="36"/>
      <x:c r="K1097" s="36"/>
      <x:c r="L1097" s="36" t="str">
        <x:v>MASTER_STATUS_VERIFIZIERT</x:v>
      </x:c>
      <x:c r="M1097" s="36" t="str">
        <x:v>ERSETZEN</x:v>
      </x:c>
      <x:c r="N1097" s="36" t="str">
        <x:v>BESTAND_NOCH_NICHT_GEPRÜFT</x:v>
      </x:c>
      <x:c r="O1097" s="36" t="str">
        <x:v>DIDAKTISCHE_NEUFASSUNG</x:v>
      </x:c>
      <x:c r="P1097" s="36" t="str">
        <x:v>LEHREN</x:v>
      </x:c>
      <x:c r="Q1097" s="36" t="str">
        <x:v>Warum sollen nicht viele Lehrer werden wollen?</x:v>
      </x:c>
      <x:c r="R1097" s="36" t="str">
        <x:v>Weil Lehre grundsätzlich verboten ist.</x:v>
      </x:c>
      <x:c r="S1097" s="36" t="str">
        <x:v>Weil nur Apostel sprechen dürfen.</x:v>
      </x:c>
      <x:c r="T1097" s="36" t="str">
        <x:v>Weil Lehrende strenger beurteilt werden.</x:v>
      </x:c>
      <x:c r="U1097" s="36" t="str">
        <x:v>Weil Lehrer keine Fehler machen können.</x:v>
      </x:c>
      <x:c r="V1097" s="36" t="n">
        <x:v>2</x:v>
      </x:c>
      <x:c r="W1097" s="36" t="str">
        <x:v>Weil Lehrende strenger beurteilt werden.</x:v>
      </x:c>
      <x:c r="X1097" s="36" t="str">
        <x:v>Jakobus 3,1–2</x:v>
      </x:c>
      <x:c r="Y1097" s="36" t="str">
        <x:v>Jakobus verbindet Lehrverantwortung mit besonderer Rechenschaft und erinnert zugleich daran, dass alle in vieler Hinsicht straucheln.</x:v>
      </x:c>
      <x:c r="Z1097" s="36" t="str">
        <x:v>JA</x:v>
      </x:c>
      <x:c r="AA1097" s="36" t="str">
        <x:v>JA</x:v>
      </x:c>
      <x:c r="AB1097" s="36" t="str">
        <x:v>JA</x:v>
      </x:c>
      <x:c r="AC1097" s="36" t="str">
        <x:v>JA</x:v>
      </x:c>
      <x:c r="AD1097" s="36" t="str">
        <x:v>JA</x:v>
      </x:c>
      <x:c r="AE1097" s="36" t="str">
        <x:v>JA</x:v>
      </x:c>
      <x:c r="AF1097" s="36" t="str">
        <x:v>JA</x:v>
      </x:c>
      <x:c r="AG1097" s="36" t="str">
        <x:v>FREIGEGEBEN</x:v>
      </x:c>
      <x:c r="AH1097" s="36" t="str">
        <x:v>GPT-5.6 Sol · Sammelprüfung Allgemeine Briefe · L1912/OTB</x:v>
      </x:c>
      <x:c r="AI1097" s="36" t="str">
        <x:v>FREIGEGEBEN</x:v>
      </x:c>
      <x:c r="AJ1097" s="36" t="str">
        <x:v>Jakobus 3: neue textnahe LEHREN-Frage redaktionell freigegeben.</x:v>
      </x:c>
      <x:c r="AK1097" s="36" t="str">
        <x:v>FaithPath repo develop/v4 · data/bibles/l1912/JAS.json · data/bibles/otb/JAS.json</x:v>
      </x:c>
      <x:c r="AL1097" t="str">
        <x:v>JA</x:v>
      </x:c>
    </x:row>
    <x:row r="1098">
      <x:c r="A1098" t="str">
        <x:v>FP-1357</x:v>
      </x:c>
      <x:c r="B1098" t="str">
        <x:v>JAS</x:v>
      </x:c>
      <x:c r="C1098" t="str">
        <x:v>Jakobus</x:v>
      </x:c>
      <x:c r="D1098" t="n">
        <x:v>3</x:v>
      </x:c>
      <x:c r="E1098" t="n">
        <x:v>2</x:v>
      </x:c>
      <x:c r="F1098" t="str">
        <x:v>JAS-003</x:v>
      </x:c>
      <x:c r="G1098" t="n">
        <x:v>220</x:v>
      </x:c>
      <x:c r="H1098" t="str">
        <x:v>CQ-A20-26</x:v>
      </x:c>
      <x:c r="I1098" s="36" t="str">
        <x:v>Bestandsfrage: exakter Wortlaut in diesem Arbeitsschritt nicht rekonstruiert.</x:v>
      </x:c>
      <x:c r="J1098" s="36"/>
      <x:c r="K1098" s="36"/>
      <x:c r="L1098" s="36" t="str">
        <x:v>MASTER_STATUS_VERIFIZIERT</x:v>
      </x:c>
      <x:c r="M1098" s="36" t="str">
        <x:v>ERSETZEN</x:v>
      </x:c>
      <x:c r="N1098" s="36" t="str">
        <x:v>BESTAND_NOCH_NICHT_GEPRÜFT</x:v>
      </x:c>
      <x:c r="O1098" s="36" t="str">
        <x:v>DIDAKTISCHE_NEUFASSUNG</x:v>
      </x:c>
      <x:c r="P1098" s="36" t="str">
        <x:v>ZUNGE</x:v>
      </x:c>
      <x:c r="Q1098" s="36" t="str">
        <x:v>Welche Bilder verwendet Jakobus für den großen Einfluss kleiner Dinge?</x:v>
      </x:c>
      <x:c r="R1098" s="36" t="str">
        <x:v>Krone, Tempel und Schwert.</x:v>
      </x:c>
      <x:c r="S1098" s="36" t="str">
        <x:v>Saat, Münze und Mantel.</x:v>
      </x:c>
      <x:c r="T1098" s="36" t="str">
        <x:v>Brot, Kelch und Öl.</x:v>
      </x:c>
      <x:c r="U1098" s="36" t="str">
        <x:v>Zaum, Ruder und ein kleiner Funke.</x:v>
      </x:c>
      <x:c r="V1098" s="36" t="n">
        <x:v>3</x:v>
      </x:c>
      <x:c r="W1098" s="36" t="str">
        <x:v>Zaum, Ruder und ein kleiner Funke.</x:v>
      </x:c>
      <x:c r="X1098" s="36" t="str">
        <x:v>Jakobus 3,3–6</x:v>
      </x:c>
      <x:c r="Y1098" s="36" t="str">
        <x:v>Wie Zaum, Ruder und Funke kann auch die kleine Zunge unverhältnismäßig große Wirkung entfalten.</x:v>
      </x:c>
      <x:c r="Z1098" s="36" t="str">
        <x:v>JA</x:v>
      </x:c>
      <x:c r="AA1098" s="36" t="str">
        <x:v>JA</x:v>
      </x:c>
      <x:c r="AB1098" s="36" t="str">
        <x:v>JA</x:v>
      </x:c>
      <x:c r="AC1098" s="36" t="str">
        <x:v>JA</x:v>
      </x:c>
      <x:c r="AD1098" s="36" t="str">
        <x:v>JA</x:v>
      </x:c>
      <x:c r="AE1098" s="36" t="str">
        <x:v>JA</x:v>
      </x:c>
      <x:c r="AF1098" s="36" t="str">
        <x:v>JA</x:v>
      </x:c>
      <x:c r="AG1098" s="36" t="str">
        <x:v>FREIGEGEBEN</x:v>
      </x:c>
      <x:c r="AH1098" s="36" t="str">
        <x:v>GPT-5.6 Sol · Sammelprüfung Allgemeine Briefe · L1912/OTB</x:v>
      </x:c>
      <x:c r="AI1098" s="36" t="str">
        <x:v>FREIGEGEBEN</x:v>
      </x:c>
      <x:c r="AJ1098" s="36" t="str">
        <x:v>Jakobus 3: neue textnahe ZUNGE-Frage redaktionell freigegeben.</x:v>
      </x:c>
      <x:c r="AK1098" s="36" t="str">
        <x:v>FaithPath repo develop/v4 · data/bibles/l1912/JAS.json · data/bibles/otb/JAS.json</x:v>
      </x:c>
      <x:c r="AL1098" t="str">
        <x:v>JA</x:v>
      </x:c>
    </x:row>
    <x:row r="1099">
      <x:c r="A1099" t="str">
        <x:v>FP-1358</x:v>
      </x:c>
      <x:c r="B1099" t="str">
        <x:v>JAS</x:v>
      </x:c>
      <x:c r="C1099" t="str">
        <x:v>Jakobus</x:v>
      </x:c>
      <x:c r="D1099" t="n">
        <x:v>3</x:v>
      </x:c>
      <x:c r="E1099" t="n">
        <x:v>3</x:v>
      </x:c>
      <x:c r="F1099" t="str">
        <x:v>JAS-003</x:v>
      </x:c>
      <x:c r="G1099" t="n">
        <x:v>220</x:v>
      </x:c>
      <x:c r="H1099" t="str">
        <x:v>CQ-A20-26</x:v>
      </x:c>
      <x:c r="I1099" s="36" t="str">
        <x:v>Bestandsfrage: exakter Wortlaut in diesem Arbeitsschritt nicht rekonstruiert.</x:v>
      </x:c>
      <x:c r="J1099" s="36"/>
      <x:c r="K1099" s="36"/>
      <x:c r="L1099" s="36" t="str">
        <x:v>MASTER_STATUS_VERIFIZIERT</x:v>
      </x:c>
      <x:c r="M1099" s="36" t="str">
        <x:v>ERSETZEN</x:v>
      </x:c>
      <x:c r="N1099" s="36" t="str">
        <x:v>BESTAND_NOCH_NICHT_GEPRÜFT</x:v>
      </x:c>
      <x:c r="O1099" s="36" t="str">
        <x:v>DIDAKTISCHE_NEUFASSUNG</x:v>
      </x:c>
      <x:c r="P1099" s="36" t="str">
        <x:v>WIDERSPRUCH</x:v>
      </x:c>
      <x:c r="Q1099" s="36" t="str">
        <x:v>Welchen Widerspruch kritisiert Jakobus beim Gebrauch der Zunge?</x:v>
      </x:c>
      <x:c r="R1099" s="36" t="str">
        <x:v>Mit derselben Zunge Gott zu loben und Menschen, die nach Gottes Bild geschaffen sind, zu verfluchen.</x:v>
      </x:c>
      <x:c r="S1099" s="36" t="str">
        <x:v>Zu beten und zugleich zu arbeiten.</x:v>
      </x:c>
      <x:c r="T1099" s="36" t="str">
        <x:v>Zu lehren und zugleich zuzuhören.</x:v>
      </x:c>
      <x:c r="U1099" s="36" t="str">
        <x:v>Zu schweigen und zugleich nachzudenken.</x:v>
      </x:c>
      <x:c r="V1099" s="36" t="n">
        <x:v>0</x:v>
      </x:c>
      <x:c r="W1099" s="36" t="str">
        <x:v>Mit derselben Zunge Gott zu loben und Menschen, die nach Gottes Bild geschaffen sind, zu verfluchen.</x:v>
      </x:c>
      <x:c r="X1099" s="36" t="str">
        <x:v>Jakobus 3,9–12</x:v>
      </x:c>
      <x:c r="Y1099" s="36" t="str">
        <x:v>Segen und Fluch aus demselben Mund passen nach Jakobus nicht zusammen; das unterstreichen seine Bilder von Quelle und Baum.</x:v>
      </x:c>
      <x:c r="Z1099" s="36" t="str">
        <x:v>JA</x:v>
      </x:c>
      <x:c r="AA1099" s="36" t="str">
        <x:v>JA</x:v>
      </x:c>
      <x:c r="AB1099" s="36" t="str">
        <x:v>JA</x:v>
      </x:c>
      <x:c r="AC1099" s="36" t="str">
        <x:v>JA</x:v>
      </x:c>
      <x:c r="AD1099" s="36" t="str">
        <x:v>JA</x:v>
      </x:c>
      <x:c r="AE1099" s="36" t="str">
        <x:v>JA</x:v>
      </x:c>
      <x:c r="AF1099" s="36" t="str">
        <x:v>JA</x:v>
      </x:c>
      <x:c r="AG1099" s="36" t="str">
        <x:v>FREIGEGEBEN</x:v>
      </x:c>
      <x:c r="AH1099" s="36" t="str">
        <x:v>GPT-5.6 Sol · Sammelprüfung Allgemeine Briefe · L1912/OTB</x:v>
      </x:c>
      <x:c r="AI1099" s="36" t="str">
        <x:v>FREIGEGEBEN</x:v>
      </x:c>
      <x:c r="AJ1099" s="36" t="str">
        <x:v>Jakobus 3: neue textnahe WIDERSPRUCH-Frage redaktionell freigegeben.</x:v>
      </x:c>
      <x:c r="AK1099" s="36" t="str">
        <x:v>FaithPath repo develop/v4 · data/bibles/l1912/JAS.json · data/bibles/otb/JAS.json</x:v>
      </x:c>
      <x:c r="AL1099" t="str">
        <x:v>JA</x:v>
      </x:c>
    </x:row>
    <x:row r="1100">
      <x:c r="A1100" t="str">
        <x:v>FP-1359</x:v>
      </x:c>
      <x:c r="B1100" t="str">
        <x:v>JAS</x:v>
      </x:c>
      <x:c r="C1100" t="str">
        <x:v>Jakobus</x:v>
      </x:c>
      <x:c r="D1100" t="n">
        <x:v>3</x:v>
      </x:c>
      <x:c r="E1100" t="n">
        <x:v>4</x:v>
      </x:c>
      <x:c r="F1100" t="str">
        <x:v>JAS-003</x:v>
      </x:c>
      <x:c r="G1100" t="n">
        <x:v>220</x:v>
      </x:c>
      <x:c r="H1100" t="str">
        <x:v>CQ-A20-26</x:v>
      </x:c>
      <x:c r="I1100" s="36" t="str">
        <x:v>Bestandsfrage: exakter Wortlaut in diesem Arbeitsschritt nicht rekonstruiert.</x:v>
      </x:c>
      <x:c r="J1100" s="36"/>
      <x:c r="K1100" s="36"/>
      <x:c r="L1100" s="36" t="str">
        <x:v>MASTER_STATUS_VERIFIZIERT</x:v>
      </x:c>
      <x:c r="M1100" s="36" t="str">
        <x:v>ERSETZEN</x:v>
      </x:c>
      <x:c r="N1100" s="36" t="str">
        <x:v>BESTAND_NOCH_NICHT_GEPRÜFT</x:v>
      </x:c>
      <x:c r="O1100" s="36" t="str">
        <x:v>DIDAKTISCHE_NEUFASSUNG</x:v>
      </x:c>
      <x:c r="P1100" s="36" t="str">
        <x:v>WEISHEIT</x:v>
      </x:c>
      <x:c r="Q1100" s="36" t="str">
        <x:v>Wie zeigt sich echte Weisheit nach Jakobus?</x:v>
      </x:c>
      <x:c r="R1100" s="36" t="str">
        <x:v>Durch selbstsichere Selbstdarstellung.</x:v>
      </x:c>
      <x:c r="S1100" s="36" t="str">
        <x:v>Durch einen guten Wandel und Taten in der Demut, die aus Weisheit kommt.</x:v>
      </x:c>
      <x:c r="T1100" s="36" t="str">
        <x:v>Durch möglichst viele Wortgefechte.</x:v>
      </x:c>
      <x:c r="U1100" s="36" t="str">
        <x:v>Durch Eifersucht und Ehrgeiz.</x:v>
      </x:c>
      <x:c r="V1100" s="36" t="n">
        <x:v>1</x:v>
      </x:c>
      <x:c r="W1100" s="36" t="str">
        <x:v>Durch einen guten Wandel und Taten in der Demut, die aus Weisheit kommt.</x:v>
      </x:c>
      <x:c r="X1100" s="36" t="str">
        <x:v>Jakobus 3,13</x:v>
      </x:c>
      <x:c r="Y1100" s="36" t="str">
        <x:v>Weisheit wird nicht nur behauptet, sondern in einem demütigen, guten Lebenswandel sichtbar.</x:v>
      </x:c>
      <x:c r="Z1100" s="36" t="str">
        <x:v>JA</x:v>
      </x:c>
      <x:c r="AA1100" s="36" t="str">
        <x:v>JA</x:v>
      </x:c>
      <x:c r="AB1100" s="36" t="str">
        <x:v>JA</x:v>
      </x:c>
      <x:c r="AC1100" s="36" t="str">
        <x:v>JA</x:v>
      </x:c>
      <x:c r="AD1100" s="36" t="str">
        <x:v>JA</x:v>
      </x:c>
      <x:c r="AE1100" s="36" t="str">
        <x:v>JA</x:v>
      </x:c>
      <x:c r="AF1100" s="36" t="str">
        <x:v>JA</x:v>
      </x:c>
      <x:c r="AG1100" s="36" t="str">
        <x:v>FREIGEGEBEN</x:v>
      </x:c>
      <x:c r="AH1100" s="36" t="str">
        <x:v>GPT-5.6 Sol · Sammelprüfung Allgemeine Briefe · L1912/OTB</x:v>
      </x:c>
      <x:c r="AI1100" s="36" t="str">
        <x:v>FREIGEGEBEN</x:v>
      </x:c>
      <x:c r="AJ1100" s="36" t="str">
        <x:v>Jakobus 3: neue textnahe WEISHEIT-Frage redaktionell freigegeben.</x:v>
      </x:c>
      <x:c r="AK1100" s="36" t="str">
        <x:v>FaithPath repo develop/v4 · data/bibles/l1912/JAS.json · data/bibles/otb/JAS.json</x:v>
      </x:c>
      <x:c r="AL1100" t="str">
        <x:v>JA</x:v>
      </x:c>
    </x:row>
    <x:row r="1101">
      <x:c r="A1101" t="str">
        <x:v>FP-1360</x:v>
      </x:c>
      <x:c r="B1101" t="str">
        <x:v>JAS</x:v>
      </x:c>
      <x:c r="C1101" t="str">
        <x:v>Jakobus</x:v>
      </x:c>
      <x:c r="D1101" t="n">
        <x:v>3</x:v>
      </x:c>
      <x:c r="E1101" t="n">
        <x:v>5</x:v>
      </x:c>
      <x:c r="F1101" t="str">
        <x:v>JAS-003</x:v>
      </x:c>
      <x:c r="G1101" t="n">
        <x:v>220</x:v>
      </x:c>
      <x:c r="H1101" t="str">
        <x:v>CQ-A20-26</x:v>
      </x:c>
      <x:c r="I1101" s="36" t="str">
        <x:v>Bestandsfrage: exakter Wortlaut in diesem Arbeitsschritt nicht rekonstruiert.</x:v>
      </x:c>
      <x:c r="J1101" s="36"/>
      <x:c r="K1101" s="36"/>
      <x:c r="L1101" s="36" t="str">
        <x:v>MASTER_STATUS_VERIFIZIERT</x:v>
      </x:c>
      <x:c r="M1101" s="36" t="str">
        <x:v>ERSETZEN</x:v>
      </x:c>
      <x:c r="N1101" s="36" t="str">
        <x:v>BESTAND_NOCH_NICHT_GEPRÜFT</x:v>
      </x:c>
      <x:c r="O1101" s="36" t="str">
        <x:v>DIDAKTISCHE_NEUFASSUNG</x:v>
      </x:c>
      <x:c r="P1101" s="36" t="str">
        <x:v>WEISHEIT_VON_OBEN</x:v>
      </x:c>
      <x:c r="Q1101" s="36" t="str">
        <x:v>Welche Eigenschaften kennzeichnen die Weisheit von oben?</x:v>
      </x:c>
      <x:c r="R1101" s="36" t="str">
        <x:v>Neidisch, ehrgeizig und streitsüchtig.</x:v>
      </x:c>
      <x:c r="S1101" s="36" t="str">
        <x:v>Geheimnisvoll, hart und unnachgiebig.</x:v>
      </x:c>
      <x:c r="T1101" s="36" t="str">
        <x:v>Rein, friedliebend, sanft, barmherzig, unparteiisch und aufrichtig.</x:v>
      </x:c>
      <x:c r="U1101" s="36" t="str">
        <x:v>Auf Gewinn, Status und Wettbewerb ausgerichtet.</x:v>
      </x:c>
      <x:c r="V1101" s="36" t="n">
        <x:v>2</x:v>
      </x:c>
      <x:c r="W1101" s="36" t="str">
        <x:v>Rein, friedliebend, sanft, barmherzig, unparteiisch und aufrichtig.</x:v>
      </x:c>
      <x:c r="X1101" s="36" t="str">
        <x:v>Jakobus 3,14–18</x:v>
      </x:c>
      <x:c r="Y1101" s="36" t="str">
        <x:v>Jakobus kontrastiert irdische, von Eifersucht geprägte Weisheit mit einer von Frieden und guten Früchten gekennzeichneten Weisheit.</x:v>
      </x:c>
      <x:c r="Z1101" s="36" t="str">
        <x:v>JA</x:v>
      </x:c>
      <x:c r="AA1101" s="36" t="str">
        <x:v>JA</x:v>
      </x:c>
      <x:c r="AB1101" s="36" t="str">
        <x:v>JA</x:v>
      </x:c>
      <x:c r="AC1101" s="36" t="str">
        <x:v>JA</x:v>
      </x:c>
      <x:c r="AD1101" s="36" t="str">
        <x:v>JA</x:v>
      </x:c>
      <x:c r="AE1101" s="36" t="str">
        <x:v>JA</x:v>
      </x:c>
      <x:c r="AF1101" s="36" t="str">
        <x:v>JA</x:v>
      </x:c>
      <x:c r="AG1101" s="36" t="str">
        <x:v>FREIGEGEBEN</x:v>
      </x:c>
      <x:c r="AH1101" s="36" t="str">
        <x:v>GPT-5.6 Sol · Sammelprüfung Allgemeine Briefe · L1912/OTB</x:v>
      </x:c>
      <x:c r="AI1101" s="36" t="str">
        <x:v>FREIGEGEBEN</x:v>
      </x:c>
      <x:c r="AJ1101" s="36" t="str">
        <x:v>Jakobus 3: neue textnahe WEISHEIT_VON_OBEN-Frage redaktionell freigegeben.</x:v>
      </x:c>
      <x:c r="AK1101" s="36" t="str">
        <x:v>FaithPath repo develop/v4 · data/bibles/l1912/JAS.json · data/bibles/otb/JAS.json</x:v>
      </x:c>
      <x:c r="AL1101" t="str">
        <x:v>JA</x:v>
      </x:c>
    </x:row>
    <x:row r="1102">
      <x:c r="A1102" t="str">
        <x:v>FP-1361</x:v>
      </x:c>
      <x:c r="B1102" t="str">
        <x:v>JAS</x:v>
      </x:c>
      <x:c r="C1102" t="str">
        <x:v>Jakobus</x:v>
      </x:c>
      <x:c r="D1102" t="n">
        <x:v>4</x:v>
      </x:c>
      <x:c r="E1102" t="n">
        <x:v>1</x:v>
      </x:c>
      <x:c r="F1102" t="str">
        <x:v>JAS-004</x:v>
      </x:c>
      <x:c r="G1102" t="n">
        <x:v>221</x:v>
      </x:c>
      <x:c r="H1102" t="str">
        <x:v>CQ-A20-26</x:v>
      </x:c>
      <x:c r="I1102" s="36" t="str">
        <x:v>Bestandsfrage: exakter Wortlaut in diesem Arbeitsschritt nicht rekonstruiert.</x:v>
      </x:c>
      <x:c r="J1102" s="36"/>
      <x:c r="K1102" s="36"/>
      <x:c r="L1102" s="36" t="str">
        <x:v>MASTER_STATUS_VERIFIZIERT</x:v>
      </x:c>
      <x:c r="M1102" s="36" t="str">
        <x:v>ERSETZEN</x:v>
      </x:c>
      <x:c r="N1102" s="36" t="str">
        <x:v>BESTAND_NOCH_NICHT_GEPRÜFT</x:v>
      </x:c>
      <x:c r="O1102" s="36" t="str">
        <x:v>DIDAKTISCHE_NEUFASSUNG</x:v>
      </x:c>
      <x:c r="P1102" s="36" t="str">
        <x:v>KONFLIKT</x:v>
      </x:c>
      <x:c r="Q1102" s="36" t="str">
        <x:v>Wo verortet Jakobus eine Wurzel von Streit und Kämpfen?</x:v>
      </x:c>
      <x:c r="R1102" s="36" t="str">
        <x:v>Ausschließlich in äußeren politischen Umständen.</x:v>
      </x:c>
      <x:c r="S1102" s="36" t="str">
        <x:v>Nur in mangelnder Bildung.</x:v>
      </x:c>
      <x:c r="T1102" s="36" t="str">
        <x:v>In jeder Form persönlicher Wünsche.</x:v>
      </x:c>
      <x:c r="U1102" s="36" t="str">
        <x:v>In ungeordneten Begierden, die im Menschen kämpfen.</x:v>
      </x:c>
      <x:c r="V1102" s="36" t="n">
        <x:v>3</x:v>
      </x:c>
      <x:c r="W1102" s="36" t="str">
        <x:v>In ungeordneten Begierden, die im Menschen kämpfen.</x:v>
      </x:c>
      <x:c r="X1102" s="36" t="str">
        <x:v>Jakobus 4,1–3</x:v>
      </x:c>
      <x:c r="Y1102" s="36" t="str">
        <x:v>Jakobus lenkt den Blick hinter äußere Konflikte auf begehrende Motive und auf Bitten, die eigennützig ausgerichtet sein können.</x:v>
      </x:c>
      <x:c r="Z1102" s="36" t="str">
        <x:v>JA</x:v>
      </x:c>
      <x:c r="AA1102" s="36" t="str">
        <x:v>JA</x:v>
      </x:c>
      <x:c r="AB1102" s="36" t="str">
        <x:v>JA</x:v>
      </x:c>
      <x:c r="AC1102" s="36" t="str">
        <x:v>JA</x:v>
      </x:c>
      <x:c r="AD1102" s="36" t="str">
        <x:v>JA</x:v>
      </x:c>
      <x:c r="AE1102" s="36" t="str">
        <x:v>JA</x:v>
      </x:c>
      <x:c r="AF1102" s="36" t="str">
        <x:v>JA</x:v>
      </x:c>
      <x:c r="AG1102" s="36" t="str">
        <x:v>FREIGEGEBEN</x:v>
      </x:c>
      <x:c r="AH1102" s="36" t="str">
        <x:v>GPT-5.6 Sol · Sammelprüfung Allgemeine Briefe · L1912/OTB</x:v>
      </x:c>
      <x:c r="AI1102" s="36" t="str">
        <x:v>FREIGEGEBEN</x:v>
      </x:c>
      <x:c r="AJ1102" s="36" t="str">
        <x:v>Jakobus 4: neue textnahe KONFLIKT-Frage redaktionell freigegeben.</x:v>
      </x:c>
      <x:c r="AK1102" s="36" t="str">
        <x:v>FaithPath repo develop/v4 · data/bibles/l1912/JAS.json · data/bibles/otb/JAS.json</x:v>
      </x:c>
      <x:c r="AL1102" t="str">
        <x:v>JA</x:v>
      </x:c>
    </x:row>
    <x:row r="1103">
      <x:c r="A1103" t="str">
        <x:v>FP-1362</x:v>
      </x:c>
      <x:c r="B1103" t="str">
        <x:v>JAS</x:v>
      </x:c>
      <x:c r="C1103" t="str">
        <x:v>Jakobus</x:v>
      </x:c>
      <x:c r="D1103" t="n">
        <x:v>4</x:v>
      </x:c>
      <x:c r="E1103" t="n">
        <x:v>2</x:v>
      </x:c>
      <x:c r="F1103" t="str">
        <x:v>JAS-004</x:v>
      </x:c>
      <x:c r="G1103" t="n">
        <x:v>221</x:v>
      </x:c>
      <x:c r="H1103" t="str">
        <x:v>CQ-A20-26</x:v>
      </x:c>
      <x:c r="I1103" s="36" t="str">
        <x:v>Bestandsfrage: exakter Wortlaut in diesem Arbeitsschritt nicht rekonstruiert.</x:v>
      </x:c>
      <x:c r="J1103" s="36"/>
      <x:c r="K1103" s="36"/>
      <x:c r="L1103" s="36" t="str">
        <x:v>MASTER_STATUS_VERIFIZIERT</x:v>
      </x:c>
      <x:c r="M1103" s="36" t="str">
        <x:v>ERSETZEN</x:v>
      </x:c>
      <x:c r="N1103" s="36" t="str">
        <x:v>BESTAND_NOCH_NICHT_GEPRÜFT</x:v>
      </x:c>
      <x:c r="O1103" s="36" t="str">
        <x:v>DIDAKTISCHE_NEUFASSUNG</x:v>
      </x:c>
      <x:c r="P1103" s="36" t="str">
        <x:v>DEMUT</x:v>
      </x:c>
      <x:c r="Q1103" s="36" t="str">
        <x:v>Welche Abfolge nennt Jakobus im Umgang mit Gott und dem Bösen?</x:v>
      </x:c>
      <x:c r="R1103" s="36" t="str">
        <x:v>Sich Gott unterordnen, dem Teufel widerstehen und sich Gott nahen.</x:v>
      </x:c>
      <x:c r="S1103" s="36" t="str">
        <x:v>Sich selbst erhöhen und Gott fernbleiben.</x:v>
      </x:c>
      <x:c r="T1103" s="36" t="str">
        <x:v>Dem Bösen nachgeben, um Konflikte zu vermeiden.</x:v>
      </x:c>
      <x:c r="U1103" s="36" t="str">
        <x:v>Nur äußere Rituale ausführen.</x:v>
      </x:c>
      <x:c r="V1103" s="36" t="n">
        <x:v>0</x:v>
      </x:c>
      <x:c r="W1103" s="36" t="str">
        <x:v>Sich Gott unterordnen, dem Teufel widerstehen und sich Gott nahen.</x:v>
      </x:c>
      <x:c r="X1103" s="36" t="str">
        <x:v>Jakobus 4,6–10</x:v>
      </x:c>
      <x:c r="Y1103" s="36" t="str">
        <x:v>Der Abschnitt verbindet Gottes größere Gnade mit Demut, Widerstand gegen das Böse und erneuter Nähe zu Gott.</x:v>
      </x:c>
      <x:c r="Z1103" s="36" t="str">
        <x:v>JA</x:v>
      </x:c>
      <x:c r="AA1103" s="36" t="str">
        <x:v>JA</x:v>
      </x:c>
      <x:c r="AB1103" s="36" t="str">
        <x:v>JA</x:v>
      </x:c>
      <x:c r="AC1103" s="36" t="str">
        <x:v>JA</x:v>
      </x:c>
      <x:c r="AD1103" s="36" t="str">
        <x:v>JA</x:v>
      </x:c>
      <x:c r="AE1103" s="36" t="str">
        <x:v>JA</x:v>
      </x:c>
      <x:c r="AF1103" s="36" t="str">
        <x:v>JA</x:v>
      </x:c>
      <x:c r="AG1103" s="36" t="str">
        <x:v>FREIGEGEBEN</x:v>
      </x:c>
      <x:c r="AH1103" s="36" t="str">
        <x:v>GPT-5.6 Sol · Sammelprüfung Allgemeine Briefe · L1912/OTB</x:v>
      </x:c>
      <x:c r="AI1103" s="36" t="str">
        <x:v>FREIGEGEBEN</x:v>
      </x:c>
      <x:c r="AJ1103" s="36" t="str">
        <x:v>Jakobus 4: neue textnahe DEMUT-Frage redaktionell freigegeben.</x:v>
      </x:c>
      <x:c r="AK1103" s="36" t="str">
        <x:v>FaithPath repo develop/v4 · data/bibles/l1912/JAS.json · data/bibles/otb/JAS.json</x:v>
      </x:c>
      <x:c r="AL1103" t="str">
        <x:v>JA</x:v>
      </x:c>
    </x:row>
    <x:row r="1104">
      <x:c r="A1104" t="str">
        <x:v>FP-1363</x:v>
      </x:c>
      <x:c r="B1104" t="str">
        <x:v>JAS</x:v>
      </x:c>
      <x:c r="C1104" t="str">
        <x:v>Jakobus</x:v>
      </x:c>
      <x:c r="D1104" t="n">
        <x:v>4</x:v>
      </x:c>
      <x:c r="E1104" t="n">
        <x:v>3</x:v>
      </x:c>
      <x:c r="F1104" t="str">
        <x:v>JAS-004</x:v>
      </x:c>
      <x:c r="G1104" t="n">
        <x:v>221</x:v>
      </x:c>
      <x:c r="H1104" t="str">
        <x:v>CQ-A20-26</x:v>
      </x:c>
      <x:c r="I1104" s="36" t="str">
        <x:v>Bestandsfrage: exakter Wortlaut in diesem Arbeitsschritt nicht rekonstruiert.</x:v>
      </x:c>
      <x:c r="J1104" s="36"/>
      <x:c r="K1104" s="36"/>
      <x:c r="L1104" s="36" t="str">
        <x:v>MASTER_STATUS_VERIFIZIERT</x:v>
      </x:c>
      <x:c r="M1104" s="36" t="str">
        <x:v>ERSETZEN</x:v>
      </x:c>
      <x:c r="N1104" s="36" t="str">
        <x:v>BESTAND_NOCH_NICHT_GEPRÜFT</x:v>
      </x:c>
      <x:c r="O1104" s="36" t="str">
        <x:v>DIDAKTISCHE_NEUFASSUNG</x:v>
      </x:c>
      <x:c r="P1104" s="36" t="str">
        <x:v>RICHTEN</x:v>
      </x:c>
      <x:c r="Q1104" s="36" t="str">
        <x:v>Warum warnt Jakobus davor, schlecht über Geschwister zu reden und sie zu richten?</x:v>
      </x:c>
      <x:c r="R1104" s="36" t="str">
        <x:v>Weil jedes moralische Urteil grundsätzlich unmöglich ist.</x:v>
      </x:c>
      <x:c r="S1104" s="36" t="str">
        <x:v>Weil es einen Gesetzgeber und Richter gibt, der retten und verderben kann.</x:v>
      </x:c>
      <x:c r="T1104" s="36" t="str">
        <x:v>Weil Konflikte nie angesprochen werden dürfen.</x:v>
      </x:c>
      <x:c r="U1104" s="36" t="str">
        <x:v>Weil nur Reiche beurteilt werden können.</x:v>
      </x:c>
      <x:c r="V1104" s="36" t="n">
        <x:v>1</x:v>
      </x:c>
      <x:c r="W1104" s="36" t="str">
        <x:v>Weil es einen Gesetzgeber und Richter gibt, der retten und verderben kann.</x:v>
      </x:c>
      <x:c r="X1104" s="36" t="str">
        <x:v>Jakobus 4,11–12</x:v>
      </x:c>
      <x:c r="Y1104" s="36" t="str">
        <x:v>Jakobus richtet sich gegen anmaßendes Verurteilen des Nächsten und erinnert an Gottes einzigartige Richterstellung.</x:v>
      </x:c>
      <x:c r="Z1104" s="36" t="str">
        <x:v>JA</x:v>
      </x:c>
      <x:c r="AA1104" s="36" t="str">
        <x:v>JA</x:v>
      </x:c>
      <x:c r="AB1104" s="36" t="str">
        <x:v>JA</x:v>
      </x:c>
      <x:c r="AC1104" s="36" t="str">
        <x:v>JA</x:v>
      </x:c>
      <x:c r="AD1104" s="36" t="str">
        <x:v>JA</x:v>
      </x:c>
      <x:c r="AE1104" s="36" t="str">
        <x:v>JA</x:v>
      </x:c>
      <x:c r="AF1104" s="36" t="str">
        <x:v>JA</x:v>
      </x:c>
      <x:c r="AG1104" s="36" t="str">
        <x:v>FREIGEGEBEN</x:v>
      </x:c>
      <x:c r="AH1104" s="36" t="str">
        <x:v>GPT-5.6 Sol · Sammelprüfung Allgemeine Briefe · L1912/OTB</x:v>
      </x:c>
      <x:c r="AI1104" s="36" t="str">
        <x:v>FREIGEGEBEN</x:v>
      </x:c>
      <x:c r="AJ1104" s="36" t="str">
        <x:v>Jakobus 4: neue textnahe RICHTEN-Frage redaktionell freigegeben.</x:v>
      </x:c>
      <x:c r="AK1104" s="36" t="str">
        <x:v>FaithPath repo develop/v4 · data/bibles/l1912/JAS.json · data/bibles/otb/JAS.json</x:v>
      </x:c>
      <x:c r="AL1104" t="str">
        <x:v>JA</x:v>
      </x:c>
    </x:row>
    <x:row r="1105">
      <x:c r="A1105" t="str">
        <x:v>FP-1364</x:v>
      </x:c>
      <x:c r="B1105" t="str">
        <x:v>JAS</x:v>
      </x:c>
      <x:c r="C1105" t="str">
        <x:v>Jakobus</x:v>
      </x:c>
      <x:c r="D1105" t="n">
        <x:v>4</x:v>
      </x:c>
      <x:c r="E1105" t="n">
        <x:v>4</x:v>
      </x:c>
      <x:c r="F1105" t="str">
        <x:v>JAS-004</x:v>
      </x:c>
      <x:c r="G1105" t="n">
        <x:v>221</x:v>
      </x:c>
      <x:c r="H1105" t="str">
        <x:v>CQ-A20-26</x:v>
      </x:c>
      <x:c r="I1105" s="36" t="str">
        <x:v>Bestandsfrage: exakter Wortlaut in diesem Arbeitsschritt nicht rekonstruiert.</x:v>
      </x:c>
      <x:c r="J1105" s="36"/>
      <x:c r="K1105" s="36"/>
      <x:c r="L1105" s="36" t="str">
        <x:v>MASTER_STATUS_VERIFIZIERT</x:v>
      </x:c>
      <x:c r="M1105" s="36" t="str">
        <x:v>ERSETZEN</x:v>
      </x:c>
      <x:c r="N1105" s="36" t="str">
        <x:v>BESTAND_NOCH_NICHT_GEPRÜFT</x:v>
      </x:c>
      <x:c r="O1105" s="36" t="str">
        <x:v>DIDAKTISCHE_NEUFASSUNG</x:v>
      </x:c>
      <x:c r="P1105" s="36" t="str">
        <x:v>PLANUNG</x:v>
      </x:c>
      <x:c r="Q1105" s="36" t="str">
        <x:v>Was fehlt an der selbstsicheren Aussage 'Wir werden dort hingehen, handeln und Gewinn machen'?</x:v>
      </x:c>
      <x:c r="R1105" s="36" t="str">
        <x:v>Ein genauer Fünfjahresplan.</x:v>
      </x:c>
      <x:c r="S1105" s="36" t="str">
        <x:v>Mehr finanzielles Risiko.</x:v>
      </x:c>
      <x:c r="T1105" s="36" t="str">
        <x:v>Die demütige Anerkennung: Wenn der Herr will, werden wir leben und dies oder jenes tun.</x:v>
      </x:c>
      <x:c r="U1105" s="36" t="str">
        <x:v>Eine religiöse Reise nach Jerusalem.</x:v>
      </x:c>
      <x:c r="V1105" s="36" t="n">
        <x:v>2</x:v>
      </x:c>
      <x:c r="W1105" s="36" t="str">
        <x:v>Die demütige Anerkennung: Wenn der Herr will, werden wir leben und dies oder jenes tun.</x:v>
      </x:c>
      <x:c r="X1105" s="36" t="str">
        <x:v>Jakobus 4,13–16</x:v>
      </x:c>
      <x:c r="Y1105" s="36" t="str">
        <x:v>Jakobus kritisiert nicht Planung an sich, sondern überhebliche Sicherheit, die die Begrenztheit des Lebens und Gottes Willen ausblendet.</x:v>
      </x:c>
      <x:c r="Z1105" s="36" t="str">
        <x:v>JA</x:v>
      </x:c>
      <x:c r="AA1105" s="36" t="str">
        <x:v>JA</x:v>
      </x:c>
      <x:c r="AB1105" s="36" t="str">
        <x:v>JA</x:v>
      </x:c>
      <x:c r="AC1105" s="36" t="str">
        <x:v>JA</x:v>
      </x:c>
      <x:c r="AD1105" s="36" t="str">
        <x:v>JA</x:v>
      </x:c>
      <x:c r="AE1105" s="36" t="str">
        <x:v>JA</x:v>
      </x:c>
      <x:c r="AF1105" s="36" t="str">
        <x:v>JA</x:v>
      </x:c>
      <x:c r="AG1105" s="36" t="str">
        <x:v>FREIGEGEBEN</x:v>
      </x:c>
      <x:c r="AH1105" s="36" t="str">
        <x:v>GPT-5.6 Sol · Sammelprüfung Allgemeine Briefe · L1912/OTB</x:v>
      </x:c>
      <x:c r="AI1105" s="36" t="str">
        <x:v>FREIGEGEBEN</x:v>
      </x:c>
      <x:c r="AJ1105" s="36" t="str">
        <x:v>Jakobus 4: neue textnahe PLANUNG-Frage redaktionell freigegeben.</x:v>
      </x:c>
      <x:c r="AK1105" s="36" t="str">
        <x:v>FaithPath repo develop/v4 · data/bibles/l1912/JAS.json · data/bibles/otb/JAS.json</x:v>
      </x:c>
      <x:c r="AL1105" t="str">
        <x:v>JA</x:v>
      </x:c>
    </x:row>
    <x:row r="1106">
      <x:c r="A1106" t="str">
        <x:v>FP-1365</x:v>
      </x:c>
      <x:c r="B1106" t="str">
        <x:v>JAS</x:v>
      </x:c>
      <x:c r="C1106" t="str">
        <x:v>Jakobus</x:v>
      </x:c>
      <x:c r="D1106" t="n">
        <x:v>4</x:v>
      </x:c>
      <x:c r="E1106" t="n">
        <x:v>5</x:v>
      </x:c>
      <x:c r="F1106" t="str">
        <x:v>JAS-004</x:v>
      </x:c>
      <x:c r="G1106" t="n">
        <x:v>221</x:v>
      </x:c>
      <x:c r="H1106" t="str">
        <x:v>CQ-A20-26</x:v>
      </x:c>
      <x:c r="I1106" s="36" t="str">
        <x:v>Bestandsfrage: exakter Wortlaut in diesem Arbeitsschritt nicht rekonstruiert.</x:v>
      </x:c>
      <x:c r="J1106" s="36"/>
      <x:c r="K1106" s="36"/>
      <x:c r="L1106" s="36" t="str">
        <x:v>MASTER_STATUS_VERIFIZIERT</x:v>
      </x:c>
      <x:c r="M1106" s="36" t="str">
        <x:v>ERSETZEN</x:v>
      </x:c>
      <x:c r="N1106" s="36" t="str">
        <x:v>BESTAND_NOCH_NICHT_GEPRÜFT</x:v>
      </x:c>
      <x:c r="O1106" s="36" t="str">
        <x:v>DIDAKTISCHE_NEUFASSUNG</x:v>
      </x:c>
      <x:c r="P1106" s="36" t="str">
        <x:v>VERANTWORTUNG</x:v>
      </x:c>
      <x:c r="Q1106" s="36" t="str">
        <x:v>Wie formuliert Jakobus die Verantwortung gegenüber erkanntem Guten?</x:v>
      </x:c>
      <x:c r="R1106" s="36" t="str">
        <x:v>Nur falsches Reden kann Sünde sein.</x:v>
      </x:c>
      <x:c r="S1106" s="36" t="str">
        <x:v>Unterlassungen haben keine moralische Bedeutung.</x:v>
      </x:c>
      <x:c r="T1106" s="36" t="str">
        <x:v>Gutes zählt nur, wenn andere es sehen.</x:v>
      </x:c>
      <x:c r="U1106" s="36" t="str">
        <x:v>Wer weiß, Gutes zu tun, und es nicht tut, für den ist es Sünde.</x:v>
      </x:c>
      <x:c r="V1106" s="36" t="n">
        <x:v>3</x:v>
      </x:c>
      <x:c r="W1106" s="36" t="str">
        <x:v>Wer weiß, Gutes zu tun, und es nicht tut, für den ist es Sünde.</x:v>
      </x:c>
      <x:c r="X1106" s="36" t="str">
        <x:v>Jakobus 4,17</x:v>
      </x:c>
      <x:c r="Y1106" s="36" t="str">
        <x:v>Jakobus schließt das Kapitel mit Verantwortung nicht nur für falsches Tun, sondern auch für unterlassenes erkanntes Gutes.</x:v>
      </x:c>
      <x:c r="Z1106" s="36" t="str">
        <x:v>JA</x:v>
      </x:c>
      <x:c r="AA1106" s="36" t="str">
        <x:v>JA</x:v>
      </x:c>
      <x:c r="AB1106" s="36" t="str">
        <x:v>JA</x:v>
      </x:c>
      <x:c r="AC1106" s="36" t="str">
        <x:v>JA</x:v>
      </x:c>
      <x:c r="AD1106" s="36" t="str">
        <x:v>JA</x:v>
      </x:c>
      <x:c r="AE1106" s="36" t="str">
        <x:v>JA</x:v>
      </x:c>
      <x:c r="AF1106" s="36" t="str">
        <x:v>JA</x:v>
      </x:c>
      <x:c r="AG1106" s="36" t="str">
        <x:v>FREIGEGEBEN</x:v>
      </x:c>
      <x:c r="AH1106" s="36" t="str">
        <x:v>GPT-5.6 Sol · Sammelprüfung Allgemeine Briefe · L1912/OTB</x:v>
      </x:c>
      <x:c r="AI1106" s="36" t="str">
        <x:v>FREIGEGEBEN</x:v>
      </x:c>
      <x:c r="AJ1106" s="36" t="str">
        <x:v>Jakobus 4: neue textnahe VERANTWORTUNG-Frage redaktionell freigegeben.</x:v>
      </x:c>
      <x:c r="AK1106" s="36" t="str">
        <x:v>FaithPath repo develop/v4 · data/bibles/l1912/JAS.json · data/bibles/otb/JAS.json</x:v>
      </x:c>
      <x:c r="AL1106" t="str">
        <x:v>JA</x:v>
      </x:c>
    </x:row>
    <x:row r="1107">
      <x:c r="A1107" t="str">
        <x:v>FP-1366</x:v>
      </x:c>
      <x:c r="B1107" t="str">
        <x:v>JAS</x:v>
      </x:c>
      <x:c r="C1107" t="str">
        <x:v>Jakobus</x:v>
      </x:c>
      <x:c r="D1107" t="n">
        <x:v>5</x:v>
      </x:c>
      <x:c r="E1107" t="n">
        <x:v>1</x:v>
      </x:c>
      <x:c r="F1107" t="str">
        <x:v>JAS-005</x:v>
      </x:c>
      <x:c r="G1107" t="n">
        <x:v>222</x:v>
      </x:c>
      <x:c r="H1107" t="str">
        <x:v>CQ-A20-26</x:v>
      </x:c>
      <x:c r="I1107" s="36" t="str">
        <x:v>Bestandsfrage: exakter Wortlaut in diesem Arbeitsschritt nicht rekonstruiert.</x:v>
      </x:c>
      <x:c r="J1107" s="36"/>
      <x:c r="K1107" s="36"/>
      <x:c r="L1107" s="36" t="str">
        <x:v>MASTER_STATUS_VERIFIZIERT</x:v>
      </x:c>
      <x:c r="M1107" s="36" t="str">
        <x:v>ERSETZEN</x:v>
      </x:c>
      <x:c r="N1107" s="36" t="str">
        <x:v>BESTAND_NOCH_NICHT_GEPRÜFT</x:v>
      </x:c>
      <x:c r="O1107" s="36" t="str">
        <x:v>DIDAKTISCHE_NEUFASSUNG</x:v>
      </x:c>
      <x:c r="P1107" s="36" t="str">
        <x:v>GERECHTIGKEIT</x:v>
      </x:c>
      <x:c r="Q1107" s="36" t="str">
        <x:v>Welche Ungerechtigkeit der Reichen wird besonders angeklagt?</x:v>
      </x:c>
      <x:c r="R1107" s="36" t="str">
        <x:v>Vorenthaltener Lohn der Arbeiter.</x:v>
      </x:c>
      <x:c r="S1107" s="36" t="str">
        <x:v>Dass sie überhaupt Felder besitzen.</x:v>
      </x:c>
      <x:c r="T1107" s="36" t="str">
        <x:v>Dass sie schöne Kleidung tragen.</x:v>
      </x:c>
      <x:c r="U1107" s="36" t="str">
        <x:v>Dass sie sparen.</x:v>
      </x:c>
      <x:c r="V1107" s="36" t="n">
        <x:v>0</x:v>
      </x:c>
      <x:c r="W1107" s="36" t="str">
        <x:v>Vorenthaltener Lohn der Arbeiter.</x:v>
      </x:c>
      <x:c r="X1107" s="36" t="str">
        <x:v>Jakobus 5,1–6</x:v>
      </x:c>
      <x:c r="Y1107" s="36" t="str">
        <x:v>Jakobus kritisiert selbstsüchtigen Reichtum besonders dort, wo er mit Ausbeutung und verweigertem Lohn verbunden ist.</x:v>
      </x:c>
      <x:c r="Z1107" s="36" t="str">
        <x:v>JA</x:v>
      </x:c>
      <x:c r="AA1107" s="36" t="str">
        <x:v>JA</x:v>
      </x:c>
      <x:c r="AB1107" s="36" t="str">
        <x:v>JA</x:v>
      </x:c>
      <x:c r="AC1107" s="36" t="str">
        <x:v>JA</x:v>
      </x:c>
      <x:c r="AD1107" s="36" t="str">
        <x:v>JA</x:v>
      </x:c>
      <x:c r="AE1107" s="36" t="str">
        <x:v>JA</x:v>
      </x:c>
      <x:c r="AF1107" s="36" t="str">
        <x:v>JA</x:v>
      </x:c>
      <x:c r="AG1107" s="36" t="str">
        <x:v>FREIGEGEBEN</x:v>
      </x:c>
      <x:c r="AH1107" s="36" t="str">
        <x:v>GPT-5.6 Sol · Sammelprüfung Allgemeine Briefe · L1912/OTB</x:v>
      </x:c>
      <x:c r="AI1107" s="36" t="str">
        <x:v>FREIGEGEBEN</x:v>
      </x:c>
      <x:c r="AJ1107" s="36" t="str">
        <x:v>Jakobus 5: neue textnahe GERECHTIGKEIT-Frage redaktionell freigegeben.</x:v>
      </x:c>
      <x:c r="AK1107" s="36" t="str">
        <x:v>FaithPath repo develop/v4 · data/bibles/l1912/JAS.json · data/bibles/otb/JAS.json</x:v>
      </x:c>
      <x:c r="AL1107" t="str">
        <x:v>JA</x:v>
      </x:c>
    </x:row>
    <x:row r="1108">
      <x:c r="A1108" t="str">
        <x:v>FP-1367</x:v>
      </x:c>
      <x:c r="B1108" t="str">
        <x:v>JAS</x:v>
      </x:c>
      <x:c r="C1108" t="str">
        <x:v>Jakobus</x:v>
      </x:c>
      <x:c r="D1108" t="n">
        <x:v>5</x:v>
      </x:c>
      <x:c r="E1108" t="n">
        <x:v>2</x:v>
      </x:c>
      <x:c r="F1108" t="str">
        <x:v>JAS-005</x:v>
      </x:c>
      <x:c r="G1108" t="n">
        <x:v>222</x:v>
      </x:c>
      <x:c r="H1108" t="str">
        <x:v>CQ-A20-26</x:v>
      </x:c>
      <x:c r="I1108" s="36" t="str">
        <x:v>Bestandsfrage: exakter Wortlaut in diesem Arbeitsschritt nicht rekonstruiert.</x:v>
      </x:c>
      <x:c r="J1108" s="36"/>
      <x:c r="K1108" s="36"/>
      <x:c r="L1108" s="36" t="str">
        <x:v>MASTER_STATUS_VERIFIZIERT</x:v>
      </x:c>
      <x:c r="M1108" s="36" t="str">
        <x:v>ERSETZEN</x:v>
      </x:c>
      <x:c r="N1108" s="36" t="str">
        <x:v>BESTAND_NOCH_NICHT_GEPRÜFT</x:v>
      </x:c>
      <x:c r="O1108" s="36" t="str">
        <x:v>DIDAKTISCHE_NEUFASSUNG</x:v>
      </x:c>
      <x:c r="P1108" s="36" t="str">
        <x:v>GEDULD</x:v>
      </x:c>
      <x:c r="Q1108" s="36" t="str">
        <x:v>Welches Bild verwendet Jakobus für geduldiges Warten auf die Ankunft des Herrn?</x:v>
      </x:c>
      <x:c r="R1108" s="36" t="str">
        <x:v>Einen Händler, der täglich Preise ändert.</x:v>
      </x:c>
      <x:c r="S1108" s="36" t="str">
        <x:v>Einen Bauern, der auf den kostbaren Ertrag und den Regen wartet.</x:v>
      </x:c>
      <x:c r="T1108" s="36" t="str">
        <x:v>Einen Soldaten, der sofort angreift.</x:v>
      </x:c>
      <x:c r="U1108" s="36" t="str">
        <x:v>Einen Richter, der sein Urteil vergisst.</x:v>
      </x:c>
      <x:c r="V1108" s="36" t="n">
        <x:v>1</x:v>
      </x:c>
      <x:c r="W1108" s="36" t="str">
        <x:v>Einen Bauern, der auf den kostbaren Ertrag und den Regen wartet.</x:v>
      </x:c>
      <x:c r="X1108" s="36" t="str">
        <x:v>Jakobus 5,7–8</x:v>
      </x:c>
      <x:c r="Y1108" s="36" t="str">
        <x:v>Wie ein Bauer den Wachstumsprozess nicht erzwingen kann, sollen Glaubende geduldig und innerlich gefestigt warten.</x:v>
      </x:c>
      <x:c r="Z1108" s="36" t="str">
        <x:v>JA</x:v>
      </x:c>
      <x:c r="AA1108" s="36" t="str">
        <x:v>JA</x:v>
      </x:c>
      <x:c r="AB1108" s="36" t="str">
        <x:v>JA</x:v>
      </x:c>
      <x:c r="AC1108" s="36" t="str">
        <x:v>JA</x:v>
      </x:c>
      <x:c r="AD1108" s="36" t="str">
        <x:v>JA</x:v>
      </x:c>
      <x:c r="AE1108" s="36" t="str">
        <x:v>JA</x:v>
      </x:c>
      <x:c r="AF1108" s="36" t="str">
        <x:v>JA</x:v>
      </x:c>
      <x:c r="AG1108" s="36" t="str">
        <x:v>FREIGEGEBEN</x:v>
      </x:c>
      <x:c r="AH1108" s="36" t="str">
        <x:v>GPT-5.6 Sol · Sammelprüfung Allgemeine Briefe · L1912/OTB</x:v>
      </x:c>
      <x:c r="AI1108" s="36" t="str">
        <x:v>FREIGEGEBEN</x:v>
      </x:c>
      <x:c r="AJ1108" s="36" t="str">
        <x:v>Jakobus 5: neue textnahe GEDULD-Frage redaktionell freigegeben.</x:v>
      </x:c>
      <x:c r="AK1108" s="36" t="str">
        <x:v>FaithPath repo develop/v4 · data/bibles/l1912/JAS.json · data/bibles/otb/JAS.json</x:v>
      </x:c>
      <x:c r="AL1108" t="str">
        <x:v>JA</x:v>
      </x:c>
    </x:row>
    <x:row r="1109">
      <x:c r="A1109" t="str">
        <x:v>FP-1368</x:v>
      </x:c>
      <x:c r="B1109" t="str">
        <x:v>JAS</x:v>
      </x:c>
      <x:c r="C1109" t="str">
        <x:v>Jakobus</x:v>
      </x:c>
      <x:c r="D1109" t="n">
        <x:v>5</x:v>
      </x:c>
      <x:c r="E1109" t="n">
        <x:v>3</x:v>
      </x:c>
      <x:c r="F1109" t="str">
        <x:v>JAS-005</x:v>
      </x:c>
      <x:c r="G1109" t="n">
        <x:v>222</x:v>
      </x:c>
      <x:c r="H1109" t="str">
        <x:v>CQ-A20-26</x:v>
      </x:c>
      <x:c r="I1109" s="36" t="str">
        <x:v>Bestandsfrage: exakter Wortlaut in diesem Arbeitsschritt nicht rekonstruiert.</x:v>
      </x:c>
      <x:c r="J1109" s="36"/>
      <x:c r="K1109" s="36"/>
      <x:c r="L1109" s="36" t="str">
        <x:v>MASTER_STATUS_VERIFIZIERT</x:v>
      </x:c>
      <x:c r="M1109" s="36" t="str">
        <x:v>ERSETZEN</x:v>
      </x:c>
      <x:c r="N1109" s="36" t="str">
        <x:v>BESTAND_NOCH_NICHT_GEPRÜFT</x:v>
      </x:c>
      <x:c r="O1109" s="36" t="str">
        <x:v>DIDAKTISCHE_NEUFASSUNG</x:v>
      </x:c>
      <x:c r="P1109" s="36" t="str">
        <x:v>VORBILD</x:v>
      </x:c>
      <x:c r="Q1109" s="36" t="str">
        <x:v>Wen nennt Jakobus als Beispiele für Leiden und Ausdauer?</x:v>
      </x:c>
      <x:c r="R1109" s="36" t="str">
        <x:v>Nur Abraham und Sara.</x:v>
      </x:c>
      <x:c r="S1109" s="36" t="str">
        <x:v>Saul und Absalom.</x:v>
      </x:c>
      <x:c r="T1109" s="36" t="str">
        <x:v>Die Propheten und besonders Hiob.</x:v>
      </x:c>
      <x:c r="U1109" s="36" t="str">
        <x:v>Pharao und Nebukadnezar.</x:v>
      </x:c>
      <x:c r="V1109" s="36" t="n">
        <x:v>2</x:v>
      </x:c>
      <x:c r="W1109" s="36" t="str">
        <x:v>Die Propheten und besonders Hiob.</x:v>
      </x:c>
      <x:c r="X1109" s="36" t="str">
        <x:v>Jakobus 5,10–11</x:v>
      </x:c>
      <x:c r="Y1109" s="36" t="str">
        <x:v>Propheten und Hiob erinnern daran, dass Ausharren mit Gottes Mitgefühl und Barmherzigkeit zusammen gesehen werden soll.</x:v>
      </x:c>
      <x:c r="Z1109" s="36" t="str">
        <x:v>JA</x:v>
      </x:c>
      <x:c r="AA1109" s="36" t="str">
        <x:v>JA</x:v>
      </x:c>
      <x:c r="AB1109" s="36" t="str">
        <x:v>JA</x:v>
      </x:c>
      <x:c r="AC1109" s="36" t="str">
        <x:v>JA</x:v>
      </x:c>
      <x:c r="AD1109" s="36" t="str">
        <x:v>JA</x:v>
      </x:c>
      <x:c r="AE1109" s="36" t="str">
        <x:v>JA</x:v>
      </x:c>
      <x:c r="AF1109" s="36" t="str">
        <x:v>JA</x:v>
      </x:c>
      <x:c r="AG1109" s="36" t="str">
        <x:v>FREIGEGEBEN</x:v>
      </x:c>
      <x:c r="AH1109" s="36" t="str">
        <x:v>GPT-5.6 Sol · Sammelprüfung Allgemeine Briefe · L1912/OTB</x:v>
      </x:c>
      <x:c r="AI1109" s="36" t="str">
        <x:v>FREIGEGEBEN</x:v>
      </x:c>
      <x:c r="AJ1109" s="36" t="str">
        <x:v>Jakobus 5: neue textnahe VORBILD-Frage redaktionell freigegeben.</x:v>
      </x:c>
      <x:c r="AK1109" s="36" t="str">
        <x:v>FaithPath repo develop/v4 · data/bibles/l1912/JAS.json · data/bibles/otb/JAS.json</x:v>
      </x:c>
      <x:c r="AL1109" t="str">
        <x:v>JA</x:v>
      </x:c>
    </x:row>
    <x:row r="1110">
      <x:c r="A1110" t="str">
        <x:v>FP-1369</x:v>
      </x:c>
      <x:c r="B1110" t="str">
        <x:v>JAS</x:v>
      </x:c>
      <x:c r="C1110" t="str">
        <x:v>Jakobus</x:v>
      </x:c>
      <x:c r="D1110" t="n">
        <x:v>5</x:v>
      </x:c>
      <x:c r="E1110" t="n">
        <x:v>4</x:v>
      </x:c>
      <x:c r="F1110" t="str">
        <x:v>JAS-005</x:v>
      </x:c>
      <x:c r="G1110" t="n">
        <x:v>222</x:v>
      </x:c>
      <x:c r="H1110" t="str">
        <x:v>CQ-A20-26</x:v>
      </x:c>
      <x:c r="I1110" s="36" t="str">
        <x:v>Bestandsfrage: exakter Wortlaut in diesem Arbeitsschritt nicht rekonstruiert.</x:v>
      </x:c>
      <x:c r="J1110" s="36"/>
      <x:c r="K1110" s="36"/>
      <x:c r="L1110" s="36" t="str">
        <x:v>MASTER_STATUS_VERIFIZIERT</x:v>
      </x:c>
      <x:c r="M1110" s="36" t="str">
        <x:v>ERSETZEN</x:v>
      </x:c>
      <x:c r="N1110" s="36" t="str">
        <x:v>BESTAND_NOCH_NICHT_GEPRÜFT</x:v>
      </x:c>
      <x:c r="O1110" s="36" t="str">
        <x:v>DIDAKTISCHE_NEUFASSUNG</x:v>
      </x:c>
      <x:c r="P1110" s="36" t="str">
        <x:v>GEBET</x:v>
      </x:c>
      <x:c r="Q1110" s="36" t="str">
        <x:v>Wie reagiert Jakobus auf unterschiedliche Lebenslagen wie Leiden, Freude und Krankheit?</x:v>
      </x:c>
      <x:c r="R1110" s="36" t="str">
        <x:v>Mit Schweigen in jeder Situation.</x:v>
      </x:c>
      <x:c r="S1110" s="36" t="str">
        <x:v>Mit Rückzug aus der Gemeinde.</x:v>
      </x:c>
      <x:c r="T1110" s="36" t="str">
        <x:v>Mit der Forderung, Krankheit niemals zu erwähnen.</x:v>
      </x:c>
      <x:c r="U1110" s="36" t="str">
        <x:v>Mit Gebet, Lob und dem Gebet der Ältesten für Kranke.</x:v>
      </x:c>
      <x:c r="V1110" s="36" t="n">
        <x:v>3</x:v>
      </x:c>
      <x:c r="W1110" s="36" t="str">
        <x:v>Mit Gebet, Lob und dem Gebet der Ältesten für Kranke.</x:v>
      </x:c>
      <x:c r="X1110" s="36" t="str">
        <x:v>Jakobus 5,13–16</x:v>
      </x:c>
      <x:c r="Y1110" s="36" t="str">
        <x:v>Der Abschnitt integriert Leiden, Freude, Krankheit, Sündenbekenntnis und Fürbitte in das Gebetsleben der Gemeinde.</x:v>
      </x:c>
      <x:c r="Z1110" s="36" t="str">
        <x:v>JA</x:v>
      </x:c>
      <x:c r="AA1110" s="36" t="str">
        <x:v>JA</x:v>
      </x:c>
      <x:c r="AB1110" s="36" t="str">
        <x:v>JA</x:v>
      </x:c>
      <x:c r="AC1110" s="36" t="str">
        <x:v>JA</x:v>
      </x:c>
      <x:c r="AD1110" s="36" t="str">
        <x:v>JA</x:v>
      </x:c>
      <x:c r="AE1110" s="36" t="str">
        <x:v>JA</x:v>
      </x:c>
      <x:c r="AF1110" s="36" t="str">
        <x:v>JA</x:v>
      </x:c>
      <x:c r="AG1110" s="36" t="str">
        <x:v>FREIGEGEBEN</x:v>
      </x:c>
      <x:c r="AH1110" s="36" t="str">
        <x:v>GPT-5.6 Sol · Sammelprüfung Allgemeine Briefe · L1912/OTB</x:v>
      </x:c>
      <x:c r="AI1110" s="36" t="str">
        <x:v>FREIGEGEBEN</x:v>
      </x:c>
      <x:c r="AJ1110" s="36" t="str">
        <x:v>Jakobus 5: neue textnahe GEBET-Frage redaktionell freigegeben.</x:v>
      </x:c>
      <x:c r="AK1110" s="36" t="str">
        <x:v>FaithPath repo develop/v4 · data/bibles/l1912/JAS.json · data/bibles/otb/JAS.json</x:v>
      </x:c>
      <x:c r="AL1110" t="str">
        <x:v>JA</x:v>
      </x:c>
    </x:row>
    <x:row r="1111">
      <x:c r="A1111" t="str">
        <x:v>FP-1370</x:v>
      </x:c>
      <x:c r="B1111" t="str">
        <x:v>JAS</x:v>
      </x:c>
      <x:c r="C1111" t="str">
        <x:v>Jakobus</x:v>
      </x:c>
      <x:c r="D1111" t="n">
        <x:v>5</x:v>
      </x:c>
      <x:c r="E1111" t="n">
        <x:v>5</x:v>
      </x:c>
      <x:c r="F1111" t="str">
        <x:v>JAS-005</x:v>
      </x:c>
      <x:c r="G1111" t="n">
        <x:v>222</x:v>
      </x:c>
      <x:c r="H1111" t="str">
        <x:v>CQ-A20-26</x:v>
      </x:c>
      <x:c r="I1111" s="36" t="str">
        <x:v>Bestandsfrage: exakter Wortlaut in diesem Arbeitsschritt nicht rekonstruiert.</x:v>
      </x:c>
      <x:c r="J1111" s="36"/>
      <x:c r="K1111" s="36"/>
      <x:c r="L1111" s="36" t="str">
        <x:v>MASTER_STATUS_VERIFIZIERT</x:v>
      </x:c>
      <x:c r="M1111" s="36" t="str">
        <x:v>ERSETZEN</x:v>
      </x:c>
      <x:c r="N1111" s="36" t="str">
        <x:v>BESTAND_NOCH_NICHT_GEPRÜFT</x:v>
      </x:c>
      <x:c r="O1111" s="36" t="str">
        <x:v>DIDAKTISCHE_NEUFASSUNG</x:v>
      </x:c>
      <x:c r="P1111" s="36" t="str">
        <x:v>WIEDERHERSTELLUNG</x:v>
      </x:c>
      <x:c r="Q1111" s="36" t="str">
        <x:v>Welche Bedeutung hat es, jemanden zurückzuführen, der von der Wahrheit abgeirrt ist?</x:v>
      </x:c>
      <x:c r="R1111" s="36" t="str">
        <x:v>Es wird als Rettung vom Weg des Todes und als Bedeckung vieler Sünden beschrieben.</x:v>
      </x:c>
      <x:c r="S1111" s="36" t="str">
        <x:v>Es ist grundsätzlich unerlaubte Einmischung.</x:v>
      </x:c>
      <x:c r="T1111" s="36" t="str">
        <x:v>Es betrifft nur Gemeindeleiter.</x:v>
      </x:c>
      <x:c r="U1111" s="36" t="str">
        <x:v>Es macht persönliche Umkehr überflüssig.</x:v>
      </x:c>
      <x:c r="V1111" s="36" t="n">
        <x:v>0</x:v>
      </x:c>
      <x:c r="W1111" s="36" t="str">
        <x:v>Es wird als Rettung vom Weg des Todes und als Bedeckung vieler Sünden beschrieben.</x:v>
      </x:c>
      <x:c r="X1111" s="36" t="str">
        <x:v>Jakobus 5,19–20</x:v>
      </x:c>
      <x:c r="Y1111" s="36" t="str">
        <x:v>Der Brief endet mit dem Wert liebevoller Wiederherstellung statt gleichgültigem Zuschauen beim Abirren.</x:v>
      </x:c>
      <x:c r="Z1111" s="36" t="str">
        <x:v>JA</x:v>
      </x:c>
      <x:c r="AA1111" s="36" t="str">
        <x:v>JA</x:v>
      </x:c>
      <x:c r="AB1111" s="36" t="str">
        <x:v>JA</x:v>
      </x:c>
      <x:c r="AC1111" s="36" t="str">
        <x:v>JA</x:v>
      </x:c>
      <x:c r="AD1111" s="36" t="str">
        <x:v>JA</x:v>
      </x:c>
      <x:c r="AE1111" s="36" t="str">
        <x:v>JA</x:v>
      </x:c>
      <x:c r="AF1111" s="36" t="str">
        <x:v>JA</x:v>
      </x:c>
      <x:c r="AG1111" s="36" t="str">
        <x:v>FREIGEGEBEN</x:v>
      </x:c>
      <x:c r="AH1111" s="36" t="str">
        <x:v>GPT-5.6 Sol · Sammelprüfung Allgemeine Briefe · L1912/OTB</x:v>
      </x:c>
      <x:c r="AI1111" s="36" t="str">
        <x:v>FREIGEGEBEN</x:v>
      </x:c>
      <x:c r="AJ1111" s="36" t="str">
        <x:v>Jakobus 5: neue textnahe WIEDERHERSTELLUNG-Frage redaktionell freigegeben.</x:v>
      </x:c>
      <x:c r="AK1111" s="36" t="str">
        <x:v>FaithPath repo develop/v4 · data/bibles/l1912/JAS.json · data/bibles/otb/JAS.json</x:v>
      </x:c>
      <x:c r="AL1111" t="str">
        <x:v>JA</x:v>
      </x:c>
    </x:row>
    <x:row r="1112">
      <x:c r="A1112" t="str">
        <x:v>FP-1371</x:v>
      </x:c>
      <x:c r="B1112" t="str">
        <x:v>1PE</x:v>
      </x:c>
      <x:c r="C1112" t="str">
        <x:v>1. Petrus</x:v>
      </x:c>
      <x:c r="D1112" t="n">
        <x:v>1</x:v>
      </x:c>
      <x:c r="E1112" t="n">
        <x:v>1</x:v>
      </x:c>
      <x:c r="F1112" t="str">
        <x:v>1PE-001</x:v>
      </x:c>
      <x:c r="G1112" t="n">
        <x:v>223</x:v>
      </x:c>
      <x:c r="H1112" t="str">
        <x:v>CQ-A20-26</x:v>
      </x:c>
      <x:c r="I1112" s="36" t="str">
        <x:v>Bestandsfrage: exakter Wortlaut in diesem Arbeitsschritt nicht rekonstruiert.</x:v>
      </x:c>
      <x:c r="J1112" s="36"/>
      <x:c r="K1112" s="36"/>
      <x:c r="L1112" s="36" t="str">
        <x:v>MASTER_STATUS_VERIFIZIERT</x:v>
      </x:c>
      <x:c r="M1112" s="36" t="str">
        <x:v>ERSETZEN</x:v>
      </x:c>
      <x:c r="N1112" s="36" t="str">
        <x:v>BESTAND_NOCH_NICHT_GEPRÜFT</x:v>
      </x:c>
      <x:c r="O1112" s="36" t="str">
        <x:v>DIDAKTISCHE_NEUFASSUNG</x:v>
      </x:c>
      <x:c r="P1112" s="36" t="str">
        <x:v>HOFFNUNG</x:v>
      </x:c>
      <x:c r="Q1112" s="36" t="str">
        <x:v>Wodurch sind die Glaubenden nach 1. Petrus 1 zu einer lebendigen Hoffnung wiedergeboren?</x:v>
      </x:c>
      <x:c r="R1112" s="36" t="str">
        <x:v>Durch politischen Frieden.</x:v>
      </x:c>
      <x:c r="S1112" s="36" t="str">
        <x:v>Durch die Auferstehung Jesu Christi von den Toten.</x:v>
      </x:c>
      <x:c r="T1112" s="36" t="str">
        <x:v>Durch materiellen Besitz.</x:v>
      </x:c>
      <x:c r="U1112" s="36" t="str">
        <x:v>Durch ihre eigene Fehlerlosigkeit.</x:v>
      </x:c>
      <x:c r="V1112" s="36" t="n">
        <x:v>1</x:v>
      </x:c>
      <x:c r="W1112" s="36" t="str">
        <x:v>Durch die Auferstehung Jesu Christi von den Toten.</x:v>
      </x:c>
      <x:c r="X1112" s="36" t="str">
        <x:v>1. Petrus 1,3–5</x:v>
      </x:c>
      <x:c r="Y1112" s="36" t="str">
        <x:v>Die lebendige Hoffnung gründet in Gottes Barmherzigkeit und in der Auferstehung Jesu, nicht in vergänglichen Sicherheiten.</x:v>
      </x:c>
      <x:c r="Z1112" s="36" t="str">
        <x:v>JA</x:v>
      </x:c>
      <x:c r="AA1112" s="36" t="str">
        <x:v>JA</x:v>
      </x:c>
      <x:c r="AB1112" s="36" t="str">
        <x:v>JA</x:v>
      </x:c>
      <x:c r="AC1112" s="36" t="str">
        <x:v>JA</x:v>
      </x:c>
      <x:c r="AD1112" s="36" t="str">
        <x:v>JA</x:v>
      </x:c>
      <x:c r="AE1112" s="36" t="str">
        <x:v>JA</x:v>
      </x:c>
      <x:c r="AF1112" s="36" t="str">
        <x:v>JA</x:v>
      </x:c>
      <x:c r="AG1112" s="36" t="str">
        <x:v>FREIGEGEBEN</x:v>
      </x:c>
      <x:c r="AH1112" s="36" t="str">
        <x:v>GPT-5.6 Sol · Sammelprüfung Allgemeine Briefe · L1912/OTB</x:v>
      </x:c>
      <x:c r="AI1112" s="36" t="str">
        <x:v>FREIGEGEBEN</x:v>
      </x:c>
      <x:c r="AJ1112" s="36" t="str">
        <x:v>1. Petrus 1: neue textnahe HOFFNUNG-Frage redaktionell freigegeben.</x:v>
      </x:c>
      <x:c r="AK1112" s="36" t="str">
        <x:v>FaithPath repo develop/v4 · data/bibles/l1912/1PE.json · data/bibles/otb/1PE.json</x:v>
      </x:c>
      <x:c r="AL1112" t="str">
        <x:v>JA</x:v>
      </x:c>
    </x:row>
    <x:row r="1113">
      <x:c r="A1113" t="str">
        <x:v>FP-1372</x:v>
      </x:c>
      <x:c r="B1113" t="str">
        <x:v>1PE</x:v>
      </x:c>
      <x:c r="C1113" t="str">
        <x:v>1. Petrus</x:v>
      </x:c>
      <x:c r="D1113" t="n">
        <x:v>1</x:v>
      </x:c>
      <x:c r="E1113" t="n">
        <x:v>2</x:v>
      </x:c>
      <x:c r="F1113" t="str">
        <x:v>1PE-001</x:v>
      </x:c>
      <x:c r="G1113" t="n">
        <x:v>223</x:v>
      </x:c>
      <x:c r="H1113" t="str">
        <x:v>CQ-A20-26</x:v>
      </x:c>
      <x:c r="I1113" s="36" t="str">
        <x:v>Bestandsfrage: exakter Wortlaut in diesem Arbeitsschritt nicht rekonstruiert.</x:v>
      </x:c>
      <x:c r="J1113" s="36"/>
      <x:c r="K1113" s="36"/>
      <x:c r="L1113" s="36" t="str">
        <x:v>MASTER_STATUS_VERIFIZIERT</x:v>
      </x:c>
      <x:c r="M1113" s="36" t="str">
        <x:v>ERSETZEN</x:v>
      </x:c>
      <x:c r="N1113" s="36" t="str">
        <x:v>BESTAND_NOCH_NICHT_GEPRÜFT</x:v>
      </x:c>
      <x:c r="O1113" s="36" t="str">
        <x:v>DIDAKTISCHE_NEUFASSUNG</x:v>
      </x:c>
      <x:c r="P1113" s="36" t="str">
        <x:v>PRÜFUNG</x:v>
      </x:c>
      <x:c r="Q1113" s="36" t="str">
        <x:v>Welche mögliche Wirkung haben verschiedene Prüfungen des Glaubens?</x:v>
      </x:c>
      <x:c r="R1113" s="36" t="str">
        <x:v>Sie beweisen automatisch mangelnden Glauben.</x:v>
      </x:c>
      <x:c r="S1113" s="36" t="str">
        <x:v>Sie machen Hoffnung grundsätzlich unmöglich.</x:v>
      </x:c>
      <x:c r="T1113" s="36" t="str">
        <x:v>Der bewährte Glaube kann sich als kostbarer als vergängliches Gold erweisen und zu Lob und Herrlichkeit führen.</x:v>
      </x:c>
      <x:c r="U1113" s="36" t="str">
        <x:v>Sie ersetzen die Rettung.</x:v>
      </x:c>
      <x:c r="V1113" s="36" t="n">
        <x:v>2</x:v>
      </x:c>
      <x:c r="W1113" s="36" t="str">
        <x:v>Der bewährte Glaube kann sich als kostbarer als vergängliches Gold erweisen und zu Lob und Herrlichkeit führen.</x:v>
      </x:c>
      <x:c r="X1113" s="36" t="str">
        <x:v>1. Petrus 1,6–7</x:v>
      </x:c>
      <x:c r="Y1113" s="36" t="str">
        <x:v>Petrus erkennt die Traurigkeit von Prüfungen an, deutet Bewährung aber im Licht der Offenbarung Jesu.</x:v>
      </x:c>
      <x:c r="Z1113" s="36" t="str">
        <x:v>JA</x:v>
      </x:c>
      <x:c r="AA1113" s="36" t="str">
        <x:v>JA</x:v>
      </x:c>
      <x:c r="AB1113" s="36" t="str">
        <x:v>JA</x:v>
      </x:c>
      <x:c r="AC1113" s="36" t="str">
        <x:v>JA</x:v>
      </x:c>
      <x:c r="AD1113" s="36" t="str">
        <x:v>JA</x:v>
      </x:c>
      <x:c r="AE1113" s="36" t="str">
        <x:v>JA</x:v>
      </x:c>
      <x:c r="AF1113" s="36" t="str">
        <x:v>JA</x:v>
      </x:c>
      <x:c r="AG1113" s="36" t="str">
        <x:v>FREIGEGEBEN</x:v>
      </x:c>
      <x:c r="AH1113" s="36" t="str">
        <x:v>GPT-5.6 Sol · Sammelprüfung Allgemeine Briefe · L1912/OTB</x:v>
      </x:c>
      <x:c r="AI1113" s="36" t="str">
        <x:v>FREIGEGEBEN</x:v>
      </x:c>
      <x:c r="AJ1113" s="36" t="str">
        <x:v>1. Petrus 1: neue textnahe PRÜFUNG-Frage redaktionell freigegeben.</x:v>
      </x:c>
      <x:c r="AK1113" s="36" t="str">
        <x:v>FaithPath repo develop/v4 · data/bibles/l1912/1PE.json · data/bibles/otb/1PE.json</x:v>
      </x:c>
      <x:c r="AL1113" t="str">
        <x:v>JA</x:v>
      </x:c>
    </x:row>
    <x:row r="1114">
      <x:c r="A1114" t="str">
        <x:v>FP-1373</x:v>
      </x:c>
      <x:c r="B1114" t="str">
        <x:v>1PE</x:v>
      </x:c>
      <x:c r="C1114" t="str">
        <x:v>1. Petrus</x:v>
      </x:c>
      <x:c r="D1114" t="n">
        <x:v>1</x:v>
      </x:c>
      <x:c r="E1114" t="n">
        <x:v>3</x:v>
      </x:c>
      <x:c r="F1114" t="str">
        <x:v>1PE-001</x:v>
      </x:c>
      <x:c r="G1114" t="n">
        <x:v>223</x:v>
      </x:c>
      <x:c r="H1114" t="str">
        <x:v>CQ-A20-26</x:v>
      </x:c>
      <x:c r="I1114" s="36" t="str">
        <x:v>Bestandsfrage: exakter Wortlaut in diesem Arbeitsschritt nicht rekonstruiert.</x:v>
      </x:c>
      <x:c r="J1114" s="36"/>
      <x:c r="K1114" s="36"/>
      <x:c r="L1114" s="36" t="str">
        <x:v>MASTER_STATUS_VERIFIZIERT</x:v>
      </x:c>
      <x:c r="M1114" s="36" t="str">
        <x:v>ERSETZEN</x:v>
      </x:c>
      <x:c r="N1114" s="36" t="str">
        <x:v>BESTAND_NOCH_NICHT_GEPRÜFT</x:v>
      </x:c>
      <x:c r="O1114" s="36" t="str">
        <x:v>DIDAKTISCHE_NEUFASSUNG</x:v>
      </x:c>
      <x:c r="P1114" s="36" t="str">
        <x:v>HOFFNUNG_UND_HEILIGKEIT</x:v>
      </x:c>
      <x:c r="Q1114" s="36" t="str">
        <x:v>Welche praktische Antwort folgt auf die Hoffnung der Rettung?</x:v>
      </x:c>
      <x:c r="R1114" s="36" t="str">
        <x:v>Sich von allen Menschen isolieren.</x:v>
      </x:c>
      <x:c r="S1114" s="36" t="str">
        <x:v>Jede Verantwortung bis zur Wiederkunft aufschieben.</x:v>
      </x:c>
      <x:c r="T1114" s="36" t="str">
        <x:v>Nur äußere Regeln erfüllen.</x:v>
      </x:c>
      <x:c r="U1114" s="36" t="str">
        <x:v>Nüchtern hoffen und im ganzen Lebenswandel heilig leben.</x:v>
      </x:c>
      <x:c r="V1114" s="36" t="n">
        <x:v>3</x:v>
      </x:c>
      <x:c r="W1114" s="36" t="str">
        <x:v>Nüchtern hoffen und im ganzen Lebenswandel heilig leben.</x:v>
      </x:c>
      <x:c r="X1114" s="36" t="str">
        <x:v>1. Petrus 1,13–16</x:v>
      </x:c>
      <x:c r="Y1114" s="36" t="str">
        <x:v>Zukunftshoffnung wird mit gegenwärtiger Heiligkeit verbunden: Gottes Charakter prägt den Lebenswandel.</x:v>
      </x:c>
      <x:c r="Z1114" s="36" t="str">
        <x:v>JA</x:v>
      </x:c>
      <x:c r="AA1114" s="36" t="str">
        <x:v>JA</x:v>
      </x:c>
      <x:c r="AB1114" s="36" t="str">
        <x:v>JA</x:v>
      </x:c>
      <x:c r="AC1114" s="36" t="str">
        <x:v>JA</x:v>
      </x:c>
      <x:c r="AD1114" s="36" t="str">
        <x:v>JA</x:v>
      </x:c>
      <x:c r="AE1114" s="36" t="str">
        <x:v>JA</x:v>
      </x:c>
      <x:c r="AF1114" s="36" t="str">
        <x:v>JA</x:v>
      </x:c>
      <x:c r="AG1114" s="36" t="str">
        <x:v>FREIGEGEBEN</x:v>
      </x:c>
      <x:c r="AH1114" s="36" t="str">
        <x:v>GPT-5.6 Sol · Sammelprüfung Allgemeine Briefe · L1912/OTB</x:v>
      </x:c>
      <x:c r="AI1114" s="36" t="str">
        <x:v>FREIGEGEBEN</x:v>
      </x:c>
      <x:c r="AJ1114" s="36" t="str">
        <x:v>1. Petrus 1: neue textnahe HOFFNUNG_UND_HEILIGKEIT-Frage redaktionell freigegeben.</x:v>
      </x:c>
      <x:c r="AK1114" s="36" t="str">
        <x:v>FaithPath repo develop/v4 · data/bibles/l1912/1PE.json · data/bibles/otb/1PE.json</x:v>
      </x:c>
      <x:c r="AL1114" t="str">
        <x:v>JA</x:v>
      </x:c>
    </x:row>
    <x:row r="1115">
      <x:c r="A1115" t="str">
        <x:v>FP-1374</x:v>
      </x:c>
      <x:c r="B1115" t="str">
        <x:v>1PE</x:v>
      </x:c>
      <x:c r="C1115" t="str">
        <x:v>1. Petrus</x:v>
      </x:c>
      <x:c r="D1115" t="n">
        <x:v>1</x:v>
      </x:c>
      <x:c r="E1115" t="n">
        <x:v>4</x:v>
      </x:c>
      <x:c r="F1115" t="str">
        <x:v>1PE-001</x:v>
      </x:c>
      <x:c r="G1115" t="n">
        <x:v>223</x:v>
      </x:c>
      <x:c r="H1115" t="str">
        <x:v>CQ-A20-26</x:v>
      </x:c>
      <x:c r="I1115" s="36" t="str">
        <x:v>Bestandsfrage: exakter Wortlaut in diesem Arbeitsschritt nicht rekonstruiert.</x:v>
      </x:c>
      <x:c r="J1115" s="36"/>
      <x:c r="K1115" s="36"/>
      <x:c r="L1115" s="36" t="str">
        <x:v>MASTER_STATUS_VERIFIZIERT</x:v>
      </x:c>
      <x:c r="M1115" s="36" t="str">
        <x:v>ERSETZEN</x:v>
      </x:c>
      <x:c r="N1115" s="36" t="str">
        <x:v>BESTAND_NOCH_NICHT_GEPRÜFT</x:v>
      </x:c>
      <x:c r="O1115" s="36" t="str">
        <x:v>DIDAKTISCHE_NEUFASSUNG</x:v>
      </x:c>
      <x:c r="P1115" s="36" t="str">
        <x:v>ERLÖSUNG</x:v>
      </x:c>
      <x:c r="Q1115" s="36" t="str">
        <x:v>Womit wurden die Glaubenden nach Petrus nicht erlöst, und womit stattdessen?</x:v>
      </x:c>
      <x:c r="R1115" s="36" t="str">
        <x:v>Nicht mit Silber oder Gold, sondern mit dem kostbaren Blut Christi.</x:v>
      </x:c>
      <x:c r="S1115" s="36" t="str">
        <x:v>Nicht mit Gebet, sondern mit politischem Einfluss.</x:v>
      </x:c>
      <x:c r="T1115" s="36" t="str">
        <x:v>Nicht mit Glauben, sondern mit Abstammung.</x:v>
      </x:c>
      <x:c r="U1115" s="36" t="str">
        <x:v>Nicht mit Hoffnung, sondern mit Besitz.</x:v>
      </x:c>
      <x:c r="V1115" s="36" t="n">
        <x:v>0</x:v>
      </x:c>
      <x:c r="W1115" s="36" t="str">
        <x:v>Nicht mit Silber oder Gold, sondern mit dem kostbaren Blut Christi.</x:v>
      </x:c>
      <x:c r="X1115" s="36" t="str">
        <x:v>1. Petrus 1,17–21</x:v>
      </x:c>
      <x:c r="Y1115" s="36" t="str">
        <x:v>Petrus kontrastiert vergängliche Werte mit dem kostbaren Blut Christi als Grundlage der Erlösung.</x:v>
      </x:c>
      <x:c r="Z1115" s="36" t="str">
        <x:v>JA</x:v>
      </x:c>
      <x:c r="AA1115" s="36" t="str">
        <x:v>JA</x:v>
      </x:c>
      <x:c r="AB1115" s="36" t="str">
        <x:v>JA</x:v>
      </x:c>
      <x:c r="AC1115" s="36" t="str">
        <x:v>JA</x:v>
      </x:c>
      <x:c r="AD1115" s="36" t="str">
        <x:v>JA</x:v>
      </x:c>
      <x:c r="AE1115" s="36" t="str">
        <x:v>JA</x:v>
      </x:c>
      <x:c r="AF1115" s="36" t="str">
        <x:v>JA</x:v>
      </x:c>
      <x:c r="AG1115" s="36" t="str">
        <x:v>FREIGEGEBEN</x:v>
      </x:c>
      <x:c r="AH1115" s="36" t="str">
        <x:v>GPT-5.6 Sol · Sammelprüfung Allgemeine Briefe · L1912/OTB</x:v>
      </x:c>
      <x:c r="AI1115" s="36" t="str">
        <x:v>FREIGEGEBEN</x:v>
      </x:c>
      <x:c r="AJ1115" s="36" t="str">
        <x:v>1. Petrus 1: neue textnahe ERLÖSUNG-Frage redaktionell freigegeben.</x:v>
      </x:c>
      <x:c r="AK1115" s="36" t="str">
        <x:v>FaithPath repo develop/v4 · data/bibles/l1912/1PE.json · data/bibles/otb/1PE.json</x:v>
      </x:c>
      <x:c r="AL1115" t="str">
        <x:v>JA</x:v>
      </x:c>
    </x:row>
    <x:row r="1116">
      <x:c r="A1116" t="str">
        <x:v>FP-1375</x:v>
      </x:c>
      <x:c r="B1116" t="str">
        <x:v>1PE</x:v>
      </x:c>
      <x:c r="C1116" t="str">
        <x:v>1. Petrus</x:v>
      </x:c>
      <x:c r="D1116" t="n">
        <x:v>1</x:v>
      </x:c>
      <x:c r="E1116" t="n">
        <x:v>5</x:v>
      </x:c>
      <x:c r="F1116" t="str">
        <x:v>1PE-001</x:v>
      </x:c>
      <x:c r="G1116" t="n">
        <x:v>223</x:v>
      </x:c>
      <x:c r="H1116" t="str">
        <x:v>CQ-A20-26</x:v>
      </x:c>
      <x:c r="I1116" s="36" t="str">
        <x:v>Bestandsfrage: exakter Wortlaut in diesem Arbeitsschritt nicht rekonstruiert.</x:v>
      </x:c>
      <x:c r="J1116" s="36"/>
      <x:c r="K1116" s="36"/>
      <x:c r="L1116" s="36" t="str">
        <x:v>MASTER_STATUS_VERIFIZIERT</x:v>
      </x:c>
      <x:c r="M1116" s="36" t="str">
        <x:v>ERSETZEN</x:v>
      </x:c>
      <x:c r="N1116" s="36" t="str">
        <x:v>BESTAND_NOCH_NICHT_GEPRÜFT</x:v>
      </x:c>
      <x:c r="O1116" s="36" t="str">
        <x:v>DIDAKTISCHE_NEUFASSUNG</x:v>
      </x:c>
      <x:c r="P1116" s="36" t="str">
        <x:v>BRUDERLIEBE</x:v>
      </x:c>
      <x:c r="Q1116" s="36" t="str">
        <x:v>Welche Folge verbindet Petrus mit dem Gehorsam gegenüber der Wahrheit?</x:v>
      </x:c>
      <x:c r="R1116" s="36" t="str">
        <x:v>Wettbewerb um geistlichen Rang.</x:v>
      </x:c>
      <x:c r="S1116" s="36" t="str">
        <x:v>Aufrichtige Bruderliebe und innige Liebe zueinander aus reinem Herzen.</x:v>
      </x:c>
      <x:c r="T1116" s="36" t="str">
        <x:v>Gleichgültigkeit gegenüber anderen Glaubenden.</x:v>
      </x:c>
      <x:c r="U1116" s="36" t="str">
        <x:v>Rückzug aus jeder Gemeinschaft.</x:v>
      </x:c>
      <x:c r="V1116" s="36" t="n">
        <x:v>1</x:v>
      </x:c>
      <x:c r="W1116" s="36" t="str">
        <x:v>Aufrichtige Bruderliebe und innige Liebe zueinander aus reinem Herzen.</x:v>
      </x:c>
      <x:c r="X1116" s="36" t="str">
        <x:v>1. Petrus 1,22–25</x:v>
      </x:c>
      <x:c r="Y1116" s="36" t="str">
        <x:v>Wiedergeburt durch Gottes bleibendes Wort soll sich in echter, intensiver Liebe innerhalb der Gemeinschaft zeigen.</x:v>
      </x:c>
      <x:c r="Z1116" s="36" t="str">
        <x:v>JA</x:v>
      </x:c>
      <x:c r="AA1116" s="36" t="str">
        <x:v>JA</x:v>
      </x:c>
      <x:c r="AB1116" s="36" t="str">
        <x:v>JA</x:v>
      </x:c>
      <x:c r="AC1116" s="36" t="str">
        <x:v>JA</x:v>
      </x:c>
      <x:c r="AD1116" s="36" t="str">
        <x:v>JA</x:v>
      </x:c>
      <x:c r="AE1116" s="36" t="str">
        <x:v>JA</x:v>
      </x:c>
      <x:c r="AF1116" s="36" t="str">
        <x:v>JA</x:v>
      </x:c>
      <x:c r="AG1116" s="36" t="str">
        <x:v>FREIGEGEBEN</x:v>
      </x:c>
      <x:c r="AH1116" s="36" t="str">
        <x:v>GPT-5.6 Sol · Sammelprüfung Allgemeine Briefe · L1912/OTB</x:v>
      </x:c>
      <x:c r="AI1116" s="36" t="str">
        <x:v>FREIGEGEBEN</x:v>
      </x:c>
      <x:c r="AJ1116" s="36" t="str">
        <x:v>1. Petrus 1: neue textnahe BRUDERLIEBE-Frage redaktionell freigegeben.</x:v>
      </x:c>
      <x:c r="AK1116" s="36" t="str">
        <x:v>FaithPath repo develop/v4 · data/bibles/l1912/1PE.json · data/bibles/otb/1PE.json</x:v>
      </x:c>
      <x:c r="AL1116" t="str">
        <x:v>JA</x:v>
      </x:c>
    </x:row>
    <x:row r="1117">
      <x:c r="A1117" t="str">
        <x:v>FP-1376</x:v>
      </x:c>
      <x:c r="B1117" t="str">
        <x:v>1PE</x:v>
      </x:c>
      <x:c r="C1117" t="str">
        <x:v>1. Petrus</x:v>
      </x:c>
      <x:c r="D1117" t="n">
        <x:v>2</x:v>
      </x:c>
      <x:c r="E1117" t="n">
        <x:v>1</x:v>
      </x:c>
      <x:c r="F1117" t="str">
        <x:v>1PE-002</x:v>
      </x:c>
      <x:c r="G1117" t="n">
        <x:v>224</x:v>
      </x:c>
      <x:c r="H1117" t="str">
        <x:v>CQ-A20-26</x:v>
      </x:c>
      <x:c r="I1117" s="36" t="str">
        <x:v>Bestandsfrage: exakter Wortlaut in diesem Arbeitsschritt nicht rekonstruiert.</x:v>
      </x:c>
      <x:c r="J1117" s="36"/>
      <x:c r="K1117" s="36"/>
      <x:c r="L1117" s="36" t="str">
        <x:v>MASTER_STATUS_VERIFIZIERT</x:v>
      </x:c>
      <x:c r="M1117" s="36" t="str">
        <x:v>ERSETZEN</x:v>
      </x:c>
      <x:c r="N1117" s="36" t="str">
        <x:v>BESTAND_NOCH_NICHT_GEPRÜFT</x:v>
      </x:c>
      <x:c r="O1117" s="36" t="str">
        <x:v>DIDAKTISCHE_NEUFASSUNG</x:v>
      </x:c>
      <x:c r="P1117" s="36" t="str">
        <x:v>WACHSTUM</x:v>
      </x:c>
      <x:c r="Q1117" s="36" t="str">
        <x:v>Wonach sollen Glaubende wie neugeborene Kinder verlangen?</x:v>
      </x:c>
      <x:c r="R1117" s="36" t="str">
        <x:v>Nach religiöser Anerkennung.</x:v>
      </x:c>
      <x:c r="S1117" s="36" t="str">
        <x:v>Nach möglichst vielen Streitfragen.</x:v>
      </x:c>
      <x:c r="T1117" s="36" t="str">
        <x:v>Nach unverfälschter geistlicher Milch, damit sie zur Rettung wachsen.</x:v>
      </x:c>
      <x:c r="U1117" s="36" t="str">
        <x:v>Nach gesellschaftlicher Macht.</x:v>
      </x:c>
      <x:c r="V1117" s="36" t="n">
        <x:v>2</x:v>
      </x:c>
      <x:c r="W1117" s="36" t="str">
        <x:v>Nach unverfälschter geistlicher Milch, damit sie zur Rettung wachsen.</x:v>
      </x:c>
      <x:c r="X1117" s="36" t="str">
        <x:v>1. Petrus 2,1–3</x:v>
      </x:c>
      <x:c r="Y1117" s="36" t="str">
        <x:v>Nachdem Bosheit, Betrug, Heuchelei, Neid und Verleumdung abgelegt werden sollen, beschreibt Petrus einen Hunger nach geistlicher Nahrung.</x:v>
      </x:c>
      <x:c r="Z1117" s="36" t="str">
        <x:v>JA</x:v>
      </x:c>
      <x:c r="AA1117" s="36" t="str">
        <x:v>JA</x:v>
      </x:c>
      <x:c r="AB1117" s="36" t="str">
        <x:v>JA</x:v>
      </x:c>
      <x:c r="AC1117" s="36" t="str">
        <x:v>JA</x:v>
      </x:c>
      <x:c r="AD1117" s="36" t="str">
        <x:v>JA</x:v>
      </x:c>
      <x:c r="AE1117" s="36" t="str">
        <x:v>JA</x:v>
      </x:c>
      <x:c r="AF1117" s="36" t="str">
        <x:v>JA</x:v>
      </x:c>
      <x:c r="AG1117" s="36" t="str">
        <x:v>FREIGEGEBEN</x:v>
      </x:c>
      <x:c r="AH1117" s="36" t="str">
        <x:v>GPT-5.6 Sol · Sammelprüfung Allgemeine Briefe · L1912/OTB</x:v>
      </x:c>
      <x:c r="AI1117" s="36" t="str">
        <x:v>FREIGEGEBEN</x:v>
      </x:c>
      <x:c r="AJ1117" s="36" t="str">
        <x:v>1. Petrus 2: neue textnahe WACHSTUM-Frage redaktionell freigegeben.</x:v>
      </x:c>
      <x:c r="AK1117" s="36" t="str">
        <x:v>FaithPath repo develop/v4 · data/bibles/l1912/1PE.json · data/bibles/otb/1PE.json</x:v>
      </x:c>
      <x:c r="AL1117" t="str">
        <x:v>JA</x:v>
      </x:c>
    </x:row>
    <x:row r="1118">
      <x:c r="A1118" t="str">
        <x:v>FP-1377</x:v>
      </x:c>
      <x:c r="B1118" t="str">
        <x:v>1PE</x:v>
      </x:c>
      <x:c r="C1118" t="str">
        <x:v>1. Petrus</x:v>
      </x:c>
      <x:c r="D1118" t="n">
        <x:v>2</x:v>
      </x:c>
      <x:c r="E1118" t="n">
        <x:v>2</x:v>
      </x:c>
      <x:c r="F1118" t="str">
        <x:v>1PE-002</x:v>
      </x:c>
      <x:c r="G1118" t="n">
        <x:v>224</x:v>
      </x:c>
      <x:c r="H1118" t="str">
        <x:v>CQ-A20-26</x:v>
      </x:c>
      <x:c r="I1118" s="36" t="str">
        <x:v>Bestandsfrage: exakter Wortlaut in diesem Arbeitsschritt nicht rekonstruiert.</x:v>
      </x:c>
      <x:c r="J1118" s="36"/>
      <x:c r="K1118" s="36"/>
      <x:c r="L1118" s="36" t="str">
        <x:v>MASTER_STATUS_VERIFIZIERT</x:v>
      </x:c>
      <x:c r="M1118" s="36" t="str">
        <x:v>ERSETZEN</x:v>
      </x:c>
      <x:c r="N1118" s="36" t="str">
        <x:v>BESTAND_NOCH_NICHT_GEPRÜFT</x:v>
      </x:c>
      <x:c r="O1118" s="36" t="str">
        <x:v>DIDAKTISCHE_NEUFASSUNG</x:v>
      </x:c>
      <x:c r="P1118" s="36" t="str">
        <x:v>LEBENDIGE_STEINE</x:v>
      </x:c>
      <x:c r="Q1118" s="36" t="str">
        <x:v>Wie beschreibt Petrus die Glaubenden in ihrer Beziehung zu Christus, dem lebendigen Stein?</x:v>
      </x:c>
      <x:c r="R1118" s="36" t="str">
        <x:v>Als voneinander unabhängige Tempel ohne Gemeinschaft.</x:v>
      </x:c>
      <x:c r="S1118" s="36" t="str">
        <x:v>Als Ersatz für Christus.</x:v>
      </x:c>
      <x:c r="T1118" s="36" t="str">
        <x:v>Als politische Priesterschaft.</x:v>
      </x:c>
      <x:c r="U1118" s="36" t="str">
        <x:v>Als lebendige Steine, die zu einem geistlichen Haus und heiligen Priestertum aufgebaut werden.</x:v>
      </x:c>
      <x:c r="V1118" s="36" t="n">
        <x:v>3</x:v>
      </x:c>
      <x:c r="W1118" s="36" t="str">
        <x:v>Als lebendige Steine, die zu einem geistlichen Haus und heiligen Priestertum aufgebaut werden.</x:v>
      </x:c>
      <x:c r="X1118" s="36" t="str">
        <x:v>1. Petrus 2,4–5</x:v>
      </x:c>
      <x:c r="Y1118" s="36" t="str">
        <x:v>Das Bild verbindet Christus als lebendigen Stein mit der gemeinschaftlichen Identität der Glaubenden.</x:v>
      </x:c>
      <x:c r="Z1118" s="36" t="str">
        <x:v>JA</x:v>
      </x:c>
      <x:c r="AA1118" s="36" t="str">
        <x:v>JA</x:v>
      </x:c>
      <x:c r="AB1118" s="36" t="str">
        <x:v>JA</x:v>
      </x:c>
      <x:c r="AC1118" s="36" t="str">
        <x:v>JA</x:v>
      </x:c>
      <x:c r="AD1118" s="36" t="str">
        <x:v>JA</x:v>
      </x:c>
      <x:c r="AE1118" s="36" t="str">
        <x:v>JA</x:v>
      </x:c>
      <x:c r="AF1118" s="36" t="str">
        <x:v>JA</x:v>
      </x:c>
      <x:c r="AG1118" s="36" t="str">
        <x:v>FREIGEGEBEN</x:v>
      </x:c>
      <x:c r="AH1118" s="36" t="str">
        <x:v>GPT-5.6 Sol · Sammelprüfung Allgemeine Briefe · L1912/OTB</x:v>
      </x:c>
      <x:c r="AI1118" s="36" t="str">
        <x:v>FREIGEGEBEN</x:v>
      </x:c>
      <x:c r="AJ1118" s="36" t="str">
        <x:v>1. Petrus 2: neue textnahe LEBENDIGE_STEINE-Frage redaktionell freigegeben.</x:v>
      </x:c>
      <x:c r="AK1118" s="36" t="str">
        <x:v>FaithPath repo develop/v4 · data/bibles/l1912/1PE.json · data/bibles/otb/1PE.json</x:v>
      </x:c>
      <x:c r="AL1118" t="str">
        <x:v>JA</x:v>
      </x:c>
    </x:row>
    <x:row r="1119">
      <x:c r="A1119" t="str">
        <x:v>FP-1378</x:v>
      </x:c>
      <x:c r="B1119" t="str">
        <x:v>1PE</x:v>
      </x:c>
      <x:c r="C1119" t="str">
        <x:v>1. Petrus</x:v>
      </x:c>
      <x:c r="D1119" t="n">
        <x:v>2</x:v>
      </x:c>
      <x:c r="E1119" t="n">
        <x:v>3</x:v>
      </x:c>
      <x:c r="F1119" t="str">
        <x:v>1PE-002</x:v>
      </x:c>
      <x:c r="G1119" t="n">
        <x:v>224</x:v>
      </x:c>
      <x:c r="H1119" t="str">
        <x:v>CQ-A20-26</x:v>
      </x:c>
      <x:c r="I1119" s="36" t="str">
        <x:v>Bestandsfrage: exakter Wortlaut in diesem Arbeitsschritt nicht rekonstruiert.</x:v>
      </x:c>
      <x:c r="J1119" s="36"/>
      <x:c r="K1119" s="36"/>
      <x:c r="L1119" s="36" t="str">
        <x:v>MASTER_STATUS_VERIFIZIERT</x:v>
      </x:c>
      <x:c r="M1119" s="36" t="str">
        <x:v>ERSETZEN</x:v>
      </x:c>
      <x:c r="N1119" s="36" t="str">
        <x:v>BESTAND_NOCH_NICHT_GEPRÜFT</x:v>
      </x:c>
      <x:c r="O1119" s="36" t="str">
        <x:v>DIDAKTISCHE_NEUFASSUNG</x:v>
      </x:c>
      <x:c r="P1119" s="36" t="str">
        <x:v>IDENTITÄT</x:v>
      </x:c>
      <x:c r="Q1119" s="36" t="str">
        <x:v>Welche Identität und Aufgabe nennt Petrus für Gottes Volk?</x:v>
      </x:c>
      <x:c r="R1119" s="36" t="str">
        <x:v>Auserwähltes Geschlecht, königliche Priesterschaft und heiliges Volk, das Gottes große Taten verkündet.</x:v>
      </x:c>
      <x:c r="S1119" s="36" t="str">
        <x:v>Geheime Elite ohne Auftrag nach außen.</x:v>
      </x:c>
      <x:c r="T1119" s="36" t="str">
        <x:v>Gemeinschaft ohne besondere Berufung.</x:v>
      </x:c>
      <x:c r="U1119" s="36" t="str">
        <x:v>Gruppe, die nur ihre Herkunft rühmen soll.</x:v>
      </x:c>
      <x:c r="V1119" s="36" t="n">
        <x:v>0</x:v>
      </x:c>
      <x:c r="W1119" s="36" t="str">
        <x:v>Auserwähltes Geschlecht, königliche Priesterschaft und heiliges Volk, das Gottes große Taten verkündet.</x:v>
      </x:c>
      <x:c r="X1119" s="36" t="str">
        <x:v>1. Petrus 2,9–10</x:v>
      </x:c>
      <x:c r="Y1119" s="36" t="str">
        <x:v>Die neue Identität dient einem Zweck: Gottes Taten bekannt zu machen, nachdem sie Barmherzigkeit empfangen haben.</x:v>
      </x:c>
      <x:c r="Z1119" s="36" t="str">
        <x:v>JA</x:v>
      </x:c>
      <x:c r="AA1119" s="36" t="str">
        <x:v>JA</x:v>
      </x:c>
      <x:c r="AB1119" s="36" t="str">
        <x:v>JA</x:v>
      </x:c>
      <x:c r="AC1119" s="36" t="str">
        <x:v>JA</x:v>
      </x:c>
      <x:c r="AD1119" s="36" t="str">
        <x:v>JA</x:v>
      </x:c>
      <x:c r="AE1119" s="36" t="str">
        <x:v>JA</x:v>
      </x:c>
      <x:c r="AF1119" s="36" t="str">
        <x:v>JA</x:v>
      </x:c>
      <x:c r="AG1119" s="36" t="str">
        <x:v>FREIGEGEBEN</x:v>
      </x:c>
      <x:c r="AH1119" s="36" t="str">
        <x:v>GPT-5.6 Sol · Sammelprüfung Allgemeine Briefe · L1912/OTB</x:v>
      </x:c>
      <x:c r="AI1119" s="36" t="str">
        <x:v>FREIGEGEBEN</x:v>
      </x:c>
      <x:c r="AJ1119" s="36" t="str">
        <x:v>1. Petrus 2: neue textnahe IDENTITÄT-Frage redaktionell freigegeben.</x:v>
      </x:c>
      <x:c r="AK1119" s="36" t="str">
        <x:v>FaithPath repo develop/v4 · data/bibles/l1912/1PE.json · data/bibles/otb/1PE.json</x:v>
      </x:c>
      <x:c r="AL1119" t="str">
        <x:v>JA</x:v>
      </x:c>
    </x:row>
    <x:row r="1120">
      <x:c r="A1120" t="str">
        <x:v>FP-1379</x:v>
      </x:c>
      <x:c r="B1120" t="str">
        <x:v>1PE</x:v>
      </x:c>
      <x:c r="C1120" t="str">
        <x:v>1. Petrus</x:v>
      </x:c>
      <x:c r="D1120" t="n">
        <x:v>2</x:v>
      </x:c>
      <x:c r="E1120" t="n">
        <x:v>4</x:v>
      </x:c>
      <x:c r="F1120" t="str">
        <x:v>1PE-002</x:v>
      </x:c>
      <x:c r="G1120" t="n">
        <x:v>224</x:v>
      </x:c>
      <x:c r="H1120" t="str">
        <x:v>CQ-A20-26</x:v>
      </x:c>
      <x:c r="I1120" s="36" t="str">
        <x:v>Bestandsfrage: exakter Wortlaut in diesem Arbeitsschritt nicht rekonstruiert.</x:v>
      </x:c>
      <x:c r="J1120" s="36"/>
      <x:c r="K1120" s="36"/>
      <x:c r="L1120" s="36" t="str">
        <x:v>MASTER_STATUS_VERIFIZIERT</x:v>
      </x:c>
      <x:c r="M1120" s="36" t="str">
        <x:v>ERSETZEN</x:v>
      </x:c>
      <x:c r="N1120" s="36" t="str">
        <x:v>BESTAND_NOCH_NICHT_GEPRÜFT</x:v>
      </x:c>
      <x:c r="O1120" s="36" t="str">
        <x:v>DIDAKTISCHE_NEUFASSUNG</x:v>
      </x:c>
      <x:c r="P1120" s="36" t="str">
        <x:v>ZEUGNIS</x:v>
      </x:c>
      <x:c r="Q1120" s="36" t="str">
        <x:v>Warum sollen die Glaubenden unter den Nichtglaubenden einen guten Lebenswandel führen?</x:v>
      </x:c>
      <x:c r="R1120" s="36" t="str">
        <x:v>Damit sie nie kritisiert werden.</x:v>
      </x:c>
      <x:c r="S1120" s="36" t="str">
        <x:v>Damit andere ihre guten Werke sehen und Gott verherrlichen können.</x:v>
      </x:c>
      <x:c r="T1120" s="36" t="str">
        <x:v>Damit sie politische Macht gewinnen.</x:v>
      </x:c>
      <x:c r="U1120" s="36" t="str">
        <x:v>Damit sie keine Barmherzigkeit mehr brauchen.</x:v>
      </x:c>
      <x:c r="V1120" s="36" t="n">
        <x:v>1</x:v>
      </x:c>
      <x:c r="W1120" s="36" t="str">
        <x:v>Damit andere ihre guten Werke sehen und Gott verherrlichen können.</x:v>
      </x:c>
      <x:c r="X1120" s="36" t="str">
        <x:v>1. Petrus 2,11–12</x:v>
      </x:c>
      <x:c r="Y1120" s="36" t="str">
        <x:v>Petrus verbindet den Status als Fremdlinge mit einem glaubwürdigen Verhalten mitten in der Gesellschaft.</x:v>
      </x:c>
      <x:c r="Z1120" s="36" t="str">
        <x:v>JA</x:v>
      </x:c>
      <x:c r="AA1120" s="36" t="str">
        <x:v>JA</x:v>
      </x:c>
      <x:c r="AB1120" s="36" t="str">
        <x:v>JA</x:v>
      </x:c>
      <x:c r="AC1120" s="36" t="str">
        <x:v>JA</x:v>
      </x:c>
      <x:c r="AD1120" s="36" t="str">
        <x:v>JA</x:v>
      </x:c>
      <x:c r="AE1120" s="36" t="str">
        <x:v>JA</x:v>
      </x:c>
      <x:c r="AF1120" s="36" t="str">
        <x:v>JA</x:v>
      </x:c>
      <x:c r="AG1120" s="36" t="str">
        <x:v>FREIGEGEBEN</x:v>
      </x:c>
      <x:c r="AH1120" s="36" t="str">
        <x:v>GPT-5.6 Sol · Sammelprüfung Allgemeine Briefe · L1912/OTB</x:v>
      </x:c>
      <x:c r="AI1120" s="36" t="str">
        <x:v>FREIGEGEBEN</x:v>
      </x:c>
      <x:c r="AJ1120" s="36" t="str">
        <x:v>1. Petrus 2: neue textnahe ZEUGNIS-Frage redaktionell freigegeben.</x:v>
      </x:c>
      <x:c r="AK1120" s="36" t="str">
        <x:v>FaithPath repo develop/v4 · data/bibles/l1912/1PE.json · data/bibles/otb/1PE.json</x:v>
      </x:c>
      <x:c r="AL1120" t="str">
        <x:v>JA</x:v>
      </x:c>
    </x:row>
    <x:row r="1121">
      <x:c r="A1121" t="str">
        <x:v>FP-1380</x:v>
      </x:c>
      <x:c r="B1121" t="str">
        <x:v>1PE</x:v>
      </x:c>
      <x:c r="C1121" t="str">
        <x:v>1. Petrus</x:v>
      </x:c>
      <x:c r="D1121" t="n">
        <x:v>2</x:v>
      </x:c>
      <x:c r="E1121" t="n">
        <x:v>5</x:v>
      </x:c>
      <x:c r="F1121" t="str">
        <x:v>1PE-002</x:v>
      </x:c>
      <x:c r="G1121" t="n">
        <x:v>224</x:v>
      </x:c>
      <x:c r="H1121" t="str">
        <x:v>CQ-A20-26</x:v>
      </x:c>
      <x:c r="I1121" s="36" t="str">
        <x:v>Bestandsfrage: exakter Wortlaut in diesem Arbeitsschritt nicht rekonstruiert.</x:v>
      </x:c>
      <x:c r="J1121" s="36"/>
      <x:c r="K1121" s="36"/>
      <x:c r="L1121" s="36" t="str">
        <x:v>MASTER_STATUS_VERIFIZIERT</x:v>
      </x:c>
      <x:c r="M1121" s="36" t="str">
        <x:v>ERSETZEN</x:v>
      </x:c>
      <x:c r="N1121" s="36" t="str">
        <x:v>BESTAND_NOCH_NICHT_GEPRÜFT</x:v>
      </x:c>
      <x:c r="O1121" s="36" t="str">
        <x:v>DIDAKTISCHE_NEUFASSUNG</x:v>
      </x:c>
      <x:c r="P1121" s="36" t="str">
        <x:v>CHRISTUS_VORBILD</x:v>
      </x:c>
      <x:c r="Q1121" s="36" t="str">
        <x:v>Wie reagierte Christus nach 1. Petrus 2 auf Beschimpfung und ungerechtes Leiden?</x:v>
      </x:c>
      <x:c r="R1121" s="36" t="str">
        <x:v>Er suchte sofort Vergeltung.</x:v>
      </x:c>
      <x:c r="S1121" s="36" t="str">
        <x:v>Er drohte seinen Gegnern mit menschlicher Gewalt.</x:v>
      </x:c>
      <x:c r="T1121" s="36" t="str">
        <x:v>Er beschimpfte nicht zurück und vertraute sich dem an, der gerecht richtet.</x:v>
      </x:c>
      <x:c r="U1121" s="36" t="str">
        <x:v>Er verleugnete seine Sendung.</x:v>
      </x:c>
      <x:c r="V1121" s="36" t="n">
        <x:v>2</x:v>
      </x:c>
      <x:c r="W1121" s="36" t="str">
        <x:v>Er beschimpfte nicht zurück und vertraute sich dem an, der gerecht richtet.</x:v>
      </x:c>
      <x:c r="X1121" s="36" t="str">
        <x:v>1. Petrus 2,21–25</x:v>
      </x:c>
      <x:c r="Y1121" s="36" t="str">
        <x:v>Christi Leiden ist zugleich Erlösungsereignis und Vorbild: keine Gegenbeschimpfung, sondern Vertrauen auf Gottes gerechtes Gericht.</x:v>
      </x:c>
      <x:c r="Z1121" s="36" t="str">
        <x:v>JA</x:v>
      </x:c>
      <x:c r="AA1121" s="36" t="str">
        <x:v>JA</x:v>
      </x:c>
      <x:c r="AB1121" s="36" t="str">
        <x:v>JA</x:v>
      </x:c>
      <x:c r="AC1121" s="36" t="str">
        <x:v>JA</x:v>
      </x:c>
      <x:c r="AD1121" s="36" t="str">
        <x:v>JA</x:v>
      </x:c>
      <x:c r="AE1121" s="36" t="str">
        <x:v>JA</x:v>
      </x:c>
      <x:c r="AF1121" s="36" t="str">
        <x:v>JA</x:v>
      </x:c>
      <x:c r="AG1121" s="36" t="str">
        <x:v>FREIGEGEBEN</x:v>
      </x:c>
      <x:c r="AH1121" s="36" t="str">
        <x:v>GPT-5.6 Sol · Sammelprüfung Allgemeine Briefe · L1912/OTB</x:v>
      </x:c>
      <x:c r="AI1121" s="36" t="str">
        <x:v>FREIGEGEBEN</x:v>
      </x:c>
      <x:c r="AJ1121" s="36" t="str">
        <x:v>1. Petrus 2: neue textnahe CHRISTUS_VORBILD-Frage redaktionell freigegeben.</x:v>
      </x:c>
      <x:c r="AK1121" s="36" t="str">
        <x:v>FaithPath repo develop/v4 · data/bibles/l1912/1PE.json · data/bibles/otb/1PE.json</x:v>
      </x:c>
      <x:c r="AL1121" t="str">
        <x:v>JA</x:v>
      </x:c>
    </x:row>
    <x:row r="1122">
      <x:c r="A1122" t="str">
        <x:v>FP-1381</x:v>
      </x:c>
      <x:c r="B1122" t="str">
        <x:v>1PE</x:v>
      </x:c>
      <x:c r="C1122" t="str">
        <x:v>1. Petrus</x:v>
      </x:c>
      <x:c r="D1122" t="n">
        <x:v>3</x:v>
      </x:c>
      <x:c r="E1122" t="n">
        <x:v>1</x:v>
      </x:c>
      <x:c r="F1122" t="str">
        <x:v>1PE-003</x:v>
      </x:c>
      <x:c r="G1122" t="n">
        <x:v>225</x:v>
      </x:c>
      <x:c r="H1122" t="str">
        <x:v>CQ-A20-26</x:v>
      </x:c>
      <x:c r="I1122" s="36" t="str">
        <x:v>Bestandsfrage: exakter Wortlaut in diesem Arbeitsschritt nicht rekonstruiert.</x:v>
      </x:c>
      <x:c r="J1122" s="36"/>
      <x:c r="K1122" s="36"/>
      <x:c r="L1122" s="36" t="str">
        <x:v>MASTER_STATUS_VERIFIZIERT</x:v>
      </x:c>
      <x:c r="M1122" s="36" t="str">
        <x:v>ERSETZEN</x:v>
      </x:c>
      <x:c r="N1122" s="36" t="str">
        <x:v>BESTAND_NOCH_NICHT_GEPRÜFT</x:v>
      </x:c>
      <x:c r="O1122" s="36" t="str">
        <x:v>DIDAKTISCHE_NEUFASSUNG</x:v>
      </x:c>
      <x:c r="P1122" s="36" t="str">
        <x:v>INNERER_MENSCH</x:v>
      </x:c>
      <x:c r="Q1122" s="36" t="str">
        <x:v>Worauf legt Petrus beim Schmuck besonders Gewicht?</x:v>
      </x:c>
      <x:c r="R1122" s="36" t="str">
        <x:v>Ausschließlich auf kostbare Kleidung.</x:v>
      </x:c>
      <x:c r="S1122" s="36" t="str">
        <x:v>Auf gesellschaftliche Statussymbole.</x:v>
      </x:c>
      <x:c r="T1122" s="36" t="str">
        <x:v>Auf äußere Wirkung ohne Charakter.</x:v>
      </x:c>
      <x:c r="U1122" s="36" t="str">
        <x:v>Auf den verborgenen inneren Menschen mit einem sanften und stillen Geist.</x:v>
      </x:c>
      <x:c r="V1122" s="36" t="n">
        <x:v>3</x:v>
      </x:c>
      <x:c r="W1122" s="36" t="str">
        <x:v>Auf den verborgenen inneren Menschen mit einem sanften und stillen Geist.</x:v>
      </x:c>
      <x:c r="X1122" s="36" t="str">
        <x:v>1. Petrus 3,1–6</x:v>
      </x:c>
      <x:c r="Y1122" s="36" t="str">
        <x:v>Petrus verschiebt den Schwerpunkt von äußerer Selbstdarstellung auf einen Charakter, den Gott als kostbar bezeichnet.</x:v>
      </x:c>
      <x:c r="Z1122" s="36" t="str">
        <x:v>JA</x:v>
      </x:c>
      <x:c r="AA1122" s="36" t="str">
        <x:v>JA</x:v>
      </x:c>
      <x:c r="AB1122" s="36" t="str">
        <x:v>JA</x:v>
      </x:c>
      <x:c r="AC1122" s="36" t="str">
        <x:v>JA</x:v>
      </x:c>
      <x:c r="AD1122" s="36" t="str">
        <x:v>JA</x:v>
      </x:c>
      <x:c r="AE1122" s="36" t="str">
        <x:v>JA</x:v>
      </x:c>
      <x:c r="AF1122" s="36" t="str">
        <x:v>JA</x:v>
      </x:c>
      <x:c r="AG1122" s="36" t="str">
        <x:v>FREIGEGEBEN</x:v>
      </x:c>
      <x:c r="AH1122" s="36" t="str">
        <x:v>GPT-5.6 Sol · Sammelprüfung Allgemeine Briefe · L1912/OTB</x:v>
      </x:c>
      <x:c r="AI1122" s="36" t="str">
        <x:v>FREIGEGEBEN</x:v>
      </x:c>
      <x:c r="AJ1122" s="36" t="str">
        <x:v>1. Petrus 3: neue textnahe INNERER_MENSCH-Frage redaktionell freigegeben.</x:v>
      </x:c>
      <x:c r="AK1122" s="36" t="str">
        <x:v>FaithPath repo develop/v4 · data/bibles/l1912/1PE.json · data/bibles/otb/1PE.json</x:v>
      </x:c>
      <x:c r="AL1122" t="str">
        <x:v>JA</x:v>
      </x:c>
    </x:row>
    <x:row r="1123">
      <x:c r="A1123" t="str">
        <x:v>FP-1382</x:v>
      </x:c>
      <x:c r="B1123" t="str">
        <x:v>1PE</x:v>
      </x:c>
      <x:c r="C1123" t="str">
        <x:v>1. Petrus</x:v>
      </x:c>
      <x:c r="D1123" t="n">
        <x:v>3</x:v>
      </x:c>
      <x:c r="E1123" t="n">
        <x:v>2</x:v>
      </x:c>
      <x:c r="F1123" t="str">
        <x:v>1PE-003</x:v>
      </x:c>
      <x:c r="G1123" t="n">
        <x:v>225</x:v>
      </x:c>
      <x:c r="H1123" t="str">
        <x:v>CQ-A20-26</x:v>
      </x:c>
      <x:c r="I1123" s="36" t="str">
        <x:v>Bestandsfrage: exakter Wortlaut in diesem Arbeitsschritt nicht rekonstruiert.</x:v>
      </x:c>
      <x:c r="J1123" s="36"/>
      <x:c r="K1123" s="36"/>
      <x:c r="L1123" s="36" t="str">
        <x:v>MASTER_STATUS_VERIFIZIERT</x:v>
      </x:c>
      <x:c r="M1123" s="36" t="str">
        <x:v>ERSETZEN</x:v>
      </x:c>
      <x:c r="N1123" s="36" t="str">
        <x:v>BESTAND_NOCH_NICHT_GEPRÜFT</x:v>
      </x:c>
      <x:c r="O1123" s="36" t="str">
        <x:v>DIDAKTISCHE_NEUFASSUNG</x:v>
      </x:c>
      <x:c r="P1123" s="36" t="str">
        <x:v>EHE</x:v>
      </x:c>
      <x:c r="Q1123" s="36" t="str">
        <x:v>Wie sollen Männer nach 1. Petrus 3 mit ihren Frauen umgehen?</x:v>
      </x:c>
      <x:c r="R1123" s="36" t="str">
        <x:v>Verständnisvoll leben und ihnen Ehre erweisen als Miterbinnen der Gnade des Lebens.</x:v>
      </x:c>
      <x:c r="S1123" s="36" t="str">
        <x:v>Sie geistlich als minderwertig behandeln.</x:v>
      </x:c>
      <x:c r="T1123" s="36" t="str">
        <x:v>Ihre Gebete von der Ehe trennen.</x:v>
      </x:c>
      <x:c r="U1123" s="36" t="str">
        <x:v>Nur ihre eigene Stellung beachten.</x:v>
      </x:c>
      <x:c r="V1123" s="36" t="n">
        <x:v>0</x:v>
      </x:c>
      <x:c r="W1123" s="36" t="str">
        <x:v>Verständnisvoll leben und ihnen Ehre erweisen als Miterbinnen der Gnade des Lebens.</x:v>
      </x:c>
      <x:c r="X1123" s="36" t="str">
        <x:v>1. Petrus 3,7</x:v>
      </x:c>
      <x:c r="Y1123" s="36" t="str">
        <x:v>Der Vers verbindet Rücksicht, Ehre und gemeinsame Teilhabe an der Gnade mit der Ernsthaftigkeit des Gebets.</x:v>
      </x:c>
      <x:c r="Z1123" s="36" t="str">
        <x:v>JA</x:v>
      </x:c>
      <x:c r="AA1123" s="36" t="str">
        <x:v>JA</x:v>
      </x:c>
      <x:c r="AB1123" s="36" t="str">
        <x:v>JA</x:v>
      </x:c>
      <x:c r="AC1123" s="36" t="str">
        <x:v>JA</x:v>
      </x:c>
      <x:c r="AD1123" s="36" t="str">
        <x:v>JA</x:v>
      </x:c>
      <x:c r="AE1123" s="36" t="str">
        <x:v>JA</x:v>
      </x:c>
      <x:c r="AF1123" s="36" t="str">
        <x:v>JA</x:v>
      </x:c>
      <x:c r="AG1123" s="36" t="str">
        <x:v>FREIGEGEBEN</x:v>
      </x:c>
      <x:c r="AH1123" s="36" t="str">
        <x:v>GPT-5.6 Sol · Sammelprüfung Allgemeine Briefe · L1912/OTB</x:v>
      </x:c>
      <x:c r="AI1123" s="36" t="str">
        <x:v>FREIGEGEBEN</x:v>
      </x:c>
      <x:c r="AJ1123" s="36" t="str">
        <x:v>1. Petrus 3: neue textnahe EHE-Frage redaktionell freigegeben.</x:v>
      </x:c>
      <x:c r="AK1123" s="36" t="str">
        <x:v>FaithPath repo develop/v4 · data/bibles/l1912/1PE.json · data/bibles/otb/1PE.json</x:v>
      </x:c>
      <x:c r="AL1123" t="str">
        <x:v>JA</x:v>
      </x:c>
    </x:row>
    <x:row r="1124">
      <x:c r="A1124" t="str">
        <x:v>FP-1383</x:v>
      </x:c>
      <x:c r="B1124" t="str">
        <x:v>1PE</x:v>
      </x:c>
      <x:c r="C1124" t="str">
        <x:v>1. Petrus</x:v>
      </x:c>
      <x:c r="D1124" t="n">
        <x:v>3</x:v>
      </x:c>
      <x:c r="E1124" t="n">
        <x:v>3</x:v>
      </x:c>
      <x:c r="F1124" t="str">
        <x:v>1PE-003</x:v>
      </x:c>
      <x:c r="G1124" t="n">
        <x:v>225</x:v>
      </x:c>
      <x:c r="H1124" t="str">
        <x:v>CQ-A20-26</x:v>
      </x:c>
      <x:c r="I1124" s="36" t="str">
        <x:v>Bestandsfrage: exakter Wortlaut in diesem Arbeitsschritt nicht rekonstruiert.</x:v>
      </x:c>
      <x:c r="J1124" s="36"/>
      <x:c r="K1124" s="36"/>
      <x:c r="L1124" s="36" t="str">
        <x:v>MASTER_STATUS_VERIFIZIERT</x:v>
      </x:c>
      <x:c r="M1124" s="36" t="str">
        <x:v>ERSETZEN</x:v>
      </x:c>
      <x:c r="N1124" s="36" t="str">
        <x:v>BESTAND_NOCH_NICHT_GEPRÜFT</x:v>
      </x:c>
      <x:c r="O1124" s="36" t="str">
        <x:v>DIDAKTISCHE_NEUFASSUNG</x:v>
      </x:c>
      <x:c r="P1124" s="36" t="str">
        <x:v>VERGELTUNG</x:v>
      </x:c>
      <x:c r="Q1124" s="36" t="str">
        <x:v>Wie sollen Glaubende auf Böses und Beschimpfung reagieren?</x:v>
      </x:c>
      <x:c r="R1124" s="36" t="str">
        <x:v>Immer schärfer zurückschlagen.</x:v>
      </x:c>
      <x:c r="S1124" s="36" t="str">
        <x:v>Nicht Gleiches mit Gleichem vergelten, sondern segnen.</x:v>
      </x:c>
      <x:c r="T1124" s="36" t="str">
        <x:v>Jede Beziehung sofort abbrechen.</x:v>
      </x:c>
      <x:c r="U1124" s="36" t="str">
        <x:v>Beschimpfung grundsätzlich ignorieren, ohne Gutes zu suchen.</x:v>
      </x:c>
      <x:c r="V1124" s="36" t="n">
        <x:v>1</x:v>
      </x:c>
      <x:c r="W1124" s="36" t="str">
        <x:v>Nicht Gleiches mit Gleichem vergelten, sondern segnen.</x:v>
      </x:c>
      <x:c r="X1124" s="36" t="str">
        <x:v>1. Petrus 3,8–12</x:v>
      </x:c>
      <x:c r="Y1124" s="36" t="str">
        <x:v>Petrus ruft zu Mitgefühl, Demut und Segnen auf und verbindet dies mit dem Suchen nach Frieden.</x:v>
      </x:c>
      <x:c r="Z1124" s="36" t="str">
        <x:v>JA</x:v>
      </x:c>
      <x:c r="AA1124" s="36" t="str">
        <x:v>JA</x:v>
      </x:c>
      <x:c r="AB1124" s="36" t="str">
        <x:v>JA</x:v>
      </x:c>
      <x:c r="AC1124" s="36" t="str">
        <x:v>JA</x:v>
      </x:c>
      <x:c r="AD1124" s="36" t="str">
        <x:v>JA</x:v>
      </x:c>
      <x:c r="AE1124" s="36" t="str">
        <x:v>JA</x:v>
      </x:c>
      <x:c r="AF1124" s="36" t="str">
        <x:v>JA</x:v>
      </x:c>
      <x:c r="AG1124" s="36" t="str">
        <x:v>FREIGEGEBEN</x:v>
      </x:c>
      <x:c r="AH1124" s="36" t="str">
        <x:v>GPT-5.6 Sol · Sammelprüfung Allgemeine Briefe · L1912/OTB</x:v>
      </x:c>
      <x:c r="AI1124" s="36" t="str">
        <x:v>FREIGEGEBEN</x:v>
      </x:c>
      <x:c r="AJ1124" s="36" t="str">
        <x:v>1. Petrus 3: neue textnahe VERGELTUNG-Frage redaktionell freigegeben.</x:v>
      </x:c>
      <x:c r="AK1124" s="36" t="str">
        <x:v>FaithPath repo develop/v4 · data/bibles/l1912/1PE.json · data/bibles/otb/1PE.json</x:v>
      </x:c>
      <x:c r="AL1124" t="str">
        <x:v>JA</x:v>
      </x:c>
    </x:row>
    <x:row r="1125">
      <x:c r="A1125" t="str">
        <x:v>FP-1384</x:v>
      </x:c>
      <x:c r="B1125" t="str">
        <x:v>1PE</x:v>
      </x:c>
      <x:c r="C1125" t="str">
        <x:v>1. Petrus</x:v>
      </x:c>
      <x:c r="D1125" t="n">
        <x:v>3</x:v>
      </x:c>
      <x:c r="E1125" t="n">
        <x:v>4</x:v>
      </x:c>
      <x:c r="F1125" t="str">
        <x:v>1PE-003</x:v>
      </x:c>
      <x:c r="G1125" t="n">
        <x:v>225</x:v>
      </x:c>
      <x:c r="H1125" t="str">
        <x:v>CQ-A20-26</x:v>
      </x:c>
      <x:c r="I1125" s="36" t="str">
        <x:v>Bestandsfrage: exakter Wortlaut in diesem Arbeitsschritt nicht rekonstruiert.</x:v>
      </x:c>
      <x:c r="J1125" s="36"/>
      <x:c r="K1125" s="36"/>
      <x:c r="L1125" s="36" t="str">
        <x:v>MASTER_STATUS_VERIFIZIERT</x:v>
      </x:c>
      <x:c r="M1125" s="36" t="str">
        <x:v>ERSETZEN</x:v>
      </x:c>
      <x:c r="N1125" s="36" t="str">
        <x:v>BESTAND_NOCH_NICHT_GEPRÜFT</x:v>
      </x:c>
      <x:c r="O1125" s="36" t="str">
        <x:v>DIDAKTISCHE_NEUFASSUNG</x:v>
      </x:c>
      <x:c r="P1125" s="36" t="str">
        <x:v>APOLOGETIK</x:v>
      </x:c>
      <x:c r="Q1125" s="36" t="str">
        <x:v>Wie soll eine Antwort auf Fragen nach der christlichen Hoffnung gegeben werden?</x:v>
      </x:c>
      <x:c r="R1125" s="36" t="str">
        <x:v>Aggressiv und herablassend.</x:v>
      </x:c>
      <x:c r="S1125" s="36" t="str">
        <x:v>Nur durch Schweigen.</x:v>
      </x:c>
      <x:c r="T1125" s="36" t="str">
        <x:v>Bereit, aber mit Sanftmut und Respekt und mit gutem Gewissen.</x:v>
      </x:c>
      <x:c r="U1125" s="36" t="str">
        <x:v>Mit möglichst komplizierten Fachbegriffen.</x:v>
      </x:c>
      <x:c r="V1125" s="36" t="n">
        <x:v>2</x:v>
      </x:c>
      <x:c r="W1125" s="36" t="str">
        <x:v>Bereit, aber mit Sanftmut und Respekt und mit gutem Gewissen.</x:v>
      </x:c>
      <x:c r="X1125" s="36" t="str">
        <x:v>1. Petrus 3,13–16</x:v>
      </x:c>
      <x:c r="Y1125" s="36" t="str">
        <x:v>Die Bereitschaft zur Rechenschaft wird ausdrücklich mit Haltung und Lebensführung verbunden.</x:v>
      </x:c>
      <x:c r="Z1125" s="36" t="str">
        <x:v>JA</x:v>
      </x:c>
      <x:c r="AA1125" s="36" t="str">
        <x:v>JA</x:v>
      </x:c>
      <x:c r="AB1125" s="36" t="str">
        <x:v>JA</x:v>
      </x:c>
      <x:c r="AC1125" s="36" t="str">
        <x:v>JA</x:v>
      </x:c>
      <x:c r="AD1125" s="36" t="str">
        <x:v>JA</x:v>
      </x:c>
      <x:c r="AE1125" s="36" t="str">
        <x:v>JA</x:v>
      </x:c>
      <x:c r="AF1125" s="36" t="str">
        <x:v>JA</x:v>
      </x:c>
      <x:c r="AG1125" s="36" t="str">
        <x:v>FREIGEGEBEN</x:v>
      </x:c>
      <x:c r="AH1125" s="36" t="str">
        <x:v>GPT-5.6 Sol · Sammelprüfung Allgemeine Briefe · L1912/OTB</x:v>
      </x:c>
      <x:c r="AI1125" s="36" t="str">
        <x:v>FREIGEGEBEN</x:v>
      </x:c>
      <x:c r="AJ1125" s="36" t="str">
        <x:v>1. Petrus 3: neue textnahe APOLOGETIK-Frage redaktionell freigegeben.</x:v>
      </x:c>
      <x:c r="AK1125" s="36" t="str">
        <x:v>FaithPath repo develop/v4 · data/bibles/l1912/1PE.json · data/bibles/otb/1PE.json</x:v>
      </x:c>
      <x:c r="AL1125" t="str">
        <x:v>JA</x:v>
      </x:c>
    </x:row>
    <x:row r="1126">
      <x:c r="A1126" t="str">
        <x:v>FP-1385</x:v>
      </x:c>
      <x:c r="B1126" t="str">
        <x:v>1PE</x:v>
      </x:c>
      <x:c r="C1126" t="str">
        <x:v>1. Petrus</x:v>
      </x:c>
      <x:c r="D1126" t="n">
        <x:v>3</x:v>
      </x:c>
      <x:c r="E1126" t="n">
        <x:v>5</x:v>
      </x:c>
      <x:c r="F1126" t="str">
        <x:v>1PE-003</x:v>
      </x:c>
      <x:c r="G1126" t="n">
        <x:v>225</x:v>
      </x:c>
      <x:c r="H1126" t="str">
        <x:v>CQ-A20-26</x:v>
      </x:c>
      <x:c r="I1126" s="36" t="str">
        <x:v>Bestandsfrage: exakter Wortlaut in diesem Arbeitsschritt nicht rekonstruiert.</x:v>
      </x:c>
      <x:c r="J1126" s="36"/>
      <x:c r="K1126" s="36"/>
      <x:c r="L1126" s="36" t="str">
        <x:v>MASTER_STATUS_VERIFIZIERT</x:v>
      </x:c>
      <x:c r="M1126" s="36" t="str">
        <x:v>ERSETZEN</x:v>
      </x:c>
      <x:c r="N1126" s="36" t="str">
        <x:v>BESTAND_NOCH_NICHT_GEPRÜFT</x:v>
      </x:c>
      <x:c r="O1126" s="36" t="str">
        <x:v>DIDAKTISCHE_NEUFASSUNG</x:v>
      </x:c>
      <x:c r="P1126" s="36" t="str">
        <x:v>CHRISTUS</x:v>
      </x:c>
      <x:c r="Q1126" s="36" t="str">
        <x:v>Was ist das Ziel von Christi einmaligem Leiden für Sünden?</x:v>
      </x:c>
      <x:c r="R1126" s="36" t="str">
        <x:v>Nur ein Beispiel für Leidensbereitschaft zu geben.</x:v>
      </x:c>
      <x:c r="S1126" s="36" t="str">
        <x:v>Menschen dauerhaft von Gott fernzuhalten.</x:v>
      </x:c>
      <x:c r="T1126" s="36" t="str">
        <x:v>Ein wiederholtes Opfer einzuführen.</x:v>
      </x:c>
      <x:c r="U1126" s="36" t="str">
        <x:v>Der Gerechte litt für Ungerechte, um sie zu Gott zu führen.</x:v>
      </x:c>
      <x:c r="V1126" s="36" t="n">
        <x:v>3</x:v>
      </x:c>
      <x:c r="W1126" s="36" t="str">
        <x:v>Der Gerechte litt für Ungerechte, um sie zu Gott zu führen.</x:v>
      </x:c>
      <x:c r="X1126" s="36" t="str">
        <x:v>1. Petrus 3,18</x:v>
      </x:c>
      <x:c r="Y1126" s="36" t="str">
        <x:v>Petrus fasst Christi Werk als stellvertretendes Leiden mit dem Ziel des Zugangs zu Gott zusammen.</x:v>
      </x:c>
      <x:c r="Z1126" s="36" t="str">
        <x:v>JA</x:v>
      </x:c>
      <x:c r="AA1126" s="36" t="str">
        <x:v>JA</x:v>
      </x:c>
      <x:c r="AB1126" s="36" t="str">
        <x:v>JA</x:v>
      </x:c>
      <x:c r="AC1126" s="36" t="str">
        <x:v>JA</x:v>
      </x:c>
      <x:c r="AD1126" s="36" t="str">
        <x:v>JA</x:v>
      </x:c>
      <x:c r="AE1126" s="36" t="str">
        <x:v>JA</x:v>
      </x:c>
      <x:c r="AF1126" s="36" t="str">
        <x:v>JA</x:v>
      </x:c>
      <x:c r="AG1126" s="36" t="str">
        <x:v>FREIGEGEBEN</x:v>
      </x:c>
      <x:c r="AH1126" s="36" t="str">
        <x:v>GPT-5.6 Sol · Sammelprüfung Allgemeine Briefe · L1912/OTB</x:v>
      </x:c>
      <x:c r="AI1126" s="36" t="str">
        <x:v>FREIGEGEBEN</x:v>
      </x:c>
      <x:c r="AJ1126" s="36" t="str">
        <x:v>1. Petrus 3: neue textnahe CHRISTUS-Frage redaktionell freigegeben.</x:v>
      </x:c>
      <x:c r="AK1126" s="36" t="str">
        <x:v>FaithPath repo develop/v4 · data/bibles/l1912/1PE.json · data/bibles/otb/1PE.json</x:v>
      </x:c>
      <x:c r="AL1126" t="str">
        <x:v>JA</x:v>
      </x:c>
    </x:row>
    <x:row r="1127">
      <x:c r="A1127" t="str">
        <x:v>FP-1386</x:v>
      </x:c>
      <x:c r="B1127" t="str">
        <x:v>1PE</x:v>
      </x:c>
      <x:c r="C1127" t="str">
        <x:v>1. Petrus</x:v>
      </x:c>
      <x:c r="D1127" t="n">
        <x:v>4</x:v>
      </x:c>
      <x:c r="E1127" t="n">
        <x:v>1</x:v>
      </x:c>
      <x:c r="F1127" t="str">
        <x:v>1PE-004</x:v>
      </x:c>
      <x:c r="G1127" t="n">
        <x:v>226</x:v>
      </x:c>
      <x:c r="H1127" t="str">
        <x:v>CQ-A20-26</x:v>
      </x:c>
      <x:c r="I1127" s="36" t="str">
        <x:v>Bestandsfrage: exakter Wortlaut in diesem Arbeitsschritt nicht rekonstruiert.</x:v>
      </x:c>
      <x:c r="J1127" s="36"/>
      <x:c r="K1127" s="36"/>
      <x:c r="L1127" s="36" t="str">
        <x:v>MASTER_STATUS_VERIFIZIERT</x:v>
      </x:c>
      <x:c r="M1127" s="36" t="str">
        <x:v>ERSETZEN</x:v>
      </x:c>
      <x:c r="N1127" s="36" t="str">
        <x:v>BESTAND_NOCH_NICHT_GEPRÜFT</x:v>
      </x:c>
      <x:c r="O1127" s="36" t="str">
        <x:v>DIDAKTISCHE_NEUFASSUNG</x:v>
      </x:c>
      <x:c r="P1127" s="36" t="str">
        <x:v>NEUE_AUSRICHTUNG</x:v>
      </x:c>
      <x:c r="Q1127" s="36" t="str">
        <x:v>Wofür sollen Glaubende die verbleibende Zeit ihres Lebens einsetzen?</x:v>
      </x:c>
      <x:c r="R1127" s="36" t="str">
        <x:v>Für Gottes Willen statt für frühere menschliche Begierden.</x:v>
      </x:c>
      <x:c r="S1127" s="36" t="str">
        <x:v>Für die Rückkehr zu früheren Ausschweifungen.</x:v>
      </x:c>
      <x:c r="T1127" s="36" t="str">
        <x:v>Für möglichst vollständigen gesellschaftlichen Rückzug.</x:v>
      </x:c>
      <x:c r="U1127" s="36" t="str">
        <x:v>Für die Vermeidung jeder Verantwortung.</x:v>
      </x:c>
      <x:c r="V1127" s="36" t="n">
        <x:v>0</x:v>
      </x:c>
      <x:c r="W1127" s="36" t="str">
        <x:v>Für Gottes Willen statt für frühere menschliche Begierden.</x:v>
      </x:c>
      <x:c r="X1127" s="36" t="str">
        <x:v>1. Petrus 4,1–5</x:v>
      </x:c>
      <x:c r="Y1127" s="36" t="str">
        <x:v>Die Verbindung mit Christi Leiden markiert eine neue Lebensausrichtung, die alte Verhaltensmuster bewusst hinter sich lässt.</x:v>
      </x:c>
      <x:c r="Z1127" s="36" t="str">
        <x:v>JA</x:v>
      </x:c>
      <x:c r="AA1127" s="36" t="str">
        <x:v>JA</x:v>
      </x:c>
      <x:c r="AB1127" s="36" t="str">
        <x:v>JA</x:v>
      </x:c>
      <x:c r="AC1127" s="36" t="str">
        <x:v>JA</x:v>
      </x:c>
      <x:c r="AD1127" s="36" t="str">
        <x:v>JA</x:v>
      </x:c>
      <x:c r="AE1127" s="36" t="str">
        <x:v>JA</x:v>
      </x:c>
      <x:c r="AF1127" s="36" t="str">
        <x:v>JA</x:v>
      </x:c>
      <x:c r="AG1127" s="36" t="str">
        <x:v>FREIGEGEBEN</x:v>
      </x:c>
      <x:c r="AH1127" s="36" t="str">
        <x:v>GPT-5.6 Sol · Sammelprüfung Allgemeine Briefe · L1912/OTB</x:v>
      </x:c>
      <x:c r="AI1127" s="36" t="str">
        <x:v>FREIGEGEBEN</x:v>
      </x:c>
      <x:c r="AJ1127" s="36" t="str">
        <x:v>1. Petrus 4: neue textnahe NEUE_AUSRICHTUNG-Frage redaktionell freigegeben.</x:v>
      </x:c>
      <x:c r="AK1127" s="36" t="str">
        <x:v>FaithPath repo develop/v4 · data/bibles/l1912/1PE.json · data/bibles/otb/1PE.json</x:v>
      </x:c>
      <x:c r="AL1127" t="str">
        <x:v>JA</x:v>
      </x:c>
    </x:row>
    <x:row r="1128">
      <x:c r="A1128" t="str">
        <x:v>FP-1387</x:v>
      </x:c>
      <x:c r="B1128" t="str">
        <x:v>1PE</x:v>
      </x:c>
      <x:c r="C1128" t="str">
        <x:v>1. Petrus</x:v>
      </x:c>
      <x:c r="D1128" t="n">
        <x:v>4</x:v>
      </x:c>
      <x:c r="E1128" t="n">
        <x:v>2</x:v>
      </x:c>
      <x:c r="F1128" t="str">
        <x:v>1PE-004</x:v>
      </x:c>
      <x:c r="G1128" t="n">
        <x:v>226</x:v>
      </x:c>
      <x:c r="H1128" t="str">
        <x:v>CQ-A20-26</x:v>
      </x:c>
      <x:c r="I1128" s="36" t="str">
        <x:v>Bestandsfrage: exakter Wortlaut in diesem Arbeitsschritt nicht rekonstruiert.</x:v>
      </x:c>
      <x:c r="J1128" s="36"/>
      <x:c r="K1128" s="36"/>
      <x:c r="L1128" s="36" t="str">
        <x:v>MASTER_STATUS_VERIFIZIERT</x:v>
      </x:c>
      <x:c r="M1128" s="36" t="str">
        <x:v>ERSETZEN</x:v>
      </x:c>
      <x:c r="N1128" s="36" t="str">
        <x:v>BESTAND_NOCH_NICHT_GEPRÜFT</x:v>
      </x:c>
      <x:c r="O1128" s="36" t="str">
        <x:v>DIDAKTISCHE_NEUFASSUNG</x:v>
      </x:c>
      <x:c r="P1128" s="36" t="str">
        <x:v>GEBET</x:v>
      </x:c>
      <x:c r="Q1128" s="36" t="str">
        <x:v>Welche Haltung verbindet Petrus mit der Nähe des Endes?</x:v>
      </x:c>
      <x:c r="R1128" s="36" t="str">
        <x:v>Panik und hektische Spekulation.</x:v>
      </x:c>
      <x:c r="S1128" s="36" t="str">
        <x:v>Besonnen und nüchtern sein, um beten zu können.</x:v>
      </x:c>
      <x:c r="T1128" s="36" t="str">
        <x:v>Alle normalen Aufgaben sofort beenden.</x:v>
      </x:c>
      <x:c r="U1128" s="36" t="str">
        <x:v>Zeitpunkte berechnen.</x:v>
      </x:c>
      <x:c r="V1128" s="36" t="n">
        <x:v>1</x:v>
      </x:c>
      <x:c r="W1128" s="36" t="str">
        <x:v>Besonnen und nüchtern sein, um beten zu können.</x:v>
      </x:c>
      <x:c r="X1128" s="36" t="str">
        <x:v>1. Petrus 4,7</x:v>
      </x:c>
      <x:c r="Y1128" s="36" t="str">
        <x:v>Eschatologische Erwartung führt bei Petrus nicht zur Panik, sondern zu Nüchternheit und Gebet.</x:v>
      </x:c>
      <x:c r="Z1128" s="36" t="str">
        <x:v>JA</x:v>
      </x:c>
      <x:c r="AA1128" s="36" t="str">
        <x:v>JA</x:v>
      </x:c>
      <x:c r="AB1128" s="36" t="str">
        <x:v>JA</x:v>
      </x:c>
      <x:c r="AC1128" s="36" t="str">
        <x:v>JA</x:v>
      </x:c>
      <x:c r="AD1128" s="36" t="str">
        <x:v>JA</x:v>
      </x:c>
      <x:c r="AE1128" s="36" t="str">
        <x:v>JA</x:v>
      </x:c>
      <x:c r="AF1128" s="36" t="str">
        <x:v>JA</x:v>
      </x:c>
      <x:c r="AG1128" s="36" t="str">
        <x:v>FREIGEGEBEN</x:v>
      </x:c>
      <x:c r="AH1128" s="36" t="str">
        <x:v>GPT-5.6 Sol · Sammelprüfung Allgemeine Briefe · L1912/OTB</x:v>
      </x:c>
      <x:c r="AI1128" s="36" t="str">
        <x:v>FREIGEGEBEN</x:v>
      </x:c>
      <x:c r="AJ1128" s="36" t="str">
        <x:v>1. Petrus 4: neue textnahe GEBET-Frage redaktionell freigegeben.</x:v>
      </x:c>
      <x:c r="AK1128" s="36" t="str">
        <x:v>FaithPath repo develop/v4 · data/bibles/l1912/1PE.json · data/bibles/otb/1PE.json</x:v>
      </x:c>
      <x:c r="AL1128" t="str">
        <x:v>JA</x:v>
      </x:c>
    </x:row>
    <x:row r="1129">
      <x:c r="A1129" t="str">
        <x:v>FP-1388</x:v>
      </x:c>
      <x:c r="B1129" t="str">
        <x:v>1PE</x:v>
      </x:c>
      <x:c r="C1129" t="str">
        <x:v>1. Petrus</x:v>
      </x:c>
      <x:c r="D1129" t="n">
        <x:v>4</x:v>
      </x:c>
      <x:c r="E1129" t="n">
        <x:v>3</x:v>
      </x:c>
      <x:c r="F1129" t="str">
        <x:v>1PE-004</x:v>
      </x:c>
      <x:c r="G1129" t="n">
        <x:v>226</x:v>
      </x:c>
      <x:c r="H1129" t="str">
        <x:v>CQ-A20-26</x:v>
      </x:c>
      <x:c r="I1129" s="36" t="str">
        <x:v>Bestandsfrage: exakter Wortlaut in diesem Arbeitsschritt nicht rekonstruiert.</x:v>
      </x:c>
      <x:c r="J1129" s="36"/>
      <x:c r="K1129" s="36"/>
      <x:c r="L1129" s="36" t="str">
        <x:v>MASTER_STATUS_VERIFIZIERT</x:v>
      </x:c>
      <x:c r="M1129" s="36" t="str">
        <x:v>ERSETZEN</x:v>
      </x:c>
      <x:c r="N1129" s="36" t="str">
        <x:v>BESTAND_NOCH_NICHT_GEPRÜFT</x:v>
      </x:c>
      <x:c r="O1129" s="36" t="str">
        <x:v>DIDAKTISCHE_NEUFASSUNG</x:v>
      </x:c>
      <x:c r="P1129" s="36" t="str">
        <x:v>GEMEINSCHAFT</x:v>
      </x:c>
      <x:c r="Q1129" s="36" t="str">
        <x:v>Welche drei praktischen Bereiche hebt Petrus unmittelbar hervor?</x:v>
      </x:c>
      <x:c r="R1129" s="36" t="str">
        <x:v>Konkurrenz, Selbstdarstellung und Rückzug.</x:v>
      </x:c>
      <x:c r="S1129" s="36" t="str">
        <x:v>Reichtum, Einfluss und Rang.</x:v>
      </x:c>
      <x:c r="T1129" s="36" t="str">
        <x:v>Innige Liebe, Gastfreundschaft ohne Murren und gegenseitiger Dienst mit den empfangenen Gaben.</x:v>
      </x:c>
      <x:c r="U1129" s="36" t="str">
        <x:v>Schweigen, Isolation und Kontrolle.</x:v>
      </x:c>
      <x:c r="V1129" s="36" t="n">
        <x:v>2</x:v>
      </x:c>
      <x:c r="W1129" s="36" t="str">
        <x:v>Innige Liebe, Gastfreundschaft ohne Murren und gegenseitiger Dienst mit den empfangenen Gaben.</x:v>
      </x:c>
      <x:c r="X1129" s="36" t="str">
        <x:v>1. Petrus 4,8–11</x:v>
      </x:c>
      <x:c r="Y1129" s="36" t="str">
        <x:v>Liebe, Gastfreundschaft und Gabendienst werden als verantwortlicher Umgang mit Gottes vielfältiger Gnade beschrieben.</x:v>
      </x:c>
      <x:c r="Z1129" s="36" t="str">
        <x:v>JA</x:v>
      </x:c>
      <x:c r="AA1129" s="36" t="str">
        <x:v>JA</x:v>
      </x:c>
      <x:c r="AB1129" s="36" t="str">
        <x:v>JA</x:v>
      </x:c>
      <x:c r="AC1129" s="36" t="str">
        <x:v>JA</x:v>
      </x:c>
      <x:c r="AD1129" s="36" t="str">
        <x:v>JA</x:v>
      </x:c>
      <x:c r="AE1129" s="36" t="str">
        <x:v>JA</x:v>
      </x:c>
      <x:c r="AF1129" s="36" t="str">
        <x:v>JA</x:v>
      </x:c>
      <x:c r="AG1129" s="36" t="str">
        <x:v>FREIGEGEBEN</x:v>
      </x:c>
      <x:c r="AH1129" s="36" t="str">
        <x:v>GPT-5.6 Sol · Sammelprüfung Allgemeine Briefe · L1912/OTB</x:v>
      </x:c>
      <x:c r="AI1129" s="36" t="str">
        <x:v>FREIGEGEBEN</x:v>
      </x:c>
      <x:c r="AJ1129" s="36" t="str">
        <x:v>1. Petrus 4: neue textnahe GEMEINSCHAFT-Frage redaktionell freigegeben.</x:v>
      </x:c>
      <x:c r="AK1129" s="36" t="str">
        <x:v>FaithPath repo develop/v4 · data/bibles/l1912/1PE.json · data/bibles/otb/1PE.json</x:v>
      </x:c>
      <x:c r="AL1129" t="str">
        <x:v>JA</x:v>
      </x:c>
    </x:row>
    <x:row r="1130">
      <x:c r="A1130" t="str">
        <x:v>FP-1389</x:v>
      </x:c>
      <x:c r="B1130" t="str">
        <x:v>1PE</x:v>
      </x:c>
      <x:c r="C1130" t="str">
        <x:v>1. Petrus</x:v>
      </x:c>
      <x:c r="D1130" t="n">
        <x:v>4</x:v>
      </x:c>
      <x:c r="E1130" t="n">
        <x:v>4</x:v>
      </x:c>
      <x:c r="F1130" t="str">
        <x:v>1PE-004</x:v>
      </x:c>
      <x:c r="G1130" t="n">
        <x:v>226</x:v>
      </x:c>
      <x:c r="H1130" t="str">
        <x:v>CQ-A20-26</x:v>
      </x:c>
      <x:c r="I1130" s="36" t="str">
        <x:v>Bestandsfrage: exakter Wortlaut in diesem Arbeitsschritt nicht rekonstruiert.</x:v>
      </x:c>
      <x:c r="J1130" s="36"/>
      <x:c r="K1130" s="36"/>
      <x:c r="L1130" s="36" t="str">
        <x:v>MASTER_STATUS_VERIFIZIERT</x:v>
      </x:c>
      <x:c r="M1130" s="36" t="str">
        <x:v>ERSETZEN</x:v>
      </x:c>
      <x:c r="N1130" s="36" t="str">
        <x:v>BESTAND_NOCH_NICHT_GEPRÜFT</x:v>
      </x:c>
      <x:c r="O1130" s="36" t="str">
        <x:v>DIDAKTISCHE_NEUFASSUNG</x:v>
      </x:c>
      <x:c r="P1130" s="36" t="str">
        <x:v>LEIDEN</x:v>
      </x:c>
      <x:c r="Q1130" s="36" t="str">
        <x:v>Wie sollen Christen eine 'feurige Prüfung' um Christi willen einordnen?</x:v>
      </x:c>
      <x:c r="R1130" s="36" t="str">
        <x:v>Immer als Beweis persönlichen Versagens.</x:v>
      </x:c>
      <x:c r="S1130" s="36" t="str">
        <x:v>Als Grund, Christus zu verleugnen.</x:v>
      </x:c>
      <x:c r="T1130" s="36" t="str">
        <x:v>Als sichere Garantie auf irdischen Erfolg.</x:v>
      </x:c>
      <x:c r="U1130" s="36" t="str">
        <x:v>Nicht als etwas völlig Fremdes, sondern als Anlass, in der Teilhabe an Christi Leiden standhaft zu bleiben.</x:v>
      </x:c>
      <x:c r="V1130" s="36" t="n">
        <x:v>3</x:v>
      </x:c>
      <x:c r="W1130" s="36" t="str">
        <x:v>Nicht als etwas völlig Fremdes, sondern als Anlass, in der Teilhabe an Christi Leiden standhaft zu bleiben.</x:v>
      </x:c>
      <x:c r="X1130" s="36" t="str">
        <x:v>1. Petrus 4,12–14</x:v>
      </x:c>
      <x:c r="Y1130" s="36" t="str">
        <x:v>Petrus normalisiert nicht jedes Leiden, unterscheidet aber Leiden um Christi willen von beschämender Schuld.</x:v>
      </x:c>
      <x:c r="Z1130" s="36" t="str">
        <x:v>JA</x:v>
      </x:c>
      <x:c r="AA1130" s="36" t="str">
        <x:v>JA</x:v>
      </x:c>
      <x:c r="AB1130" s="36" t="str">
        <x:v>JA</x:v>
      </x:c>
      <x:c r="AC1130" s="36" t="str">
        <x:v>JA</x:v>
      </x:c>
      <x:c r="AD1130" s="36" t="str">
        <x:v>JA</x:v>
      </x:c>
      <x:c r="AE1130" s="36" t="str">
        <x:v>JA</x:v>
      </x:c>
      <x:c r="AF1130" s="36" t="str">
        <x:v>JA</x:v>
      </x:c>
      <x:c r="AG1130" s="36" t="str">
        <x:v>FREIGEGEBEN</x:v>
      </x:c>
      <x:c r="AH1130" s="36" t="str">
        <x:v>GPT-5.6 Sol · Sammelprüfung Allgemeine Briefe · L1912/OTB</x:v>
      </x:c>
      <x:c r="AI1130" s="36" t="str">
        <x:v>FREIGEGEBEN</x:v>
      </x:c>
      <x:c r="AJ1130" s="36" t="str">
        <x:v>1. Petrus 4: neue textnahe LEIDEN-Frage redaktionell freigegeben.</x:v>
      </x:c>
      <x:c r="AK1130" s="36" t="str">
        <x:v>FaithPath repo develop/v4 · data/bibles/l1912/1PE.json · data/bibles/otb/1PE.json</x:v>
      </x:c>
      <x:c r="AL1130" t="str">
        <x:v>JA</x:v>
      </x:c>
    </x:row>
    <x:row r="1131">
      <x:c r="A1131" t="str">
        <x:v>FP-1390</x:v>
      </x:c>
      <x:c r="B1131" t="str">
        <x:v>1PE</x:v>
      </x:c>
      <x:c r="C1131" t="str">
        <x:v>1. Petrus</x:v>
      </x:c>
      <x:c r="D1131" t="n">
        <x:v>4</x:v>
      </x:c>
      <x:c r="E1131" t="n">
        <x:v>5</x:v>
      </x:c>
      <x:c r="F1131" t="str">
        <x:v>1PE-004</x:v>
      </x:c>
      <x:c r="G1131" t="n">
        <x:v>226</x:v>
      </x:c>
      <x:c r="H1131" t="str">
        <x:v>CQ-A20-26</x:v>
      </x:c>
      <x:c r="I1131" s="36" t="str">
        <x:v>Bestandsfrage: exakter Wortlaut in diesem Arbeitsschritt nicht rekonstruiert.</x:v>
      </x:c>
      <x:c r="J1131" s="36"/>
      <x:c r="K1131" s="36"/>
      <x:c r="L1131" s="36" t="str">
        <x:v>MASTER_STATUS_VERIFIZIERT</x:v>
      </x:c>
      <x:c r="M1131" s="36" t="str">
        <x:v>ERSETZEN</x:v>
      </x:c>
      <x:c r="N1131" s="36" t="str">
        <x:v>BESTAND_NOCH_NICHT_GEPRÜFT</x:v>
      </x:c>
      <x:c r="O1131" s="36" t="str">
        <x:v>DIDAKTISCHE_NEUFASSUNG</x:v>
      </x:c>
      <x:c r="P1131" s="36" t="str">
        <x:v>VERANTWORTUNG</x:v>
      </x:c>
      <x:c r="Q1131" s="36" t="str">
        <x:v>Welche Unterscheidung macht Petrus beim Leiden?</x:v>
      </x:c>
      <x:c r="R1131" s="36" t="str">
        <x:v>Niemand soll wegen eigener böser Taten leiden; wer aber als Christ leidet, soll sich nicht schämen.</x:v>
      </x:c>
      <x:c r="S1131" s="36" t="str">
        <x:v>Jedes Leiden sei automatisch ehrenvoll.</x:v>
      </x:c>
      <x:c r="T1131" s="36" t="str">
        <x:v>Christen könnten nicht wegen eigener Fehler leiden.</x:v>
      </x:c>
      <x:c r="U1131" s="36" t="str">
        <x:v>Scham sei immer die richtige Reaktion.</x:v>
      </x:c>
      <x:c r="V1131" s="36" t="n">
        <x:v>0</x:v>
      </x:c>
      <x:c r="W1131" s="36" t="str">
        <x:v>Niemand soll wegen eigener böser Taten leiden; wer aber als Christ leidet, soll sich nicht schämen.</x:v>
      </x:c>
      <x:c r="X1131" s="36" t="str">
        <x:v>1. Petrus 4,15–19</x:v>
      </x:c>
      <x:c r="Y1131" s="36" t="str">
        <x:v>Der Text unterscheidet klar zwischen selbstverschuldetem Leiden und Leiden aufgrund der Zugehörigkeit zu Christus.</x:v>
      </x:c>
      <x:c r="Z1131" s="36" t="str">
        <x:v>JA</x:v>
      </x:c>
      <x:c r="AA1131" s="36" t="str">
        <x:v>JA</x:v>
      </x:c>
      <x:c r="AB1131" s="36" t="str">
        <x:v>JA</x:v>
      </x:c>
      <x:c r="AC1131" s="36" t="str">
        <x:v>JA</x:v>
      </x:c>
      <x:c r="AD1131" s="36" t="str">
        <x:v>JA</x:v>
      </x:c>
      <x:c r="AE1131" s="36" t="str">
        <x:v>JA</x:v>
      </x:c>
      <x:c r="AF1131" s="36" t="str">
        <x:v>JA</x:v>
      </x:c>
      <x:c r="AG1131" s="36" t="str">
        <x:v>FREIGEGEBEN</x:v>
      </x:c>
      <x:c r="AH1131" s="36" t="str">
        <x:v>GPT-5.6 Sol · Sammelprüfung Allgemeine Briefe · L1912/OTB</x:v>
      </x:c>
      <x:c r="AI1131" s="36" t="str">
        <x:v>FREIGEGEBEN</x:v>
      </x:c>
      <x:c r="AJ1131" s="36" t="str">
        <x:v>1. Petrus 4: neue textnahe VERANTWORTUNG-Frage redaktionell freigegeben.</x:v>
      </x:c>
      <x:c r="AK1131" s="36" t="str">
        <x:v>FaithPath repo develop/v4 · data/bibles/l1912/1PE.json · data/bibles/otb/1PE.json</x:v>
      </x:c>
      <x:c r="AL1131" t="str">
        <x:v>JA</x:v>
      </x:c>
    </x:row>
    <x:row r="1132">
      <x:c r="A1132" t="str">
        <x:v>FP-1391</x:v>
      </x:c>
      <x:c r="B1132" t="str">
        <x:v>1PE</x:v>
      </x:c>
      <x:c r="C1132" t="str">
        <x:v>1. Petrus</x:v>
      </x:c>
      <x:c r="D1132" t="n">
        <x:v>5</x:v>
      </x:c>
      <x:c r="E1132" t="n">
        <x:v>1</x:v>
      </x:c>
      <x:c r="F1132" t="str">
        <x:v>1PE-005</x:v>
      </x:c>
      <x:c r="G1132" t="n">
        <x:v>227</x:v>
      </x:c>
      <x:c r="H1132" t="str">
        <x:v>CQ-A20-26</x:v>
      </x:c>
      <x:c r="I1132" s="36" t="str">
        <x:v>Bestandsfrage: exakter Wortlaut in diesem Arbeitsschritt nicht rekonstruiert.</x:v>
      </x:c>
      <x:c r="J1132" s="36"/>
      <x:c r="K1132" s="36"/>
      <x:c r="L1132" s="36" t="str">
        <x:v>MASTER_STATUS_VERIFIZIERT</x:v>
      </x:c>
      <x:c r="M1132" s="36" t="str">
        <x:v>ERSETZEN</x:v>
      </x:c>
      <x:c r="N1132" s="36" t="str">
        <x:v>BESTAND_NOCH_NICHT_GEPRÜFT</x:v>
      </x:c>
      <x:c r="O1132" s="36" t="str">
        <x:v>DIDAKTISCHE_NEUFASSUNG</x:v>
      </x:c>
      <x:c r="P1132" s="36" t="str">
        <x:v>LEITUNG</x:v>
      </x:c>
      <x:c r="Q1132" s="36" t="str">
        <x:v>Wie sollen Älteste die Herde Gottes leiten?</x:v>
      </x:c>
      <x:c r="R1132" s="36" t="str">
        <x:v>Durch möglichst starke Kontrolle.</x:v>
      </x:c>
      <x:c r="S1132" s="36" t="str">
        <x:v>Freiwillig, mit Hingabe und als Vorbilder statt herrschsüchtig oder aus Gewinnsucht.</x:v>
      </x:c>
      <x:c r="T1132" s="36" t="str">
        <x:v>Vor allem wegen finanzieller Vorteile.</x:v>
      </x:c>
      <x:c r="U1132" s="36" t="str">
        <x:v>Als Herren, die keine Rechenschaft schulden.</x:v>
      </x:c>
      <x:c r="V1132" s="36" t="n">
        <x:v>1</x:v>
      </x:c>
      <x:c r="W1132" s="36" t="str">
        <x:v>Freiwillig, mit Hingabe und als Vorbilder statt herrschsüchtig oder aus Gewinnsucht.</x:v>
      </x:c>
      <x:c r="X1132" s="36" t="str">
        <x:v>1. Petrus 5,1–4</x:v>
      </x:c>
      <x:c r="Y1132" s="36" t="str">
        <x:v>Petrus beschreibt geistliche Leitung als freiwilligen Hirtendienst mit Vorbildcharakter.</x:v>
      </x:c>
      <x:c r="Z1132" s="36" t="str">
        <x:v>JA</x:v>
      </x:c>
      <x:c r="AA1132" s="36" t="str">
        <x:v>JA</x:v>
      </x:c>
      <x:c r="AB1132" s="36" t="str">
        <x:v>JA</x:v>
      </x:c>
      <x:c r="AC1132" s="36" t="str">
        <x:v>JA</x:v>
      </x:c>
      <x:c r="AD1132" s="36" t="str">
        <x:v>JA</x:v>
      </x:c>
      <x:c r="AE1132" s="36" t="str">
        <x:v>JA</x:v>
      </x:c>
      <x:c r="AF1132" s="36" t="str">
        <x:v>JA</x:v>
      </x:c>
      <x:c r="AG1132" s="36" t="str">
        <x:v>FREIGEGEBEN</x:v>
      </x:c>
      <x:c r="AH1132" s="36" t="str">
        <x:v>GPT-5.6 Sol · Sammelprüfung Allgemeine Briefe · L1912/OTB</x:v>
      </x:c>
      <x:c r="AI1132" s="36" t="str">
        <x:v>FREIGEGEBEN</x:v>
      </x:c>
      <x:c r="AJ1132" s="36" t="str">
        <x:v>1. Petrus 5: neue textnahe LEITUNG-Frage redaktionell freigegeben.</x:v>
      </x:c>
      <x:c r="AK1132" s="36" t="str">
        <x:v>FaithPath repo develop/v4 · data/bibles/l1912/1PE.json · data/bibles/otb/1PE.json</x:v>
      </x:c>
      <x:c r="AL1132" t="str">
        <x:v>JA</x:v>
      </x:c>
    </x:row>
    <x:row r="1133">
      <x:c r="A1133" t="str">
        <x:v>FP-1392</x:v>
      </x:c>
      <x:c r="B1133" t="str">
        <x:v>1PE</x:v>
      </x:c>
      <x:c r="C1133" t="str">
        <x:v>1. Petrus</x:v>
      </x:c>
      <x:c r="D1133" t="n">
        <x:v>5</x:v>
      </x:c>
      <x:c r="E1133" t="n">
        <x:v>2</x:v>
      </x:c>
      <x:c r="F1133" t="str">
        <x:v>1PE-005</x:v>
      </x:c>
      <x:c r="G1133" t="n">
        <x:v>227</x:v>
      </x:c>
      <x:c r="H1133" t="str">
        <x:v>CQ-A20-26</x:v>
      </x:c>
      <x:c r="I1133" s="36" t="str">
        <x:v>Bestandsfrage: exakter Wortlaut in diesem Arbeitsschritt nicht rekonstruiert.</x:v>
      </x:c>
      <x:c r="J1133" s="36"/>
      <x:c r="K1133" s="36"/>
      <x:c r="L1133" s="36" t="str">
        <x:v>MASTER_STATUS_VERIFIZIERT</x:v>
      </x:c>
      <x:c r="M1133" s="36" t="str">
        <x:v>ERSETZEN</x:v>
      </x:c>
      <x:c r="N1133" s="36" t="str">
        <x:v>BESTAND_NOCH_NICHT_GEPRÜFT</x:v>
      </x:c>
      <x:c r="O1133" s="36" t="str">
        <x:v>DIDAKTISCHE_NEUFASSUNG</x:v>
      </x:c>
      <x:c r="P1133" s="36" t="str">
        <x:v>DEMUT</x:v>
      </x:c>
      <x:c r="Q1133" s="36" t="str">
        <x:v>Welche Haltung sollen alle im Umgang miteinander anziehen?</x:v>
      </x:c>
      <x:c r="R1133" s="36" t="str">
        <x:v>Überlegenheit.</x:v>
      </x:c>
      <x:c r="S1133" s="36" t="str">
        <x:v>Misstrauen.</x:v>
      </x:c>
      <x:c r="T1133" s="36" t="str">
        <x:v>Demut.</x:v>
      </x:c>
      <x:c r="U1133" s="36" t="str">
        <x:v>Gleichgültigkeit.</x:v>
      </x:c>
      <x:c r="V1133" s="36" t="n">
        <x:v>2</x:v>
      </x:c>
      <x:c r="W1133" s="36" t="str">
        <x:v>Demut.</x:v>
      </x:c>
      <x:c r="X1133" s="36" t="str">
        <x:v>1. Petrus 5,5–6</x:v>
      </x:c>
      <x:c r="Y1133" s="36" t="str">
        <x:v>Die Aufforderung zur Demut wird mit dem Grundsatz verbunden, dass Gott den Hochmütigen widersteht, den Demütigen aber Gnade gibt.</x:v>
      </x:c>
      <x:c r="Z1133" s="36" t="str">
        <x:v>JA</x:v>
      </x:c>
      <x:c r="AA1133" s="36" t="str">
        <x:v>JA</x:v>
      </x:c>
      <x:c r="AB1133" s="36" t="str">
        <x:v>JA</x:v>
      </x:c>
      <x:c r="AC1133" s="36" t="str">
        <x:v>JA</x:v>
      </x:c>
      <x:c r="AD1133" s="36" t="str">
        <x:v>JA</x:v>
      </x:c>
      <x:c r="AE1133" s="36" t="str">
        <x:v>JA</x:v>
      </x:c>
      <x:c r="AF1133" s="36" t="str">
        <x:v>JA</x:v>
      </x:c>
      <x:c r="AG1133" s="36" t="str">
        <x:v>FREIGEGEBEN</x:v>
      </x:c>
      <x:c r="AH1133" s="36" t="str">
        <x:v>GPT-5.6 Sol · Sammelprüfung Allgemeine Briefe · L1912/OTB</x:v>
      </x:c>
      <x:c r="AI1133" s="36" t="str">
        <x:v>FREIGEGEBEN</x:v>
      </x:c>
      <x:c r="AJ1133" s="36" t="str">
        <x:v>1. Petrus 5: neue textnahe DEMUT-Frage redaktionell freigegeben.</x:v>
      </x:c>
      <x:c r="AK1133" s="36" t="str">
        <x:v>FaithPath repo develop/v4 · data/bibles/l1912/1PE.json · data/bibles/otb/1PE.json</x:v>
      </x:c>
      <x:c r="AL1133" t="str">
        <x:v>JA</x:v>
      </x:c>
    </x:row>
    <x:row r="1134">
      <x:c r="A1134" t="str">
        <x:v>FP-1393</x:v>
      </x:c>
      <x:c r="B1134" t="str">
        <x:v>1PE</x:v>
      </x:c>
      <x:c r="C1134" t="str">
        <x:v>1. Petrus</x:v>
      </x:c>
      <x:c r="D1134" t="n">
        <x:v>5</x:v>
      </x:c>
      <x:c r="E1134" t="n">
        <x:v>3</x:v>
      </x:c>
      <x:c r="F1134" t="str">
        <x:v>1PE-005</x:v>
      </x:c>
      <x:c r="G1134" t="n">
        <x:v>227</x:v>
      </x:c>
      <x:c r="H1134" t="str">
        <x:v>CQ-A20-26</x:v>
      </x:c>
      <x:c r="I1134" s="36" t="str">
        <x:v>Bestandsfrage: exakter Wortlaut in diesem Arbeitsschritt nicht rekonstruiert.</x:v>
      </x:c>
      <x:c r="J1134" s="36"/>
      <x:c r="K1134" s="36"/>
      <x:c r="L1134" s="36" t="str">
        <x:v>MASTER_STATUS_VERIFIZIERT</x:v>
      </x:c>
      <x:c r="M1134" s="36" t="str">
        <x:v>ERSETZEN</x:v>
      </x:c>
      <x:c r="N1134" s="36" t="str">
        <x:v>BESTAND_NOCH_NICHT_GEPRÜFT</x:v>
      </x:c>
      <x:c r="O1134" s="36" t="str">
        <x:v>DIDAKTISCHE_NEUFASSUNG</x:v>
      </x:c>
      <x:c r="P1134" s="36" t="str">
        <x:v>SORGEN</x:v>
      </x:c>
      <x:c r="Q1134" s="36" t="str">
        <x:v>Was sollen Glaubende mit ihren Sorgen tun?</x:v>
      </x:c>
      <x:c r="R1134" s="36" t="str">
        <x:v>Sie grundsätzlich verbergen.</x:v>
      </x:c>
      <x:c r="S1134" s="36" t="str">
        <x:v>Sie nur mit sich selbst ausmachen.</x:v>
      </x:c>
      <x:c r="T1134" s="36" t="str">
        <x:v>Sie als Beweis mangelnden Glaubens betrachten.</x:v>
      </x:c>
      <x:c r="U1134" s="36" t="str">
        <x:v>Sie auf Gott werfen, weil er für sie sorgt.</x:v>
      </x:c>
      <x:c r="V1134" s="36" t="n">
        <x:v>3</x:v>
      </x:c>
      <x:c r="W1134" s="36" t="str">
        <x:v>Sie auf Gott werfen, weil er für sie sorgt.</x:v>
      </x:c>
      <x:c r="X1134" s="36" t="str">
        <x:v>1. Petrus 5,7</x:v>
      </x:c>
      <x:c r="Y1134" s="36" t="str">
        <x:v>Die kurze Aufforderung verbindet Demut mit konkretem Vertrauen auf Gottes Fürsorge.</x:v>
      </x:c>
      <x:c r="Z1134" s="36" t="str">
        <x:v>JA</x:v>
      </x:c>
      <x:c r="AA1134" s="36" t="str">
        <x:v>JA</x:v>
      </x:c>
      <x:c r="AB1134" s="36" t="str">
        <x:v>JA</x:v>
      </x:c>
      <x:c r="AC1134" s="36" t="str">
        <x:v>JA</x:v>
      </x:c>
      <x:c r="AD1134" s="36" t="str">
        <x:v>JA</x:v>
      </x:c>
      <x:c r="AE1134" s="36" t="str">
        <x:v>JA</x:v>
      </x:c>
      <x:c r="AF1134" s="36" t="str">
        <x:v>JA</x:v>
      </x:c>
      <x:c r="AG1134" s="36" t="str">
        <x:v>FREIGEGEBEN</x:v>
      </x:c>
      <x:c r="AH1134" s="36" t="str">
        <x:v>GPT-5.6 Sol · Sammelprüfung Allgemeine Briefe · L1912/OTB</x:v>
      </x:c>
      <x:c r="AI1134" s="36" t="str">
        <x:v>FREIGEGEBEN</x:v>
      </x:c>
      <x:c r="AJ1134" s="36" t="str">
        <x:v>1. Petrus 5: neue textnahe SORGEN-Frage redaktionell freigegeben.</x:v>
      </x:c>
      <x:c r="AK1134" s="36" t="str">
        <x:v>FaithPath repo develop/v4 · data/bibles/l1912/1PE.json · data/bibles/otb/1PE.json</x:v>
      </x:c>
      <x:c r="AL1134" t="str">
        <x:v>JA</x:v>
      </x:c>
    </x:row>
    <x:row r="1135">
      <x:c r="A1135" t="str">
        <x:v>FP-1394</x:v>
      </x:c>
      <x:c r="B1135" t="str">
        <x:v>1PE</x:v>
      </x:c>
      <x:c r="C1135" t="str">
        <x:v>1. Petrus</x:v>
      </x:c>
      <x:c r="D1135" t="n">
        <x:v>5</x:v>
      </x:c>
      <x:c r="E1135" t="n">
        <x:v>4</x:v>
      </x:c>
      <x:c r="F1135" t="str">
        <x:v>1PE-005</x:v>
      </x:c>
      <x:c r="G1135" t="n">
        <x:v>227</x:v>
      </x:c>
      <x:c r="H1135" t="str">
        <x:v>CQ-A20-26</x:v>
      </x:c>
      <x:c r="I1135" s="36" t="str">
        <x:v>Bestandsfrage: exakter Wortlaut in diesem Arbeitsschritt nicht rekonstruiert.</x:v>
      </x:c>
      <x:c r="J1135" s="36"/>
      <x:c r="K1135" s="36"/>
      <x:c r="L1135" s="36" t="str">
        <x:v>MASTER_STATUS_VERIFIZIERT</x:v>
      </x:c>
      <x:c r="M1135" s="36" t="str">
        <x:v>ERSETZEN</x:v>
      </x:c>
      <x:c r="N1135" s="36" t="str">
        <x:v>BESTAND_NOCH_NICHT_GEPRÜFT</x:v>
      </x:c>
      <x:c r="O1135" s="36" t="str">
        <x:v>DIDAKTISCHE_NEUFASSUNG</x:v>
      </x:c>
      <x:c r="P1135" s="36" t="str">
        <x:v>WACHSAMKEIT</x:v>
      </x:c>
      <x:c r="Q1135" s="36" t="str">
        <x:v>Wie beschreibt Petrus den Widersacher und die angemessene Reaktion?</x:v>
      </x:c>
      <x:c r="R1135" s="36" t="str">
        <x:v>Wie einen brüllenden Löwen; ihm soll fest im Glauben widerstanden werden.</x:v>
      </x:c>
      <x:c r="S1135" s="36" t="str">
        <x:v>Wie einen ungefährlichen Zuschauer, den man ignorieren kann.</x:v>
      </x:c>
      <x:c r="T1135" s="36" t="str">
        <x:v>Wie einen Verbündeten in Prüfungen.</x:v>
      </x:c>
      <x:c r="U1135" s="36" t="str">
        <x:v>Wie eine rein symbolische Idee ohne Bedeutung.</x:v>
      </x:c>
      <x:c r="V1135" s="36" t="n">
        <x:v>0</x:v>
      </x:c>
      <x:c r="W1135" s="36" t="str">
        <x:v>Wie einen brüllenden Löwen; ihm soll fest im Glauben widerstanden werden.</x:v>
      </x:c>
      <x:c r="X1135" s="36" t="str">
        <x:v>1. Petrus 5,8–9</x:v>
      </x:c>
      <x:c r="Y1135" s="36" t="str">
        <x:v>Nüchternheit und Wachsamkeit sind nötig; Widerstand geschieht in festem Glauben und im Wissen um die Leiden anderer Christen.</x:v>
      </x:c>
      <x:c r="Z1135" s="36" t="str">
        <x:v>JA</x:v>
      </x:c>
      <x:c r="AA1135" s="36" t="str">
        <x:v>JA</x:v>
      </x:c>
      <x:c r="AB1135" s="36" t="str">
        <x:v>JA</x:v>
      </x:c>
      <x:c r="AC1135" s="36" t="str">
        <x:v>JA</x:v>
      </x:c>
      <x:c r="AD1135" s="36" t="str">
        <x:v>JA</x:v>
      </x:c>
      <x:c r="AE1135" s="36" t="str">
        <x:v>JA</x:v>
      </x:c>
      <x:c r="AF1135" s="36" t="str">
        <x:v>JA</x:v>
      </x:c>
      <x:c r="AG1135" s="36" t="str">
        <x:v>FREIGEGEBEN</x:v>
      </x:c>
      <x:c r="AH1135" s="36" t="str">
        <x:v>GPT-5.6 Sol · Sammelprüfung Allgemeine Briefe · L1912/OTB</x:v>
      </x:c>
      <x:c r="AI1135" s="36" t="str">
        <x:v>FREIGEGEBEN</x:v>
      </x:c>
      <x:c r="AJ1135" s="36" t="str">
        <x:v>1. Petrus 5: neue textnahe WACHSAMKEIT-Frage redaktionell freigegeben.</x:v>
      </x:c>
      <x:c r="AK1135" s="36" t="str">
        <x:v>FaithPath repo develop/v4 · data/bibles/l1912/1PE.json · data/bibles/otb/1PE.json</x:v>
      </x:c>
      <x:c r="AL1135" t="str">
        <x:v>JA</x:v>
      </x:c>
    </x:row>
    <x:row r="1136">
      <x:c r="A1136" t="str">
        <x:v>FP-1395</x:v>
      </x:c>
      <x:c r="B1136" t="str">
        <x:v>1PE</x:v>
      </x:c>
      <x:c r="C1136" t="str">
        <x:v>1. Petrus</x:v>
      </x:c>
      <x:c r="D1136" t="n">
        <x:v>5</x:v>
      </x:c>
      <x:c r="E1136" t="n">
        <x:v>5</x:v>
      </x:c>
      <x:c r="F1136" t="str">
        <x:v>1PE-005</x:v>
      </x:c>
      <x:c r="G1136" t="n">
        <x:v>227</x:v>
      </x:c>
      <x:c r="H1136" t="str">
        <x:v>CQ-A20-26</x:v>
      </x:c>
      <x:c r="I1136" s="36" t="str">
        <x:v>Bestandsfrage: exakter Wortlaut in diesem Arbeitsschritt nicht rekonstruiert.</x:v>
      </x:c>
      <x:c r="J1136" s="36"/>
      <x:c r="K1136" s="36"/>
      <x:c r="L1136" s="36" t="str">
        <x:v>MASTER_STATUS_VERIFIZIERT</x:v>
      </x:c>
      <x:c r="M1136" s="36" t="str">
        <x:v>ERSETZEN</x:v>
      </x:c>
      <x:c r="N1136" s="36" t="str">
        <x:v>BESTAND_NOCH_NICHT_GEPRÜFT</x:v>
      </x:c>
      <x:c r="O1136" s="36" t="str">
        <x:v>DIDAKTISCHE_NEUFASSUNG</x:v>
      </x:c>
      <x:c r="P1136" s="36" t="str">
        <x:v>ZUVERSICHT</x:v>
      </x:c>
      <x:c r="Q1136" s="36" t="str">
        <x:v>Was verheißt Petrus nach einer kurzen Zeit des Leidens?</x:v>
      </x:c>
      <x:c r="R1136" s="36" t="str">
        <x:v>Gott werde jede Erinnerung an Leiden auslöschen, bevor es endet.</x:v>
      </x:c>
      <x:c r="S1136" s="36" t="str">
        <x:v>Der Gott aller Gnade wird selbst wiederherstellen, stärken, kräftigen und gründen.</x:v>
      </x:c>
      <x:c r="T1136" s="36" t="str">
        <x:v>Leiden werde immer sofort beendet.</x:v>
      </x:c>
      <x:c r="U1136" s="36" t="str">
        <x:v>Nur menschliche Stärke könne Stabilität geben.</x:v>
      </x:c>
      <x:c r="V1136" s="36" t="n">
        <x:v>1</x:v>
      </x:c>
      <x:c r="W1136" s="36" t="str">
        <x:v>Der Gott aller Gnade wird selbst wiederherstellen, stärken, kräftigen und gründen.</x:v>
      </x:c>
      <x:c r="X1136" s="36" t="str">
        <x:v>1. Petrus 5,10–12</x:v>
      </x:c>
      <x:c r="Y1136" s="36" t="str">
        <x:v>Die Schlusszuversicht ruht auf Gottes Gnade und seiner eigenen wiederherstellenden Wirkung.</x:v>
      </x:c>
      <x:c r="Z1136" s="36" t="str">
        <x:v>JA</x:v>
      </x:c>
      <x:c r="AA1136" s="36" t="str">
        <x:v>JA</x:v>
      </x:c>
      <x:c r="AB1136" s="36" t="str">
        <x:v>JA</x:v>
      </x:c>
      <x:c r="AC1136" s="36" t="str">
        <x:v>JA</x:v>
      </x:c>
      <x:c r="AD1136" s="36" t="str">
        <x:v>JA</x:v>
      </x:c>
      <x:c r="AE1136" s="36" t="str">
        <x:v>JA</x:v>
      </x:c>
      <x:c r="AF1136" s="36" t="str">
        <x:v>JA</x:v>
      </x:c>
      <x:c r="AG1136" s="36" t="str">
        <x:v>FREIGEGEBEN</x:v>
      </x:c>
      <x:c r="AH1136" s="36" t="str">
        <x:v>GPT-5.6 Sol · Sammelprüfung Allgemeine Briefe · L1912/OTB</x:v>
      </x:c>
      <x:c r="AI1136" s="36" t="str">
        <x:v>FREIGEGEBEN</x:v>
      </x:c>
      <x:c r="AJ1136" s="36" t="str">
        <x:v>1. Petrus 5: neue textnahe ZUVERSICHT-Frage redaktionell freigegeben.</x:v>
      </x:c>
      <x:c r="AK1136" s="36" t="str">
        <x:v>FaithPath repo develop/v4 · data/bibles/l1912/1PE.json · data/bibles/otb/1PE.json</x:v>
      </x:c>
      <x:c r="AL1136" t="str">
        <x:v>JA</x:v>
      </x:c>
    </x:row>
    <x:row r="1137">
      <x:c r="A1137" t="str">
        <x:v>FP-1396</x:v>
      </x:c>
      <x:c r="B1137" t="str">
        <x:v>2PE</x:v>
      </x:c>
      <x:c r="C1137" t="str">
        <x:v>2. Petrus</x:v>
      </x:c>
      <x:c r="D1137" t="n">
        <x:v>1</x:v>
      </x:c>
      <x:c r="E1137" t="n">
        <x:v>1</x:v>
      </x:c>
      <x:c r="F1137" t="str">
        <x:v>2PE-001</x:v>
      </x:c>
      <x:c r="G1137" t="n">
        <x:v>228</x:v>
      </x:c>
      <x:c r="H1137" t="str">
        <x:v>CQ-A20-26</x:v>
      </x:c>
      <x:c r="I1137" s="36" t="str">
        <x:v>Bestandsfrage: exakter Wortlaut in diesem Arbeitsschritt nicht rekonstruiert.</x:v>
      </x:c>
      <x:c r="J1137" s="36"/>
      <x:c r="K1137" s="36"/>
      <x:c r="L1137" s="36" t="str">
        <x:v>MASTER_STATUS_VERIFIZIERT</x:v>
      </x:c>
      <x:c r="M1137" s="36" t="str">
        <x:v>ERSETZEN</x:v>
      </x:c>
      <x:c r="N1137" s="36" t="str">
        <x:v>BESTAND_NOCH_NICHT_GEPRÜFT</x:v>
      </x:c>
      <x:c r="O1137" s="36" t="str">
        <x:v>DIDAKTISCHE_NEUFASSUNG</x:v>
      </x:c>
      <x:c r="P1137" s="36" t="str">
        <x:v>AUSRÜSTUNG</x:v>
      </x:c>
      <x:c r="Q1137" s="36" t="str">
        <x:v>Was hat Gottes göttliche Kraft den Glaubenden nach 2. Petrus 1 geschenkt?</x:v>
      </x:c>
      <x:c r="R1137" s="36" t="str">
        <x:v>Nur Wissen ohne Lebensbezug.</x:v>
      </x:c>
      <x:c r="S1137" s="36" t="str">
        <x:v>Eine Garantie auf Reichtum.</x:v>
      </x:c>
      <x:c r="T1137" s="36" t="str">
        <x:v>Alles, was zum Leben und zur Gottesfurcht dient.</x:v>
      </x:c>
      <x:c r="U1137" s="36" t="str">
        <x:v>Unabhängigkeit von Gottes Verheißungen.</x:v>
      </x:c>
      <x:c r="V1137" s="36" t="n">
        <x:v>2</x:v>
      </x:c>
      <x:c r="W1137" s="36" t="str">
        <x:v>Alles, was zum Leben und zur Gottesfurcht dient.</x:v>
      </x:c>
      <x:c r="X1137" s="36" t="str">
        <x:v>2. Petrus 1,2–4</x:v>
      </x:c>
      <x:c r="Y1137" s="36" t="str">
        <x:v>Petrus begründet geistliches Wachstum mit Gottes vorausgehender Gabe und seinen kostbaren Verheißungen.</x:v>
      </x:c>
      <x:c r="Z1137" s="36" t="str">
        <x:v>JA</x:v>
      </x:c>
      <x:c r="AA1137" s="36" t="str">
        <x:v>JA</x:v>
      </x:c>
      <x:c r="AB1137" s="36" t="str">
        <x:v>JA</x:v>
      </x:c>
      <x:c r="AC1137" s="36" t="str">
        <x:v>JA</x:v>
      </x:c>
      <x:c r="AD1137" s="36" t="str">
        <x:v>JA</x:v>
      </x:c>
      <x:c r="AE1137" s="36" t="str">
        <x:v>JA</x:v>
      </x:c>
      <x:c r="AF1137" s="36" t="str">
        <x:v>JA</x:v>
      </x:c>
      <x:c r="AG1137" s="36" t="str">
        <x:v>FREIGEGEBEN</x:v>
      </x:c>
      <x:c r="AH1137" s="36" t="str">
        <x:v>GPT-5.6 Sol · Sammelprüfung Allgemeine Briefe · L1912/OTB</x:v>
      </x:c>
      <x:c r="AI1137" s="36" t="str">
        <x:v>FREIGEGEBEN</x:v>
      </x:c>
      <x:c r="AJ1137" s="36" t="str">
        <x:v>2. Petrus 1: neue textnahe AUSRÜSTUNG-Frage redaktionell freigegeben.</x:v>
      </x:c>
      <x:c r="AK1137" s="36" t="str">
        <x:v>FaithPath repo develop/v4 · data/bibles/l1912/2PE.json · data/bibles/otb/2PE.json</x:v>
      </x:c>
      <x:c r="AL1137" t="str">
        <x:v>JA</x:v>
      </x:c>
    </x:row>
    <x:row r="1138">
      <x:c r="A1138" t="str">
        <x:v>FP-1397</x:v>
      </x:c>
      <x:c r="B1138" t="str">
        <x:v>2PE</x:v>
      </x:c>
      <x:c r="C1138" t="str">
        <x:v>2. Petrus</x:v>
      </x:c>
      <x:c r="D1138" t="n">
        <x:v>1</x:v>
      </x:c>
      <x:c r="E1138" t="n">
        <x:v>2</x:v>
      </x:c>
      <x:c r="F1138" t="str">
        <x:v>2PE-001</x:v>
      </x:c>
      <x:c r="G1138" t="n">
        <x:v>228</x:v>
      </x:c>
      <x:c r="H1138" t="str">
        <x:v>CQ-A20-26</x:v>
      </x:c>
      <x:c r="I1138" s="36" t="str">
        <x:v>Bestandsfrage: exakter Wortlaut in diesem Arbeitsschritt nicht rekonstruiert.</x:v>
      </x:c>
      <x:c r="J1138" s="36"/>
      <x:c r="K1138" s="36"/>
      <x:c r="L1138" s="36" t="str">
        <x:v>MASTER_STATUS_VERIFIZIERT</x:v>
      </x:c>
      <x:c r="M1138" s="36" t="str">
        <x:v>ERSETZEN</x:v>
      </x:c>
      <x:c r="N1138" s="36" t="str">
        <x:v>BESTAND_NOCH_NICHT_GEPRÜFT</x:v>
      </x:c>
      <x:c r="O1138" s="36" t="str">
        <x:v>DIDAKTISCHE_NEUFASSUNG</x:v>
      </x:c>
      <x:c r="P1138" s="36" t="str">
        <x:v>WACHSTUM</x:v>
      </x:c>
      <x:c r="Q1138" s="36" t="str">
        <x:v>Welche Entwicklungskette nennt Petrus für ein fruchtbares Glaubensleben?</x:v>
      </x:c>
      <x:c r="R1138" s="36" t="str">
        <x:v>Vom Glauben zur Selbstgenügsamkeit und zum Stolz.</x:v>
      </x:c>
      <x:c r="S1138" s="36" t="str">
        <x:v>Von Erkenntnis zu Gleichgültigkeit.</x:v>
      </x:c>
      <x:c r="T1138" s="36" t="str">
        <x:v>Von Liebe zu Konkurrenz.</x:v>
      </x:c>
      <x:c r="U1138" s="36" t="str">
        <x:v>Zum Glauben Tugend, Erkenntnis, Selbstbeherrschung, Ausdauer, Gottesfurcht, Bruderliebe und Liebe hinzufügen.</x:v>
      </x:c>
      <x:c r="V1138" s="36" t="n">
        <x:v>3</x:v>
      </x:c>
      <x:c r="W1138" s="36" t="str">
        <x:v>Zum Glauben Tugend, Erkenntnis, Selbstbeherrschung, Ausdauer, Gottesfurcht, Bruderliebe und Liebe hinzufügen.</x:v>
      </x:c>
      <x:c r="X1138" s="36" t="str">
        <x:v>2. Petrus 1,5–8</x:v>
      </x:c>
      <x:c r="Y1138" s="36" t="str">
        <x:v>Die Reihe beschreibt bewusste geistliche Entwicklung; zunehmende Eigenschaften bewahren vor Unfruchtbarkeit.</x:v>
      </x:c>
      <x:c r="Z1138" s="36" t="str">
        <x:v>JA</x:v>
      </x:c>
      <x:c r="AA1138" s="36" t="str">
        <x:v>JA</x:v>
      </x:c>
      <x:c r="AB1138" s="36" t="str">
        <x:v>JA</x:v>
      </x:c>
      <x:c r="AC1138" s="36" t="str">
        <x:v>JA</x:v>
      </x:c>
      <x:c r="AD1138" s="36" t="str">
        <x:v>JA</x:v>
      </x:c>
      <x:c r="AE1138" s="36" t="str">
        <x:v>JA</x:v>
      </x:c>
      <x:c r="AF1138" s="36" t="str">
        <x:v>JA</x:v>
      </x:c>
      <x:c r="AG1138" s="36" t="str">
        <x:v>FREIGEGEBEN</x:v>
      </x:c>
      <x:c r="AH1138" s="36" t="str">
        <x:v>GPT-5.6 Sol · Sammelprüfung Allgemeine Briefe · L1912/OTB</x:v>
      </x:c>
      <x:c r="AI1138" s="36" t="str">
        <x:v>FREIGEGEBEN</x:v>
      </x:c>
      <x:c r="AJ1138" s="36" t="str">
        <x:v>2. Petrus 1: neue textnahe WACHSTUM-Frage redaktionell freigegeben.</x:v>
      </x:c>
      <x:c r="AK1138" s="36" t="str">
        <x:v>FaithPath repo develop/v4 · data/bibles/l1912/2PE.json · data/bibles/otb/2PE.json</x:v>
      </x:c>
      <x:c r="AL1138" t="str">
        <x:v>JA</x:v>
      </x:c>
    </x:row>
    <x:row r="1139">
      <x:c r="A1139" t="str">
        <x:v>FP-1398</x:v>
      </x:c>
      <x:c r="B1139" t="str">
        <x:v>2PE</x:v>
      </x:c>
      <x:c r="C1139" t="str">
        <x:v>2. Petrus</x:v>
      </x:c>
      <x:c r="D1139" t="n">
        <x:v>1</x:v>
      </x:c>
      <x:c r="E1139" t="n">
        <x:v>3</x:v>
      </x:c>
      <x:c r="F1139" t="str">
        <x:v>2PE-001</x:v>
      </x:c>
      <x:c r="G1139" t="n">
        <x:v>228</x:v>
      </x:c>
      <x:c r="H1139" t="str">
        <x:v>CQ-A20-26</x:v>
      </x:c>
      <x:c r="I1139" s="36" t="str">
        <x:v>Bestandsfrage: exakter Wortlaut in diesem Arbeitsschritt nicht rekonstruiert.</x:v>
      </x:c>
      <x:c r="J1139" s="36"/>
      <x:c r="K1139" s="36"/>
      <x:c r="L1139" s="36" t="str">
        <x:v>MASTER_STATUS_VERIFIZIERT</x:v>
      </x:c>
      <x:c r="M1139" s="36" t="str">
        <x:v>ERSETZEN</x:v>
      </x:c>
      <x:c r="N1139" s="36" t="str">
        <x:v>BESTAND_NOCH_NICHT_GEPRÜFT</x:v>
      </x:c>
      <x:c r="O1139" s="36" t="str">
        <x:v>DIDAKTISCHE_NEUFASSUNG</x:v>
      </x:c>
      <x:c r="P1139" s="36" t="str">
        <x:v>BERUFUNG</x:v>
      </x:c>
      <x:c r="Q1139" s="36" t="str">
        <x:v>Warum sollen Glaubende ihre Berufung und Erwählung festmachen?</x:v>
      </x:c>
      <x:c r="R1139" s="36" t="str">
        <x:v>Weil ein Leben in diesen Tugenden Standfestigkeit fördert und auf den Eingang in Christi Reich ausgerichtet ist.</x:v>
      </x:c>
      <x:c r="S1139" s="36" t="str">
        <x:v>Weil sie sich dadurch selbst retten ohne Christus.</x:v>
      </x:c>
      <x:c r="T1139" s="36" t="str">
        <x:v>Weil Berufung nur durch öffentliche Anerkennung gilt.</x:v>
      </x:c>
      <x:c r="U1139" s="36" t="str">
        <x:v>Weil sie damit andere Christen übertreffen.</x:v>
      </x:c>
      <x:c r="V1139" s="36" t="n">
        <x:v>0</x:v>
      </x:c>
      <x:c r="W1139" s="36" t="str">
        <x:v>Weil ein Leben in diesen Tugenden Standfestigkeit fördert und auf den Eingang in Christi Reich ausgerichtet ist.</x:v>
      </x:c>
      <x:c r="X1139" s="36" t="str">
        <x:v>2. Petrus 1,9–11</x:v>
      </x:c>
      <x:c r="Y1139" s="36" t="str">
        <x:v>Petrus verbindet Erinnerung an Reinigung, praktisches Wachstum und feste Ausrichtung auf das ewige Reich.</x:v>
      </x:c>
      <x:c r="Z1139" s="36" t="str">
        <x:v>JA</x:v>
      </x:c>
      <x:c r="AA1139" s="36" t="str">
        <x:v>JA</x:v>
      </x:c>
      <x:c r="AB1139" s="36" t="str">
        <x:v>JA</x:v>
      </x:c>
      <x:c r="AC1139" s="36" t="str">
        <x:v>JA</x:v>
      </x:c>
      <x:c r="AD1139" s="36" t="str">
        <x:v>JA</x:v>
      </x:c>
      <x:c r="AE1139" s="36" t="str">
        <x:v>JA</x:v>
      </x:c>
      <x:c r="AF1139" s="36" t="str">
        <x:v>JA</x:v>
      </x:c>
      <x:c r="AG1139" s="36" t="str">
        <x:v>FREIGEGEBEN</x:v>
      </x:c>
      <x:c r="AH1139" s="36" t="str">
        <x:v>GPT-5.6 Sol · Sammelprüfung Allgemeine Briefe · L1912/OTB</x:v>
      </x:c>
      <x:c r="AI1139" s="36" t="str">
        <x:v>FREIGEGEBEN</x:v>
      </x:c>
      <x:c r="AJ1139" s="36" t="str">
        <x:v>2. Petrus 1: neue textnahe BERUFUNG-Frage redaktionell freigegeben.</x:v>
      </x:c>
      <x:c r="AK1139" s="36" t="str">
        <x:v>FaithPath repo develop/v4 · data/bibles/l1912/2PE.json · data/bibles/otb/2PE.json</x:v>
      </x:c>
      <x:c r="AL1139" t="str">
        <x:v>JA</x:v>
      </x:c>
    </x:row>
    <x:row r="1140">
      <x:c r="A1140" t="str">
        <x:v>FP-1399</x:v>
      </x:c>
      <x:c r="B1140" t="str">
        <x:v>2PE</x:v>
      </x:c>
      <x:c r="C1140" t="str">
        <x:v>2. Petrus</x:v>
      </x:c>
      <x:c r="D1140" t="n">
        <x:v>1</x:v>
      </x:c>
      <x:c r="E1140" t="n">
        <x:v>4</x:v>
      </x:c>
      <x:c r="F1140" t="str">
        <x:v>2PE-001</x:v>
      </x:c>
      <x:c r="G1140" t="n">
        <x:v>228</x:v>
      </x:c>
      <x:c r="H1140" t="str">
        <x:v>CQ-A20-26</x:v>
      </x:c>
      <x:c r="I1140" s="36" t="str">
        <x:v>Bestandsfrage: exakter Wortlaut in diesem Arbeitsschritt nicht rekonstruiert.</x:v>
      </x:c>
      <x:c r="J1140" s="36"/>
      <x:c r="K1140" s="36"/>
      <x:c r="L1140" s="36" t="str">
        <x:v>MASTER_STATUS_VERIFIZIERT</x:v>
      </x:c>
      <x:c r="M1140" s="36" t="str">
        <x:v>ERSETZEN</x:v>
      </x:c>
      <x:c r="N1140" s="36" t="str">
        <x:v>BESTAND_NOCH_NICHT_GEPRÜFT</x:v>
      </x:c>
      <x:c r="O1140" s="36" t="str">
        <x:v>DIDAKTISCHE_NEUFASSUNG</x:v>
      </x:c>
      <x:c r="P1140" s="36" t="str">
        <x:v>AUGENZEUGEN</x:v>
      </x:c>
      <x:c r="Q1140" s="36" t="str">
        <x:v>Warum weist Petrus die Vorstellung erfundener Geschichten zurück?</x:v>
      </x:c>
      <x:c r="R1140" s="36" t="str">
        <x:v>Weil keine Erzählung in der Gemeinde erlaubt war.</x:v>
      </x:c>
      <x:c r="S1140" s="36" t="str">
        <x:v>Weil er und andere Augenzeugen der Majestät Jesu waren und die Stimme auf dem heiligen Berg hörten.</x:v>
      </x:c>
      <x:c r="T1140" s="36" t="str">
        <x:v>Weil er selbst nie etwas von Jesus gesehen hatte.</x:v>
      </x:c>
      <x:c r="U1140" s="36" t="str">
        <x:v>Weil nur Propheten Jesus kannten.</x:v>
      </x:c>
      <x:c r="V1140" s="36" t="n">
        <x:v>1</x:v>
      </x:c>
      <x:c r="W1140" s="36" t="str">
        <x:v>Weil er und andere Augenzeugen der Majestät Jesu waren und die Stimme auf dem heiligen Berg hörten.</x:v>
      </x:c>
      <x:c r="X1140" s="36" t="str">
        <x:v>2. Petrus 1,16–18</x:v>
      </x:c>
      <x:c r="Y1140" s="36" t="str">
        <x:v>Petrus verweist auf die Verklärungserfahrung als Augenzeugenzeugnis für Jesu Majestät.</x:v>
      </x:c>
      <x:c r="Z1140" s="36" t="str">
        <x:v>JA</x:v>
      </x:c>
      <x:c r="AA1140" s="36" t="str">
        <x:v>JA</x:v>
      </x:c>
      <x:c r="AB1140" s="36" t="str">
        <x:v>JA</x:v>
      </x:c>
      <x:c r="AC1140" s="36" t="str">
        <x:v>JA</x:v>
      </x:c>
      <x:c r="AD1140" s="36" t="str">
        <x:v>JA</x:v>
      </x:c>
      <x:c r="AE1140" s="36" t="str">
        <x:v>JA</x:v>
      </x:c>
      <x:c r="AF1140" s="36" t="str">
        <x:v>JA</x:v>
      </x:c>
      <x:c r="AG1140" s="36" t="str">
        <x:v>FREIGEGEBEN</x:v>
      </x:c>
      <x:c r="AH1140" s="36" t="str">
        <x:v>GPT-5.6 Sol · Sammelprüfung Allgemeine Briefe · L1912/OTB</x:v>
      </x:c>
      <x:c r="AI1140" s="36" t="str">
        <x:v>FREIGEGEBEN</x:v>
      </x:c>
      <x:c r="AJ1140" s="36" t="str">
        <x:v>2. Petrus 1: neue textnahe AUGENZEUGEN-Frage redaktionell freigegeben.</x:v>
      </x:c>
      <x:c r="AK1140" s="36" t="str">
        <x:v>FaithPath repo develop/v4 · data/bibles/l1912/2PE.json · data/bibles/otb/2PE.json</x:v>
      </x:c>
      <x:c r="AL1140" t="str">
        <x:v>JA</x:v>
      </x:c>
    </x:row>
    <x:row r="1141">
      <x:c r="A1141" t="str">
        <x:v>FP-1400</x:v>
      </x:c>
      <x:c r="B1141" t="str">
        <x:v>2PE</x:v>
      </x:c>
      <x:c r="C1141" t="str">
        <x:v>2. Petrus</x:v>
      </x:c>
      <x:c r="D1141" t="n">
        <x:v>1</x:v>
      </x:c>
      <x:c r="E1141" t="n">
        <x:v>5</x:v>
      </x:c>
      <x:c r="F1141" t="str">
        <x:v>2PE-001</x:v>
      </x:c>
      <x:c r="G1141" t="n">
        <x:v>228</x:v>
      </x:c>
      <x:c r="H1141" t="str">
        <x:v>CQ-A20-26</x:v>
      </x:c>
      <x:c r="I1141" s="36" t="str">
        <x:v>Bestandsfrage: exakter Wortlaut in diesem Arbeitsschritt nicht rekonstruiert.</x:v>
      </x:c>
      <x:c r="J1141" s="36"/>
      <x:c r="K1141" s="36"/>
      <x:c r="L1141" s="36" t="str">
        <x:v>MASTER_STATUS_VERIFIZIERT</x:v>
      </x:c>
      <x:c r="M1141" s="36" t="str">
        <x:v>ERSETZEN</x:v>
      </x:c>
      <x:c r="N1141" s="36" t="str">
        <x:v>BESTAND_NOCH_NICHT_GEPRÜFT</x:v>
      </x:c>
      <x:c r="O1141" s="36" t="str">
        <x:v>DIDAKTISCHE_NEUFASSUNG</x:v>
      </x:c>
      <x:c r="P1141" s="36" t="str">
        <x:v>SCHRIFT</x:v>
      </x:c>
      <x:c r="Q1141" s="36" t="str">
        <x:v>Wie beschreibt Petrus den Ursprung prophetischer Schrift?</x:v>
      </x:c>
      <x:c r="R1141" s="36" t="str">
        <x:v>Prophetie entstand nur aus persönlicher Fantasie.</x:v>
      </x:c>
      <x:c r="S1141" s="36" t="str">
        <x:v>Jede Auslegung erzeugt neue Offenbarung.</x:v>
      </x:c>
      <x:c r="T1141" s="36" t="str">
        <x:v>Menschen redeten von Gott her, vom Heiligen Geist getragen, nicht aus eigenem menschlichem Willen.</x:v>
      </x:c>
      <x:c r="U1141" s="36" t="str">
        <x:v>Propheten sprachen ausschließlich im eigenen Interesse.</x:v>
      </x:c>
      <x:c r="V1141" s="36" t="n">
        <x:v>2</x:v>
      </x:c>
      <x:c r="W1141" s="36" t="str">
        <x:v>Menschen redeten von Gott her, vom Heiligen Geist getragen, nicht aus eigenem menschlichem Willen.</x:v>
      </x:c>
      <x:c r="X1141" s="36" t="str">
        <x:v>2. Petrus 1,19–21</x:v>
      </x:c>
      <x:c r="Y1141" s="36" t="str">
        <x:v>Petrus verbindet Aufmerksamkeit auf das prophetische Wort mit dessen Ursprung im Wirken des Heiligen Geistes.</x:v>
      </x:c>
      <x:c r="Z1141" s="36" t="str">
        <x:v>JA</x:v>
      </x:c>
      <x:c r="AA1141" s="36" t="str">
        <x:v>JA</x:v>
      </x:c>
      <x:c r="AB1141" s="36" t="str">
        <x:v>JA</x:v>
      </x:c>
      <x:c r="AC1141" s="36" t="str">
        <x:v>JA</x:v>
      </x:c>
      <x:c r="AD1141" s="36" t="str">
        <x:v>JA</x:v>
      </x:c>
      <x:c r="AE1141" s="36" t="str">
        <x:v>JA</x:v>
      </x:c>
      <x:c r="AF1141" s="36" t="str">
        <x:v>JA</x:v>
      </x:c>
      <x:c r="AG1141" s="36" t="str">
        <x:v>FREIGEGEBEN</x:v>
      </x:c>
      <x:c r="AH1141" s="36" t="str">
        <x:v>GPT-5.6 Sol · Sammelprüfung Allgemeine Briefe · L1912/OTB</x:v>
      </x:c>
      <x:c r="AI1141" s="36" t="str">
        <x:v>FREIGEGEBEN</x:v>
      </x:c>
      <x:c r="AJ1141" s="36" t="str">
        <x:v>2. Petrus 1: neue textnahe SCHRIFT-Frage redaktionell freigegeben.</x:v>
      </x:c>
      <x:c r="AK1141" s="36" t="str">
        <x:v>FaithPath repo develop/v4 · data/bibles/l1912/2PE.json · data/bibles/otb/2PE.json</x:v>
      </x:c>
      <x:c r="AL1141" t="str">
        <x:v>JA</x:v>
      </x:c>
    </x:row>
    <x:row r="1142">
      <x:c r="A1142" t="str">
        <x:v>FP-1401</x:v>
      </x:c>
      <x:c r="B1142" t="str">
        <x:v>2PE</x:v>
      </x:c>
      <x:c r="C1142" t="str">
        <x:v>2. Petrus</x:v>
      </x:c>
      <x:c r="D1142" t="n">
        <x:v>2</x:v>
      </x:c>
      <x:c r="E1142" t="n">
        <x:v>1</x:v>
      </x:c>
      <x:c r="F1142" t="str">
        <x:v>2PE-002</x:v>
      </x:c>
      <x:c r="G1142" t="n">
        <x:v>229</x:v>
      </x:c>
      <x:c r="H1142" t="str">
        <x:v>CQ-A20-26</x:v>
      </x:c>
      <x:c r="I1142" s="36" t="str">
        <x:v>Bestandsfrage: exakter Wortlaut in diesem Arbeitsschritt nicht rekonstruiert.</x:v>
      </x:c>
      <x:c r="J1142" s="36"/>
      <x:c r="K1142" s="36"/>
      <x:c r="L1142" s="36" t="str">
        <x:v>MASTER_STATUS_VERIFIZIERT</x:v>
      </x:c>
      <x:c r="M1142" s="36" t="str">
        <x:v>ERSETZEN</x:v>
      </x:c>
      <x:c r="N1142" s="36" t="str">
        <x:v>BESTAND_NOCH_NICHT_GEPRÜFT</x:v>
      </x:c>
      <x:c r="O1142" s="36" t="str">
        <x:v>DIDAKTISCHE_NEUFASSUNG</x:v>
      </x:c>
      <x:c r="P1142" s="36" t="str">
        <x:v>FALSCHE_LEHRER</x:v>
      </x:c>
      <x:c r="Q1142" s="36" t="str">
        <x:v>Welche Merkmale nennt Petrus zu Beginn für falsche Lehrer?</x:v>
      </x:c>
      <x:c r="R1142" s="36" t="str">
        <x:v>Sie stellen immer offen klar, dass sie täuschen.</x:v>
      </x:c>
      <x:c r="S1142" s="36" t="str">
        <x:v>Sie suchen niemals persönlichen Gewinn.</x:v>
      </x:c>
      <x:c r="T1142" s="36" t="str">
        <x:v>Sie vermeiden jedes schamlose Verhalten.</x:v>
      </x:c>
      <x:c r="U1142" s="36" t="str">
        <x:v>Sie führen zerstörerische Lehren ein, verleugnen den Herrn und beuten Menschen aus Habgier mit falschen Worten aus.</x:v>
      </x:c>
      <x:c r="V1142" s="36" t="n">
        <x:v>3</x:v>
      </x:c>
      <x:c r="W1142" s="36" t="str">
        <x:v>Sie führen zerstörerische Lehren ein, verleugnen den Herrn und beuten Menschen aus Habgier mit falschen Worten aus.</x:v>
      </x:c>
      <x:c r="X1142" s="36" t="str">
        <x:v>2. Petrus 2,1–3</x:v>
      </x:c>
      <x:c r="Y1142" s="36" t="str">
        <x:v>Lehrinhalt, Lebensstil und Habgier gehören in der Warnung zusammen.</x:v>
      </x:c>
      <x:c r="Z1142" s="36" t="str">
        <x:v>JA</x:v>
      </x:c>
      <x:c r="AA1142" s="36" t="str">
        <x:v>JA</x:v>
      </x:c>
      <x:c r="AB1142" s="36" t="str">
        <x:v>JA</x:v>
      </x:c>
      <x:c r="AC1142" s="36" t="str">
        <x:v>JA</x:v>
      </x:c>
      <x:c r="AD1142" s="36" t="str">
        <x:v>JA</x:v>
      </x:c>
      <x:c r="AE1142" s="36" t="str">
        <x:v>JA</x:v>
      </x:c>
      <x:c r="AF1142" s="36" t="str">
        <x:v>JA</x:v>
      </x:c>
      <x:c r="AG1142" s="36" t="str">
        <x:v>FREIGEGEBEN</x:v>
      </x:c>
      <x:c r="AH1142" s="36" t="str">
        <x:v>GPT-5.6 Sol · Sammelprüfung Allgemeine Briefe · L1912/OTB</x:v>
      </x:c>
      <x:c r="AI1142" s="36" t="str">
        <x:v>FREIGEGEBEN</x:v>
      </x:c>
      <x:c r="AJ1142" s="36" t="str">
        <x:v>2. Petrus 2: neue textnahe FALSCHE_LEHRER-Frage redaktionell freigegeben.</x:v>
      </x:c>
      <x:c r="AK1142" s="36" t="str">
        <x:v>FaithPath repo develop/v4 · data/bibles/l1912/2PE.json · data/bibles/otb/2PE.json</x:v>
      </x:c>
      <x:c r="AL1142" t="str">
        <x:v>JA</x:v>
      </x:c>
    </x:row>
    <x:row r="1143">
      <x:c r="A1143" t="str">
        <x:v>FP-1402</x:v>
      </x:c>
      <x:c r="B1143" t="str">
        <x:v>2PE</x:v>
      </x:c>
      <x:c r="C1143" t="str">
        <x:v>2. Petrus</x:v>
      </x:c>
      <x:c r="D1143" t="n">
        <x:v>2</x:v>
      </x:c>
      <x:c r="E1143" t="n">
        <x:v>2</x:v>
      </x:c>
      <x:c r="F1143" t="str">
        <x:v>2PE-002</x:v>
      </x:c>
      <x:c r="G1143" t="n">
        <x:v>229</x:v>
      </x:c>
      <x:c r="H1143" t="str">
        <x:v>CQ-A20-26</x:v>
      </x:c>
      <x:c r="I1143" s="36" t="str">
        <x:v>Bestandsfrage: exakter Wortlaut in diesem Arbeitsschritt nicht rekonstruiert.</x:v>
      </x:c>
      <x:c r="J1143" s="36"/>
      <x:c r="K1143" s="36"/>
      <x:c r="L1143" s="36" t="str">
        <x:v>MASTER_STATUS_VERIFIZIERT</x:v>
      </x:c>
      <x:c r="M1143" s="36" t="str">
        <x:v>ERSETZEN</x:v>
      </x:c>
      <x:c r="N1143" s="36" t="str">
        <x:v>BESTAND_NOCH_NICHT_GEPRÜFT</x:v>
      </x:c>
      <x:c r="O1143" s="36" t="str">
        <x:v>DIDAKTISCHE_NEUFASSUNG</x:v>
      </x:c>
      <x:c r="P1143" s="36" t="str">
        <x:v>GERICHT_UND_RETTUNG</x:v>
      </x:c>
      <x:c r="Q1143" s="36" t="str">
        <x:v>Was zeigen die Beispiele von Engeln, Flut sowie Sodom und Gomorra?</x:v>
      </x:c>
      <x:c r="R1143" s="36" t="str">
        <x:v>Gott kann die Frommen aus Prüfung retten und die Ungerechten für das Gericht bewahren.</x:v>
      </x:c>
      <x:c r="S1143" s="36" t="str">
        <x:v>Gott unterscheidet überhaupt nicht zwischen Recht und Unrecht.</x:v>
      </x:c>
      <x:c r="T1143" s="36" t="str">
        <x:v>Gericht betreffe nur die Vergangenheit.</x:v>
      </x:c>
      <x:c r="U1143" s="36" t="str">
        <x:v>Noah und Lot seien wegen ihrer eigenen Macht gerettet worden.</x:v>
      </x:c>
      <x:c r="V1143" s="36" t="n">
        <x:v>0</x:v>
      </x:c>
      <x:c r="W1143" s="36" t="str">
        <x:v>Gott kann die Frommen aus Prüfung retten und die Ungerechten für das Gericht bewahren.</x:v>
      </x:c>
      <x:c r="X1143" s="36" t="str">
        <x:v>2. Petrus 2,4–9</x:v>
      </x:c>
      <x:c r="Y1143" s="36" t="str">
        <x:v>Petrus verwendet mehrere Gerichtserzählungen, um sowohl Gottes Rettungsfähigkeit als auch seine Gerechtigkeit zu betonen.</x:v>
      </x:c>
      <x:c r="Z1143" s="36" t="str">
        <x:v>JA</x:v>
      </x:c>
      <x:c r="AA1143" s="36" t="str">
        <x:v>JA</x:v>
      </x:c>
      <x:c r="AB1143" s="36" t="str">
        <x:v>JA</x:v>
      </x:c>
      <x:c r="AC1143" s="36" t="str">
        <x:v>JA</x:v>
      </x:c>
      <x:c r="AD1143" s="36" t="str">
        <x:v>JA</x:v>
      </x:c>
      <x:c r="AE1143" s="36" t="str">
        <x:v>JA</x:v>
      </x:c>
      <x:c r="AF1143" s="36" t="str">
        <x:v>JA</x:v>
      </x:c>
      <x:c r="AG1143" s="36" t="str">
        <x:v>FREIGEGEBEN</x:v>
      </x:c>
      <x:c r="AH1143" s="36" t="str">
        <x:v>GPT-5.6 Sol · Sammelprüfung Allgemeine Briefe · L1912/OTB</x:v>
      </x:c>
      <x:c r="AI1143" s="36" t="str">
        <x:v>FREIGEGEBEN</x:v>
      </x:c>
      <x:c r="AJ1143" s="36" t="str">
        <x:v>2. Petrus 2: neue textnahe GERICHT_UND_RETTUNG-Frage redaktionell freigegeben.</x:v>
      </x:c>
      <x:c r="AK1143" s="36" t="str">
        <x:v>FaithPath repo develop/v4 · data/bibles/l1912/2PE.json · data/bibles/otb/2PE.json</x:v>
      </x:c>
      <x:c r="AL1143" t="str">
        <x:v>JA</x:v>
      </x:c>
    </x:row>
    <x:row r="1144">
      <x:c r="A1144" t="str">
        <x:v>FP-1403</x:v>
      </x:c>
      <x:c r="B1144" t="str">
        <x:v>2PE</x:v>
      </x:c>
      <x:c r="C1144" t="str">
        <x:v>2. Petrus</x:v>
      </x:c>
      <x:c r="D1144" t="n">
        <x:v>2</x:v>
      </x:c>
      <x:c r="E1144" t="n">
        <x:v>3</x:v>
      </x:c>
      <x:c r="F1144" t="str">
        <x:v>2PE-002</x:v>
      </x:c>
      <x:c r="G1144" t="n">
        <x:v>229</x:v>
      </x:c>
      <x:c r="H1144" t="str">
        <x:v>CQ-A20-26</x:v>
      </x:c>
      <x:c r="I1144" s="36" t="str">
        <x:v>Bestandsfrage: exakter Wortlaut in diesem Arbeitsschritt nicht rekonstruiert.</x:v>
      </x:c>
      <x:c r="J1144" s="36"/>
      <x:c r="K1144" s="36"/>
      <x:c r="L1144" s="36" t="str">
        <x:v>MASTER_STATUS_VERIFIZIERT</x:v>
      </x:c>
      <x:c r="M1144" s="36" t="str">
        <x:v>ERSETZEN</x:v>
      </x:c>
      <x:c r="N1144" s="36" t="str">
        <x:v>BESTAND_NOCH_NICHT_GEPRÜFT</x:v>
      </x:c>
      <x:c r="O1144" s="36" t="str">
        <x:v>DIDAKTISCHE_NEUFASSUNG</x:v>
      </x:c>
      <x:c r="P1144" s="36" t="str">
        <x:v>HABGIER</x:v>
      </x:c>
      <x:c r="Q1144" s="36" t="str">
        <x:v>Welches alttestamentliche Beispiel verwendet Petrus für Liebe zum ungerechten Gewinn?</x:v>
      </x:c>
      <x:c r="R1144" s="36" t="str">
        <x:v>Abraham.</x:v>
      </x:c>
      <x:c r="S1144" s="36" t="str">
        <x:v>Bileam, der durch sein eigenes Reittier zurechtgewiesen wurde.</x:v>
      </x:c>
      <x:c r="T1144" s="36" t="str">
        <x:v>Samuel.</x:v>
      </x:c>
      <x:c r="U1144" s="36" t="str">
        <x:v>Josua.</x:v>
      </x:c>
      <x:c r="V1144" s="36" t="n">
        <x:v>1</x:v>
      </x:c>
      <x:c r="W1144" s="36" t="str">
        <x:v>Bileam, der durch sein eigenes Reittier zurechtgewiesen wurde.</x:v>
      </x:c>
      <x:c r="X1144" s="36" t="str">
        <x:v>2. Petrus 2,14–16</x:v>
      </x:c>
      <x:c r="Y1144" s="36" t="str">
        <x:v>Bileam steht in diesem Abschnitt als Beispiel für einen vom Gewinn verführten Weg.</x:v>
      </x:c>
      <x:c r="Z1144" s="36" t="str">
        <x:v>JA</x:v>
      </x:c>
      <x:c r="AA1144" s="36" t="str">
        <x:v>JA</x:v>
      </x:c>
      <x:c r="AB1144" s="36" t="str">
        <x:v>JA</x:v>
      </x:c>
      <x:c r="AC1144" s="36" t="str">
        <x:v>JA</x:v>
      </x:c>
      <x:c r="AD1144" s="36" t="str">
        <x:v>JA</x:v>
      </x:c>
      <x:c r="AE1144" s="36" t="str">
        <x:v>JA</x:v>
      </x:c>
      <x:c r="AF1144" s="36" t="str">
        <x:v>JA</x:v>
      </x:c>
      <x:c r="AG1144" s="36" t="str">
        <x:v>FREIGEGEBEN</x:v>
      </x:c>
      <x:c r="AH1144" s="36" t="str">
        <x:v>GPT-5.6 Sol · Sammelprüfung Allgemeine Briefe · L1912/OTB</x:v>
      </x:c>
      <x:c r="AI1144" s="36" t="str">
        <x:v>FREIGEGEBEN</x:v>
      </x:c>
      <x:c r="AJ1144" s="36" t="str">
        <x:v>2. Petrus 2: neue textnahe HABGIER-Frage redaktionell freigegeben.</x:v>
      </x:c>
      <x:c r="AK1144" s="36" t="str">
        <x:v>FaithPath repo develop/v4 · data/bibles/l1912/2PE.json · data/bibles/otb/2PE.json</x:v>
      </x:c>
      <x:c r="AL1144" t="str">
        <x:v>JA</x:v>
      </x:c>
    </x:row>
    <x:row r="1145">
      <x:c r="A1145" t="str">
        <x:v>FP-1404</x:v>
      </x:c>
      <x:c r="B1145" t="str">
        <x:v>2PE</x:v>
      </x:c>
      <x:c r="C1145" t="str">
        <x:v>2. Petrus</x:v>
      </x:c>
      <x:c r="D1145" t="n">
        <x:v>2</x:v>
      </x:c>
      <x:c r="E1145" t="n">
        <x:v>4</x:v>
      </x:c>
      <x:c r="F1145" t="str">
        <x:v>2PE-002</x:v>
      </x:c>
      <x:c r="G1145" t="n">
        <x:v>229</x:v>
      </x:c>
      <x:c r="H1145" t="str">
        <x:v>CQ-A20-26</x:v>
      </x:c>
      <x:c r="I1145" s="36" t="str">
        <x:v>Bestandsfrage: exakter Wortlaut in diesem Arbeitsschritt nicht rekonstruiert.</x:v>
      </x:c>
      <x:c r="J1145" s="36"/>
      <x:c r="K1145" s="36"/>
      <x:c r="L1145" s="36" t="str">
        <x:v>MASTER_STATUS_VERIFIZIERT</x:v>
      </x:c>
      <x:c r="M1145" s="36" t="str">
        <x:v>ERSETZEN</x:v>
      </x:c>
      <x:c r="N1145" s="36" t="str">
        <x:v>BESTAND_NOCH_NICHT_GEPRÜFT</x:v>
      </x:c>
      <x:c r="O1145" s="36" t="str">
        <x:v>DIDAKTISCHE_NEUFASSUNG</x:v>
      </x:c>
      <x:c r="P1145" s="36" t="str">
        <x:v>FALSCHE_FREIHEIT</x:v>
      </x:c>
      <x:c r="Q1145" s="36" t="str">
        <x:v>Warum ist das Freiheitsversprechen der falschen Lehrer widersprüchlich?</x:v>
      </x:c>
      <x:c r="R1145" s="36" t="str">
        <x:v>Sie lehnen jede Form von Freiheit ab.</x:v>
      </x:c>
      <x:c r="S1145" s="36" t="str">
        <x:v>Sie leben völlig unabhängig von Begierden.</x:v>
      </x:c>
      <x:c r="T1145" s="36" t="str">
        <x:v>Sie versprechen Freiheit, sind aber selbst Sklaven der Verderbnis.</x:v>
      </x:c>
      <x:c r="U1145" s="36" t="str">
        <x:v>Sie sprechen ausschließlich über politische Freiheit.</x:v>
      </x:c>
      <x:c r="V1145" s="36" t="n">
        <x:v>2</x:v>
      </x:c>
      <x:c r="W1145" s="36" t="str">
        <x:v>Sie versprechen Freiheit, sind aber selbst Sklaven der Verderbnis.</x:v>
      </x:c>
      <x:c r="X1145" s="36" t="str">
        <x:v>2. Petrus 2,17–19</x:v>
      </x:c>
      <x:c r="Y1145" s="36" t="str">
        <x:v>Petrus stellt groß klingende Versprechen der tatsächlichen Versklavung durch Verderbnis gegenüber.</x:v>
      </x:c>
      <x:c r="Z1145" s="36" t="str">
        <x:v>JA</x:v>
      </x:c>
      <x:c r="AA1145" s="36" t="str">
        <x:v>JA</x:v>
      </x:c>
      <x:c r="AB1145" s="36" t="str">
        <x:v>JA</x:v>
      </x:c>
      <x:c r="AC1145" s="36" t="str">
        <x:v>JA</x:v>
      </x:c>
      <x:c r="AD1145" s="36" t="str">
        <x:v>JA</x:v>
      </x:c>
      <x:c r="AE1145" s="36" t="str">
        <x:v>JA</x:v>
      </x:c>
      <x:c r="AF1145" s="36" t="str">
        <x:v>JA</x:v>
      </x:c>
      <x:c r="AG1145" s="36" t="str">
        <x:v>FREIGEGEBEN</x:v>
      </x:c>
      <x:c r="AH1145" s="36" t="str">
        <x:v>GPT-5.6 Sol · Sammelprüfung Allgemeine Briefe · L1912/OTB</x:v>
      </x:c>
      <x:c r="AI1145" s="36" t="str">
        <x:v>FREIGEGEBEN</x:v>
      </x:c>
      <x:c r="AJ1145" s="36" t="str">
        <x:v>2. Petrus 2: neue textnahe FALSCHE_FREIHEIT-Frage redaktionell freigegeben.</x:v>
      </x:c>
      <x:c r="AK1145" s="36" t="str">
        <x:v>FaithPath repo develop/v4 · data/bibles/l1912/2PE.json · data/bibles/otb/2PE.json</x:v>
      </x:c>
      <x:c r="AL1145" t="str">
        <x:v>JA</x:v>
      </x:c>
    </x:row>
    <x:row r="1146">
      <x:c r="A1146" t="str">
        <x:v>FP-1405</x:v>
      </x:c>
      <x:c r="B1146" t="str">
        <x:v>2PE</x:v>
      </x:c>
      <x:c r="C1146" t="str">
        <x:v>2. Petrus</x:v>
      </x:c>
      <x:c r="D1146" t="n">
        <x:v>2</x:v>
      </x:c>
      <x:c r="E1146" t="n">
        <x:v>5</x:v>
      </x:c>
      <x:c r="F1146" t="str">
        <x:v>2PE-002</x:v>
      </x:c>
      <x:c r="G1146" t="n">
        <x:v>229</x:v>
      </x:c>
      <x:c r="H1146" t="str">
        <x:v>CQ-A20-26</x:v>
      </x:c>
      <x:c r="I1146" s="36" t="str">
        <x:v>Bestandsfrage: exakter Wortlaut in diesem Arbeitsschritt nicht rekonstruiert.</x:v>
      </x:c>
      <x:c r="J1146" s="36"/>
      <x:c r="K1146" s="36"/>
      <x:c r="L1146" s="36" t="str">
        <x:v>MASTER_STATUS_VERIFIZIERT</x:v>
      </x:c>
      <x:c r="M1146" s="36" t="str">
        <x:v>ERSETZEN</x:v>
      </x:c>
      <x:c r="N1146" s="36" t="str">
        <x:v>BESTAND_NOCH_NICHT_GEPRÜFT</x:v>
      </x:c>
      <x:c r="O1146" s="36" t="str">
        <x:v>DIDAKTISCHE_NEUFASSUNG</x:v>
      </x:c>
      <x:c r="P1146" s="36" t="str">
        <x:v>RÜCKFALL</x:v>
      </x:c>
      <x:c r="Q1146" s="36" t="str">
        <x:v>Wie beschreibt Petrus den Zustand von Menschen, die nach Erkenntnis Christi wieder vollständig in Verderbnis verstrickt werden?</x:v>
      </x:c>
      <x:c r="R1146" s="36" t="str">
        <x:v>Er ist automatisch besser, weil sie mehr wissen.</x:v>
      </x:c>
      <x:c r="S1146" s="36" t="str">
        <x:v>Er spielt geistlich keine Rolle.</x:v>
      </x:c>
      <x:c r="T1146" s="36" t="str">
        <x:v>Er beweist, dass Erkenntnis immer schädlich ist.</x:v>
      </x:c>
      <x:c r="U1146" s="36" t="str">
        <x:v>Der letzte Zustand ist schlimmer als der erste.</x:v>
      </x:c>
      <x:c r="V1146" s="36" t="n">
        <x:v>3</x:v>
      </x:c>
      <x:c r="W1146" s="36" t="str">
        <x:v>Der letzte Zustand ist schlimmer als der erste.</x:v>
      </x:c>
      <x:c r="X1146" s="36" t="str">
        <x:v>2. Petrus 2,20–22</x:v>
      </x:c>
      <x:c r="Y1146" s="36" t="str">
        <x:v>Der Abschnitt warnt drastisch vor bewusster Rückkehr in das, woraus Menschen durch Erkenntnis Christi entkommen waren.</x:v>
      </x:c>
      <x:c r="Z1146" s="36" t="str">
        <x:v>JA</x:v>
      </x:c>
      <x:c r="AA1146" s="36" t="str">
        <x:v>JA</x:v>
      </x:c>
      <x:c r="AB1146" s="36" t="str">
        <x:v>JA</x:v>
      </x:c>
      <x:c r="AC1146" s="36" t="str">
        <x:v>JA</x:v>
      </x:c>
      <x:c r="AD1146" s="36" t="str">
        <x:v>JA</x:v>
      </x:c>
      <x:c r="AE1146" s="36" t="str">
        <x:v>JA</x:v>
      </x:c>
      <x:c r="AF1146" s="36" t="str">
        <x:v>JA</x:v>
      </x:c>
      <x:c r="AG1146" s="36" t="str">
        <x:v>FREIGEGEBEN</x:v>
      </x:c>
      <x:c r="AH1146" s="36" t="str">
        <x:v>GPT-5.6 Sol · Sammelprüfung Allgemeine Briefe · L1912/OTB</x:v>
      </x:c>
      <x:c r="AI1146" s="36" t="str">
        <x:v>FREIGEGEBEN</x:v>
      </x:c>
      <x:c r="AJ1146" s="36" t="str">
        <x:v>2. Petrus 2: neue textnahe RÜCKFALL-Frage redaktionell freigegeben.</x:v>
      </x:c>
      <x:c r="AK1146" s="36" t="str">
        <x:v>FaithPath repo develop/v4 · data/bibles/l1912/2PE.json · data/bibles/otb/2PE.json</x:v>
      </x:c>
      <x:c r="AL1146" t="str">
        <x:v>JA</x:v>
      </x:c>
    </x:row>
    <x:row r="1147">
      <x:c r="A1147" t="str">
        <x:v>FP-1406</x:v>
      </x:c>
      <x:c r="B1147" t="str">
        <x:v>2PE</x:v>
      </x:c>
      <x:c r="C1147" t="str">
        <x:v>2. Petrus</x:v>
      </x:c>
      <x:c r="D1147" t="n">
        <x:v>3</x:v>
      </x:c>
      <x:c r="E1147" t="n">
        <x:v>1</x:v>
      </x:c>
      <x:c r="F1147" t="str">
        <x:v>2PE-003</x:v>
      </x:c>
      <x:c r="G1147" t="n">
        <x:v>230</x:v>
      </x:c>
      <x:c r="H1147" t="str">
        <x:v>CQ-A20-26</x:v>
      </x:c>
      <x:c r="I1147" s="36" t="str">
        <x:v>Bestandsfrage: exakter Wortlaut in diesem Arbeitsschritt nicht rekonstruiert.</x:v>
      </x:c>
      <x:c r="J1147" s="36"/>
      <x:c r="K1147" s="36"/>
      <x:c r="L1147" s="36" t="str">
        <x:v>MASTER_STATUS_VERIFIZIERT</x:v>
      </x:c>
      <x:c r="M1147" s="36" t="str">
        <x:v>ERSETZEN</x:v>
      </x:c>
      <x:c r="N1147" s="36" t="str">
        <x:v>BESTAND_NOCH_NICHT_GEPRÜFT</x:v>
      </x:c>
      <x:c r="O1147" s="36" t="str">
        <x:v>DIDAKTISCHE_NEUFASSUNG</x:v>
      </x:c>
      <x:c r="P1147" s="36" t="str">
        <x:v>ERINNERUNG</x:v>
      </x:c>
      <x:c r="Q1147" s="36" t="str">
        <x:v>Warum schreibt Petrus seinen zweiten Brief?</x:v>
      </x:c>
      <x:c r="R1147" s="36" t="str">
        <x:v>Um durch Erinnerung einen aufrichtigen Sinn zu wecken und an Propheten- und Apostelwort zu erinnern.</x:v>
      </x:c>
      <x:c r="S1147" s="36" t="str">
        <x:v>Um alle früheren Lehren zu ersetzen.</x:v>
      </x:c>
      <x:c r="T1147" s="36" t="str">
        <x:v>Um einen neuen Zeitpunkt der Wiederkunft zu berechnen.</x:v>
      </x:c>
      <x:c r="U1147" s="36" t="str">
        <x:v>Um die Leser von der Schrift wegzuführen.</x:v>
      </x:c>
      <x:c r="V1147" s="36" t="n">
        <x:v>0</x:v>
      </x:c>
      <x:c r="W1147" s="36" t="str">
        <x:v>Um durch Erinnerung einen aufrichtigen Sinn zu wecken und an Propheten- und Apostelwort zu erinnern.</x:v>
      </x:c>
      <x:c r="X1147" s="36" t="str">
        <x:v>2. Petrus 3,1–2</x:v>
      </x:c>
      <x:c r="Y1147" s="36" t="str">
        <x:v>Erinnerung ist ein zentrales Motiv: bekannte Wahrheit soll neu ins Bewusstsein gerufen werden.</x:v>
      </x:c>
      <x:c r="Z1147" s="36" t="str">
        <x:v>JA</x:v>
      </x:c>
      <x:c r="AA1147" s="36" t="str">
        <x:v>JA</x:v>
      </x:c>
      <x:c r="AB1147" s="36" t="str">
        <x:v>JA</x:v>
      </x:c>
      <x:c r="AC1147" s="36" t="str">
        <x:v>JA</x:v>
      </x:c>
      <x:c r="AD1147" s="36" t="str">
        <x:v>JA</x:v>
      </x:c>
      <x:c r="AE1147" s="36" t="str">
        <x:v>JA</x:v>
      </x:c>
      <x:c r="AF1147" s="36" t="str">
        <x:v>JA</x:v>
      </x:c>
      <x:c r="AG1147" s="36" t="str">
        <x:v>FREIGEGEBEN</x:v>
      </x:c>
      <x:c r="AH1147" s="36" t="str">
        <x:v>GPT-5.6 Sol · Sammelprüfung Allgemeine Briefe · L1912/OTB</x:v>
      </x:c>
      <x:c r="AI1147" s="36" t="str">
        <x:v>FREIGEGEBEN</x:v>
      </x:c>
      <x:c r="AJ1147" s="36" t="str">
        <x:v>2. Petrus 3: neue textnahe ERINNERUNG-Frage redaktionell freigegeben.</x:v>
      </x:c>
      <x:c r="AK1147" s="36" t="str">
        <x:v>FaithPath repo develop/v4 · data/bibles/l1912/2PE.json · data/bibles/otb/2PE.json</x:v>
      </x:c>
      <x:c r="AL1147" t="str">
        <x:v>JA</x:v>
      </x:c>
    </x:row>
    <x:row r="1148">
      <x:c r="A1148" t="str">
        <x:v>FP-1407</x:v>
      </x:c>
      <x:c r="B1148" t="str">
        <x:v>2PE</x:v>
      </x:c>
      <x:c r="C1148" t="str">
        <x:v>2. Petrus</x:v>
      </x:c>
      <x:c r="D1148" t="n">
        <x:v>3</x:v>
      </x:c>
      <x:c r="E1148" t="n">
        <x:v>2</x:v>
      </x:c>
      <x:c r="F1148" t="str">
        <x:v>2PE-003</x:v>
      </x:c>
      <x:c r="G1148" t="n">
        <x:v>230</x:v>
      </x:c>
      <x:c r="H1148" t="str">
        <x:v>CQ-A20-26</x:v>
      </x:c>
      <x:c r="I1148" s="36" t="str">
        <x:v>Bestandsfrage: exakter Wortlaut in diesem Arbeitsschritt nicht rekonstruiert.</x:v>
      </x:c>
      <x:c r="J1148" s="36"/>
      <x:c r="K1148" s="36"/>
      <x:c r="L1148" s="36" t="str">
        <x:v>MASTER_STATUS_VERIFIZIERT</x:v>
      </x:c>
      <x:c r="M1148" s="36" t="str">
        <x:v>ERSETZEN</x:v>
      </x:c>
      <x:c r="N1148" s="36" t="str">
        <x:v>BESTAND_NOCH_NICHT_GEPRÜFT</x:v>
      </x:c>
      <x:c r="O1148" s="36" t="str">
        <x:v>DIDAKTISCHE_NEUFASSUNG</x:v>
      </x:c>
      <x:c r="P1148" s="36" t="str">
        <x:v>SPÖTTER</x:v>
      </x:c>
      <x:c r="Q1148" s="36" t="str">
        <x:v>Was behaupten die Spötter über die Wiederkunft?</x:v>
      </x:c>
      <x:c r="R1148" s="36" t="str">
        <x:v>Der Tag des Herrn sei bereits sichtbar eingetreten.</x:v>
      </x:c>
      <x:c r="S1148" s="36" t="str">
        <x:v>Seit den Vätern sei alles wie immer geblieben, daher zweifeln sie an der Verheißung seines Kommens.</x:v>
      </x:c>
      <x:c r="T1148" s="36" t="str">
        <x:v>Jesus werde morgen sicher kommen.</x:v>
      </x:c>
      <x:c r="U1148" s="36" t="str">
        <x:v>Die Schöpfung habe nie einen Anfang gehabt.</x:v>
      </x:c>
      <x:c r="V1148" s="36" t="n">
        <x:v>1</x:v>
      </x:c>
      <x:c r="W1148" s="36" t="str">
        <x:v>Seit den Vätern sei alles wie immer geblieben, daher zweifeln sie an der Verheißung seines Kommens.</x:v>
      </x:c>
      <x:c r="X1148" s="36" t="str">
        <x:v>2. Petrus 3,3–7</x:v>
      </x:c>
      <x:c r="Y1148" s="36" t="str">
        <x:v>Petrus antwortet, dass die Spötter Gottes früheres Handeln durch Schöpfungswort und Flut ausblenden.</x:v>
      </x:c>
      <x:c r="Z1148" s="36" t="str">
        <x:v>JA</x:v>
      </x:c>
      <x:c r="AA1148" s="36" t="str">
        <x:v>JA</x:v>
      </x:c>
      <x:c r="AB1148" s="36" t="str">
        <x:v>JA</x:v>
      </x:c>
      <x:c r="AC1148" s="36" t="str">
        <x:v>JA</x:v>
      </x:c>
      <x:c r="AD1148" s="36" t="str">
        <x:v>JA</x:v>
      </x:c>
      <x:c r="AE1148" s="36" t="str">
        <x:v>JA</x:v>
      </x:c>
      <x:c r="AF1148" s="36" t="str">
        <x:v>JA</x:v>
      </x:c>
      <x:c r="AG1148" s="36" t="str">
        <x:v>FREIGEGEBEN</x:v>
      </x:c>
      <x:c r="AH1148" s="36" t="str">
        <x:v>GPT-5.6 Sol · Sammelprüfung Allgemeine Briefe · L1912/OTB</x:v>
      </x:c>
      <x:c r="AI1148" s="36" t="str">
        <x:v>FREIGEGEBEN</x:v>
      </x:c>
      <x:c r="AJ1148" s="36" t="str">
        <x:v>2. Petrus 3: neue textnahe SPÖTTER-Frage redaktionell freigegeben.</x:v>
      </x:c>
      <x:c r="AK1148" s="36" t="str">
        <x:v>FaithPath repo develop/v4 · data/bibles/l1912/2PE.json · data/bibles/otb/2PE.json</x:v>
      </x:c>
      <x:c r="AL1148" t="str">
        <x:v>JA</x:v>
      </x:c>
    </x:row>
    <x:row r="1149">
      <x:c r="A1149" t="str">
        <x:v>FP-1408</x:v>
      </x:c>
      <x:c r="B1149" t="str">
        <x:v>2PE</x:v>
      </x:c>
      <x:c r="C1149" t="str">
        <x:v>2. Petrus</x:v>
      </x:c>
      <x:c r="D1149" t="n">
        <x:v>3</x:v>
      </x:c>
      <x:c r="E1149" t="n">
        <x:v>3</x:v>
      </x:c>
      <x:c r="F1149" t="str">
        <x:v>2PE-003</x:v>
      </x:c>
      <x:c r="G1149" t="n">
        <x:v>230</x:v>
      </x:c>
      <x:c r="H1149" t="str">
        <x:v>CQ-A20-26</x:v>
      </x:c>
      <x:c r="I1149" s="36" t="str">
        <x:v>Bestandsfrage: exakter Wortlaut in diesem Arbeitsschritt nicht rekonstruiert.</x:v>
      </x:c>
      <x:c r="J1149" s="36"/>
      <x:c r="K1149" s="36"/>
      <x:c r="L1149" s="36" t="str">
        <x:v>MASTER_STATUS_VERIFIZIERT</x:v>
      </x:c>
      <x:c r="M1149" s="36" t="str">
        <x:v>ERSETZEN</x:v>
      </x:c>
      <x:c r="N1149" s="36" t="str">
        <x:v>BESTAND_NOCH_NICHT_GEPRÜFT</x:v>
      </x:c>
      <x:c r="O1149" s="36" t="str">
        <x:v>DIDAKTISCHE_NEUFASSUNG</x:v>
      </x:c>
      <x:c r="P1149" s="36" t="str">
        <x:v>GEDULD_GOTTES</x:v>
      </x:c>
      <x:c r="Q1149" s="36" t="str">
        <x:v>Warum ist Gottes scheinbares Zögern keine Untreue?</x:v>
      </x:c>
      <x:c r="R1149" s="36" t="str">
        <x:v>Weil Gott seine Verheißung vergessen hat.</x:v>
      </x:c>
      <x:c r="S1149" s="36" t="str">
        <x:v>Weil Zeit für Gott keine Bedeutung hat und Menschen ihm egal sind.</x:v>
      </x:c>
      <x:c r="T1149" s="36" t="str">
        <x:v>Der Herr ist geduldig und will Raum zur Umkehr geben.</x:v>
      </x:c>
      <x:c r="U1149" s="36" t="str">
        <x:v>Weil die Wiederkunft abgesagt wurde.</x:v>
      </x:c>
      <x:c r="V1149" s="36" t="n">
        <x:v>2</x:v>
      </x:c>
      <x:c r="W1149" s="36" t="str">
        <x:v>Der Herr ist geduldig und will Raum zur Umkehr geben.</x:v>
      </x:c>
      <x:c r="X1149" s="36" t="str">
        <x:v>2. Petrus 3,8–9</x:v>
      </x:c>
      <x:c r="Y1149" s="36" t="str">
        <x:v>Petrus deutet die Verzögerung nicht als Versagen, sondern als Ausdruck göttlicher Geduld mit Rettungsabsicht.</x:v>
      </x:c>
      <x:c r="Z1149" s="36" t="str">
        <x:v>JA</x:v>
      </x:c>
      <x:c r="AA1149" s="36" t="str">
        <x:v>JA</x:v>
      </x:c>
      <x:c r="AB1149" s="36" t="str">
        <x:v>JA</x:v>
      </x:c>
      <x:c r="AC1149" s="36" t="str">
        <x:v>JA</x:v>
      </x:c>
      <x:c r="AD1149" s="36" t="str">
        <x:v>JA</x:v>
      </x:c>
      <x:c r="AE1149" s="36" t="str">
        <x:v>JA</x:v>
      </x:c>
      <x:c r="AF1149" s="36" t="str">
        <x:v>JA</x:v>
      </x:c>
      <x:c r="AG1149" s="36" t="str">
        <x:v>FREIGEGEBEN</x:v>
      </x:c>
      <x:c r="AH1149" s="36" t="str">
        <x:v>GPT-5.6 Sol · Sammelprüfung Allgemeine Briefe · L1912/OTB</x:v>
      </x:c>
      <x:c r="AI1149" s="36" t="str">
        <x:v>FREIGEGEBEN</x:v>
      </x:c>
      <x:c r="AJ1149" s="36" t="str">
        <x:v>2. Petrus 3: neue textnahe GEDULD_GOTTES-Frage redaktionell freigegeben.</x:v>
      </x:c>
      <x:c r="AK1149" s="36" t="str">
        <x:v>FaithPath repo develop/v4 · data/bibles/l1912/2PE.json · data/bibles/otb/2PE.json</x:v>
      </x:c>
      <x:c r="AL1149" t="str">
        <x:v>JA</x:v>
      </x:c>
    </x:row>
    <x:row r="1150">
      <x:c r="A1150" t="str">
        <x:v>FP-1409</x:v>
      </x:c>
      <x:c r="B1150" t="str">
        <x:v>2PE</x:v>
      </x:c>
      <x:c r="C1150" t="str">
        <x:v>2. Petrus</x:v>
      </x:c>
      <x:c r="D1150" t="n">
        <x:v>3</x:v>
      </x:c>
      <x:c r="E1150" t="n">
        <x:v>4</x:v>
      </x:c>
      <x:c r="F1150" t="str">
        <x:v>2PE-003</x:v>
      </x:c>
      <x:c r="G1150" t="n">
        <x:v>230</x:v>
      </x:c>
      <x:c r="H1150" t="str">
        <x:v>CQ-A20-26</x:v>
      </x:c>
      <x:c r="I1150" s="36" t="str">
        <x:v>Bestandsfrage: exakter Wortlaut in diesem Arbeitsschritt nicht rekonstruiert.</x:v>
      </x:c>
      <x:c r="J1150" s="36"/>
      <x:c r="K1150" s="36"/>
      <x:c r="L1150" s="36" t="str">
        <x:v>MASTER_STATUS_VERIFIZIERT</x:v>
      </x:c>
      <x:c r="M1150" s="36" t="str">
        <x:v>ERSETZEN</x:v>
      </x:c>
      <x:c r="N1150" s="36" t="str">
        <x:v>BESTAND_NOCH_NICHT_GEPRÜFT</x:v>
      </x:c>
      <x:c r="O1150" s="36" t="str">
        <x:v>DIDAKTISCHE_NEUFASSUNG</x:v>
      </x:c>
      <x:c r="P1150" s="36" t="str">
        <x:v>LEBENSWANDEL</x:v>
      </x:c>
      <x:c r="Q1150" s="36" t="str">
        <x:v>Welche Konsequenz zieht Petrus aus dem kommenden Tag des Herrn?</x:v>
      </x:c>
      <x:c r="R1150" s="36" t="str">
        <x:v>Den Alltag panisch aufzugeben.</x:v>
      </x:c>
      <x:c r="S1150" s="36" t="str">
        <x:v>Nur über Endzeitdaten zu diskutieren.</x:v>
      </x:c>
      <x:c r="T1150" s="36" t="str">
        <x:v>Verantwortung für den eigenen Lebensstil zu verneinen.</x:v>
      </x:c>
      <x:c r="U1150" s="36" t="str">
        <x:v>In heiligem und gottesfürchtigem Lebenswandel auf neue Himmel und eine neue Erde zu warten.</x:v>
      </x:c>
      <x:c r="V1150" s="36" t="n">
        <x:v>3</x:v>
      </x:c>
      <x:c r="W1150" s="36" t="str">
        <x:v>In heiligem und gottesfürchtigem Lebenswandel auf neue Himmel und eine neue Erde zu warten.</x:v>
      </x:c>
      <x:c r="X1150" s="36" t="str">
        <x:v>2. Petrus 3,10–14</x:v>
      </x:c>
      <x:c r="Y1150" s="36" t="str">
        <x:v>Eschatologische Hoffnung führt zu Heiligkeit, Frieden und Erwartung der neuen Schöpfung.</x:v>
      </x:c>
      <x:c r="Z1150" s="36" t="str">
        <x:v>JA</x:v>
      </x:c>
      <x:c r="AA1150" s="36" t="str">
        <x:v>JA</x:v>
      </x:c>
      <x:c r="AB1150" s="36" t="str">
        <x:v>JA</x:v>
      </x:c>
      <x:c r="AC1150" s="36" t="str">
        <x:v>JA</x:v>
      </x:c>
      <x:c r="AD1150" s="36" t="str">
        <x:v>JA</x:v>
      </x:c>
      <x:c r="AE1150" s="36" t="str">
        <x:v>JA</x:v>
      </x:c>
      <x:c r="AF1150" s="36" t="str">
        <x:v>JA</x:v>
      </x:c>
      <x:c r="AG1150" s="36" t="str">
        <x:v>FREIGEGEBEN</x:v>
      </x:c>
      <x:c r="AH1150" s="36" t="str">
        <x:v>GPT-5.6 Sol · Sammelprüfung Allgemeine Briefe · L1912/OTB</x:v>
      </x:c>
      <x:c r="AI1150" s="36" t="str">
        <x:v>FREIGEGEBEN</x:v>
      </x:c>
      <x:c r="AJ1150" s="36" t="str">
        <x:v>2. Petrus 3: neue textnahe LEBENSWANDEL-Frage redaktionell freigegeben.</x:v>
      </x:c>
      <x:c r="AK1150" s="36" t="str">
        <x:v>FaithPath repo develop/v4 · data/bibles/l1912/2PE.json · data/bibles/otb/2PE.json</x:v>
      </x:c>
      <x:c r="AL1150" t="str">
        <x:v>JA</x:v>
      </x:c>
    </x:row>
    <x:row r="1151">
      <x:c r="A1151" t="str">
        <x:v>FP-1410</x:v>
      </x:c>
      <x:c r="B1151" t="str">
        <x:v>2PE</x:v>
      </x:c>
      <x:c r="C1151" t="str">
        <x:v>2. Petrus</x:v>
      </x:c>
      <x:c r="D1151" t="n">
        <x:v>3</x:v>
      </x:c>
      <x:c r="E1151" t="n">
        <x:v>5</x:v>
      </x:c>
      <x:c r="F1151" t="str">
        <x:v>2PE-003</x:v>
      </x:c>
      <x:c r="G1151" t="n">
        <x:v>230</x:v>
      </x:c>
      <x:c r="H1151" t="str">
        <x:v>CQ-A20-26</x:v>
      </x:c>
      <x:c r="I1151" s="36" t="str">
        <x:v>Bestandsfrage: exakter Wortlaut in diesem Arbeitsschritt nicht rekonstruiert.</x:v>
      </x:c>
      <x:c r="J1151" s="36"/>
      <x:c r="K1151" s="36"/>
      <x:c r="L1151" s="36" t="str">
        <x:v>MASTER_STATUS_VERIFIZIERT</x:v>
      </x:c>
      <x:c r="M1151" s="36" t="str">
        <x:v>ERSETZEN</x:v>
      </x:c>
      <x:c r="N1151" s="36" t="str">
        <x:v>BESTAND_NOCH_NICHT_GEPRÜFT</x:v>
      </x:c>
      <x:c r="O1151" s="36" t="str">
        <x:v>DIDAKTISCHE_NEUFASSUNG</x:v>
      </x:c>
      <x:c r="P1151" s="36" t="str">
        <x:v>ABSCHLUSS</x:v>
      </x:c>
      <x:c r="Q1151" s="36" t="str">
        <x:v>Wovor warnt Petrus am Ende und wozu fordert er stattdessen auf?</x:v>
      </x:c>
      <x:c r="R1151" s="36" t="str">
        <x:v>Nicht durch Irrtum die eigene Standfestigkeit verlieren, sondern in Gnade und Erkenntnis Jesu wachsen.</x:v>
      </x:c>
      <x:c r="S1151" s="36" t="str">
        <x:v>Schwierige Schriftstellen vollständig meiden.</x:v>
      </x:c>
      <x:c r="T1151" s="36" t="str">
        <x:v>Nur auf die eigene Intuition vertrauen.</x:v>
      </x:c>
      <x:c r="U1151" s="36" t="str">
        <x:v>Die Briefe des Paulus verwerfen.</x:v>
      </x:c>
      <x:c r="V1151" s="36" t="n">
        <x:v>0</x:v>
      </x:c>
      <x:c r="W1151" s="36" t="str">
        <x:v>Nicht durch Irrtum die eigene Standfestigkeit verlieren, sondern in Gnade und Erkenntnis Jesu wachsen.</x:v>
      </x:c>
      <x:c r="X1151" s="36" t="str">
        <x:v>2. Petrus 3,15–18</x:v>
      </x:c>
      <x:c r="Y1151" s="36" t="str">
        <x:v>Petrus erkennt schwierige Texte an und warnt vor Verdrehung; die positive Antwort ist Wachstum statt Instabilität.</x:v>
      </x:c>
      <x:c r="Z1151" s="36" t="str">
        <x:v>JA</x:v>
      </x:c>
      <x:c r="AA1151" s="36" t="str">
        <x:v>JA</x:v>
      </x:c>
      <x:c r="AB1151" s="36" t="str">
        <x:v>JA</x:v>
      </x:c>
      <x:c r="AC1151" s="36" t="str">
        <x:v>JA</x:v>
      </x:c>
      <x:c r="AD1151" s="36" t="str">
        <x:v>JA</x:v>
      </x:c>
      <x:c r="AE1151" s="36" t="str">
        <x:v>JA</x:v>
      </x:c>
      <x:c r="AF1151" s="36" t="str">
        <x:v>JA</x:v>
      </x:c>
      <x:c r="AG1151" s="36" t="str">
        <x:v>FREIGEGEBEN</x:v>
      </x:c>
      <x:c r="AH1151" s="36" t="str">
        <x:v>GPT-5.6 Sol · Sammelprüfung Allgemeine Briefe · L1912/OTB</x:v>
      </x:c>
      <x:c r="AI1151" s="36" t="str">
        <x:v>FREIGEGEBEN</x:v>
      </x:c>
      <x:c r="AJ1151" s="36" t="str">
        <x:v>2. Petrus 3: neue textnahe ABSCHLUSS-Frage redaktionell freigegeben.</x:v>
      </x:c>
      <x:c r="AK1151" s="36" t="str">
        <x:v>FaithPath repo develop/v4 · data/bibles/l1912/2PE.json · data/bibles/otb/2PE.json</x:v>
      </x:c>
      <x:c r="AL1151" t="str">
        <x:v>JA</x:v>
      </x:c>
    </x:row>
    <x:row r="1152">
      <x:c r="A1152" t="str">
        <x:v>FP-1411</x:v>
      </x:c>
      <x:c r="B1152" t="str">
        <x:v>1JN</x:v>
      </x:c>
      <x:c r="C1152" t="str">
        <x:v>1. Johannes</x:v>
      </x:c>
      <x:c r="D1152" t="n">
        <x:v>1</x:v>
      </x:c>
      <x:c r="E1152" t="n">
        <x:v>1</x:v>
      </x:c>
      <x:c r="F1152" t="str">
        <x:v>1JN-001</x:v>
      </x:c>
      <x:c r="G1152" t="n">
        <x:v>231</x:v>
      </x:c>
      <x:c r="H1152" t="str">
        <x:v>CQ-A20-26</x:v>
      </x:c>
      <x:c r="I1152" s="36" t="str">
        <x:v>Bestandsfrage: exakter Wortlaut in diesem Arbeitsschritt nicht rekonstruiert.</x:v>
      </x:c>
      <x:c r="J1152" s="36"/>
      <x:c r="K1152" s="36"/>
      <x:c r="L1152" s="36" t="str">
        <x:v>MASTER_STATUS_VERIFIZIERT</x:v>
      </x:c>
      <x:c r="M1152" s="36" t="str">
        <x:v>ERSETZEN</x:v>
      </x:c>
      <x:c r="N1152" s="36" t="str">
        <x:v>BESTAND_NOCH_NICHT_GEPRÜFT</x:v>
      </x:c>
      <x:c r="O1152" s="36" t="str">
        <x:v>DIDAKTISCHE_NEUFASSUNG</x:v>
      </x:c>
      <x:c r="P1152" s="36" t="str">
        <x:v>ZEUGNIS</x:v>
      </x:c>
      <x:c r="Q1152" s="36" t="str">
        <x:v>Worauf gründet der Verfasser seine Verkündigung des 'Wortes des Lebens'?</x:v>
      </x:c>
      <x:c r="R1152" s="36" t="str">
        <x:v>Auf eine rein private Vision ohne Zeugen.</x:v>
      </x:c>
      <x:c r="S1152" s="36" t="str">
        <x:v>Auf das, was gehört, gesehen, betrachtet und berührt wurde.</x:v>
      </x:c>
      <x:c r="T1152" s="36" t="str">
        <x:v>Auf spätere Legenden.</x:v>
      </x:c>
      <x:c r="U1152" s="36" t="str">
        <x:v>Auf philosophische Spekulation.</x:v>
      </x:c>
      <x:c r="V1152" s="36" t="n">
        <x:v>1</x:v>
      </x:c>
      <x:c r="W1152" s="36" t="str">
        <x:v>Auf das, was gehört, gesehen, betrachtet und berührt wurde.</x:v>
      </x:c>
      <x:c r="X1152" s="36" t="str">
        <x:v>1. Johannes 1,1–3</x:v>
      </x:c>
      <x:c r="Y1152" s="36" t="str">
        <x:v>Der Brief eröffnet mit betont sinnlichem Augenzeugenzeugnis und verbindet es mit Gemeinschaft.</x:v>
      </x:c>
      <x:c r="Z1152" s="36" t="str">
        <x:v>JA</x:v>
      </x:c>
      <x:c r="AA1152" s="36" t="str">
        <x:v>JA</x:v>
      </x:c>
      <x:c r="AB1152" s="36" t="str">
        <x:v>JA</x:v>
      </x:c>
      <x:c r="AC1152" s="36" t="str">
        <x:v>JA</x:v>
      </x:c>
      <x:c r="AD1152" s="36" t="str">
        <x:v>JA</x:v>
      </x:c>
      <x:c r="AE1152" s="36" t="str">
        <x:v>JA</x:v>
      </x:c>
      <x:c r="AF1152" s="36" t="str">
        <x:v>JA</x:v>
      </x:c>
      <x:c r="AG1152" s="36" t="str">
        <x:v>FREIGEGEBEN</x:v>
      </x:c>
      <x:c r="AH1152" s="36" t="str">
        <x:v>GPT-5.6 Sol · Sammelprüfung Allgemeine Briefe · L1912/OTB</x:v>
      </x:c>
      <x:c r="AI1152" s="36" t="str">
        <x:v>FREIGEGEBEN</x:v>
      </x:c>
      <x:c r="AJ1152" s="36" t="str">
        <x:v>1. Johannes 1: neue textnahe ZEUGNIS-Frage redaktionell freigegeben.</x:v>
      </x:c>
      <x:c r="AK1152" s="36" t="str">
        <x:v>FaithPath repo develop/v4 · data/bibles/l1912/1JN.json · data/bibles/otb/1JN.json</x:v>
      </x:c>
      <x:c r="AL1152" t="str">
        <x:v>JA</x:v>
      </x:c>
    </x:row>
    <x:row r="1153">
      <x:c r="A1153" t="str">
        <x:v>FP-1412</x:v>
      </x:c>
      <x:c r="B1153" t="str">
        <x:v>1JN</x:v>
      </x:c>
      <x:c r="C1153" t="str">
        <x:v>1. Johannes</x:v>
      </x:c>
      <x:c r="D1153" t="n">
        <x:v>1</x:v>
      </x:c>
      <x:c r="E1153" t="n">
        <x:v>2</x:v>
      </x:c>
      <x:c r="F1153" t="str">
        <x:v>1JN-001</x:v>
      </x:c>
      <x:c r="G1153" t="n">
        <x:v>231</x:v>
      </x:c>
      <x:c r="H1153" t="str">
        <x:v>CQ-A20-26</x:v>
      </x:c>
      <x:c r="I1153" s="36" t="str">
        <x:v>Bestandsfrage: exakter Wortlaut in diesem Arbeitsschritt nicht rekonstruiert.</x:v>
      </x:c>
      <x:c r="J1153" s="36"/>
      <x:c r="K1153" s="36"/>
      <x:c r="L1153" s="36" t="str">
        <x:v>MASTER_STATUS_VERIFIZIERT</x:v>
      </x:c>
      <x:c r="M1153" s="36" t="str">
        <x:v>ERSETZEN</x:v>
      </x:c>
      <x:c r="N1153" s="36" t="str">
        <x:v>BESTAND_NOCH_NICHT_GEPRÜFT</x:v>
      </x:c>
      <x:c r="O1153" s="36" t="str">
        <x:v>DIDAKTISCHE_NEUFASSUNG</x:v>
      </x:c>
      <x:c r="P1153" s="36" t="str">
        <x:v>GEMEINSCHAFT</x:v>
      </x:c>
      <x:c r="Q1153" s="36" t="str">
        <x:v>Wozu wird das Gesehene und Gehörte verkündigt?</x:v>
      </x:c>
      <x:c r="R1153" s="36" t="str">
        <x:v>Damit nur eine kleine Elite Zugang zu Gott hat.</x:v>
      </x:c>
      <x:c r="S1153" s="36" t="str">
        <x:v>Damit Gemeinschaft überflüssig wird.</x:v>
      </x:c>
      <x:c r="T1153" s="36" t="str">
        <x:v>Damit die Leser Gemeinschaft mit den Zeugen und dadurch mit dem Vater und seinem Sohn Jesus Christus haben.</x:v>
      </x:c>
      <x:c r="U1153" s="36" t="str">
        <x:v>Damit Wissen an die Stelle von Beziehung tritt.</x:v>
      </x:c>
      <x:c r="V1153" s="36" t="n">
        <x:v>2</x:v>
      </x:c>
      <x:c r="W1153" s="36" t="str">
        <x:v>Damit die Leser Gemeinschaft mit den Zeugen und dadurch mit dem Vater und seinem Sohn Jesus Christus haben.</x:v>
      </x:c>
      <x:c r="X1153" s="36" t="str">
        <x:v>1. Johannes 1,3–4</x:v>
      </x:c>
      <x:c r="Y1153" s="36" t="str">
        <x:v>Verkündigung zielt auf gemeinsame Teilhabe an der Gemeinschaft mit Gott.</x:v>
      </x:c>
      <x:c r="Z1153" s="36" t="str">
        <x:v>JA</x:v>
      </x:c>
      <x:c r="AA1153" s="36" t="str">
        <x:v>JA</x:v>
      </x:c>
      <x:c r="AB1153" s="36" t="str">
        <x:v>JA</x:v>
      </x:c>
      <x:c r="AC1153" s="36" t="str">
        <x:v>JA</x:v>
      </x:c>
      <x:c r="AD1153" s="36" t="str">
        <x:v>JA</x:v>
      </x:c>
      <x:c r="AE1153" s="36" t="str">
        <x:v>JA</x:v>
      </x:c>
      <x:c r="AF1153" s="36" t="str">
        <x:v>JA</x:v>
      </x:c>
      <x:c r="AG1153" s="36" t="str">
        <x:v>FREIGEGEBEN</x:v>
      </x:c>
      <x:c r="AH1153" s="36" t="str">
        <x:v>GPT-5.6 Sol · Sammelprüfung Allgemeine Briefe · L1912/OTB</x:v>
      </x:c>
      <x:c r="AI1153" s="36" t="str">
        <x:v>FREIGEGEBEN</x:v>
      </x:c>
      <x:c r="AJ1153" s="36" t="str">
        <x:v>1. Johannes 1: neue textnahe GEMEINSCHAFT-Frage redaktionell freigegeben.</x:v>
      </x:c>
      <x:c r="AK1153" s="36" t="str">
        <x:v>FaithPath repo develop/v4 · data/bibles/l1912/1JN.json · data/bibles/otb/1JN.json</x:v>
      </x:c>
      <x:c r="AL1153" t="str">
        <x:v>JA</x:v>
      </x:c>
    </x:row>
    <x:row r="1154">
      <x:c r="A1154" t="str">
        <x:v>FP-1413</x:v>
      </x:c>
      <x:c r="B1154" t="str">
        <x:v>1JN</x:v>
      </x:c>
      <x:c r="C1154" t="str">
        <x:v>1. Johannes</x:v>
      </x:c>
      <x:c r="D1154" t="n">
        <x:v>1</x:v>
      </x:c>
      <x:c r="E1154" t="n">
        <x:v>3</x:v>
      </x:c>
      <x:c r="F1154" t="str">
        <x:v>1JN-001</x:v>
      </x:c>
      <x:c r="G1154" t="n">
        <x:v>231</x:v>
      </x:c>
      <x:c r="H1154" t="str">
        <x:v>CQ-A20-26</x:v>
      </x:c>
      <x:c r="I1154" s="36" t="str">
        <x:v>Bestandsfrage: exakter Wortlaut in diesem Arbeitsschritt nicht rekonstruiert.</x:v>
      </x:c>
      <x:c r="J1154" s="36"/>
      <x:c r="K1154" s="36"/>
      <x:c r="L1154" s="36" t="str">
        <x:v>MASTER_STATUS_VERIFIZIERT</x:v>
      </x:c>
      <x:c r="M1154" s="36" t="str">
        <x:v>ERSETZEN</x:v>
      </x:c>
      <x:c r="N1154" s="36" t="str">
        <x:v>BESTAND_NOCH_NICHT_GEPRÜFT</x:v>
      </x:c>
      <x:c r="O1154" s="36" t="str">
        <x:v>DIDAKTISCHE_NEUFASSUNG</x:v>
      </x:c>
      <x:c r="P1154" s="36" t="str">
        <x:v>LICHT</x:v>
      </x:c>
      <x:c r="Q1154" s="36" t="str">
        <x:v>Was bedeutet die Aussage 'Gott ist Licht' praktisch für behauptete Gemeinschaft mit ihm?</x:v>
      </x:c>
      <x:c r="R1154" s="36" t="str">
        <x:v>Lebensführung ist für Gemeinschaft bedeutungslos.</x:v>
      </x:c>
      <x:c r="S1154" s="36" t="str">
        <x:v>Finsternis und Licht seien bei Gott gleich.</x:v>
      </x:c>
      <x:c r="T1154" s="36" t="str">
        <x:v>Nur religiöse Worte entscheiden.</x:v>
      </x:c>
      <x:c r="U1154" s="36" t="str">
        <x:v>Wer Gemeinschaft behauptet und zugleich in Finsternis lebt, widerspricht der Wahrheit.</x:v>
      </x:c>
      <x:c r="V1154" s="36" t="n">
        <x:v>3</x:v>
      </x:c>
      <x:c r="W1154" s="36" t="str">
        <x:v>Wer Gemeinschaft behauptet und zugleich in Finsternis lebt, widerspricht der Wahrheit.</x:v>
      </x:c>
      <x:c r="X1154" s="36" t="str">
        <x:v>1. Johannes 1,5–6</x:v>
      </x:c>
      <x:c r="Y1154" s="36" t="str">
        <x:v>Johannes verbindet Gottes Wesen mit der Glaubwürdigkeit gelebter Gemeinschaft.</x:v>
      </x:c>
      <x:c r="Z1154" s="36" t="str">
        <x:v>JA</x:v>
      </x:c>
      <x:c r="AA1154" s="36" t="str">
        <x:v>JA</x:v>
      </x:c>
      <x:c r="AB1154" s="36" t="str">
        <x:v>JA</x:v>
      </x:c>
      <x:c r="AC1154" s="36" t="str">
        <x:v>JA</x:v>
      </x:c>
      <x:c r="AD1154" s="36" t="str">
        <x:v>JA</x:v>
      </x:c>
      <x:c r="AE1154" s="36" t="str">
        <x:v>JA</x:v>
      </x:c>
      <x:c r="AF1154" s="36" t="str">
        <x:v>JA</x:v>
      </x:c>
      <x:c r="AG1154" s="36" t="str">
        <x:v>FREIGEGEBEN</x:v>
      </x:c>
      <x:c r="AH1154" s="36" t="str">
        <x:v>GPT-5.6 Sol · Sammelprüfung Allgemeine Briefe · L1912/OTB</x:v>
      </x:c>
      <x:c r="AI1154" s="36" t="str">
        <x:v>FREIGEGEBEN</x:v>
      </x:c>
      <x:c r="AJ1154" s="36" t="str">
        <x:v>1. Johannes 1: neue textnahe LICHT-Frage redaktionell freigegeben.</x:v>
      </x:c>
      <x:c r="AK1154" s="36" t="str">
        <x:v>FaithPath repo develop/v4 · data/bibles/l1912/1JN.json · data/bibles/otb/1JN.json</x:v>
      </x:c>
      <x:c r="AL1154" t="str">
        <x:v>JA</x:v>
      </x:c>
    </x:row>
    <x:row r="1155">
      <x:c r="A1155" t="str">
        <x:v>FP-1414</x:v>
      </x:c>
      <x:c r="B1155" t="str">
        <x:v>1JN</x:v>
      </x:c>
      <x:c r="C1155" t="str">
        <x:v>1. Johannes</x:v>
      </x:c>
      <x:c r="D1155" t="n">
        <x:v>1</x:v>
      </x:c>
      <x:c r="E1155" t="n">
        <x:v>4</x:v>
      </x:c>
      <x:c r="F1155" t="str">
        <x:v>1JN-001</x:v>
      </x:c>
      <x:c r="G1155" t="n">
        <x:v>231</x:v>
      </x:c>
      <x:c r="H1155" t="str">
        <x:v>CQ-A20-26</x:v>
      </x:c>
      <x:c r="I1155" s="36" t="str">
        <x:v>Bestandsfrage: exakter Wortlaut in diesem Arbeitsschritt nicht rekonstruiert.</x:v>
      </x:c>
      <x:c r="J1155" s="36"/>
      <x:c r="K1155" s="36"/>
      <x:c r="L1155" s="36" t="str">
        <x:v>MASTER_STATUS_VERIFIZIERT</x:v>
      </x:c>
      <x:c r="M1155" s="36" t="str">
        <x:v>ERSETZEN</x:v>
      </x:c>
      <x:c r="N1155" s="36" t="str">
        <x:v>BESTAND_NOCH_NICHT_GEPRÜFT</x:v>
      </x:c>
      <x:c r="O1155" s="36" t="str">
        <x:v>DIDAKTISCHE_NEUFASSUNG</x:v>
      </x:c>
      <x:c r="P1155" s="36" t="str">
        <x:v>REINIGUNG</x:v>
      </x:c>
      <x:c r="Q1155" s="36" t="str">
        <x:v>Was wird denen zugesagt, die im Licht wandeln?</x:v>
      </x:c>
      <x:c r="R1155" s="36" t="str">
        <x:v>Gemeinschaft miteinander und Reinigung von aller Sünde durch das Blut Jesu.</x:v>
      </x:c>
      <x:c r="S1155" s="36" t="str">
        <x:v>Fehlerlosigkeit aus eigener Kraft.</x:v>
      </x:c>
      <x:c r="T1155" s="36" t="str">
        <x:v>Ein Leben ohne Versuchungen.</x:v>
      </x:c>
      <x:c r="U1155" s="36" t="str">
        <x:v>Unabhängigkeit von Vergebung.</x:v>
      </x:c>
      <x:c r="V1155" s="36" t="n">
        <x:v>0</x:v>
      </x:c>
      <x:c r="W1155" s="36" t="str">
        <x:v>Gemeinschaft miteinander und Reinigung von aller Sünde durch das Blut Jesu.</x:v>
      </x:c>
      <x:c r="X1155" s="36" t="str">
        <x:v>1. Johannes 1,7</x:v>
      </x:c>
      <x:c r="Y1155" s="36" t="str">
        <x:v>Wandeln im Licht bedeutet nicht Sündlosigkeit, sondern ehrliche Gemeinschaft und Reinigung durch Jesus.</x:v>
      </x:c>
      <x:c r="Z1155" s="36" t="str">
        <x:v>JA</x:v>
      </x:c>
      <x:c r="AA1155" s="36" t="str">
        <x:v>JA</x:v>
      </x:c>
      <x:c r="AB1155" s="36" t="str">
        <x:v>JA</x:v>
      </x:c>
      <x:c r="AC1155" s="36" t="str">
        <x:v>JA</x:v>
      </x:c>
      <x:c r="AD1155" s="36" t="str">
        <x:v>JA</x:v>
      </x:c>
      <x:c r="AE1155" s="36" t="str">
        <x:v>JA</x:v>
      </x:c>
      <x:c r="AF1155" s="36" t="str">
        <x:v>JA</x:v>
      </x:c>
      <x:c r="AG1155" s="36" t="str">
        <x:v>FREIGEGEBEN</x:v>
      </x:c>
      <x:c r="AH1155" s="36" t="str">
        <x:v>GPT-5.6 Sol · Sammelprüfung Allgemeine Briefe · L1912/OTB</x:v>
      </x:c>
      <x:c r="AI1155" s="36" t="str">
        <x:v>FREIGEGEBEN</x:v>
      </x:c>
      <x:c r="AJ1155" s="36" t="str">
        <x:v>1. Johannes 1: neue textnahe REINIGUNG-Frage redaktionell freigegeben.</x:v>
      </x:c>
      <x:c r="AK1155" s="36" t="str">
        <x:v>FaithPath repo develop/v4 · data/bibles/l1912/1JN.json · data/bibles/otb/1JN.json</x:v>
      </x:c>
      <x:c r="AL1155" t="str">
        <x:v>JA</x:v>
      </x:c>
    </x:row>
    <x:row r="1156">
      <x:c r="A1156" t="str">
        <x:v>FP-1415</x:v>
      </x:c>
      <x:c r="B1156" t="str">
        <x:v>1JN</x:v>
      </x:c>
      <x:c r="C1156" t="str">
        <x:v>1. Johannes</x:v>
      </x:c>
      <x:c r="D1156" t="n">
        <x:v>1</x:v>
      </x:c>
      <x:c r="E1156" t="n">
        <x:v>5</x:v>
      </x:c>
      <x:c r="F1156" t="str">
        <x:v>1JN-001</x:v>
      </x:c>
      <x:c r="G1156" t="n">
        <x:v>231</x:v>
      </x:c>
      <x:c r="H1156" t="str">
        <x:v>CQ-A20-26</x:v>
      </x:c>
      <x:c r="I1156" s="36" t="str">
        <x:v>Bestandsfrage: exakter Wortlaut in diesem Arbeitsschritt nicht rekonstruiert.</x:v>
      </x:c>
      <x:c r="J1156" s="36"/>
      <x:c r="K1156" s="36"/>
      <x:c r="L1156" s="36" t="str">
        <x:v>MASTER_STATUS_VERIFIZIERT</x:v>
      </x:c>
      <x:c r="M1156" s="36" t="str">
        <x:v>ERSETZEN</x:v>
      </x:c>
      <x:c r="N1156" s="36" t="str">
        <x:v>BESTAND_NOCH_NICHT_GEPRÜFT</x:v>
      </x:c>
      <x:c r="O1156" s="36" t="str">
        <x:v>DIDAKTISCHE_NEUFASSUNG</x:v>
      </x:c>
      <x:c r="P1156" s="36" t="str">
        <x:v>BEKENNTNIS</x:v>
      </x:c>
      <x:c r="Q1156" s="36" t="str">
        <x:v>Was geschieht, wenn wir unsere Sünden bekennen?</x:v>
      </x:c>
      <x:c r="R1156" s="36" t="str">
        <x:v>Gott ignoriert das Bekenntnis.</x:v>
      </x:c>
      <x:c r="S1156" s="36" t="str">
        <x:v>Gott ist treu und gerecht, vergibt und reinigt von aller Ungerechtigkeit.</x:v>
      </x:c>
      <x:c r="T1156" s="36" t="str">
        <x:v>Vergebung wird durch Selbstbestrafung verdient.</x:v>
      </x:c>
      <x:c r="U1156" s="36" t="str">
        <x:v>Sünde kann nie benannt werden.</x:v>
      </x:c>
      <x:c r="V1156" s="36" t="n">
        <x:v>1</x:v>
      </x:c>
      <x:c r="W1156" s="36" t="str">
        <x:v>Gott ist treu und gerecht, vergibt und reinigt von aller Ungerechtigkeit.</x:v>
      </x:c>
      <x:c r="X1156" s="36" t="str">
        <x:v>1. Johannes 1,8–10</x:v>
      </x:c>
      <x:c r="Y1156" s="36" t="str">
        <x:v>Johannes lehnt die Behauptung eigener Sündlosigkeit ab und stellt ihr ehrliches Bekenntnis und Gottes Treue gegenüber.</x:v>
      </x:c>
      <x:c r="Z1156" s="36" t="str">
        <x:v>JA</x:v>
      </x:c>
      <x:c r="AA1156" s="36" t="str">
        <x:v>JA</x:v>
      </x:c>
      <x:c r="AB1156" s="36" t="str">
        <x:v>JA</x:v>
      </x:c>
      <x:c r="AC1156" s="36" t="str">
        <x:v>JA</x:v>
      </x:c>
      <x:c r="AD1156" s="36" t="str">
        <x:v>JA</x:v>
      </x:c>
      <x:c r="AE1156" s="36" t="str">
        <x:v>JA</x:v>
      </x:c>
      <x:c r="AF1156" s="36" t="str">
        <x:v>JA</x:v>
      </x:c>
      <x:c r="AG1156" s="36" t="str">
        <x:v>FREIGEGEBEN</x:v>
      </x:c>
      <x:c r="AH1156" s="36" t="str">
        <x:v>GPT-5.6 Sol · Sammelprüfung Allgemeine Briefe · L1912/OTB</x:v>
      </x:c>
      <x:c r="AI1156" s="36" t="str">
        <x:v>FREIGEGEBEN</x:v>
      </x:c>
      <x:c r="AJ1156" s="36" t="str">
        <x:v>1. Johannes 1: neue textnahe BEKENNTNIS-Frage redaktionell freigegeben.</x:v>
      </x:c>
      <x:c r="AK1156" s="36" t="str">
        <x:v>FaithPath repo develop/v4 · data/bibles/l1912/1JN.json · data/bibles/otb/1JN.json</x:v>
      </x:c>
      <x:c r="AL1156" t="str">
        <x:v>JA</x:v>
      </x:c>
    </x:row>
    <x:row r="1157">
      <x:c r="A1157" t="str">
        <x:v>FP-1416</x:v>
      </x:c>
      <x:c r="B1157" t="str">
        <x:v>1JN</x:v>
      </x:c>
      <x:c r="C1157" t="str">
        <x:v>1. Johannes</x:v>
      </x:c>
      <x:c r="D1157" t="n">
        <x:v>2</x:v>
      </x:c>
      <x:c r="E1157" t="n">
        <x:v>1</x:v>
      </x:c>
      <x:c r="F1157" t="str">
        <x:v>1JN-002</x:v>
      </x:c>
      <x:c r="G1157" t="n">
        <x:v>232</x:v>
      </x:c>
      <x:c r="H1157" t="str">
        <x:v>CQ-A20-26</x:v>
      </x:c>
      <x:c r="I1157" s="36" t="str">
        <x:v>Bestandsfrage: exakter Wortlaut in diesem Arbeitsschritt nicht rekonstruiert.</x:v>
      </x:c>
      <x:c r="J1157" s="36"/>
      <x:c r="K1157" s="36"/>
      <x:c r="L1157" s="36" t="str">
        <x:v>MASTER_STATUS_VERIFIZIERT</x:v>
      </x:c>
      <x:c r="M1157" s="36" t="str">
        <x:v>ERSETZEN</x:v>
      </x:c>
      <x:c r="N1157" s="36" t="str">
        <x:v>BESTAND_NOCH_NICHT_GEPRÜFT</x:v>
      </x:c>
      <x:c r="O1157" s="36" t="str">
        <x:v>DIDAKTISCHE_NEUFASSUNG</x:v>
      </x:c>
      <x:c r="P1157" s="36" t="str">
        <x:v>FÜRSPRECHER</x:v>
      </x:c>
      <x:c r="Q1157" s="36" t="str">
        <x:v>Welche Hoffnung nennt Johannes, wenn ein Gläubiger sündigt?</x:v>
      </x:c>
      <x:c r="R1157" s="36" t="str">
        <x:v>Sünde müsse grundsätzlich verborgen werden.</x:v>
      </x:c>
      <x:c r="S1157" s="36" t="str">
        <x:v>Es gebe nach jeder Sünde keinen Zugang mehr zu Gott.</x:v>
      </x:c>
      <x:c r="T1157" s="36" t="str">
        <x:v>Jesus Christus, der Gerechte, ist Fürsprecher beim Vater.</x:v>
      </x:c>
      <x:c r="U1157" s="36" t="str">
        <x:v>Nur menschliche Vermittler könnten helfen.</x:v>
      </x:c>
      <x:c r="V1157" s="36" t="n">
        <x:v>2</x:v>
      </x:c>
      <x:c r="W1157" s="36" t="str">
        <x:v>Jesus Christus, der Gerechte, ist Fürsprecher beim Vater.</x:v>
      </x:c>
      <x:c r="X1157" s="36" t="str">
        <x:v>1. Johannes 2,1–2</x:v>
      </x:c>
      <x:c r="Y1157" s="36" t="str">
        <x:v>Johannes schreibt gegen Sünde, verbindet Versagen aber mit Jesu Fürsprache und Sühnwerk.</x:v>
      </x:c>
      <x:c r="Z1157" s="36" t="str">
        <x:v>JA</x:v>
      </x:c>
      <x:c r="AA1157" s="36" t="str">
        <x:v>JA</x:v>
      </x:c>
      <x:c r="AB1157" s="36" t="str">
        <x:v>JA</x:v>
      </x:c>
      <x:c r="AC1157" s="36" t="str">
        <x:v>JA</x:v>
      </x:c>
      <x:c r="AD1157" s="36" t="str">
        <x:v>JA</x:v>
      </x:c>
      <x:c r="AE1157" s="36" t="str">
        <x:v>JA</x:v>
      </x:c>
      <x:c r="AF1157" s="36" t="str">
        <x:v>JA</x:v>
      </x:c>
      <x:c r="AG1157" s="36" t="str">
        <x:v>FREIGEGEBEN</x:v>
      </x:c>
      <x:c r="AH1157" s="36" t="str">
        <x:v>GPT-5.6 Sol · Sammelprüfung Allgemeine Briefe · L1912/OTB</x:v>
      </x:c>
      <x:c r="AI1157" s="36" t="str">
        <x:v>FREIGEGEBEN</x:v>
      </x:c>
      <x:c r="AJ1157" s="36" t="str">
        <x:v>1. Johannes 2: neue textnahe FÜRSPRECHER-Frage redaktionell freigegeben.</x:v>
      </x:c>
      <x:c r="AK1157" s="36" t="str">
        <x:v>FaithPath repo develop/v4 · data/bibles/l1912/1JN.json · data/bibles/otb/1JN.json</x:v>
      </x:c>
      <x:c r="AL1157" t="str">
        <x:v>JA</x:v>
      </x:c>
    </x:row>
    <x:row r="1158">
      <x:c r="A1158" t="str">
        <x:v>FP-1417</x:v>
      </x:c>
      <x:c r="B1158" t="str">
        <x:v>1JN</x:v>
      </x:c>
      <x:c r="C1158" t="str">
        <x:v>1. Johannes</x:v>
      </x:c>
      <x:c r="D1158" t="n">
        <x:v>2</x:v>
      </x:c>
      <x:c r="E1158" t="n">
        <x:v>2</x:v>
      </x:c>
      <x:c r="F1158" t="str">
        <x:v>1JN-002</x:v>
      </x:c>
      <x:c r="G1158" t="n">
        <x:v>232</x:v>
      </x:c>
      <x:c r="H1158" t="str">
        <x:v>CQ-A20-26</x:v>
      </x:c>
      <x:c r="I1158" s="36" t="str">
        <x:v>Bestandsfrage: exakter Wortlaut in diesem Arbeitsschritt nicht rekonstruiert.</x:v>
      </x:c>
      <x:c r="J1158" s="36"/>
      <x:c r="K1158" s="36"/>
      <x:c r="L1158" s="36" t="str">
        <x:v>MASTER_STATUS_VERIFIZIERT</x:v>
      </x:c>
      <x:c r="M1158" s="36" t="str">
        <x:v>ERSETZEN</x:v>
      </x:c>
      <x:c r="N1158" s="36" t="str">
        <x:v>BESTAND_NOCH_NICHT_GEPRÜFT</x:v>
      </x:c>
      <x:c r="O1158" s="36" t="str">
        <x:v>DIDAKTISCHE_NEUFASSUNG</x:v>
      </x:c>
      <x:c r="P1158" s="36" t="str">
        <x:v>ERKENNTNIS</x:v>
      </x:c>
      <x:c r="Q1158" s="36" t="str">
        <x:v>Woran wird nach 1. Johannes 2 sichtbar, dass jemand Gott erkannt hat?</x:v>
      </x:c>
      <x:c r="R1158" s="36" t="str">
        <x:v>Ausschließlich an religiöser Sprache.</x:v>
      </x:c>
      <x:c r="S1158" s="36" t="str">
        <x:v>An gesellschaftlichem Rang.</x:v>
      </x:c>
      <x:c r="T1158" s="36" t="str">
        <x:v>Daran, niemals korrigiert zu werden.</x:v>
      </x:c>
      <x:c r="U1158" s="36" t="str">
        <x:v>Daran, dass er seine Gebote hält und so lebt, wie Jesus gelebt hat.</x:v>
      </x:c>
      <x:c r="V1158" s="36" t="n">
        <x:v>3</x:v>
      </x:c>
      <x:c r="W1158" s="36" t="str">
        <x:v>Daran, dass er seine Gebote hält und so lebt, wie Jesus gelebt hat.</x:v>
      </x:c>
      <x:c r="X1158" s="36" t="str">
        <x:v>1. Johannes 2,3–6</x:v>
      </x:c>
      <x:c r="Y1158" s="36" t="str">
        <x:v>Erkenntnis Gottes wird mit konkreter Nachfolge statt bloßer Behauptung verbunden.</x:v>
      </x:c>
      <x:c r="Z1158" s="36" t="str">
        <x:v>JA</x:v>
      </x:c>
      <x:c r="AA1158" s="36" t="str">
        <x:v>JA</x:v>
      </x:c>
      <x:c r="AB1158" s="36" t="str">
        <x:v>JA</x:v>
      </x:c>
      <x:c r="AC1158" s="36" t="str">
        <x:v>JA</x:v>
      </x:c>
      <x:c r="AD1158" s="36" t="str">
        <x:v>JA</x:v>
      </x:c>
      <x:c r="AE1158" s="36" t="str">
        <x:v>JA</x:v>
      </x:c>
      <x:c r="AF1158" s="36" t="str">
        <x:v>JA</x:v>
      </x:c>
      <x:c r="AG1158" s="36" t="str">
        <x:v>FREIGEGEBEN</x:v>
      </x:c>
      <x:c r="AH1158" s="36" t="str">
        <x:v>GPT-5.6 Sol · Sammelprüfung Allgemeine Briefe · L1912/OTB</x:v>
      </x:c>
      <x:c r="AI1158" s="36" t="str">
        <x:v>FREIGEGEBEN</x:v>
      </x:c>
      <x:c r="AJ1158" s="36" t="str">
        <x:v>1. Johannes 2: neue textnahe ERKENNTNIS-Frage redaktionell freigegeben.</x:v>
      </x:c>
      <x:c r="AK1158" s="36" t="str">
        <x:v>FaithPath repo develop/v4 · data/bibles/l1912/1JN.json · data/bibles/otb/1JN.json</x:v>
      </x:c>
      <x:c r="AL1158" t="str">
        <x:v>JA</x:v>
      </x:c>
    </x:row>
    <x:row r="1159">
      <x:c r="A1159" t="str">
        <x:v>FP-1418</x:v>
      </x:c>
      <x:c r="B1159" t="str">
        <x:v>1JN</x:v>
      </x:c>
      <x:c r="C1159" t="str">
        <x:v>1. Johannes</x:v>
      </x:c>
      <x:c r="D1159" t="n">
        <x:v>2</x:v>
      </x:c>
      <x:c r="E1159" t="n">
        <x:v>3</x:v>
      </x:c>
      <x:c r="F1159" t="str">
        <x:v>1JN-002</x:v>
      </x:c>
      <x:c r="G1159" t="n">
        <x:v>232</x:v>
      </x:c>
      <x:c r="H1159" t="str">
        <x:v>CQ-A20-26</x:v>
      </x:c>
      <x:c r="I1159" s="36" t="str">
        <x:v>Bestandsfrage: exakter Wortlaut in diesem Arbeitsschritt nicht rekonstruiert.</x:v>
      </x:c>
      <x:c r="J1159" s="36"/>
      <x:c r="K1159" s="36"/>
      <x:c r="L1159" s="36" t="str">
        <x:v>MASTER_STATUS_VERIFIZIERT</x:v>
      </x:c>
      <x:c r="M1159" s="36" t="str">
        <x:v>ERSETZEN</x:v>
      </x:c>
      <x:c r="N1159" s="36" t="str">
        <x:v>BESTAND_NOCH_NICHT_GEPRÜFT</x:v>
      </x:c>
      <x:c r="O1159" s="36" t="str">
        <x:v>DIDAKTISCHE_NEUFASSUNG</x:v>
      </x:c>
      <x:c r="P1159" s="36" t="str">
        <x:v>LIEBE</x:v>
      </x:c>
      <x:c r="Q1159" s="36" t="str">
        <x:v>Was zeigt nach Johannes, ob jemand im Licht oder in der Finsternis lebt?</x:v>
      </x:c>
      <x:c r="R1159" s="36" t="str">
        <x:v>Liebe oder Hass gegenüber dem Bruder beziehungsweise der Schwester.</x:v>
      </x:c>
      <x:c r="S1159" s="36" t="str">
        <x:v>Das Alter der Person.</x:v>
      </x:c>
      <x:c r="T1159" s="36" t="str">
        <x:v>Die Größe ihres Besitzes.</x:v>
      </x:c>
      <x:c r="U1159" s="36" t="str">
        <x:v>Ihre Herkunft.</x:v>
      </x:c>
      <x:c r="V1159" s="36" t="n">
        <x:v>0</x:v>
      </x:c>
      <x:c r="W1159" s="36" t="str">
        <x:v>Liebe oder Hass gegenüber dem Bruder beziehungsweise der Schwester.</x:v>
      </x:c>
      <x:c r="X1159" s="36" t="str">
        <x:v>1. Johannes 2,7–11</x:v>
      </x:c>
      <x:c r="Y1159" s="36" t="str">
        <x:v>Bruderliebe ist ein zentraler Test für gelebtes Licht; Hass wird der Finsternis zugeordnet.</x:v>
      </x:c>
      <x:c r="Z1159" s="36" t="str">
        <x:v>JA</x:v>
      </x:c>
      <x:c r="AA1159" s="36" t="str">
        <x:v>JA</x:v>
      </x:c>
      <x:c r="AB1159" s="36" t="str">
        <x:v>JA</x:v>
      </x:c>
      <x:c r="AC1159" s="36" t="str">
        <x:v>JA</x:v>
      </x:c>
      <x:c r="AD1159" s="36" t="str">
        <x:v>JA</x:v>
      </x:c>
      <x:c r="AE1159" s="36" t="str">
        <x:v>JA</x:v>
      </x:c>
      <x:c r="AF1159" s="36" t="str">
        <x:v>JA</x:v>
      </x:c>
      <x:c r="AG1159" s="36" t="str">
        <x:v>FREIGEGEBEN</x:v>
      </x:c>
      <x:c r="AH1159" s="36" t="str">
        <x:v>GPT-5.6 Sol · Sammelprüfung Allgemeine Briefe · L1912/OTB</x:v>
      </x:c>
      <x:c r="AI1159" s="36" t="str">
        <x:v>FREIGEGEBEN</x:v>
      </x:c>
      <x:c r="AJ1159" s="36" t="str">
        <x:v>1. Johannes 2: neue textnahe LIEBE-Frage redaktionell freigegeben.</x:v>
      </x:c>
      <x:c r="AK1159" s="36" t="str">
        <x:v>FaithPath repo develop/v4 · data/bibles/l1912/1JN.json · data/bibles/otb/1JN.json</x:v>
      </x:c>
      <x:c r="AL1159" t="str">
        <x:v>JA</x:v>
      </x:c>
    </x:row>
    <x:row r="1160">
      <x:c r="A1160" t="str">
        <x:v>FP-1419</x:v>
      </x:c>
      <x:c r="B1160" t="str">
        <x:v>1JN</x:v>
      </x:c>
      <x:c r="C1160" t="str">
        <x:v>1. Johannes</x:v>
      </x:c>
      <x:c r="D1160" t="n">
        <x:v>2</x:v>
      </x:c>
      <x:c r="E1160" t="n">
        <x:v>4</x:v>
      </x:c>
      <x:c r="F1160" t="str">
        <x:v>1JN-002</x:v>
      </x:c>
      <x:c r="G1160" t="n">
        <x:v>232</x:v>
      </x:c>
      <x:c r="H1160" t="str">
        <x:v>CQ-A20-26</x:v>
      </x:c>
      <x:c r="I1160" s="36" t="str">
        <x:v>Bestandsfrage: exakter Wortlaut in diesem Arbeitsschritt nicht rekonstruiert.</x:v>
      </x:c>
      <x:c r="J1160" s="36"/>
      <x:c r="K1160" s="36"/>
      <x:c r="L1160" s="36" t="str">
        <x:v>MASTER_STATUS_VERIFIZIERT</x:v>
      </x:c>
      <x:c r="M1160" s="36" t="str">
        <x:v>ERSETZEN</x:v>
      </x:c>
      <x:c r="N1160" s="36" t="str">
        <x:v>BESTAND_NOCH_NICHT_GEPRÜFT</x:v>
      </x:c>
      <x:c r="O1160" s="36" t="str">
        <x:v>DIDAKTISCHE_NEUFASSUNG</x:v>
      </x:c>
      <x:c r="P1160" s="36" t="str">
        <x:v>WELT</x:v>
      </x:c>
      <x:c r="Q1160" s="36" t="str">
        <x:v>Warum sollen die Glaubenden die Welt im von Johannes gemeinten Sinn nicht lieben?</x:v>
      </x:c>
      <x:c r="R1160" s="36" t="str">
        <x:v>Weil Gottes Schöpfung grundsätzlich böse ist.</x:v>
      </x:c>
      <x:c r="S1160" s="36" t="str">
        <x:v>Weil ihre Begierden und ihr hochmütiger Stolz vergehen, während der Wille Gottes bleibt.</x:v>
      </x:c>
      <x:c r="T1160" s="36" t="str">
        <x:v>Weil Christen keine Menschen außerhalb der Gemeinde lieben dürfen.</x:v>
      </x:c>
      <x:c r="U1160" s="36" t="str">
        <x:v>Weil Besitz automatisch Sünde ist.</x:v>
      </x:c>
      <x:c r="V1160" s="36" t="n">
        <x:v>1</x:v>
      </x:c>
      <x:c r="W1160" s="36" t="str">
        <x:v>Weil ihre Begierden und ihr hochmütiger Stolz vergehen, während der Wille Gottes bleibt.</x:v>
      </x:c>
      <x:c r="X1160" s="36" t="str">
        <x:v>1. Johannes 2,15–17</x:v>
      </x:c>
      <x:c r="Y1160" s="36" t="str">
        <x:v>Johannes meint eine gottfeindliche Ordnung von Begierde und Stolz, nicht die Ablehnung von Menschen oder Schöpfung.</x:v>
      </x:c>
      <x:c r="Z1160" s="36" t="str">
        <x:v>JA</x:v>
      </x:c>
      <x:c r="AA1160" s="36" t="str">
        <x:v>JA</x:v>
      </x:c>
      <x:c r="AB1160" s="36" t="str">
        <x:v>JA</x:v>
      </x:c>
      <x:c r="AC1160" s="36" t="str">
        <x:v>JA</x:v>
      </x:c>
      <x:c r="AD1160" s="36" t="str">
        <x:v>JA</x:v>
      </x:c>
      <x:c r="AE1160" s="36" t="str">
        <x:v>JA</x:v>
      </x:c>
      <x:c r="AF1160" s="36" t="str">
        <x:v>JA</x:v>
      </x:c>
      <x:c r="AG1160" s="36" t="str">
        <x:v>FREIGEGEBEN</x:v>
      </x:c>
      <x:c r="AH1160" s="36" t="str">
        <x:v>GPT-5.6 Sol · Sammelprüfung Allgemeine Briefe · L1912/OTB</x:v>
      </x:c>
      <x:c r="AI1160" s="36" t="str">
        <x:v>FREIGEGEBEN</x:v>
      </x:c>
      <x:c r="AJ1160" s="36" t="str">
        <x:v>1. Johannes 2: neue textnahe WELT-Frage redaktionell freigegeben.</x:v>
      </x:c>
      <x:c r="AK1160" s="36" t="str">
        <x:v>FaithPath repo develop/v4 · data/bibles/l1912/1JN.json · data/bibles/otb/1JN.json</x:v>
      </x:c>
      <x:c r="AL1160" t="str">
        <x:v>JA</x:v>
      </x:c>
    </x:row>
    <x:row r="1161">
      <x:c r="A1161" t="str">
        <x:v>FP-1420</x:v>
      </x:c>
      <x:c r="B1161" t="str">
        <x:v>1JN</x:v>
      </x:c>
      <x:c r="C1161" t="str">
        <x:v>1. Johannes</x:v>
      </x:c>
      <x:c r="D1161" t="n">
        <x:v>2</x:v>
      </x:c>
      <x:c r="E1161" t="n">
        <x:v>5</x:v>
      </x:c>
      <x:c r="F1161" t="str">
        <x:v>1JN-002</x:v>
      </x:c>
      <x:c r="G1161" t="n">
        <x:v>232</x:v>
      </x:c>
      <x:c r="H1161" t="str">
        <x:v>CQ-A20-26</x:v>
      </x:c>
      <x:c r="I1161" s="36" t="str">
        <x:v>Bestandsfrage: exakter Wortlaut in diesem Arbeitsschritt nicht rekonstruiert.</x:v>
      </x:c>
      <x:c r="J1161" s="36"/>
      <x:c r="K1161" s="36"/>
      <x:c r="L1161" s="36" t="str">
        <x:v>MASTER_STATUS_VERIFIZIERT</x:v>
      </x:c>
      <x:c r="M1161" s="36" t="str">
        <x:v>ERSETZEN</x:v>
      </x:c>
      <x:c r="N1161" s="36" t="str">
        <x:v>BESTAND_NOCH_NICHT_GEPRÜFT</x:v>
      </x:c>
      <x:c r="O1161" s="36" t="str">
        <x:v>DIDAKTISCHE_NEUFASSUNG</x:v>
      </x:c>
      <x:c r="P1161" s="36" t="str">
        <x:v>WAHRHEIT</x:v>
      </x:c>
      <x:c r="Q1161" s="36" t="str">
        <x:v>Wie kennzeichnet Johannes antichristliche Täuschung?</x:v>
      </x:c>
      <x:c r="R1161" s="36" t="str">
        <x:v>Sie bekennt Jesus als Christus.</x:v>
      </x:c>
      <x:c r="S1161" s="36" t="str">
        <x:v>Sie hält an der von Anfang an gehörten Botschaft fest.</x:v>
      </x:c>
      <x:c r="T1161" s="36" t="str">
        <x:v>Sie leugnet, dass Jesus der Christus ist, und trennt den Sohn vom Vater.</x:v>
      </x:c>
      <x:c r="U1161" s="36" t="str">
        <x:v>Sie führt zum Bleiben im Sohn und Vater.</x:v>
      </x:c>
      <x:c r="V1161" s="36" t="n">
        <x:v>2</x:v>
      </x:c>
      <x:c r="W1161" s="36" t="str">
        <x:v>Sie leugnet, dass Jesus der Christus ist, und trennt den Sohn vom Vater.</x:v>
      </x:c>
      <x:c r="X1161" s="36" t="str">
        <x:v>1. Johannes 2,18–25</x:v>
      </x:c>
      <x:c r="Y1161" s="36" t="str">
        <x:v>Für Johannes ist die Beziehung zum Vater untrennbar mit dem Bekenntnis zum Sohn verbunden.</x:v>
      </x:c>
      <x:c r="Z1161" s="36" t="str">
        <x:v>JA</x:v>
      </x:c>
      <x:c r="AA1161" s="36" t="str">
        <x:v>JA</x:v>
      </x:c>
      <x:c r="AB1161" s="36" t="str">
        <x:v>JA</x:v>
      </x:c>
      <x:c r="AC1161" s="36" t="str">
        <x:v>JA</x:v>
      </x:c>
      <x:c r="AD1161" s="36" t="str">
        <x:v>JA</x:v>
      </x:c>
      <x:c r="AE1161" s="36" t="str">
        <x:v>JA</x:v>
      </x:c>
      <x:c r="AF1161" s="36" t="str">
        <x:v>JA</x:v>
      </x:c>
      <x:c r="AG1161" s="36" t="str">
        <x:v>FREIGEGEBEN</x:v>
      </x:c>
      <x:c r="AH1161" s="36" t="str">
        <x:v>GPT-5.6 Sol · Sammelprüfung Allgemeine Briefe · L1912/OTB</x:v>
      </x:c>
      <x:c r="AI1161" s="36" t="str">
        <x:v>FREIGEGEBEN</x:v>
      </x:c>
      <x:c r="AJ1161" s="36" t="str">
        <x:v>1. Johannes 2: neue textnahe WAHRHEIT-Frage redaktionell freigegeben.</x:v>
      </x:c>
      <x:c r="AK1161" s="36" t="str">
        <x:v>FaithPath repo develop/v4 · data/bibles/l1912/1JN.json · data/bibles/otb/1JN.json</x:v>
      </x:c>
      <x:c r="AL1161" t="str">
        <x:v>JA</x:v>
      </x:c>
    </x:row>
    <x:row r="1162">
      <x:c r="A1162" t="str">
        <x:v>FP-1421</x:v>
      </x:c>
      <x:c r="B1162" t="str">
        <x:v>1JN</x:v>
      </x:c>
      <x:c r="C1162" t="str">
        <x:v>1. Johannes</x:v>
      </x:c>
      <x:c r="D1162" t="n">
        <x:v>3</x:v>
      </x:c>
      <x:c r="E1162" t="n">
        <x:v>1</x:v>
      </x:c>
      <x:c r="F1162" t="str">
        <x:v>1JN-003</x:v>
      </x:c>
      <x:c r="G1162" t="n">
        <x:v>233</x:v>
      </x:c>
      <x:c r="H1162" t="str">
        <x:v>CQ-A20-26</x:v>
      </x:c>
      <x:c r="I1162" s="36" t="str">
        <x:v>Bestandsfrage: exakter Wortlaut in diesem Arbeitsschritt nicht rekonstruiert.</x:v>
      </x:c>
      <x:c r="J1162" s="36"/>
      <x:c r="K1162" s="36"/>
      <x:c r="L1162" s="36" t="str">
        <x:v>MASTER_STATUS_VERIFIZIERT</x:v>
      </x:c>
      <x:c r="M1162" s="36" t="str">
        <x:v>ERSETZEN</x:v>
      </x:c>
      <x:c r="N1162" s="36" t="str">
        <x:v>BESTAND_NOCH_NICHT_GEPRÜFT</x:v>
      </x:c>
      <x:c r="O1162" s="36" t="str">
        <x:v>DIDAKTISCHE_NEUFASSUNG</x:v>
      </x:c>
      <x:c r="P1162" s="36" t="str">
        <x:v>IDENTITÄT</x:v>
      </x:c>
      <x:c r="Q1162" s="36" t="str">
        <x:v>Welche erstaunliche Identität begründet Johannes mit der Liebe des Vaters?</x:v>
      </x:c>
      <x:c r="R1162" s="36" t="str">
        <x:v>Sie werden automatisch zu Engeln.</x:v>
      </x:c>
      <x:c r="S1162" s="36" t="str">
        <x:v>Sie verlieren jede irdische Verantwortung.</x:v>
      </x:c>
      <x:c r="T1162" s="36" t="str">
        <x:v>Sie werden wegen eigener Leistung göttlich.</x:v>
      </x:c>
      <x:c r="U1162" s="36" t="str">
        <x:v>Die Glaubenden werden Kinder Gottes genannt – und sind es.</x:v>
      </x:c>
      <x:c r="V1162" s="36" t="n">
        <x:v>3</x:v>
      </x:c>
      <x:c r="W1162" s="36" t="str">
        <x:v>Die Glaubenden werden Kinder Gottes genannt – und sind es.</x:v>
      </x:c>
      <x:c r="X1162" s="36" t="str">
        <x:v>1. Johannes 3,1–3</x:v>
      </x:c>
      <x:c r="Y1162" s="36" t="str">
        <x:v>Kindschaft ist Ausdruck empfangener Liebe und führt zugleich zu Hoffnung und dem Streben nach Reinheit.</x:v>
      </x:c>
      <x:c r="Z1162" s="36" t="str">
        <x:v>JA</x:v>
      </x:c>
      <x:c r="AA1162" s="36" t="str">
        <x:v>JA</x:v>
      </x:c>
      <x:c r="AB1162" s="36" t="str">
        <x:v>JA</x:v>
      </x:c>
      <x:c r="AC1162" s="36" t="str">
        <x:v>JA</x:v>
      </x:c>
      <x:c r="AD1162" s="36" t="str">
        <x:v>JA</x:v>
      </x:c>
      <x:c r="AE1162" s="36" t="str">
        <x:v>JA</x:v>
      </x:c>
      <x:c r="AF1162" s="36" t="str">
        <x:v>JA</x:v>
      </x:c>
      <x:c r="AG1162" s="36" t="str">
        <x:v>FREIGEGEBEN</x:v>
      </x:c>
      <x:c r="AH1162" s="36" t="str">
        <x:v>GPT-5.6 Sol · Sammelprüfung Allgemeine Briefe · L1912/OTB</x:v>
      </x:c>
      <x:c r="AI1162" s="36" t="str">
        <x:v>FREIGEGEBEN</x:v>
      </x:c>
      <x:c r="AJ1162" s="36" t="str">
        <x:v>1. Johannes 3: neue textnahe IDENTITÄT-Frage redaktionell freigegeben.</x:v>
      </x:c>
      <x:c r="AK1162" s="36" t="str">
        <x:v>FaithPath repo develop/v4 · data/bibles/l1912/1JN.json · data/bibles/otb/1JN.json</x:v>
      </x:c>
      <x:c r="AL1162" t="str">
        <x:v>JA</x:v>
      </x:c>
    </x:row>
    <x:row r="1163">
      <x:c r="A1163" t="str">
        <x:v>FP-1422</x:v>
      </x:c>
      <x:c r="B1163" t="str">
        <x:v>1JN</x:v>
      </x:c>
      <x:c r="C1163" t="str">
        <x:v>1. Johannes</x:v>
      </x:c>
      <x:c r="D1163" t="n">
        <x:v>3</x:v>
      </x:c>
      <x:c r="E1163" t="n">
        <x:v>2</x:v>
      </x:c>
      <x:c r="F1163" t="str">
        <x:v>1JN-003</x:v>
      </x:c>
      <x:c r="G1163" t="n">
        <x:v>233</x:v>
      </x:c>
      <x:c r="H1163" t="str">
        <x:v>CQ-A20-26</x:v>
      </x:c>
      <x:c r="I1163" s="36" t="str">
        <x:v>Bestandsfrage: exakter Wortlaut in diesem Arbeitsschritt nicht rekonstruiert.</x:v>
      </x:c>
      <x:c r="J1163" s="36"/>
      <x:c r="K1163" s="36"/>
      <x:c r="L1163" s="36" t="str">
        <x:v>MASTER_STATUS_VERIFIZIERT</x:v>
      </x:c>
      <x:c r="M1163" s="36" t="str">
        <x:v>ERSETZEN</x:v>
      </x:c>
      <x:c r="N1163" s="36" t="str">
        <x:v>BESTAND_NOCH_NICHT_GEPRÜFT</x:v>
      </x:c>
      <x:c r="O1163" s="36" t="str">
        <x:v>DIDAKTISCHE_NEUFASSUNG</x:v>
      </x:c>
      <x:c r="P1163" s="36" t="str">
        <x:v>ZWECK_JESU</x:v>
      </x:c>
      <x:c r="Q1163" s="36" t="str">
        <x:v>Wozu ist der Sohn Gottes nach 1. Johannes 3 erschienen?</x:v>
      </x:c>
      <x:c r="R1163" s="36" t="str">
        <x:v>Um Sünden wegzunehmen und die Werke des Teufels zu zerstören.</x:v>
      </x:c>
      <x:c r="S1163" s="36" t="str">
        <x:v>Um die Bedeutung von Sünde zu leugnen.</x:v>
      </x:c>
      <x:c r="T1163" s="36" t="str">
        <x:v>Um Menschen zur Gesetzlosigkeit zu ermutigen.</x:v>
      </x:c>
      <x:c r="U1163" s="36" t="str">
        <x:v>Um Liebe durch Wissen zu ersetzen.</x:v>
      </x:c>
      <x:c r="V1163" s="36" t="n">
        <x:v>0</x:v>
      </x:c>
      <x:c r="W1163" s="36" t="str">
        <x:v>Um Sünden wegzunehmen und die Werke des Teufels zu zerstören.</x:v>
      </x:c>
      <x:c r="X1163" s="36" t="str">
        <x:v>1. Johannes 3,4–8</x:v>
      </x:c>
      <x:c r="Y1163" s="36" t="str">
        <x:v>Johannes verbindet Jesu Erscheinung mit einem Bruch zur Sünde und mit dem Sieg über das Böse.</x:v>
      </x:c>
      <x:c r="Z1163" s="36" t="str">
        <x:v>JA</x:v>
      </x:c>
      <x:c r="AA1163" s="36" t="str">
        <x:v>JA</x:v>
      </x:c>
      <x:c r="AB1163" s="36" t="str">
        <x:v>JA</x:v>
      </x:c>
      <x:c r="AC1163" s="36" t="str">
        <x:v>JA</x:v>
      </x:c>
      <x:c r="AD1163" s="36" t="str">
        <x:v>JA</x:v>
      </x:c>
      <x:c r="AE1163" s="36" t="str">
        <x:v>JA</x:v>
      </x:c>
      <x:c r="AF1163" s="36" t="str">
        <x:v>JA</x:v>
      </x:c>
      <x:c r="AG1163" s="36" t="str">
        <x:v>FREIGEGEBEN</x:v>
      </x:c>
      <x:c r="AH1163" s="36" t="str">
        <x:v>GPT-5.6 Sol · Sammelprüfung Allgemeine Briefe · L1912/OTB</x:v>
      </x:c>
      <x:c r="AI1163" s="36" t="str">
        <x:v>FREIGEGEBEN</x:v>
      </x:c>
      <x:c r="AJ1163" s="36" t="str">
        <x:v>1. Johannes 3: neue textnahe ZWECK_JESU-Frage redaktionell freigegeben.</x:v>
      </x:c>
      <x:c r="AK1163" s="36" t="str">
        <x:v>FaithPath repo develop/v4 · data/bibles/l1912/1JN.json · data/bibles/otb/1JN.json</x:v>
      </x:c>
      <x:c r="AL1163" t="str">
        <x:v>JA</x:v>
      </x:c>
    </x:row>
    <x:row r="1164">
      <x:c r="A1164" t="str">
        <x:v>FP-1423</x:v>
      </x:c>
      <x:c r="B1164" t="str">
        <x:v>1JN</x:v>
      </x:c>
      <x:c r="C1164" t="str">
        <x:v>1. Johannes</x:v>
      </x:c>
      <x:c r="D1164" t="n">
        <x:v>3</x:v>
      </x:c>
      <x:c r="E1164" t="n">
        <x:v>3</x:v>
      </x:c>
      <x:c r="F1164" t="str">
        <x:v>1JN-003</x:v>
      </x:c>
      <x:c r="G1164" t="n">
        <x:v>233</x:v>
      </x:c>
      <x:c r="H1164" t="str">
        <x:v>CQ-A20-26</x:v>
      </x:c>
      <x:c r="I1164" s="36" t="str">
        <x:v>Bestandsfrage: exakter Wortlaut in diesem Arbeitsschritt nicht rekonstruiert.</x:v>
      </x:c>
      <x:c r="J1164" s="36"/>
      <x:c r="K1164" s="36"/>
      <x:c r="L1164" s="36" t="str">
        <x:v>MASTER_STATUS_VERIFIZIERT</x:v>
      </x:c>
      <x:c r="M1164" s="36" t="str">
        <x:v>ERSETZEN</x:v>
      </x:c>
      <x:c r="N1164" s="36" t="str">
        <x:v>BESTAND_NOCH_NICHT_GEPRÜFT</x:v>
      </x:c>
      <x:c r="O1164" s="36" t="str">
        <x:v>DIDAKTISCHE_NEUFASSUNG</x:v>
      </x:c>
      <x:c r="P1164" s="36" t="str">
        <x:v>KENNZEICHEN</x:v>
      </x:c>
      <x:c r="Q1164" s="36" t="str">
        <x:v>Was nennt Johannes als sichtbaren Gegensatz zwischen Kindern Gottes und einem gottfernen Leben?</x:v>
      </x:c>
      <x:c r="R1164" s="36" t="str">
        <x:v>Möglichst viel Besitz anhäufen.</x:v>
      </x:c>
      <x:c r="S1164" s="36" t="str">
        <x:v>Gerechtigkeit tun und die Geschwister lieben.</x:v>
      </x:c>
      <x:c r="T1164" s="36" t="str">
        <x:v>Keine Beziehungen pflegen.</x:v>
      </x:c>
      <x:c r="U1164" s="36" t="str">
        <x:v>Nur über Glauben sprechen.</x:v>
      </x:c>
      <x:c r="V1164" s="36" t="n">
        <x:v>1</x:v>
      </x:c>
      <x:c r="W1164" s="36" t="str">
        <x:v>Gerechtigkeit tun und die Geschwister lieben.</x:v>
      </x:c>
      <x:c r="X1164" s="36" t="str">
        <x:v>1. Johannes 3,9–12</x:v>
      </x:c>
      <x:c r="Y1164" s="36" t="str">
        <x:v>Der Abschnitt verbindet moralische Praxis und Bruderliebe als erkennbare Frucht der Zugehörigkeit zu Gott.</x:v>
      </x:c>
      <x:c r="Z1164" s="36" t="str">
        <x:v>JA</x:v>
      </x:c>
      <x:c r="AA1164" s="36" t="str">
        <x:v>JA</x:v>
      </x:c>
      <x:c r="AB1164" s="36" t="str">
        <x:v>JA</x:v>
      </x:c>
      <x:c r="AC1164" s="36" t="str">
        <x:v>JA</x:v>
      </x:c>
      <x:c r="AD1164" s="36" t="str">
        <x:v>JA</x:v>
      </x:c>
      <x:c r="AE1164" s="36" t="str">
        <x:v>JA</x:v>
      </x:c>
      <x:c r="AF1164" s="36" t="str">
        <x:v>JA</x:v>
      </x:c>
      <x:c r="AG1164" s="36" t="str">
        <x:v>FREIGEGEBEN</x:v>
      </x:c>
      <x:c r="AH1164" s="36" t="str">
        <x:v>GPT-5.6 Sol · Sammelprüfung Allgemeine Briefe · L1912/OTB</x:v>
      </x:c>
      <x:c r="AI1164" s="36" t="str">
        <x:v>FREIGEGEBEN</x:v>
      </x:c>
      <x:c r="AJ1164" s="36" t="str">
        <x:v>1. Johannes 3: neue textnahe KENNZEICHEN-Frage redaktionell freigegeben.</x:v>
      </x:c>
      <x:c r="AK1164" s="36" t="str">
        <x:v>FaithPath repo develop/v4 · data/bibles/l1912/1JN.json · data/bibles/otb/1JN.json</x:v>
      </x:c>
      <x:c r="AL1164" t="str">
        <x:v>JA</x:v>
      </x:c>
    </x:row>
    <x:row r="1165">
      <x:c r="A1165" t="str">
        <x:v>FP-1424</x:v>
      </x:c>
      <x:c r="B1165" t="str">
        <x:v>1JN</x:v>
      </x:c>
      <x:c r="C1165" t="str">
        <x:v>1. Johannes</x:v>
      </x:c>
      <x:c r="D1165" t="n">
        <x:v>3</x:v>
      </x:c>
      <x:c r="E1165" t="n">
        <x:v>4</x:v>
      </x:c>
      <x:c r="F1165" t="str">
        <x:v>1JN-003</x:v>
      </x:c>
      <x:c r="G1165" t="n">
        <x:v>233</x:v>
      </x:c>
      <x:c r="H1165" t="str">
        <x:v>CQ-A20-26</x:v>
      </x:c>
      <x:c r="I1165" s="36" t="str">
        <x:v>Bestandsfrage: exakter Wortlaut in diesem Arbeitsschritt nicht rekonstruiert.</x:v>
      </x:c>
      <x:c r="J1165" s="36"/>
      <x:c r="K1165" s="36"/>
      <x:c r="L1165" s="36" t="str">
        <x:v>MASTER_STATUS_VERIFIZIERT</x:v>
      </x:c>
      <x:c r="M1165" s="36" t="str">
        <x:v>ERSETZEN</x:v>
      </x:c>
      <x:c r="N1165" s="36" t="str">
        <x:v>BESTAND_NOCH_NICHT_GEPRÜFT</x:v>
      </x:c>
      <x:c r="O1165" s="36" t="str">
        <x:v>DIDAKTISCHE_NEUFASSUNG</x:v>
      </x:c>
      <x:c r="P1165" s="36" t="str">
        <x:v>LIEBE_IN_TAT</x:v>
      </x:c>
      <x:c r="Q1165" s="36" t="str">
        <x:v>Wie soll christliche Liebe nach 1. Johannes 3 aussehen?</x:v>
      </x:c>
      <x:c r="R1165" s="36" t="str">
        <x:v>Nur als inneres Gefühl.</x:v>
      </x:c>
      <x:c r="S1165" s="36" t="str">
        <x:v>Nur gegenüber engen Freunden.</x:v>
      </x:c>
      <x:c r="T1165" s="36" t="str">
        <x:v>Nicht nur mit Worten, sondern in Tat und Wahrheit, besonders gegenüber Bedürftigen.</x:v>
      </x:c>
      <x:c r="U1165" s="36" t="str">
        <x:v>Ohne materielle oder praktische Konsequenzen.</x:v>
      </x:c>
      <x:c r="V1165" s="36" t="n">
        <x:v>2</x:v>
      </x:c>
      <x:c r="W1165" s="36" t="str">
        <x:v>Nicht nur mit Worten, sondern in Tat und Wahrheit, besonders gegenüber Bedürftigen.</x:v>
      </x:c>
      <x:c r="X1165" s="36" t="str">
        <x:v>1. Johannes 3,16–18</x:v>
      </x:c>
      <x:c r="Y1165" s="36" t="str">
        <x:v>Jesu Hingabe definiert Liebe; daraus folgt konkrete Bereitschaft zum Helfen.</x:v>
      </x:c>
      <x:c r="Z1165" s="36" t="str">
        <x:v>JA</x:v>
      </x:c>
      <x:c r="AA1165" s="36" t="str">
        <x:v>JA</x:v>
      </x:c>
      <x:c r="AB1165" s="36" t="str">
        <x:v>JA</x:v>
      </x:c>
      <x:c r="AC1165" s="36" t="str">
        <x:v>JA</x:v>
      </x:c>
      <x:c r="AD1165" s="36" t="str">
        <x:v>JA</x:v>
      </x:c>
      <x:c r="AE1165" s="36" t="str">
        <x:v>JA</x:v>
      </x:c>
      <x:c r="AF1165" s="36" t="str">
        <x:v>JA</x:v>
      </x:c>
      <x:c r="AG1165" s="36" t="str">
        <x:v>FREIGEGEBEN</x:v>
      </x:c>
      <x:c r="AH1165" s="36" t="str">
        <x:v>GPT-5.6 Sol · Sammelprüfung Allgemeine Briefe · L1912/OTB</x:v>
      </x:c>
      <x:c r="AI1165" s="36" t="str">
        <x:v>FREIGEGEBEN</x:v>
      </x:c>
      <x:c r="AJ1165" s="36" t="str">
        <x:v>1. Johannes 3: neue textnahe LIEBE_IN_TAT-Frage redaktionell freigegeben.</x:v>
      </x:c>
      <x:c r="AK1165" s="36" t="str">
        <x:v>FaithPath repo develop/v4 · data/bibles/l1912/1JN.json · data/bibles/otb/1JN.json</x:v>
      </x:c>
      <x:c r="AL1165" t="str">
        <x:v>JA</x:v>
      </x:c>
    </x:row>
    <x:row r="1166">
      <x:c r="A1166" t="str">
        <x:v>FP-1425</x:v>
      </x:c>
      <x:c r="B1166" t="str">
        <x:v>1JN</x:v>
      </x:c>
      <x:c r="C1166" t="str">
        <x:v>1. Johannes</x:v>
      </x:c>
      <x:c r="D1166" t="n">
        <x:v>3</x:v>
      </x:c>
      <x:c r="E1166" t="n">
        <x:v>5</x:v>
      </x:c>
      <x:c r="F1166" t="str">
        <x:v>1JN-003</x:v>
      </x:c>
      <x:c r="G1166" t="n">
        <x:v>233</x:v>
      </x:c>
      <x:c r="H1166" t="str">
        <x:v>CQ-A20-26</x:v>
      </x:c>
      <x:c r="I1166" s="36" t="str">
        <x:v>Bestandsfrage: exakter Wortlaut in diesem Arbeitsschritt nicht rekonstruiert.</x:v>
      </x:c>
      <x:c r="J1166" s="36"/>
      <x:c r="K1166" s="36"/>
      <x:c r="L1166" s="36" t="str">
        <x:v>MASTER_STATUS_VERIFIZIERT</x:v>
      </x:c>
      <x:c r="M1166" s="36" t="str">
        <x:v>ERSETZEN</x:v>
      </x:c>
      <x:c r="N1166" s="36" t="str">
        <x:v>BESTAND_NOCH_NICHT_GEPRÜFT</x:v>
      </x:c>
      <x:c r="O1166" s="36" t="str">
        <x:v>DIDAKTISCHE_NEUFASSUNG</x:v>
      </x:c>
      <x:c r="P1166" s="36" t="str">
        <x:v>GEBOT</x:v>
      </x:c>
      <x:c r="Q1166" s="36" t="str">
        <x:v>Wie fasst Johannes Gottes Gebot zusammen?</x:v>
      </x:c>
      <x:c r="R1166" s="36" t="str">
        <x:v>Nur religiöse Regeln sammeln.</x:v>
      </x:c>
      <x:c r="S1166" s="36" t="str">
        <x:v>Sich von allen Menschen absondern.</x:v>
      </x:c>
      <x:c r="T1166" s="36" t="str">
        <x:v>Glauben ohne Liebe genügt vollständig.</x:v>
      </x:c>
      <x:c r="U1166" s="36" t="str">
        <x:v>An den Namen seines Sohnes Jesus Christus glauben und einander lieben.</x:v>
      </x:c>
      <x:c r="V1166" s="36" t="n">
        <x:v>3</x:v>
      </x:c>
      <x:c r="W1166" s="36" t="str">
        <x:v>An den Namen seines Sohnes Jesus Christus glauben und einander lieben.</x:v>
      </x:c>
      <x:c r="X1166" s="36" t="str">
        <x:v>1. Johannes 3,21–24</x:v>
      </x:c>
      <x:c r="Y1166" s="36" t="str">
        <x:v>Glaube an Christus und Liebe zueinander werden in einem gemeinsamen Gebot zusammengeführt.</x:v>
      </x:c>
      <x:c r="Z1166" s="36" t="str">
        <x:v>JA</x:v>
      </x:c>
      <x:c r="AA1166" s="36" t="str">
        <x:v>JA</x:v>
      </x:c>
      <x:c r="AB1166" s="36" t="str">
        <x:v>JA</x:v>
      </x:c>
      <x:c r="AC1166" s="36" t="str">
        <x:v>JA</x:v>
      </x:c>
      <x:c r="AD1166" s="36" t="str">
        <x:v>JA</x:v>
      </x:c>
      <x:c r="AE1166" s="36" t="str">
        <x:v>JA</x:v>
      </x:c>
      <x:c r="AF1166" s="36" t="str">
        <x:v>JA</x:v>
      </x:c>
      <x:c r="AG1166" s="36" t="str">
        <x:v>FREIGEGEBEN</x:v>
      </x:c>
      <x:c r="AH1166" s="36" t="str">
        <x:v>GPT-5.6 Sol · Sammelprüfung Allgemeine Briefe · L1912/OTB</x:v>
      </x:c>
      <x:c r="AI1166" s="36" t="str">
        <x:v>FREIGEGEBEN</x:v>
      </x:c>
      <x:c r="AJ1166" s="36" t="str">
        <x:v>1. Johannes 3: neue textnahe GEBOT-Frage redaktionell freigegeben.</x:v>
      </x:c>
      <x:c r="AK1166" s="36" t="str">
        <x:v>FaithPath repo develop/v4 · data/bibles/l1912/1JN.json · data/bibles/otb/1JN.json</x:v>
      </x:c>
      <x:c r="AL1166" t="str">
        <x:v>JA</x:v>
      </x:c>
    </x:row>
    <x:row r="1167">
      <x:c r="A1167" t="str">
        <x:v>FP-1426</x:v>
      </x:c>
      <x:c r="B1167" t="str">
        <x:v>1JN</x:v>
      </x:c>
      <x:c r="C1167" t="str">
        <x:v>1. Johannes</x:v>
      </x:c>
      <x:c r="D1167" t="n">
        <x:v>4</x:v>
      </x:c>
      <x:c r="E1167" t="n">
        <x:v>1</x:v>
      </x:c>
      <x:c r="F1167" t="str">
        <x:v>1JN-004</x:v>
      </x:c>
      <x:c r="G1167" t="n">
        <x:v>234</x:v>
      </x:c>
      <x:c r="H1167" t="str">
        <x:v>CQ-A20-26</x:v>
      </x:c>
      <x:c r="I1167" s="36" t="str">
        <x:v>Bestandsfrage: exakter Wortlaut in diesem Arbeitsschritt nicht rekonstruiert.</x:v>
      </x:c>
      <x:c r="J1167" s="36"/>
      <x:c r="K1167" s="36"/>
      <x:c r="L1167" s="36" t="str">
        <x:v>MASTER_STATUS_VERIFIZIERT</x:v>
      </x:c>
      <x:c r="M1167" s="36" t="str">
        <x:v>ERSETZEN</x:v>
      </x:c>
      <x:c r="N1167" s="36" t="str">
        <x:v>BESTAND_NOCH_NICHT_GEPRÜFT</x:v>
      </x:c>
      <x:c r="O1167" s="36" t="str">
        <x:v>DIDAKTISCHE_NEUFASSUNG</x:v>
      </x:c>
      <x:c r="P1167" s="36" t="str">
        <x:v>PRÜFEN</x:v>
      </x:c>
      <x:c r="Q1167" s="36" t="str">
        <x:v>Warum sollen Christen nicht jedem Geist einfach glauben?</x:v>
      </x:c>
      <x:c r="R1167" s="36" t="str">
        <x:v>Weil viele falsche Propheten ausgegangen sind und geistliche Aussagen geprüft werden müssen.</x:v>
      </x:c>
      <x:c r="S1167" s="36" t="str">
        <x:v>Weil der Heilige Geist nie durch Menschen wirkt.</x:v>
      </x:c>
      <x:c r="T1167" s="36" t="str">
        <x:v>Weil jede geistliche Aussage falsch ist.</x:v>
      </x:c>
      <x:c r="U1167" s="36" t="str">
        <x:v>Weil Prüfung nur Aposteln erlaubt ist.</x:v>
      </x:c>
      <x:c r="V1167" s="36" t="n">
        <x:v>0</x:v>
      </x:c>
      <x:c r="W1167" s="36" t="str">
        <x:v>Weil viele falsche Propheten ausgegangen sind und geistliche Aussagen geprüft werden müssen.</x:v>
      </x:c>
      <x:c r="X1167" s="36" t="str">
        <x:v>1. Johannes 4,1</x:v>
      </x:c>
      <x:c r="Y1167" s="36" t="str">
        <x:v>Johannes fordert weder Leichtgläubigkeit noch pauschale Ablehnung, sondern Prüfung.</x:v>
      </x:c>
      <x:c r="Z1167" s="36" t="str">
        <x:v>JA</x:v>
      </x:c>
      <x:c r="AA1167" s="36" t="str">
        <x:v>JA</x:v>
      </x:c>
      <x:c r="AB1167" s="36" t="str">
        <x:v>JA</x:v>
      </x:c>
      <x:c r="AC1167" s="36" t="str">
        <x:v>JA</x:v>
      </x:c>
      <x:c r="AD1167" s="36" t="str">
        <x:v>JA</x:v>
      </x:c>
      <x:c r="AE1167" s="36" t="str">
        <x:v>JA</x:v>
      </x:c>
      <x:c r="AF1167" s="36" t="str">
        <x:v>JA</x:v>
      </x:c>
      <x:c r="AG1167" s="36" t="str">
        <x:v>FREIGEGEBEN</x:v>
      </x:c>
      <x:c r="AH1167" s="36" t="str">
        <x:v>GPT-5.6 Sol · Sammelprüfung Allgemeine Briefe · L1912/OTB</x:v>
      </x:c>
      <x:c r="AI1167" s="36" t="str">
        <x:v>FREIGEGEBEN</x:v>
      </x:c>
      <x:c r="AJ1167" s="36" t="str">
        <x:v>1. Johannes 4: neue textnahe PRÜFEN-Frage redaktionell freigegeben.</x:v>
      </x:c>
      <x:c r="AK1167" s="36" t="str">
        <x:v>FaithPath repo develop/v4 · data/bibles/l1912/1JN.json · data/bibles/otb/1JN.json</x:v>
      </x:c>
      <x:c r="AL1167" t="str">
        <x:v>JA</x:v>
      </x:c>
    </x:row>
    <x:row r="1168">
      <x:c r="A1168" t="str">
        <x:v>FP-1427</x:v>
      </x:c>
      <x:c r="B1168" t="str">
        <x:v>1JN</x:v>
      </x:c>
      <x:c r="C1168" t="str">
        <x:v>1. Johannes</x:v>
      </x:c>
      <x:c r="D1168" t="n">
        <x:v>4</x:v>
      </x:c>
      <x:c r="E1168" t="n">
        <x:v>2</x:v>
      </x:c>
      <x:c r="F1168" t="str">
        <x:v>1JN-004</x:v>
      </x:c>
      <x:c r="G1168" t="n">
        <x:v>234</x:v>
      </x:c>
      <x:c r="H1168" t="str">
        <x:v>CQ-A20-26</x:v>
      </x:c>
      <x:c r="I1168" s="36" t="str">
        <x:v>Bestandsfrage: exakter Wortlaut in diesem Arbeitsschritt nicht rekonstruiert.</x:v>
      </x:c>
      <x:c r="J1168" s="36"/>
      <x:c r="K1168" s="36"/>
      <x:c r="L1168" s="36" t="str">
        <x:v>MASTER_STATUS_VERIFIZIERT</x:v>
      </x:c>
      <x:c r="M1168" s="36" t="str">
        <x:v>ERSETZEN</x:v>
      </x:c>
      <x:c r="N1168" s="36" t="str">
        <x:v>BESTAND_NOCH_NICHT_GEPRÜFT</x:v>
      </x:c>
      <x:c r="O1168" s="36" t="str">
        <x:v>DIDAKTISCHE_NEUFASSUNG</x:v>
      </x:c>
      <x:c r="P1168" s="36" t="str">
        <x:v>BEKENNTNIS</x:v>
      </x:c>
      <x:c r="Q1168" s="36" t="str">
        <x:v>Welches Bekenntnis nennt Johannes als wesentliches Kennzeichen des Geistes Gottes?</x:v>
      </x:c>
      <x:c r="R1168" s="36" t="str">
        <x:v>Dass Jesus nur scheinbar Mensch war.</x:v>
      </x:c>
      <x:c r="S1168" s="36" t="str">
        <x:v>Dass Jesus Christus im Fleisch gekommen ist.</x:v>
      </x:c>
      <x:c r="T1168" s="36" t="str">
        <x:v>Dass Christus mit Jesus nichts zu tun hat.</x:v>
      </x:c>
      <x:c r="U1168" s="36" t="str">
        <x:v>Dass der Sohn nicht von Gott gesandt wurde.</x:v>
      </x:c>
      <x:c r="V1168" s="36" t="n">
        <x:v>1</x:v>
      </x:c>
      <x:c r="W1168" s="36" t="str">
        <x:v>Dass Jesus Christus im Fleisch gekommen ist.</x:v>
      </x:c>
      <x:c r="X1168" s="36" t="str">
        <x:v>1. Johannes 4,2–3</x:v>
      </x:c>
      <x:c r="Y1168" s="36" t="str">
        <x:v>Das konkrete Bekenntnis zur wirklichen Menschwerdung Jesu dient im Kapitel als Prüfstein.</x:v>
      </x:c>
      <x:c r="Z1168" s="36" t="str">
        <x:v>JA</x:v>
      </x:c>
      <x:c r="AA1168" s="36" t="str">
        <x:v>JA</x:v>
      </x:c>
      <x:c r="AB1168" s="36" t="str">
        <x:v>JA</x:v>
      </x:c>
      <x:c r="AC1168" s="36" t="str">
        <x:v>JA</x:v>
      </x:c>
      <x:c r="AD1168" s="36" t="str">
        <x:v>JA</x:v>
      </x:c>
      <x:c r="AE1168" s="36" t="str">
        <x:v>JA</x:v>
      </x:c>
      <x:c r="AF1168" s="36" t="str">
        <x:v>JA</x:v>
      </x:c>
      <x:c r="AG1168" s="36" t="str">
        <x:v>FREIGEGEBEN</x:v>
      </x:c>
      <x:c r="AH1168" s="36" t="str">
        <x:v>GPT-5.6 Sol · Sammelprüfung Allgemeine Briefe · L1912/OTB</x:v>
      </x:c>
      <x:c r="AI1168" s="36" t="str">
        <x:v>FREIGEGEBEN</x:v>
      </x:c>
      <x:c r="AJ1168" s="36" t="str">
        <x:v>1. Johannes 4: neue textnahe BEKENNTNIS-Frage redaktionell freigegeben.</x:v>
      </x:c>
      <x:c r="AK1168" s="36" t="str">
        <x:v>FaithPath repo develop/v4 · data/bibles/l1912/1JN.json · data/bibles/otb/1JN.json</x:v>
      </x:c>
      <x:c r="AL1168" t="str">
        <x:v>JA</x:v>
      </x:c>
    </x:row>
    <x:row r="1169">
      <x:c r="A1169" t="str">
        <x:v>FP-1428</x:v>
      </x:c>
      <x:c r="B1169" t="str">
        <x:v>1JN</x:v>
      </x:c>
      <x:c r="C1169" t="str">
        <x:v>1. Johannes</x:v>
      </x:c>
      <x:c r="D1169" t="n">
        <x:v>4</x:v>
      </x:c>
      <x:c r="E1169" t="n">
        <x:v>3</x:v>
      </x:c>
      <x:c r="F1169" t="str">
        <x:v>1JN-004</x:v>
      </x:c>
      <x:c r="G1169" t="n">
        <x:v>234</x:v>
      </x:c>
      <x:c r="H1169" t="str">
        <x:v>CQ-A20-26</x:v>
      </x:c>
      <x:c r="I1169" s="36" t="str">
        <x:v>Bestandsfrage: exakter Wortlaut in diesem Arbeitsschritt nicht rekonstruiert.</x:v>
      </x:c>
      <x:c r="J1169" s="36"/>
      <x:c r="K1169" s="36"/>
      <x:c r="L1169" s="36" t="str">
        <x:v>MASTER_STATUS_VERIFIZIERT</x:v>
      </x:c>
      <x:c r="M1169" s="36" t="str">
        <x:v>ERSETZEN</x:v>
      </x:c>
      <x:c r="N1169" s="36" t="str">
        <x:v>BESTAND_NOCH_NICHT_GEPRÜFT</x:v>
      </x:c>
      <x:c r="O1169" s="36" t="str">
        <x:v>DIDAKTISCHE_NEUFASSUNG</x:v>
      </x:c>
      <x:c r="P1169" s="36" t="str">
        <x:v>ZUVERSICHT</x:v>
      </x:c>
      <x:c r="Q1169" s="36" t="str">
        <x:v>Warum müssen die Glaubenden falsche geistliche Einflüsse nicht fürchten?</x:v>
      </x:c>
      <x:c r="R1169" s="36" t="str">
        <x:v>Weil falsche Lehre keine Wirkung haben kann.</x:v>
      </x:c>
      <x:c r="S1169" s="36" t="str">
        <x:v>Weil Christen automatisch alles richtig erkennen.</x:v>
      </x:c>
      <x:c r="T1169" s="36" t="str">
        <x:v>Weil der, der in ihnen ist, größer ist als der, der in der Welt ist.</x:v>
      </x:c>
      <x:c r="U1169" s="36" t="str">
        <x:v>Weil die Welt keine geistlichen Konflikte kennt.</x:v>
      </x:c>
      <x:c r="V1169" s="36" t="n">
        <x:v>2</x:v>
      </x:c>
      <x:c r="W1169" s="36" t="str">
        <x:v>Weil der, der in ihnen ist, größer ist als der, der in der Welt ist.</x:v>
      </x:c>
      <x:c r="X1169" s="36" t="str">
        <x:v>1. Johannes 4,4–6</x:v>
      </x:c>
      <x:c r="Y1169" s="36" t="str">
        <x:v>Die Zuversicht gründet in Gottes Gegenwart, nicht in eigener Unfehlbarkeit.</x:v>
      </x:c>
      <x:c r="Z1169" s="36" t="str">
        <x:v>JA</x:v>
      </x:c>
      <x:c r="AA1169" s="36" t="str">
        <x:v>JA</x:v>
      </x:c>
      <x:c r="AB1169" s="36" t="str">
        <x:v>JA</x:v>
      </x:c>
      <x:c r="AC1169" s="36" t="str">
        <x:v>JA</x:v>
      </x:c>
      <x:c r="AD1169" s="36" t="str">
        <x:v>JA</x:v>
      </x:c>
      <x:c r="AE1169" s="36" t="str">
        <x:v>JA</x:v>
      </x:c>
      <x:c r="AF1169" s="36" t="str">
        <x:v>JA</x:v>
      </x:c>
      <x:c r="AG1169" s="36" t="str">
        <x:v>FREIGEGEBEN</x:v>
      </x:c>
      <x:c r="AH1169" s="36" t="str">
        <x:v>GPT-5.6 Sol · Sammelprüfung Allgemeine Briefe · L1912/OTB</x:v>
      </x:c>
      <x:c r="AI1169" s="36" t="str">
        <x:v>FREIGEGEBEN</x:v>
      </x:c>
      <x:c r="AJ1169" s="36" t="str">
        <x:v>1. Johannes 4: neue textnahe ZUVERSICHT-Frage redaktionell freigegeben.</x:v>
      </x:c>
      <x:c r="AK1169" s="36" t="str">
        <x:v>FaithPath repo develop/v4 · data/bibles/l1912/1JN.json · data/bibles/otb/1JN.json</x:v>
      </x:c>
      <x:c r="AL1169" t="str">
        <x:v>JA</x:v>
      </x:c>
    </x:row>
    <x:row r="1170">
      <x:c r="A1170" t="str">
        <x:v>FP-1429</x:v>
      </x:c>
      <x:c r="B1170" t="str">
        <x:v>1JN</x:v>
      </x:c>
      <x:c r="C1170" t="str">
        <x:v>1. Johannes</x:v>
      </x:c>
      <x:c r="D1170" t="n">
        <x:v>4</x:v>
      </x:c>
      <x:c r="E1170" t="n">
        <x:v>4</x:v>
      </x:c>
      <x:c r="F1170" t="str">
        <x:v>1JN-004</x:v>
      </x:c>
      <x:c r="G1170" t="n">
        <x:v>234</x:v>
      </x:c>
      <x:c r="H1170" t="str">
        <x:v>CQ-A20-26</x:v>
      </x:c>
      <x:c r="I1170" s="36" t="str">
        <x:v>Bestandsfrage: exakter Wortlaut in diesem Arbeitsschritt nicht rekonstruiert.</x:v>
      </x:c>
      <x:c r="J1170" s="36"/>
      <x:c r="K1170" s="36"/>
      <x:c r="L1170" s="36" t="str">
        <x:v>MASTER_STATUS_VERIFIZIERT</x:v>
      </x:c>
      <x:c r="M1170" s="36" t="str">
        <x:v>ERSETZEN</x:v>
      </x:c>
      <x:c r="N1170" s="36" t="str">
        <x:v>BESTAND_NOCH_NICHT_GEPRÜFT</x:v>
      </x:c>
      <x:c r="O1170" s="36" t="str">
        <x:v>DIDAKTISCHE_NEUFASSUNG</x:v>
      </x:c>
      <x:c r="P1170" s="36" t="str">
        <x:v>GOTT_IST_LIEBE</x:v>
      </x:c>
      <x:c r="Q1170" s="36" t="str">
        <x:v>Wie wurde Gottes Liebe nach Johannes besonders sichtbar?</x:v>
      </x:c>
      <x:c r="R1170" s="36" t="str">
        <x:v>Durch materiellen Wohlstand als Hauptzeichen.</x:v>
      </x:c>
      <x:c r="S1170" s="36" t="str">
        <x:v>Durch die Abschaffung jeder Verantwortung.</x:v>
      </x:c>
      <x:c r="T1170" s="36" t="str">
        <x:v>Allein durch menschliche Liebe zu Gott.</x:v>
      </x:c>
      <x:c r="U1170" s="36" t="str">
        <x:v>Gott sandte seinen Sohn, damit wir durch ihn leben, und als Sühnopfer für unsere Sünden.</x:v>
      </x:c>
      <x:c r="V1170" s="36" t="n">
        <x:v>3</x:v>
      </x:c>
      <x:c r="W1170" s="36" t="str">
        <x:v>Gott sandte seinen Sohn, damit wir durch ihn leben, und als Sühnopfer für unsere Sünden.</x:v>
      </x:c>
      <x:c r="X1170" s="36" t="str">
        <x:v>1. Johannes 4,7–10</x:v>
      </x:c>
      <x:c r="Y1170" s="36" t="str">
        <x:v>Gottes Liebe beginnt nicht mit unserer Leistung, sondern mit seiner Initiative in der Sendung des Sohnes.</x:v>
      </x:c>
      <x:c r="Z1170" s="36" t="str">
        <x:v>JA</x:v>
      </x:c>
      <x:c r="AA1170" s="36" t="str">
        <x:v>JA</x:v>
      </x:c>
      <x:c r="AB1170" s="36" t="str">
        <x:v>JA</x:v>
      </x:c>
      <x:c r="AC1170" s="36" t="str">
        <x:v>JA</x:v>
      </x:c>
      <x:c r="AD1170" s="36" t="str">
        <x:v>JA</x:v>
      </x:c>
      <x:c r="AE1170" s="36" t="str">
        <x:v>JA</x:v>
      </x:c>
      <x:c r="AF1170" s="36" t="str">
        <x:v>JA</x:v>
      </x:c>
      <x:c r="AG1170" s="36" t="str">
        <x:v>FREIGEGEBEN</x:v>
      </x:c>
      <x:c r="AH1170" s="36" t="str">
        <x:v>GPT-5.6 Sol · Sammelprüfung Allgemeine Briefe · L1912/OTB</x:v>
      </x:c>
      <x:c r="AI1170" s="36" t="str">
        <x:v>FREIGEGEBEN</x:v>
      </x:c>
      <x:c r="AJ1170" s="36" t="str">
        <x:v>1. Johannes 4: neue textnahe GOTT_IST_LIEBE-Frage redaktionell freigegeben.</x:v>
      </x:c>
      <x:c r="AK1170" s="36" t="str">
        <x:v>FaithPath repo develop/v4 · data/bibles/l1912/1JN.json · data/bibles/otb/1JN.json</x:v>
      </x:c>
      <x:c r="AL1170" t="str">
        <x:v>JA</x:v>
      </x:c>
    </x:row>
    <x:row r="1171">
      <x:c r="A1171" t="str">
        <x:v>FP-1430</x:v>
      </x:c>
      <x:c r="B1171" t="str">
        <x:v>1JN</x:v>
      </x:c>
      <x:c r="C1171" t="str">
        <x:v>1. Johannes</x:v>
      </x:c>
      <x:c r="D1171" t="n">
        <x:v>4</x:v>
      </x:c>
      <x:c r="E1171" t="n">
        <x:v>5</x:v>
      </x:c>
      <x:c r="F1171" t="str">
        <x:v>1JN-004</x:v>
      </x:c>
      <x:c r="G1171" t="n">
        <x:v>234</x:v>
      </x:c>
      <x:c r="H1171" t="str">
        <x:v>CQ-A20-26</x:v>
      </x:c>
      <x:c r="I1171" s="36" t="str">
        <x:v>Bestandsfrage: exakter Wortlaut in diesem Arbeitsschritt nicht rekonstruiert.</x:v>
      </x:c>
      <x:c r="J1171" s="36"/>
      <x:c r="K1171" s="36"/>
      <x:c r="L1171" s="36" t="str">
        <x:v>MASTER_STATUS_VERIFIZIERT</x:v>
      </x:c>
      <x:c r="M1171" s="36" t="str">
        <x:v>ERSETZEN</x:v>
      </x:c>
      <x:c r="N1171" s="36" t="str">
        <x:v>BESTAND_NOCH_NICHT_GEPRÜFT</x:v>
      </x:c>
      <x:c r="O1171" s="36" t="str">
        <x:v>DIDAKTISCHE_NEUFASSUNG</x:v>
      </x:c>
      <x:c r="P1171" s="36" t="str">
        <x:v>LIEBE_UND_FURCHT</x:v>
      </x:c>
      <x:c r="Q1171" s="36" t="str">
        <x:v>Was tut vollendete Liebe im Blick auf Furcht vor Strafe?</x:v>
      </x:c>
      <x:c r="R1171" s="36" t="str">
        <x:v>Sie treibt die Furcht aus.</x:v>
      </x:c>
      <x:c r="S1171" s="36" t="str">
        <x:v>Sie verstärkt die Furcht.</x:v>
      </x:c>
      <x:c r="T1171" s="36" t="str">
        <x:v>Sie macht Liebe zu anderen unnötig.</x:v>
      </x:c>
      <x:c r="U1171" s="36" t="str">
        <x:v>Sie erlaubt Hass auf Geschwister.</x:v>
      </x:c>
      <x:c r="V1171" s="36" t="n">
        <x:v>0</x:v>
      </x:c>
      <x:c r="W1171" s="36" t="str">
        <x:v>Sie treibt die Furcht aus.</x:v>
      </x:c>
      <x:c r="X1171" s="36" t="str">
        <x:v>1. Johannes 4,17–21</x:v>
      </x:c>
      <x:c r="Y1171" s="36" t="str">
        <x:v>Johannes verbindet Zuversicht vor Gott mit gereifter Liebe und erklärt Hass gegenüber sichtbaren Geschwistern für unvereinbar mit behaupteter Gottesliebe.</x:v>
      </x:c>
      <x:c r="Z1171" s="36" t="str">
        <x:v>JA</x:v>
      </x:c>
      <x:c r="AA1171" s="36" t="str">
        <x:v>JA</x:v>
      </x:c>
      <x:c r="AB1171" s="36" t="str">
        <x:v>JA</x:v>
      </x:c>
      <x:c r="AC1171" s="36" t="str">
        <x:v>JA</x:v>
      </x:c>
      <x:c r="AD1171" s="36" t="str">
        <x:v>JA</x:v>
      </x:c>
      <x:c r="AE1171" s="36" t="str">
        <x:v>JA</x:v>
      </x:c>
      <x:c r="AF1171" s="36" t="str">
        <x:v>JA</x:v>
      </x:c>
      <x:c r="AG1171" s="36" t="str">
        <x:v>FREIGEGEBEN</x:v>
      </x:c>
      <x:c r="AH1171" s="36" t="str">
        <x:v>GPT-5.6 Sol · Sammelprüfung Allgemeine Briefe · L1912/OTB</x:v>
      </x:c>
      <x:c r="AI1171" s="36" t="str">
        <x:v>FREIGEGEBEN</x:v>
      </x:c>
      <x:c r="AJ1171" s="36" t="str">
        <x:v>1. Johannes 4: neue textnahe LIEBE_UND_FURCHT-Frage redaktionell freigegeben.</x:v>
      </x:c>
      <x:c r="AK1171" s="36" t="str">
        <x:v>FaithPath repo develop/v4 · data/bibles/l1912/1JN.json · data/bibles/otb/1JN.json</x:v>
      </x:c>
      <x:c r="AL1171" t="str">
        <x:v>JA</x:v>
      </x:c>
    </x:row>
    <x:row r="1172">
      <x:c r="A1172" t="str">
        <x:v>FP-1431</x:v>
      </x:c>
      <x:c r="B1172" t="str">
        <x:v>1JN</x:v>
      </x:c>
      <x:c r="C1172" t="str">
        <x:v>1. Johannes</x:v>
      </x:c>
      <x:c r="D1172" t="n">
        <x:v>5</x:v>
      </x:c>
      <x:c r="E1172" t="n">
        <x:v>1</x:v>
      </x:c>
      <x:c r="F1172" t="str">
        <x:v>1JN-005</x:v>
      </x:c>
      <x:c r="G1172" t="n">
        <x:v>235</x:v>
      </x:c>
      <x:c r="H1172" t="str">
        <x:v>CQ-A20-26</x:v>
      </x:c>
      <x:c r="I1172" s="36" t="str">
        <x:v>Bestandsfrage: exakter Wortlaut in diesem Arbeitsschritt nicht rekonstruiert.</x:v>
      </x:c>
      <x:c r="J1172" s="36"/>
      <x:c r="K1172" s="36"/>
      <x:c r="L1172" s="36" t="str">
        <x:v>MASTER_STATUS_VERIFIZIERT</x:v>
      </x:c>
      <x:c r="M1172" s="36" t="str">
        <x:v>ERSETZEN</x:v>
      </x:c>
      <x:c r="N1172" s="36" t="str">
        <x:v>BESTAND_NOCH_NICHT_GEPRÜFT</x:v>
      </x:c>
      <x:c r="O1172" s="36" t="str">
        <x:v>DIDAKTISCHE_NEUFASSUNG</x:v>
      </x:c>
      <x:c r="P1172" s="36" t="str">
        <x:v>NEUGEBURT</x:v>
      </x:c>
      <x:c r="Q1172" s="36" t="str">
        <x:v>Wer ist nach 1. Johannes 5 aus Gott geboren?</x:v>
      </x:c>
      <x:c r="R1172" s="36" t="str">
        <x:v>Wer niemals Fragen hat.</x:v>
      </x:c>
      <x:c r="S1172" s="36" t="str">
        <x:v>Wer glaubt, dass Jesus der Christus ist.</x:v>
      </x:c>
      <x:c r="T1172" s="36" t="str">
        <x:v>Wer einer bestimmten Volksgruppe angehört.</x:v>
      </x:c>
      <x:c r="U1172" s="36" t="str">
        <x:v>Wer ohne Christus religiös lebt.</x:v>
      </x:c>
      <x:c r="V1172" s="36" t="n">
        <x:v>1</x:v>
      </x:c>
      <x:c r="W1172" s="36" t="str">
        <x:v>Wer glaubt, dass Jesus der Christus ist.</x:v>
      </x:c>
      <x:c r="X1172" s="36" t="str">
        <x:v>1. Johannes 5,1</x:v>
      </x:c>
      <x:c r="Y1172" s="36" t="str">
        <x:v>Der Glaube an Jesus als Christus wird direkt mit der Geburt aus Gott verbunden.</x:v>
      </x:c>
      <x:c r="Z1172" s="36" t="str">
        <x:v>JA</x:v>
      </x:c>
      <x:c r="AA1172" s="36" t="str">
        <x:v>JA</x:v>
      </x:c>
      <x:c r="AB1172" s="36" t="str">
        <x:v>JA</x:v>
      </x:c>
      <x:c r="AC1172" s="36" t="str">
        <x:v>JA</x:v>
      </x:c>
      <x:c r="AD1172" s="36" t="str">
        <x:v>JA</x:v>
      </x:c>
      <x:c r="AE1172" s="36" t="str">
        <x:v>JA</x:v>
      </x:c>
      <x:c r="AF1172" s="36" t="str">
        <x:v>JA</x:v>
      </x:c>
      <x:c r="AG1172" s="36" t="str">
        <x:v>FREIGEGEBEN</x:v>
      </x:c>
      <x:c r="AH1172" s="36" t="str">
        <x:v>GPT-5.6 Sol · Sammelprüfung Allgemeine Briefe · L1912/OTB</x:v>
      </x:c>
      <x:c r="AI1172" s="36" t="str">
        <x:v>FREIGEGEBEN</x:v>
      </x:c>
      <x:c r="AJ1172" s="36" t="str">
        <x:v>1. Johannes 5: neue textnahe NEUGEBURT-Frage redaktionell freigegeben.</x:v>
      </x:c>
      <x:c r="AK1172" s="36" t="str">
        <x:v>FaithPath repo develop/v4 · data/bibles/l1912/1JN.json · data/bibles/otb/1JN.json</x:v>
      </x:c>
      <x:c r="AL1172" t="str">
        <x:v>JA</x:v>
      </x:c>
    </x:row>
    <x:row r="1173">
      <x:c r="A1173" t="str">
        <x:v>FP-1432</x:v>
      </x:c>
      <x:c r="B1173" t="str">
        <x:v>1JN</x:v>
      </x:c>
      <x:c r="C1173" t="str">
        <x:v>1. Johannes</x:v>
      </x:c>
      <x:c r="D1173" t="n">
        <x:v>5</x:v>
      </x:c>
      <x:c r="E1173" t="n">
        <x:v>2</x:v>
      </x:c>
      <x:c r="F1173" t="str">
        <x:v>1JN-005</x:v>
      </x:c>
      <x:c r="G1173" t="n">
        <x:v>235</x:v>
      </x:c>
      <x:c r="H1173" t="str">
        <x:v>CQ-A20-26</x:v>
      </x:c>
      <x:c r="I1173" s="36" t="str">
        <x:v>Bestandsfrage: exakter Wortlaut in diesem Arbeitsschritt nicht rekonstruiert.</x:v>
      </x:c>
      <x:c r="J1173" s="36"/>
      <x:c r="K1173" s="36"/>
      <x:c r="L1173" s="36" t="str">
        <x:v>MASTER_STATUS_VERIFIZIERT</x:v>
      </x:c>
      <x:c r="M1173" s="36" t="str">
        <x:v>ERSETZEN</x:v>
      </x:c>
      <x:c r="N1173" s="36" t="str">
        <x:v>BESTAND_NOCH_NICHT_GEPRÜFT</x:v>
      </x:c>
      <x:c r="O1173" s="36" t="str">
        <x:v>DIDAKTISCHE_NEUFASSUNG</x:v>
      </x:c>
      <x:c r="P1173" s="36" t="str">
        <x:v>LIEBE_GOTTES</x:v>
      </x:c>
      <x:c r="Q1173" s="36" t="str">
        <x:v>Wie zeigt sich Liebe zu Gott nach 1. Johannes 5?</x:v>
      </x:c>
      <x:c r="R1173" s="36" t="str">
        <x:v>Indem Gebote grundsätzlich abgelehnt werden.</x:v>
      </x:c>
      <x:c r="S1173" s="36" t="str">
        <x:v>Allein durch Gefühle ohne Handlung.</x:v>
      </x:c>
      <x:c r="T1173" s="36" t="str">
        <x:v>Indem seine Gebote gehalten werden; sie werden dabei nicht als drückende Last beschrieben.</x:v>
      </x:c>
      <x:c r="U1173" s="36" t="str">
        <x:v>Durch Überlegenheit gegenüber anderen.</x:v>
      </x:c>
      <x:c r="V1173" s="36" t="n">
        <x:v>2</x:v>
      </x:c>
      <x:c r="W1173" s="36" t="str">
        <x:v>Indem seine Gebote gehalten werden; sie werden dabei nicht als drückende Last beschrieben.</x:v>
      </x:c>
      <x:c r="X1173" s="36" t="str">
        <x:v>1. Johannes 5,2–3</x:v>
      </x:c>
      <x:c r="Y1173" s="36" t="str">
        <x:v>Liebe zu Gott und gelebter Gehorsam gehören für Johannes zusammen.</x:v>
      </x:c>
      <x:c r="Z1173" s="36" t="str">
        <x:v>JA</x:v>
      </x:c>
      <x:c r="AA1173" s="36" t="str">
        <x:v>JA</x:v>
      </x:c>
      <x:c r="AB1173" s="36" t="str">
        <x:v>JA</x:v>
      </x:c>
      <x:c r="AC1173" s="36" t="str">
        <x:v>JA</x:v>
      </x:c>
      <x:c r="AD1173" s="36" t="str">
        <x:v>JA</x:v>
      </x:c>
      <x:c r="AE1173" s="36" t="str">
        <x:v>JA</x:v>
      </x:c>
      <x:c r="AF1173" s="36" t="str">
        <x:v>JA</x:v>
      </x:c>
      <x:c r="AG1173" s="36" t="str">
        <x:v>FREIGEGEBEN</x:v>
      </x:c>
      <x:c r="AH1173" s="36" t="str">
        <x:v>GPT-5.6 Sol · Sammelprüfung Allgemeine Briefe · L1912/OTB</x:v>
      </x:c>
      <x:c r="AI1173" s="36" t="str">
        <x:v>FREIGEGEBEN</x:v>
      </x:c>
      <x:c r="AJ1173" s="36" t="str">
        <x:v>1. Johannes 5: neue textnahe LIEBE_GOTTES-Frage redaktionell freigegeben.</x:v>
      </x:c>
      <x:c r="AK1173" s="36" t="str">
        <x:v>FaithPath repo develop/v4 · data/bibles/l1912/1JN.json · data/bibles/otb/1JN.json</x:v>
      </x:c>
      <x:c r="AL1173" t="str">
        <x:v>JA</x:v>
      </x:c>
    </x:row>
    <x:row r="1174">
      <x:c r="A1174" t="str">
        <x:v>FP-1433</x:v>
      </x:c>
      <x:c r="B1174" t="str">
        <x:v>1JN</x:v>
      </x:c>
      <x:c r="C1174" t="str">
        <x:v>1. Johannes</x:v>
      </x:c>
      <x:c r="D1174" t="n">
        <x:v>5</x:v>
      </x:c>
      <x:c r="E1174" t="n">
        <x:v>3</x:v>
      </x:c>
      <x:c r="F1174" t="str">
        <x:v>1JN-005</x:v>
      </x:c>
      <x:c r="G1174" t="n">
        <x:v>235</x:v>
      </x:c>
      <x:c r="H1174" t="str">
        <x:v>CQ-A20-26</x:v>
      </x:c>
      <x:c r="I1174" s="36" t="str">
        <x:v>Bestandsfrage: exakter Wortlaut in diesem Arbeitsschritt nicht rekonstruiert.</x:v>
      </x:c>
      <x:c r="J1174" s="36"/>
      <x:c r="K1174" s="36"/>
      <x:c r="L1174" s="36" t="str">
        <x:v>MASTER_STATUS_VERIFIZIERT</x:v>
      </x:c>
      <x:c r="M1174" s="36" t="str">
        <x:v>ERSETZEN</x:v>
      </x:c>
      <x:c r="N1174" s="36" t="str">
        <x:v>BESTAND_NOCH_NICHT_GEPRÜFT</x:v>
      </x:c>
      <x:c r="O1174" s="36" t="str">
        <x:v>DIDAKTISCHE_NEUFASSUNG</x:v>
      </x:c>
      <x:c r="P1174" s="36" t="str">
        <x:v>SIEG</x:v>
      </x:c>
      <x:c r="Q1174" s="36" t="str">
        <x:v>Was ist der Sieg, der die Welt überwindet?</x:v>
      </x:c>
      <x:c r="R1174" s="36" t="str">
        <x:v>Politische Macht.</x:v>
      </x:c>
      <x:c r="S1174" s="36" t="str">
        <x:v>Finanzieller Erfolg.</x:v>
      </x:c>
      <x:c r="T1174" s="36" t="str">
        <x:v>Menschliche Bildung.</x:v>
      </x:c>
      <x:c r="U1174" s="36" t="str">
        <x:v>Der Glaube – konkret der Glaube, dass Jesus der Sohn Gottes ist.</x:v>
      </x:c>
      <x:c r="V1174" s="36" t="n">
        <x:v>3</x:v>
      </x:c>
      <x:c r="W1174" s="36" t="str">
        <x:v>Der Glaube – konkret der Glaube, dass Jesus der Sohn Gottes ist.</x:v>
      </x:c>
      <x:c r="X1174" s="36" t="str">
        <x:v>1. Johannes 5,4–5</x:v>
      </x:c>
      <x:c r="Y1174" s="36" t="str">
        <x:v>Johannes definiert Überwindung christologisch: durch Glauben an Jesus, nicht durch weltliche Machtmittel.</x:v>
      </x:c>
      <x:c r="Z1174" s="36" t="str">
        <x:v>JA</x:v>
      </x:c>
      <x:c r="AA1174" s="36" t="str">
        <x:v>JA</x:v>
      </x:c>
      <x:c r="AB1174" s="36" t="str">
        <x:v>JA</x:v>
      </x:c>
      <x:c r="AC1174" s="36" t="str">
        <x:v>JA</x:v>
      </x:c>
      <x:c r="AD1174" s="36" t="str">
        <x:v>JA</x:v>
      </x:c>
      <x:c r="AE1174" s="36" t="str">
        <x:v>JA</x:v>
      </x:c>
      <x:c r="AF1174" s="36" t="str">
        <x:v>JA</x:v>
      </x:c>
      <x:c r="AG1174" s="36" t="str">
        <x:v>FREIGEGEBEN</x:v>
      </x:c>
      <x:c r="AH1174" s="36" t="str">
        <x:v>GPT-5.6 Sol · Sammelprüfung Allgemeine Briefe · L1912/OTB</x:v>
      </x:c>
      <x:c r="AI1174" s="36" t="str">
        <x:v>FREIGEGEBEN</x:v>
      </x:c>
      <x:c r="AJ1174" s="36" t="str">
        <x:v>1. Johannes 5: neue textnahe SIEG-Frage redaktionell freigegeben.</x:v>
      </x:c>
      <x:c r="AK1174" s="36" t="str">
        <x:v>FaithPath repo develop/v4 · data/bibles/l1912/1JN.json · data/bibles/otb/1JN.json</x:v>
      </x:c>
      <x:c r="AL1174" t="str">
        <x:v>JA</x:v>
      </x:c>
    </x:row>
    <x:row r="1175">
      <x:c r="A1175" t="str">
        <x:v>FP-1434</x:v>
      </x:c>
      <x:c r="B1175" t="str">
        <x:v>1JN</x:v>
      </x:c>
      <x:c r="C1175" t="str">
        <x:v>1. Johannes</x:v>
      </x:c>
      <x:c r="D1175" t="n">
        <x:v>5</x:v>
      </x:c>
      <x:c r="E1175" t="n">
        <x:v>4</x:v>
      </x:c>
      <x:c r="F1175" t="str">
        <x:v>1JN-005</x:v>
      </x:c>
      <x:c r="G1175" t="n">
        <x:v>235</x:v>
      </x:c>
      <x:c r="H1175" t="str">
        <x:v>CQ-A20-26</x:v>
      </x:c>
      <x:c r="I1175" s="36" t="str">
        <x:v>Bestandsfrage: exakter Wortlaut in diesem Arbeitsschritt nicht rekonstruiert.</x:v>
      </x:c>
      <x:c r="J1175" s="36"/>
      <x:c r="K1175" s="36"/>
      <x:c r="L1175" s="36" t="str">
        <x:v>MASTER_STATUS_VERIFIZIERT</x:v>
      </x:c>
      <x:c r="M1175" s="36" t="str">
        <x:v>ERSETZEN</x:v>
      </x:c>
      <x:c r="N1175" s="36" t="str">
        <x:v>BESTAND_NOCH_NICHT_GEPRÜFT</x:v>
      </x:c>
      <x:c r="O1175" s="36" t="str">
        <x:v>DIDAKTISCHE_NEUFASSUNG</x:v>
      </x:c>
      <x:c r="P1175" s="36" t="str">
        <x:v>EWIGES_LEBEN</x:v>
      </x:c>
      <x:c r="Q1175" s="36" t="str">
        <x:v>Wie fasst Johannes Gottes Zeugnis über das ewige Leben zusammen?</x:v>
      </x:c>
      <x:c r="R1175" s="36" t="str">
        <x:v>Gott hat ewiges Leben gegeben, und dieses Leben ist in seinem Sohn.</x:v>
      </x:c>
      <x:c r="S1175" s="36" t="str">
        <x:v>Ewiges Leben liegt ausschließlich in menschlicher Leistung.</x:v>
      </x:c>
      <x:c r="T1175" s="36" t="str">
        <x:v>Es ist nur eine unbestimmte Hoffnung ohne Beziehung zu Jesus.</x:v>
      </x:c>
      <x:c r="U1175" s="36" t="str">
        <x:v>Jeder besitzt es unabhängig vom Sohn.</x:v>
      </x:c>
      <x:c r="V1175" s="36" t="n">
        <x:v>0</x:v>
      </x:c>
      <x:c r="W1175" s="36" t="str">
        <x:v>Gott hat ewiges Leben gegeben, und dieses Leben ist in seinem Sohn.</x:v>
      </x:c>
      <x:c r="X1175" s="36" t="str">
        <x:v>1. Johannes 5,9–13</x:v>
      </x:c>
      <x:c r="Y1175" s="36" t="str">
        <x:v>Die Gewissheit des ewigen Lebens wird an Gottes Zeugnis über seinen Sohn gebunden.</x:v>
      </x:c>
      <x:c r="Z1175" s="36" t="str">
        <x:v>JA</x:v>
      </x:c>
      <x:c r="AA1175" s="36" t="str">
        <x:v>JA</x:v>
      </x:c>
      <x:c r="AB1175" s="36" t="str">
        <x:v>JA</x:v>
      </x:c>
      <x:c r="AC1175" s="36" t="str">
        <x:v>JA</x:v>
      </x:c>
      <x:c r="AD1175" s="36" t="str">
        <x:v>JA</x:v>
      </x:c>
      <x:c r="AE1175" s="36" t="str">
        <x:v>JA</x:v>
      </x:c>
      <x:c r="AF1175" s="36" t="str">
        <x:v>JA</x:v>
      </x:c>
      <x:c r="AG1175" s="36" t="str">
        <x:v>FREIGEGEBEN</x:v>
      </x:c>
      <x:c r="AH1175" s="36" t="str">
        <x:v>GPT-5.6 Sol · Sammelprüfung Allgemeine Briefe · L1912/OTB</x:v>
      </x:c>
      <x:c r="AI1175" s="36" t="str">
        <x:v>FREIGEGEBEN</x:v>
      </x:c>
      <x:c r="AJ1175" s="36" t="str">
        <x:v>1. Johannes 5: neue textnahe EWIGES_LEBEN-Frage redaktionell freigegeben.</x:v>
      </x:c>
      <x:c r="AK1175" s="36" t="str">
        <x:v>FaithPath repo develop/v4 · data/bibles/l1912/1JN.json · data/bibles/otb/1JN.json</x:v>
      </x:c>
      <x:c r="AL1175" t="str">
        <x:v>JA</x:v>
      </x:c>
    </x:row>
    <x:row r="1176">
      <x:c r="A1176" t="str">
        <x:v>FP-1435</x:v>
      </x:c>
      <x:c r="B1176" t="str">
        <x:v>1JN</x:v>
      </x:c>
      <x:c r="C1176" t="str">
        <x:v>1. Johannes</x:v>
      </x:c>
      <x:c r="D1176" t="n">
        <x:v>5</x:v>
      </x:c>
      <x:c r="E1176" t="n">
        <x:v>5</x:v>
      </x:c>
      <x:c r="F1176" t="str">
        <x:v>1JN-005</x:v>
      </x:c>
      <x:c r="G1176" t="n">
        <x:v>235</x:v>
      </x:c>
      <x:c r="H1176" t="str">
        <x:v>CQ-A20-26</x:v>
      </x:c>
      <x:c r="I1176" s="36" t="str">
        <x:v>Bestandsfrage: exakter Wortlaut in diesem Arbeitsschritt nicht rekonstruiert.</x:v>
      </x:c>
      <x:c r="J1176" s="36"/>
      <x:c r="K1176" s="36"/>
      <x:c r="L1176" s="36" t="str">
        <x:v>MASTER_STATUS_VERIFIZIERT</x:v>
      </x:c>
      <x:c r="M1176" s="36" t="str">
        <x:v>ERSETZEN</x:v>
      </x:c>
      <x:c r="N1176" s="36" t="str">
        <x:v>BESTAND_NOCH_NICHT_GEPRÜFT</x:v>
      </x:c>
      <x:c r="O1176" s="36" t="str">
        <x:v>DIDAKTISCHE_NEUFASSUNG</x:v>
      </x:c>
      <x:c r="P1176" s="36" t="str">
        <x:v>GEBET</x:v>
      </x:c>
      <x:c r="Q1176" s="36" t="str">
        <x:v>Welche Zuversicht nennt Johannes im Gebet?</x:v>
      </x:c>
      <x:c r="R1176" s="36" t="str">
        <x:v>Jede beliebige Bitte müsse genau so erfüllt werden.</x:v>
      </x:c>
      <x:c r="S1176" s="36" t="str">
        <x:v>Wenn wir nach Gottes Willen bitten, hört er uns.</x:v>
      </x:c>
      <x:c r="T1176" s="36" t="str">
        <x:v>Gebet brauche keinerlei Bezug zu Gottes Willen.</x:v>
      </x:c>
      <x:c r="U1176" s="36" t="str">
        <x:v>Nur Apostel dürften mit Zuversicht beten.</x:v>
      </x:c>
      <x:c r="V1176" s="36" t="n">
        <x:v>1</x:v>
      </x:c>
      <x:c r="W1176" s="36" t="str">
        <x:v>Wenn wir nach Gottes Willen bitten, hört er uns.</x:v>
      </x:c>
      <x:c r="X1176" s="36" t="str">
        <x:v>1. Johannes 5,14–15</x:v>
      </x:c>
      <x:c r="Y1176" s="36" t="str">
        <x:v>Gebetszuversicht bedeutet keine Verfügung über Gott, sondern Vertrauen im Rahmen seines Willens.</x:v>
      </x:c>
      <x:c r="Z1176" s="36" t="str">
        <x:v>JA</x:v>
      </x:c>
      <x:c r="AA1176" s="36" t="str">
        <x:v>JA</x:v>
      </x:c>
      <x:c r="AB1176" s="36" t="str">
        <x:v>JA</x:v>
      </x:c>
      <x:c r="AC1176" s="36" t="str">
        <x:v>JA</x:v>
      </x:c>
      <x:c r="AD1176" s="36" t="str">
        <x:v>JA</x:v>
      </x:c>
      <x:c r="AE1176" s="36" t="str">
        <x:v>JA</x:v>
      </x:c>
      <x:c r="AF1176" s="36" t="str">
        <x:v>JA</x:v>
      </x:c>
      <x:c r="AG1176" s="36" t="str">
        <x:v>FREIGEGEBEN</x:v>
      </x:c>
      <x:c r="AH1176" s="36" t="str">
        <x:v>GPT-5.6 Sol · Sammelprüfung Allgemeine Briefe · L1912/OTB</x:v>
      </x:c>
      <x:c r="AI1176" s="36" t="str">
        <x:v>FREIGEGEBEN</x:v>
      </x:c>
      <x:c r="AJ1176" s="36" t="str">
        <x:v>1. Johannes 5: neue textnahe GEBET-Frage redaktionell freigegeben.</x:v>
      </x:c>
      <x:c r="AK1176" s="36" t="str">
        <x:v>FaithPath repo develop/v4 · data/bibles/l1912/1JN.json · data/bibles/otb/1JN.json</x:v>
      </x:c>
      <x:c r="AL1176" t="str">
        <x:v>JA</x:v>
      </x:c>
    </x:row>
    <x:row r="1177">
      <x:c r="A1177" t="str">
        <x:v>FP-1436</x:v>
      </x:c>
      <x:c r="B1177" t="str">
        <x:v>2JN</x:v>
      </x:c>
      <x:c r="C1177" t="str">
        <x:v>2. Johannes</x:v>
      </x:c>
      <x:c r="D1177" t="n">
        <x:v>1</x:v>
      </x:c>
      <x:c r="E1177" t="n">
        <x:v>1</x:v>
      </x:c>
      <x:c r="F1177" t="str">
        <x:v>2JN-001</x:v>
      </x:c>
      <x:c r="G1177" t="n">
        <x:v>236</x:v>
      </x:c>
      <x:c r="H1177" t="str">
        <x:v>CQ-A20-26</x:v>
      </x:c>
      <x:c r="I1177" s="36" t="str">
        <x:v>Bestandsfrage: exakter Wortlaut in diesem Arbeitsschritt nicht rekonstruiert.</x:v>
      </x:c>
      <x:c r="J1177" s="36"/>
      <x:c r="K1177" s="36"/>
      <x:c r="L1177" s="36" t="str">
        <x:v>MASTER_STATUS_VERIFIZIERT</x:v>
      </x:c>
      <x:c r="M1177" s="36" t="str">
        <x:v>ERSETZEN</x:v>
      </x:c>
      <x:c r="N1177" s="36" t="str">
        <x:v>BESTAND_NOCH_NICHT_GEPRÜFT</x:v>
      </x:c>
      <x:c r="O1177" s="36" t="str">
        <x:v>DIDAKTISCHE_NEUFASSUNG</x:v>
      </x:c>
      <x:c r="P1177" s="36" t="str">
        <x:v>WAHRHEIT_UND_LIEBE</x:v>
      </x:c>
      <x:c r="Q1177" s="36" t="str">
        <x:v>Welche beiden Themen verbindet der Brief von Anfang an besonders eng?</x:v>
      </x:c>
      <x:c r="R1177" s="36" t="str">
        <x:v>Macht und Reichtum.</x:v>
      </x:c>
      <x:c r="S1177" s="36" t="str">
        <x:v>Schweigen und Isolation.</x:v>
      </x:c>
      <x:c r="T1177" s="36" t="str">
        <x:v>Wahrheit und Liebe.</x:v>
      </x:c>
      <x:c r="U1177" s="36" t="str">
        <x:v>Gesetz und Politik.</x:v>
      </x:c>
      <x:c r="V1177" s="36" t="n">
        <x:v>2</x:v>
      </x:c>
      <x:c r="W1177" s="36" t="str">
        <x:v>Wahrheit und Liebe.</x:v>
      </x:c>
      <x:c r="X1177" s="36" t="str">
        <x:v>2. Johannes 1–3</x:v>
      </x:c>
      <x:c r="Y1177" s="36" t="str">
        <x:v>Der Gruß selbst verbindet bleibende Wahrheit mit Liebe, Gnade, Barmherzigkeit und Frieden.</x:v>
      </x:c>
      <x:c r="Z1177" s="36" t="str">
        <x:v>JA</x:v>
      </x:c>
      <x:c r="AA1177" s="36" t="str">
        <x:v>JA</x:v>
      </x:c>
      <x:c r="AB1177" s="36" t="str">
        <x:v>JA</x:v>
      </x:c>
      <x:c r="AC1177" s="36" t="str">
        <x:v>JA</x:v>
      </x:c>
      <x:c r="AD1177" s="36" t="str">
        <x:v>JA</x:v>
      </x:c>
      <x:c r="AE1177" s="36" t="str">
        <x:v>JA</x:v>
      </x:c>
      <x:c r="AF1177" s="36" t="str">
        <x:v>JA</x:v>
      </x:c>
      <x:c r="AG1177" s="36" t="str">
        <x:v>FREIGEGEBEN</x:v>
      </x:c>
      <x:c r="AH1177" s="36" t="str">
        <x:v>GPT-5.6 Sol · Sammelprüfung Allgemeine Briefe · L1912/OTB</x:v>
      </x:c>
      <x:c r="AI1177" s="36" t="str">
        <x:v>FREIGEGEBEN</x:v>
      </x:c>
      <x:c r="AJ1177" s="36" t="str">
        <x:v>2. Johannes 1: neue textnahe WAHRHEIT_UND_LIEBE-Frage redaktionell freigegeben.</x:v>
      </x:c>
      <x:c r="AK1177" s="36" t="str">
        <x:v>FaithPath repo develop/v4 · data/bibles/l1912/2JN.json · data/bibles/otb/2JN.json</x:v>
      </x:c>
      <x:c r="AL1177" t="str">
        <x:v>JA</x:v>
      </x:c>
    </x:row>
    <x:row r="1178">
      <x:c r="A1178" t="str">
        <x:v>FP-1437</x:v>
      </x:c>
      <x:c r="B1178" t="str">
        <x:v>2JN</x:v>
      </x:c>
      <x:c r="C1178" t="str">
        <x:v>2. Johannes</x:v>
      </x:c>
      <x:c r="D1178" t="n">
        <x:v>1</x:v>
      </x:c>
      <x:c r="E1178" t="n">
        <x:v>2</x:v>
      </x:c>
      <x:c r="F1178" t="str">
        <x:v>2JN-001</x:v>
      </x:c>
      <x:c r="G1178" t="n">
        <x:v>236</x:v>
      </x:c>
      <x:c r="H1178" t="str">
        <x:v>CQ-A20-26</x:v>
      </x:c>
      <x:c r="I1178" s="36" t="str">
        <x:v>Bestandsfrage: exakter Wortlaut in diesem Arbeitsschritt nicht rekonstruiert.</x:v>
      </x:c>
      <x:c r="J1178" s="36"/>
      <x:c r="K1178" s="36"/>
      <x:c r="L1178" s="36" t="str">
        <x:v>MASTER_STATUS_VERIFIZIERT</x:v>
      </x:c>
      <x:c r="M1178" s="36" t="str">
        <x:v>ERSETZEN</x:v>
      </x:c>
      <x:c r="N1178" s="36" t="str">
        <x:v>BESTAND_NOCH_NICHT_GEPRÜFT</x:v>
      </x:c>
      <x:c r="O1178" s="36" t="str">
        <x:v>DIDAKTISCHE_NEUFASSUNG</x:v>
      </x:c>
      <x:c r="P1178" s="36" t="str">
        <x:v>WANDEL</x:v>
      </x:c>
      <x:c r="Q1178" s="36" t="str">
        <x:v>Was bedeutet Liebe nach 2. Johannes praktisch?</x:v>
      </x:c>
      <x:c r="R1178" s="36" t="str">
        <x:v>Nur starke Gefühle zu haben.</x:v>
      </x:c>
      <x:c r="S1178" s="36" t="str">
        <x:v>Jede Lehre ungeprüft zu akzeptieren.</x:v>
      </x:c>
      <x:c r="T1178" s="36" t="str">
        <x:v>Konflikte grundsätzlich zu vermeiden.</x:v>
      </x:c>
      <x:c r="U1178" s="36" t="str">
        <x:v>Nach Gottes Geboten zu leben.</x:v>
      </x:c>
      <x:c r="V1178" s="36" t="n">
        <x:v>3</x:v>
      </x:c>
      <x:c r="W1178" s="36" t="str">
        <x:v>Nach Gottes Geboten zu leben.</x:v>
      </x:c>
      <x:c r="X1178" s="36" t="str">
        <x:v>2. Johannes 4–6</x:v>
      </x:c>
      <x:c r="Y1178" s="36" t="str">
        <x:v>Liebe und Gehorsam werden nicht gegeneinander ausgespielt; Johannes beschreibt Liebe als einen Wandel nach Gottes Geboten.</x:v>
      </x:c>
      <x:c r="Z1178" s="36" t="str">
        <x:v>JA</x:v>
      </x:c>
      <x:c r="AA1178" s="36" t="str">
        <x:v>JA</x:v>
      </x:c>
      <x:c r="AB1178" s="36" t="str">
        <x:v>JA</x:v>
      </x:c>
      <x:c r="AC1178" s="36" t="str">
        <x:v>JA</x:v>
      </x:c>
      <x:c r="AD1178" s="36" t="str">
        <x:v>JA</x:v>
      </x:c>
      <x:c r="AE1178" s="36" t="str">
        <x:v>JA</x:v>
      </x:c>
      <x:c r="AF1178" s="36" t="str">
        <x:v>JA</x:v>
      </x:c>
      <x:c r="AG1178" s="36" t="str">
        <x:v>FREIGEGEBEN</x:v>
      </x:c>
      <x:c r="AH1178" s="36" t="str">
        <x:v>GPT-5.6 Sol · Sammelprüfung Allgemeine Briefe · L1912/OTB</x:v>
      </x:c>
      <x:c r="AI1178" s="36" t="str">
        <x:v>FREIGEGEBEN</x:v>
      </x:c>
      <x:c r="AJ1178" s="36" t="str">
        <x:v>2. Johannes 1: neue textnahe WANDEL-Frage redaktionell freigegeben.</x:v>
      </x:c>
      <x:c r="AK1178" s="36" t="str">
        <x:v>FaithPath repo develop/v4 · data/bibles/l1912/2JN.json · data/bibles/otb/2JN.json</x:v>
      </x:c>
      <x:c r="AL1178" t="str">
        <x:v>JA</x:v>
      </x:c>
    </x:row>
    <x:row r="1179">
      <x:c r="A1179" t="str">
        <x:v>FP-1438</x:v>
      </x:c>
      <x:c r="B1179" t="str">
        <x:v>2JN</x:v>
      </x:c>
      <x:c r="C1179" t="str">
        <x:v>2. Johannes</x:v>
      </x:c>
      <x:c r="D1179" t="n">
        <x:v>1</x:v>
      </x:c>
      <x:c r="E1179" t="n">
        <x:v>3</x:v>
      </x:c>
      <x:c r="F1179" t="str">
        <x:v>2JN-001</x:v>
      </x:c>
      <x:c r="G1179" t="n">
        <x:v>236</x:v>
      </x:c>
      <x:c r="H1179" t="str">
        <x:v>CQ-A20-26</x:v>
      </x:c>
      <x:c r="I1179" s="36" t="str">
        <x:v>Bestandsfrage: exakter Wortlaut in diesem Arbeitsschritt nicht rekonstruiert.</x:v>
      </x:c>
      <x:c r="J1179" s="36"/>
      <x:c r="K1179" s="36"/>
      <x:c r="L1179" s="36" t="str">
        <x:v>MASTER_STATUS_VERIFIZIERT</x:v>
      </x:c>
      <x:c r="M1179" s="36" t="str">
        <x:v>ERSETZEN</x:v>
      </x:c>
      <x:c r="N1179" s="36" t="str">
        <x:v>BESTAND_NOCH_NICHT_GEPRÜFT</x:v>
      </x:c>
      <x:c r="O1179" s="36" t="str">
        <x:v>DIDAKTISCHE_NEUFASSUNG</x:v>
      </x:c>
      <x:c r="P1179" s="36" t="str">
        <x:v>VERFÜHRUNG</x:v>
      </x:c>
      <x:c r="Q1179" s="36" t="str">
        <x:v>Wie werden die Verführer im Brief gekennzeichnet?</x:v>
      </x:c>
      <x:c r="R1179" s="36" t="str">
        <x:v>Sie bekennen nicht, dass Jesus Christus im Fleisch gekommen ist.</x:v>
      </x:c>
      <x:c r="S1179" s="36" t="str">
        <x:v>Sie halten an der Lehre Christi fest.</x:v>
      </x:c>
      <x:c r="T1179" s="36" t="str">
        <x:v>Sie fördern Wahrheit und Liebe.</x:v>
      </x:c>
      <x:c r="U1179" s="36" t="str">
        <x:v>Sie bekennen Vater und Sohn.</x:v>
      </x:c>
      <x:c r="V1179" s="36" t="n">
        <x:v>0</x:v>
      </x:c>
      <x:c r="W1179" s="36" t="str">
        <x:v>Sie bekennen nicht, dass Jesus Christus im Fleisch gekommen ist.</x:v>
      </x:c>
      <x:c r="X1179" s="36" t="str">
        <x:v>2. Johannes 7</x:v>
      </x:c>
      <x:c r="Y1179" s="36" t="str">
        <x:v>Wie in 1. Johannes ist die wirkliche Menschwerdung Christi ein zentraler Prüfstein.</x:v>
      </x:c>
      <x:c r="Z1179" s="36" t="str">
        <x:v>JA</x:v>
      </x:c>
      <x:c r="AA1179" s="36" t="str">
        <x:v>JA</x:v>
      </x:c>
      <x:c r="AB1179" s="36" t="str">
        <x:v>JA</x:v>
      </x:c>
      <x:c r="AC1179" s="36" t="str">
        <x:v>JA</x:v>
      </x:c>
      <x:c r="AD1179" s="36" t="str">
        <x:v>JA</x:v>
      </x:c>
      <x:c r="AE1179" s="36" t="str">
        <x:v>JA</x:v>
      </x:c>
      <x:c r="AF1179" s="36" t="str">
        <x:v>JA</x:v>
      </x:c>
      <x:c r="AG1179" s="36" t="str">
        <x:v>FREIGEGEBEN</x:v>
      </x:c>
      <x:c r="AH1179" s="36" t="str">
        <x:v>GPT-5.6 Sol · Sammelprüfung Allgemeine Briefe · L1912/OTB</x:v>
      </x:c>
      <x:c r="AI1179" s="36" t="str">
        <x:v>FREIGEGEBEN</x:v>
      </x:c>
      <x:c r="AJ1179" s="36" t="str">
        <x:v>2. Johannes 1: neue textnahe VERFÜHRUNG-Frage redaktionell freigegeben.</x:v>
      </x:c>
      <x:c r="AK1179" s="36" t="str">
        <x:v>FaithPath repo develop/v4 · data/bibles/l1912/2JN.json · data/bibles/otb/2JN.json</x:v>
      </x:c>
      <x:c r="AL1179" t="str">
        <x:v>JA</x:v>
      </x:c>
    </x:row>
    <x:row r="1180">
      <x:c r="A1180" t="str">
        <x:v>FP-1439</x:v>
      </x:c>
      <x:c r="B1180" t="str">
        <x:v>2JN</x:v>
      </x:c>
      <x:c r="C1180" t="str">
        <x:v>2. Johannes</x:v>
      </x:c>
      <x:c r="D1180" t="n">
        <x:v>1</x:v>
      </x:c>
      <x:c r="E1180" t="n">
        <x:v>4</x:v>
      </x:c>
      <x:c r="F1180" t="str">
        <x:v>2JN-001</x:v>
      </x:c>
      <x:c r="G1180" t="n">
        <x:v>236</x:v>
      </x:c>
      <x:c r="H1180" t="str">
        <x:v>CQ-A20-26</x:v>
      </x:c>
      <x:c r="I1180" s="36" t="str">
        <x:v>Bestandsfrage: exakter Wortlaut in diesem Arbeitsschritt nicht rekonstruiert.</x:v>
      </x:c>
      <x:c r="J1180" s="36"/>
      <x:c r="K1180" s="36"/>
      <x:c r="L1180" s="36" t="str">
        <x:v>MASTER_STATUS_VERIFIZIERT</x:v>
      </x:c>
      <x:c r="M1180" s="36" t="str">
        <x:v>ERSETZEN</x:v>
      </x:c>
      <x:c r="N1180" s="36" t="str">
        <x:v>BESTAND_NOCH_NICHT_GEPRÜFT</x:v>
      </x:c>
      <x:c r="O1180" s="36" t="str">
        <x:v>DIDAKTISCHE_NEUFASSUNG</x:v>
      </x:c>
      <x:c r="P1180" s="36" t="str">
        <x:v>BLEIBEN</x:v>
      </x:c>
      <x:c r="Q1180" s="36" t="str">
        <x:v>Welche Bedeutung hat es, in der Lehre Christi zu bleiben?</x:v>
      </x:c>
      <x:c r="R1180" s="36" t="str">
        <x:v>Lehre spielt für die Beziehung zu Gott keine Rolle.</x:v>
      </x:c>
      <x:c r="S1180" s="36" t="str">
        <x:v>Wer darin bleibt, hat den Vater und den Sohn.</x:v>
      </x:c>
      <x:c r="T1180" s="36" t="str">
        <x:v>Über die Lehre Christi hinauszugehen bringt automatisch mehr Erkenntnis.</x:v>
      </x:c>
      <x:c r="U1180" s="36" t="str">
        <x:v>Nur äußere Zugehörigkeit zählt.</x:v>
      </x:c>
      <x:c r="V1180" s="36" t="n">
        <x:v>1</x:v>
      </x:c>
      <x:c r="W1180" s="36" t="str">
        <x:v>Wer darin bleibt, hat den Vater und den Sohn.</x:v>
      </x:c>
      <x:c r="X1180" s="36" t="str">
        <x:v>2. Johannes 8–9</x:v>
      </x:c>
      <x:c r="Y1180" s="36" t="str">
        <x:v>Johannes verbindet Treue zur Lehre Christi direkt mit Gemeinschaft mit Vater und Sohn.</x:v>
      </x:c>
      <x:c r="Z1180" s="36" t="str">
        <x:v>JA</x:v>
      </x:c>
      <x:c r="AA1180" s="36" t="str">
        <x:v>JA</x:v>
      </x:c>
      <x:c r="AB1180" s="36" t="str">
        <x:v>JA</x:v>
      </x:c>
      <x:c r="AC1180" s="36" t="str">
        <x:v>JA</x:v>
      </x:c>
      <x:c r="AD1180" s="36" t="str">
        <x:v>JA</x:v>
      </x:c>
      <x:c r="AE1180" s="36" t="str">
        <x:v>JA</x:v>
      </x:c>
      <x:c r="AF1180" s="36" t="str">
        <x:v>JA</x:v>
      </x:c>
      <x:c r="AG1180" s="36" t="str">
        <x:v>FREIGEGEBEN</x:v>
      </x:c>
      <x:c r="AH1180" s="36" t="str">
        <x:v>GPT-5.6 Sol · Sammelprüfung Allgemeine Briefe · L1912/OTB</x:v>
      </x:c>
      <x:c r="AI1180" s="36" t="str">
        <x:v>FREIGEGEBEN</x:v>
      </x:c>
      <x:c r="AJ1180" s="36" t="str">
        <x:v>2. Johannes 1: neue textnahe BLEIBEN-Frage redaktionell freigegeben.</x:v>
      </x:c>
      <x:c r="AK1180" s="36" t="str">
        <x:v>FaithPath repo develop/v4 · data/bibles/l1912/2JN.json · data/bibles/otb/2JN.json</x:v>
      </x:c>
      <x:c r="AL1180" t="str">
        <x:v>JA</x:v>
      </x:c>
    </x:row>
    <x:row r="1181">
      <x:c r="A1181" t="str">
        <x:v>FP-1440</x:v>
      </x:c>
      <x:c r="B1181" t="str">
        <x:v>2JN</x:v>
      </x:c>
      <x:c r="C1181" t="str">
        <x:v>2. Johannes</x:v>
      </x:c>
      <x:c r="D1181" t="n">
        <x:v>1</x:v>
      </x:c>
      <x:c r="E1181" t="n">
        <x:v>5</x:v>
      </x:c>
      <x:c r="F1181" t="str">
        <x:v>2JN-001</x:v>
      </x:c>
      <x:c r="G1181" t="n">
        <x:v>236</x:v>
      </x:c>
      <x:c r="H1181" t="str">
        <x:v>CQ-A20-26</x:v>
      </x:c>
      <x:c r="I1181" s="36" t="str">
        <x:v>Bestandsfrage: exakter Wortlaut in diesem Arbeitsschritt nicht rekonstruiert.</x:v>
      </x:c>
      <x:c r="J1181" s="36"/>
      <x:c r="K1181" s="36"/>
      <x:c r="L1181" s="36" t="str">
        <x:v>MASTER_STATUS_VERIFIZIERT</x:v>
      </x:c>
      <x:c r="M1181" s="36" t="str">
        <x:v>ERSETZEN</x:v>
      </x:c>
      <x:c r="N1181" s="36" t="str">
        <x:v>BESTAND_NOCH_NICHT_GEPRÜFT</x:v>
      </x:c>
      <x:c r="O1181" s="36" t="str">
        <x:v>DIDAKTISCHE_NEUFASSUNG</x:v>
      </x:c>
      <x:c r="P1181" s="36" t="str">
        <x:v>GRENZEN</x:v>
      </x:c>
      <x:c r="Q1181" s="36" t="str">
        <x:v>Auf wen bezieht sich die Warnung, jemanden nicht aufzunehmen oder zu unterstützen?</x:v>
      </x:c>
      <x:c r="R1181" s="36" t="str">
        <x:v>Auf jeden Fremden unabhängig von seiner Botschaft.</x:v>
      </x:c>
      <x:c r="S1181" s="36" t="str">
        <x:v>Auf bedürftige Geschwister.</x:v>
      </x:c>
      <x:c r="T1181" s="36" t="str">
        <x:v>Auf Menschen, die kommen und die Lehre Christi nicht bringen.</x:v>
      </x:c>
      <x:c r="U1181" s="36" t="str">
        <x:v>Auf alle Menschen außerhalb der Gemeinde.</x:v>
      </x:c>
      <x:c r="V1181" s="36" t="n">
        <x:v>2</x:v>
      </x:c>
      <x:c r="W1181" s="36" t="str">
        <x:v>Auf Menschen, die kommen und die Lehre Christi nicht bringen.</x:v>
      </x:c>
      <x:c r="X1181" s="36" t="str">
        <x:v>2. Johannes 10–11</x:v>
      </x:c>
      <x:c r="Y1181" s="36" t="str">
        <x:v>Die Warnung ist lehrbezogen: Es geht nicht um ein allgemeines Verbot von Gastfreundschaft, sondern um aktive Unterstützung irreführender Lehre.</x:v>
      </x:c>
      <x:c r="Z1181" s="36" t="str">
        <x:v>JA</x:v>
      </x:c>
      <x:c r="AA1181" s="36" t="str">
        <x:v>JA</x:v>
      </x:c>
      <x:c r="AB1181" s="36" t="str">
        <x:v>JA</x:v>
      </x:c>
      <x:c r="AC1181" s="36" t="str">
        <x:v>JA</x:v>
      </x:c>
      <x:c r="AD1181" s="36" t="str">
        <x:v>JA</x:v>
      </x:c>
      <x:c r="AE1181" s="36" t="str">
        <x:v>JA</x:v>
      </x:c>
      <x:c r="AF1181" s="36" t="str">
        <x:v>JA</x:v>
      </x:c>
      <x:c r="AG1181" s="36" t="str">
        <x:v>FREIGEGEBEN</x:v>
      </x:c>
      <x:c r="AH1181" s="36" t="str">
        <x:v>GPT-5.6 Sol · Sammelprüfung Allgemeine Briefe · L1912/OTB</x:v>
      </x:c>
      <x:c r="AI1181" s="36" t="str">
        <x:v>FREIGEGEBEN</x:v>
      </x:c>
      <x:c r="AJ1181" s="36" t="str">
        <x:v>2. Johannes 1: neue textnahe GRENZEN-Frage redaktionell freigegeben.</x:v>
      </x:c>
      <x:c r="AK1181" s="36" t="str">
        <x:v>FaithPath repo develop/v4 · data/bibles/l1912/2JN.json · data/bibles/otb/2JN.json</x:v>
      </x:c>
      <x:c r="AL1181" t="str">
        <x:v>JA</x:v>
      </x:c>
    </x:row>
    <x:row r="1182">
      <x:c r="A1182" t="str">
        <x:v>FP-1441</x:v>
      </x:c>
      <x:c r="B1182" t="str">
        <x:v>3JN</x:v>
      </x:c>
      <x:c r="C1182" t="str">
        <x:v>3. Johannes</x:v>
      </x:c>
      <x:c r="D1182" t="n">
        <x:v>1</x:v>
      </x:c>
      <x:c r="E1182" t="n">
        <x:v>1</x:v>
      </x:c>
      <x:c r="F1182" t="str">
        <x:v>3JN-001</x:v>
      </x:c>
      <x:c r="G1182" t="n">
        <x:v>237</x:v>
      </x:c>
      <x:c r="H1182" t="str">
        <x:v>CQ-A20-26</x:v>
      </x:c>
      <x:c r="I1182" s="36" t="str">
        <x:v>Bestandsfrage: exakter Wortlaut in diesem Arbeitsschritt nicht rekonstruiert.</x:v>
      </x:c>
      <x:c r="J1182" s="36"/>
      <x:c r="K1182" s="36"/>
      <x:c r="L1182" s="36" t="str">
        <x:v>MASTER_STATUS_VERIFIZIERT</x:v>
      </x:c>
      <x:c r="M1182" s="36" t="str">
        <x:v>ERSETZEN</x:v>
      </x:c>
      <x:c r="N1182" s="36" t="str">
        <x:v>BESTAND_NOCH_NICHT_GEPRÜFT</x:v>
      </x:c>
      <x:c r="O1182" s="36" t="str">
        <x:v>DIDAKTISCHE_NEUFASSUNG</x:v>
      </x:c>
      <x:c r="P1182" s="36" t="str">
        <x:v>GAIUS</x:v>
      </x:c>
      <x:c r="Q1182" s="36" t="str">
        <x:v>Was freut den Ältesten besonders an Gaius?</x:v>
      </x:c>
      <x:c r="R1182" s="36" t="str">
        <x:v>Dass er der reichste Mann der Gemeinde ist.</x:v>
      </x:c>
      <x:c r="S1182" s="36" t="str">
        <x:v>Dass er nie Gäste aufnimmt.</x:v>
      </x:c>
      <x:c r="T1182" s="36" t="str">
        <x:v>Dass er jede Auseinandersetzung vermeidet.</x:v>
      </x:c>
      <x:c r="U1182" s="36" t="str">
        <x:v>Dass Zeugnis davon gegeben wird, wie er in der Wahrheit lebt.</x:v>
      </x:c>
      <x:c r="V1182" s="36" t="n">
        <x:v>3</x:v>
      </x:c>
      <x:c r="W1182" s="36" t="str">
        <x:v>Dass Zeugnis davon gegeben wird, wie er in der Wahrheit lebt.</x:v>
      </x:c>
      <x:c r="X1182" s="36" t="str">
        <x:v>3. Johannes 1–4</x:v>
      </x:c>
      <x:c r="Y1182" s="36" t="str">
        <x:v>Wahrheit ist im Brief nicht nur Lehre, sondern ein gelebter Weg, über den andere glaubwürdig berichten können.</x:v>
      </x:c>
      <x:c r="Z1182" s="36" t="str">
        <x:v>JA</x:v>
      </x:c>
      <x:c r="AA1182" s="36" t="str">
        <x:v>JA</x:v>
      </x:c>
      <x:c r="AB1182" s="36" t="str">
        <x:v>JA</x:v>
      </x:c>
      <x:c r="AC1182" s="36" t="str">
        <x:v>JA</x:v>
      </x:c>
      <x:c r="AD1182" s="36" t="str">
        <x:v>JA</x:v>
      </x:c>
      <x:c r="AE1182" s="36" t="str">
        <x:v>JA</x:v>
      </x:c>
      <x:c r="AF1182" s="36" t="str">
        <x:v>JA</x:v>
      </x:c>
      <x:c r="AG1182" s="36" t="str">
        <x:v>FREIGEGEBEN</x:v>
      </x:c>
      <x:c r="AH1182" s="36" t="str">
        <x:v>GPT-5.6 Sol · Sammelprüfung Allgemeine Briefe · L1912/OTB</x:v>
      </x:c>
      <x:c r="AI1182" s="36" t="str">
        <x:v>FREIGEGEBEN</x:v>
      </x:c>
      <x:c r="AJ1182" s="36" t="str">
        <x:v>3. Johannes 1: neue textnahe GAIUS-Frage redaktionell freigegeben.</x:v>
      </x:c>
      <x:c r="AK1182" s="36" t="str">
        <x:v>FaithPath repo develop/v4 · data/bibles/l1912/3JN.json · data/bibles/otb/3JN.json</x:v>
      </x:c>
      <x:c r="AL1182" t="str">
        <x:v>JA</x:v>
      </x:c>
    </x:row>
    <x:row r="1183">
      <x:c r="A1183" t="str">
        <x:v>FP-1442</x:v>
      </x:c>
      <x:c r="B1183" t="str">
        <x:v>3JN</x:v>
      </x:c>
      <x:c r="C1183" t="str">
        <x:v>3. Johannes</x:v>
      </x:c>
      <x:c r="D1183" t="n">
        <x:v>1</x:v>
      </x:c>
      <x:c r="E1183" t="n">
        <x:v>2</x:v>
      </x:c>
      <x:c r="F1183" t="str">
        <x:v>3JN-001</x:v>
      </x:c>
      <x:c r="G1183" t="n">
        <x:v>237</x:v>
      </x:c>
      <x:c r="H1183" t="str">
        <x:v>CQ-A20-26</x:v>
      </x:c>
      <x:c r="I1183" s="36" t="str">
        <x:v>Bestandsfrage: exakter Wortlaut in diesem Arbeitsschritt nicht rekonstruiert.</x:v>
      </x:c>
      <x:c r="J1183" s="36"/>
      <x:c r="K1183" s="36"/>
      <x:c r="L1183" s="36" t="str">
        <x:v>MASTER_STATUS_VERIFIZIERT</x:v>
      </x:c>
      <x:c r="M1183" s="36" t="str">
        <x:v>ERSETZEN</x:v>
      </x:c>
      <x:c r="N1183" s="36" t="str">
        <x:v>BESTAND_NOCH_NICHT_GEPRÜFT</x:v>
      </x:c>
      <x:c r="O1183" s="36" t="str">
        <x:v>DIDAKTISCHE_NEUFASSUNG</x:v>
      </x:c>
      <x:c r="P1183" s="36" t="str">
        <x:v>GASTFREUNDSCHAFT</x:v>
      </x:c>
      <x:c r="Q1183" s="36" t="str">
        <x:v>Wofür wird Gaius gelobt?</x:v>
      </x:c>
      <x:c r="R1183" s="36" t="str">
        <x:v>Für treuen Dienst und Gastfreundschaft gegenüber Geschwistern, auch wenn sie ihm fremd waren.</x:v>
      </x:c>
      <x:c r="S1183" s="36" t="str">
        <x:v>Für seine Ablehnung reisender Christen.</x:v>
      </x:c>
      <x:c r="T1183" s="36" t="str">
        <x:v>Für den Aufbau persönlicher Macht.</x:v>
      </x:c>
      <x:c r="U1183" s="36" t="str">
        <x:v>Für die Forderung nach Bezahlung von allen Gästen.</x:v>
      </x:c>
      <x:c r="V1183" s="36" t="n">
        <x:v>0</x:v>
      </x:c>
      <x:c r="W1183" s="36" t="str">
        <x:v>Für treuen Dienst und Gastfreundschaft gegenüber Geschwistern, auch wenn sie ihm fremd waren.</x:v>
      </x:c>
      <x:c r="X1183" s="36" t="str">
        <x:v>3. Johannes 5–6</x:v>
      </x:c>
      <x:c r="Y1183" s="36" t="str">
        <x:v>Gaius' Gastfreundschaft wird als sichtbare Liebe gewürdigt.</x:v>
      </x:c>
      <x:c r="Z1183" s="36" t="str">
        <x:v>JA</x:v>
      </x:c>
      <x:c r="AA1183" s="36" t="str">
        <x:v>JA</x:v>
      </x:c>
      <x:c r="AB1183" s="36" t="str">
        <x:v>JA</x:v>
      </x:c>
      <x:c r="AC1183" s="36" t="str">
        <x:v>JA</x:v>
      </x:c>
      <x:c r="AD1183" s="36" t="str">
        <x:v>JA</x:v>
      </x:c>
      <x:c r="AE1183" s="36" t="str">
        <x:v>JA</x:v>
      </x:c>
      <x:c r="AF1183" s="36" t="str">
        <x:v>JA</x:v>
      </x:c>
      <x:c r="AG1183" s="36" t="str">
        <x:v>FREIGEGEBEN</x:v>
      </x:c>
      <x:c r="AH1183" s="36" t="str">
        <x:v>GPT-5.6 Sol · Sammelprüfung Allgemeine Briefe · L1912/OTB</x:v>
      </x:c>
      <x:c r="AI1183" s="36" t="str">
        <x:v>FREIGEGEBEN</x:v>
      </x:c>
      <x:c r="AJ1183" s="36" t="str">
        <x:v>3. Johannes 1: neue textnahe GASTFREUNDSCHAFT-Frage redaktionell freigegeben.</x:v>
      </x:c>
      <x:c r="AK1183" s="36" t="str">
        <x:v>FaithPath repo develop/v4 · data/bibles/l1912/3JN.json · data/bibles/otb/3JN.json</x:v>
      </x:c>
      <x:c r="AL1183" t="str">
        <x:v>JA</x:v>
      </x:c>
    </x:row>
    <x:row r="1184">
      <x:c r="A1184" t="str">
        <x:v>FP-1443</x:v>
      </x:c>
      <x:c r="B1184" t="str">
        <x:v>3JN</x:v>
      </x:c>
      <x:c r="C1184" t="str">
        <x:v>3. Johannes</x:v>
      </x:c>
      <x:c r="D1184" t="n">
        <x:v>1</x:v>
      </x:c>
      <x:c r="E1184" t="n">
        <x:v>3</x:v>
      </x:c>
      <x:c r="F1184" t="str">
        <x:v>3JN-001</x:v>
      </x:c>
      <x:c r="G1184" t="n">
        <x:v>237</x:v>
      </x:c>
      <x:c r="H1184" t="str">
        <x:v>CQ-A20-26</x:v>
      </x:c>
      <x:c r="I1184" s="36" t="str">
        <x:v>Bestandsfrage: exakter Wortlaut in diesem Arbeitsschritt nicht rekonstruiert.</x:v>
      </x:c>
      <x:c r="J1184" s="36"/>
      <x:c r="K1184" s="36"/>
      <x:c r="L1184" s="36" t="str">
        <x:v>MASTER_STATUS_VERIFIZIERT</x:v>
      </x:c>
      <x:c r="M1184" s="36" t="str">
        <x:v>ERSETZEN</x:v>
      </x:c>
      <x:c r="N1184" s="36" t="str">
        <x:v>BESTAND_NOCH_NICHT_GEPRÜFT</x:v>
      </x:c>
      <x:c r="O1184" s="36" t="str">
        <x:v>DIDAKTISCHE_NEUFASSUNG</x:v>
      </x:c>
      <x:c r="P1184" s="36" t="str">
        <x:v>MITARBEITER_DER_WAHRHEIT</x:v>
      </x:c>
      <x:c r="Q1184" s="36" t="str">
        <x:v>Warum sollen reisende Diener unterstützt werden?</x:v>
      </x:c>
      <x:c r="R1184" s="36" t="str">
        <x:v>Damit sie gesellschaftlichen Einfluss kaufen.</x:v>
      </x:c>
      <x:c r="S1184" s="36" t="str">
        <x:v>Damit die Unterstützenden zu Mitarbeitern für die Wahrheit werden.</x:v>
      </x:c>
      <x:c r="T1184" s="36" t="str">
        <x:v>Weil nur Reisende echte Christen seien.</x:v>
      </x:c>
      <x:c r="U1184" s="36" t="str">
        <x:v>Damit Nichtchristen die Mission finanzieren müssen.</x:v>
      </x:c>
      <x:c r="V1184" s="36" t="n">
        <x:v>1</x:v>
      </x:c>
      <x:c r="W1184" s="36" t="str">
        <x:v>Damit die Unterstützenden zu Mitarbeitern für die Wahrheit werden.</x:v>
      </x:c>
      <x:c r="X1184" s="36" t="str">
        <x:v>3. Johannes 7–8</x:v>
      </x:c>
      <x:c r="Y1184" s="36" t="str">
        <x:v>Praktische Unterstützung macht auch die Gebenden zu Teilhabern am Dienst der Wahrheit.</x:v>
      </x:c>
      <x:c r="Z1184" s="36" t="str">
        <x:v>JA</x:v>
      </x:c>
      <x:c r="AA1184" s="36" t="str">
        <x:v>JA</x:v>
      </x:c>
      <x:c r="AB1184" s="36" t="str">
        <x:v>JA</x:v>
      </x:c>
      <x:c r="AC1184" s="36" t="str">
        <x:v>JA</x:v>
      </x:c>
      <x:c r="AD1184" s="36" t="str">
        <x:v>JA</x:v>
      </x:c>
      <x:c r="AE1184" s="36" t="str">
        <x:v>JA</x:v>
      </x:c>
      <x:c r="AF1184" s="36" t="str">
        <x:v>JA</x:v>
      </x:c>
      <x:c r="AG1184" s="36" t="str">
        <x:v>FREIGEGEBEN</x:v>
      </x:c>
      <x:c r="AH1184" s="36" t="str">
        <x:v>GPT-5.6 Sol · Sammelprüfung Allgemeine Briefe · L1912/OTB</x:v>
      </x:c>
      <x:c r="AI1184" s="36" t="str">
        <x:v>FREIGEGEBEN</x:v>
      </x:c>
      <x:c r="AJ1184" s="36" t="str">
        <x:v>3. Johannes 1: neue textnahe MITARBEITER_DER_WAHRHEIT-Frage redaktionell freigegeben.</x:v>
      </x:c>
      <x:c r="AK1184" s="36" t="str">
        <x:v>FaithPath repo develop/v4 · data/bibles/l1912/3JN.json · data/bibles/otb/3JN.json</x:v>
      </x:c>
      <x:c r="AL1184" t="str">
        <x:v>JA</x:v>
      </x:c>
    </x:row>
    <x:row r="1185">
      <x:c r="A1185" t="str">
        <x:v>FP-1444</x:v>
      </x:c>
      <x:c r="B1185" t="str">
        <x:v>3JN</x:v>
      </x:c>
      <x:c r="C1185" t="str">
        <x:v>3. Johannes</x:v>
      </x:c>
      <x:c r="D1185" t="n">
        <x:v>1</x:v>
      </x:c>
      <x:c r="E1185" t="n">
        <x:v>4</x:v>
      </x:c>
      <x:c r="F1185" t="str">
        <x:v>3JN-001</x:v>
      </x:c>
      <x:c r="G1185" t="n">
        <x:v>237</x:v>
      </x:c>
      <x:c r="H1185" t="str">
        <x:v>CQ-A20-26</x:v>
      </x:c>
      <x:c r="I1185" s="36" t="str">
        <x:v>Bestandsfrage: exakter Wortlaut in diesem Arbeitsschritt nicht rekonstruiert.</x:v>
      </x:c>
      <x:c r="J1185" s="36"/>
      <x:c r="K1185" s="36"/>
      <x:c r="L1185" s="36" t="str">
        <x:v>MASTER_STATUS_VERIFIZIERT</x:v>
      </x:c>
      <x:c r="M1185" s="36" t="str">
        <x:v>ERSETZEN</x:v>
      </x:c>
      <x:c r="N1185" s="36" t="str">
        <x:v>BESTAND_NOCH_NICHT_GEPRÜFT</x:v>
      </x:c>
      <x:c r="O1185" s="36" t="str">
        <x:v>DIDAKTISCHE_NEUFASSUNG</x:v>
      </x:c>
      <x:c r="P1185" s="36" t="str">
        <x:v>DIOTREPHES</x:v>
      </x:c>
      <x:c r="Q1185" s="36" t="str">
        <x:v>Was kritisiert Johannes an Diotrephes?</x:v>
      </x:c>
      <x:c r="R1185" s="36" t="str">
        <x:v>Er unterstützt reisende Geschwister zu großzügig.</x:v>
      </x:c>
      <x:c r="S1185" s="36" t="str">
        <x:v>Er ordnet sich jeder apostolischen Weisung unter.</x:v>
      </x:c>
      <x:c r="T1185" s="36" t="str">
        <x:v>Er will der Erste sein, verbreitet böswillige Aussagen und verhindert Gastfreundschaft gegenüber Geschwistern.</x:v>
      </x:c>
      <x:c r="U1185" s="36" t="str">
        <x:v>Er vermeidet jede Form persönlicher Macht.</x:v>
      </x:c>
      <x:c r="V1185" s="36" t="n">
        <x:v>2</x:v>
      </x:c>
      <x:c r="W1185" s="36" t="str">
        <x:v>Er will der Erste sein, verbreitet böswillige Aussagen und verhindert Gastfreundschaft gegenüber Geschwistern.</x:v>
      </x:c>
      <x:c r="X1185" s="36" t="str">
        <x:v>3. Johannes 9–10</x:v>
      </x:c>
      <x:c r="Y1185" s="36" t="str">
        <x:v>Diotrephes verbindet Machtstreben, Ablehnung apostolischer Autorität und Unterdrückung anderer.</x:v>
      </x:c>
      <x:c r="Z1185" s="36" t="str">
        <x:v>JA</x:v>
      </x:c>
      <x:c r="AA1185" s="36" t="str">
        <x:v>JA</x:v>
      </x:c>
      <x:c r="AB1185" s="36" t="str">
        <x:v>JA</x:v>
      </x:c>
      <x:c r="AC1185" s="36" t="str">
        <x:v>JA</x:v>
      </x:c>
      <x:c r="AD1185" s="36" t="str">
        <x:v>JA</x:v>
      </x:c>
      <x:c r="AE1185" s="36" t="str">
        <x:v>JA</x:v>
      </x:c>
      <x:c r="AF1185" s="36" t="str">
        <x:v>JA</x:v>
      </x:c>
      <x:c r="AG1185" s="36" t="str">
        <x:v>FREIGEGEBEN</x:v>
      </x:c>
      <x:c r="AH1185" s="36" t="str">
        <x:v>GPT-5.6 Sol · Sammelprüfung Allgemeine Briefe · L1912/OTB</x:v>
      </x:c>
      <x:c r="AI1185" s="36" t="str">
        <x:v>FREIGEGEBEN</x:v>
      </x:c>
      <x:c r="AJ1185" s="36" t="str">
        <x:v>3. Johannes 1: neue textnahe DIOTREPHES-Frage redaktionell freigegeben.</x:v>
      </x:c>
      <x:c r="AK1185" s="36" t="str">
        <x:v>FaithPath repo develop/v4 · data/bibles/l1912/3JN.json · data/bibles/otb/3JN.json</x:v>
      </x:c>
      <x:c r="AL1185" t="str">
        <x:v>JA</x:v>
      </x:c>
    </x:row>
    <x:row r="1186">
      <x:c r="A1186" t="str">
        <x:v>FP-1445</x:v>
      </x:c>
      <x:c r="B1186" t="str">
        <x:v>3JN</x:v>
      </x:c>
      <x:c r="C1186" t="str">
        <x:v>3. Johannes</x:v>
      </x:c>
      <x:c r="D1186" t="n">
        <x:v>1</x:v>
      </x:c>
      <x:c r="E1186" t="n">
        <x:v>5</x:v>
      </x:c>
      <x:c r="F1186" t="str">
        <x:v>3JN-001</x:v>
      </x:c>
      <x:c r="G1186" t="n">
        <x:v>237</x:v>
      </x:c>
      <x:c r="H1186" t="str">
        <x:v>CQ-A20-26</x:v>
      </x:c>
      <x:c r="I1186" s="36" t="str">
        <x:v>Bestandsfrage: exakter Wortlaut in diesem Arbeitsschritt nicht rekonstruiert.</x:v>
      </x:c>
      <x:c r="J1186" s="36"/>
      <x:c r="K1186" s="36"/>
      <x:c r="L1186" s="36" t="str">
        <x:v>MASTER_STATUS_VERIFIZIERT</x:v>
      </x:c>
      <x:c r="M1186" s="36" t="str">
        <x:v>ERSETZEN</x:v>
      </x:c>
      <x:c r="N1186" s="36" t="str">
        <x:v>BESTAND_NOCH_NICHT_GEPRÜFT</x:v>
      </x:c>
      <x:c r="O1186" s="36" t="str">
        <x:v>DIDAKTISCHE_NEUFASSUNG</x:v>
      </x:c>
      <x:c r="P1186" s="36" t="str">
        <x:v>VORBILD</x:v>
      </x:c>
      <x:c r="Q1186" s="36" t="str">
        <x:v>Welche einfache Regel gibt Johannes Gaius im Blick auf Vorbilder?</x:v>
      </x:c>
      <x:c r="R1186" s="36" t="str">
        <x:v>Immer den Einflussreichsten folgen.</x:v>
      </x:c>
      <x:c r="S1186" s="36" t="str">
        <x:v>Nur Menschen mit Amt nachahmen.</x:v>
      </x:c>
      <x:c r="T1186" s="36" t="str">
        <x:v>Nie auf das Verhalten anderer achten.</x:v>
      </x:c>
      <x:c r="U1186" s="36" t="str">
        <x:v>Nicht das Böse, sondern das Gute nachahmen.</x:v>
      </x:c>
      <x:c r="V1186" s="36" t="n">
        <x:v>3</x:v>
      </x:c>
      <x:c r="W1186" s="36" t="str">
        <x:v>Nicht das Böse, sondern das Gute nachahmen.</x:v>
      </x:c>
      <x:c r="X1186" s="36" t="str">
        <x:v>3. Johannes 11–12</x:v>
      </x:c>
      <x:c r="Y1186" s="36" t="str">
        <x:v>Der Brief stellt Diotrephes negativ und Demetrius positiv gegenüber und fasst die Wahl des Vorbilds klar zusammen.</x:v>
      </x:c>
      <x:c r="Z1186" s="36" t="str">
        <x:v>JA</x:v>
      </x:c>
      <x:c r="AA1186" s="36" t="str">
        <x:v>JA</x:v>
      </x:c>
      <x:c r="AB1186" s="36" t="str">
        <x:v>JA</x:v>
      </x:c>
      <x:c r="AC1186" s="36" t="str">
        <x:v>JA</x:v>
      </x:c>
      <x:c r="AD1186" s="36" t="str">
        <x:v>JA</x:v>
      </x:c>
      <x:c r="AE1186" s="36" t="str">
        <x:v>JA</x:v>
      </x:c>
      <x:c r="AF1186" s="36" t="str">
        <x:v>JA</x:v>
      </x:c>
      <x:c r="AG1186" s="36" t="str">
        <x:v>FREIGEGEBEN</x:v>
      </x:c>
      <x:c r="AH1186" s="36" t="str">
        <x:v>GPT-5.6 Sol · Sammelprüfung Allgemeine Briefe · L1912/OTB</x:v>
      </x:c>
      <x:c r="AI1186" s="36" t="str">
        <x:v>FREIGEGEBEN</x:v>
      </x:c>
      <x:c r="AJ1186" s="36" t="str">
        <x:v>3. Johannes 1: neue textnahe VORBILD-Frage redaktionell freigegeben.</x:v>
      </x:c>
      <x:c r="AK1186" s="36" t="str">
        <x:v>FaithPath repo develop/v4 · data/bibles/l1912/3JN.json · data/bibles/otb/3JN.json</x:v>
      </x:c>
      <x:c r="AL1186" t="str">
        <x:v>JA</x:v>
      </x:c>
    </x:row>
    <x:row r="1187">
      <x:c r="A1187" t="str">
        <x:v>FP-1446</x:v>
      </x:c>
      <x:c r="B1187" t="str">
        <x:v>JUD</x:v>
      </x:c>
      <x:c r="C1187" t="str">
        <x:v>Judas</x:v>
      </x:c>
      <x:c r="D1187" t="n">
        <x:v>1</x:v>
      </x:c>
      <x:c r="E1187" t="n">
        <x:v>1</x:v>
      </x:c>
      <x:c r="F1187" t="str">
        <x:v>JUD-001</x:v>
      </x:c>
      <x:c r="G1187" t="n">
        <x:v>238</x:v>
      </x:c>
      <x:c r="H1187" t="str">
        <x:v>CQ-A20-26</x:v>
      </x:c>
      <x:c r="I1187" s="36" t="str">
        <x:v>Bestandsfrage: exakter Wortlaut in diesem Arbeitsschritt nicht rekonstruiert.</x:v>
      </x:c>
      <x:c r="J1187" s="36"/>
      <x:c r="K1187" s="36"/>
      <x:c r="L1187" s="36" t="str">
        <x:v>MASTER_STATUS_VERIFIZIERT</x:v>
      </x:c>
      <x:c r="M1187" s="36" t="str">
        <x:v>ERSETZEN</x:v>
      </x:c>
      <x:c r="N1187" s="36" t="str">
        <x:v>BESTAND_NOCH_NICHT_GEPRÜFT</x:v>
      </x:c>
      <x:c r="O1187" s="36" t="str">
        <x:v>DIDAKTISCHE_NEUFASSUNG</x:v>
      </x:c>
      <x:c r="P1187" s="36" t="str">
        <x:v>AUFTRAG</x:v>
      </x:c>
      <x:c r="Q1187" s="36" t="str">
        <x:v>Wozu fordert Judas die Berufenen auf?</x:v>
      </x:c>
      <x:c r="R1187" s="36" t="str">
        <x:v>Für den Glauben zu kämpfen, der den Heiligen ein für alle Mal überliefert wurde.</x:v>
      </x:c>
      <x:c r="S1187" s="36" t="str">
        <x:v>Eine neue Geheimlehre zu entwickeln.</x:v>
      </x:c>
      <x:c r="T1187" s="36" t="str">
        <x:v>Den Glauben jeder Generation vollständig neu zu erfinden.</x:v>
      </x:c>
      <x:c r="U1187" s="36" t="str">
        <x:v>Auseinandersetzungen um jeden Preis zu suchen.</x:v>
      </x:c>
      <x:c r="V1187" s="36" t="n">
        <x:v>0</x:v>
      </x:c>
      <x:c r="W1187" s="36" t="str">
        <x:v>Für den Glauben zu kämpfen, der den Heiligen ein für alle Mal überliefert wurde.</x:v>
      </x:c>
      <x:c r="X1187" s="36" t="str">
        <x:v>Judas 3</x:v>
      </x:c>
      <x:c r="Y1187" s="36" t="str">
        <x:v>Der Brief entstand aus der Notwendigkeit, die Gemeinde angesichts eingeschlichener Verführer zur Treue zum überlieferten Glauben aufzurufen.</x:v>
      </x:c>
      <x:c r="Z1187" s="36" t="str">
        <x:v>JA</x:v>
      </x:c>
      <x:c r="AA1187" s="36" t="str">
        <x:v>JA</x:v>
      </x:c>
      <x:c r="AB1187" s="36" t="str">
        <x:v>JA</x:v>
      </x:c>
      <x:c r="AC1187" s="36" t="str">
        <x:v>JA</x:v>
      </x:c>
      <x:c r="AD1187" s="36" t="str">
        <x:v>JA</x:v>
      </x:c>
      <x:c r="AE1187" s="36" t="str">
        <x:v>JA</x:v>
      </x:c>
      <x:c r="AF1187" s="36" t="str">
        <x:v>JA</x:v>
      </x:c>
      <x:c r="AG1187" s="36" t="str">
        <x:v>FREIGEGEBEN</x:v>
      </x:c>
      <x:c r="AH1187" s="36" t="str">
        <x:v>GPT-5.6 Sol · Sammelprüfung Allgemeine Briefe · L1912/OTB</x:v>
      </x:c>
      <x:c r="AI1187" s="36" t="str">
        <x:v>FREIGEGEBEN</x:v>
      </x:c>
      <x:c r="AJ1187" s="36" t="str">
        <x:v>Judas 1: neue textnahe AUFTRAG-Frage redaktionell freigegeben.</x:v>
      </x:c>
      <x:c r="AK1187" s="36" t="str">
        <x:v>FaithPath repo develop/v4 · data/bibles/l1912/JUD.json · data/bibles/otb/JUD.json</x:v>
      </x:c>
      <x:c r="AL1187" t="str">
        <x:v>JA</x:v>
      </x:c>
    </x:row>
    <x:row r="1188">
      <x:c r="A1188" t="str">
        <x:v>FP-1447</x:v>
      </x:c>
      <x:c r="B1188" t="str">
        <x:v>JUD</x:v>
      </x:c>
      <x:c r="C1188" t="str">
        <x:v>Judas</x:v>
      </x:c>
      <x:c r="D1188" t="n">
        <x:v>1</x:v>
      </x:c>
      <x:c r="E1188" t="n">
        <x:v>2</x:v>
      </x:c>
      <x:c r="F1188" t="str">
        <x:v>JUD-001</x:v>
      </x:c>
      <x:c r="G1188" t="n">
        <x:v>238</x:v>
      </x:c>
      <x:c r="H1188" t="str">
        <x:v>CQ-A20-26</x:v>
      </x:c>
      <x:c r="I1188" s="36" t="str">
        <x:v>Bestandsfrage: exakter Wortlaut in diesem Arbeitsschritt nicht rekonstruiert.</x:v>
      </x:c>
      <x:c r="J1188" s="36"/>
      <x:c r="K1188" s="36"/>
      <x:c r="L1188" s="36" t="str">
        <x:v>MASTER_STATUS_VERIFIZIERT</x:v>
      </x:c>
      <x:c r="M1188" s="36" t="str">
        <x:v>ERSETZEN</x:v>
      </x:c>
      <x:c r="N1188" s="36" t="str">
        <x:v>BESTAND_NOCH_NICHT_GEPRÜFT</x:v>
      </x:c>
      <x:c r="O1188" s="36" t="str">
        <x:v>DIDAKTISCHE_NEUFASSUNG</x:v>
      </x:c>
      <x:c r="P1188" s="36" t="str">
        <x:v>MISSBRAUCH_DER_GNADE</x:v>
      </x:c>
      <x:c r="Q1188" s="36" t="str">
        <x:v>Was tun die eingeschlichenen gottlosen Menschen nach Judas?</x:v>
      </x:c>
      <x:c r="R1188" s="36" t="str">
        <x:v>Sie betonen Heiligkeit und Selbstbeherrschung.</x:v>
      </x:c>
      <x:c r="S1188" s="36" t="str">
        <x:v>Sie verkehren Gottes Gnade in Ausschweifung und verleugnen den Herrn.</x:v>
      </x:c>
      <x:c r="T1188" s="36" t="str">
        <x:v>Sie führen die Gemeinde zu treuer Nachfolge.</x:v>
      </x:c>
      <x:c r="U1188" s="36" t="str">
        <x:v>Sie warnen vor moralischer Gleichgültigkeit.</x:v>
      </x:c>
      <x:c r="V1188" s="36" t="n">
        <x:v>1</x:v>
      </x:c>
      <x:c r="W1188" s="36" t="str">
        <x:v>Sie verkehren Gottes Gnade in Ausschweifung und verleugnen den Herrn.</x:v>
      </x:c>
      <x:c r="X1188" s="36" t="str">
        <x:v>Judas 4</x:v>
      </x:c>
      <x:c r="Y1188" s="36" t="str">
        <x:v>Judas verbindet falsche Lehre mit einem Missbrauch der Gnade als Rechtfertigung für ein ungeordnetes Leben.</x:v>
      </x:c>
      <x:c r="Z1188" s="36" t="str">
        <x:v>JA</x:v>
      </x:c>
      <x:c r="AA1188" s="36" t="str">
        <x:v>JA</x:v>
      </x:c>
      <x:c r="AB1188" s="36" t="str">
        <x:v>JA</x:v>
      </x:c>
      <x:c r="AC1188" s="36" t="str">
        <x:v>JA</x:v>
      </x:c>
      <x:c r="AD1188" s="36" t="str">
        <x:v>JA</x:v>
      </x:c>
      <x:c r="AE1188" s="36" t="str">
        <x:v>JA</x:v>
      </x:c>
      <x:c r="AF1188" s="36" t="str">
        <x:v>JA</x:v>
      </x:c>
      <x:c r="AG1188" s="36" t="str">
        <x:v>FREIGEGEBEN</x:v>
      </x:c>
      <x:c r="AH1188" s="36" t="str">
        <x:v>GPT-5.6 Sol · Sammelprüfung Allgemeine Briefe · L1912/OTB</x:v>
      </x:c>
      <x:c r="AI1188" s="36" t="str">
        <x:v>FREIGEGEBEN</x:v>
      </x:c>
      <x:c r="AJ1188" s="36" t="str">
        <x:v>Judas 1: neue textnahe MISSBRAUCH_DER_GNADE-Frage redaktionell freigegeben.</x:v>
      </x:c>
      <x:c r="AK1188" s="36" t="str">
        <x:v>FaithPath repo develop/v4 · data/bibles/l1912/JUD.json · data/bibles/otb/JUD.json</x:v>
      </x:c>
      <x:c r="AL1188" t="str">
        <x:v>JA</x:v>
      </x:c>
    </x:row>
    <x:row r="1189">
      <x:c r="A1189" t="str">
        <x:v>FP-1448</x:v>
      </x:c>
      <x:c r="B1189" t="str">
        <x:v>JUD</x:v>
      </x:c>
      <x:c r="C1189" t="str">
        <x:v>Judas</x:v>
      </x:c>
      <x:c r="D1189" t="n">
        <x:v>1</x:v>
      </x:c>
      <x:c r="E1189" t="n">
        <x:v>3</x:v>
      </x:c>
      <x:c r="F1189" t="str">
        <x:v>JUD-001</x:v>
      </x:c>
      <x:c r="G1189" t="n">
        <x:v>238</x:v>
      </x:c>
      <x:c r="H1189" t="str">
        <x:v>CQ-A20-26</x:v>
      </x:c>
      <x:c r="I1189" s="36" t="str">
        <x:v>Bestandsfrage: exakter Wortlaut in diesem Arbeitsschritt nicht rekonstruiert.</x:v>
      </x:c>
      <x:c r="J1189" s="36"/>
      <x:c r="K1189" s="36"/>
      <x:c r="L1189" s="36" t="str">
        <x:v>MASTER_STATUS_VERIFIZIERT</x:v>
      </x:c>
      <x:c r="M1189" s="36" t="str">
        <x:v>ERSETZEN</x:v>
      </x:c>
      <x:c r="N1189" s="36" t="str">
        <x:v>BESTAND_NOCH_NICHT_GEPRÜFT</x:v>
      </x:c>
      <x:c r="O1189" s="36" t="str">
        <x:v>DIDAKTISCHE_NEUFASSUNG</x:v>
      </x:c>
      <x:c r="P1189" s="36" t="str">
        <x:v>WARNBEISPIELE</x:v>
      </x:c>
      <x:c r="Q1189" s="36" t="str">
        <x:v>Welche Funktion haben die Beispiele aus Israels Geschichte, den gefallenen Engeln und Sodom und Gomorra?</x:v>
      </x:c>
      <x:c r="R1189" s="36" t="str">
        <x:v>Sie sollen historische Neugier befriedigen.</x:v>
      </x:c>
      <x:c r="S1189" s="36" t="str">
        <x:v>Sie beweisen, dass Gott nie richtet.</x:v>
      </x:c>
      <x:c r="T1189" s="36" t="str">
        <x:v>Sie erinnern daran, dass Unglaube und bewusste Rebellion Gottes Gericht nicht entgehen.</x:v>
      </x:c>
      <x:c r="U1189" s="36" t="str">
        <x:v>Sie zeigen, dass nur Israel Verantwortung trägt.</x:v>
      </x:c>
      <x:c r="V1189" s="36" t="n">
        <x:v>2</x:v>
      </x:c>
      <x:c r="W1189" s="36" t="str">
        <x:v>Sie erinnern daran, dass Unglaube und bewusste Rebellion Gottes Gericht nicht entgehen.</x:v>
      </x:c>
      <x:c r="X1189" s="36" t="str">
        <x:v>Judas 5–7</x:v>
      </x:c>
      <x:c r="Y1189" s="36" t="str">
        <x:v>Die Beispiele dienen als ernsthafte Warnung vor Abkehr, Auflehnung und moralischer Verkehrung.</x:v>
      </x:c>
      <x:c r="Z1189" s="36" t="str">
        <x:v>JA</x:v>
      </x:c>
      <x:c r="AA1189" s="36" t="str">
        <x:v>JA</x:v>
      </x:c>
      <x:c r="AB1189" s="36" t="str">
        <x:v>JA</x:v>
      </x:c>
      <x:c r="AC1189" s="36" t="str">
        <x:v>JA</x:v>
      </x:c>
      <x:c r="AD1189" s="36" t="str">
        <x:v>JA</x:v>
      </x:c>
      <x:c r="AE1189" s="36" t="str">
        <x:v>JA</x:v>
      </x:c>
      <x:c r="AF1189" s="36" t="str">
        <x:v>JA</x:v>
      </x:c>
      <x:c r="AG1189" s="36" t="str">
        <x:v>FREIGEGEBEN</x:v>
      </x:c>
      <x:c r="AH1189" s="36" t="str">
        <x:v>GPT-5.6 Sol · Sammelprüfung Allgemeine Briefe · L1912/OTB</x:v>
      </x:c>
      <x:c r="AI1189" s="36" t="str">
        <x:v>FREIGEGEBEN</x:v>
      </x:c>
      <x:c r="AJ1189" s="36" t="str">
        <x:v>Judas 1: neue textnahe WARNBEISPIELE-Frage redaktionell freigegeben.</x:v>
      </x:c>
      <x:c r="AK1189" s="36" t="str">
        <x:v>FaithPath repo develop/v4 · data/bibles/l1912/JUD.json · data/bibles/otb/JUD.json</x:v>
      </x:c>
      <x:c r="AL1189" t="str">
        <x:v>JA</x:v>
      </x:c>
    </x:row>
    <x:row r="1190">
      <x:c r="A1190" t="str">
        <x:v>FP-1449</x:v>
      </x:c>
      <x:c r="B1190" t="str">
        <x:v>JUD</x:v>
      </x:c>
      <x:c r="C1190" t="str">
        <x:v>Judas</x:v>
      </x:c>
      <x:c r="D1190" t="n">
        <x:v>1</x:v>
      </x:c>
      <x:c r="E1190" t="n">
        <x:v>4</x:v>
      </x:c>
      <x:c r="F1190" t="str">
        <x:v>JUD-001</x:v>
      </x:c>
      <x:c r="G1190" t="n">
        <x:v>238</x:v>
      </x:c>
      <x:c r="H1190" t="str">
        <x:v>CQ-A20-26</x:v>
      </x:c>
      <x:c r="I1190" s="36" t="str">
        <x:v>Bestandsfrage: exakter Wortlaut in diesem Arbeitsschritt nicht rekonstruiert.</x:v>
      </x:c>
      <x:c r="J1190" s="36"/>
      <x:c r="K1190" s="36"/>
      <x:c r="L1190" s="36" t="str">
        <x:v>MASTER_STATUS_VERIFIZIERT</x:v>
      </x:c>
      <x:c r="M1190" s="36" t="str">
        <x:v>ERSETZEN</x:v>
      </x:c>
      <x:c r="N1190" s="36" t="str">
        <x:v>BESTAND_NOCH_NICHT_GEPRÜFT</x:v>
      </x:c>
      <x:c r="O1190" s="36" t="str">
        <x:v>DIDAKTISCHE_NEUFASSUNG</x:v>
      </x:c>
      <x:c r="P1190" s="36" t="str">
        <x:v>GEMEINDELEBEN</x:v>
      </x:c>
      <x:c r="Q1190" s="36" t="str">
        <x:v>Was sollen die Glaubenden tun, während Spötter und Spalter auftreten?</x:v>
      </x:c>
      <x:c r="R1190" s="36" t="str">
        <x:v>Sich nur mit den Fehlern anderer beschäftigen.</x:v>
      </x:c>
      <x:c r="S1190" s="36" t="str">
        <x:v>Jede Beziehung zu zweifelnden Menschen abbrechen.</x:v>
      </x:c>
      <x:c r="T1190" s="36" t="str">
        <x:v>Ihre Hoffnung auf eigene Stärke setzen.</x:v>
      </x:c>
      <x:c r="U1190" s="36" t="str">
        <x:v>Sich im Glauben aufbauen, im Heiligen Geist beten, in Gottes Liebe bleiben und auf Christi Barmherzigkeit warten.</x:v>
      </x:c>
      <x:c r="V1190" s="36" t="n">
        <x:v>3</x:v>
      </x:c>
      <x:c r="W1190" s="36" t="str">
        <x:v>Sich im Glauben aufbauen, im Heiligen Geist beten, in Gottes Liebe bleiben und auf Christi Barmherzigkeit warten.</x:v>
      </x:c>
      <x:c r="X1190" s="36" t="str">
        <x:v>Judas 17–21</x:v>
      </x:c>
      <x:c r="Y1190" s="36" t="str">
        <x:v>Judas verbindet Abgrenzung von Irrtum mit positivem geistlichem Aufbau, Gebet, Liebe und Hoffnung.</x:v>
      </x:c>
      <x:c r="Z1190" s="36" t="str">
        <x:v>JA</x:v>
      </x:c>
      <x:c r="AA1190" s="36" t="str">
        <x:v>JA</x:v>
      </x:c>
      <x:c r="AB1190" s="36" t="str">
        <x:v>JA</x:v>
      </x:c>
      <x:c r="AC1190" s="36" t="str">
        <x:v>JA</x:v>
      </x:c>
      <x:c r="AD1190" s="36" t="str">
        <x:v>JA</x:v>
      </x:c>
      <x:c r="AE1190" s="36" t="str">
        <x:v>JA</x:v>
      </x:c>
      <x:c r="AF1190" s="36" t="str">
        <x:v>JA</x:v>
      </x:c>
      <x:c r="AG1190" s="36" t="str">
        <x:v>FREIGEGEBEN</x:v>
      </x:c>
      <x:c r="AH1190" s="36" t="str">
        <x:v>GPT-5.6 Sol · Sammelprüfung Allgemeine Briefe · L1912/OTB</x:v>
      </x:c>
      <x:c r="AI1190" s="36" t="str">
        <x:v>FREIGEGEBEN</x:v>
      </x:c>
      <x:c r="AJ1190" s="36" t="str">
        <x:v>Judas 1: neue textnahe GEMEINDELEBEN-Frage redaktionell freigegeben.</x:v>
      </x:c>
      <x:c r="AK1190" s="36" t="str">
        <x:v>FaithPath repo develop/v4 · data/bibles/l1912/JUD.json · data/bibles/otb/JUD.json</x:v>
      </x:c>
      <x:c r="AL1190" t="str">
        <x:v>JA</x:v>
      </x:c>
    </x:row>
    <x:row r="1191">
      <x:c r="A1191" t="str">
        <x:v>FP-1450</x:v>
      </x:c>
      <x:c r="B1191" t="str">
        <x:v>JUD</x:v>
      </x:c>
      <x:c r="C1191" t="str">
        <x:v>Judas</x:v>
      </x:c>
      <x:c r="D1191" t="n">
        <x:v>1</x:v>
      </x:c>
      <x:c r="E1191" t="n">
        <x:v>5</x:v>
      </x:c>
      <x:c r="F1191" t="str">
        <x:v>JUD-001</x:v>
      </x:c>
      <x:c r="G1191" t="n">
        <x:v>238</x:v>
      </x:c>
      <x:c r="H1191" t="str">
        <x:v>CQ-A20-26</x:v>
      </x:c>
      <x:c r="I1191" s="36" t="str">
        <x:v>Bestandsfrage: exakter Wortlaut in diesem Arbeitsschritt nicht rekonstruiert.</x:v>
      </x:c>
      <x:c r="J1191" s="36"/>
      <x:c r="K1191" s="36"/>
      <x:c r="L1191" s="36" t="str">
        <x:v>MASTER_STATUS_VERIFIZIERT</x:v>
      </x:c>
      <x:c r="M1191" s="36" t="str">
        <x:v>ERSETZEN</x:v>
      </x:c>
      <x:c r="N1191" s="36" t="str">
        <x:v>BESTAND_NOCH_NICHT_GEPRÜFT</x:v>
      </x:c>
      <x:c r="O1191" s="36" t="str">
        <x:v>DIDAKTISCHE_NEUFASSUNG</x:v>
      </x:c>
      <x:c r="P1191" s="36" t="str">
        <x:v>BARMHERZIGKEIT</x:v>
      </x:c>
      <x:c r="Q1191" s="36" t="str">
        <x:v>Wie sollen Glaubende mit gefährdeten oder zweifelnden Menschen umgehen?</x:v>
      </x:c>
      <x:c r="R1191" s="36" t="str">
        <x:v>Mit differenzierter Barmherzigkeit: Zweiflern helfen und andere mit ernster Vorsicht retten.</x:v>
      </x:c>
      <x:c r="S1191" s="36" t="str">
        <x:v>Alle gleich verurteilen.</x:v>
      </x:c>
      <x:c r="T1191" s="36" t="str">
        <x:v>Jede Hilfe vermeiden.</x:v>
      </x:c>
      <x:c r="U1191" s="36" t="str">
        <x:v>Sünde verharmlosen, um niemanden zu verletzen.</x:v>
      </x:c>
      <x:c r="V1191" s="36" t="n">
        <x:v>0</x:v>
      </x:c>
      <x:c r="W1191" s="36" t="str">
        <x:v>Mit differenzierter Barmherzigkeit: Zweiflern helfen und andere mit ernster Vorsicht retten.</x:v>
      </x:c>
      <x:c r="X1191" s="36" t="str">
        <x:v>Judas 22–23</x:v>
      </x:c>
      <x:c r="Y1191" s="36" t="str">
        <x:v>Judas fordert weder Gleichgültigkeit noch naive Nähe, sondern barmherzige Hilfe mit angemessener geistlicher Vorsicht.</x:v>
      </x:c>
      <x:c r="Z1191" s="36" t="str">
        <x:v>JA</x:v>
      </x:c>
      <x:c r="AA1191" s="36" t="str">
        <x:v>JA</x:v>
      </x:c>
      <x:c r="AB1191" s="36" t="str">
        <x:v>JA</x:v>
      </x:c>
      <x:c r="AC1191" s="36" t="str">
        <x:v>JA</x:v>
      </x:c>
      <x:c r="AD1191" s="36" t="str">
        <x:v>JA</x:v>
      </x:c>
      <x:c r="AE1191" s="36" t="str">
        <x:v>JA</x:v>
      </x:c>
      <x:c r="AF1191" s="36" t="str">
        <x:v>JA</x:v>
      </x:c>
      <x:c r="AG1191" s="36" t="str">
        <x:v>FREIGEGEBEN</x:v>
      </x:c>
      <x:c r="AH1191" s="36" t="str">
        <x:v>GPT-5.6 Sol · Sammelprüfung Allgemeine Briefe · L1912/OTB</x:v>
      </x:c>
      <x:c r="AI1191" s="36" t="str">
        <x:v>FREIGEGEBEN</x:v>
      </x:c>
      <x:c r="AJ1191" s="36" t="str">
        <x:v>Judas 1: neue textnahe BARMHERZIGKEIT-Frage redaktionell freigegeben.</x:v>
      </x:c>
      <x:c r="AK1191" s="36" t="str">
        <x:v>FaithPath repo develop/v4 · data/bibles/l1912/JUD.json · data/bibles/otb/JUD.json</x:v>
      </x:c>
      <x:c r="AL1191" t="str">
        <x:v>JA</x:v>
      </x:c>
    </x:row>
    <x:row r="1192">
      <x:c r="A1192" t="str">
        <x:v>FP-1451</x:v>
      </x:c>
      <x:c r="B1192" t="str">
        <x:v>REV</x:v>
      </x:c>
      <x:c r="C1192" t="str">
        <x:v>Offenbarung</x:v>
      </x:c>
      <x:c r="D1192" t="n">
        <x:v>1</x:v>
      </x:c>
      <x:c r="E1192" t="n">
        <x:v>1</x:v>
      </x:c>
      <x:c r="F1192" t="str">
        <x:v>REV-001</x:v>
      </x:c>
      <x:c r="G1192" t="n">
        <x:v>239</x:v>
      </x:c>
      <x:c r="H1192" t="str">
        <x:v>CQ-A27</x:v>
      </x:c>
      <x:c r="I1192" s="36" t="str">
        <x:v>Bestandsfrage: exakter Wortlaut in diesem Arbeitsschritt nicht rekonstruiert.</x:v>
      </x:c>
      <x:c r="J1192" s="36"/>
      <x:c r="K1192" s="36"/>
      <x:c r="L1192" s="36" t="str">
        <x:v>MASTER_STATUS_VERIFIZIERT</x:v>
      </x:c>
      <x:c r="M1192" s="36" t="str">
        <x:v>ERSETZEN</x:v>
      </x:c>
      <x:c r="N1192" s="36" t="str">
        <x:v>BESTAND_NOCH_NICHT_GEPRÜFT</x:v>
      </x:c>
      <x:c r="O1192" s="36" t="str">
        <x:v>DIDAKTISCHE_NEUFASSUNG</x:v>
      </x:c>
      <x:c r="P1192" s="36" t="str">
        <x:v>EINSTIEG</x:v>
      </x:c>
      <x:c r="Q1192" s="36" t="str">
        <x:v>Wozu wurde Johannes die Offenbarung nach dem ersten Vers gegeben?</x:v>
      </x:c>
      <x:c r="R1192" s="36" t="str">
        <x:v>Um den Knechten Gottes zu zeigen, was bald geschehen muss.</x:v>
      </x:c>
      <x:c r="S1192" s="36" t="str">
        <x:v>Um eine neue Sammlung von Sprüchen für Israel zu schreiben.</x:v>
      </x:c>
      <x:c r="T1192" s="36" t="str">
        <x:v>Um die sieben Gemeinden von jeder Prüfung zu befreien.</x:v>
      </x:c>
      <x:c r="U1192" s="36" t="str">
        <x:v>Um ausschließlich die Vergangenheit des römischen Reiches zu erklären.</x:v>
      </x:c>
      <x:c r="V1192" s="36" t="n">
        <x:v>0</x:v>
      </x:c>
      <x:c r="W1192" s="36" t="str">
        <x:v>Um den Knechten Gottes zu zeigen, was bald geschehen muss.</x:v>
      </x:c>
      <x:c r="X1192" s="36" t="str">
        <x:v>Offenbarung 1,1–2</x:v>
      </x:c>
      <x:c r="Y1192" s="36" t="str">
        <x:v>Der Prolog beschreibt die Offenbarung als von Gott gegebene Botschaft über das, was geschehen soll, vermittelt durch Jesus, einen Engel und Johannes.</x:v>
      </x:c>
      <x:c r="Z1192" s="36" t="str">
        <x:v>JA</x:v>
      </x:c>
      <x:c r="AA1192" s="36" t="str">
        <x:v>JA</x:v>
      </x:c>
      <x:c r="AB1192" s="36" t="str">
        <x:v>JA</x:v>
      </x:c>
      <x:c r="AC1192" s="36" t="str">
        <x:v>JA</x:v>
      </x:c>
      <x:c r="AD1192" s="36" t="str">
        <x:v>JA</x:v>
      </x:c>
      <x:c r="AE1192" s="36" t="str">
        <x:v>JA</x:v>
      </x:c>
      <x:c r="AF1192" s="36" t="str">
        <x:v>JA</x:v>
      </x:c>
      <x:c r="AG1192" s="36" t="str">
        <x:v>FREIGEGEBEN</x:v>
      </x:c>
      <x:c r="AH1192" s="36" t="str">
        <x:v>GPT-5.6 Sol · Buchprüfung Offenbarung · L1912/OTB</x:v>
      </x:c>
      <x:c r="AI1192" s="36" t="str">
        <x:v>FREIGEGEBEN</x:v>
      </x:c>
      <x:c r="AJ1192" s="36" t="str">
        <x:v>Offenbarung 1: neue textnahe EINSTIEG-Frage ohne unnötige Endzeit-Systemfestlegung freigegeben.</x:v>
      </x:c>
      <x:c r="AK1192" s="36" t="str">
        <x:v>FaithPath repo develop/v4 · data/bibles/l1912/REV.json · data/bibles/otb/REV.json</x:v>
      </x:c>
      <x:c r="AL1192" t="str">
        <x:v>JA</x:v>
      </x:c>
    </x:row>
    <x:row r="1193">
      <x:c r="A1193" t="str">
        <x:v>FP-1452</x:v>
      </x:c>
      <x:c r="B1193" t="str">
        <x:v>REV</x:v>
      </x:c>
      <x:c r="C1193" t="str">
        <x:v>Offenbarung</x:v>
      </x:c>
      <x:c r="D1193" t="n">
        <x:v>1</x:v>
      </x:c>
      <x:c r="E1193" t="n">
        <x:v>2</x:v>
      </x:c>
      <x:c r="F1193" t="str">
        <x:v>REV-001</x:v>
      </x:c>
      <x:c r="G1193" t="n">
        <x:v>239</x:v>
      </x:c>
      <x:c r="H1193" t="str">
        <x:v>CQ-A27</x:v>
      </x:c>
      <x:c r="I1193" s="36" t="str">
        <x:v>Bestandsfrage: exakter Wortlaut in diesem Arbeitsschritt nicht rekonstruiert.</x:v>
      </x:c>
      <x:c r="J1193" s="36"/>
      <x:c r="K1193" s="36"/>
      <x:c r="L1193" s="36" t="str">
        <x:v>MASTER_STATUS_VERIFIZIERT</x:v>
      </x:c>
      <x:c r="M1193" s="36" t="str">
        <x:v>ERSETZEN</x:v>
      </x:c>
      <x:c r="N1193" s="36" t="str">
        <x:v>BESTAND_NOCH_NICHT_GEPRÜFT</x:v>
      </x:c>
      <x:c r="O1193" s="36" t="str">
        <x:v>DIDAKTISCHE_NEUFASSUNG</x:v>
      </x:c>
      <x:c r="P1193" s="36" t="str">
        <x:v>SEGEN</x:v>
      </x:c>
      <x:c r="Q1193" s="36" t="str">
        <x:v>Wer wird zu Beginn der Offenbarung ausdrücklich selig genannt?</x:v>
      </x:c>
      <x:c r="R1193" s="36" t="str">
        <x:v>Nur wer jedes Symbol vollständig entschlüsseln kann.</x:v>
      </x:c>
      <x:c r="S1193" s="36" t="str">
        <x:v>Wer die Worte liest, hört und bewahrt, was in der Weissagung geschrieben steht.</x:v>
      </x:c>
      <x:c r="T1193" s="36" t="str">
        <x:v>Nur die Leiter der sieben Gemeinden.</x:v>
      </x:c>
      <x:c r="U1193" s="36" t="str">
        <x:v>Wer die Schriftrolle besitzt, auch ohne ihren Inhalt zu beachten.</x:v>
      </x:c>
      <x:c r="V1193" s="36" t="n">
        <x:v>1</x:v>
      </x:c>
      <x:c r="W1193" s="36" t="str">
        <x:v>Wer die Worte liest, hört und bewahrt, was in der Weissagung geschrieben steht.</x:v>
      </x:c>
      <x:c r="X1193" s="36" t="str">
        <x:v>Offenbarung 1,3</x:v>
      </x:c>
      <x:c r="Y1193" s="36" t="str">
        <x:v>Der Segen liegt nicht bloß im Kennen des Textes, sondern im Hören und Bewahren seiner Botschaft.</x:v>
      </x:c>
      <x:c r="Z1193" s="36" t="str">
        <x:v>JA</x:v>
      </x:c>
      <x:c r="AA1193" s="36" t="str">
        <x:v>JA</x:v>
      </x:c>
      <x:c r="AB1193" s="36" t="str">
        <x:v>JA</x:v>
      </x:c>
      <x:c r="AC1193" s="36" t="str">
        <x:v>JA</x:v>
      </x:c>
      <x:c r="AD1193" s="36" t="str">
        <x:v>JA</x:v>
      </x:c>
      <x:c r="AE1193" s="36" t="str">
        <x:v>JA</x:v>
      </x:c>
      <x:c r="AF1193" s="36" t="str">
        <x:v>JA</x:v>
      </x:c>
      <x:c r="AG1193" s="36" t="str">
        <x:v>FREIGEGEBEN</x:v>
      </x:c>
      <x:c r="AH1193" s="36" t="str">
        <x:v>GPT-5.6 Sol · Buchprüfung Offenbarung · L1912/OTB</x:v>
      </x:c>
      <x:c r="AI1193" s="36" t="str">
        <x:v>FREIGEGEBEN</x:v>
      </x:c>
      <x:c r="AJ1193" s="36" t="str">
        <x:v>Offenbarung 1: neue textnahe SEGEN-Frage ohne unnötige Endzeit-Systemfestlegung freigegeben.</x:v>
      </x:c>
      <x:c r="AK1193" s="36" t="str">
        <x:v>FaithPath repo develop/v4 · data/bibles/l1912/REV.json · data/bibles/otb/REV.json</x:v>
      </x:c>
      <x:c r="AL1193" t="str">
        <x:v>JA</x:v>
      </x:c>
    </x:row>
    <x:row r="1194">
      <x:c r="A1194" t="str">
        <x:v>FP-1453</x:v>
      </x:c>
      <x:c r="B1194" t="str">
        <x:v>REV</x:v>
      </x:c>
      <x:c r="C1194" t="str">
        <x:v>Offenbarung</x:v>
      </x:c>
      <x:c r="D1194" t="n">
        <x:v>1</x:v>
      </x:c>
      <x:c r="E1194" t="n">
        <x:v>3</x:v>
      </x:c>
      <x:c r="F1194" t="str">
        <x:v>REV-001</x:v>
      </x:c>
      <x:c r="G1194" t="n">
        <x:v>239</x:v>
      </x:c>
      <x:c r="H1194" t="str">
        <x:v>CQ-A27</x:v>
      </x:c>
      <x:c r="I1194" s="36" t="str">
        <x:v>Bestandsfrage: exakter Wortlaut in diesem Arbeitsschritt nicht rekonstruiert.</x:v>
      </x:c>
      <x:c r="J1194" s="36"/>
      <x:c r="K1194" s="36"/>
      <x:c r="L1194" s="36" t="str">
        <x:v>MASTER_STATUS_VERIFIZIERT</x:v>
      </x:c>
      <x:c r="M1194" s="36" t="str">
        <x:v>ERSETZEN</x:v>
      </x:c>
      <x:c r="N1194" s="36" t="str">
        <x:v>BESTAND_NOCH_NICHT_GEPRÜFT</x:v>
      </x:c>
      <x:c r="O1194" s="36" t="str">
        <x:v>DIDAKTISCHE_NEUFASSUNG</x:v>
      </x:c>
      <x:c r="P1194" s="36" t="str">
        <x:v>CHRISTUS</x:v>
      </x:c>
      <x:c r="Q1194" s="36" t="str">
        <x:v>Wie wird Jesus Christus im Gruß an die sieben Gemeinden beschrieben?</x:v>
      </x:c>
      <x:c r="R1194" s="36" t="str">
        <x:v>Als einer von sieben gleichrangigen Engeln.</x:v>
      </x:c>
      <x:c r="S1194" s="36" t="str">
        <x:v>Als verborgener Priester ohne Bezug zur Auferstehung.</x:v>
      </x:c>
      <x:c r="T1194" s="36" t="str">
        <x:v>Als treuer Zeuge, Erstgeborener der Toten und Herrscher über die Könige der Erde.</x:v>
      </x:c>
      <x:c r="U1194" s="36" t="str">
        <x:v>Als Herrscher nur über die Gemeinde von Ephesus.</x:v>
      </x:c>
      <x:c r="V1194" s="36" t="n">
        <x:v>2</x:v>
      </x:c>
      <x:c r="W1194" s="36" t="str">
        <x:v>Als treuer Zeuge, Erstgeborener der Toten und Herrscher über die Könige der Erde.</x:v>
      </x:c>
      <x:c r="X1194" s="36" t="str">
        <x:v>Offenbarung 1,4–6</x:v>
      </x:c>
      <x:c r="Y1194" s="36" t="str">
        <x:v>Die drei Titel verbinden Zeugnis, Auferstehung und Herrschaft und führen unmittelbar zum Lob dessen, der die Glaubenden liebt und erlöst.</x:v>
      </x:c>
      <x:c r="Z1194" s="36" t="str">
        <x:v>JA</x:v>
      </x:c>
      <x:c r="AA1194" s="36" t="str">
        <x:v>JA</x:v>
      </x:c>
      <x:c r="AB1194" s="36" t="str">
        <x:v>JA</x:v>
      </x:c>
      <x:c r="AC1194" s="36" t="str">
        <x:v>JA</x:v>
      </x:c>
      <x:c r="AD1194" s="36" t="str">
        <x:v>JA</x:v>
      </x:c>
      <x:c r="AE1194" s="36" t="str">
        <x:v>JA</x:v>
      </x:c>
      <x:c r="AF1194" s="36" t="str">
        <x:v>JA</x:v>
      </x:c>
      <x:c r="AG1194" s="36" t="str">
        <x:v>FREIGEGEBEN</x:v>
      </x:c>
      <x:c r="AH1194" s="36" t="str">
        <x:v>GPT-5.6 Sol · Buchprüfung Offenbarung · L1912/OTB</x:v>
      </x:c>
      <x:c r="AI1194" s="36" t="str">
        <x:v>FREIGEGEBEN</x:v>
      </x:c>
      <x:c r="AJ1194" s="36" t="str">
        <x:v>Offenbarung 1: neue textnahe CHRISTUS-Frage ohne unnötige Endzeit-Systemfestlegung freigegeben.</x:v>
      </x:c>
      <x:c r="AK1194" s="36" t="str">
        <x:v>FaithPath repo develop/v4 · data/bibles/l1912/REV.json · data/bibles/otb/REV.json</x:v>
      </x:c>
      <x:c r="AL1194" t="str">
        <x:v>JA</x:v>
      </x:c>
    </x:row>
    <x:row r="1195">
      <x:c r="A1195" t="str">
        <x:v>FP-1454</x:v>
      </x:c>
      <x:c r="B1195" t="str">
        <x:v>REV</x:v>
      </x:c>
      <x:c r="C1195" t="str">
        <x:v>Offenbarung</x:v>
      </x:c>
      <x:c r="D1195" t="n">
        <x:v>1</x:v>
      </x:c>
      <x:c r="E1195" t="n">
        <x:v>4</x:v>
      </x:c>
      <x:c r="F1195" t="str">
        <x:v>REV-001</x:v>
      </x:c>
      <x:c r="G1195" t="n">
        <x:v>239</x:v>
      </x:c>
      <x:c r="H1195" t="str">
        <x:v>CQ-A27</x:v>
      </x:c>
      <x:c r="I1195" s="36" t="str">
        <x:v>Bestandsfrage: exakter Wortlaut in diesem Arbeitsschritt nicht rekonstruiert.</x:v>
      </x:c>
      <x:c r="J1195" s="36"/>
      <x:c r="K1195" s="36"/>
      <x:c r="L1195" s="36" t="str">
        <x:v>MASTER_STATUS_VERIFIZIERT</x:v>
      </x:c>
      <x:c r="M1195" s="36" t="str">
        <x:v>ERSETZEN</x:v>
      </x:c>
      <x:c r="N1195" s="36" t="str">
        <x:v>BESTAND_NOCH_NICHT_GEPRÜFT</x:v>
      </x:c>
      <x:c r="O1195" s="36" t="str">
        <x:v>DIDAKTISCHE_NEUFASSUNG</x:v>
      </x:c>
      <x:c r="P1195" s="36" t="str">
        <x:v>VISION</x:v>
      </x:c>
      <x:c r="Q1195" s="36" t="str">
        <x:v>Warum befand sich Johannes auf Patmos?</x:v>
      </x:c>
      <x:c r="R1195" s="36" t="str">
        <x:v>Weil er dort eine Gemeinde gründen wollte.</x:v>
      </x:c>
      <x:c r="S1195" s="36" t="str">
        <x:v>Weil er als Händler dorthin gereist war.</x:v>
      </x:c>
      <x:c r="T1195" s="36" t="str">
        <x:v>Weil er den sieben Gemeinden ausweichen wollte.</x:v>
      </x:c>
      <x:c r="U1195" s="36" t="str">
        <x:v>Wegen des Wortes Gottes und des Zeugnisses von Jesus.</x:v>
      </x:c>
      <x:c r="V1195" s="36" t="n">
        <x:v>3</x:v>
      </x:c>
      <x:c r="W1195" s="36" t="str">
        <x:v>Wegen des Wortes Gottes und des Zeugnisses von Jesus.</x:v>
      </x:c>
      <x:c r="X1195" s="36" t="str">
        <x:v>Offenbarung 1,9</x:v>
      </x:c>
      <x:c r="Y1195" s="36" t="str">
        <x:v>Johannes beschreibt sich als Mitteilhaber an Bedrängnis, Reich und Ausharren und nennt sein Zeugnis als Grund für seinen Aufenthalt auf Patmos.</x:v>
      </x:c>
      <x:c r="Z1195" s="36" t="str">
        <x:v>JA</x:v>
      </x:c>
      <x:c r="AA1195" s="36" t="str">
        <x:v>JA</x:v>
      </x:c>
      <x:c r="AB1195" s="36" t="str">
        <x:v>JA</x:v>
      </x:c>
      <x:c r="AC1195" s="36" t="str">
        <x:v>JA</x:v>
      </x:c>
      <x:c r="AD1195" s="36" t="str">
        <x:v>JA</x:v>
      </x:c>
      <x:c r="AE1195" s="36" t="str">
        <x:v>JA</x:v>
      </x:c>
      <x:c r="AF1195" s="36" t="str">
        <x:v>JA</x:v>
      </x:c>
      <x:c r="AG1195" s="36" t="str">
        <x:v>FREIGEGEBEN</x:v>
      </x:c>
      <x:c r="AH1195" s="36" t="str">
        <x:v>GPT-5.6 Sol · Buchprüfung Offenbarung · L1912/OTB</x:v>
      </x:c>
      <x:c r="AI1195" s="36" t="str">
        <x:v>FREIGEGEBEN</x:v>
      </x:c>
      <x:c r="AJ1195" s="36" t="str">
        <x:v>Offenbarung 1: neue textnahe VISION-Frage ohne unnötige Endzeit-Systemfestlegung freigegeben.</x:v>
      </x:c>
      <x:c r="AK1195" s="36" t="str">
        <x:v>FaithPath repo develop/v4 · data/bibles/l1912/REV.json · data/bibles/otb/REV.json</x:v>
      </x:c>
      <x:c r="AL1195" t="str">
        <x:v>JA</x:v>
      </x:c>
    </x:row>
    <x:row r="1196">
      <x:c r="A1196" t="str">
        <x:v>FP-1455</x:v>
      </x:c>
      <x:c r="B1196" t="str">
        <x:v>REV</x:v>
      </x:c>
      <x:c r="C1196" t="str">
        <x:v>Offenbarung</x:v>
      </x:c>
      <x:c r="D1196" t="n">
        <x:v>1</x:v>
      </x:c>
      <x:c r="E1196" t="n">
        <x:v>5</x:v>
      </x:c>
      <x:c r="F1196" t="str">
        <x:v>REV-001</x:v>
      </x:c>
      <x:c r="G1196" t="n">
        <x:v>239</x:v>
      </x:c>
      <x:c r="H1196" t="str">
        <x:v>CQ-A27</x:v>
      </x:c>
      <x:c r="I1196" s="36" t="str">
        <x:v>Bestandsfrage: exakter Wortlaut in diesem Arbeitsschritt nicht rekonstruiert.</x:v>
      </x:c>
      <x:c r="J1196" s="36"/>
      <x:c r="K1196" s="36"/>
      <x:c r="L1196" s="36" t="str">
        <x:v>MASTER_STATUS_VERIFIZIERT</x:v>
      </x:c>
      <x:c r="M1196" s="36" t="str">
        <x:v>ERSETZEN</x:v>
      </x:c>
      <x:c r="N1196" s="36" t="str">
        <x:v>BESTAND_NOCH_NICHT_GEPRÜFT</x:v>
      </x:c>
      <x:c r="O1196" s="36" t="str">
        <x:v>DIDAKTISCHE_NEUFASSUNG</x:v>
      </x:c>
      <x:c r="P1196" s="36" t="str">
        <x:v>SYMBOLERKLÄRUNG</x:v>
      </x:c>
      <x:c r="Q1196" s="36" t="str">
        <x:v>Wie werden die sieben Sterne und die sieben goldenen Leuchter am Ende des Kapitels erklärt?</x:v>
      </x:c>
      <x:c r="R1196" s="36" t="str">
        <x:v>Die Sterne sind die Engel der sieben Gemeinden, die Leuchter die sieben Gemeinden.</x:v>
      </x:c>
      <x:c r="S1196" s="36" t="str">
        <x:v>Die Sterne sind sieben Könige, die Leuchter sieben Tempel in Jerusalem.</x:v>
      </x:c>
      <x:c r="T1196" s="36" t="str">
        <x:v>Die Sterne sind sieben Plagen, die Leuchter sieben Propheten.</x:v>
      </x:c>
      <x:c r="U1196" s="36" t="str">
        <x:v>Beide stehen ausschließlich für die zwölf Stämme Israels.</x:v>
      </x:c>
      <x:c r="V1196" s="36" t="n">
        <x:v>0</x:v>
      </x:c>
      <x:c r="W1196" s="36" t="str">
        <x:v>Die Sterne sind die Engel der sieben Gemeinden, die Leuchter die sieben Gemeinden.</x:v>
      </x:c>
      <x:c r="X1196" s="36" t="str">
        <x:v>Offenbarung 1,20</x:v>
      </x:c>
      <x:c r="Y1196" s="36" t="str">
        <x:v>Hier erklärt der Text seine eigene Bildsprache ausdrücklich und verbindet die Vision mit den sieben adressierten Gemeinden.</x:v>
      </x:c>
      <x:c r="Z1196" s="36" t="str">
        <x:v>JA</x:v>
      </x:c>
      <x:c r="AA1196" s="36" t="str">
        <x:v>JA</x:v>
      </x:c>
      <x:c r="AB1196" s="36" t="str">
        <x:v>JA</x:v>
      </x:c>
      <x:c r="AC1196" s="36" t="str">
        <x:v>JA</x:v>
      </x:c>
      <x:c r="AD1196" s="36" t="str">
        <x:v>JA</x:v>
      </x:c>
      <x:c r="AE1196" s="36" t="str">
        <x:v>JA</x:v>
      </x:c>
      <x:c r="AF1196" s="36" t="str">
        <x:v>JA</x:v>
      </x:c>
      <x:c r="AG1196" s="36" t="str">
        <x:v>FREIGEGEBEN</x:v>
      </x:c>
      <x:c r="AH1196" s="36" t="str">
        <x:v>GPT-5.6 Sol · Buchprüfung Offenbarung · L1912/OTB</x:v>
      </x:c>
      <x:c r="AI1196" s="36" t="str">
        <x:v>FREIGEGEBEN</x:v>
      </x:c>
      <x:c r="AJ1196" s="36" t="str">
        <x:v>Offenbarung 1: neue textnahe SYMBOLERKLÄRUNG-Frage ohne unnötige Endzeit-Systemfestlegung freigegeben.</x:v>
      </x:c>
      <x:c r="AK1196" s="36" t="str">
        <x:v>FaithPath repo develop/v4 · data/bibles/l1912/REV.json · data/bibles/otb/REV.json</x:v>
      </x:c>
      <x:c r="AL1196" t="str">
        <x:v>JA</x:v>
      </x:c>
    </x:row>
    <x:row r="1197">
      <x:c r="A1197" t="str">
        <x:v>FP-1456</x:v>
      </x:c>
      <x:c r="B1197" t="str">
        <x:v>REV</x:v>
      </x:c>
      <x:c r="C1197" t="str">
        <x:v>Offenbarung</x:v>
      </x:c>
      <x:c r="D1197" t="n">
        <x:v>2</x:v>
      </x:c>
      <x:c r="E1197" t="n">
        <x:v>1</x:v>
      </x:c>
      <x:c r="F1197" t="str">
        <x:v>REV-002</x:v>
      </x:c>
      <x:c r="G1197" t="n">
        <x:v>240</x:v>
      </x:c>
      <x:c r="H1197" t="str">
        <x:v>CQ-A27</x:v>
      </x:c>
      <x:c r="I1197" s="36" t="str">
        <x:v>Bestandsfrage: exakter Wortlaut in diesem Arbeitsschritt nicht rekonstruiert.</x:v>
      </x:c>
      <x:c r="J1197" s="36"/>
      <x:c r="K1197" s="36"/>
      <x:c r="L1197" s="36" t="str">
        <x:v>MASTER_STATUS_VERIFIZIERT</x:v>
      </x:c>
      <x:c r="M1197" s="36" t="str">
        <x:v>ERSETZEN</x:v>
      </x:c>
      <x:c r="N1197" s="36" t="str">
        <x:v>BESTAND_NOCH_NICHT_GEPRÜFT</x:v>
      </x:c>
      <x:c r="O1197" s="36" t="str">
        <x:v>DIDAKTISCHE_NEUFASSUNG</x:v>
      </x:c>
      <x:c r="P1197" s="36" t="str">
        <x:v>EPHESUS</x:v>
      </x:c>
      <x:c r="Q1197" s="36" t="str">
        <x:v>Was wird der Gemeinde in Ephesus trotz ihrer Ausdauer vorgeworfen?</x:v>
      </x:c>
      <x:c r="R1197" s="36" t="str">
        <x:v>Sie duldet ausschließlich falsche Apostel.</x:v>
      </x:c>
      <x:c r="S1197" s="36" t="str">
        <x:v>Sie hat ihre erste Liebe verlassen.</x:v>
      </x:c>
      <x:c r="T1197" s="36" t="str">
        <x:v>Sie weigert sich, gute Werke zu tun.</x:v>
      </x:c>
      <x:c r="U1197" s="36" t="str">
        <x:v>Sie hat überhaupt keine Ausdauer.</x:v>
      </x:c>
      <x:c r="V1197" s="36" t="n">
        <x:v>1</x:v>
      </x:c>
      <x:c r="W1197" s="36" t="str">
        <x:v>Sie hat ihre erste Liebe verlassen.</x:v>
      </x:c>
      <x:c r="X1197" s="36" t="str">
        <x:v>Offenbarung 2,2–5</x:v>
      </x:c>
      <x:c r="Y1197" s="36" t="str">
        <x:v>Ephesus wird für Prüfung falscher Apostel und Ausdauer gelobt, zugleich aber zur Umkehr und Rückkehr zu den ersten Werken gerufen.</x:v>
      </x:c>
      <x:c r="Z1197" s="36" t="str">
        <x:v>JA</x:v>
      </x:c>
      <x:c r="AA1197" s="36" t="str">
        <x:v>JA</x:v>
      </x:c>
      <x:c r="AB1197" s="36" t="str">
        <x:v>JA</x:v>
      </x:c>
      <x:c r="AC1197" s="36" t="str">
        <x:v>JA</x:v>
      </x:c>
      <x:c r="AD1197" s="36" t="str">
        <x:v>JA</x:v>
      </x:c>
      <x:c r="AE1197" s="36" t="str">
        <x:v>JA</x:v>
      </x:c>
      <x:c r="AF1197" s="36" t="str">
        <x:v>JA</x:v>
      </x:c>
      <x:c r="AG1197" s="36" t="str">
        <x:v>FREIGEGEBEN</x:v>
      </x:c>
      <x:c r="AH1197" s="36" t="str">
        <x:v>GPT-5.6 Sol · Buchprüfung Offenbarung · L1912/OTB</x:v>
      </x:c>
      <x:c r="AI1197" s="36" t="str">
        <x:v>FREIGEGEBEN</x:v>
      </x:c>
      <x:c r="AJ1197" s="36" t="str">
        <x:v>Offenbarung 2: neue textnahe EPHESUS-Frage ohne unnötige Endzeit-Systemfestlegung freigegeben.</x:v>
      </x:c>
      <x:c r="AK1197" s="36" t="str">
        <x:v>FaithPath repo develop/v4 · data/bibles/l1912/REV.json · data/bibles/otb/REV.json</x:v>
      </x:c>
      <x:c r="AL1197" t="str">
        <x:v>JA</x:v>
      </x:c>
    </x:row>
    <x:row r="1198">
      <x:c r="A1198" t="str">
        <x:v>FP-1457</x:v>
      </x:c>
      <x:c r="B1198" t="str">
        <x:v>REV</x:v>
      </x:c>
      <x:c r="C1198" t="str">
        <x:v>Offenbarung</x:v>
      </x:c>
      <x:c r="D1198" t="n">
        <x:v>2</x:v>
      </x:c>
      <x:c r="E1198" t="n">
        <x:v>2</x:v>
      </x:c>
      <x:c r="F1198" t="str">
        <x:v>REV-002</x:v>
      </x:c>
      <x:c r="G1198" t="n">
        <x:v>240</x:v>
      </x:c>
      <x:c r="H1198" t="str">
        <x:v>CQ-A27</x:v>
      </x:c>
      <x:c r="I1198" s="36" t="str">
        <x:v>Bestandsfrage: exakter Wortlaut in diesem Arbeitsschritt nicht rekonstruiert.</x:v>
      </x:c>
      <x:c r="J1198" s="36"/>
      <x:c r="K1198" s="36"/>
      <x:c r="L1198" s="36" t="str">
        <x:v>MASTER_STATUS_VERIFIZIERT</x:v>
      </x:c>
      <x:c r="M1198" s="36" t="str">
        <x:v>ERSETZEN</x:v>
      </x:c>
      <x:c r="N1198" s="36" t="str">
        <x:v>BESTAND_NOCH_NICHT_GEPRÜFT</x:v>
      </x:c>
      <x:c r="O1198" s="36" t="str">
        <x:v>DIDAKTISCHE_NEUFASSUNG</x:v>
      </x:c>
      <x:c r="P1198" s="36" t="str">
        <x:v>SMYRNA</x:v>
      </x:c>
      <x:c r="Q1198" s="36" t="str">
        <x:v>Welche Zusage erhält die bedrängte Gemeinde in Smyrna?</x:v>
      </x:c>
      <x:c r="R1198" s="36" t="str">
        <x:v>Sie werde keinerlei Leiden mehr erleben.</x:v>
      </x:c>
      <x:c r="S1198" s="36" t="str">
        <x:v>Sie solle ihre Stadt sofort verlassen.</x:v>
      </x:c>
      <x:c r="T1198" s="36" t="str">
        <x:v>Sie soll treu bis zum Tod bleiben und die Krone des Lebens empfangen.</x:v>
      </x:c>
      <x:c r="U1198" s="36" t="str">
        <x:v>Materieller Reichtum werde ihre Bedrängnis beenden.</x:v>
      </x:c>
      <x:c r="V1198" s="36" t="n">
        <x:v>2</x:v>
      </x:c>
      <x:c r="W1198" s="36" t="str">
        <x:v>Sie soll treu bis zum Tod bleiben und die Krone des Lebens empfangen.</x:v>
      </x:c>
      <x:c r="X1198" s="36" t="str">
        <x:v>Offenbarung 2,8–11</x:v>
      </x:c>
      <x:c r="Y1198" s="36" t="str">
        <x:v>Smyrna wird trotz äußerer Armut als reich bezeichnet und zur Treue in bevorstehender Prüfung ermutigt.</x:v>
      </x:c>
      <x:c r="Z1198" s="36" t="str">
        <x:v>JA</x:v>
      </x:c>
      <x:c r="AA1198" s="36" t="str">
        <x:v>JA</x:v>
      </x:c>
      <x:c r="AB1198" s="36" t="str">
        <x:v>JA</x:v>
      </x:c>
      <x:c r="AC1198" s="36" t="str">
        <x:v>JA</x:v>
      </x:c>
      <x:c r="AD1198" s="36" t="str">
        <x:v>JA</x:v>
      </x:c>
      <x:c r="AE1198" s="36" t="str">
        <x:v>JA</x:v>
      </x:c>
      <x:c r="AF1198" s="36" t="str">
        <x:v>JA</x:v>
      </x:c>
      <x:c r="AG1198" s="36" t="str">
        <x:v>FREIGEGEBEN</x:v>
      </x:c>
      <x:c r="AH1198" s="36" t="str">
        <x:v>GPT-5.6 Sol · Buchprüfung Offenbarung · L1912/OTB</x:v>
      </x:c>
      <x:c r="AI1198" s="36" t="str">
        <x:v>FREIGEGEBEN</x:v>
      </x:c>
      <x:c r="AJ1198" s="36" t="str">
        <x:v>Offenbarung 2: neue textnahe SMYRNA-Frage ohne unnötige Endzeit-Systemfestlegung freigegeben.</x:v>
      </x:c>
      <x:c r="AK1198" s="36" t="str">
        <x:v>FaithPath repo develop/v4 · data/bibles/l1912/REV.json · data/bibles/otb/REV.json</x:v>
      </x:c>
      <x:c r="AL1198" t="str">
        <x:v>JA</x:v>
      </x:c>
    </x:row>
    <x:row r="1199">
      <x:c r="A1199" t="str">
        <x:v>FP-1458</x:v>
      </x:c>
      <x:c r="B1199" t="str">
        <x:v>REV</x:v>
      </x:c>
      <x:c r="C1199" t="str">
        <x:v>Offenbarung</x:v>
      </x:c>
      <x:c r="D1199" t="n">
        <x:v>2</x:v>
      </x:c>
      <x:c r="E1199" t="n">
        <x:v>3</x:v>
      </x:c>
      <x:c r="F1199" t="str">
        <x:v>REV-002</x:v>
      </x:c>
      <x:c r="G1199" t="n">
        <x:v>240</x:v>
      </x:c>
      <x:c r="H1199" t="str">
        <x:v>CQ-A27</x:v>
      </x:c>
      <x:c r="I1199" s="36" t="str">
        <x:v>Bestandsfrage: exakter Wortlaut in diesem Arbeitsschritt nicht rekonstruiert.</x:v>
      </x:c>
      <x:c r="J1199" s="36"/>
      <x:c r="K1199" s="36"/>
      <x:c r="L1199" s="36" t="str">
        <x:v>MASTER_STATUS_VERIFIZIERT</x:v>
      </x:c>
      <x:c r="M1199" s="36" t="str">
        <x:v>ERSETZEN</x:v>
      </x:c>
      <x:c r="N1199" s="36" t="str">
        <x:v>BESTAND_NOCH_NICHT_GEPRÜFT</x:v>
      </x:c>
      <x:c r="O1199" s="36" t="str">
        <x:v>DIDAKTISCHE_NEUFASSUNG</x:v>
      </x:c>
      <x:c r="P1199" s="36" t="str">
        <x:v>PERGAMON</x:v>
      </x:c>
      <x:c r="Q1199" s="36" t="str">
        <x:v>Wofür wird Pergamon zunächst gelobt?</x:v>
      </x:c>
      <x:c r="R1199" s="36" t="str">
        <x:v>Dafür, jede fremde Lehre zu dulden.</x:v>
      </x:c>
      <x:c r="S1199" s="36" t="str">
        <x:v>Dafür, keine Verfolgung erlebt zu haben.</x:v>
      </x:c>
      <x:c r="T1199" s="36" t="str">
        <x:v>Dafür, ausschließlich im Verborgenen zu glauben.</x:v>
      </x:c>
      <x:c r="U1199" s="36" t="str">
        <x:v>Dafür, am Namen Jesu festzuhalten und den Glauben trotz der Tötung des Antipas nicht zu verleugnen.</x:v>
      </x:c>
      <x:c r="V1199" s="36" t="n">
        <x:v>3</x:v>
      </x:c>
      <x:c r="W1199" s="36" t="str">
        <x:v>Dafür, am Namen Jesu festzuhalten und den Glauben trotz der Tötung des Antipas nicht zu verleugnen.</x:v>
      </x:c>
      <x:c r="X1199" s="36" t="str">
        <x:v>Offenbarung 2,12–13</x:v>
      </x:c>
      <x:c r="Y1199" s="36" t="str">
        <x:v>Die Gemeinde bleibt in einer feindlichen Umgebung standhaft; erst danach werden konkrete Lehrprobleme angesprochen.</x:v>
      </x:c>
      <x:c r="Z1199" s="36" t="str">
        <x:v>JA</x:v>
      </x:c>
      <x:c r="AA1199" s="36" t="str">
        <x:v>JA</x:v>
      </x:c>
      <x:c r="AB1199" s="36" t="str">
        <x:v>JA</x:v>
      </x:c>
      <x:c r="AC1199" s="36" t="str">
        <x:v>JA</x:v>
      </x:c>
      <x:c r="AD1199" s="36" t="str">
        <x:v>JA</x:v>
      </x:c>
      <x:c r="AE1199" s="36" t="str">
        <x:v>JA</x:v>
      </x:c>
      <x:c r="AF1199" s="36" t="str">
        <x:v>JA</x:v>
      </x:c>
      <x:c r="AG1199" s="36" t="str">
        <x:v>FREIGEGEBEN</x:v>
      </x:c>
      <x:c r="AH1199" s="36" t="str">
        <x:v>GPT-5.6 Sol · Buchprüfung Offenbarung · L1912/OTB</x:v>
      </x:c>
      <x:c r="AI1199" s="36" t="str">
        <x:v>FREIGEGEBEN</x:v>
      </x:c>
      <x:c r="AJ1199" s="36" t="str">
        <x:v>Offenbarung 2: neue textnahe PERGAMON-Frage ohne unnötige Endzeit-Systemfestlegung freigegeben.</x:v>
      </x:c>
      <x:c r="AK1199" s="36" t="str">
        <x:v>FaithPath repo develop/v4 · data/bibles/l1912/REV.json · data/bibles/otb/REV.json</x:v>
      </x:c>
      <x:c r="AL1199" t="str">
        <x:v>JA</x:v>
      </x:c>
    </x:row>
    <x:row r="1200">
      <x:c r="A1200" t="str">
        <x:v>FP-1459</x:v>
      </x:c>
      <x:c r="B1200" t="str">
        <x:v>REV</x:v>
      </x:c>
      <x:c r="C1200" t="str">
        <x:v>Offenbarung</x:v>
      </x:c>
      <x:c r="D1200" t="n">
        <x:v>2</x:v>
      </x:c>
      <x:c r="E1200" t="n">
        <x:v>4</x:v>
      </x:c>
      <x:c r="F1200" t="str">
        <x:v>REV-002</x:v>
      </x:c>
      <x:c r="G1200" t="n">
        <x:v>240</x:v>
      </x:c>
      <x:c r="H1200" t="str">
        <x:v>CQ-A27</x:v>
      </x:c>
      <x:c r="I1200" s="36" t="str">
        <x:v>Bestandsfrage: exakter Wortlaut in diesem Arbeitsschritt nicht rekonstruiert.</x:v>
      </x:c>
      <x:c r="J1200" s="36"/>
      <x:c r="K1200" s="36"/>
      <x:c r="L1200" s="36" t="str">
        <x:v>MASTER_STATUS_VERIFIZIERT</x:v>
      </x:c>
      <x:c r="M1200" s="36" t="str">
        <x:v>ERSETZEN</x:v>
      </x:c>
      <x:c r="N1200" s="36" t="str">
        <x:v>BESTAND_NOCH_NICHT_GEPRÜFT</x:v>
      </x:c>
      <x:c r="O1200" s="36" t="str">
        <x:v>DIDAKTISCHE_NEUFASSUNG</x:v>
      </x:c>
      <x:c r="P1200" s="36" t="str">
        <x:v>UMKEHR</x:v>
      </x:c>
      <x:c r="Q1200" s="36" t="str">
        <x:v>Welche Reaktion fordert Jesus von Pergamon angesichts falscher Lehren in der Gemeinde?</x:v>
      </x:c>
      <x:c r="R1200" s="36" t="str">
        <x:v>Umkehr.</x:v>
      </x:c>
      <x:c r="S1200" s="36" t="str">
        <x:v>Die falschen Lehren als unwichtig zu behandeln.</x:v>
      </x:c>
      <x:c r="T1200" s="36" t="str">
        <x:v>Die Gemeinde nach Rom zu verlegen.</x:v>
      </x:c>
      <x:c r="U1200" s="36" t="str">
        <x:v>Nur noch über die Verfolgung zu sprechen.</x:v>
      </x:c>
      <x:c r="V1200" s="36" t="n">
        <x:v>0</x:v>
      </x:c>
      <x:c r="W1200" s="36" t="str">
        <x:v>Umkehr.</x:v>
      </x:c>
      <x:c r="X1200" s="36" t="str">
        <x:v>Offenbarung 2,14–17</x:v>
      </x:c>
      <x:c r="Y1200" s="36" t="str">
        <x:v>Die Lehren Bileams und der Nikolaiten werden nicht als Nebensache behandelt; die Gemeinde wird ausdrücklich zur Umkehr gerufen.</x:v>
      </x:c>
      <x:c r="Z1200" s="36" t="str">
        <x:v>JA</x:v>
      </x:c>
      <x:c r="AA1200" s="36" t="str">
        <x:v>JA</x:v>
      </x:c>
      <x:c r="AB1200" s="36" t="str">
        <x:v>JA</x:v>
      </x:c>
      <x:c r="AC1200" s="36" t="str">
        <x:v>JA</x:v>
      </x:c>
      <x:c r="AD1200" s="36" t="str">
        <x:v>JA</x:v>
      </x:c>
      <x:c r="AE1200" s="36" t="str">
        <x:v>JA</x:v>
      </x:c>
      <x:c r="AF1200" s="36" t="str">
        <x:v>JA</x:v>
      </x:c>
      <x:c r="AG1200" s="36" t="str">
        <x:v>FREIGEGEBEN</x:v>
      </x:c>
      <x:c r="AH1200" s="36" t="str">
        <x:v>GPT-5.6 Sol · Buchprüfung Offenbarung · L1912/OTB</x:v>
      </x:c>
      <x:c r="AI1200" s="36" t="str">
        <x:v>FREIGEGEBEN</x:v>
      </x:c>
      <x:c r="AJ1200" s="36" t="str">
        <x:v>Offenbarung 2: neue textnahe UMKEHR-Frage ohne unnötige Endzeit-Systemfestlegung freigegeben.</x:v>
      </x:c>
      <x:c r="AK1200" s="36" t="str">
        <x:v>FaithPath repo develop/v4 · data/bibles/l1912/REV.json · data/bibles/otb/REV.json</x:v>
      </x:c>
      <x:c r="AL1200" t="str">
        <x:v>JA</x:v>
      </x:c>
    </x:row>
    <x:row r="1201">
      <x:c r="A1201" t="str">
        <x:v>FP-1460</x:v>
      </x:c>
      <x:c r="B1201" t="str">
        <x:v>REV</x:v>
      </x:c>
      <x:c r="C1201" t="str">
        <x:v>Offenbarung</x:v>
      </x:c>
      <x:c r="D1201" t="n">
        <x:v>2</x:v>
      </x:c>
      <x:c r="E1201" t="n">
        <x:v>5</x:v>
      </x:c>
      <x:c r="F1201" t="str">
        <x:v>REV-002</x:v>
      </x:c>
      <x:c r="G1201" t="n">
        <x:v>240</x:v>
      </x:c>
      <x:c r="H1201" t="str">
        <x:v>CQ-A27</x:v>
      </x:c>
      <x:c r="I1201" s="36" t="str">
        <x:v>Bestandsfrage: exakter Wortlaut in diesem Arbeitsschritt nicht rekonstruiert.</x:v>
      </x:c>
      <x:c r="J1201" s="36"/>
      <x:c r="K1201" s="36"/>
      <x:c r="L1201" s="36" t="str">
        <x:v>MASTER_STATUS_VERIFIZIERT</x:v>
      </x:c>
      <x:c r="M1201" s="36" t="str">
        <x:v>ERSETZEN</x:v>
      </x:c>
      <x:c r="N1201" s="36" t="str">
        <x:v>BESTAND_NOCH_NICHT_GEPRÜFT</x:v>
      </x:c>
      <x:c r="O1201" s="36" t="str">
        <x:v>DIDAKTISCHE_NEUFASSUNG</x:v>
      </x:c>
      <x:c r="P1201" s="36" t="str">
        <x:v>THYATIRA</x:v>
      </x:c>
      <x:c r="Q1201" s="36" t="str">
        <x:v>Was verbindet die Botschaft an Thyatira mit der Aufforderung an die treuen Gemeindeglieder?</x:v>
      </x:c>
      <x:c r="R1201" s="36" t="str">
        <x:v>Sie sollen Isebels Lehre übernehmen.</x:v>
      </x:c>
      <x:c r="S1201" s="36" t="str">
        <x:v>Sie sollen an dem festhalten, was sie haben, bis Christus kommt.</x:v>
      </x:c>
      <x:c r="T1201" s="36" t="str">
        <x:v>Sie sollen jede Form des Dienstes einstellen.</x:v>
      </x:c>
      <x:c r="U1201" s="36" t="str">
        <x:v>Sie sollen ihre Liebe und ihren Glauben aufgeben.</x:v>
      </x:c>
      <x:c r="V1201" s="36" t="n">
        <x:v>1</x:v>
      </x:c>
      <x:c r="W1201" s="36" t="str">
        <x:v>Sie sollen an dem festhalten, was sie haben, bis Christus kommt.</x:v>
      </x:c>
      <x:c r="X1201" s="36" t="str">
        <x:v>Offenbarung 2,18–29</x:v>
      </x:c>
      <x:c r="Y1201" s="36" t="str">
        <x:v>Thyatira wird für Liebe, Glauben, Dienst und wachsende Werke gelobt; zugleich wird die Duldung verführerischer Lehre scharf kritisiert.</x:v>
      </x:c>
      <x:c r="Z1201" s="36" t="str">
        <x:v>JA</x:v>
      </x:c>
      <x:c r="AA1201" s="36" t="str">
        <x:v>JA</x:v>
      </x:c>
      <x:c r="AB1201" s="36" t="str">
        <x:v>JA</x:v>
      </x:c>
      <x:c r="AC1201" s="36" t="str">
        <x:v>JA</x:v>
      </x:c>
      <x:c r="AD1201" s="36" t="str">
        <x:v>JA</x:v>
      </x:c>
      <x:c r="AE1201" s="36" t="str">
        <x:v>JA</x:v>
      </x:c>
      <x:c r="AF1201" s="36" t="str">
        <x:v>JA</x:v>
      </x:c>
      <x:c r="AG1201" s="36" t="str">
        <x:v>FREIGEGEBEN</x:v>
      </x:c>
      <x:c r="AH1201" s="36" t="str">
        <x:v>GPT-5.6 Sol · Buchprüfung Offenbarung · L1912/OTB</x:v>
      </x:c>
      <x:c r="AI1201" s="36" t="str">
        <x:v>FREIGEGEBEN</x:v>
      </x:c>
      <x:c r="AJ1201" s="36" t="str">
        <x:v>Offenbarung 2: neue textnahe THYATIRA-Frage ohne unnötige Endzeit-Systemfestlegung freigegeben.</x:v>
      </x:c>
      <x:c r="AK1201" s="36" t="str">
        <x:v>FaithPath repo develop/v4 · data/bibles/l1912/REV.json · data/bibles/otb/REV.json</x:v>
      </x:c>
      <x:c r="AL1201" t="str">
        <x:v>JA</x:v>
      </x:c>
    </x:row>
    <x:row r="1202">
      <x:c r="A1202" t="str">
        <x:v>FP-1461</x:v>
      </x:c>
      <x:c r="B1202" t="str">
        <x:v>REV</x:v>
      </x:c>
      <x:c r="C1202" t="str">
        <x:v>Offenbarung</x:v>
      </x:c>
      <x:c r="D1202" t="n">
        <x:v>3</x:v>
      </x:c>
      <x:c r="E1202" t="n">
        <x:v>1</x:v>
      </x:c>
      <x:c r="F1202" t="str">
        <x:v>REV-003</x:v>
      </x:c>
      <x:c r="G1202" t="n">
        <x:v>241</x:v>
      </x:c>
      <x:c r="H1202" t="str">
        <x:v>CQ-A27</x:v>
      </x:c>
      <x:c r="I1202" s="36" t="str">
        <x:v>Bestandsfrage: exakter Wortlaut in diesem Arbeitsschritt nicht rekonstruiert.</x:v>
      </x:c>
      <x:c r="J1202" s="36"/>
      <x:c r="K1202" s="36"/>
      <x:c r="L1202" s="36" t="str">
        <x:v>MASTER_STATUS_VERIFIZIERT</x:v>
      </x:c>
      <x:c r="M1202" s="36" t="str">
        <x:v>ERSETZEN</x:v>
      </x:c>
      <x:c r="N1202" s="36" t="str">
        <x:v>BESTAND_NOCH_NICHT_GEPRÜFT</x:v>
      </x:c>
      <x:c r="O1202" s="36" t="str">
        <x:v>DIDAKTISCHE_NEUFASSUNG</x:v>
      </x:c>
      <x:c r="P1202" s="36" t="str">
        <x:v>SARDES</x:v>
      </x:c>
      <x:c r="Q1202" s="36" t="str">
        <x:v>Welcher Widerspruch kennzeichnet die Gemeinde in Sardes?</x:v>
      </x:c>
      <x:c r="R1202" s="36" t="str">
        <x:v>Sie gilt als arm, ist aber politisch mächtig.</x:v>
      </x:c>
      <x:c r="S1202" s="36" t="str">
        <x:v>Sie wird verfolgt, lehnt aber jede Treue ab.</x:v>
      </x:c>
      <x:c r="T1202" s="36" t="str">
        <x:v>Sie hat den Ruf, lebendig zu sein, ist aber geistlich tot.</x:v>
      </x:c>
      <x:c r="U1202" s="36" t="str">
        <x:v>Sie besitzt keinerlei Namen oder Ruf.</x:v>
      </x:c>
      <x:c r="V1202" s="36" t="n">
        <x:v>2</x:v>
      </x:c>
      <x:c r="W1202" s="36" t="str">
        <x:v>Sie hat den Ruf, lebendig zu sein, ist aber geistlich tot.</x:v>
      </x:c>
      <x:c r="X1202" s="36" t="str">
        <x:v>Offenbarung 3,1–3</x:v>
      </x:c>
      <x:c r="Y1202" s="36" t="str">
        <x:v>Sardes wird zur Wachsamkeit, Stärkung des Übriggebliebenen und Umkehr gerufen.</x:v>
      </x:c>
      <x:c r="Z1202" s="36" t="str">
        <x:v>JA</x:v>
      </x:c>
      <x:c r="AA1202" s="36" t="str">
        <x:v>JA</x:v>
      </x:c>
      <x:c r="AB1202" s="36" t="str">
        <x:v>JA</x:v>
      </x:c>
      <x:c r="AC1202" s="36" t="str">
        <x:v>JA</x:v>
      </x:c>
      <x:c r="AD1202" s="36" t="str">
        <x:v>JA</x:v>
      </x:c>
      <x:c r="AE1202" s="36" t="str">
        <x:v>JA</x:v>
      </x:c>
      <x:c r="AF1202" s="36" t="str">
        <x:v>JA</x:v>
      </x:c>
      <x:c r="AG1202" s="36" t="str">
        <x:v>FREIGEGEBEN</x:v>
      </x:c>
      <x:c r="AH1202" s="36" t="str">
        <x:v>GPT-5.6 Sol · Buchprüfung Offenbarung · L1912/OTB</x:v>
      </x:c>
      <x:c r="AI1202" s="36" t="str">
        <x:v>FREIGEGEBEN</x:v>
      </x:c>
      <x:c r="AJ1202" s="36" t="str">
        <x:v>Offenbarung 3: neue textnahe SARDES-Frage ohne unnötige Endzeit-Systemfestlegung freigegeben.</x:v>
      </x:c>
      <x:c r="AK1202" s="36" t="str">
        <x:v>FaithPath repo develop/v4 · data/bibles/l1912/REV.json · data/bibles/otb/REV.json</x:v>
      </x:c>
      <x:c r="AL1202" t="str">
        <x:v>JA</x:v>
      </x:c>
    </x:row>
    <x:row r="1203">
      <x:c r="A1203" t="str">
        <x:v>FP-1462</x:v>
      </x:c>
      <x:c r="B1203" t="str">
        <x:v>REV</x:v>
      </x:c>
      <x:c r="C1203" t="str">
        <x:v>Offenbarung</x:v>
      </x:c>
      <x:c r="D1203" t="n">
        <x:v>3</x:v>
      </x:c>
      <x:c r="E1203" t="n">
        <x:v>2</x:v>
      </x:c>
      <x:c r="F1203" t="str">
        <x:v>REV-003</x:v>
      </x:c>
      <x:c r="G1203" t="n">
        <x:v>241</x:v>
      </x:c>
      <x:c r="H1203" t="str">
        <x:v>CQ-A27</x:v>
      </x:c>
      <x:c r="I1203" s="36" t="str">
        <x:v>Bestandsfrage: exakter Wortlaut in diesem Arbeitsschritt nicht rekonstruiert.</x:v>
      </x:c>
      <x:c r="J1203" s="36"/>
      <x:c r="K1203" s="36"/>
      <x:c r="L1203" s="36" t="str">
        <x:v>MASTER_STATUS_VERIFIZIERT</x:v>
      </x:c>
      <x:c r="M1203" s="36" t="str">
        <x:v>ERSETZEN</x:v>
      </x:c>
      <x:c r="N1203" s="36" t="str">
        <x:v>BESTAND_NOCH_NICHT_GEPRÜFT</x:v>
      </x:c>
      <x:c r="O1203" s="36" t="str">
        <x:v>DIDAKTISCHE_NEUFASSUNG</x:v>
      </x:c>
      <x:c r="P1203" s="36" t="str">
        <x:v>PHILADELPHIA</x:v>
      </x:c>
      <x:c r="Q1203" s="36" t="str">
        <x:v>Warum wird Philadelphia trotz geringer Kraft positiv beurteilt?</x:v>
      </x:c>
      <x:c r="R1203" s="36" t="str">
        <x:v>Weil sie besonders reich geworden ist.</x:v>
      </x:c>
      <x:c r="S1203" s="36" t="str">
        <x:v>Weil sie keine Gegner hat.</x:v>
      </x:c>
      <x:c r="T1203" s="36" t="str">
        <x:v>Weil sie die anderen Gemeinden beherrscht.</x:v>
      </x:c>
      <x:c r="U1203" s="36" t="str">
        <x:v>Weil die Gemeinde Jesu Wort bewahrt und seinen Namen nicht verleugnet hat.</x:v>
      </x:c>
      <x:c r="V1203" s="36" t="n">
        <x:v>3</x:v>
      </x:c>
      <x:c r="W1203" s="36" t="str">
        <x:v>Weil die Gemeinde Jesu Wort bewahrt und seinen Namen nicht verleugnet hat.</x:v>
      </x:c>
      <x:c r="X1203" s="36" t="str">
        <x:v>Offenbarung 3,7–10</x:v>
      </x:c>
      <x:c r="Y1203" s="36" t="str">
        <x:v>Die offene Tür steht vor einer Gemeinde mit wenig Kraft, deren Kennzeichen dennoch Treue zum Wort und Namen Jesu ist.</x:v>
      </x:c>
      <x:c r="Z1203" s="36" t="str">
        <x:v>JA</x:v>
      </x:c>
      <x:c r="AA1203" s="36" t="str">
        <x:v>JA</x:v>
      </x:c>
      <x:c r="AB1203" s="36" t="str">
        <x:v>JA</x:v>
      </x:c>
      <x:c r="AC1203" s="36" t="str">
        <x:v>JA</x:v>
      </x:c>
      <x:c r="AD1203" s="36" t="str">
        <x:v>JA</x:v>
      </x:c>
      <x:c r="AE1203" s="36" t="str">
        <x:v>JA</x:v>
      </x:c>
      <x:c r="AF1203" s="36" t="str">
        <x:v>JA</x:v>
      </x:c>
      <x:c r="AG1203" s="36" t="str">
        <x:v>FREIGEGEBEN</x:v>
      </x:c>
      <x:c r="AH1203" s="36" t="str">
        <x:v>GPT-5.6 Sol · Buchprüfung Offenbarung · L1912/OTB</x:v>
      </x:c>
      <x:c r="AI1203" s="36" t="str">
        <x:v>FREIGEGEBEN</x:v>
      </x:c>
      <x:c r="AJ1203" s="36" t="str">
        <x:v>Offenbarung 3: neue textnahe PHILADELPHIA-Frage ohne unnötige Endzeit-Systemfestlegung freigegeben.</x:v>
      </x:c>
      <x:c r="AK1203" s="36" t="str">
        <x:v>FaithPath repo develop/v4 · data/bibles/l1912/REV.json · data/bibles/otb/REV.json</x:v>
      </x:c>
      <x:c r="AL1203" t="str">
        <x:v>JA</x:v>
      </x:c>
    </x:row>
    <x:row r="1204">
      <x:c r="A1204" t="str">
        <x:v>FP-1463</x:v>
      </x:c>
      <x:c r="B1204" t="str">
        <x:v>REV</x:v>
      </x:c>
      <x:c r="C1204" t="str">
        <x:v>Offenbarung</x:v>
      </x:c>
      <x:c r="D1204" t="n">
        <x:v>3</x:v>
      </x:c>
      <x:c r="E1204" t="n">
        <x:v>3</x:v>
      </x:c>
      <x:c r="F1204" t="str">
        <x:v>REV-003</x:v>
      </x:c>
      <x:c r="G1204" t="n">
        <x:v>241</x:v>
      </x:c>
      <x:c r="H1204" t="str">
        <x:v>CQ-A27</x:v>
      </x:c>
      <x:c r="I1204" s="36" t="str">
        <x:v>Bestandsfrage: exakter Wortlaut in diesem Arbeitsschritt nicht rekonstruiert.</x:v>
      </x:c>
      <x:c r="J1204" s="36"/>
      <x:c r="K1204" s="36"/>
      <x:c r="L1204" s="36" t="str">
        <x:v>MASTER_STATUS_VERIFIZIERT</x:v>
      </x:c>
      <x:c r="M1204" s="36" t="str">
        <x:v>ERSETZEN</x:v>
      </x:c>
      <x:c r="N1204" s="36" t="str">
        <x:v>BESTAND_NOCH_NICHT_GEPRÜFT</x:v>
      </x:c>
      <x:c r="O1204" s="36" t="str">
        <x:v>DIDAKTISCHE_NEUFASSUNG</x:v>
      </x:c>
      <x:c r="P1204" s="36" t="str">
        <x:v>FESTHALTEN</x:v>
      </x:c>
      <x:c r="Q1204" s="36" t="str">
        <x:v>Was soll Philadelphia angesichts des baldigen Kommens Christi tun?</x:v>
      </x:c>
      <x:c r="R1204" s="36" t="str">
        <x:v>Festhalten, was sie hat, damit niemand ihre Krone nimmt.</x:v>
      </x:c>
      <x:c r="S1204" s="36" t="str">
        <x:v>Alle bisherigen Überzeugungen aufgeben.</x:v>
      </x:c>
      <x:c r="T1204" s="36" t="str">
        <x:v>Den Zeitpunkt seiner Ankunft berechnen.</x:v>
      </x:c>
      <x:c r="U1204" s="36" t="str">
        <x:v>Sich ausschließlich auf ihre geringe Kraft konzentrieren.</x:v>
      </x:c>
      <x:c r="V1204" s="36" t="n">
        <x:v>0</x:v>
      </x:c>
      <x:c r="W1204" s="36" t="str">
        <x:v>Festhalten, was sie hat, damit niemand ihre Krone nimmt.</x:v>
      </x:c>
      <x:c r="X1204" s="36" t="str">
        <x:v>Offenbarung 3,11–13</x:v>
      </x:c>
      <x:c r="Y1204" s="36" t="str">
        <x:v>Die Zukunftsverheißung führt zu beharrlichem Festhalten und nicht zu Spekulation.</x:v>
      </x:c>
      <x:c r="Z1204" s="36" t="str">
        <x:v>JA</x:v>
      </x:c>
      <x:c r="AA1204" s="36" t="str">
        <x:v>JA</x:v>
      </x:c>
      <x:c r="AB1204" s="36" t="str">
        <x:v>JA</x:v>
      </x:c>
      <x:c r="AC1204" s="36" t="str">
        <x:v>JA</x:v>
      </x:c>
      <x:c r="AD1204" s="36" t="str">
        <x:v>JA</x:v>
      </x:c>
      <x:c r="AE1204" s="36" t="str">
        <x:v>JA</x:v>
      </x:c>
      <x:c r="AF1204" s="36" t="str">
        <x:v>JA</x:v>
      </x:c>
      <x:c r="AG1204" s="36" t="str">
        <x:v>FREIGEGEBEN</x:v>
      </x:c>
      <x:c r="AH1204" s="36" t="str">
        <x:v>GPT-5.6 Sol · Buchprüfung Offenbarung · L1912/OTB</x:v>
      </x:c>
      <x:c r="AI1204" s="36" t="str">
        <x:v>FREIGEGEBEN</x:v>
      </x:c>
      <x:c r="AJ1204" s="36" t="str">
        <x:v>Offenbarung 3: neue textnahe FESTHALTEN-Frage ohne unnötige Endzeit-Systemfestlegung freigegeben.</x:v>
      </x:c>
      <x:c r="AK1204" s="36" t="str">
        <x:v>FaithPath repo develop/v4 · data/bibles/l1912/REV.json · data/bibles/otb/REV.json</x:v>
      </x:c>
      <x:c r="AL1204" t="str">
        <x:v>JA</x:v>
      </x:c>
    </x:row>
    <x:row r="1205">
      <x:c r="A1205" t="str">
        <x:v>FP-1464</x:v>
      </x:c>
      <x:c r="B1205" t="str">
        <x:v>REV</x:v>
      </x:c>
      <x:c r="C1205" t="str">
        <x:v>Offenbarung</x:v>
      </x:c>
      <x:c r="D1205" t="n">
        <x:v>3</x:v>
      </x:c>
      <x:c r="E1205" t="n">
        <x:v>4</x:v>
      </x:c>
      <x:c r="F1205" t="str">
        <x:v>REV-003</x:v>
      </x:c>
      <x:c r="G1205" t="n">
        <x:v>241</x:v>
      </x:c>
      <x:c r="H1205" t="str">
        <x:v>CQ-A27</x:v>
      </x:c>
      <x:c r="I1205" s="36" t="str">
        <x:v>Bestandsfrage: exakter Wortlaut in diesem Arbeitsschritt nicht rekonstruiert.</x:v>
      </x:c>
      <x:c r="J1205" s="36"/>
      <x:c r="K1205" s="36"/>
      <x:c r="L1205" s="36" t="str">
        <x:v>MASTER_STATUS_VERIFIZIERT</x:v>
      </x:c>
      <x:c r="M1205" s="36" t="str">
        <x:v>ERSETZEN</x:v>
      </x:c>
      <x:c r="N1205" s="36" t="str">
        <x:v>BESTAND_NOCH_NICHT_GEPRÜFT</x:v>
      </x:c>
      <x:c r="O1205" s="36" t="str">
        <x:v>DIDAKTISCHE_NEUFASSUNG</x:v>
      </x:c>
      <x:c r="P1205" s="36" t="str">
        <x:v>LAODIZEA</x:v>
      </x:c>
      <x:c r="Q1205" s="36" t="str">
        <x:v>Wie beschreibt Jesus den geistlichen Zustand Laodizeas?</x:v>
      </x:c>
      <x:c r="R1205" s="36" t="str">
        <x:v>Kalt und offen feindlich gegenüber Jesus.</x:v>
      </x:c>
      <x:c r="S1205" s="36" t="str">
        <x:v>Lau und selbstzufrieden, obwohl die Gemeinde ihren eigentlichen Mangel nicht erkennt.</x:v>
      </x:c>
      <x:c r="T1205" s="36" t="str">
        <x:v>Heiß und ohne jeden Korrekturbedarf.</x:v>
      </x:c>
      <x:c r="U1205" s="36" t="str">
        <x:v>Arm an Besitz, aber völlig zufrieden mit Gott.</x:v>
      </x:c>
      <x:c r="V1205" s="36" t="n">
        <x:v>1</x:v>
      </x:c>
      <x:c r="W1205" s="36" t="str">
        <x:v>Lau und selbstzufrieden, obwohl die Gemeinde ihren eigentlichen Mangel nicht erkennt.</x:v>
      </x:c>
      <x:c r="X1205" s="36" t="str">
        <x:v>Offenbarung 3,14–18</x:v>
      </x:c>
      <x:c r="Y1205" s="36" t="str">
        <x:v>Laodizeas Selbstbild 'reich und brauche nichts' wird der göttlichen Diagnose von Armut, Blindheit und Nacktheit gegenübergestellt.</x:v>
      </x:c>
      <x:c r="Z1205" s="36" t="str">
        <x:v>JA</x:v>
      </x:c>
      <x:c r="AA1205" s="36" t="str">
        <x:v>JA</x:v>
      </x:c>
      <x:c r="AB1205" s="36" t="str">
        <x:v>JA</x:v>
      </x:c>
      <x:c r="AC1205" s="36" t="str">
        <x:v>JA</x:v>
      </x:c>
      <x:c r="AD1205" s="36" t="str">
        <x:v>JA</x:v>
      </x:c>
      <x:c r="AE1205" s="36" t="str">
        <x:v>JA</x:v>
      </x:c>
      <x:c r="AF1205" s="36" t="str">
        <x:v>JA</x:v>
      </x:c>
      <x:c r="AG1205" s="36" t="str">
        <x:v>FREIGEGEBEN</x:v>
      </x:c>
      <x:c r="AH1205" s="36" t="str">
        <x:v>GPT-5.6 Sol · Buchprüfung Offenbarung · L1912/OTB</x:v>
      </x:c>
      <x:c r="AI1205" s="36" t="str">
        <x:v>FREIGEGEBEN</x:v>
      </x:c>
      <x:c r="AJ1205" s="36" t="str">
        <x:v>Offenbarung 3: neue textnahe LAODIZEA-Frage ohne unnötige Endzeit-Systemfestlegung freigegeben.</x:v>
      </x:c>
      <x:c r="AK1205" s="36" t="str">
        <x:v>FaithPath repo develop/v4 · data/bibles/l1912/REV.json · data/bibles/otb/REV.json</x:v>
      </x:c>
      <x:c r="AL1205" t="str">
        <x:v>JA</x:v>
      </x:c>
    </x:row>
    <x:row r="1206">
      <x:c r="A1206" t="str">
        <x:v>FP-1465</x:v>
      </x:c>
      <x:c r="B1206" t="str">
        <x:v>REV</x:v>
      </x:c>
      <x:c r="C1206" t="str">
        <x:v>Offenbarung</x:v>
      </x:c>
      <x:c r="D1206" t="n">
        <x:v>3</x:v>
      </x:c>
      <x:c r="E1206" t="n">
        <x:v>5</x:v>
      </x:c>
      <x:c r="F1206" t="str">
        <x:v>REV-003</x:v>
      </x:c>
      <x:c r="G1206" t="n">
        <x:v>241</x:v>
      </x:c>
      <x:c r="H1206" t="str">
        <x:v>CQ-A27</x:v>
      </x:c>
      <x:c r="I1206" s="36" t="str">
        <x:v>Bestandsfrage: exakter Wortlaut in diesem Arbeitsschritt nicht rekonstruiert.</x:v>
      </x:c>
      <x:c r="J1206" s="36"/>
      <x:c r="K1206" s="36"/>
      <x:c r="L1206" s="36" t="str">
        <x:v>MASTER_STATUS_VERIFIZIERT</x:v>
      </x:c>
      <x:c r="M1206" s="36" t="str">
        <x:v>ERSETZEN</x:v>
      </x:c>
      <x:c r="N1206" s="36" t="str">
        <x:v>BESTAND_NOCH_NICHT_GEPRÜFT</x:v>
      </x:c>
      <x:c r="O1206" s="36" t="str">
        <x:v>DIDAKTISCHE_NEUFASSUNG</x:v>
      </x:c>
      <x:c r="P1206" s="36" t="str">
        <x:v>EINLADUNG</x:v>
      </x:c>
      <x:c r="Q1206" s="36" t="str">
        <x:v>Welches Bild verwendet Jesus nach seiner Aufforderung zur Umkehr in Laodizea?</x:v>
      </x:c>
      <x:c r="R1206" s="36" t="str">
        <x:v>Er schließt die Tür endgültig ohne Einladung.</x:v>
      </x:c>
      <x:c r="S1206" s="36" t="str">
        <x:v>Er verlässt die Gemeinde ohne weitere Ansprache.</x:v>
      </x:c>
      <x:c r="T1206" s="36" t="str">
        <x:v>Er steht an der Tür und klopft; wer öffnet, mit dem will er Gemeinschaft haben.</x:v>
      </x:c>
      <x:c r="U1206" s="36" t="str">
        <x:v>Er fordert die Gemeinde auf, einen neuen Tempel zu bauen.</x:v>
      </x:c>
      <x:c r="V1206" s="36" t="n">
        <x:v>2</x:v>
      </x:c>
      <x:c r="W1206" s="36" t="str">
        <x:v>Er steht an der Tür und klopft; wer öffnet, mit dem will er Gemeinschaft haben.</x:v>
      </x:c>
      <x:c r="X1206" s="36" t="str">
        <x:v>Offenbarung 3,19–21</x:v>
      </x:c>
      <x:c r="Y1206" s="36" t="str">
        <x:v>Zurechtweisung und Liebe stehen zusammen; das Bild der geöffneten Tür zielt auf erneuerte Gemeinschaft.</x:v>
      </x:c>
      <x:c r="Z1206" s="36" t="str">
        <x:v>JA</x:v>
      </x:c>
      <x:c r="AA1206" s="36" t="str">
        <x:v>JA</x:v>
      </x:c>
      <x:c r="AB1206" s="36" t="str">
        <x:v>JA</x:v>
      </x:c>
      <x:c r="AC1206" s="36" t="str">
        <x:v>JA</x:v>
      </x:c>
      <x:c r="AD1206" s="36" t="str">
        <x:v>JA</x:v>
      </x:c>
      <x:c r="AE1206" s="36" t="str">
        <x:v>JA</x:v>
      </x:c>
      <x:c r="AF1206" s="36" t="str">
        <x:v>JA</x:v>
      </x:c>
      <x:c r="AG1206" s="36" t="str">
        <x:v>FREIGEGEBEN</x:v>
      </x:c>
      <x:c r="AH1206" s="36" t="str">
        <x:v>GPT-5.6 Sol · Buchprüfung Offenbarung · L1912/OTB</x:v>
      </x:c>
      <x:c r="AI1206" s="36" t="str">
        <x:v>FREIGEGEBEN</x:v>
      </x:c>
      <x:c r="AJ1206" s="36" t="str">
        <x:v>Offenbarung 3: neue textnahe EINLADUNG-Frage ohne unnötige Endzeit-Systemfestlegung freigegeben.</x:v>
      </x:c>
      <x:c r="AK1206" s="36" t="str">
        <x:v>FaithPath repo develop/v4 · data/bibles/l1912/REV.json · data/bibles/otb/REV.json</x:v>
      </x:c>
      <x:c r="AL1206" t="str">
        <x:v>JA</x:v>
      </x:c>
    </x:row>
    <x:row r="1207">
      <x:c r="A1207" t="str">
        <x:v>FP-1466</x:v>
      </x:c>
      <x:c r="B1207" t="str">
        <x:v>REV</x:v>
      </x:c>
      <x:c r="C1207" t="str">
        <x:v>Offenbarung</x:v>
      </x:c>
      <x:c r="D1207" t="n">
        <x:v>4</x:v>
      </x:c>
      <x:c r="E1207" t="n">
        <x:v>1</x:v>
      </x:c>
      <x:c r="F1207" t="str">
        <x:v>REV-004</x:v>
      </x:c>
      <x:c r="G1207" t="n">
        <x:v>242</x:v>
      </x:c>
      <x:c r="H1207" t="str">
        <x:v>CQ-A27</x:v>
      </x:c>
      <x:c r="I1207" s="36" t="str">
        <x:v>Bestandsfrage: exakter Wortlaut in diesem Arbeitsschritt nicht rekonstruiert.</x:v>
      </x:c>
      <x:c r="J1207" s="36"/>
      <x:c r="K1207" s="36"/>
      <x:c r="L1207" s="36" t="str">
        <x:v>MASTER_STATUS_VERIFIZIERT</x:v>
      </x:c>
      <x:c r="M1207" s="36" t="str">
        <x:v>ERSETZEN</x:v>
      </x:c>
      <x:c r="N1207" s="36" t="str">
        <x:v>BESTAND_NOCH_NICHT_GEPRÜFT</x:v>
      </x:c>
      <x:c r="O1207" s="36" t="str">
        <x:v>DIDAKTISCHE_NEUFASSUNG</x:v>
      </x:c>
      <x:c r="P1207" s="36" t="str">
        <x:v>THRON</x:v>
      </x:c>
      <x:c r="Q1207" s="36" t="str">
        <x:v>Was steht im Mittelpunkt von Johannes' Vision in Offenbarung 4?</x:v>
      </x:c>
      <x:c r="R1207" s="36" t="str">
        <x:v>Ein irdischer Tempel ohne Thron.</x:v>
      </x:c>
      <x:c r="S1207" s="36" t="str">
        <x:v>Ein Schlachtfeld vor Jerusalem.</x:v>
      </x:c>
      <x:c r="T1207" s="36" t="str">
        <x:v>Eine leere Stadt aus Gold.</x:v>
      </x:c>
      <x:c r="U1207" s="36" t="str">
        <x:v>Ein Thron im Himmel mit einem, der darauf sitzt.</x:v>
      </x:c>
      <x:c r="V1207" s="36" t="n">
        <x:v>3</x:v>
      </x:c>
      <x:c r="W1207" s="36" t="str">
        <x:v>Ein Thron im Himmel mit einem, der darauf sitzt.</x:v>
      </x:c>
      <x:c r="X1207" s="36" t="str">
        <x:v>Offenbarung 4,1–3</x:v>
      </x:c>
      <x:c r="Y1207" s="36" t="str">
        <x:v>Die gesamte Szene ist um Gottes Thron geordnet und bildet den Ausgangspunkt für die folgenden Visionen.</x:v>
      </x:c>
      <x:c r="Z1207" s="36" t="str">
        <x:v>JA</x:v>
      </x:c>
      <x:c r="AA1207" s="36" t="str">
        <x:v>JA</x:v>
      </x:c>
      <x:c r="AB1207" s="36" t="str">
        <x:v>JA</x:v>
      </x:c>
      <x:c r="AC1207" s="36" t="str">
        <x:v>JA</x:v>
      </x:c>
      <x:c r="AD1207" s="36" t="str">
        <x:v>JA</x:v>
      </x:c>
      <x:c r="AE1207" s="36" t="str">
        <x:v>JA</x:v>
      </x:c>
      <x:c r="AF1207" s="36" t="str">
        <x:v>JA</x:v>
      </x:c>
      <x:c r="AG1207" s="36" t="str">
        <x:v>FREIGEGEBEN</x:v>
      </x:c>
      <x:c r="AH1207" s="36" t="str">
        <x:v>GPT-5.6 Sol · Buchprüfung Offenbarung · L1912/OTB</x:v>
      </x:c>
      <x:c r="AI1207" s="36" t="str">
        <x:v>FREIGEGEBEN</x:v>
      </x:c>
      <x:c r="AJ1207" s="36" t="str">
        <x:v>Offenbarung 4: neue textnahe THRON-Frage ohne unnötige Endzeit-Systemfestlegung freigegeben.</x:v>
      </x:c>
      <x:c r="AK1207" s="36" t="str">
        <x:v>FaithPath repo develop/v4 · data/bibles/l1912/REV.json · data/bibles/otb/REV.json</x:v>
      </x:c>
      <x:c r="AL1207" t="str">
        <x:v>JA</x:v>
      </x:c>
    </x:row>
    <x:row r="1208">
      <x:c r="A1208" t="str">
        <x:v>FP-1467</x:v>
      </x:c>
      <x:c r="B1208" t="str">
        <x:v>REV</x:v>
      </x:c>
      <x:c r="C1208" t="str">
        <x:v>Offenbarung</x:v>
      </x:c>
      <x:c r="D1208" t="n">
        <x:v>4</x:v>
      </x:c>
      <x:c r="E1208" t="n">
        <x:v>2</x:v>
      </x:c>
      <x:c r="F1208" t="str">
        <x:v>REV-004</x:v>
      </x:c>
      <x:c r="G1208" t="n">
        <x:v>242</x:v>
      </x:c>
      <x:c r="H1208" t="str">
        <x:v>CQ-A27</x:v>
      </x:c>
      <x:c r="I1208" s="36" t="str">
        <x:v>Bestandsfrage: exakter Wortlaut in diesem Arbeitsschritt nicht rekonstruiert.</x:v>
      </x:c>
      <x:c r="J1208" s="36"/>
      <x:c r="K1208" s="36"/>
      <x:c r="L1208" s="36" t="str">
        <x:v>MASTER_STATUS_VERIFIZIERT</x:v>
      </x:c>
      <x:c r="M1208" s="36" t="str">
        <x:v>ERSETZEN</x:v>
      </x:c>
      <x:c r="N1208" s="36" t="str">
        <x:v>BESTAND_NOCH_NICHT_GEPRÜFT</x:v>
      </x:c>
      <x:c r="O1208" s="36" t="str">
        <x:v>DIDAKTISCHE_NEUFASSUNG</x:v>
      </x:c>
      <x:c r="P1208" s="36" t="str">
        <x:v>ÄLTESTE</x:v>
      </x:c>
      <x:c r="Q1208" s="36" t="str">
        <x:v>Wer sitzt auf den vierundzwanzig Thronen um Gottes Thron?</x:v>
      </x:c>
      <x:c r="R1208" s="36" t="str">
        <x:v>Vierundzwanzig Älteste in weißen Gewändern mit goldenen Kronen.</x:v>
      </x:c>
      <x:c r="S1208" s="36" t="str">
        <x:v>Sieben Engel mit Posaunen.</x:v>
      </x:c>
      <x:c r="T1208" s="36" t="str">
        <x:v>Zwölf Apostel und zwölf Propheten, die der Text hier ausdrücklich so nennt.</x:v>
      </x:c>
      <x:c r="U1208" s="36" t="str">
        <x:v>Vier Könige der Erde.</x:v>
      </x:c>
      <x:c r="V1208" s="36" t="n">
        <x:v>0</x:v>
      </x:c>
      <x:c r="W1208" s="36" t="str">
        <x:v>Vierundzwanzig Älteste in weißen Gewändern mit goldenen Kronen.</x:v>
      </x:c>
      <x:c r="X1208" s="36" t="str">
        <x:v>Offenbarung 4,4</x:v>
      </x:c>
      <x:c r="Y1208" s="36" t="str">
        <x:v>Der Text nennt die vierundzwanzig Gestalten 'Älteste', ohne ihre Identität an dieser Stelle weiter festzulegen.</x:v>
      </x:c>
      <x:c r="Z1208" s="36" t="str">
        <x:v>JA</x:v>
      </x:c>
      <x:c r="AA1208" s="36" t="str">
        <x:v>JA</x:v>
      </x:c>
      <x:c r="AB1208" s="36" t="str">
        <x:v>JA</x:v>
      </x:c>
      <x:c r="AC1208" s="36" t="str">
        <x:v>JA</x:v>
      </x:c>
      <x:c r="AD1208" s="36" t="str">
        <x:v>JA</x:v>
      </x:c>
      <x:c r="AE1208" s="36" t="str">
        <x:v>JA</x:v>
      </x:c>
      <x:c r="AF1208" s="36" t="str">
        <x:v>JA</x:v>
      </x:c>
      <x:c r="AG1208" s="36" t="str">
        <x:v>FREIGEGEBEN</x:v>
      </x:c>
      <x:c r="AH1208" s="36" t="str">
        <x:v>GPT-5.6 Sol · Buchprüfung Offenbarung · L1912/OTB</x:v>
      </x:c>
      <x:c r="AI1208" s="36" t="str">
        <x:v>FREIGEGEBEN</x:v>
      </x:c>
      <x:c r="AJ1208" s="36" t="str">
        <x:v>Offenbarung 4: neue textnahe ÄLTESTE-Frage ohne unnötige Endzeit-Systemfestlegung freigegeben.</x:v>
      </x:c>
      <x:c r="AK1208" s="36" t="str">
        <x:v>FaithPath repo develop/v4 · data/bibles/l1912/REV.json · data/bibles/otb/REV.json</x:v>
      </x:c>
      <x:c r="AL1208" t="str">
        <x:v>JA</x:v>
      </x:c>
    </x:row>
    <x:row r="1209">
      <x:c r="A1209" t="str">
        <x:v>FP-1468</x:v>
      </x:c>
      <x:c r="B1209" t="str">
        <x:v>REV</x:v>
      </x:c>
      <x:c r="C1209" t="str">
        <x:v>Offenbarung</x:v>
      </x:c>
      <x:c r="D1209" t="n">
        <x:v>4</x:v>
      </x:c>
      <x:c r="E1209" t="n">
        <x:v>3</x:v>
      </x:c>
      <x:c r="F1209" t="str">
        <x:v>REV-004</x:v>
      </x:c>
      <x:c r="G1209" t="n">
        <x:v>242</x:v>
      </x:c>
      <x:c r="H1209" t="str">
        <x:v>CQ-A27</x:v>
      </x:c>
      <x:c r="I1209" s="36" t="str">
        <x:v>Bestandsfrage: exakter Wortlaut in diesem Arbeitsschritt nicht rekonstruiert.</x:v>
      </x:c>
      <x:c r="J1209" s="36"/>
      <x:c r="K1209" s="36"/>
      <x:c r="L1209" s="36" t="str">
        <x:v>MASTER_STATUS_VERIFIZIERT</x:v>
      </x:c>
      <x:c r="M1209" s="36" t="str">
        <x:v>ERSETZEN</x:v>
      </x:c>
      <x:c r="N1209" s="36" t="str">
        <x:v>BESTAND_NOCH_NICHT_GEPRÜFT</x:v>
      </x:c>
      <x:c r="O1209" s="36" t="str">
        <x:v>DIDAKTISCHE_NEUFASSUNG</x:v>
      </x:c>
      <x:c r="P1209" s="36" t="str">
        <x:v>LEBENDE_WESEN</x:v>
      </x:c>
      <x:c r="Q1209" s="36" t="str">
        <x:v>Was rufen die vier lebendigen Wesen Tag und Nacht?</x:v>
      </x:c>
      <x:c r="R1209" s="36" t="str">
        <x:v>Gefallen ist Babylon.</x:v>
      </x:c>
      <x:c r="S1209" s="36" t="str">
        <x:v>Heilig, heilig, heilig ist der Herr, Gott, der Allmächtige.</x:v>
      </x:c>
      <x:c r="T1209" s="36" t="str">
        <x:v>Wer ist würdig, die Schriftrolle zu öffnen?</x:v>
      </x:c>
      <x:c r="U1209" s="36" t="str">
        <x:v>Komm, Herr Jesus.</x:v>
      </x:c>
      <x:c r="V1209" s="36" t="n">
        <x:v>1</x:v>
      </x:c>
      <x:c r="W1209" s="36" t="str">
        <x:v>Heilig, heilig, heilig ist der Herr, Gott, der Allmächtige.</x:v>
      </x:c>
      <x:c r="X1209" s="36" t="str">
        <x:v>Offenbarung 4,6–8</x:v>
      </x:c>
      <x:c r="Y1209" s="36" t="str">
        <x:v>Ihr unaufhörlicher Lobpreis richtet sich auf Gottes Heiligkeit, Allmacht und ewige Gegenwart.</x:v>
      </x:c>
      <x:c r="Z1209" s="36" t="str">
        <x:v>JA</x:v>
      </x:c>
      <x:c r="AA1209" s="36" t="str">
        <x:v>JA</x:v>
      </x:c>
      <x:c r="AB1209" s="36" t="str">
        <x:v>JA</x:v>
      </x:c>
      <x:c r="AC1209" s="36" t="str">
        <x:v>JA</x:v>
      </x:c>
      <x:c r="AD1209" s="36" t="str">
        <x:v>JA</x:v>
      </x:c>
      <x:c r="AE1209" s="36" t="str">
        <x:v>JA</x:v>
      </x:c>
      <x:c r="AF1209" s="36" t="str">
        <x:v>JA</x:v>
      </x:c>
      <x:c r="AG1209" s="36" t="str">
        <x:v>FREIGEGEBEN</x:v>
      </x:c>
      <x:c r="AH1209" s="36" t="str">
        <x:v>GPT-5.6 Sol · Buchprüfung Offenbarung · L1912/OTB</x:v>
      </x:c>
      <x:c r="AI1209" s="36" t="str">
        <x:v>FREIGEGEBEN</x:v>
      </x:c>
      <x:c r="AJ1209" s="36" t="str">
        <x:v>Offenbarung 4: neue textnahe LEBENDE_WESEN-Frage ohne unnötige Endzeit-Systemfestlegung freigegeben.</x:v>
      </x:c>
      <x:c r="AK1209" s="36" t="str">
        <x:v>FaithPath repo develop/v4 · data/bibles/l1912/REV.json · data/bibles/otb/REV.json</x:v>
      </x:c>
      <x:c r="AL1209" t="str">
        <x:v>JA</x:v>
      </x:c>
    </x:row>
    <x:row r="1210">
      <x:c r="A1210" t="str">
        <x:v>FP-1469</x:v>
      </x:c>
      <x:c r="B1210" t="str">
        <x:v>REV</x:v>
      </x:c>
      <x:c r="C1210" t="str">
        <x:v>Offenbarung</x:v>
      </x:c>
      <x:c r="D1210" t="n">
        <x:v>4</x:v>
      </x:c>
      <x:c r="E1210" t="n">
        <x:v>4</x:v>
      </x:c>
      <x:c r="F1210" t="str">
        <x:v>REV-004</x:v>
      </x:c>
      <x:c r="G1210" t="n">
        <x:v>242</x:v>
      </x:c>
      <x:c r="H1210" t="str">
        <x:v>CQ-A27</x:v>
      </x:c>
      <x:c r="I1210" s="36" t="str">
        <x:v>Bestandsfrage: exakter Wortlaut in diesem Arbeitsschritt nicht rekonstruiert.</x:v>
      </x:c>
      <x:c r="J1210" s="36"/>
      <x:c r="K1210" s="36"/>
      <x:c r="L1210" s="36" t="str">
        <x:v>MASTER_STATUS_VERIFIZIERT</x:v>
      </x:c>
      <x:c r="M1210" s="36" t="str">
        <x:v>ERSETZEN</x:v>
      </x:c>
      <x:c r="N1210" s="36" t="str">
        <x:v>BESTAND_NOCH_NICHT_GEPRÜFT</x:v>
      </x:c>
      <x:c r="O1210" s="36" t="str">
        <x:v>DIDAKTISCHE_NEUFASSUNG</x:v>
      </x:c>
      <x:c r="P1210" s="36" t="str">
        <x:v>ANBETUNG</x:v>
      </x:c>
      <x:c r="Q1210" s="36" t="str">
        <x:v>Was tun die vierundzwanzig Ältesten, wenn Gott Herrlichkeit, Ehre und Dank gegeben wird?</x:v>
      </x:c>
      <x:c r="R1210" s="36" t="str">
        <x:v>Sie verlassen den Thronsaal.</x:v>
      </x:c>
      <x:c r="S1210" s="36" t="str">
        <x:v>Sie setzen ihre Kronen auf die lebendigen Wesen.</x:v>
      </x:c>
      <x:c r="T1210" s="36" t="str">
        <x:v>Sie fallen nieder und legen ihre Kronen vor dem Thron ab.</x:v>
      </x:c>
      <x:c r="U1210" s="36" t="str">
        <x:v>Sie öffnen die sieben Siegel.</x:v>
      </x:c>
      <x:c r="V1210" s="36" t="n">
        <x:v>2</x:v>
      </x:c>
      <x:c r="W1210" s="36" t="str">
        <x:v>Sie fallen nieder und legen ihre Kronen vor dem Thron ab.</x:v>
      </x:c>
      <x:c r="X1210" s="36" t="str">
        <x:v>Offenbarung 4,9–10</x:v>
      </x:c>
      <x:c r="Y1210" s="36" t="str">
        <x:v>Die Ältesten antworten mit Anbetung und der symbolischen Niederlegung ihrer Kronen.</x:v>
      </x:c>
      <x:c r="Z1210" s="36" t="str">
        <x:v>JA</x:v>
      </x:c>
      <x:c r="AA1210" s="36" t="str">
        <x:v>JA</x:v>
      </x:c>
      <x:c r="AB1210" s="36" t="str">
        <x:v>JA</x:v>
      </x:c>
      <x:c r="AC1210" s="36" t="str">
        <x:v>JA</x:v>
      </x:c>
      <x:c r="AD1210" s="36" t="str">
        <x:v>JA</x:v>
      </x:c>
      <x:c r="AE1210" s="36" t="str">
        <x:v>JA</x:v>
      </x:c>
      <x:c r="AF1210" s="36" t="str">
        <x:v>JA</x:v>
      </x:c>
      <x:c r="AG1210" s="36" t="str">
        <x:v>FREIGEGEBEN</x:v>
      </x:c>
      <x:c r="AH1210" s="36" t="str">
        <x:v>GPT-5.6 Sol · Buchprüfung Offenbarung · L1912/OTB</x:v>
      </x:c>
      <x:c r="AI1210" s="36" t="str">
        <x:v>FREIGEGEBEN</x:v>
      </x:c>
      <x:c r="AJ1210" s="36" t="str">
        <x:v>Offenbarung 4: neue textnahe ANBETUNG-Frage ohne unnötige Endzeit-Systemfestlegung freigegeben.</x:v>
      </x:c>
      <x:c r="AK1210" s="36" t="str">
        <x:v>FaithPath repo develop/v4 · data/bibles/l1912/REV.json · data/bibles/otb/REV.json</x:v>
      </x:c>
      <x:c r="AL1210" t="str">
        <x:v>JA</x:v>
      </x:c>
    </x:row>
    <x:row r="1211">
      <x:c r="A1211" t="str">
        <x:v>FP-1470</x:v>
      </x:c>
      <x:c r="B1211" t="str">
        <x:v>REV</x:v>
      </x:c>
      <x:c r="C1211" t="str">
        <x:v>Offenbarung</x:v>
      </x:c>
      <x:c r="D1211" t="n">
        <x:v>4</x:v>
      </x:c>
      <x:c r="E1211" t="n">
        <x:v>5</x:v>
      </x:c>
      <x:c r="F1211" t="str">
        <x:v>REV-004</x:v>
      </x:c>
      <x:c r="G1211" t="n">
        <x:v>242</x:v>
      </x:c>
      <x:c r="H1211" t="str">
        <x:v>CQ-A27</x:v>
      </x:c>
      <x:c r="I1211" s="36" t="str">
        <x:v>Bestandsfrage: exakter Wortlaut in diesem Arbeitsschritt nicht rekonstruiert.</x:v>
      </x:c>
      <x:c r="J1211" s="36"/>
      <x:c r="K1211" s="36"/>
      <x:c r="L1211" s="36" t="str">
        <x:v>MASTER_STATUS_VERIFIZIERT</x:v>
      </x:c>
      <x:c r="M1211" s="36" t="str">
        <x:v>ERSETZEN</x:v>
      </x:c>
      <x:c r="N1211" s="36" t="str">
        <x:v>BESTAND_NOCH_NICHT_GEPRÜFT</x:v>
      </x:c>
      <x:c r="O1211" s="36" t="str">
        <x:v>DIDAKTISCHE_NEUFASSUNG</x:v>
      </x:c>
      <x:c r="P1211" s="36" t="str">
        <x:v>SCHÖPFUNG</x:v>
      </x:c>
      <x:c r="Q1211" s="36" t="str">
        <x:v>Warum wird Gott in Offenbarung 4 als würdig von Herrlichkeit, Ehre und Macht gepriesen?</x:v>
      </x:c>
      <x:c r="R1211" s="36" t="str">
        <x:v>Weil er nur Israel geschaffen hat.</x:v>
      </x:c>
      <x:c r="S1211" s="36" t="str">
        <x:v>Weil die Ältesten ihm ihre Macht verliehen haben.</x:v>
      </x:c>
      <x:c r="T1211" s="36" t="str">
        <x:v>Weil Engel die Welt für ihn geschaffen haben.</x:v>
      </x:c>
      <x:c r="U1211" s="36" t="str">
        <x:v>Weil er alle Dinge geschaffen hat und sie durch seinen Willen bestehen.</x:v>
      </x:c>
      <x:c r="V1211" s="36" t="n">
        <x:v>3</x:v>
      </x:c>
      <x:c r="W1211" s="36" t="str">
        <x:v>Weil er alle Dinge geschaffen hat und sie durch seinen Willen bestehen.</x:v>
      </x:c>
      <x:c r="X1211" s="36" t="str">
        <x:v>Offenbarung 4,11</x:v>
      </x:c>
      <x:c r="Y1211" s="36" t="str">
        <x:v>Die Anbetung wird ausdrücklich mit Gottes Schöpfersein begründet.</x:v>
      </x:c>
      <x:c r="Z1211" s="36" t="str">
        <x:v>JA</x:v>
      </x:c>
      <x:c r="AA1211" s="36" t="str">
        <x:v>JA</x:v>
      </x:c>
      <x:c r="AB1211" s="36" t="str">
        <x:v>JA</x:v>
      </x:c>
      <x:c r="AC1211" s="36" t="str">
        <x:v>JA</x:v>
      </x:c>
      <x:c r="AD1211" s="36" t="str">
        <x:v>JA</x:v>
      </x:c>
      <x:c r="AE1211" s="36" t="str">
        <x:v>JA</x:v>
      </x:c>
      <x:c r="AF1211" s="36" t="str">
        <x:v>JA</x:v>
      </x:c>
      <x:c r="AG1211" s="36" t="str">
        <x:v>FREIGEGEBEN</x:v>
      </x:c>
      <x:c r="AH1211" s="36" t="str">
        <x:v>GPT-5.6 Sol · Buchprüfung Offenbarung · L1912/OTB</x:v>
      </x:c>
      <x:c r="AI1211" s="36" t="str">
        <x:v>FREIGEGEBEN</x:v>
      </x:c>
      <x:c r="AJ1211" s="36" t="str">
        <x:v>Offenbarung 4: neue textnahe SCHÖPFUNG-Frage ohne unnötige Endzeit-Systemfestlegung freigegeben.</x:v>
      </x:c>
      <x:c r="AK1211" s="36" t="str">
        <x:v>FaithPath repo develop/v4 · data/bibles/l1912/REV.json · data/bibles/otb/REV.json</x:v>
      </x:c>
      <x:c r="AL1211" t="str">
        <x:v>JA</x:v>
      </x:c>
    </x:row>
    <x:row r="1212">
      <x:c r="A1212" t="str">
        <x:v>FP-1471</x:v>
      </x:c>
      <x:c r="B1212" t="str">
        <x:v>REV</x:v>
      </x:c>
      <x:c r="C1212" t="str">
        <x:v>Offenbarung</x:v>
      </x:c>
      <x:c r="D1212" t="n">
        <x:v>5</x:v>
      </x:c>
      <x:c r="E1212" t="n">
        <x:v>1</x:v>
      </x:c>
      <x:c r="F1212" t="str">
        <x:v>REV-005</x:v>
      </x:c>
      <x:c r="G1212" t="n">
        <x:v>243</x:v>
      </x:c>
      <x:c r="H1212" t="str">
        <x:v>CQ-A27</x:v>
      </x:c>
      <x:c r="I1212" s="36" t="str">
        <x:v>Bestandsfrage: exakter Wortlaut in diesem Arbeitsschritt nicht rekonstruiert.</x:v>
      </x:c>
      <x:c r="J1212" s="36"/>
      <x:c r="K1212" s="36"/>
      <x:c r="L1212" s="36" t="str">
        <x:v>MASTER_STATUS_VERIFIZIERT</x:v>
      </x:c>
      <x:c r="M1212" s="36" t="str">
        <x:v>ERSETZEN</x:v>
      </x:c>
      <x:c r="N1212" s="36" t="str">
        <x:v>BESTAND_NOCH_NICHT_GEPRÜFT</x:v>
      </x:c>
      <x:c r="O1212" s="36" t="str">
        <x:v>DIDAKTISCHE_NEUFASSUNG</x:v>
      </x:c>
      <x:c r="P1212" s="36" t="str">
        <x:v>SCHRIFTROLLE</x:v>
      </x:c>
      <x:c r="Q1212" s="36" t="str">
        <x:v>Wie ist die Schriftrolle in der Hand dessen auf dem Thron beschrieben?</x:v>
      </x:c>
      <x:c r="R1212" s="36" t="str">
        <x:v>Auf beiden Seiten beschrieben und mit sieben Siegeln versiegelt.</x:v>
      </x:c>
      <x:c r="S1212" s="36" t="str">
        <x:v>Leer und unversiegelt.</x:v>
      </x:c>
      <x:c r="T1212" s="36" t="str">
        <x:v>Mit zwölf Siegeln verschlossen.</x:v>
      </x:c>
      <x:c r="U1212" s="36" t="str">
        <x:v>Nur mit den Namen der sieben Gemeinden beschrieben.</x:v>
      </x:c>
      <x:c r="V1212" s="36" t="n">
        <x:v>0</x:v>
      </x:c>
      <x:c r="W1212" s="36" t="str">
        <x:v>Auf beiden Seiten beschrieben und mit sieben Siegeln versiegelt.</x:v>
      </x:c>
      <x:c r="X1212" s="36" t="str">
        <x:v>Offenbarung 5,1–4</x:v>
      </x:c>
      <x:c r="Y1212" s="36" t="str">
        <x:v>Die versiegelte Schriftrolle löst die Frage aus, wer würdig ist, sie zu öffnen.</x:v>
      </x:c>
      <x:c r="Z1212" s="36" t="str">
        <x:v>JA</x:v>
      </x:c>
      <x:c r="AA1212" s="36" t="str">
        <x:v>JA</x:v>
      </x:c>
      <x:c r="AB1212" s="36" t="str">
        <x:v>JA</x:v>
      </x:c>
      <x:c r="AC1212" s="36" t="str">
        <x:v>JA</x:v>
      </x:c>
      <x:c r="AD1212" s="36" t="str">
        <x:v>JA</x:v>
      </x:c>
      <x:c r="AE1212" s="36" t="str">
        <x:v>JA</x:v>
      </x:c>
      <x:c r="AF1212" s="36" t="str">
        <x:v>JA</x:v>
      </x:c>
      <x:c r="AG1212" s="36" t="str">
        <x:v>FREIGEGEBEN</x:v>
      </x:c>
      <x:c r="AH1212" s="36" t="str">
        <x:v>GPT-5.6 Sol · Buchprüfung Offenbarung · L1912/OTB</x:v>
      </x:c>
      <x:c r="AI1212" s="36" t="str">
        <x:v>FREIGEGEBEN</x:v>
      </x:c>
      <x:c r="AJ1212" s="36" t="str">
        <x:v>Offenbarung 5: neue textnahe SCHRIFTROLLE-Frage ohne unnötige Endzeit-Systemfestlegung freigegeben.</x:v>
      </x:c>
      <x:c r="AK1212" s="36" t="str">
        <x:v>FaithPath repo develop/v4 · data/bibles/l1912/REV.json · data/bibles/otb/REV.json</x:v>
      </x:c>
      <x:c r="AL1212" t="str">
        <x:v>JA</x:v>
      </x:c>
    </x:row>
    <x:row r="1213">
      <x:c r="A1213" t="str">
        <x:v>FP-1472</x:v>
      </x:c>
      <x:c r="B1213" t="str">
        <x:v>REV</x:v>
      </x:c>
      <x:c r="C1213" t="str">
        <x:v>Offenbarung</x:v>
      </x:c>
      <x:c r="D1213" t="n">
        <x:v>5</x:v>
      </x:c>
      <x:c r="E1213" t="n">
        <x:v>2</x:v>
      </x:c>
      <x:c r="F1213" t="str">
        <x:v>REV-005</x:v>
      </x:c>
      <x:c r="G1213" t="n">
        <x:v>243</x:v>
      </x:c>
      <x:c r="H1213" t="str">
        <x:v>CQ-A27</x:v>
      </x:c>
      <x:c r="I1213" s="36" t="str">
        <x:v>Bestandsfrage: exakter Wortlaut in diesem Arbeitsschritt nicht rekonstruiert.</x:v>
      </x:c>
      <x:c r="J1213" s="36"/>
      <x:c r="K1213" s="36"/>
      <x:c r="L1213" s="36" t="str">
        <x:v>MASTER_STATUS_VERIFIZIERT</x:v>
      </x:c>
      <x:c r="M1213" s="36" t="str">
        <x:v>ERSETZEN</x:v>
      </x:c>
      <x:c r="N1213" s="36" t="str">
        <x:v>BESTAND_NOCH_NICHT_GEPRÜFT</x:v>
      </x:c>
      <x:c r="O1213" s="36" t="str">
        <x:v>DIDAKTISCHE_NEUFASSUNG</x:v>
      </x:c>
      <x:c r="P1213" s="36" t="str">
        <x:v>LÖWE_UND_LAMM</x:v>
      </x:c>
      <x:c r="Q1213" s="36" t="str">
        <x:v>Wen erwartet Johannes nach der Ankündigung des 'Löwen aus Juda' zu sehen, und was sieht er tatsächlich?</x:v>
      </x:c>
      <x:c r="R1213" s="36" t="str">
        <x:v>Er hört vom Lamm und sieht einen Drachen.</x:v>
      </x:c>
      <x:c r="S1213" s="36" t="str">
        <x:v>Er hört vom siegreichen Löwen und sieht ein Lamm, das wie geschlachtet dasteht.</x:v>
      </x:c>
      <x:c r="T1213" s="36" t="str">
        <x:v>Er hört von einem Engel und sieht einen König.</x:v>
      </x:c>
      <x:c r="U1213" s="36" t="str">
        <x:v>Er sieht ausschließlich einen Löwen ohne weiteres Bild.</x:v>
      </x:c>
      <x:c r="V1213" s="36" t="n">
        <x:v>1</x:v>
      </x:c>
      <x:c r="W1213" s="36" t="str">
        <x:v>Er hört vom siegreichen Löwen und sieht ein Lamm, das wie geschlachtet dasteht.</x:v>
      </x:c>
      <x:c r="X1213" s="36" t="str">
        <x:v>Offenbarung 5,5–6</x:v>
      </x:c>
      <x:c r="Y1213" s="36" t="str">
        <x:v>Die Bildfolge verbindet Sieg mit dem geschlachteten Lamm und prägt die Christologie der Offenbarung.</x:v>
      </x:c>
      <x:c r="Z1213" s="36" t="str">
        <x:v>JA</x:v>
      </x:c>
      <x:c r="AA1213" s="36" t="str">
        <x:v>JA</x:v>
      </x:c>
      <x:c r="AB1213" s="36" t="str">
        <x:v>JA</x:v>
      </x:c>
      <x:c r="AC1213" s="36" t="str">
        <x:v>JA</x:v>
      </x:c>
      <x:c r="AD1213" s="36" t="str">
        <x:v>JA</x:v>
      </x:c>
      <x:c r="AE1213" s="36" t="str">
        <x:v>JA</x:v>
      </x:c>
      <x:c r="AF1213" s="36" t="str">
        <x:v>JA</x:v>
      </x:c>
      <x:c r="AG1213" s="36" t="str">
        <x:v>FREIGEGEBEN</x:v>
      </x:c>
      <x:c r="AH1213" s="36" t="str">
        <x:v>GPT-5.6 Sol · Buchprüfung Offenbarung · L1912/OTB</x:v>
      </x:c>
      <x:c r="AI1213" s="36" t="str">
        <x:v>FREIGEGEBEN</x:v>
      </x:c>
      <x:c r="AJ1213" s="36" t="str">
        <x:v>Offenbarung 5: neue textnahe LÖWE_UND_LAMM-Frage ohne unnötige Endzeit-Systemfestlegung freigegeben.</x:v>
      </x:c>
      <x:c r="AK1213" s="36" t="str">
        <x:v>FaithPath repo develop/v4 · data/bibles/l1912/REV.json · data/bibles/otb/REV.json</x:v>
      </x:c>
      <x:c r="AL1213" t="str">
        <x:v>JA</x:v>
      </x:c>
    </x:row>
    <x:row r="1214">
      <x:c r="A1214" t="str">
        <x:v>FP-1473</x:v>
      </x:c>
      <x:c r="B1214" t="str">
        <x:v>REV</x:v>
      </x:c>
      <x:c r="C1214" t="str">
        <x:v>Offenbarung</x:v>
      </x:c>
      <x:c r="D1214" t="n">
        <x:v>5</x:v>
      </x:c>
      <x:c r="E1214" t="n">
        <x:v>3</x:v>
      </x:c>
      <x:c r="F1214" t="str">
        <x:v>REV-005</x:v>
      </x:c>
      <x:c r="G1214" t="n">
        <x:v>243</x:v>
      </x:c>
      <x:c r="H1214" t="str">
        <x:v>CQ-A27</x:v>
      </x:c>
      <x:c r="I1214" s="36" t="str">
        <x:v>Bestandsfrage: exakter Wortlaut in diesem Arbeitsschritt nicht rekonstruiert.</x:v>
      </x:c>
      <x:c r="J1214" s="36"/>
      <x:c r="K1214" s="36"/>
      <x:c r="L1214" s="36" t="str">
        <x:v>MASTER_STATUS_VERIFIZIERT</x:v>
      </x:c>
      <x:c r="M1214" s="36" t="str">
        <x:v>ERSETZEN</x:v>
      </x:c>
      <x:c r="N1214" s="36" t="str">
        <x:v>BESTAND_NOCH_NICHT_GEPRÜFT</x:v>
      </x:c>
      <x:c r="O1214" s="36" t="str">
        <x:v>DIDAKTISCHE_NEUFASSUNG</x:v>
      </x:c>
      <x:c r="P1214" s="36" t="str">
        <x:v>WÜRDIGKEIT</x:v>
      </x:c>
      <x:c r="Q1214" s="36" t="str">
        <x:v>Warum wird das Lamm als würdig besungen, die Schriftrolle zu öffnen?</x:v>
      </x:c>
      <x:c r="R1214" s="36" t="str">
        <x:v>Weil es die stärkste Armee besitzt.</x:v>
      </x:c>
      <x:c r="S1214" s="36" t="str">
        <x:v>Weil es die Schriftrolle selbst geschrieben hat.</x:v>
      </x:c>
      <x:c r="T1214" s="36" t="str">
        <x:v>Weil es geschlachtet wurde und mit seinem Blut Menschen für Gott aus allen Völkern erkauft hat.</x:v>
      </x:c>
      <x:c r="U1214" s="36" t="str">
        <x:v>Weil die Ältesten ihm ihre Würde übertragen haben.</x:v>
      </x:c>
      <x:c r="V1214" s="36" t="n">
        <x:v>2</x:v>
      </x:c>
      <x:c r="W1214" s="36" t="str">
        <x:v>Weil es geschlachtet wurde und mit seinem Blut Menschen für Gott aus allen Völkern erkauft hat.</x:v>
      </x:c>
      <x:c r="X1214" s="36" t="str">
        <x:v>Offenbarung 5,9–10</x:v>
      </x:c>
      <x:c r="Y1214" s="36" t="str">
        <x:v>Die Würde des Lammes wird unmittelbar mit seinem Opfer und der Erlösung von Menschen aus allen Völkern begründet.</x:v>
      </x:c>
      <x:c r="Z1214" s="36" t="str">
        <x:v>JA</x:v>
      </x:c>
      <x:c r="AA1214" s="36" t="str">
        <x:v>JA</x:v>
      </x:c>
      <x:c r="AB1214" s="36" t="str">
        <x:v>JA</x:v>
      </x:c>
      <x:c r="AC1214" s="36" t="str">
        <x:v>JA</x:v>
      </x:c>
      <x:c r="AD1214" s="36" t="str">
        <x:v>JA</x:v>
      </x:c>
      <x:c r="AE1214" s="36" t="str">
        <x:v>JA</x:v>
      </x:c>
      <x:c r="AF1214" s="36" t="str">
        <x:v>JA</x:v>
      </x:c>
      <x:c r="AG1214" s="36" t="str">
        <x:v>FREIGEGEBEN</x:v>
      </x:c>
      <x:c r="AH1214" s="36" t="str">
        <x:v>GPT-5.6 Sol · Buchprüfung Offenbarung · L1912/OTB</x:v>
      </x:c>
      <x:c r="AI1214" s="36" t="str">
        <x:v>FREIGEGEBEN</x:v>
      </x:c>
      <x:c r="AJ1214" s="36" t="str">
        <x:v>Offenbarung 5: neue textnahe WÜRDIGKEIT-Frage ohne unnötige Endzeit-Systemfestlegung freigegeben.</x:v>
      </x:c>
      <x:c r="AK1214" s="36" t="str">
        <x:v>FaithPath repo develop/v4 · data/bibles/l1912/REV.json · data/bibles/otb/REV.json</x:v>
      </x:c>
      <x:c r="AL1214" t="str">
        <x:v>JA</x:v>
      </x:c>
    </x:row>
    <x:row r="1215">
      <x:c r="A1215" t="str">
        <x:v>FP-1474</x:v>
      </x:c>
      <x:c r="B1215" t="str">
        <x:v>REV</x:v>
      </x:c>
      <x:c r="C1215" t="str">
        <x:v>Offenbarung</x:v>
      </x:c>
      <x:c r="D1215" t="n">
        <x:v>5</x:v>
      </x:c>
      <x:c r="E1215" t="n">
        <x:v>4</x:v>
      </x:c>
      <x:c r="F1215" t="str">
        <x:v>REV-005</x:v>
      </x:c>
      <x:c r="G1215" t="n">
        <x:v>243</x:v>
      </x:c>
      <x:c r="H1215" t="str">
        <x:v>CQ-A27</x:v>
      </x:c>
      <x:c r="I1215" s="36" t="str">
        <x:v>Bestandsfrage: exakter Wortlaut in diesem Arbeitsschritt nicht rekonstruiert.</x:v>
      </x:c>
      <x:c r="J1215" s="36"/>
      <x:c r="K1215" s="36"/>
      <x:c r="L1215" s="36" t="str">
        <x:v>MASTER_STATUS_VERIFIZIERT</x:v>
      </x:c>
      <x:c r="M1215" s="36" t="str">
        <x:v>ERSETZEN</x:v>
      </x:c>
      <x:c r="N1215" s="36" t="str">
        <x:v>BESTAND_NOCH_NICHT_GEPRÜFT</x:v>
      </x:c>
      <x:c r="O1215" s="36" t="str">
        <x:v>DIDAKTISCHE_NEUFASSUNG</x:v>
      </x:c>
      <x:c r="P1215" s="36" t="str">
        <x:v>GEBETE</x:v>
      </x:c>
      <x:c r="Q1215" s="36" t="str">
        <x:v>Was stellen die goldenen Schalen voller Räucherwerk dar?</x:v>
      </x:c>
      <x:c r="R1215" s="36" t="str">
        <x:v>Die sieben letzten Plagen.</x:v>
      </x:c>
      <x:c r="S1215" s="36" t="str">
        <x:v>Die Tränen Johannes'.</x:v>
      </x:c>
      <x:c r="T1215" s="36" t="str">
        <x:v>Die Schätze der Könige.</x:v>
      </x:c>
      <x:c r="U1215" s="36" t="str">
        <x:v>Die Gebete der Heiligen.</x:v>
      </x:c>
      <x:c r="V1215" s="36" t="n">
        <x:v>3</x:v>
      </x:c>
      <x:c r="W1215" s="36" t="str">
        <x:v>Die Gebete der Heiligen.</x:v>
      </x:c>
      <x:c r="X1215" s="36" t="str">
        <x:v>Offenbarung 5,8</x:v>
      </x:c>
      <x:c r="Y1215" s="36" t="str">
        <x:v>Der Text erklärt das Symbol selbst und verbindet himmlische Anbetung mit den Gebeten des Volkes Gottes.</x:v>
      </x:c>
      <x:c r="Z1215" s="36" t="str">
        <x:v>JA</x:v>
      </x:c>
      <x:c r="AA1215" s="36" t="str">
        <x:v>JA</x:v>
      </x:c>
      <x:c r="AB1215" s="36" t="str">
        <x:v>JA</x:v>
      </x:c>
      <x:c r="AC1215" s="36" t="str">
        <x:v>JA</x:v>
      </x:c>
      <x:c r="AD1215" s="36" t="str">
        <x:v>JA</x:v>
      </x:c>
      <x:c r="AE1215" s="36" t="str">
        <x:v>JA</x:v>
      </x:c>
      <x:c r="AF1215" s="36" t="str">
        <x:v>JA</x:v>
      </x:c>
      <x:c r="AG1215" s="36" t="str">
        <x:v>FREIGEGEBEN</x:v>
      </x:c>
      <x:c r="AH1215" s="36" t="str">
        <x:v>GPT-5.6 Sol · Buchprüfung Offenbarung · L1912/OTB</x:v>
      </x:c>
      <x:c r="AI1215" s="36" t="str">
        <x:v>FREIGEGEBEN</x:v>
      </x:c>
      <x:c r="AJ1215" s="36" t="str">
        <x:v>Offenbarung 5: neue textnahe GEBETE-Frage ohne unnötige Endzeit-Systemfestlegung freigegeben.</x:v>
      </x:c>
      <x:c r="AK1215" s="36" t="str">
        <x:v>FaithPath repo develop/v4 · data/bibles/l1912/REV.json · data/bibles/otb/REV.json</x:v>
      </x:c>
      <x:c r="AL1215" t="str">
        <x:v>JA</x:v>
      </x:c>
    </x:row>
    <x:row r="1216">
      <x:c r="A1216" t="str">
        <x:v>FP-1475</x:v>
      </x:c>
      <x:c r="B1216" t="str">
        <x:v>REV</x:v>
      </x:c>
      <x:c r="C1216" t="str">
        <x:v>Offenbarung</x:v>
      </x:c>
      <x:c r="D1216" t="n">
        <x:v>5</x:v>
      </x:c>
      <x:c r="E1216" t="n">
        <x:v>5</x:v>
      </x:c>
      <x:c r="F1216" t="str">
        <x:v>REV-005</x:v>
      </x:c>
      <x:c r="G1216" t="n">
        <x:v>243</x:v>
      </x:c>
      <x:c r="H1216" t="str">
        <x:v>CQ-A27</x:v>
      </x:c>
      <x:c r="I1216" s="36" t="str">
        <x:v>Bestandsfrage: exakter Wortlaut in diesem Arbeitsschritt nicht rekonstruiert.</x:v>
      </x:c>
      <x:c r="J1216" s="36"/>
      <x:c r="K1216" s="36"/>
      <x:c r="L1216" s="36" t="str">
        <x:v>MASTER_STATUS_VERIFIZIERT</x:v>
      </x:c>
      <x:c r="M1216" s="36" t="str">
        <x:v>ERSETZEN</x:v>
      </x:c>
      <x:c r="N1216" s="36" t="str">
        <x:v>BESTAND_NOCH_NICHT_GEPRÜFT</x:v>
      </x:c>
      <x:c r="O1216" s="36" t="str">
        <x:v>DIDAKTISCHE_NEUFASSUNG</x:v>
      </x:c>
      <x:c r="P1216" s="36" t="str">
        <x:v>UNIVERSELLES_LOB</x:v>
      </x:c>
      <x:c r="Q1216" s="36" t="str">
        <x:v>Wer stimmt am Ende des Kapitels in den Lobpreis ein?</x:v>
      </x:c>
      <x:c r="R1216" s="36" t="str">
        <x:v>Engel und schließlich jedes Geschöpf im Himmel, auf der Erde, unter der Erde und im Meer.</x:v>
      </x:c>
      <x:c r="S1216" s="36" t="str">
        <x:v>Nur die vierundzwanzig Ältesten.</x:v>
      </x:c>
      <x:c r="T1216" s="36" t="str">
        <x:v>Nur die sieben Gemeinden Kleinasiens.</x:v>
      </x:c>
      <x:c r="U1216" s="36" t="str">
        <x:v>Nur die Menschen aus Israel.</x:v>
      </x:c>
      <x:c r="V1216" s="36" t="n">
        <x:v>0</x:v>
      </x:c>
      <x:c r="W1216" s="36" t="str">
        <x:v>Engel und schließlich jedes Geschöpf im Himmel, auf der Erde, unter der Erde und im Meer.</x:v>
      </x:c>
      <x:c r="X1216" s="36" t="str">
        <x:v>Offenbarung 5,11–14</x:v>
      </x:c>
      <x:c r="Y1216" s="36" t="str">
        <x:v>Der Lobpreis weitet sich konzentrisch aus und richtet sich an den auf dem Thron Sitzenden und an das Lamm.</x:v>
      </x:c>
      <x:c r="Z1216" s="36" t="str">
        <x:v>JA</x:v>
      </x:c>
      <x:c r="AA1216" s="36" t="str">
        <x:v>JA</x:v>
      </x:c>
      <x:c r="AB1216" s="36" t="str">
        <x:v>JA</x:v>
      </x:c>
      <x:c r="AC1216" s="36" t="str">
        <x:v>JA</x:v>
      </x:c>
      <x:c r="AD1216" s="36" t="str">
        <x:v>JA</x:v>
      </x:c>
      <x:c r="AE1216" s="36" t="str">
        <x:v>JA</x:v>
      </x:c>
      <x:c r="AF1216" s="36" t="str">
        <x:v>JA</x:v>
      </x:c>
      <x:c r="AG1216" s="36" t="str">
        <x:v>FREIGEGEBEN</x:v>
      </x:c>
      <x:c r="AH1216" s="36" t="str">
        <x:v>GPT-5.6 Sol · Buchprüfung Offenbarung · L1912/OTB</x:v>
      </x:c>
      <x:c r="AI1216" s="36" t="str">
        <x:v>FREIGEGEBEN</x:v>
      </x:c>
      <x:c r="AJ1216" s="36" t="str">
        <x:v>Offenbarung 5: neue textnahe UNIVERSELLES_LOB-Frage ohne unnötige Endzeit-Systemfestlegung freigegeben.</x:v>
      </x:c>
      <x:c r="AK1216" s="36" t="str">
        <x:v>FaithPath repo develop/v4 · data/bibles/l1912/REV.json · data/bibles/otb/REV.json</x:v>
      </x:c>
      <x:c r="AL1216" t="str">
        <x:v>JA</x:v>
      </x:c>
    </x:row>
    <x:row r="1217">
      <x:c r="A1217" t="str">
        <x:v>FP-1476</x:v>
      </x:c>
      <x:c r="B1217" t="str">
        <x:v>REV</x:v>
      </x:c>
      <x:c r="C1217" t="str">
        <x:v>Offenbarung</x:v>
      </x:c>
      <x:c r="D1217" t="n">
        <x:v>6</x:v>
      </x:c>
      <x:c r="E1217" t="n">
        <x:v>1</x:v>
      </x:c>
      <x:c r="F1217" t="str">
        <x:v>REV-006</x:v>
      </x:c>
      <x:c r="G1217" t="n">
        <x:v>244</x:v>
      </x:c>
      <x:c r="H1217" t="str">
        <x:v>CQ-A27</x:v>
      </x:c>
      <x:c r="I1217" s="36" t="str">
        <x:v>Bestandsfrage: exakter Wortlaut in diesem Arbeitsschritt nicht rekonstruiert.</x:v>
      </x:c>
      <x:c r="J1217" s="36"/>
      <x:c r="K1217" s="36"/>
      <x:c r="L1217" s="36" t="str">
        <x:v>MASTER_STATUS_VERIFIZIERT</x:v>
      </x:c>
      <x:c r="M1217" s="36" t="str">
        <x:v>ERSETZEN</x:v>
      </x:c>
      <x:c r="N1217" s="36" t="str">
        <x:v>BESTAND_NOCH_NICHT_GEPRÜFT</x:v>
      </x:c>
      <x:c r="O1217" s="36" t="str">
        <x:v>DIDAKTISCHE_NEUFASSUNG</x:v>
      </x:c>
      <x:c r="P1217" s="36" t="str">
        <x:v>ERSTES_SIEGEL</x:v>
      </x:c>
      <x:c r="Q1217" s="36" t="str">
        <x:v>Was sieht Johannes nach dem Öffnen des ersten Siegels?</x:v>
      </x:c>
      <x:c r="R1217" s="36" t="str">
        <x:v>Ein schwarzes Pferd mit einer Waage.</x:v>
      </x:c>
      <x:c r="S1217" s="36" t="str">
        <x:v>Ein weißes Pferd mit einem Reiter, der einen Bogen und eine Krone erhält und siegreich auszieht.</x:v>
      </x:c>
      <x:c r="T1217" s="36" t="str">
        <x:v>Ein rotes Pferd mit einem großen Schwert.</x:v>
      </x:c>
      <x:c r="U1217" s="36" t="str">
        <x:v>Ein fahles Pferd, dessen Reiter Tod heißt.</x:v>
      </x:c>
      <x:c r="V1217" s="36" t="n">
        <x:v>1</x:v>
      </x:c>
      <x:c r="W1217" s="36" t="str">
        <x:v>Ein weißes Pferd mit einem Reiter, der einen Bogen und eine Krone erhält und siegreich auszieht.</x:v>
      </x:c>
      <x:c r="X1217" s="36" t="str">
        <x:v>Offenbarung 6,1–2</x:v>
      </x:c>
      <x:c r="Y1217" s="36" t="str">
        <x:v>Die Frage bleibt bewusst bei der Bildbeschreibung des Textes und legt die umstrittene Identität des Reiters nicht fest.</x:v>
      </x:c>
      <x:c r="Z1217" s="36" t="str">
        <x:v>JA</x:v>
      </x:c>
      <x:c r="AA1217" s="36" t="str">
        <x:v>JA</x:v>
      </x:c>
      <x:c r="AB1217" s="36" t="str">
        <x:v>JA</x:v>
      </x:c>
      <x:c r="AC1217" s="36" t="str">
        <x:v>JA</x:v>
      </x:c>
      <x:c r="AD1217" s="36" t="str">
        <x:v>JA</x:v>
      </x:c>
      <x:c r="AE1217" s="36" t="str">
        <x:v>JA</x:v>
      </x:c>
      <x:c r="AF1217" s="36" t="str">
        <x:v>JA</x:v>
      </x:c>
      <x:c r="AG1217" s="36" t="str">
        <x:v>FREIGEGEBEN</x:v>
      </x:c>
      <x:c r="AH1217" s="36" t="str">
        <x:v>GPT-5.6 Sol · Buchprüfung Offenbarung · L1912/OTB</x:v>
      </x:c>
      <x:c r="AI1217" s="36" t="str">
        <x:v>FREIGEGEBEN</x:v>
      </x:c>
      <x:c r="AJ1217" s="36" t="str">
        <x:v>Offenbarung 6: neue textnahe ERSTES_SIEGEL-Frage ohne unnötige Endzeit-Systemfestlegung freigegeben.</x:v>
      </x:c>
      <x:c r="AK1217" s="36" t="str">
        <x:v>FaithPath repo develop/v4 · data/bibles/l1912/REV.json · data/bibles/otb/REV.json</x:v>
      </x:c>
      <x:c r="AL1217" t="str">
        <x:v>JA</x:v>
      </x:c>
    </x:row>
    <x:row r="1218">
      <x:c r="A1218" t="str">
        <x:v>FP-1477</x:v>
      </x:c>
      <x:c r="B1218" t="str">
        <x:v>REV</x:v>
      </x:c>
      <x:c r="C1218" t="str">
        <x:v>Offenbarung</x:v>
      </x:c>
      <x:c r="D1218" t="n">
        <x:v>6</x:v>
      </x:c>
      <x:c r="E1218" t="n">
        <x:v>2</x:v>
      </x:c>
      <x:c r="F1218" t="str">
        <x:v>REV-006</x:v>
      </x:c>
      <x:c r="G1218" t="n">
        <x:v>244</x:v>
      </x:c>
      <x:c r="H1218" t="str">
        <x:v>CQ-A27</x:v>
      </x:c>
      <x:c r="I1218" s="36" t="str">
        <x:v>Bestandsfrage: exakter Wortlaut in diesem Arbeitsschritt nicht rekonstruiert.</x:v>
      </x:c>
      <x:c r="J1218" s="36"/>
      <x:c r="K1218" s="36"/>
      <x:c r="L1218" s="36" t="str">
        <x:v>MASTER_STATUS_VERIFIZIERT</x:v>
      </x:c>
      <x:c r="M1218" s="36" t="str">
        <x:v>ERSETZEN</x:v>
      </x:c>
      <x:c r="N1218" s="36" t="str">
        <x:v>BESTAND_NOCH_NICHT_GEPRÜFT</x:v>
      </x:c>
      <x:c r="O1218" s="36" t="str">
        <x:v>DIDAKTISCHE_NEUFASSUNG</x:v>
      </x:c>
      <x:c r="P1218" s="36" t="str">
        <x:v>ZWEITES_DRITTES_SIEGEL</x:v>
      </x:c>
      <x:c r="Q1218" s="36" t="str">
        <x:v>Welche beiden Folgen sind mit dem roten und dem schwarzen Pferd verbunden?</x:v>
      </x:c>
      <x:c r="R1218" s="36" t="str">
        <x:v>Heilung und Überfluss.</x:v>
      </x:c>
      <x:c r="S1218" s="36" t="str">
        <x:v>Auferstehung und Anbetung.</x:v>
      </x:c>
      <x:c r="T1218" s="36" t="str">
        <x:v>Gewaltsamer Verlust des Friedens und wirtschaftliche Knappheit.</x:v>
      </x:c>
      <x:c r="U1218" s="36" t="str">
        <x:v>Versiegelung und Schutz.</x:v>
      </x:c>
      <x:c r="V1218" s="36" t="n">
        <x:v>2</x:v>
      </x:c>
      <x:c r="W1218" s="36" t="str">
        <x:v>Gewaltsamer Verlust des Friedens und wirtschaftliche Knappheit.</x:v>
      </x:c>
      <x:c r="X1218" s="36" t="str">
        <x:v>Offenbarung 6,3–6</x:v>
      </x:c>
      <x:c r="Y1218" s="36" t="str">
        <x:v>Der rote Reiter nimmt den Frieden, während Waage und Lebensmittelpreise beim schwarzen Reiter auf Knappheit hinweisen.</x:v>
      </x:c>
      <x:c r="Z1218" s="36" t="str">
        <x:v>JA</x:v>
      </x:c>
      <x:c r="AA1218" s="36" t="str">
        <x:v>JA</x:v>
      </x:c>
      <x:c r="AB1218" s="36" t="str">
        <x:v>JA</x:v>
      </x:c>
      <x:c r="AC1218" s="36" t="str">
        <x:v>JA</x:v>
      </x:c>
      <x:c r="AD1218" s="36" t="str">
        <x:v>JA</x:v>
      </x:c>
      <x:c r="AE1218" s="36" t="str">
        <x:v>JA</x:v>
      </x:c>
      <x:c r="AF1218" s="36" t="str">
        <x:v>JA</x:v>
      </x:c>
      <x:c r="AG1218" s="36" t="str">
        <x:v>FREIGEGEBEN</x:v>
      </x:c>
      <x:c r="AH1218" s="36" t="str">
        <x:v>GPT-5.6 Sol · Buchprüfung Offenbarung · L1912/OTB</x:v>
      </x:c>
      <x:c r="AI1218" s="36" t="str">
        <x:v>FREIGEGEBEN</x:v>
      </x:c>
      <x:c r="AJ1218" s="36" t="str">
        <x:v>Offenbarung 6: neue textnahe ZWEITES_DRITTES_SIEGEL-Frage ohne unnötige Endzeit-Systemfestlegung freigegeben.</x:v>
      </x:c>
      <x:c r="AK1218" s="36" t="str">
        <x:v>FaithPath repo develop/v4 · data/bibles/l1912/REV.json · data/bibles/otb/REV.json</x:v>
      </x:c>
      <x:c r="AL1218" t="str">
        <x:v>JA</x:v>
      </x:c>
    </x:row>
    <x:row r="1219">
      <x:c r="A1219" t="str">
        <x:v>FP-1478</x:v>
      </x:c>
      <x:c r="B1219" t="str">
        <x:v>REV</x:v>
      </x:c>
      <x:c r="C1219" t="str">
        <x:v>Offenbarung</x:v>
      </x:c>
      <x:c r="D1219" t="n">
        <x:v>6</x:v>
      </x:c>
      <x:c r="E1219" t="n">
        <x:v>3</x:v>
      </x:c>
      <x:c r="F1219" t="str">
        <x:v>REV-006</x:v>
      </x:c>
      <x:c r="G1219" t="n">
        <x:v>244</x:v>
      </x:c>
      <x:c r="H1219" t="str">
        <x:v>CQ-A27</x:v>
      </x:c>
      <x:c r="I1219" s="36" t="str">
        <x:v>Bestandsfrage: exakter Wortlaut in diesem Arbeitsschritt nicht rekonstruiert.</x:v>
      </x:c>
      <x:c r="J1219" s="36"/>
      <x:c r="K1219" s="36"/>
      <x:c r="L1219" s="36" t="str">
        <x:v>MASTER_STATUS_VERIFIZIERT</x:v>
      </x:c>
      <x:c r="M1219" s="36" t="str">
        <x:v>ERSETZEN</x:v>
      </x:c>
      <x:c r="N1219" s="36" t="str">
        <x:v>BESTAND_NOCH_NICHT_GEPRÜFT</x:v>
      </x:c>
      <x:c r="O1219" s="36" t="str">
        <x:v>DIDAKTISCHE_NEUFASSUNG</x:v>
      </x:c>
      <x:c r="P1219" s="36" t="str">
        <x:v>VIERTES_SIEGEL</x:v>
      </x:c>
      <x:c r="Q1219" s="36" t="str">
        <x:v>Wie heißt der Reiter des fahlen Pferdes?</x:v>
      </x:c>
      <x:c r="R1219" s="36" t="str">
        <x:v>Abaddon; der Abgrund folgt ihm.</x:v>
      </x:c>
      <x:c r="S1219" s="36" t="str">
        <x:v>Michael; Engel folgen ihm.</x:v>
      </x:c>
      <x:c r="T1219" s="36" t="str">
        <x:v>Antipas; Pergamon folgt ihm.</x:v>
      </x:c>
      <x:c r="U1219" s="36" t="str">
        <x:v>Tod; das Totenreich folgt ihm.</x:v>
      </x:c>
      <x:c r="V1219" s="36" t="n">
        <x:v>3</x:v>
      </x:c>
      <x:c r="W1219" s="36" t="str">
        <x:v>Tod; das Totenreich folgt ihm.</x:v>
      </x:c>
      <x:c r="X1219" s="36" t="str">
        <x:v>Offenbarung 6,7–8</x:v>
      </x:c>
      <x:c r="Y1219" s="36" t="str">
        <x:v>Der Text benennt den vierten Reiter ausdrücklich als Tod und nennt das Totenreich als Begleiter.</x:v>
      </x:c>
      <x:c r="Z1219" s="36" t="str">
        <x:v>JA</x:v>
      </x:c>
      <x:c r="AA1219" s="36" t="str">
        <x:v>JA</x:v>
      </x:c>
      <x:c r="AB1219" s="36" t="str">
        <x:v>JA</x:v>
      </x:c>
      <x:c r="AC1219" s="36" t="str">
        <x:v>JA</x:v>
      </x:c>
      <x:c r="AD1219" s="36" t="str">
        <x:v>JA</x:v>
      </x:c>
      <x:c r="AE1219" s="36" t="str">
        <x:v>JA</x:v>
      </x:c>
      <x:c r="AF1219" s="36" t="str">
        <x:v>JA</x:v>
      </x:c>
      <x:c r="AG1219" s="36" t="str">
        <x:v>FREIGEGEBEN</x:v>
      </x:c>
      <x:c r="AH1219" s="36" t="str">
        <x:v>GPT-5.6 Sol · Buchprüfung Offenbarung · L1912/OTB</x:v>
      </x:c>
      <x:c r="AI1219" s="36" t="str">
        <x:v>FREIGEGEBEN</x:v>
      </x:c>
      <x:c r="AJ1219" s="36" t="str">
        <x:v>Offenbarung 6: neue textnahe VIERTES_SIEGEL-Frage ohne unnötige Endzeit-Systemfestlegung freigegeben.</x:v>
      </x:c>
      <x:c r="AK1219" s="36" t="str">
        <x:v>FaithPath repo develop/v4 · data/bibles/l1912/REV.json · data/bibles/otb/REV.json</x:v>
      </x:c>
      <x:c r="AL1219" t="str">
        <x:v>JA</x:v>
      </x:c>
    </x:row>
    <x:row r="1220">
      <x:c r="A1220" t="str">
        <x:v>FP-1479</x:v>
      </x:c>
      <x:c r="B1220" t="str">
        <x:v>REV</x:v>
      </x:c>
      <x:c r="C1220" t="str">
        <x:v>Offenbarung</x:v>
      </x:c>
      <x:c r="D1220" t="n">
        <x:v>6</x:v>
      </x:c>
      <x:c r="E1220" t="n">
        <x:v>4</x:v>
      </x:c>
      <x:c r="F1220" t="str">
        <x:v>REV-006</x:v>
      </x:c>
      <x:c r="G1220" t="n">
        <x:v>244</x:v>
      </x:c>
      <x:c r="H1220" t="str">
        <x:v>CQ-A27</x:v>
      </x:c>
      <x:c r="I1220" s="36" t="str">
        <x:v>Bestandsfrage: exakter Wortlaut in diesem Arbeitsschritt nicht rekonstruiert.</x:v>
      </x:c>
      <x:c r="J1220" s="36"/>
      <x:c r="K1220" s="36"/>
      <x:c r="L1220" s="36" t="str">
        <x:v>MASTER_STATUS_VERIFIZIERT</x:v>
      </x:c>
      <x:c r="M1220" s="36" t="str">
        <x:v>ERSETZEN</x:v>
      </x:c>
      <x:c r="N1220" s="36" t="str">
        <x:v>BESTAND_NOCH_NICHT_GEPRÜFT</x:v>
      </x:c>
      <x:c r="O1220" s="36" t="str">
        <x:v>DIDAKTISCHE_NEUFASSUNG</x:v>
      </x:c>
      <x:c r="P1220" s="36" t="str">
        <x:v>FÜNFTES_SIEGEL</x:v>
      </x:c>
      <x:c r="Q1220" s="36" t="str">
        <x:v>Was fragen die unter dem Altar gesehenen Getöteten?</x:v>
      </x:c>
      <x:c r="R1220" s="36" t="str">
        <x:v>Wie lange es noch dauert, bis Gott richtet und ihr Blut rächt.</x:v>
      </x:c>
      <x:c r="S1220" s="36" t="str">
        <x:v>Wann sie zur Erde zurückkehren dürfen, um selbst zu kämpfen.</x:v>
      </x:c>
      <x:c r="T1220" s="36" t="str">
        <x:v>Warum die sieben Gemeinden keine Briefe mehr erhalten.</x:v>
      </x:c>
      <x:c r="U1220" s="36" t="str">
        <x:v>Wann das Lamm die Schriftrolle zurückgibt.</x:v>
      </x:c>
      <x:c r="V1220" s="36" t="n">
        <x:v>0</x:v>
      </x:c>
      <x:c r="W1220" s="36" t="str">
        <x:v>Wie lange es noch dauert, bis Gott richtet und ihr Blut rächt.</x:v>
      </x:c>
      <x:c r="X1220" s="36" t="str">
        <x:v>Offenbarung 6,9–11</x:v>
      </x:c>
      <x:c r="Y1220" s="36" t="str">
        <x:v>Die Märtyrer rufen nach gerechtem Gericht, erhalten weiße Gewänder und werden zum weiteren Warten aufgefordert.</x:v>
      </x:c>
      <x:c r="Z1220" s="36" t="str">
        <x:v>JA</x:v>
      </x:c>
      <x:c r="AA1220" s="36" t="str">
        <x:v>JA</x:v>
      </x:c>
      <x:c r="AB1220" s="36" t="str">
        <x:v>JA</x:v>
      </x:c>
      <x:c r="AC1220" s="36" t="str">
        <x:v>JA</x:v>
      </x:c>
      <x:c r="AD1220" s="36" t="str">
        <x:v>JA</x:v>
      </x:c>
      <x:c r="AE1220" s="36" t="str">
        <x:v>JA</x:v>
      </x:c>
      <x:c r="AF1220" s="36" t="str">
        <x:v>JA</x:v>
      </x:c>
      <x:c r="AG1220" s="36" t="str">
        <x:v>FREIGEGEBEN</x:v>
      </x:c>
      <x:c r="AH1220" s="36" t="str">
        <x:v>GPT-5.6 Sol · Buchprüfung Offenbarung · L1912/OTB</x:v>
      </x:c>
      <x:c r="AI1220" s="36" t="str">
        <x:v>FREIGEGEBEN</x:v>
      </x:c>
      <x:c r="AJ1220" s="36" t="str">
        <x:v>Offenbarung 6: neue textnahe FÜNFTES_SIEGEL-Frage ohne unnötige Endzeit-Systemfestlegung freigegeben.</x:v>
      </x:c>
      <x:c r="AK1220" s="36" t="str">
        <x:v>FaithPath repo develop/v4 · data/bibles/l1912/REV.json · data/bibles/otb/REV.json</x:v>
      </x:c>
      <x:c r="AL1220" t="str">
        <x:v>JA</x:v>
      </x:c>
    </x:row>
    <x:row r="1221">
      <x:c r="A1221" t="str">
        <x:v>FP-1480</x:v>
      </x:c>
      <x:c r="B1221" t="str">
        <x:v>REV</x:v>
      </x:c>
      <x:c r="C1221" t="str">
        <x:v>Offenbarung</x:v>
      </x:c>
      <x:c r="D1221" t="n">
        <x:v>6</x:v>
      </x:c>
      <x:c r="E1221" t="n">
        <x:v>5</x:v>
      </x:c>
      <x:c r="F1221" t="str">
        <x:v>REV-006</x:v>
      </x:c>
      <x:c r="G1221" t="n">
        <x:v>244</x:v>
      </x:c>
      <x:c r="H1221" t="str">
        <x:v>CQ-A27</x:v>
      </x:c>
      <x:c r="I1221" s="36" t="str">
        <x:v>Bestandsfrage: exakter Wortlaut in diesem Arbeitsschritt nicht rekonstruiert.</x:v>
      </x:c>
      <x:c r="J1221" s="36"/>
      <x:c r="K1221" s="36"/>
      <x:c r="L1221" s="36" t="str">
        <x:v>MASTER_STATUS_VERIFIZIERT</x:v>
      </x:c>
      <x:c r="M1221" s="36" t="str">
        <x:v>ERSETZEN</x:v>
      </x:c>
      <x:c r="N1221" s="36" t="str">
        <x:v>BESTAND_NOCH_NICHT_GEPRÜFT</x:v>
      </x:c>
      <x:c r="O1221" s="36" t="str">
        <x:v>DIDAKTISCHE_NEUFASSUNG</x:v>
      </x:c>
      <x:c r="P1221" s="36" t="str">
        <x:v>SECHSTES_SIEGEL</x:v>
      </x:c>
      <x:c r="Q1221" s="36" t="str">
        <x:v>Wie reagieren Mächtige und einfache Menschen auf die kosmischen Erschütterungen des sechsten Siegels?</x:v>
      </x:c>
      <x:c r="R1221" s="36" t="str">
        <x:v>Sie feiern den Beginn einer neuen Regierung.</x:v>
      </x:c>
      <x:c r="S1221" s="36" t="str">
        <x:v>Sie verstecken sich und wollen vor dem Angesicht dessen auf dem Thron und vor dem Zorn des Lammes verborgen werden.</x:v>
      </x:c>
      <x:c r="T1221" s="36" t="str">
        <x:v>Sie greifen das Lamm direkt an.</x:v>
      </x:c>
      <x:c r="U1221" s="36" t="str">
        <x:v>Sie öffnen selbst das siebte Siegel.</x:v>
      </x:c>
      <x:c r="V1221" s="36" t="n">
        <x:v>1</x:v>
      </x:c>
      <x:c r="W1221" s="36" t="str">
        <x:v>Sie verstecken sich und wollen vor dem Angesicht dessen auf dem Thron und vor dem Zorn des Lammes verborgen werden.</x:v>
      </x:c>
      <x:c r="X1221" s="36" t="str">
        <x:v>Offenbarung 6,12–17</x:v>
      </x:c>
      <x:c r="Y1221" s="36" t="str">
        <x:v>Die Szene endet mit der Frage, wer am großen Tag des Zorns bestehen kann.</x:v>
      </x:c>
      <x:c r="Z1221" s="36" t="str">
        <x:v>JA</x:v>
      </x:c>
      <x:c r="AA1221" s="36" t="str">
        <x:v>JA</x:v>
      </x:c>
      <x:c r="AB1221" s="36" t="str">
        <x:v>JA</x:v>
      </x:c>
      <x:c r="AC1221" s="36" t="str">
        <x:v>JA</x:v>
      </x:c>
      <x:c r="AD1221" s="36" t="str">
        <x:v>JA</x:v>
      </x:c>
      <x:c r="AE1221" s="36" t="str">
        <x:v>JA</x:v>
      </x:c>
      <x:c r="AF1221" s="36" t="str">
        <x:v>JA</x:v>
      </x:c>
      <x:c r="AG1221" s="36" t="str">
        <x:v>FREIGEGEBEN</x:v>
      </x:c>
      <x:c r="AH1221" s="36" t="str">
        <x:v>GPT-5.6 Sol · Buchprüfung Offenbarung · L1912/OTB</x:v>
      </x:c>
      <x:c r="AI1221" s="36" t="str">
        <x:v>FREIGEGEBEN</x:v>
      </x:c>
      <x:c r="AJ1221" s="36" t="str">
        <x:v>Offenbarung 6: neue textnahe SECHSTES_SIEGEL-Frage ohne unnötige Endzeit-Systemfestlegung freigegeben.</x:v>
      </x:c>
      <x:c r="AK1221" s="36" t="str">
        <x:v>FaithPath repo develop/v4 · data/bibles/l1912/REV.json · data/bibles/otb/REV.json</x:v>
      </x:c>
      <x:c r="AL1221" t="str">
        <x:v>JA</x:v>
      </x:c>
    </x:row>
    <x:row r="1222">
      <x:c r="A1222" t="str">
        <x:v>FP-1481</x:v>
      </x:c>
      <x:c r="B1222" t="str">
        <x:v>REV</x:v>
      </x:c>
      <x:c r="C1222" t="str">
        <x:v>Offenbarung</x:v>
      </x:c>
      <x:c r="D1222" t="n">
        <x:v>7</x:v>
      </x:c>
      <x:c r="E1222" t="n">
        <x:v>1</x:v>
      </x:c>
      <x:c r="F1222" t="str">
        <x:v>REV-007</x:v>
      </x:c>
      <x:c r="G1222" t="n">
        <x:v>245</x:v>
      </x:c>
      <x:c r="H1222" t="str">
        <x:v>CQ-A27</x:v>
      </x:c>
      <x:c r="I1222" s="36" t="str">
        <x:v>Bestandsfrage: exakter Wortlaut in diesem Arbeitsschritt nicht rekonstruiert.</x:v>
      </x:c>
      <x:c r="J1222" s="36"/>
      <x:c r="K1222" s="36"/>
      <x:c r="L1222" s="36" t="str">
        <x:v>MASTER_STATUS_VERIFIZIERT</x:v>
      </x:c>
      <x:c r="M1222" s="36" t="str">
        <x:v>ERSETZEN</x:v>
      </x:c>
      <x:c r="N1222" s="36" t="str">
        <x:v>BESTAND_NOCH_NICHT_GEPRÜFT</x:v>
      </x:c>
      <x:c r="O1222" s="36" t="str">
        <x:v>DIDAKTISCHE_NEUFASSUNG</x:v>
      </x:c>
      <x:c r="P1222" s="36" t="str">
        <x:v>VERSIEGELUNG</x:v>
      </x:c>
      <x:c r="Q1222" s="36" t="str">
        <x:v>Was soll geschehen, bevor Erde, Meer und Bäume Schaden erleiden?</x:v>
      </x:c>
      <x:c r="R1222" s="36" t="str">
        <x:v>Die sieben Gemeinden sollen aufgelöst werden.</x:v>
      </x:c>
      <x:c r="S1222" s="36" t="str">
        <x:v>Die vier Winde sollen dauerhaft freigelassen werden.</x:v>
      </x:c>
      <x:c r="T1222" s="36" t="str">
        <x:v>Die Diener Gottes sollen an ihren Stirnen versiegelt werden.</x:v>
      </x:c>
      <x:c r="U1222" s="36" t="str">
        <x:v>Alle Menschen sollen Jerusalem verlassen.</x:v>
      </x:c>
      <x:c r="V1222" s="36" t="n">
        <x:v>2</x:v>
      </x:c>
      <x:c r="W1222" s="36" t="str">
        <x:v>Die Diener Gottes sollen an ihren Stirnen versiegelt werden.</x:v>
      </x:c>
      <x:c r="X1222" s="36" t="str">
        <x:v>Offenbarung 7,1–3</x:v>
      </x:c>
      <x:c r="Y1222" s="36" t="str">
        <x:v>Die schädigenden Winde werden zurückgehalten, bis Gottes Diener versiegelt sind.</x:v>
      </x:c>
      <x:c r="Z1222" s="36" t="str">
        <x:v>JA</x:v>
      </x:c>
      <x:c r="AA1222" s="36" t="str">
        <x:v>JA</x:v>
      </x:c>
      <x:c r="AB1222" s="36" t="str">
        <x:v>JA</x:v>
      </x:c>
      <x:c r="AC1222" s="36" t="str">
        <x:v>JA</x:v>
      </x:c>
      <x:c r="AD1222" s="36" t="str">
        <x:v>JA</x:v>
      </x:c>
      <x:c r="AE1222" s="36" t="str">
        <x:v>JA</x:v>
      </x:c>
      <x:c r="AF1222" s="36" t="str">
        <x:v>JA</x:v>
      </x:c>
      <x:c r="AG1222" s="36" t="str">
        <x:v>FREIGEGEBEN</x:v>
      </x:c>
      <x:c r="AH1222" s="36" t="str">
        <x:v>GPT-5.6 Sol · Buchprüfung Offenbarung · L1912/OTB</x:v>
      </x:c>
      <x:c r="AI1222" s="36" t="str">
        <x:v>FREIGEGEBEN</x:v>
      </x:c>
      <x:c r="AJ1222" s="36" t="str">
        <x:v>Offenbarung 7: neue textnahe VERSIEGELUNG-Frage ohne unnötige Endzeit-Systemfestlegung freigegeben.</x:v>
      </x:c>
      <x:c r="AK1222" s="36" t="str">
        <x:v>FaithPath repo develop/v4 · data/bibles/l1912/REV.json · data/bibles/otb/REV.json</x:v>
      </x:c>
      <x:c r="AL1222" t="str">
        <x:v>JA</x:v>
      </x:c>
    </x:row>
    <x:row r="1223">
      <x:c r="A1223" t="str">
        <x:v>FP-1482</x:v>
      </x:c>
      <x:c r="B1223" t="str">
        <x:v>REV</x:v>
      </x:c>
      <x:c r="C1223" t="str">
        <x:v>Offenbarung</x:v>
      </x:c>
      <x:c r="D1223" t="n">
        <x:v>7</x:v>
      </x:c>
      <x:c r="E1223" t="n">
        <x:v>2</x:v>
      </x:c>
      <x:c r="F1223" t="str">
        <x:v>REV-007</x:v>
      </x:c>
      <x:c r="G1223" t="n">
        <x:v>245</x:v>
      </x:c>
      <x:c r="H1223" t="str">
        <x:v>CQ-A27</x:v>
      </x:c>
      <x:c r="I1223" s="36" t="str">
        <x:v>Bestandsfrage: exakter Wortlaut in diesem Arbeitsschritt nicht rekonstruiert.</x:v>
      </x:c>
      <x:c r="J1223" s="36"/>
      <x:c r="K1223" s="36"/>
      <x:c r="L1223" s="36" t="str">
        <x:v>MASTER_STATUS_VERIFIZIERT</x:v>
      </x:c>
      <x:c r="M1223" s="36" t="str">
        <x:v>ERSETZEN</x:v>
      </x:c>
      <x:c r="N1223" s="36" t="str">
        <x:v>BESTAND_NOCH_NICHT_GEPRÜFT</x:v>
      </x:c>
      <x:c r="O1223" s="36" t="str">
        <x:v>DIDAKTISCHE_NEUFASSUNG</x:v>
      </x:c>
      <x:c r="P1223" s="36" t="str">
        <x:v>144000</x:v>
      </x:c>
      <x:c r="Q1223" s="36" t="str">
        <x:v>Aus welcher Gruppe werden die 144.000 im ersten Teil der Vision aufgezählt?</x:v>
      </x:c>
      <x:c r="R1223" s="36" t="str">
        <x:v>Aus den sieben Gemeinden allein.</x:v>
      </x:c>
      <x:c r="S1223" s="36" t="str">
        <x:v>Aus den Königen der Erde.</x:v>
      </x:c>
      <x:c r="T1223" s="36" t="str">
        <x:v>Aus den vierundzwanzig Ältesten.</x:v>
      </x:c>
      <x:c r="U1223" s="36" t="str">
        <x:v>Aus den Stämmen der Söhne Israels.</x:v>
      </x:c>
      <x:c r="V1223" s="36" t="n">
        <x:v>3</x:v>
      </x:c>
      <x:c r="W1223" s="36" t="str">
        <x:v>Aus den Stämmen der Söhne Israels.</x:v>
      </x:c>
      <x:c r="X1223" s="36" t="str">
        <x:v>Offenbarung 7,4–8</x:v>
      </x:c>
      <x:c r="Y1223" s="36" t="str">
        <x:v>Der Text zählt zwölf Gruppen zu je 12.000 aus den Stämmen Israels auf, ohne hier eine weitergehende Deutung zu erzwingen.</x:v>
      </x:c>
      <x:c r="Z1223" s="36" t="str">
        <x:v>JA</x:v>
      </x:c>
      <x:c r="AA1223" s="36" t="str">
        <x:v>JA</x:v>
      </x:c>
      <x:c r="AB1223" s="36" t="str">
        <x:v>JA</x:v>
      </x:c>
      <x:c r="AC1223" s="36" t="str">
        <x:v>JA</x:v>
      </x:c>
      <x:c r="AD1223" s="36" t="str">
        <x:v>JA</x:v>
      </x:c>
      <x:c r="AE1223" s="36" t="str">
        <x:v>JA</x:v>
      </x:c>
      <x:c r="AF1223" s="36" t="str">
        <x:v>JA</x:v>
      </x:c>
      <x:c r="AG1223" s="36" t="str">
        <x:v>FREIGEGEBEN</x:v>
      </x:c>
      <x:c r="AH1223" s="36" t="str">
        <x:v>GPT-5.6 Sol · Buchprüfung Offenbarung · L1912/OTB</x:v>
      </x:c>
      <x:c r="AI1223" s="36" t="str">
        <x:v>FREIGEGEBEN</x:v>
      </x:c>
      <x:c r="AJ1223" s="36" t="str">
        <x:v>Offenbarung 7: neue textnahe 144000-Frage ohne unnötige Endzeit-Systemfestlegung freigegeben.</x:v>
      </x:c>
      <x:c r="AK1223" s="36" t="str">
        <x:v>FaithPath repo develop/v4 · data/bibles/l1912/REV.json · data/bibles/otb/REV.json</x:v>
      </x:c>
      <x:c r="AL1223" t="str">
        <x:v>JA</x:v>
      </x:c>
    </x:row>
    <x:row r="1224">
      <x:c r="A1224" t="str">
        <x:v>FP-1483</x:v>
      </x:c>
      <x:c r="B1224" t="str">
        <x:v>REV</x:v>
      </x:c>
      <x:c r="C1224" t="str">
        <x:v>Offenbarung</x:v>
      </x:c>
      <x:c r="D1224" t="n">
        <x:v>7</x:v>
      </x:c>
      <x:c r="E1224" t="n">
        <x:v>3</x:v>
      </x:c>
      <x:c r="F1224" t="str">
        <x:v>REV-007</x:v>
      </x:c>
      <x:c r="G1224" t="n">
        <x:v>245</x:v>
      </x:c>
      <x:c r="H1224" t="str">
        <x:v>CQ-A27</x:v>
      </x:c>
      <x:c r="I1224" s="36" t="str">
        <x:v>Bestandsfrage: exakter Wortlaut in diesem Arbeitsschritt nicht rekonstruiert.</x:v>
      </x:c>
      <x:c r="J1224" s="36"/>
      <x:c r="K1224" s="36"/>
      <x:c r="L1224" s="36" t="str">
        <x:v>MASTER_STATUS_VERIFIZIERT</x:v>
      </x:c>
      <x:c r="M1224" s="36" t="str">
        <x:v>ERSETZEN</x:v>
      </x:c>
      <x:c r="N1224" s="36" t="str">
        <x:v>BESTAND_NOCH_NICHT_GEPRÜFT</x:v>
      </x:c>
      <x:c r="O1224" s="36" t="str">
        <x:v>DIDAKTISCHE_NEUFASSUNG</x:v>
      </x:c>
      <x:c r="P1224" s="36" t="str">
        <x:v>GROSSE_MENGE</x:v>
      </x:c>
      <x:c r="Q1224" s="36" t="str">
        <x:v>Wie wird die große Menge vor dem Thron beschrieben?</x:v>
      </x:c>
      <x:c r="R1224" s="36" t="str">
        <x:v>Als unzählbare Menge aus jeder Nation, jedem Stamm, Volk und jeder Sprache.</x:v>
      </x:c>
      <x:c r="S1224" s="36" t="str">
        <x:v>Als ausschließlich zwölf Männer.</x:v>
      </x:c>
      <x:c r="T1224" s="36" t="str">
        <x:v>Als nur aus einer einzigen Nation kommend.</x:v>
      </x:c>
      <x:c r="U1224" s="36" t="str">
        <x:v>Als Gruppe von Engeln ohne Menschen.</x:v>
      </x:c>
      <x:c r="V1224" s="36" t="n">
        <x:v>0</x:v>
      </x:c>
      <x:c r="W1224" s="36" t="str">
        <x:v>Als unzählbare Menge aus jeder Nation, jedem Stamm, Volk und jeder Sprache.</x:v>
      </x:c>
      <x:c r="X1224" s="36" t="str">
        <x:v>Offenbarung 7,9–12</x:v>
      </x:c>
      <x:c r="Y1224" s="36" t="str">
        <x:v>Die zweite Vision betont die weltweite Vielfalt der Menschen vor Gott und dem Lamm.</x:v>
      </x:c>
      <x:c r="Z1224" s="36" t="str">
        <x:v>JA</x:v>
      </x:c>
      <x:c r="AA1224" s="36" t="str">
        <x:v>JA</x:v>
      </x:c>
      <x:c r="AB1224" s="36" t="str">
        <x:v>JA</x:v>
      </x:c>
      <x:c r="AC1224" s="36" t="str">
        <x:v>JA</x:v>
      </x:c>
      <x:c r="AD1224" s="36" t="str">
        <x:v>JA</x:v>
      </x:c>
      <x:c r="AE1224" s="36" t="str">
        <x:v>JA</x:v>
      </x:c>
      <x:c r="AF1224" s="36" t="str">
        <x:v>JA</x:v>
      </x:c>
      <x:c r="AG1224" s="36" t="str">
        <x:v>FREIGEGEBEN</x:v>
      </x:c>
      <x:c r="AH1224" s="36" t="str">
        <x:v>GPT-5.6 Sol · Buchprüfung Offenbarung · L1912/OTB</x:v>
      </x:c>
      <x:c r="AI1224" s="36" t="str">
        <x:v>FREIGEGEBEN</x:v>
      </x:c>
      <x:c r="AJ1224" s="36" t="str">
        <x:v>Offenbarung 7: neue textnahe GROSSE_MENGE-Frage ohne unnötige Endzeit-Systemfestlegung freigegeben.</x:v>
      </x:c>
      <x:c r="AK1224" s="36" t="str">
        <x:v>FaithPath repo develop/v4 · data/bibles/l1912/REV.json · data/bibles/otb/REV.json</x:v>
      </x:c>
      <x:c r="AL1224" t="str">
        <x:v>JA</x:v>
      </x:c>
    </x:row>
    <x:row r="1225">
      <x:c r="A1225" t="str">
        <x:v>FP-1484</x:v>
      </x:c>
      <x:c r="B1225" t="str">
        <x:v>REV</x:v>
      </x:c>
      <x:c r="C1225" t="str">
        <x:v>Offenbarung</x:v>
      </x:c>
      <x:c r="D1225" t="n">
        <x:v>7</x:v>
      </x:c>
      <x:c r="E1225" t="n">
        <x:v>4</x:v>
      </x:c>
      <x:c r="F1225" t="str">
        <x:v>REV-007</x:v>
      </x:c>
      <x:c r="G1225" t="n">
        <x:v>245</x:v>
      </x:c>
      <x:c r="H1225" t="str">
        <x:v>CQ-A27</x:v>
      </x:c>
      <x:c r="I1225" s="36" t="str">
        <x:v>Bestandsfrage: exakter Wortlaut in diesem Arbeitsschritt nicht rekonstruiert.</x:v>
      </x:c>
      <x:c r="J1225" s="36"/>
      <x:c r="K1225" s="36"/>
      <x:c r="L1225" s="36" t="str">
        <x:v>MASTER_STATUS_VERIFIZIERT</x:v>
      </x:c>
      <x:c r="M1225" s="36" t="str">
        <x:v>ERSETZEN</x:v>
      </x:c>
      <x:c r="N1225" s="36" t="str">
        <x:v>BESTAND_NOCH_NICHT_GEPRÜFT</x:v>
      </x:c>
      <x:c r="O1225" s="36" t="str">
        <x:v>DIDAKTISCHE_NEUFASSUNG</x:v>
      </x:c>
      <x:c r="P1225" s="36" t="str">
        <x:v>WEISSE_GEWAENDER</x:v>
      </x:c>
      <x:c r="Q1225" s="36" t="str">
        <x:v>Was wird über die Menschen in den weißen Gewändern gesagt?</x:v>
      </x:c>
      <x:c r="R1225" s="36" t="str">
        <x:v>Sie haben nie Bedrängnis erlebt.</x:v>
      </x:c>
      <x:c r="S1225" s="36" t="str">
        <x:v>Sie kommen aus der großen Bedrängnis und haben ihre Gewänder im Blut des Lammes weiß gemacht.</x:v>
      </x:c>
      <x:c r="T1225" s="36" t="str">
        <x:v>Sie wurden durch ihren materiellen Besitz gereinigt.</x:v>
      </x:c>
      <x:c r="U1225" s="36" t="str">
        <x:v>Sie tragen die Gewänder nur wegen ihrer Herkunft.</x:v>
      </x:c>
      <x:c r="V1225" s="36" t="n">
        <x:v>1</x:v>
      </x:c>
      <x:c r="W1225" s="36" t="str">
        <x:v>Sie kommen aus der großen Bedrängnis und haben ihre Gewänder im Blut des Lammes weiß gemacht.</x:v>
      </x:c>
      <x:c r="X1225" s="36" t="str">
        <x:v>Offenbarung 7,13–14</x:v>
      </x:c>
      <x:c r="Y1225" s="36" t="str">
        <x:v>Das paradoxe Bild der im Blut weiß gewaschenen Gewänder verbindet ihre Reinheit mit dem Lamm.</x:v>
      </x:c>
      <x:c r="Z1225" s="36" t="str">
        <x:v>JA</x:v>
      </x:c>
      <x:c r="AA1225" s="36" t="str">
        <x:v>JA</x:v>
      </x:c>
      <x:c r="AB1225" s="36" t="str">
        <x:v>JA</x:v>
      </x:c>
      <x:c r="AC1225" s="36" t="str">
        <x:v>JA</x:v>
      </x:c>
      <x:c r="AD1225" s="36" t="str">
        <x:v>JA</x:v>
      </x:c>
      <x:c r="AE1225" s="36" t="str">
        <x:v>JA</x:v>
      </x:c>
      <x:c r="AF1225" s="36" t="str">
        <x:v>JA</x:v>
      </x:c>
      <x:c r="AG1225" s="36" t="str">
        <x:v>FREIGEGEBEN</x:v>
      </x:c>
      <x:c r="AH1225" s="36" t="str">
        <x:v>GPT-5.6 Sol · Buchprüfung Offenbarung · L1912/OTB</x:v>
      </x:c>
      <x:c r="AI1225" s="36" t="str">
        <x:v>FREIGEGEBEN</x:v>
      </x:c>
      <x:c r="AJ1225" s="36" t="str">
        <x:v>Offenbarung 7: neue textnahe WEISSE_GEWAENDER-Frage ohne unnötige Endzeit-Systemfestlegung freigegeben.</x:v>
      </x:c>
      <x:c r="AK1225" s="36" t="str">
        <x:v>FaithPath repo develop/v4 · data/bibles/l1912/REV.json · data/bibles/otb/REV.json</x:v>
      </x:c>
      <x:c r="AL1225" t="str">
        <x:v>JA</x:v>
      </x:c>
    </x:row>
    <x:row r="1226">
      <x:c r="A1226" t="str">
        <x:v>FP-1485</x:v>
      </x:c>
      <x:c r="B1226" t="str">
        <x:v>REV</x:v>
      </x:c>
      <x:c r="C1226" t="str">
        <x:v>Offenbarung</x:v>
      </x:c>
      <x:c r="D1226" t="n">
        <x:v>7</x:v>
      </x:c>
      <x:c r="E1226" t="n">
        <x:v>5</x:v>
      </x:c>
      <x:c r="F1226" t="str">
        <x:v>REV-007</x:v>
      </x:c>
      <x:c r="G1226" t="n">
        <x:v>245</x:v>
      </x:c>
      <x:c r="H1226" t="str">
        <x:v>CQ-A27</x:v>
      </x:c>
      <x:c r="I1226" s="36" t="str">
        <x:v>Bestandsfrage: exakter Wortlaut in diesem Arbeitsschritt nicht rekonstruiert.</x:v>
      </x:c>
      <x:c r="J1226" s="36"/>
      <x:c r="K1226" s="36"/>
      <x:c r="L1226" s="36" t="str">
        <x:v>MASTER_STATUS_VERIFIZIERT</x:v>
      </x:c>
      <x:c r="M1226" s="36" t="str">
        <x:v>ERSETZEN</x:v>
      </x:c>
      <x:c r="N1226" s="36" t="str">
        <x:v>BESTAND_NOCH_NICHT_GEPRÜFT</x:v>
      </x:c>
      <x:c r="O1226" s="36" t="str">
        <x:v>DIDAKTISCHE_NEUFASSUNG</x:v>
      </x:c>
      <x:c r="P1226" s="36" t="str">
        <x:v>TROST</x:v>
      </x:c>
      <x:c r="Q1226" s="36" t="str">
        <x:v>Welche Hoffnung bildet den Abschluss von Offenbarung 7?</x:v>
      </x:c>
      <x:c r="R1226" s="36" t="str">
        <x:v>Sie werden dauerhaft Hunger und Durst leiden.</x:v>
      </x:c>
      <x:c r="S1226" s="36" t="str">
        <x:v>Sie werden den Thron nie sehen.</x:v>
      </x:c>
      <x:c r="T1226" s="36" t="str">
        <x:v>Das Lamm wird sie weiden und zu Wasser des Lebens führen, und Gott wird jede Träne abwischen.</x:v>
      </x:c>
      <x:c r="U1226" s="36" t="str">
        <x:v>Sie müssen zu den sieben Gemeinden zurückkehren.</x:v>
      </x:c>
      <x:c r="V1226" s="36" t="n">
        <x:v>2</x:v>
      </x:c>
      <x:c r="W1226" s="36" t="str">
        <x:v>Das Lamm wird sie weiden und zu Wasser des Lebens führen, und Gott wird jede Träne abwischen.</x:v>
      </x:c>
      <x:c r="X1226" s="36" t="str">
        <x:v>Offenbarung 7,15–17</x:v>
      </x:c>
      <x:c r="Y1226" s="36" t="str">
        <x:v>Die Szene endet mit Schutz, Versorgung, Führung durch das Lamm und der Beseitigung von Tränen.</x:v>
      </x:c>
      <x:c r="Z1226" s="36" t="str">
        <x:v>JA</x:v>
      </x:c>
      <x:c r="AA1226" s="36" t="str">
        <x:v>JA</x:v>
      </x:c>
      <x:c r="AB1226" s="36" t="str">
        <x:v>JA</x:v>
      </x:c>
      <x:c r="AC1226" s="36" t="str">
        <x:v>JA</x:v>
      </x:c>
      <x:c r="AD1226" s="36" t="str">
        <x:v>JA</x:v>
      </x:c>
      <x:c r="AE1226" s="36" t="str">
        <x:v>JA</x:v>
      </x:c>
      <x:c r="AF1226" s="36" t="str">
        <x:v>JA</x:v>
      </x:c>
      <x:c r="AG1226" s="36" t="str">
        <x:v>FREIGEGEBEN</x:v>
      </x:c>
      <x:c r="AH1226" s="36" t="str">
        <x:v>GPT-5.6 Sol · Buchprüfung Offenbarung · L1912/OTB</x:v>
      </x:c>
      <x:c r="AI1226" s="36" t="str">
        <x:v>FREIGEGEBEN</x:v>
      </x:c>
      <x:c r="AJ1226" s="36" t="str">
        <x:v>Offenbarung 7: neue textnahe TROST-Frage ohne unnötige Endzeit-Systemfestlegung freigegeben.</x:v>
      </x:c>
      <x:c r="AK1226" s="36" t="str">
        <x:v>FaithPath repo develop/v4 · data/bibles/l1912/REV.json · data/bibles/otb/REV.json</x:v>
      </x:c>
      <x:c r="AL1226" t="str">
        <x:v>JA</x:v>
      </x:c>
    </x:row>
    <x:row r="1227">
      <x:c r="A1227" t="str">
        <x:v>FP-1486</x:v>
      </x:c>
      <x:c r="B1227" t="str">
        <x:v>REV</x:v>
      </x:c>
      <x:c r="C1227" t="str">
        <x:v>Offenbarung</x:v>
      </x:c>
      <x:c r="D1227" t="n">
        <x:v>8</x:v>
      </x:c>
      <x:c r="E1227" t="n">
        <x:v>1</x:v>
      </x:c>
      <x:c r="F1227" t="str">
        <x:v>REV-008</x:v>
      </x:c>
      <x:c r="G1227" t="n">
        <x:v>246</x:v>
      </x:c>
      <x:c r="H1227" t="str">
        <x:v>CQ-A27</x:v>
      </x:c>
      <x:c r="I1227" s="36" t="str">
        <x:v>Bestandsfrage: exakter Wortlaut in diesem Arbeitsschritt nicht rekonstruiert.</x:v>
      </x:c>
      <x:c r="J1227" s="36"/>
      <x:c r="K1227" s="36"/>
      <x:c r="L1227" s="36" t="str">
        <x:v>MASTER_STATUS_VERIFIZIERT</x:v>
      </x:c>
      <x:c r="M1227" s="36" t="str">
        <x:v>ERSETZEN</x:v>
      </x:c>
      <x:c r="N1227" s="36" t="str">
        <x:v>BESTAND_NOCH_NICHT_GEPRÜFT</x:v>
      </x:c>
      <x:c r="O1227" s="36" t="str">
        <x:v>DIDAKTISCHE_NEUFASSUNG</x:v>
      </x:c>
      <x:c r="P1227" s="36" t="str">
        <x:v>SIEBTES_SIEGEL</x:v>
      </x:c>
      <x:c r="Q1227" s="36" t="str">
        <x:v>Was geschieht unmittelbar nach dem Öffnen des siebten Siegels?</x:v>
      </x:c>
      <x:c r="R1227" s="36" t="str">
        <x:v>Alle sieben Posaunen werden gleichzeitig geblasen.</x:v>
      </x:c>
      <x:c r="S1227" s="36" t="str">
        <x:v>Babylon fällt sofort.</x:v>
      </x:c>
      <x:c r="T1227" s="36" t="str">
        <x:v>Der Drache wird in den Abgrund geworfen.</x:v>
      </x:c>
      <x:c r="U1227" s="36" t="str">
        <x:v>Im Himmel entsteht etwa eine halbe Stunde Stille.</x:v>
      </x:c>
      <x:c r="V1227" s="36" t="n">
        <x:v>3</x:v>
      </x:c>
      <x:c r="W1227" s="36" t="str">
        <x:v>Im Himmel entsteht etwa eine halbe Stunde Stille.</x:v>
      </x:c>
      <x:c r="X1227" s="36" t="str">
        <x:v>Offenbarung 8,1–2</x:v>
      </x:c>
      <x:c r="Y1227" s="36" t="str">
        <x:v>Die unerwartete Stille geht der Einführung der sieben Posaunen voraus.</x:v>
      </x:c>
      <x:c r="Z1227" s="36" t="str">
        <x:v>JA</x:v>
      </x:c>
      <x:c r="AA1227" s="36" t="str">
        <x:v>JA</x:v>
      </x:c>
      <x:c r="AB1227" s="36" t="str">
        <x:v>JA</x:v>
      </x:c>
      <x:c r="AC1227" s="36" t="str">
        <x:v>JA</x:v>
      </x:c>
      <x:c r="AD1227" s="36" t="str">
        <x:v>JA</x:v>
      </x:c>
      <x:c r="AE1227" s="36" t="str">
        <x:v>JA</x:v>
      </x:c>
      <x:c r="AF1227" s="36" t="str">
        <x:v>JA</x:v>
      </x:c>
      <x:c r="AG1227" s="36" t="str">
        <x:v>FREIGEGEBEN</x:v>
      </x:c>
      <x:c r="AH1227" s="36" t="str">
        <x:v>GPT-5.6 Sol · Buchprüfung Offenbarung · L1912/OTB</x:v>
      </x:c>
      <x:c r="AI1227" s="36" t="str">
        <x:v>FREIGEGEBEN</x:v>
      </x:c>
      <x:c r="AJ1227" s="36" t="str">
        <x:v>Offenbarung 8: neue textnahe SIEBTES_SIEGEL-Frage ohne unnötige Endzeit-Systemfestlegung freigegeben.</x:v>
      </x:c>
      <x:c r="AK1227" s="36" t="str">
        <x:v>FaithPath repo develop/v4 · data/bibles/l1912/REV.json · data/bibles/otb/REV.json</x:v>
      </x:c>
      <x:c r="AL1227" t="str">
        <x:v>JA</x:v>
      </x:c>
    </x:row>
    <x:row r="1228">
      <x:c r="A1228" t="str">
        <x:v>FP-1487</x:v>
      </x:c>
      <x:c r="B1228" t="str">
        <x:v>REV</x:v>
      </x:c>
      <x:c r="C1228" t="str">
        <x:v>Offenbarung</x:v>
      </x:c>
      <x:c r="D1228" t="n">
        <x:v>8</x:v>
      </x:c>
      <x:c r="E1228" t="n">
        <x:v>2</x:v>
      </x:c>
      <x:c r="F1228" t="str">
        <x:v>REV-008</x:v>
      </x:c>
      <x:c r="G1228" t="n">
        <x:v>246</x:v>
      </x:c>
      <x:c r="H1228" t="str">
        <x:v>CQ-A27</x:v>
      </x:c>
      <x:c r="I1228" s="36" t="str">
        <x:v>Bestandsfrage: exakter Wortlaut in diesem Arbeitsschritt nicht rekonstruiert.</x:v>
      </x:c>
      <x:c r="J1228" s="36"/>
      <x:c r="K1228" s="36"/>
      <x:c r="L1228" s="36" t="str">
        <x:v>MASTER_STATUS_VERIFIZIERT</x:v>
      </x:c>
      <x:c r="M1228" s="36" t="str">
        <x:v>ERSETZEN</x:v>
      </x:c>
      <x:c r="N1228" s="36" t="str">
        <x:v>BESTAND_NOCH_NICHT_GEPRÜFT</x:v>
      </x:c>
      <x:c r="O1228" s="36" t="str">
        <x:v>DIDAKTISCHE_NEUFASSUNG</x:v>
      </x:c>
      <x:c r="P1228" s="36" t="str">
        <x:v>GEBETE</x:v>
      </x:c>
      <x:c r="Q1228" s="36" t="str">
        <x:v>Womit steigt der Weihrauch vor Gott empor?</x:v>
      </x:c>
      <x:c r="R1228" s="36" t="str">
        <x:v>Mit den Gebeten der Heiligen.</x:v>
      </x:c>
      <x:c r="S1228" s="36" t="str">
        <x:v>Mit den Klagen der Kaufleute Babylons.</x:v>
      </x:c>
      <x:c r="T1228" s="36" t="str">
        <x:v>Mit dem Blut der vier Pferde.</x:v>
      </x:c>
      <x:c r="U1228" s="36" t="str">
        <x:v>Mit den Namen der Könige.</x:v>
      </x:c>
      <x:c r="V1228" s="36" t="n">
        <x:v>0</x:v>
      </x:c>
      <x:c r="W1228" s="36" t="str">
        <x:v>Mit den Gebeten der Heiligen.</x:v>
      </x:c>
      <x:c r="X1228" s="36" t="str">
        <x:v>Offenbarung 8,3–5</x:v>
      </x:c>
      <x:c r="Y1228" s="36" t="str">
        <x:v>Wie zuvor in Kapitel 5 werden die Gebete des Volkes Gottes in die himmlische Szene einbezogen.</x:v>
      </x:c>
      <x:c r="Z1228" s="36" t="str">
        <x:v>JA</x:v>
      </x:c>
      <x:c r="AA1228" s="36" t="str">
        <x:v>JA</x:v>
      </x:c>
      <x:c r="AB1228" s="36" t="str">
        <x:v>JA</x:v>
      </x:c>
      <x:c r="AC1228" s="36" t="str">
        <x:v>JA</x:v>
      </x:c>
      <x:c r="AD1228" s="36" t="str">
        <x:v>JA</x:v>
      </x:c>
      <x:c r="AE1228" s="36" t="str">
        <x:v>JA</x:v>
      </x:c>
      <x:c r="AF1228" s="36" t="str">
        <x:v>JA</x:v>
      </x:c>
      <x:c r="AG1228" s="36" t="str">
        <x:v>FREIGEGEBEN</x:v>
      </x:c>
      <x:c r="AH1228" s="36" t="str">
        <x:v>GPT-5.6 Sol · Buchprüfung Offenbarung · L1912/OTB</x:v>
      </x:c>
      <x:c r="AI1228" s="36" t="str">
        <x:v>FREIGEGEBEN</x:v>
      </x:c>
      <x:c r="AJ1228" s="36" t="str">
        <x:v>Offenbarung 8: neue textnahe GEBETE-Frage ohne unnötige Endzeit-Systemfestlegung freigegeben.</x:v>
      </x:c>
      <x:c r="AK1228" s="36" t="str">
        <x:v>FaithPath repo develop/v4 · data/bibles/l1912/REV.json · data/bibles/otb/REV.json</x:v>
      </x:c>
      <x:c r="AL1228" t="str">
        <x:v>JA</x:v>
      </x:c>
    </x:row>
    <x:row r="1229">
      <x:c r="A1229" t="str">
        <x:v>FP-1488</x:v>
      </x:c>
      <x:c r="B1229" t="str">
        <x:v>REV</x:v>
      </x:c>
      <x:c r="C1229" t="str">
        <x:v>Offenbarung</x:v>
      </x:c>
      <x:c r="D1229" t="n">
        <x:v>8</x:v>
      </x:c>
      <x:c r="E1229" t="n">
        <x:v>3</x:v>
      </x:c>
      <x:c r="F1229" t="str">
        <x:v>REV-008</x:v>
      </x:c>
      <x:c r="G1229" t="n">
        <x:v>246</x:v>
      </x:c>
      <x:c r="H1229" t="str">
        <x:v>CQ-A27</x:v>
      </x:c>
      <x:c r="I1229" s="36" t="str">
        <x:v>Bestandsfrage: exakter Wortlaut in diesem Arbeitsschritt nicht rekonstruiert.</x:v>
      </x:c>
      <x:c r="J1229" s="36"/>
      <x:c r="K1229" s="36"/>
      <x:c r="L1229" s="36" t="str">
        <x:v>MASTER_STATUS_VERIFIZIERT</x:v>
      </x:c>
      <x:c r="M1229" s="36" t="str">
        <x:v>ERSETZEN</x:v>
      </x:c>
      <x:c r="N1229" s="36" t="str">
        <x:v>BESTAND_NOCH_NICHT_GEPRÜFT</x:v>
      </x:c>
      <x:c r="O1229" s="36" t="str">
        <x:v>DIDAKTISCHE_NEUFASSUNG</x:v>
      </x:c>
      <x:c r="P1229" s="36" t="str">
        <x:v>ERSTE_POSAUNE</x:v>
      </x:c>
      <x:c r="Q1229" s="36" t="str">
        <x:v>Welche Folgen hat die erste Posaune?</x:v>
      </x:c>
      <x:c r="R1229" s="36" t="str">
        <x:v>Das Meer wird vollständig zu Blut.</x:v>
      </x:c>
      <x:c r="S1229" s="36" t="str">
        <x:v>Hagel und Feuer mit Blut treffen die Erde, sodass ein Drittel der Erde und Bäume verbrennt und das grüne Gras betroffen ist.</x:v>
      </x:c>
      <x:c r="T1229" s="36" t="str">
        <x:v>Der Euphrat trocknet aus.</x:v>
      </x:c>
      <x:c r="U1229" s="36" t="str">
        <x:v>Der Abgrund wird geöffnet.</x:v>
      </x:c>
      <x:c r="V1229" s="36" t="n">
        <x:v>1</x:v>
      </x:c>
      <x:c r="W1229" s="36" t="str">
        <x:v>Hagel und Feuer mit Blut treffen die Erde, sodass ein Drittel der Erde und Bäume verbrennt und das grüne Gras betroffen ist.</x:v>
      </x:c>
      <x:c r="X1229" s="36" t="str">
        <x:v>Offenbarung 8,6–7</x:v>
      </x:c>
      <x:c r="Y1229" s="36" t="str">
        <x:v>Die erste Posaune trifft vor allem Land und Vegetation.</x:v>
      </x:c>
      <x:c r="Z1229" s="36" t="str">
        <x:v>JA</x:v>
      </x:c>
      <x:c r="AA1229" s="36" t="str">
        <x:v>JA</x:v>
      </x:c>
      <x:c r="AB1229" s="36" t="str">
        <x:v>JA</x:v>
      </x:c>
      <x:c r="AC1229" s="36" t="str">
        <x:v>JA</x:v>
      </x:c>
      <x:c r="AD1229" s="36" t="str">
        <x:v>JA</x:v>
      </x:c>
      <x:c r="AE1229" s="36" t="str">
        <x:v>JA</x:v>
      </x:c>
      <x:c r="AF1229" s="36" t="str">
        <x:v>JA</x:v>
      </x:c>
      <x:c r="AG1229" s="36" t="str">
        <x:v>FREIGEGEBEN</x:v>
      </x:c>
      <x:c r="AH1229" s="36" t="str">
        <x:v>GPT-5.6 Sol · Buchprüfung Offenbarung · L1912/OTB</x:v>
      </x:c>
      <x:c r="AI1229" s="36" t="str">
        <x:v>FREIGEGEBEN</x:v>
      </x:c>
      <x:c r="AJ1229" s="36" t="str">
        <x:v>Offenbarung 8: neue textnahe ERSTE_POSAUNE-Frage ohne unnötige Endzeit-Systemfestlegung freigegeben.</x:v>
      </x:c>
      <x:c r="AK1229" s="36" t="str">
        <x:v>FaithPath repo develop/v4 · data/bibles/l1912/REV.json · data/bibles/otb/REV.json</x:v>
      </x:c>
      <x:c r="AL1229" t="str">
        <x:v>JA</x:v>
      </x:c>
    </x:row>
    <x:row r="1230">
      <x:c r="A1230" t="str">
        <x:v>FP-1489</x:v>
      </x:c>
      <x:c r="B1230" t="str">
        <x:v>REV</x:v>
      </x:c>
      <x:c r="C1230" t="str">
        <x:v>Offenbarung</x:v>
      </x:c>
      <x:c r="D1230" t="n">
        <x:v>8</x:v>
      </x:c>
      <x:c r="E1230" t="n">
        <x:v>4</x:v>
      </x:c>
      <x:c r="F1230" t="str">
        <x:v>REV-008</x:v>
      </x:c>
      <x:c r="G1230" t="n">
        <x:v>246</x:v>
      </x:c>
      <x:c r="H1230" t="str">
        <x:v>CQ-A27</x:v>
      </x:c>
      <x:c r="I1230" s="36" t="str">
        <x:v>Bestandsfrage: exakter Wortlaut in diesem Arbeitsschritt nicht rekonstruiert.</x:v>
      </x:c>
      <x:c r="J1230" s="36"/>
      <x:c r="K1230" s="36"/>
      <x:c r="L1230" s="36" t="str">
        <x:v>MASTER_STATUS_VERIFIZIERT</x:v>
      </x:c>
      <x:c r="M1230" s="36" t="str">
        <x:v>ERSETZEN</x:v>
      </x:c>
      <x:c r="N1230" s="36" t="str">
        <x:v>BESTAND_NOCH_NICHT_GEPRÜFT</x:v>
      </x:c>
      <x:c r="O1230" s="36" t="str">
        <x:v>DIDAKTISCHE_NEUFASSUNG</x:v>
      </x:c>
      <x:c r="P1230" s="36" t="str">
        <x:v>DRITTE_POSAUNE</x:v>
      </x:c>
      <x:c r="Q1230" s="36" t="str">
        <x:v>Wie heißt der große Stern, der bei der dritten Posaune auf Gewässer fällt?</x:v>
      </x:c>
      <x:c r="R1230" s="36" t="str">
        <x:v>Abaddon.</x:v>
      </x:c>
      <x:c r="S1230" s="36" t="str">
        <x:v>Babylon.</x:v>
      </x:c>
      <x:c r="T1230" s="36" t="str">
        <x:v>Wermut.</x:v>
      </x:c>
      <x:c r="U1230" s="36" t="str">
        <x:v>Morgenstern.</x:v>
      </x:c>
      <x:c r="V1230" s="36" t="n">
        <x:v>2</x:v>
      </x:c>
      <x:c r="W1230" s="36" t="str">
        <x:v>Wermut.</x:v>
      </x:c>
      <x:c r="X1230" s="36" t="str">
        <x:v>Offenbarung 8,10–11</x:v>
      </x:c>
      <x:c r="Y1230" s="36" t="str">
        <x:v>Der Stern Wermut macht einen Teil der Wasser bitter, woran Menschen sterben.</x:v>
      </x:c>
      <x:c r="Z1230" s="36" t="str">
        <x:v>JA</x:v>
      </x:c>
      <x:c r="AA1230" s="36" t="str">
        <x:v>JA</x:v>
      </x:c>
      <x:c r="AB1230" s="36" t="str">
        <x:v>JA</x:v>
      </x:c>
      <x:c r="AC1230" s="36" t="str">
        <x:v>JA</x:v>
      </x:c>
      <x:c r="AD1230" s="36" t="str">
        <x:v>JA</x:v>
      </x:c>
      <x:c r="AE1230" s="36" t="str">
        <x:v>JA</x:v>
      </x:c>
      <x:c r="AF1230" s="36" t="str">
        <x:v>JA</x:v>
      </x:c>
      <x:c r="AG1230" s="36" t="str">
        <x:v>FREIGEGEBEN</x:v>
      </x:c>
      <x:c r="AH1230" s="36" t="str">
        <x:v>GPT-5.6 Sol · Buchprüfung Offenbarung · L1912/OTB</x:v>
      </x:c>
      <x:c r="AI1230" s="36" t="str">
        <x:v>FREIGEGEBEN</x:v>
      </x:c>
      <x:c r="AJ1230" s="36" t="str">
        <x:v>Offenbarung 8: neue textnahe DRITTE_POSAUNE-Frage ohne unnötige Endzeit-Systemfestlegung freigegeben.</x:v>
      </x:c>
      <x:c r="AK1230" s="36" t="str">
        <x:v>FaithPath repo develop/v4 · data/bibles/l1912/REV.json · data/bibles/otb/REV.json</x:v>
      </x:c>
      <x:c r="AL1230" t="str">
        <x:v>JA</x:v>
      </x:c>
    </x:row>
    <x:row r="1231">
      <x:c r="A1231" t="str">
        <x:v>FP-1490</x:v>
      </x:c>
      <x:c r="B1231" t="str">
        <x:v>REV</x:v>
      </x:c>
      <x:c r="C1231" t="str">
        <x:v>Offenbarung</x:v>
      </x:c>
      <x:c r="D1231" t="n">
        <x:v>8</x:v>
      </x:c>
      <x:c r="E1231" t="n">
        <x:v>5</x:v>
      </x:c>
      <x:c r="F1231" t="str">
        <x:v>REV-008</x:v>
      </x:c>
      <x:c r="G1231" t="n">
        <x:v>246</x:v>
      </x:c>
      <x:c r="H1231" t="str">
        <x:v>CQ-A27</x:v>
      </x:c>
      <x:c r="I1231" s="36" t="str">
        <x:v>Bestandsfrage: exakter Wortlaut in diesem Arbeitsschritt nicht rekonstruiert.</x:v>
      </x:c>
      <x:c r="J1231" s="36"/>
      <x:c r="K1231" s="36"/>
      <x:c r="L1231" s="36" t="str">
        <x:v>MASTER_STATUS_VERIFIZIERT</x:v>
      </x:c>
      <x:c r="M1231" s="36" t="str">
        <x:v>ERSETZEN</x:v>
      </x:c>
      <x:c r="N1231" s="36" t="str">
        <x:v>BESTAND_NOCH_NICHT_GEPRÜFT</x:v>
      </x:c>
      <x:c r="O1231" s="36" t="str">
        <x:v>DIDAKTISCHE_NEUFASSUNG</x:v>
      </x:c>
      <x:c r="P1231" s="36" t="str">
        <x:v>WEHERUF</x:v>
      </x:c>
      <x:c r="Q1231" s="36" t="str">
        <x:v>Was kündigt der fliegende Adler nach der vierten Posaune an?</x:v>
      </x:c>
      <x:c r="R1231" s="36" t="str">
        <x:v>Das Ende aller Gerichte.</x:v>
      </x:c>
      <x:c r="S1231" s="36" t="str">
        <x:v>Die Hochzeit des Lammes.</x:v>
      </x:c>
      <x:c r="T1231" s="36" t="str">
        <x:v>Die sofortige Erschaffung der neuen Erde.</x:v>
      </x:c>
      <x:c r="U1231" s="36" t="str">
        <x:v>Drei Weherufe wegen der noch kommenden Posaunen.</x:v>
      </x:c>
      <x:c r="V1231" s="36" t="n">
        <x:v>3</x:v>
      </x:c>
      <x:c r="W1231" s="36" t="str">
        <x:v>Drei Weherufe wegen der noch kommenden Posaunen.</x:v>
      </x:c>
      <x:c r="X1231" s="36" t="str">
        <x:v>Offenbarung 8,12–13</x:v>
      </x:c>
      <x:c r="Y1231" s="36" t="str">
        <x:v>Nach den ersten vier Posaunen steigert der dreifache Weheruf die Spannung auf die verbleibenden drei.</x:v>
      </x:c>
      <x:c r="Z1231" s="36" t="str">
        <x:v>JA</x:v>
      </x:c>
      <x:c r="AA1231" s="36" t="str">
        <x:v>JA</x:v>
      </x:c>
      <x:c r="AB1231" s="36" t="str">
        <x:v>JA</x:v>
      </x:c>
      <x:c r="AC1231" s="36" t="str">
        <x:v>JA</x:v>
      </x:c>
      <x:c r="AD1231" s="36" t="str">
        <x:v>JA</x:v>
      </x:c>
      <x:c r="AE1231" s="36" t="str">
        <x:v>JA</x:v>
      </x:c>
      <x:c r="AF1231" s="36" t="str">
        <x:v>JA</x:v>
      </x:c>
      <x:c r="AG1231" s="36" t="str">
        <x:v>FREIGEGEBEN</x:v>
      </x:c>
      <x:c r="AH1231" s="36" t="str">
        <x:v>GPT-5.6 Sol · Buchprüfung Offenbarung · L1912/OTB</x:v>
      </x:c>
      <x:c r="AI1231" s="36" t="str">
        <x:v>FREIGEGEBEN</x:v>
      </x:c>
      <x:c r="AJ1231" s="36" t="str">
        <x:v>Offenbarung 8: neue textnahe WEHERUF-Frage ohne unnötige Endzeit-Systemfestlegung freigegeben.</x:v>
      </x:c>
      <x:c r="AK1231" s="36" t="str">
        <x:v>FaithPath repo develop/v4 · data/bibles/l1912/REV.json · data/bibles/otb/REV.json</x:v>
      </x:c>
      <x:c r="AL1231" t="str">
        <x:v>JA</x:v>
      </x:c>
    </x:row>
    <x:row r="1232">
      <x:c r="A1232" t="str">
        <x:v>FP-1491</x:v>
      </x:c>
      <x:c r="B1232" t="str">
        <x:v>REV</x:v>
      </x:c>
      <x:c r="C1232" t="str">
        <x:v>Offenbarung</x:v>
      </x:c>
      <x:c r="D1232" t="n">
        <x:v>9</x:v>
      </x:c>
      <x:c r="E1232" t="n">
        <x:v>1</x:v>
      </x:c>
      <x:c r="F1232" t="str">
        <x:v>REV-009</x:v>
      </x:c>
      <x:c r="G1232" t="n">
        <x:v>247</x:v>
      </x:c>
      <x:c r="H1232" t="str">
        <x:v>CQ-A27</x:v>
      </x:c>
      <x:c r="I1232" s="36" t="str">
        <x:v>Bestandsfrage: exakter Wortlaut in diesem Arbeitsschritt nicht rekonstruiert.</x:v>
      </x:c>
      <x:c r="J1232" s="36"/>
      <x:c r="K1232" s="36"/>
      <x:c r="L1232" s="36" t="str">
        <x:v>MASTER_STATUS_VERIFIZIERT</x:v>
      </x:c>
      <x:c r="M1232" s="36" t="str">
        <x:v>ERSETZEN</x:v>
      </x:c>
      <x:c r="N1232" s="36" t="str">
        <x:v>BESTAND_NOCH_NICHT_GEPRÜFT</x:v>
      </x:c>
      <x:c r="O1232" s="36" t="str">
        <x:v>DIDAKTISCHE_NEUFASSUNG</x:v>
      </x:c>
      <x:c r="P1232" s="36" t="str">
        <x:v>FÜNFTE_POSAUNE</x:v>
      </x:c>
      <x:c r="Q1232" s="36" t="str">
        <x:v>Wen dürfen die aus dem Abgrund kommenden Heuschrecken angreifen?</x:v>
      </x:c>
      <x:c r="R1232" s="36" t="str">
        <x:v>Menschen, die das Siegel Gottes nicht auf der Stirn haben.</x:v>
      </x:c>
      <x:c r="S1232" s="36" t="str">
        <x:v>Alle grünen Pflanzen und Bäume.</x:v>
      </x:c>
      <x:c r="T1232" s="36" t="str">
        <x:v>Nur die vierundzwanzig Ältesten.</x:v>
      </x:c>
      <x:c r="U1232" s="36" t="str">
        <x:v>Ausschließlich die sieben Engel.</x:v>
      </x:c>
      <x:c r="V1232" s="36" t="n">
        <x:v>0</x:v>
      </x:c>
      <x:c r="W1232" s="36" t="str">
        <x:v>Menschen, die das Siegel Gottes nicht auf der Stirn haben.</x:v>
      </x:c>
      <x:c r="X1232" s="36" t="str">
        <x:v>Offenbarung 9,1–5</x:v>
      </x:c>
      <x:c r="Y1232" s="36" t="str">
        <x:v>Den Heuschrecken wird ausdrücklich verboten, Pflanzen zu beschädigen; ihre begrenzte Macht richtet sich gegen nicht versiegelte Menschen.</x:v>
      </x:c>
      <x:c r="Z1232" s="36" t="str">
        <x:v>JA</x:v>
      </x:c>
      <x:c r="AA1232" s="36" t="str">
        <x:v>JA</x:v>
      </x:c>
      <x:c r="AB1232" s="36" t="str">
        <x:v>JA</x:v>
      </x:c>
      <x:c r="AC1232" s="36" t="str">
        <x:v>JA</x:v>
      </x:c>
      <x:c r="AD1232" s="36" t="str">
        <x:v>JA</x:v>
      </x:c>
      <x:c r="AE1232" s="36" t="str">
        <x:v>JA</x:v>
      </x:c>
      <x:c r="AF1232" s="36" t="str">
        <x:v>JA</x:v>
      </x:c>
      <x:c r="AG1232" s="36" t="str">
        <x:v>FREIGEGEBEN</x:v>
      </x:c>
      <x:c r="AH1232" s="36" t="str">
        <x:v>GPT-5.6 Sol · Buchprüfung Offenbarung · L1912/OTB</x:v>
      </x:c>
      <x:c r="AI1232" s="36" t="str">
        <x:v>FREIGEGEBEN</x:v>
      </x:c>
      <x:c r="AJ1232" s="36" t="str">
        <x:v>Offenbarung 9: neue textnahe FÜNFTE_POSAUNE-Frage ohne unnötige Endzeit-Systemfestlegung freigegeben.</x:v>
      </x:c>
      <x:c r="AK1232" s="36" t="str">
        <x:v>FaithPath repo develop/v4 · data/bibles/l1912/REV.json · data/bibles/otb/REV.json</x:v>
      </x:c>
      <x:c r="AL1232" t="str">
        <x:v>JA</x:v>
      </x:c>
    </x:row>
    <x:row r="1233">
      <x:c r="A1233" t="str">
        <x:v>FP-1492</x:v>
      </x:c>
      <x:c r="B1233" t="str">
        <x:v>REV</x:v>
      </x:c>
      <x:c r="C1233" t="str">
        <x:v>Offenbarung</x:v>
      </x:c>
      <x:c r="D1233" t="n">
        <x:v>9</x:v>
      </x:c>
      <x:c r="E1233" t="n">
        <x:v>2</x:v>
      </x:c>
      <x:c r="F1233" t="str">
        <x:v>REV-009</x:v>
      </x:c>
      <x:c r="G1233" t="n">
        <x:v>247</x:v>
      </x:c>
      <x:c r="H1233" t="str">
        <x:v>CQ-A27</x:v>
      </x:c>
      <x:c r="I1233" s="36" t="str">
        <x:v>Bestandsfrage: exakter Wortlaut in diesem Arbeitsschritt nicht rekonstruiert.</x:v>
      </x:c>
      <x:c r="J1233" s="36"/>
      <x:c r="K1233" s="36"/>
      <x:c r="L1233" s="36" t="str">
        <x:v>MASTER_STATUS_VERIFIZIERT</x:v>
      </x:c>
      <x:c r="M1233" s="36" t="str">
        <x:v>ERSETZEN</x:v>
      </x:c>
      <x:c r="N1233" s="36" t="str">
        <x:v>BESTAND_NOCH_NICHT_GEPRÜFT</x:v>
      </x:c>
      <x:c r="O1233" s="36" t="str">
        <x:v>DIDAKTISCHE_NEUFASSUNG</x:v>
      </x:c>
      <x:c r="P1233" s="36" t="str">
        <x:v>BEGRENZUNG</x:v>
      </x:c>
      <x:c r="Q1233" s="36" t="str">
        <x:v>Welche Grenze wird der Qual durch die Heuschrecken gesetzt?</x:v>
      </x:c>
      <x:c r="R1233" s="36" t="str">
        <x:v>Sie dürfen nur fünf Tage wirken.</x:v>
      </x:c>
      <x:c r="S1233" s="36" t="str">
        <x:v>Sie dürfen fünf Monate quälen, aber nicht töten.</x:v>
      </x:c>
      <x:c r="T1233" s="36" t="str">
        <x:v>Sie dürfen die ganze Menschheit töten.</x:v>
      </x:c>
      <x:c r="U1233" s="36" t="str">
        <x:v>Sie dürfen ausschließlich Wasser vergiften.</x:v>
      </x:c>
      <x:c r="V1233" s="36" t="n">
        <x:v>1</x:v>
      </x:c>
      <x:c r="W1233" s="36" t="str">
        <x:v>Sie dürfen fünf Monate quälen, aber nicht töten.</x:v>
      </x:c>
      <x:c r="X1233" s="36" t="str">
        <x:v>Offenbarung 9,5–10</x:v>
      </x:c>
      <x:c r="Y1233" s="36" t="str">
        <x:v>Die Macht der Plage ist schwer, aber zeitlich und hinsichtlich des Tötens begrenzt.</x:v>
      </x:c>
      <x:c r="Z1233" s="36" t="str">
        <x:v>JA</x:v>
      </x:c>
      <x:c r="AA1233" s="36" t="str">
        <x:v>JA</x:v>
      </x:c>
      <x:c r="AB1233" s="36" t="str">
        <x:v>JA</x:v>
      </x:c>
      <x:c r="AC1233" s="36" t="str">
        <x:v>JA</x:v>
      </x:c>
      <x:c r="AD1233" s="36" t="str">
        <x:v>JA</x:v>
      </x:c>
      <x:c r="AE1233" s="36" t="str">
        <x:v>JA</x:v>
      </x:c>
      <x:c r="AF1233" s="36" t="str">
        <x:v>JA</x:v>
      </x:c>
      <x:c r="AG1233" s="36" t="str">
        <x:v>FREIGEGEBEN</x:v>
      </x:c>
      <x:c r="AH1233" s="36" t="str">
        <x:v>GPT-5.6 Sol · Buchprüfung Offenbarung · L1912/OTB</x:v>
      </x:c>
      <x:c r="AI1233" s="36" t="str">
        <x:v>FREIGEGEBEN</x:v>
      </x:c>
      <x:c r="AJ1233" s="36" t="str">
        <x:v>Offenbarung 9: neue textnahe BEGRENZUNG-Frage ohne unnötige Endzeit-Systemfestlegung freigegeben.</x:v>
      </x:c>
      <x:c r="AK1233" s="36" t="str">
        <x:v>FaithPath repo develop/v4 · data/bibles/l1912/REV.json · data/bibles/otb/REV.json</x:v>
      </x:c>
      <x:c r="AL1233" t="str">
        <x:v>JA</x:v>
      </x:c>
    </x:row>
    <x:row r="1234">
      <x:c r="A1234" t="str">
        <x:v>FP-1493</x:v>
      </x:c>
      <x:c r="B1234" t="str">
        <x:v>REV</x:v>
      </x:c>
      <x:c r="C1234" t="str">
        <x:v>Offenbarung</x:v>
      </x:c>
      <x:c r="D1234" t="n">
        <x:v>9</x:v>
      </x:c>
      <x:c r="E1234" t="n">
        <x:v>3</x:v>
      </x:c>
      <x:c r="F1234" t="str">
        <x:v>REV-009</x:v>
      </x:c>
      <x:c r="G1234" t="n">
        <x:v>247</x:v>
      </x:c>
      <x:c r="H1234" t="str">
        <x:v>CQ-A27</x:v>
      </x:c>
      <x:c r="I1234" s="36" t="str">
        <x:v>Bestandsfrage: exakter Wortlaut in diesem Arbeitsschritt nicht rekonstruiert.</x:v>
      </x:c>
      <x:c r="J1234" s="36"/>
      <x:c r="K1234" s="36"/>
      <x:c r="L1234" s="36" t="str">
        <x:v>MASTER_STATUS_VERIFIZIERT</x:v>
      </x:c>
      <x:c r="M1234" s="36" t="str">
        <x:v>ERSETZEN</x:v>
      </x:c>
      <x:c r="N1234" s="36" t="str">
        <x:v>BESTAND_NOCH_NICHT_GEPRÜFT</x:v>
      </x:c>
      <x:c r="O1234" s="36" t="str">
        <x:v>DIDAKTISCHE_NEUFASSUNG</x:v>
      </x:c>
      <x:c r="P1234" s="36" t="str">
        <x:v>ABGRUND</x:v>
      </x:c>
      <x:c r="Q1234" s="36" t="str">
        <x:v>Wie heißt der König über die Heuschrecken?</x:v>
      </x:c>
      <x:c r="R1234" s="36" t="str">
        <x:v>Michael und Gabriel.</x:v>
      </x:c>
      <x:c r="S1234" s="36" t="str">
        <x:v>Gog und Magog.</x:v>
      </x:c>
      <x:c r="T1234" s="36" t="str">
        <x:v>Abaddon auf Hebräisch und Apollyon auf Griechisch.</x:v>
      </x:c>
      <x:c r="U1234" s="36" t="str">
        <x:v>Bileam und Balak.</x:v>
      </x:c>
      <x:c r="V1234" s="36" t="n">
        <x:v>2</x:v>
      </x:c>
      <x:c r="W1234" s="36" t="str">
        <x:v>Abaddon auf Hebräisch und Apollyon auf Griechisch.</x:v>
      </x:c>
      <x:c r="X1234" s="36" t="str">
        <x:v>Offenbarung 9,11</x:v>
      </x:c>
      <x:c r="Y1234" s="36" t="str">
        <x:v>Der Text nennt beide Sprachformen des Namens für den Engel des Abgrunds.</x:v>
      </x:c>
      <x:c r="Z1234" s="36" t="str">
        <x:v>JA</x:v>
      </x:c>
      <x:c r="AA1234" s="36" t="str">
        <x:v>JA</x:v>
      </x:c>
      <x:c r="AB1234" s="36" t="str">
        <x:v>JA</x:v>
      </x:c>
      <x:c r="AC1234" s="36" t="str">
        <x:v>JA</x:v>
      </x:c>
      <x:c r="AD1234" s="36" t="str">
        <x:v>JA</x:v>
      </x:c>
      <x:c r="AE1234" s="36" t="str">
        <x:v>JA</x:v>
      </x:c>
      <x:c r="AF1234" s="36" t="str">
        <x:v>JA</x:v>
      </x:c>
      <x:c r="AG1234" s="36" t="str">
        <x:v>FREIGEGEBEN</x:v>
      </x:c>
      <x:c r="AH1234" s="36" t="str">
        <x:v>GPT-5.6 Sol · Buchprüfung Offenbarung · L1912/OTB</x:v>
      </x:c>
      <x:c r="AI1234" s="36" t="str">
        <x:v>FREIGEGEBEN</x:v>
      </x:c>
      <x:c r="AJ1234" s="36" t="str">
        <x:v>Offenbarung 9: neue textnahe ABGRUND-Frage ohne unnötige Endzeit-Systemfestlegung freigegeben.</x:v>
      </x:c>
      <x:c r="AK1234" s="36" t="str">
        <x:v>FaithPath repo develop/v4 · data/bibles/l1912/REV.json · data/bibles/otb/REV.json</x:v>
      </x:c>
      <x:c r="AL1234" t="str">
        <x:v>JA</x:v>
      </x:c>
    </x:row>
    <x:row r="1235">
      <x:c r="A1235" t="str">
        <x:v>FP-1494</x:v>
      </x:c>
      <x:c r="B1235" t="str">
        <x:v>REV</x:v>
      </x:c>
      <x:c r="C1235" t="str">
        <x:v>Offenbarung</x:v>
      </x:c>
      <x:c r="D1235" t="n">
        <x:v>9</x:v>
      </x:c>
      <x:c r="E1235" t="n">
        <x:v>4</x:v>
      </x:c>
      <x:c r="F1235" t="str">
        <x:v>REV-009</x:v>
      </x:c>
      <x:c r="G1235" t="n">
        <x:v>247</x:v>
      </x:c>
      <x:c r="H1235" t="str">
        <x:v>CQ-A27</x:v>
      </x:c>
      <x:c r="I1235" s="36" t="str">
        <x:v>Bestandsfrage: exakter Wortlaut in diesem Arbeitsschritt nicht rekonstruiert.</x:v>
      </x:c>
      <x:c r="J1235" s="36"/>
      <x:c r="K1235" s="36"/>
      <x:c r="L1235" s="36" t="str">
        <x:v>MASTER_STATUS_VERIFIZIERT</x:v>
      </x:c>
      <x:c r="M1235" s="36" t="str">
        <x:v>ERSETZEN</x:v>
      </x:c>
      <x:c r="N1235" s="36" t="str">
        <x:v>BESTAND_NOCH_NICHT_GEPRÜFT</x:v>
      </x:c>
      <x:c r="O1235" s="36" t="str">
        <x:v>DIDAKTISCHE_NEUFASSUNG</x:v>
      </x:c>
      <x:c r="P1235" s="36" t="str">
        <x:v>SECHSTE_POSAUNE</x:v>
      </x:c>
      <x:c r="Q1235" s="36" t="str">
        <x:v>Was geschieht nach der sechsten Posaune mit den vier Engeln am Euphrat?</x:v>
      </x:c>
      <x:c r="R1235" s="36" t="str">
        <x:v>Sie werden für immer stärker gebunden.</x:v>
      </x:c>
      <x:c r="S1235" s="36" t="str">
        <x:v>Sie werden zu den sieben Gemeinden gesandt.</x:v>
      </x:c>
      <x:c r="T1235" s="36" t="str">
        <x:v>Sie beginnen die Hochzeit des Lammes.</x:v>
      </x:c>
      <x:c r="U1235" s="36" t="str">
        <x:v>Sie werden freigelassen, und eine gewaltige Reiterheeres-Vision folgt.</x:v>
      </x:c>
      <x:c r="V1235" s="36" t="n">
        <x:v>3</x:v>
      </x:c>
      <x:c r="W1235" s="36" t="str">
        <x:v>Sie werden freigelassen, und eine gewaltige Reiterheeres-Vision folgt.</x:v>
      </x:c>
      <x:c r="X1235" s="36" t="str">
        <x:v>Offenbarung 9,13–19</x:v>
      </x:c>
      <x:c r="Y1235" s="36" t="str">
        <x:v>Die sechste Posaune setzt eine weitere Gerichtsvision in Gang, die mit den vier gebundenen Engeln und einer riesigen Reiterschar verbunden ist.</x:v>
      </x:c>
      <x:c r="Z1235" s="36" t="str">
        <x:v>JA</x:v>
      </x:c>
      <x:c r="AA1235" s="36" t="str">
        <x:v>JA</x:v>
      </x:c>
      <x:c r="AB1235" s="36" t="str">
        <x:v>JA</x:v>
      </x:c>
      <x:c r="AC1235" s="36" t="str">
        <x:v>JA</x:v>
      </x:c>
      <x:c r="AD1235" s="36" t="str">
        <x:v>JA</x:v>
      </x:c>
      <x:c r="AE1235" s="36" t="str">
        <x:v>JA</x:v>
      </x:c>
      <x:c r="AF1235" s="36" t="str">
        <x:v>JA</x:v>
      </x:c>
      <x:c r="AG1235" s="36" t="str">
        <x:v>FREIGEGEBEN</x:v>
      </x:c>
      <x:c r="AH1235" s="36" t="str">
        <x:v>GPT-5.6 Sol · Buchprüfung Offenbarung · L1912/OTB</x:v>
      </x:c>
      <x:c r="AI1235" s="36" t="str">
        <x:v>FREIGEGEBEN</x:v>
      </x:c>
      <x:c r="AJ1235" s="36" t="str">
        <x:v>Offenbarung 9: neue textnahe SECHSTE_POSAUNE-Frage ohne unnötige Endzeit-Systemfestlegung freigegeben.</x:v>
      </x:c>
      <x:c r="AK1235" s="36" t="str">
        <x:v>FaithPath repo develop/v4 · data/bibles/l1912/REV.json · data/bibles/otb/REV.json</x:v>
      </x:c>
      <x:c r="AL1235" t="str">
        <x:v>JA</x:v>
      </x:c>
    </x:row>
    <x:row r="1236">
      <x:c r="A1236" t="str">
        <x:v>FP-1495</x:v>
      </x:c>
      <x:c r="B1236" t="str">
        <x:v>REV</x:v>
      </x:c>
      <x:c r="C1236" t="str">
        <x:v>Offenbarung</x:v>
      </x:c>
      <x:c r="D1236" t="n">
        <x:v>9</x:v>
      </x:c>
      <x:c r="E1236" t="n">
        <x:v>5</x:v>
      </x:c>
      <x:c r="F1236" t="str">
        <x:v>REV-009</x:v>
      </x:c>
      <x:c r="G1236" t="n">
        <x:v>247</x:v>
      </x:c>
      <x:c r="H1236" t="str">
        <x:v>CQ-A27</x:v>
      </x:c>
      <x:c r="I1236" s="36" t="str">
        <x:v>Bestandsfrage: exakter Wortlaut in diesem Arbeitsschritt nicht rekonstruiert.</x:v>
      </x:c>
      <x:c r="J1236" s="36"/>
      <x:c r="K1236" s="36"/>
      <x:c r="L1236" s="36" t="str">
        <x:v>MASTER_STATUS_VERIFIZIERT</x:v>
      </x:c>
      <x:c r="M1236" s="36" t="str">
        <x:v>ERSETZEN</x:v>
      </x:c>
      <x:c r="N1236" s="36" t="str">
        <x:v>BESTAND_NOCH_NICHT_GEPRÜFT</x:v>
      </x:c>
      <x:c r="O1236" s="36" t="str">
        <x:v>DIDAKTISCHE_NEUFASSUNG</x:v>
      </x:c>
      <x:c r="P1236" s="36" t="str">
        <x:v>REAKTION</x:v>
      </x:c>
      <x:c r="Q1236" s="36" t="str">
        <x:v>Wie reagieren die Überlebenden auf die schweren Plagen?</x:v>
      </x:c>
      <x:c r="R1236" s="36" t="str">
        <x:v>Sie kehren dennoch nicht von Götzendienst, Mord, Zauberei, Unmoral und Diebstahl um.</x:v>
      </x:c>
      <x:c r="S1236" s="36" t="str">
        <x:v>Sie tun geschlossen Buße.</x:v>
      </x:c>
      <x:c r="T1236" s="36" t="str">
        <x:v>Sie beginnen sofort Gott anzubeten.</x:v>
      </x:c>
      <x:c r="U1236" s="36" t="str">
        <x:v>Sie bitten Johannes, die Vision zu beenden.</x:v>
      </x:c>
      <x:c r="V1236" s="36" t="n">
        <x:v>0</x:v>
      </x:c>
      <x:c r="W1236" s="36" t="str">
        <x:v>Sie kehren dennoch nicht von Götzendienst, Mord, Zauberei, Unmoral und Diebstahl um.</x:v>
      </x:c>
      <x:c r="X1236" s="36" t="str">
        <x:v>Offenbarung 9,20–21</x:v>
      </x:c>
      <x:c r="Y1236" s="36" t="str">
        <x:v>Der Abschluss betont nicht nur das Gericht, sondern die fortgesetzte Weigerung zur Umkehr.</x:v>
      </x:c>
      <x:c r="Z1236" s="36" t="str">
        <x:v>JA</x:v>
      </x:c>
      <x:c r="AA1236" s="36" t="str">
        <x:v>JA</x:v>
      </x:c>
      <x:c r="AB1236" s="36" t="str">
        <x:v>JA</x:v>
      </x:c>
      <x:c r="AC1236" s="36" t="str">
        <x:v>JA</x:v>
      </x:c>
      <x:c r="AD1236" s="36" t="str">
        <x:v>JA</x:v>
      </x:c>
      <x:c r="AE1236" s="36" t="str">
        <x:v>JA</x:v>
      </x:c>
      <x:c r="AF1236" s="36" t="str">
        <x:v>JA</x:v>
      </x:c>
      <x:c r="AG1236" s="36" t="str">
        <x:v>FREIGEGEBEN</x:v>
      </x:c>
      <x:c r="AH1236" s="36" t="str">
        <x:v>GPT-5.6 Sol · Buchprüfung Offenbarung · L1912/OTB</x:v>
      </x:c>
      <x:c r="AI1236" s="36" t="str">
        <x:v>FREIGEGEBEN</x:v>
      </x:c>
      <x:c r="AJ1236" s="36" t="str">
        <x:v>Offenbarung 9: neue textnahe REAKTION-Frage ohne unnötige Endzeit-Systemfestlegung freigegeben.</x:v>
      </x:c>
      <x:c r="AK1236" s="36" t="str">
        <x:v>FaithPath repo develop/v4 · data/bibles/l1912/REV.json · data/bibles/otb/REV.json</x:v>
      </x:c>
      <x:c r="AL1236" t="str">
        <x:v>JA</x:v>
      </x:c>
    </x:row>
    <x:row r="1237">
      <x:c r="A1237" t="str">
        <x:v>FP-1496</x:v>
      </x:c>
      <x:c r="B1237" t="str">
        <x:v>REV</x:v>
      </x:c>
      <x:c r="C1237" t="str">
        <x:v>Offenbarung</x:v>
      </x:c>
      <x:c r="D1237" t="n">
        <x:v>10</x:v>
      </x:c>
      <x:c r="E1237" t="n">
        <x:v>1</x:v>
      </x:c>
      <x:c r="F1237" t="str">
        <x:v>REV-010</x:v>
      </x:c>
      <x:c r="G1237" t="n">
        <x:v>248</x:v>
      </x:c>
      <x:c r="H1237" t="str">
        <x:v>CQ-A27</x:v>
      </x:c>
      <x:c r="I1237" s="36" t="str">
        <x:v>Bestandsfrage: exakter Wortlaut in diesem Arbeitsschritt nicht rekonstruiert.</x:v>
      </x:c>
      <x:c r="J1237" s="36"/>
      <x:c r="K1237" s="36"/>
      <x:c r="L1237" s="36" t="str">
        <x:v>MASTER_STATUS_VERIFIZIERT</x:v>
      </x:c>
      <x:c r="M1237" s="36" t="str">
        <x:v>ERSETZEN</x:v>
      </x:c>
      <x:c r="N1237" s="36" t="str">
        <x:v>BESTAND_NOCH_NICHT_GEPRÜFT</x:v>
      </x:c>
      <x:c r="O1237" s="36" t="str">
        <x:v>DIDAKTISCHE_NEUFASSUNG</x:v>
      </x:c>
      <x:c r="P1237" s="36" t="str">
        <x:v>MÄCHTIGER_ENGEL</x:v>
      </x:c>
      <x:c r="Q1237" s="36" t="str">
        <x:v>Wie steht der mächtige Engel mit der kleinen offenen Schriftrolle?</x:v>
      </x:c>
      <x:c r="R1237" s="36" t="str">
        <x:v>Mit beiden Füßen vor dem Thron.</x:v>
      </x:c>
      <x:c r="S1237" s="36" t="str">
        <x:v>Mit einem Fuß auf dem Meer und einem auf dem Land.</x:v>
      </x:c>
      <x:c r="T1237" s="36" t="str">
        <x:v>Auf dem Berg Zion neben dem Lamm.</x:v>
      </x:c>
      <x:c r="U1237" s="36" t="str">
        <x:v>Im Tempel neben der Bundeslade.</x:v>
      </x:c>
      <x:c r="V1237" s="36" t="n">
        <x:v>1</x:v>
      </x:c>
      <x:c r="W1237" s="36" t="str">
        <x:v>Mit einem Fuß auf dem Meer und einem auf dem Land.</x:v>
      </x:c>
      <x:c r="X1237" s="36" t="str">
        <x:v>Offenbarung 10,1–2</x:v>
      </x:c>
      <x:c r="Y1237" s="36" t="str">
        <x:v>Die Haltung des Engels unterstreicht die weltumspannende Dimension der folgenden Botschaft.</x:v>
      </x:c>
      <x:c r="Z1237" s="36" t="str">
        <x:v>JA</x:v>
      </x:c>
      <x:c r="AA1237" s="36" t="str">
        <x:v>JA</x:v>
      </x:c>
      <x:c r="AB1237" s="36" t="str">
        <x:v>JA</x:v>
      </x:c>
      <x:c r="AC1237" s="36" t="str">
        <x:v>JA</x:v>
      </x:c>
      <x:c r="AD1237" s="36" t="str">
        <x:v>JA</x:v>
      </x:c>
      <x:c r="AE1237" s="36" t="str">
        <x:v>JA</x:v>
      </x:c>
      <x:c r="AF1237" s="36" t="str">
        <x:v>JA</x:v>
      </x:c>
      <x:c r="AG1237" s="36" t="str">
        <x:v>FREIGEGEBEN</x:v>
      </x:c>
      <x:c r="AH1237" s="36" t="str">
        <x:v>GPT-5.6 Sol · Buchprüfung Offenbarung · L1912/OTB</x:v>
      </x:c>
      <x:c r="AI1237" s="36" t="str">
        <x:v>FREIGEGEBEN</x:v>
      </x:c>
      <x:c r="AJ1237" s="36" t="str">
        <x:v>Offenbarung 10: neue textnahe MÄCHTIGER_ENGEL-Frage ohne unnötige Endzeit-Systemfestlegung freigegeben.</x:v>
      </x:c>
      <x:c r="AK1237" s="36" t="str">
        <x:v>FaithPath repo develop/v4 · data/bibles/l1912/REV.json · data/bibles/otb/REV.json</x:v>
      </x:c>
      <x:c r="AL1237" t="str">
        <x:v>JA</x:v>
      </x:c>
    </x:row>
    <x:row r="1238">
      <x:c r="A1238" t="str">
        <x:v>FP-1497</x:v>
      </x:c>
      <x:c r="B1238" t="str">
        <x:v>REV</x:v>
      </x:c>
      <x:c r="C1238" t="str">
        <x:v>Offenbarung</x:v>
      </x:c>
      <x:c r="D1238" t="n">
        <x:v>10</x:v>
      </x:c>
      <x:c r="E1238" t="n">
        <x:v>2</x:v>
      </x:c>
      <x:c r="F1238" t="str">
        <x:v>REV-010</x:v>
      </x:c>
      <x:c r="G1238" t="n">
        <x:v>248</x:v>
      </x:c>
      <x:c r="H1238" t="str">
        <x:v>CQ-A27</x:v>
      </x:c>
      <x:c r="I1238" s="36" t="str">
        <x:v>Bestandsfrage: exakter Wortlaut in diesem Arbeitsschritt nicht rekonstruiert.</x:v>
      </x:c>
      <x:c r="J1238" s="36"/>
      <x:c r="K1238" s="36"/>
      <x:c r="L1238" s="36" t="str">
        <x:v>MASTER_STATUS_VERIFIZIERT</x:v>
      </x:c>
      <x:c r="M1238" s="36" t="str">
        <x:v>ERSETZEN</x:v>
      </x:c>
      <x:c r="N1238" s="36" t="str">
        <x:v>BESTAND_NOCH_NICHT_GEPRÜFT</x:v>
      </x:c>
      <x:c r="O1238" s="36" t="str">
        <x:v>DIDAKTISCHE_NEUFASSUNG</x:v>
      </x:c>
      <x:c r="P1238" s="36" t="str">
        <x:v>SIEBEN_DONNER</x:v>
      </x:c>
      <x:c r="Q1238" s="36" t="str">
        <x:v>Was soll Johannes mit dem Gesagten der sieben Donner tun?</x:v>
      </x:c>
      <x:c r="R1238" s="36" t="str">
        <x:v>Es sofort an die sieben Gemeinden senden.</x:v>
      </x:c>
      <x:c r="S1238" s="36" t="str">
        <x:v>Es auf die kleine Schriftrolle schreiben.</x:v>
      </x:c>
      <x:c r="T1238" s="36" t="str">
        <x:v>Es versiegeln und nicht aufschreiben.</x:v>
      </x:c>
      <x:c r="U1238" s="36" t="str">
        <x:v>Es nur dem Tier mitteilen.</x:v>
      </x:c>
      <x:c r="V1238" s="36" t="n">
        <x:v>2</x:v>
      </x:c>
      <x:c r="W1238" s="36" t="str">
        <x:v>Es versiegeln und nicht aufschreiben.</x:v>
      </x:c>
      <x:c r="X1238" s="36" t="str">
        <x:v>Offenbarung 10,3–4</x:v>
      </x:c>
      <x:c r="Y1238" s="36" t="str">
        <x:v>Nicht alles, was Johannes hört, darf er weitergeben; diese Worte bleiben ausdrücklich versiegelt.</x:v>
      </x:c>
      <x:c r="Z1238" s="36" t="str">
        <x:v>JA</x:v>
      </x:c>
      <x:c r="AA1238" s="36" t="str">
        <x:v>JA</x:v>
      </x:c>
      <x:c r="AB1238" s="36" t="str">
        <x:v>JA</x:v>
      </x:c>
      <x:c r="AC1238" s="36" t="str">
        <x:v>JA</x:v>
      </x:c>
      <x:c r="AD1238" s="36" t="str">
        <x:v>JA</x:v>
      </x:c>
      <x:c r="AE1238" s="36" t="str">
        <x:v>JA</x:v>
      </x:c>
      <x:c r="AF1238" s="36" t="str">
        <x:v>JA</x:v>
      </x:c>
      <x:c r="AG1238" s="36" t="str">
        <x:v>FREIGEGEBEN</x:v>
      </x:c>
      <x:c r="AH1238" s="36" t="str">
        <x:v>GPT-5.6 Sol · Buchprüfung Offenbarung · L1912/OTB</x:v>
      </x:c>
      <x:c r="AI1238" s="36" t="str">
        <x:v>FREIGEGEBEN</x:v>
      </x:c>
      <x:c r="AJ1238" s="36" t="str">
        <x:v>Offenbarung 10: neue textnahe SIEBEN_DONNER-Frage ohne unnötige Endzeit-Systemfestlegung freigegeben.</x:v>
      </x:c>
      <x:c r="AK1238" s="36" t="str">
        <x:v>FaithPath repo develop/v4 · data/bibles/l1912/REV.json · data/bibles/otb/REV.json</x:v>
      </x:c>
      <x:c r="AL1238" t="str">
        <x:v>JA</x:v>
      </x:c>
    </x:row>
    <x:row r="1239">
      <x:c r="A1239" t="str">
        <x:v>FP-1498</x:v>
      </x:c>
      <x:c r="B1239" t="str">
        <x:v>REV</x:v>
      </x:c>
      <x:c r="C1239" t="str">
        <x:v>Offenbarung</x:v>
      </x:c>
      <x:c r="D1239" t="n">
        <x:v>10</x:v>
      </x:c>
      <x:c r="E1239" t="n">
        <x:v>3</x:v>
      </x:c>
      <x:c r="F1239" t="str">
        <x:v>REV-010</x:v>
      </x:c>
      <x:c r="G1239" t="n">
        <x:v>248</x:v>
      </x:c>
      <x:c r="H1239" t="str">
        <x:v>CQ-A27</x:v>
      </x:c>
      <x:c r="I1239" s="36" t="str">
        <x:v>Bestandsfrage: exakter Wortlaut in diesem Arbeitsschritt nicht rekonstruiert.</x:v>
      </x:c>
      <x:c r="J1239" s="36"/>
      <x:c r="K1239" s="36"/>
      <x:c r="L1239" s="36" t="str">
        <x:v>MASTER_STATUS_VERIFIZIERT</x:v>
      </x:c>
      <x:c r="M1239" s="36" t="str">
        <x:v>ERSETZEN</x:v>
      </x:c>
      <x:c r="N1239" s="36" t="str">
        <x:v>BESTAND_NOCH_NICHT_GEPRÜFT</x:v>
      </x:c>
      <x:c r="O1239" s="36" t="str">
        <x:v>DIDAKTISCHE_NEUFASSUNG</x:v>
      </x:c>
      <x:c r="P1239" s="36" t="str">
        <x:v>GEHEIMNIS_GOTTES</x:v>
      </x:c>
      <x:c r="Q1239" s="36" t="str">
        <x:v>Wann soll nach dem Schwur des Engels das Geheimnis Gottes vollendet werden?</x:v>
      </x:c>
      <x:c r="R1239" s="36" t="str">
        <x:v>Beim ersten Siegel.</x:v>
      </x:c>
      <x:c r="S1239" s="36" t="str">
        <x:v>Erst nach dem neuen Jerusalem.</x:v>
      </x:c>
      <x:c r="T1239" s="36" t="str">
        <x:v>Vor der Botschaft an Ephesus.</x:v>
      </x:c>
      <x:c r="U1239" s="36" t="str">
        <x:v>In den Tagen, wenn der siebte Engel seine Posaune bläst.</x:v>
      </x:c>
      <x:c r="V1239" s="36" t="n">
        <x:v>3</x:v>
      </x:c>
      <x:c r="W1239" s="36" t="str">
        <x:v>In den Tagen, wenn der siebte Engel seine Posaune bläst.</x:v>
      </x:c>
      <x:c r="X1239" s="36" t="str">
        <x:v>Offenbarung 10,5–7</x:v>
      </x:c>
      <x:c r="Y1239" s="36" t="str">
        <x:v>Der Engel verbindet das Ende der Verzögerung mit der siebten Posaune und dem von den Propheten angekündigten Geheimnis Gottes.</x:v>
      </x:c>
      <x:c r="Z1239" s="36" t="str">
        <x:v>JA</x:v>
      </x:c>
      <x:c r="AA1239" s="36" t="str">
        <x:v>JA</x:v>
      </x:c>
      <x:c r="AB1239" s="36" t="str">
        <x:v>JA</x:v>
      </x:c>
      <x:c r="AC1239" s="36" t="str">
        <x:v>JA</x:v>
      </x:c>
      <x:c r="AD1239" s="36" t="str">
        <x:v>JA</x:v>
      </x:c>
      <x:c r="AE1239" s="36" t="str">
        <x:v>JA</x:v>
      </x:c>
      <x:c r="AF1239" s="36" t="str">
        <x:v>JA</x:v>
      </x:c>
      <x:c r="AG1239" s="36" t="str">
        <x:v>FREIGEGEBEN</x:v>
      </x:c>
      <x:c r="AH1239" s="36" t="str">
        <x:v>GPT-5.6 Sol · Buchprüfung Offenbarung · L1912/OTB</x:v>
      </x:c>
      <x:c r="AI1239" s="36" t="str">
        <x:v>FREIGEGEBEN</x:v>
      </x:c>
      <x:c r="AJ1239" s="36" t="str">
        <x:v>Offenbarung 10: neue textnahe GEHEIMNIS_GOTTES-Frage ohne unnötige Endzeit-Systemfestlegung freigegeben.</x:v>
      </x:c>
      <x:c r="AK1239" s="36" t="str">
        <x:v>FaithPath repo develop/v4 · data/bibles/l1912/REV.json · data/bibles/otb/REV.json</x:v>
      </x:c>
      <x:c r="AL1239" t="str">
        <x:v>JA</x:v>
      </x:c>
    </x:row>
    <x:row r="1240">
      <x:c r="A1240" t="str">
        <x:v>FP-1499</x:v>
      </x:c>
      <x:c r="B1240" t="str">
        <x:v>REV</x:v>
      </x:c>
      <x:c r="C1240" t="str">
        <x:v>Offenbarung</x:v>
      </x:c>
      <x:c r="D1240" t="n">
        <x:v>10</x:v>
      </x:c>
      <x:c r="E1240" t="n">
        <x:v>4</x:v>
      </x:c>
      <x:c r="F1240" t="str">
        <x:v>REV-010</x:v>
      </x:c>
      <x:c r="G1240" t="n">
        <x:v>248</x:v>
      </x:c>
      <x:c r="H1240" t="str">
        <x:v>CQ-A27</x:v>
      </x:c>
      <x:c r="I1240" s="36" t="str">
        <x:v>Bestandsfrage: exakter Wortlaut in diesem Arbeitsschritt nicht rekonstruiert.</x:v>
      </x:c>
      <x:c r="J1240" s="36"/>
      <x:c r="K1240" s="36"/>
      <x:c r="L1240" s="36" t="str">
        <x:v>MASTER_STATUS_VERIFIZIERT</x:v>
      </x:c>
      <x:c r="M1240" s="36" t="str">
        <x:v>ERSETZEN</x:v>
      </x:c>
      <x:c r="N1240" s="36" t="str">
        <x:v>BESTAND_NOCH_NICHT_GEPRÜFT</x:v>
      </x:c>
      <x:c r="O1240" s="36" t="str">
        <x:v>DIDAKTISCHE_NEUFASSUNG</x:v>
      </x:c>
      <x:c r="P1240" s="36" t="str">
        <x:v>SCHRIFTROLLE</x:v>
      </x:c>
      <x:c r="Q1240" s="36" t="str">
        <x:v>Wie erlebt Johannes das Essen der kleinen Schriftrolle?</x:v>
      </x:c>
      <x:c r="R1240" s="36" t="str">
        <x:v>Im Mund süß wie Honig, im Magen bitter.</x:v>
      </x:c>
      <x:c r="S1240" s="36" t="str">
        <x:v>Im Mund bitter und im Magen süß.</x:v>
      </x:c>
      <x:c r="T1240" s="36" t="str">
        <x:v>Geschmacklos und ohne Wirkung.</x:v>
      </x:c>
      <x:c r="U1240" s="36" t="str">
        <x:v>Sie wird ihm verboten zu essen.</x:v>
      </x:c>
      <x:c r="V1240" s="36" t="n">
        <x:v>0</x:v>
      </x:c>
      <x:c r="W1240" s="36" t="str">
        <x:v>Im Mund süß wie Honig, im Magen bitter.</x:v>
      </x:c>
      <x:c r="X1240" s="36" t="str">
        <x:v>Offenbarung 10,8–10</x:v>
      </x:c>
      <x:c r="Y1240" s="36" t="str">
        <x:v>Das Bild verbindet die Süße der empfangenen Botschaft mit der Bitterkeit ihres prophetischen Inhalts.</x:v>
      </x:c>
      <x:c r="Z1240" s="36" t="str">
        <x:v>JA</x:v>
      </x:c>
      <x:c r="AA1240" s="36" t="str">
        <x:v>JA</x:v>
      </x:c>
      <x:c r="AB1240" s="36" t="str">
        <x:v>JA</x:v>
      </x:c>
      <x:c r="AC1240" s="36" t="str">
        <x:v>JA</x:v>
      </x:c>
      <x:c r="AD1240" s="36" t="str">
        <x:v>JA</x:v>
      </x:c>
      <x:c r="AE1240" s="36" t="str">
        <x:v>JA</x:v>
      </x:c>
      <x:c r="AF1240" s="36" t="str">
        <x:v>JA</x:v>
      </x:c>
      <x:c r="AG1240" s="36" t="str">
        <x:v>FREIGEGEBEN</x:v>
      </x:c>
      <x:c r="AH1240" s="36" t="str">
        <x:v>GPT-5.6 Sol · Buchprüfung Offenbarung · L1912/OTB</x:v>
      </x:c>
      <x:c r="AI1240" s="36" t="str">
        <x:v>FREIGEGEBEN</x:v>
      </x:c>
      <x:c r="AJ1240" s="36" t="str">
        <x:v>Offenbarung 10: neue textnahe SCHRIFTROLLE-Frage ohne unnötige Endzeit-Systemfestlegung freigegeben.</x:v>
      </x:c>
      <x:c r="AK1240" s="36" t="str">
        <x:v>FaithPath repo develop/v4 · data/bibles/l1912/REV.json · data/bibles/otb/REV.json</x:v>
      </x:c>
      <x:c r="AL1240" t="str">
        <x:v>JA</x:v>
      </x:c>
    </x:row>
    <x:row r="1241">
      <x:c r="A1241" t="str">
        <x:v>FP-1500</x:v>
      </x:c>
      <x:c r="B1241" t="str">
        <x:v>REV</x:v>
      </x:c>
      <x:c r="C1241" t="str">
        <x:v>Offenbarung</x:v>
      </x:c>
      <x:c r="D1241" t="n">
        <x:v>10</x:v>
      </x:c>
      <x:c r="E1241" t="n">
        <x:v>5</x:v>
      </x:c>
      <x:c r="F1241" t="str">
        <x:v>REV-010</x:v>
      </x:c>
      <x:c r="G1241" t="n">
        <x:v>248</x:v>
      </x:c>
      <x:c r="H1241" t="str">
        <x:v>CQ-A27</x:v>
      </x:c>
      <x:c r="I1241" s="36" t="str">
        <x:v>Bestandsfrage: exakter Wortlaut in diesem Arbeitsschritt nicht rekonstruiert.</x:v>
      </x:c>
      <x:c r="J1241" s="36"/>
      <x:c r="K1241" s="36"/>
      <x:c r="L1241" s="36" t="str">
        <x:v>MASTER_STATUS_VERIFIZIERT</x:v>
      </x:c>
      <x:c r="M1241" s="36" t="str">
        <x:v>ERSETZEN</x:v>
      </x:c>
      <x:c r="N1241" s="36" t="str">
        <x:v>BESTAND_NOCH_NICHT_GEPRÜFT</x:v>
      </x:c>
      <x:c r="O1241" s="36" t="str">
        <x:v>DIDAKTISCHE_NEUFASSUNG</x:v>
      </x:c>
      <x:c r="P1241" s="36" t="str">
        <x:v>AUFTRAG</x:v>
      </x:c>
      <x:c r="Q1241" s="36" t="str">
        <x:v>Welchen Auftrag erhält Johannes nach dem Essen der Schriftrolle?</x:v>
      </x:c>
      <x:c r="R1241" s="36" t="str">
        <x:v>Er soll seine prophetische Tätigkeit beenden.</x:v>
      </x:c>
      <x:c r="S1241" s="36" t="str">
        <x:v>Er muss wieder über viele Völker, Nationen, Sprachen und Könige prophezeien.</x:v>
      </x:c>
      <x:c r="T1241" s="36" t="str">
        <x:v>Er soll nur noch an Ephesus schreiben.</x:v>
      </x:c>
      <x:c r="U1241" s="36" t="str">
        <x:v>Er soll die sieben Donner veröffentlichen.</x:v>
      </x:c>
      <x:c r="V1241" s="36" t="n">
        <x:v>1</x:v>
      </x:c>
      <x:c r="W1241" s="36" t="str">
        <x:v>Er muss wieder über viele Völker, Nationen, Sprachen und Könige prophezeien.</x:v>
      </x:c>
      <x:c r="X1241" s="36" t="str">
        <x:v>Offenbarung 10,11</x:v>
      </x:c>
      <x:c r="Y1241" s="36" t="str">
        <x:v>Die Vision erneuert Johannes' weltweiten prophetischen Auftrag.</x:v>
      </x:c>
      <x:c r="Z1241" s="36" t="str">
        <x:v>JA</x:v>
      </x:c>
      <x:c r="AA1241" s="36" t="str">
        <x:v>JA</x:v>
      </x:c>
      <x:c r="AB1241" s="36" t="str">
        <x:v>JA</x:v>
      </x:c>
      <x:c r="AC1241" s="36" t="str">
        <x:v>JA</x:v>
      </x:c>
      <x:c r="AD1241" s="36" t="str">
        <x:v>JA</x:v>
      </x:c>
      <x:c r="AE1241" s="36" t="str">
        <x:v>JA</x:v>
      </x:c>
      <x:c r="AF1241" s="36" t="str">
        <x:v>JA</x:v>
      </x:c>
      <x:c r="AG1241" s="36" t="str">
        <x:v>FREIGEGEBEN</x:v>
      </x:c>
      <x:c r="AH1241" s="36" t="str">
        <x:v>GPT-5.6 Sol · Buchprüfung Offenbarung · L1912/OTB</x:v>
      </x:c>
      <x:c r="AI1241" s="36" t="str">
        <x:v>FREIGEGEBEN</x:v>
      </x:c>
      <x:c r="AJ1241" s="36" t="str">
        <x:v>Offenbarung 10: neue textnahe AUFTRAG-Frage ohne unnötige Endzeit-Systemfestlegung freigegeben.</x:v>
      </x:c>
      <x:c r="AK1241" s="36" t="str">
        <x:v>FaithPath repo develop/v4 · data/bibles/l1912/REV.json · data/bibles/otb/REV.json</x:v>
      </x:c>
      <x:c r="AL1241" t="str">
        <x:v>JA</x:v>
      </x:c>
    </x:row>
    <x:row r="1242">
      <x:c r="A1242" t="str">
        <x:v>FP-1501</x:v>
      </x:c>
      <x:c r="B1242" t="str">
        <x:v>REV</x:v>
      </x:c>
      <x:c r="C1242" t="str">
        <x:v>Offenbarung</x:v>
      </x:c>
      <x:c r="D1242" t="n">
        <x:v>11</x:v>
      </x:c>
      <x:c r="E1242" t="n">
        <x:v>1</x:v>
      </x:c>
      <x:c r="F1242" t="str">
        <x:v>REV-011</x:v>
      </x:c>
      <x:c r="G1242" t="n">
        <x:v>249</x:v>
      </x:c>
      <x:c r="H1242" t="str">
        <x:v>CQ-A27</x:v>
      </x:c>
      <x:c r="I1242" s="36" t="str">
        <x:v>Bestandsfrage: exakter Wortlaut in diesem Arbeitsschritt nicht rekonstruiert.</x:v>
      </x:c>
      <x:c r="J1242" s="36"/>
      <x:c r="K1242" s="36"/>
      <x:c r="L1242" s="36" t="str">
        <x:v>MASTER_STATUS_VERIFIZIERT</x:v>
      </x:c>
      <x:c r="M1242" s="36" t="str">
        <x:v>ERSETZEN</x:v>
      </x:c>
      <x:c r="N1242" s="36" t="str">
        <x:v>BESTAND_NOCH_NICHT_GEPRÜFT</x:v>
      </x:c>
      <x:c r="O1242" s="36" t="str">
        <x:v>DIDAKTISCHE_NEUFASSUNG</x:v>
      </x:c>
      <x:c r="P1242" s="36" t="str">
        <x:v>MESSEN</x:v>
      </x:c>
      <x:c r="Q1242" s="36" t="str">
        <x:v>Was soll Johannes mit dem Messstab messen?</x:v>
      </x:c>
      <x:c r="R1242" s="36" t="str">
        <x:v>Nur die Mauern Roms.</x:v>
      </x:c>
      <x:c r="S1242" s="36" t="str">
        <x:v>Die neue Stadt Jerusalem aus Kapitel 21.</x:v>
      </x:c>
      <x:c r="T1242" s="36" t="str">
        <x:v>Den Tempel Gottes, den Altar und die dort Anbetenden, nicht aber den äußeren Hof.</x:v>
      </x:c>
      <x:c r="U1242" s="36" t="str">
        <x:v>Die sieben Gemeinden Kleinasiens.</x:v>
      </x:c>
      <x:c r="V1242" s="36" t="n">
        <x:v>2</x:v>
      </x:c>
      <x:c r="W1242" s="36" t="str">
        <x:v>Den Tempel Gottes, den Altar und die dort Anbetenden, nicht aber den äußeren Hof.</x:v>
      </x:c>
      <x:c r="X1242" s="36" t="str">
        <x:v>Offenbarung 11,1–2</x:v>
      </x:c>
      <x:c r="Y1242" s="36" t="str">
        <x:v>Tempelbereich und äußerer Hof werden bewusst unterschiedlich behandelt.</x:v>
      </x:c>
      <x:c r="Z1242" s="36" t="str">
        <x:v>JA</x:v>
      </x:c>
      <x:c r="AA1242" s="36" t="str">
        <x:v>JA</x:v>
      </x:c>
      <x:c r="AB1242" s="36" t="str">
        <x:v>JA</x:v>
      </x:c>
      <x:c r="AC1242" s="36" t="str">
        <x:v>JA</x:v>
      </x:c>
      <x:c r="AD1242" s="36" t="str">
        <x:v>JA</x:v>
      </x:c>
      <x:c r="AE1242" s="36" t="str">
        <x:v>JA</x:v>
      </x:c>
      <x:c r="AF1242" s="36" t="str">
        <x:v>JA</x:v>
      </x:c>
      <x:c r="AG1242" s="36" t="str">
        <x:v>FREIGEGEBEN</x:v>
      </x:c>
      <x:c r="AH1242" s="36" t="str">
        <x:v>GPT-5.6 Sol · Buchprüfung Offenbarung · L1912/OTB</x:v>
      </x:c>
      <x:c r="AI1242" s="36" t="str">
        <x:v>FREIGEGEBEN</x:v>
      </x:c>
      <x:c r="AJ1242" s="36" t="str">
        <x:v>Offenbarung 11: neue textnahe MESSEN-Frage ohne unnötige Endzeit-Systemfestlegung freigegeben.</x:v>
      </x:c>
      <x:c r="AK1242" s="36" t="str">
        <x:v>FaithPath repo develop/v4 · data/bibles/l1912/REV.json · data/bibles/otb/REV.json</x:v>
      </x:c>
      <x:c r="AL1242" t="str">
        <x:v>JA</x:v>
      </x:c>
    </x:row>
    <x:row r="1243">
      <x:c r="A1243" t="str">
        <x:v>FP-1502</x:v>
      </x:c>
      <x:c r="B1243" t="str">
        <x:v>REV</x:v>
      </x:c>
      <x:c r="C1243" t="str">
        <x:v>Offenbarung</x:v>
      </x:c>
      <x:c r="D1243" t="n">
        <x:v>11</x:v>
      </x:c>
      <x:c r="E1243" t="n">
        <x:v>2</x:v>
      </x:c>
      <x:c r="F1243" t="str">
        <x:v>REV-011</x:v>
      </x:c>
      <x:c r="G1243" t="n">
        <x:v>249</x:v>
      </x:c>
      <x:c r="H1243" t="str">
        <x:v>CQ-A27</x:v>
      </x:c>
      <x:c r="I1243" s="36" t="str">
        <x:v>Bestandsfrage: exakter Wortlaut in diesem Arbeitsschritt nicht rekonstruiert.</x:v>
      </x:c>
      <x:c r="J1243" s="36"/>
      <x:c r="K1243" s="36"/>
      <x:c r="L1243" s="36" t="str">
        <x:v>MASTER_STATUS_VERIFIZIERT</x:v>
      </x:c>
      <x:c r="M1243" s="36" t="str">
        <x:v>ERSETZEN</x:v>
      </x:c>
      <x:c r="N1243" s="36" t="str">
        <x:v>BESTAND_NOCH_NICHT_GEPRÜFT</x:v>
      </x:c>
      <x:c r="O1243" s="36" t="str">
        <x:v>DIDAKTISCHE_NEUFASSUNG</x:v>
      </x:c>
      <x:c r="P1243" s="36" t="str">
        <x:v>ZWEI_ZEUGEN</x:v>
      </x:c>
      <x:c r="Q1243" s="36" t="str">
        <x:v>Wie lange sollen die zwei Zeugen weissagen?</x:v>
      </x:c>
      <x:c r="R1243" s="36" t="str">
        <x:v>Sieben Tage in weißen Gewändern.</x:v>
      </x:c>
      <x:c r="S1243" s="36" t="str">
        <x:v>Tausend Jahre auf goldenen Thronen.</x:v>
      </x:c>
      <x:c r="T1243" s="36" t="str">
        <x:v>Drei Tage im Tempel.</x:v>
      </x:c>
      <x:c r="U1243" s="36" t="str">
        <x:v>1.260 Tage, bekleidet mit Sacktuch.</x:v>
      </x:c>
      <x:c r="V1243" s="36" t="n">
        <x:v>3</x:v>
      </x:c>
      <x:c r="W1243" s="36" t="str">
        <x:v>1.260 Tage, bekleidet mit Sacktuch.</x:v>
      </x:c>
      <x:c r="X1243" s="36" t="str">
        <x:v>Offenbarung 11,3–6</x:v>
      </x:c>
      <x:c r="Y1243" s="36" t="str">
        <x:v>Die beiden Zeugen werden als zwei Ölbäume und zwei Leuchter beschrieben und erhalten eine begrenzte Zeit zum Zeugnis.</x:v>
      </x:c>
      <x:c r="Z1243" s="36" t="str">
        <x:v>JA</x:v>
      </x:c>
      <x:c r="AA1243" s="36" t="str">
        <x:v>JA</x:v>
      </x:c>
      <x:c r="AB1243" s="36" t="str">
        <x:v>JA</x:v>
      </x:c>
      <x:c r="AC1243" s="36" t="str">
        <x:v>JA</x:v>
      </x:c>
      <x:c r="AD1243" s="36" t="str">
        <x:v>JA</x:v>
      </x:c>
      <x:c r="AE1243" s="36" t="str">
        <x:v>JA</x:v>
      </x:c>
      <x:c r="AF1243" s="36" t="str">
        <x:v>JA</x:v>
      </x:c>
      <x:c r="AG1243" s="36" t="str">
        <x:v>FREIGEGEBEN</x:v>
      </x:c>
      <x:c r="AH1243" s="36" t="str">
        <x:v>GPT-5.6 Sol · Buchprüfung Offenbarung · L1912/OTB</x:v>
      </x:c>
      <x:c r="AI1243" s="36" t="str">
        <x:v>FREIGEGEBEN</x:v>
      </x:c>
      <x:c r="AJ1243" s="36" t="str">
        <x:v>Offenbarung 11: neue textnahe ZWEI_ZEUGEN-Frage ohne unnötige Endzeit-Systemfestlegung freigegeben.</x:v>
      </x:c>
      <x:c r="AK1243" s="36" t="str">
        <x:v>FaithPath repo develop/v4 · data/bibles/l1912/REV.json · data/bibles/otb/REV.json</x:v>
      </x:c>
      <x:c r="AL1243" t="str">
        <x:v>JA</x:v>
      </x:c>
    </x:row>
    <x:row r="1244">
      <x:c r="A1244" t="str">
        <x:v>FP-1503</x:v>
      </x:c>
      <x:c r="B1244" t="str">
        <x:v>REV</x:v>
      </x:c>
      <x:c r="C1244" t="str">
        <x:v>Offenbarung</x:v>
      </x:c>
      <x:c r="D1244" t="n">
        <x:v>11</x:v>
      </x:c>
      <x:c r="E1244" t="n">
        <x:v>3</x:v>
      </x:c>
      <x:c r="F1244" t="str">
        <x:v>REV-011</x:v>
      </x:c>
      <x:c r="G1244" t="n">
        <x:v>249</x:v>
      </x:c>
      <x:c r="H1244" t="str">
        <x:v>CQ-A27</x:v>
      </x:c>
      <x:c r="I1244" s="36" t="str">
        <x:v>Bestandsfrage: exakter Wortlaut in diesem Arbeitsschritt nicht rekonstruiert.</x:v>
      </x:c>
      <x:c r="J1244" s="36"/>
      <x:c r="K1244" s="36"/>
      <x:c r="L1244" s="36" t="str">
        <x:v>MASTER_STATUS_VERIFIZIERT</x:v>
      </x:c>
      <x:c r="M1244" s="36" t="str">
        <x:v>ERSETZEN</x:v>
      </x:c>
      <x:c r="N1244" s="36" t="str">
        <x:v>BESTAND_NOCH_NICHT_GEPRÜFT</x:v>
      </x:c>
      <x:c r="O1244" s="36" t="str">
        <x:v>DIDAKTISCHE_NEUFASSUNG</x:v>
      </x:c>
      <x:c r="P1244" s="36" t="str">
        <x:v>TOD_UND_AUFERSTEHUNG</x:v>
      </x:c>
      <x:c r="Q1244" s="36" t="str">
        <x:v>Was geschieht mit den zwei Zeugen nach ihrem Tod?</x:v>
      </x:c>
      <x:c r="R1244" s="36" t="str">
        <x:v>Nach dreieinhalb Tagen kommt Lebensgeist von Gott in sie, sie stehen auf und werden in den Himmel gerufen.</x:v>
      </x:c>
      <x:c r="S1244" s="36" t="str">
        <x:v>Sie bleiben dauerhaft unbestattet und tot.</x:v>
      </x:c>
      <x:c r="T1244" s="36" t="str">
        <x:v>Sie werden vom Tier auferweckt.</x:v>
      </x:c>
      <x:c r="U1244" s="36" t="str">
        <x:v>Sie kehren sofort als Könige der Erde zurück.</x:v>
      </x:c>
      <x:c r="V1244" s="36" t="n">
        <x:v>0</x:v>
      </x:c>
      <x:c r="W1244" s="36" t="str">
        <x:v>Nach dreieinhalb Tagen kommt Lebensgeist von Gott in sie, sie stehen auf und werden in den Himmel gerufen.</x:v>
      </x:c>
      <x:c r="X1244" s="36" t="str">
        <x:v>Offenbarung 11,7–13</x:v>
      </x:c>
      <x:c r="Y1244" s="36" t="str">
        <x:v>Die scheinbare Niederlage der Zeugen wird durch göttliche Auferweckung und Erhöhung umgekehrt.</x:v>
      </x:c>
      <x:c r="Z1244" s="36" t="str">
        <x:v>JA</x:v>
      </x:c>
      <x:c r="AA1244" s="36" t="str">
        <x:v>JA</x:v>
      </x:c>
      <x:c r="AB1244" s="36" t="str">
        <x:v>JA</x:v>
      </x:c>
      <x:c r="AC1244" s="36" t="str">
        <x:v>JA</x:v>
      </x:c>
      <x:c r="AD1244" s="36" t="str">
        <x:v>JA</x:v>
      </x:c>
      <x:c r="AE1244" s="36" t="str">
        <x:v>JA</x:v>
      </x:c>
      <x:c r="AF1244" s="36" t="str">
        <x:v>JA</x:v>
      </x:c>
      <x:c r="AG1244" s="36" t="str">
        <x:v>FREIGEGEBEN</x:v>
      </x:c>
      <x:c r="AH1244" s="36" t="str">
        <x:v>GPT-5.6 Sol · Buchprüfung Offenbarung · L1912/OTB</x:v>
      </x:c>
      <x:c r="AI1244" s="36" t="str">
        <x:v>FREIGEGEBEN</x:v>
      </x:c>
      <x:c r="AJ1244" s="36" t="str">
        <x:v>Offenbarung 11: neue textnahe TOD_UND_AUFERSTEHUNG-Frage ohne unnötige Endzeit-Systemfestlegung freigegeben.</x:v>
      </x:c>
      <x:c r="AK1244" s="36" t="str">
        <x:v>FaithPath repo develop/v4 · data/bibles/l1912/REV.json · data/bibles/otb/REV.json</x:v>
      </x:c>
      <x:c r="AL1244" t="str">
        <x:v>JA</x:v>
      </x:c>
    </x:row>
    <x:row r="1245">
      <x:c r="A1245" t="str">
        <x:v>FP-1504</x:v>
      </x:c>
      <x:c r="B1245" t="str">
        <x:v>REV</x:v>
      </x:c>
      <x:c r="C1245" t="str">
        <x:v>Offenbarung</x:v>
      </x:c>
      <x:c r="D1245" t="n">
        <x:v>11</x:v>
      </x:c>
      <x:c r="E1245" t="n">
        <x:v>4</x:v>
      </x:c>
      <x:c r="F1245" t="str">
        <x:v>REV-011</x:v>
      </x:c>
      <x:c r="G1245" t="n">
        <x:v>249</x:v>
      </x:c>
      <x:c r="H1245" t="str">
        <x:v>CQ-A27</x:v>
      </x:c>
      <x:c r="I1245" s="36" t="str">
        <x:v>Bestandsfrage: exakter Wortlaut in diesem Arbeitsschritt nicht rekonstruiert.</x:v>
      </x:c>
      <x:c r="J1245" s="36"/>
      <x:c r="K1245" s="36"/>
      <x:c r="L1245" s="36" t="str">
        <x:v>MASTER_STATUS_VERIFIZIERT</x:v>
      </x:c>
      <x:c r="M1245" s="36" t="str">
        <x:v>ERSETZEN</x:v>
      </x:c>
      <x:c r="N1245" s="36" t="str">
        <x:v>BESTAND_NOCH_NICHT_GEPRÜFT</x:v>
      </x:c>
      <x:c r="O1245" s="36" t="str">
        <x:v>DIDAKTISCHE_NEUFASSUNG</x:v>
      </x:c>
      <x:c r="P1245" s="36" t="str">
        <x:v>SIEBTE_POSAUNE</x:v>
      </x:c>
      <x:c r="Q1245" s="36" t="str">
        <x:v>Welche Botschaft erklingt bei der siebten Posaune?</x:v>
      </x:c>
      <x:c r="R1245" s="36" t="str">
        <x:v>Babylon herrscht nun für immer.</x:v>
      </x:c>
      <x:c r="S1245" s="36" t="str">
        <x:v>Das Reich der Welt ist zum Reich unseres Herrn und seines Christus geworden, und er wird ewig herrschen.</x:v>
      </x:c>
      <x:c r="T1245" s="36" t="str">
        <x:v>Die sieben Gemeinden übernehmen die Erde.</x:v>
      </x:c>
      <x:c r="U1245" s="36" t="str">
        <x:v>Der Drache wird zum König der Nationen.</x:v>
      </x:c>
      <x:c r="V1245" s="36" t="n">
        <x:v>1</x:v>
      </x:c>
      <x:c r="W1245" s="36" t="str">
        <x:v>Das Reich der Welt ist zum Reich unseres Herrn und seines Christus geworden, und er wird ewig herrschen.</x:v>
      </x:c>
      <x:c r="X1245" s="36" t="str">
        <x:v>Offenbarung 11,15–18</x:v>
      </x:c>
      <x:c r="Y1245" s="36" t="str">
        <x:v>Die siebte Posaune führt zu himmlischem Lob über Gottes Herrschaft, Gericht und Belohnung seiner Diener.</x:v>
      </x:c>
      <x:c r="Z1245" s="36" t="str">
        <x:v>JA</x:v>
      </x:c>
      <x:c r="AA1245" s="36" t="str">
        <x:v>JA</x:v>
      </x:c>
      <x:c r="AB1245" s="36" t="str">
        <x:v>JA</x:v>
      </x:c>
      <x:c r="AC1245" s="36" t="str">
        <x:v>JA</x:v>
      </x:c>
      <x:c r="AD1245" s="36" t="str">
        <x:v>JA</x:v>
      </x:c>
      <x:c r="AE1245" s="36" t="str">
        <x:v>JA</x:v>
      </x:c>
      <x:c r="AF1245" s="36" t="str">
        <x:v>JA</x:v>
      </x:c>
      <x:c r="AG1245" s="36" t="str">
        <x:v>FREIGEGEBEN</x:v>
      </x:c>
      <x:c r="AH1245" s="36" t="str">
        <x:v>GPT-5.6 Sol · Buchprüfung Offenbarung · L1912/OTB</x:v>
      </x:c>
      <x:c r="AI1245" s="36" t="str">
        <x:v>FREIGEGEBEN</x:v>
      </x:c>
      <x:c r="AJ1245" s="36" t="str">
        <x:v>Offenbarung 11: neue textnahe SIEBTE_POSAUNE-Frage ohne unnötige Endzeit-Systemfestlegung freigegeben.</x:v>
      </x:c>
      <x:c r="AK1245" s="36" t="str">
        <x:v>FaithPath repo develop/v4 · data/bibles/l1912/REV.json · data/bibles/otb/REV.json</x:v>
      </x:c>
      <x:c r="AL1245" t="str">
        <x:v>JA</x:v>
      </x:c>
    </x:row>
    <x:row r="1246">
      <x:c r="A1246" t="str">
        <x:v>FP-1505</x:v>
      </x:c>
      <x:c r="B1246" t="str">
        <x:v>REV</x:v>
      </x:c>
      <x:c r="C1246" t="str">
        <x:v>Offenbarung</x:v>
      </x:c>
      <x:c r="D1246" t="n">
        <x:v>11</x:v>
      </x:c>
      <x:c r="E1246" t="n">
        <x:v>5</x:v>
      </x:c>
      <x:c r="F1246" t="str">
        <x:v>REV-011</x:v>
      </x:c>
      <x:c r="G1246" t="n">
        <x:v>249</x:v>
      </x:c>
      <x:c r="H1246" t="str">
        <x:v>CQ-A27</x:v>
      </x:c>
      <x:c r="I1246" s="36" t="str">
        <x:v>Bestandsfrage: exakter Wortlaut in diesem Arbeitsschritt nicht rekonstruiert.</x:v>
      </x:c>
      <x:c r="J1246" s="36"/>
      <x:c r="K1246" s="36"/>
      <x:c r="L1246" s="36" t="str">
        <x:v>MASTER_STATUS_VERIFIZIERT</x:v>
      </x:c>
      <x:c r="M1246" s="36" t="str">
        <x:v>ERSETZEN</x:v>
      </x:c>
      <x:c r="N1246" s="36" t="str">
        <x:v>BESTAND_NOCH_NICHT_GEPRÜFT</x:v>
      </x:c>
      <x:c r="O1246" s="36" t="str">
        <x:v>DIDAKTISCHE_NEUFASSUNG</x:v>
      </x:c>
      <x:c r="P1246" s="36" t="str">
        <x:v>HIMMLISCHER_TEMPEL</x:v>
      </x:c>
      <x:c r="Q1246" s="36" t="str">
        <x:v>Was wird sichtbar, als der Tempel Gottes im Himmel geöffnet wird?</x:v>
      </x:c>
      <x:c r="R1246" s="36" t="str">
        <x:v>Die Bundeslade des irdischen Tempels wird nach Rom gebracht.</x:v>
      </x:c>
      <x:c r="S1246" s="36" t="str">
        <x:v>Die kleine Schriftrolle wird verbrannt.</x:v>
      </x:c>
      <x:c r="T1246" s="36" t="str">
        <x:v>Die Lade seines Bundes.</x:v>
      </x:c>
      <x:c r="U1246" s="36" t="str">
        <x:v>Der Thron des Tieres erscheint.</x:v>
      </x:c>
      <x:c r="V1246" s="36" t="n">
        <x:v>2</x:v>
      </x:c>
      <x:c r="W1246" s="36" t="str">
        <x:v>Die Lade seines Bundes.</x:v>
      </x:c>
      <x:c r="X1246" s="36" t="str">
        <x:v>Offenbarung 11,19</x:v>
      </x:c>
      <x:c r="Y1246" s="36" t="str">
        <x:v>Die geöffnete Tempelszene endet mit der sichtbaren Bundeslade und macht Gottes Bundestreue bildhaft präsent.</x:v>
      </x:c>
      <x:c r="Z1246" s="36" t="str">
        <x:v>JA</x:v>
      </x:c>
      <x:c r="AA1246" s="36" t="str">
        <x:v>JA</x:v>
      </x:c>
      <x:c r="AB1246" s="36" t="str">
        <x:v>JA</x:v>
      </x:c>
      <x:c r="AC1246" s="36" t="str">
        <x:v>JA</x:v>
      </x:c>
      <x:c r="AD1246" s="36" t="str">
        <x:v>JA</x:v>
      </x:c>
      <x:c r="AE1246" s="36" t="str">
        <x:v>JA</x:v>
      </x:c>
      <x:c r="AF1246" s="36" t="str">
        <x:v>JA</x:v>
      </x:c>
      <x:c r="AG1246" s="36" t="str">
        <x:v>FREIGEGEBEN</x:v>
      </x:c>
      <x:c r="AH1246" s="36" t="str">
        <x:v>GPT-5.6 Sol · Buchprüfung Offenbarung · L1912/OTB</x:v>
      </x:c>
      <x:c r="AI1246" s="36" t="str">
        <x:v>FREIGEGEBEN</x:v>
      </x:c>
      <x:c r="AJ1246" s="36" t="str">
        <x:v>Offenbarung 11: neue textnahe HIMMLISCHER_TEMPEL-Frage ohne unnötige Endzeit-Systemfestlegung freigegeben.</x:v>
      </x:c>
      <x:c r="AK1246" s="36" t="str">
        <x:v>FaithPath repo develop/v4 · data/bibles/l1912/REV.json · data/bibles/otb/REV.json</x:v>
      </x:c>
      <x:c r="AL1246" t="str">
        <x:v>JA</x:v>
      </x:c>
    </x:row>
    <x:row r="1247">
      <x:c r="A1247" t="str">
        <x:v>FP-1506</x:v>
      </x:c>
      <x:c r="B1247" t="str">
        <x:v>REV</x:v>
      </x:c>
      <x:c r="C1247" t="str">
        <x:v>Offenbarung</x:v>
      </x:c>
      <x:c r="D1247" t="n">
        <x:v>12</x:v>
      </x:c>
      <x:c r="E1247" t="n">
        <x:v>1</x:v>
      </x:c>
      <x:c r="F1247" t="str">
        <x:v>REV-012</x:v>
      </x:c>
      <x:c r="G1247" t="n">
        <x:v>250</x:v>
      </x:c>
      <x:c r="H1247" t="str">
        <x:v>CQ-A27</x:v>
      </x:c>
      <x:c r="I1247" s="36" t="str">
        <x:v>Bestandsfrage: exakter Wortlaut in diesem Arbeitsschritt nicht rekonstruiert.</x:v>
      </x:c>
      <x:c r="J1247" s="36"/>
      <x:c r="K1247" s="36"/>
      <x:c r="L1247" s="36" t="str">
        <x:v>MASTER_STATUS_VERIFIZIERT</x:v>
      </x:c>
      <x:c r="M1247" s="36" t="str">
        <x:v>ERSETZEN</x:v>
      </x:c>
      <x:c r="N1247" s="36" t="str">
        <x:v>BESTAND_NOCH_NICHT_GEPRÜFT</x:v>
      </x:c>
      <x:c r="O1247" s="36" t="str">
        <x:v>DIDAKTISCHE_NEUFASSUNG</x:v>
      </x:c>
      <x:c r="P1247" s="36" t="str">
        <x:v>FRAU_UND_KIND</x:v>
      </x:c>
      <x:c r="Q1247" s="36" t="str">
        <x:v>Was geschieht mit dem männlichen Kind, das die Frau gebiert?</x:v>
      </x:c>
      <x:c r="R1247" s="36" t="str">
        <x:v>Es wird vom Drachen verschlungen.</x:v>
      </x:c>
      <x:c r="S1247" s="36" t="str">
        <x:v>Es bleibt in der Wüste bei der Frau.</x:v>
      </x:c>
      <x:c r="T1247" s="36" t="str">
        <x:v>Es wird dem Tier aus dem Meer übergeben.</x:v>
      </x:c>
      <x:c r="U1247" s="36" t="str">
        <x:v>Es wird zu Gott und zu seinem Thron entrückt.</x:v>
      </x:c>
      <x:c r="V1247" s="36" t="n">
        <x:v>3</x:v>
      </x:c>
      <x:c r="W1247" s="36" t="str">
        <x:v>Es wird zu Gott und zu seinem Thron entrückt.</x:v>
      </x:c>
      <x:c r="X1247" s="36" t="str">
        <x:v>Offenbarung 12,1–6</x:v>
      </x:c>
      <x:c r="Y1247" s="36" t="str">
        <x:v>Der Drache will das Kind verschlingen, doch das Kind wird zu Gott entrückt, während die Frau in die Wüste flieht.</x:v>
      </x:c>
      <x:c r="Z1247" s="36" t="str">
        <x:v>JA</x:v>
      </x:c>
      <x:c r="AA1247" s="36" t="str">
        <x:v>JA</x:v>
      </x:c>
      <x:c r="AB1247" s="36" t="str">
        <x:v>JA</x:v>
      </x:c>
      <x:c r="AC1247" s="36" t="str">
        <x:v>JA</x:v>
      </x:c>
      <x:c r="AD1247" s="36" t="str">
        <x:v>JA</x:v>
      </x:c>
      <x:c r="AE1247" s="36" t="str">
        <x:v>JA</x:v>
      </x:c>
      <x:c r="AF1247" s="36" t="str">
        <x:v>JA</x:v>
      </x:c>
      <x:c r="AG1247" s="36" t="str">
        <x:v>FREIGEGEBEN</x:v>
      </x:c>
      <x:c r="AH1247" s="36" t="str">
        <x:v>GPT-5.6 Sol · Buchprüfung Offenbarung · L1912/OTB</x:v>
      </x:c>
      <x:c r="AI1247" s="36" t="str">
        <x:v>FREIGEGEBEN</x:v>
      </x:c>
      <x:c r="AJ1247" s="36" t="str">
        <x:v>Offenbarung 12: neue textnahe FRAU_UND_KIND-Frage ohne unnötige Endzeit-Systemfestlegung freigegeben.</x:v>
      </x:c>
      <x:c r="AK1247" s="36" t="str">
        <x:v>FaithPath repo develop/v4 · data/bibles/l1912/REV.json · data/bibles/otb/REV.json</x:v>
      </x:c>
      <x:c r="AL1247" t="str">
        <x:v>JA</x:v>
      </x:c>
    </x:row>
    <x:row r="1248">
      <x:c r="A1248" t="str">
        <x:v>FP-1507</x:v>
      </x:c>
      <x:c r="B1248" t="str">
        <x:v>REV</x:v>
      </x:c>
      <x:c r="C1248" t="str">
        <x:v>Offenbarung</x:v>
      </x:c>
      <x:c r="D1248" t="n">
        <x:v>12</x:v>
      </x:c>
      <x:c r="E1248" t="n">
        <x:v>2</x:v>
      </x:c>
      <x:c r="F1248" t="str">
        <x:v>REV-012</x:v>
      </x:c>
      <x:c r="G1248" t="n">
        <x:v>250</x:v>
      </x:c>
      <x:c r="H1248" t="str">
        <x:v>CQ-A27</x:v>
      </x:c>
      <x:c r="I1248" s="36" t="str">
        <x:v>Bestandsfrage: exakter Wortlaut in diesem Arbeitsschritt nicht rekonstruiert.</x:v>
      </x:c>
      <x:c r="J1248" s="36"/>
      <x:c r="K1248" s="36"/>
      <x:c r="L1248" s="36" t="str">
        <x:v>MASTER_STATUS_VERIFIZIERT</x:v>
      </x:c>
      <x:c r="M1248" s="36" t="str">
        <x:v>ERSETZEN</x:v>
      </x:c>
      <x:c r="N1248" s="36" t="str">
        <x:v>BESTAND_NOCH_NICHT_GEPRÜFT</x:v>
      </x:c>
      <x:c r="O1248" s="36" t="str">
        <x:v>DIDAKTISCHE_NEUFASSUNG</x:v>
      </x:c>
      <x:c r="P1248" s="36" t="str">
        <x:v>DRACHE</x:v>
      </x:c>
      <x:c r="Q1248" s="36" t="str">
        <x:v>Wie wird der große Drache ausdrücklich identifiziert?</x:v>
      </x:c>
      <x:c r="R1248" s="36" t="str">
        <x:v>Als die alte Schlange, der Teufel oder Satan, der die ganze Welt verführt.</x:v>
      </x:c>
      <x:c r="S1248" s="36" t="str">
        <x:v>Als Michael, der Engel Israels.</x:v>
      </x:c>
      <x:c r="T1248" s="36" t="str">
        <x:v>Als einer der vier lebendigen Wesen.</x:v>
      </x:c>
      <x:c r="U1248" s="36" t="str">
        <x:v>Als ein Symbol, das der Text überhaupt nicht erklärt.</x:v>
      </x:c>
      <x:c r="V1248" s="36" t="n">
        <x:v>0</x:v>
      </x:c>
      <x:c r="W1248" s="36" t="str">
        <x:v>Als die alte Schlange, der Teufel oder Satan, der die ganze Welt verführt.</x:v>
      </x:c>
      <x:c r="X1248" s="36" t="str">
        <x:v>Offenbarung 12,7–9</x:v>
      </x:c>
      <x:c r="Y1248" s="36" t="str">
        <x:v>Der Text legt die Symbolik des Drachen selbst aus und verbindet ihn mit Satan.</x:v>
      </x:c>
      <x:c r="Z1248" s="36" t="str">
        <x:v>JA</x:v>
      </x:c>
      <x:c r="AA1248" s="36" t="str">
        <x:v>JA</x:v>
      </x:c>
      <x:c r="AB1248" s="36" t="str">
        <x:v>JA</x:v>
      </x:c>
      <x:c r="AC1248" s="36" t="str">
        <x:v>JA</x:v>
      </x:c>
      <x:c r="AD1248" s="36" t="str">
        <x:v>JA</x:v>
      </x:c>
      <x:c r="AE1248" s="36" t="str">
        <x:v>JA</x:v>
      </x:c>
      <x:c r="AF1248" s="36" t="str">
        <x:v>JA</x:v>
      </x:c>
      <x:c r="AG1248" s="36" t="str">
        <x:v>FREIGEGEBEN</x:v>
      </x:c>
      <x:c r="AH1248" s="36" t="str">
        <x:v>GPT-5.6 Sol · Buchprüfung Offenbarung · L1912/OTB</x:v>
      </x:c>
      <x:c r="AI1248" s="36" t="str">
        <x:v>FREIGEGEBEN</x:v>
      </x:c>
      <x:c r="AJ1248" s="36" t="str">
        <x:v>Offenbarung 12: neue textnahe DRACHE-Frage ohne unnötige Endzeit-Systemfestlegung freigegeben.</x:v>
      </x:c>
      <x:c r="AK1248" s="36" t="str">
        <x:v>FaithPath repo develop/v4 · data/bibles/l1912/REV.json · data/bibles/otb/REV.json</x:v>
      </x:c>
      <x:c r="AL1248" t="str">
        <x:v>JA</x:v>
      </x:c>
    </x:row>
    <x:row r="1249">
      <x:c r="A1249" t="str">
        <x:v>FP-1508</x:v>
      </x:c>
      <x:c r="B1249" t="str">
        <x:v>REV</x:v>
      </x:c>
      <x:c r="C1249" t="str">
        <x:v>Offenbarung</x:v>
      </x:c>
      <x:c r="D1249" t="n">
        <x:v>12</x:v>
      </x:c>
      <x:c r="E1249" t="n">
        <x:v>3</x:v>
      </x:c>
      <x:c r="F1249" t="str">
        <x:v>REV-012</x:v>
      </x:c>
      <x:c r="G1249" t="n">
        <x:v>250</x:v>
      </x:c>
      <x:c r="H1249" t="str">
        <x:v>CQ-A27</x:v>
      </x:c>
      <x:c r="I1249" s="36" t="str">
        <x:v>Bestandsfrage: exakter Wortlaut in diesem Arbeitsschritt nicht rekonstruiert.</x:v>
      </x:c>
      <x:c r="J1249" s="36"/>
      <x:c r="K1249" s="36"/>
      <x:c r="L1249" s="36" t="str">
        <x:v>MASTER_STATUS_VERIFIZIERT</x:v>
      </x:c>
      <x:c r="M1249" s="36" t="str">
        <x:v>ERSETZEN</x:v>
      </x:c>
      <x:c r="N1249" s="36" t="str">
        <x:v>BESTAND_NOCH_NICHT_GEPRÜFT</x:v>
      </x:c>
      <x:c r="O1249" s="36" t="str">
        <x:v>DIDAKTISCHE_NEUFASSUNG</x:v>
      </x:c>
      <x:c r="P1249" s="36" t="str">
        <x:v>HIMMELSKAMPF</x:v>
      </x:c>
      <x:c r="Q1249" s="36" t="str">
        <x:v>Wer kämpft im Himmel gegen den Drachen?</x:v>
      </x:c>
      <x:c r="R1249" s="36" t="str">
        <x:v>Johannes und die sieben Gemeinden.</x:v>
      </x:c>
      <x:c r="S1249" s="36" t="str">
        <x:v>Michael und seine Engel.</x:v>
      </x:c>
      <x:c r="T1249" s="36" t="str">
        <x:v>Die zwei Zeugen und die Ältesten.</x:v>
      </x:c>
      <x:c r="U1249" s="36" t="str">
        <x:v>Die Könige der Erde.</x:v>
      </x:c>
      <x:c r="V1249" s="36" t="n">
        <x:v>1</x:v>
      </x:c>
      <x:c r="W1249" s="36" t="str">
        <x:v>Michael und seine Engel.</x:v>
      </x:c>
      <x:c r="X1249" s="36" t="str">
        <x:v>Offenbarung 12,7–9</x:v>
      </x:c>
      <x:c r="Y1249" s="36" t="str">
        <x:v>Michael und seine Engel siegen, sodass der Drache und seine Engel keinen Platz mehr im Himmel haben.</x:v>
      </x:c>
      <x:c r="Z1249" s="36" t="str">
        <x:v>JA</x:v>
      </x:c>
      <x:c r="AA1249" s="36" t="str">
        <x:v>JA</x:v>
      </x:c>
      <x:c r="AB1249" s="36" t="str">
        <x:v>JA</x:v>
      </x:c>
      <x:c r="AC1249" s="36" t="str">
        <x:v>JA</x:v>
      </x:c>
      <x:c r="AD1249" s="36" t="str">
        <x:v>JA</x:v>
      </x:c>
      <x:c r="AE1249" s="36" t="str">
        <x:v>JA</x:v>
      </x:c>
      <x:c r="AF1249" s="36" t="str">
        <x:v>JA</x:v>
      </x:c>
      <x:c r="AG1249" s="36" t="str">
        <x:v>FREIGEGEBEN</x:v>
      </x:c>
      <x:c r="AH1249" s="36" t="str">
        <x:v>GPT-5.6 Sol · Buchprüfung Offenbarung · L1912/OTB</x:v>
      </x:c>
      <x:c r="AI1249" s="36" t="str">
        <x:v>FREIGEGEBEN</x:v>
      </x:c>
      <x:c r="AJ1249" s="36" t="str">
        <x:v>Offenbarung 12: neue textnahe HIMMELSKAMPF-Frage ohne unnötige Endzeit-Systemfestlegung freigegeben.</x:v>
      </x:c>
      <x:c r="AK1249" s="36" t="str">
        <x:v>FaithPath repo develop/v4 · data/bibles/l1912/REV.json · data/bibles/otb/REV.json</x:v>
      </x:c>
      <x:c r="AL1249" t="str">
        <x:v>JA</x:v>
      </x:c>
    </x:row>
    <x:row r="1250">
      <x:c r="A1250" t="str">
        <x:v>FP-1509</x:v>
      </x:c>
      <x:c r="B1250" t="str">
        <x:v>REV</x:v>
      </x:c>
      <x:c r="C1250" t="str">
        <x:v>Offenbarung</x:v>
      </x:c>
      <x:c r="D1250" t="n">
        <x:v>12</x:v>
      </x:c>
      <x:c r="E1250" t="n">
        <x:v>4</x:v>
      </x:c>
      <x:c r="F1250" t="str">
        <x:v>REV-012</x:v>
      </x:c>
      <x:c r="G1250" t="n">
        <x:v>250</x:v>
      </x:c>
      <x:c r="H1250" t="str">
        <x:v>CQ-A27</x:v>
      </x:c>
      <x:c r="I1250" s="36" t="str">
        <x:v>Bestandsfrage: exakter Wortlaut in diesem Arbeitsschritt nicht rekonstruiert.</x:v>
      </x:c>
      <x:c r="J1250" s="36"/>
      <x:c r="K1250" s="36"/>
      <x:c r="L1250" s="36" t="str">
        <x:v>MASTER_STATUS_VERIFIZIERT</x:v>
      </x:c>
      <x:c r="M1250" s="36" t="str">
        <x:v>ERSETZEN</x:v>
      </x:c>
      <x:c r="N1250" s="36" t="str">
        <x:v>BESTAND_NOCH_NICHT_GEPRÜFT</x:v>
      </x:c>
      <x:c r="O1250" s="36" t="str">
        <x:v>DIDAKTISCHE_NEUFASSUNG</x:v>
      </x:c>
      <x:c r="P1250" s="36" t="str">
        <x:v>ÜBERWINDEN</x:v>
      </x:c>
      <x:c r="Q1250" s="36" t="str">
        <x:v>Wodurch überwinden die Brüder und Schwestern den Ankläger?</x:v>
      </x:c>
      <x:c r="R1250" s="36" t="str">
        <x:v>Durch wirtschaftliche Macht.</x:v>
      </x:c>
      <x:c r="S1250" s="36" t="str">
        <x:v>Durch das Zeichen des Tieres.</x:v>
      </x:c>
      <x:c r="T1250" s="36" t="str">
        <x:v>Durch das Blut des Lammes und das Wort ihres Zeugnisses.</x:v>
      </x:c>
      <x:c r="U1250" s="36" t="str">
        <x:v>Durch die Hilfe Babylons.</x:v>
      </x:c>
      <x:c r="V1250" s="36" t="n">
        <x:v>2</x:v>
      </x:c>
      <x:c r="W1250" s="36" t="str">
        <x:v>Durch das Blut des Lammes und das Wort ihres Zeugnisses.</x:v>
      </x:c>
      <x:c r="X1250" s="36" t="str">
        <x:v>Offenbarung 12,10–11</x:v>
      </x:c>
      <x:c r="Y1250" s="36" t="str">
        <x:v>Der Sieg wird mit dem Erlösungswerk des Lammes und treuem Zeugnis bis in den Tod verbunden.</x:v>
      </x:c>
      <x:c r="Z1250" s="36" t="str">
        <x:v>JA</x:v>
      </x:c>
      <x:c r="AA1250" s="36" t="str">
        <x:v>JA</x:v>
      </x:c>
      <x:c r="AB1250" s="36" t="str">
        <x:v>JA</x:v>
      </x:c>
      <x:c r="AC1250" s="36" t="str">
        <x:v>JA</x:v>
      </x:c>
      <x:c r="AD1250" s="36" t="str">
        <x:v>JA</x:v>
      </x:c>
      <x:c r="AE1250" s="36" t="str">
        <x:v>JA</x:v>
      </x:c>
      <x:c r="AF1250" s="36" t="str">
        <x:v>JA</x:v>
      </x:c>
      <x:c r="AG1250" s="36" t="str">
        <x:v>FREIGEGEBEN</x:v>
      </x:c>
      <x:c r="AH1250" s="36" t="str">
        <x:v>GPT-5.6 Sol · Buchprüfung Offenbarung · L1912/OTB</x:v>
      </x:c>
      <x:c r="AI1250" s="36" t="str">
        <x:v>FREIGEGEBEN</x:v>
      </x:c>
      <x:c r="AJ1250" s="36" t="str">
        <x:v>Offenbarung 12: neue textnahe ÜBERWINDEN-Frage ohne unnötige Endzeit-Systemfestlegung freigegeben.</x:v>
      </x:c>
      <x:c r="AK1250" s="36" t="str">
        <x:v>FaithPath repo develop/v4 · data/bibles/l1912/REV.json · data/bibles/otb/REV.json</x:v>
      </x:c>
      <x:c r="AL1250" t="str">
        <x:v>JA</x:v>
      </x:c>
    </x:row>
    <x:row r="1251">
      <x:c r="A1251" t="str">
        <x:v>FP-1510</x:v>
      </x:c>
      <x:c r="B1251" t="str">
        <x:v>REV</x:v>
      </x:c>
      <x:c r="C1251" t="str">
        <x:v>Offenbarung</x:v>
      </x:c>
      <x:c r="D1251" t="n">
        <x:v>12</x:v>
      </x:c>
      <x:c r="E1251" t="n">
        <x:v>5</x:v>
      </x:c>
      <x:c r="F1251" t="str">
        <x:v>REV-012</x:v>
      </x:c>
      <x:c r="G1251" t="n">
        <x:v>250</x:v>
      </x:c>
      <x:c r="H1251" t="str">
        <x:v>CQ-A27</x:v>
      </x:c>
      <x:c r="I1251" s="36" t="str">
        <x:v>Bestandsfrage: exakter Wortlaut in diesem Arbeitsschritt nicht rekonstruiert.</x:v>
      </x:c>
      <x:c r="J1251" s="36"/>
      <x:c r="K1251" s="36"/>
      <x:c r="L1251" s="36" t="str">
        <x:v>MASTER_STATUS_VERIFIZIERT</x:v>
      </x:c>
      <x:c r="M1251" s="36" t="str">
        <x:v>ERSETZEN</x:v>
      </x:c>
      <x:c r="N1251" s="36" t="str">
        <x:v>BESTAND_NOCH_NICHT_GEPRÜFT</x:v>
      </x:c>
      <x:c r="O1251" s="36" t="str">
        <x:v>DIDAKTISCHE_NEUFASSUNG</x:v>
      </x:c>
      <x:c r="P1251" s="36" t="str">
        <x:v>REST</x:v>
      </x:c>
      <x:c r="Q1251" s="36" t="str">
        <x:v>Gegen wen richtet der Drache am Ende seinen Krieg?</x:v>
      </x:c>
      <x:c r="R1251" s="36" t="str">
        <x:v>Gegen die vierundzwanzig Ältesten.</x:v>
      </x:c>
      <x:c r="S1251" s="36" t="str">
        <x:v>Nur gegen die Könige der Erde.</x:v>
      </x:c>
      <x:c r="T1251" s="36" t="str">
        <x:v>Gegen die sieben Engel mit den Schalen.</x:v>
      </x:c>
      <x:c r="U1251" s="36" t="str">
        <x:v>Gegen die übrigen Nachkommen der Frau, die Gottes Gebote halten und am Zeugnis Jesu festhalten.</x:v>
      </x:c>
      <x:c r="V1251" s="36" t="n">
        <x:v>3</x:v>
      </x:c>
      <x:c r="W1251" s="36" t="str">
        <x:v>Gegen die übrigen Nachkommen der Frau, die Gottes Gebote halten und am Zeugnis Jesu festhalten.</x:v>
      </x:c>
      <x:c r="X1251" s="36" t="str">
        <x:v>Offenbarung 12,13–17</x:v>
      </x:c>
      <x:c r="Y1251" s="36" t="str">
        <x:v>Nach der Verfolgung der Frau wendet sich der Drache gegen diejenigen, die durch Treue zu Gott und Jesus gekennzeichnet sind.</x:v>
      </x:c>
      <x:c r="Z1251" s="36" t="str">
        <x:v>JA</x:v>
      </x:c>
      <x:c r="AA1251" s="36" t="str">
        <x:v>JA</x:v>
      </x:c>
      <x:c r="AB1251" s="36" t="str">
        <x:v>JA</x:v>
      </x:c>
      <x:c r="AC1251" s="36" t="str">
        <x:v>JA</x:v>
      </x:c>
      <x:c r="AD1251" s="36" t="str">
        <x:v>JA</x:v>
      </x:c>
      <x:c r="AE1251" s="36" t="str">
        <x:v>JA</x:v>
      </x:c>
      <x:c r="AF1251" s="36" t="str">
        <x:v>JA</x:v>
      </x:c>
      <x:c r="AG1251" s="36" t="str">
        <x:v>FREIGEGEBEN</x:v>
      </x:c>
      <x:c r="AH1251" s="36" t="str">
        <x:v>GPT-5.6 Sol · Buchprüfung Offenbarung · L1912/OTB</x:v>
      </x:c>
      <x:c r="AI1251" s="36" t="str">
        <x:v>FREIGEGEBEN</x:v>
      </x:c>
      <x:c r="AJ1251" s="36" t="str">
        <x:v>Offenbarung 12: neue textnahe REST-Frage ohne unnötige Endzeit-Systemfestlegung freigegeben.</x:v>
      </x:c>
      <x:c r="AK1251" s="36" t="str">
        <x:v>FaithPath repo develop/v4 · data/bibles/l1912/REV.json · data/bibles/otb/REV.json</x:v>
      </x:c>
      <x:c r="AL1251" t="str">
        <x:v>JA</x:v>
      </x:c>
    </x:row>
    <x:row r="1252">
      <x:c r="A1252" t="str">
        <x:v>FP-1511</x:v>
      </x:c>
      <x:c r="B1252" t="str">
        <x:v>REV</x:v>
      </x:c>
      <x:c r="C1252" t="str">
        <x:v>Offenbarung</x:v>
      </x:c>
      <x:c r="D1252" t="n">
        <x:v>13</x:v>
      </x:c>
      <x:c r="E1252" t="n">
        <x:v>1</x:v>
      </x:c>
      <x:c r="F1252" t="str">
        <x:v>REV-013</x:v>
      </x:c>
      <x:c r="G1252" t="n">
        <x:v>251</x:v>
      </x:c>
      <x:c r="H1252" t="str">
        <x:v>CQ-A27</x:v>
      </x:c>
      <x:c r="I1252" s="36" t="str">
        <x:v>Bestandsfrage: exakter Wortlaut in diesem Arbeitsschritt nicht rekonstruiert.</x:v>
      </x:c>
      <x:c r="J1252" s="36"/>
      <x:c r="K1252" s="36"/>
      <x:c r="L1252" s="36" t="str">
        <x:v>MASTER_STATUS_VERIFIZIERT</x:v>
      </x:c>
      <x:c r="M1252" s="36" t="str">
        <x:v>ERSETZEN</x:v>
      </x:c>
      <x:c r="N1252" s="36" t="str">
        <x:v>BESTAND_NOCH_NICHT_GEPRÜFT</x:v>
      </x:c>
      <x:c r="O1252" s="36" t="str">
        <x:v>DIDAKTISCHE_NEUFASSUNG</x:v>
      </x:c>
      <x:c r="P1252" s="36" t="str">
        <x:v>ERSTES_TIER</x:v>
      </x:c>
      <x:c r="Q1252" s="36" t="str">
        <x:v>Woher erhält das Tier aus dem Meer seine Macht, seinen Thron und große Autorität?</x:v>
      </x:c>
      <x:c r="R1252" s="36" t="str">
        <x:v>Vom Drachen.</x:v>
      </x:c>
      <x:c r="S1252" s="36" t="str">
        <x:v>Vom Lamm.</x:v>
      </x:c>
      <x:c r="T1252" s="36" t="str">
        <x:v>Von den zwei Zeugen.</x:v>
      </x:c>
      <x:c r="U1252" s="36" t="str">
        <x:v>Von den vierundzwanzig Ältesten.</x:v>
      </x:c>
      <x:c r="V1252" s="36" t="n">
        <x:v>0</x:v>
      </x:c>
      <x:c r="W1252" s="36" t="str">
        <x:v>Vom Drachen.</x:v>
      </x:c>
      <x:c r="X1252" s="36" t="str">
        <x:v>Offenbarung 13,1–4</x:v>
      </x:c>
      <x:c r="Y1252" s="36" t="str">
        <x:v>Die Machtbeziehung zwischen Drache und Tier wird im Text ausdrücklich benannt.</x:v>
      </x:c>
      <x:c r="Z1252" s="36" t="str">
        <x:v>JA</x:v>
      </x:c>
      <x:c r="AA1252" s="36" t="str">
        <x:v>JA</x:v>
      </x:c>
      <x:c r="AB1252" s="36" t="str">
        <x:v>JA</x:v>
      </x:c>
      <x:c r="AC1252" s="36" t="str">
        <x:v>JA</x:v>
      </x:c>
      <x:c r="AD1252" s="36" t="str">
        <x:v>JA</x:v>
      </x:c>
      <x:c r="AE1252" s="36" t="str">
        <x:v>JA</x:v>
      </x:c>
      <x:c r="AF1252" s="36" t="str">
        <x:v>JA</x:v>
      </x:c>
      <x:c r="AG1252" s="36" t="str">
        <x:v>FREIGEGEBEN</x:v>
      </x:c>
      <x:c r="AH1252" s="36" t="str">
        <x:v>GPT-5.6 Sol · Buchprüfung Offenbarung · L1912/OTB</x:v>
      </x:c>
      <x:c r="AI1252" s="36" t="str">
        <x:v>FREIGEGEBEN</x:v>
      </x:c>
      <x:c r="AJ1252" s="36" t="str">
        <x:v>Offenbarung 13: neue textnahe ERSTES_TIER-Frage ohne unnötige Endzeit-Systemfestlegung freigegeben.</x:v>
      </x:c>
      <x:c r="AK1252" s="36" t="str">
        <x:v>FaithPath repo develop/v4 · data/bibles/l1912/REV.json · data/bibles/otb/REV.json</x:v>
      </x:c>
      <x:c r="AL1252" t="str">
        <x:v>JA</x:v>
      </x:c>
    </x:row>
    <x:row r="1253">
      <x:c r="A1253" t="str">
        <x:v>FP-1512</x:v>
      </x:c>
      <x:c r="B1253" t="str">
        <x:v>REV</x:v>
      </x:c>
      <x:c r="C1253" t="str">
        <x:v>Offenbarung</x:v>
      </x:c>
      <x:c r="D1253" t="n">
        <x:v>13</x:v>
      </x:c>
      <x:c r="E1253" t="n">
        <x:v>2</x:v>
      </x:c>
      <x:c r="F1253" t="str">
        <x:v>REV-013</x:v>
      </x:c>
      <x:c r="G1253" t="n">
        <x:v>251</x:v>
      </x:c>
      <x:c r="H1253" t="str">
        <x:v>CQ-A27</x:v>
      </x:c>
      <x:c r="I1253" s="36" t="str">
        <x:v>Bestandsfrage: exakter Wortlaut in diesem Arbeitsschritt nicht rekonstruiert.</x:v>
      </x:c>
      <x:c r="J1253" s="36"/>
      <x:c r="K1253" s="36"/>
      <x:c r="L1253" s="36" t="str">
        <x:v>MASTER_STATUS_VERIFIZIERT</x:v>
      </x:c>
      <x:c r="M1253" s="36" t="str">
        <x:v>ERSETZEN</x:v>
      </x:c>
      <x:c r="N1253" s="36" t="str">
        <x:v>BESTAND_NOCH_NICHT_GEPRÜFT</x:v>
      </x:c>
      <x:c r="O1253" s="36" t="str">
        <x:v>DIDAKTISCHE_NEUFASSUNG</x:v>
      </x:c>
      <x:c r="P1253" s="36" t="str">
        <x:v>AUSDAUER</x:v>
      </x:c>
      <x:c r="Q1253" s="36" t="str">
        <x:v>Welche Haltung wird von den Heiligen angesichts der Macht des ersten Tieres verlangt?</x:v>
      </x:c>
      <x:c r="R1253" s="36" t="str">
        <x:v>Anpassung an jede Forderung des Tieres.</x:v>
      </x:c>
      <x:c r="S1253" s="36" t="str">
        <x:v>Ausharren und Glauben.</x:v>
      </x:c>
      <x:c r="T1253" s="36" t="str">
        <x:v>Gewaltsame Eroberung der Welt.</x:v>
      </x:c>
      <x:c r="U1253" s="36" t="str">
        <x:v>Rückzug aus jeder Form von Zeugnis.</x:v>
      </x:c>
      <x:c r="V1253" s="36" t="n">
        <x:v>1</x:v>
      </x:c>
      <x:c r="W1253" s="36" t="str">
        <x:v>Ausharren und Glauben.</x:v>
      </x:c>
      <x:c r="X1253" s="36" t="str">
        <x:v>Offenbarung 13,5–10</x:v>
      </x:c>
      <x:c r="Y1253" s="36" t="str">
        <x:v>Die Passage endet mit einem direkten Ruf zu Standhaftigkeit und Glauben.</x:v>
      </x:c>
      <x:c r="Z1253" s="36" t="str">
        <x:v>JA</x:v>
      </x:c>
      <x:c r="AA1253" s="36" t="str">
        <x:v>JA</x:v>
      </x:c>
      <x:c r="AB1253" s="36" t="str">
        <x:v>JA</x:v>
      </x:c>
      <x:c r="AC1253" s="36" t="str">
        <x:v>JA</x:v>
      </x:c>
      <x:c r="AD1253" s="36" t="str">
        <x:v>JA</x:v>
      </x:c>
      <x:c r="AE1253" s="36" t="str">
        <x:v>JA</x:v>
      </x:c>
      <x:c r="AF1253" s="36" t="str">
        <x:v>JA</x:v>
      </x:c>
      <x:c r="AG1253" s="36" t="str">
        <x:v>FREIGEGEBEN</x:v>
      </x:c>
      <x:c r="AH1253" s="36" t="str">
        <x:v>GPT-5.6 Sol · Buchprüfung Offenbarung · L1912/OTB</x:v>
      </x:c>
      <x:c r="AI1253" s="36" t="str">
        <x:v>FREIGEGEBEN</x:v>
      </x:c>
      <x:c r="AJ1253" s="36" t="str">
        <x:v>Offenbarung 13: neue textnahe AUSDAUER-Frage ohne unnötige Endzeit-Systemfestlegung freigegeben.</x:v>
      </x:c>
      <x:c r="AK1253" s="36" t="str">
        <x:v>FaithPath repo develop/v4 · data/bibles/l1912/REV.json · data/bibles/otb/REV.json</x:v>
      </x:c>
      <x:c r="AL1253" t="str">
        <x:v>JA</x:v>
      </x:c>
    </x:row>
    <x:row r="1254">
      <x:c r="A1254" t="str">
        <x:v>FP-1513</x:v>
      </x:c>
      <x:c r="B1254" t="str">
        <x:v>REV</x:v>
      </x:c>
      <x:c r="C1254" t="str">
        <x:v>Offenbarung</x:v>
      </x:c>
      <x:c r="D1254" t="n">
        <x:v>13</x:v>
      </x:c>
      <x:c r="E1254" t="n">
        <x:v>3</x:v>
      </x:c>
      <x:c r="F1254" t="str">
        <x:v>REV-013</x:v>
      </x:c>
      <x:c r="G1254" t="n">
        <x:v>251</x:v>
      </x:c>
      <x:c r="H1254" t="str">
        <x:v>CQ-A27</x:v>
      </x:c>
      <x:c r="I1254" s="36" t="str">
        <x:v>Bestandsfrage: exakter Wortlaut in diesem Arbeitsschritt nicht rekonstruiert.</x:v>
      </x:c>
      <x:c r="J1254" s="36"/>
      <x:c r="K1254" s="36"/>
      <x:c r="L1254" s="36" t="str">
        <x:v>MASTER_STATUS_VERIFIZIERT</x:v>
      </x:c>
      <x:c r="M1254" s="36" t="str">
        <x:v>ERSETZEN</x:v>
      </x:c>
      <x:c r="N1254" s="36" t="str">
        <x:v>BESTAND_NOCH_NICHT_GEPRÜFT</x:v>
      </x:c>
      <x:c r="O1254" s="36" t="str">
        <x:v>DIDAKTISCHE_NEUFASSUNG</x:v>
      </x:c>
      <x:c r="P1254" s="36" t="str">
        <x:v>ZWEITES_TIER</x:v>
      </x:c>
      <x:c r="Q1254" s="36" t="str">
        <x:v>Wie wird das zweite Tier beschrieben?</x:v>
      </x:c>
      <x:c r="R1254" s="36" t="str">
        <x:v>Es sieht wie ein Drache aus, spricht aber wie das Lamm.</x:v>
      </x:c>
      <x:c r="S1254" s="36" t="str">
        <x:v>Es zerstört die Macht des ersten Tieres.</x:v>
      </x:c>
      <x:c r="T1254" s="36" t="str">
        <x:v>Es hat Hörner wie ein Lamm, spricht aber wie ein Drache und fördert die Anbetung des ersten Tieres.</x:v>
      </x:c>
      <x:c r="U1254" s="36" t="str">
        <x:v>Es weigert sich, Zeichen zu tun.</x:v>
      </x:c>
      <x:c r="V1254" s="36" t="n">
        <x:v>2</x:v>
      </x:c>
      <x:c r="W1254" s="36" t="str">
        <x:v>Es hat Hörner wie ein Lamm, spricht aber wie ein Drache und fördert die Anbetung des ersten Tieres.</x:v>
      </x:c>
      <x:c r="X1254" s="36" t="str">
        <x:v>Offenbarung 13,11–14</x:v>
      </x:c>
      <x:c r="Y1254" s="36" t="str">
        <x:v>Die lammähnliche Erscheinung steht im Kontrast zur drachenartigen Stimme und verführerischen Funktion.</x:v>
      </x:c>
      <x:c r="Z1254" s="36" t="str">
        <x:v>JA</x:v>
      </x:c>
      <x:c r="AA1254" s="36" t="str">
        <x:v>JA</x:v>
      </x:c>
      <x:c r="AB1254" s="36" t="str">
        <x:v>JA</x:v>
      </x:c>
      <x:c r="AC1254" s="36" t="str">
        <x:v>JA</x:v>
      </x:c>
      <x:c r="AD1254" s="36" t="str">
        <x:v>JA</x:v>
      </x:c>
      <x:c r="AE1254" s="36" t="str">
        <x:v>JA</x:v>
      </x:c>
      <x:c r="AF1254" s="36" t="str">
        <x:v>JA</x:v>
      </x:c>
      <x:c r="AG1254" s="36" t="str">
        <x:v>FREIGEGEBEN</x:v>
      </x:c>
      <x:c r="AH1254" s="36" t="str">
        <x:v>GPT-5.6 Sol · Buchprüfung Offenbarung · L1912/OTB</x:v>
      </x:c>
      <x:c r="AI1254" s="36" t="str">
        <x:v>FREIGEGEBEN</x:v>
      </x:c>
      <x:c r="AJ1254" s="36" t="str">
        <x:v>Offenbarung 13: neue textnahe ZWEITES_TIER-Frage ohne unnötige Endzeit-Systemfestlegung freigegeben.</x:v>
      </x:c>
      <x:c r="AK1254" s="36" t="str">
        <x:v>FaithPath repo develop/v4 · data/bibles/l1912/REV.json · data/bibles/otb/REV.json</x:v>
      </x:c>
      <x:c r="AL1254" t="str">
        <x:v>JA</x:v>
      </x:c>
    </x:row>
    <x:row r="1255">
      <x:c r="A1255" t="str">
        <x:v>FP-1514</x:v>
      </x:c>
      <x:c r="B1255" t="str">
        <x:v>REV</x:v>
      </x:c>
      <x:c r="C1255" t="str">
        <x:v>Offenbarung</x:v>
      </x:c>
      <x:c r="D1255" t="n">
        <x:v>13</x:v>
      </x:c>
      <x:c r="E1255" t="n">
        <x:v>4</x:v>
      </x:c>
      <x:c r="F1255" t="str">
        <x:v>REV-013</x:v>
      </x:c>
      <x:c r="G1255" t="n">
        <x:v>251</x:v>
      </x:c>
      <x:c r="H1255" t="str">
        <x:v>CQ-A27</x:v>
      </x:c>
      <x:c r="I1255" s="36" t="str">
        <x:v>Bestandsfrage: exakter Wortlaut in diesem Arbeitsschritt nicht rekonstruiert.</x:v>
      </x:c>
      <x:c r="J1255" s="36"/>
      <x:c r="K1255" s="36"/>
      <x:c r="L1255" s="36" t="str">
        <x:v>MASTER_STATUS_VERIFIZIERT</x:v>
      </x:c>
      <x:c r="M1255" s="36" t="str">
        <x:v>ERSETZEN</x:v>
      </x:c>
      <x:c r="N1255" s="36" t="str">
        <x:v>BESTAND_NOCH_NICHT_GEPRÜFT</x:v>
      </x:c>
      <x:c r="O1255" s="36" t="str">
        <x:v>DIDAKTISCHE_NEUFASSUNG</x:v>
      </x:c>
      <x:c r="P1255" s="36" t="str">
        <x:v>ZEICHEN</x:v>
      </x:c>
      <x:c r="Q1255" s="36" t="str">
        <x:v>Welche wirtschaftliche Folge ist mit dem Zeichen des Tieres verbunden?</x:v>
      </x:c>
      <x:c r="R1255" s="36" t="str">
        <x:v>Das Zeichen garantiert Wohlstand für alle.</x:v>
      </x:c>
      <x:c r="S1255" s="36" t="str">
        <x:v>Nur Könige dürfen mit dem Zeichen handeln.</x:v>
      </x:c>
      <x:c r="T1255" s="36" t="str">
        <x:v>Das Zeichen hat keinerlei Verbindung zum Wirtschaftsleben.</x:v>
      </x:c>
      <x:c r="U1255" s="36" t="str">
        <x:v>Ohne das Zeichen, den Namen oder die Zahl des Tieres kann niemand kaufen oder verkaufen.</x:v>
      </x:c>
      <x:c r="V1255" s="36" t="n">
        <x:v>3</x:v>
      </x:c>
      <x:c r="W1255" s="36" t="str">
        <x:v>Ohne das Zeichen, den Namen oder die Zahl des Tieres kann niemand kaufen oder verkaufen.</x:v>
      </x:c>
      <x:c r="X1255" s="36" t="str">
        <x:v>Offenbarung 13,15–17</x:v>
      </x:c>
      <x:c r="Y1255" s="36" t="str">
        <x:v>Der Text verbindet religiös-politische Loyalität mit wirtschaftlichem Zwang.</x:v>
      </x:c>
      <x:c r="Z1255" s="36" t="str">
        <x:v>JA</x:v>
      </x:c>
      <x:c r="AA1255" s="36" t="str">
        <x:v>JA</x:v>
      </x:c>
      <x:c r="AB1255" s="36" t="str">
        <x:v>JA</x:v>
      </x:c>
      <x:c r="AC1255" s="36" t="str">
        <x:v>JA</x:v>
      </x:c>
      <x:c r="AD1255" s="36" t="str">
        <x:v>JA</x:v>
      </x:c>
      <x:c r="AE1255" s="36" t="str">
        <x:v>JA</x:v>
      </x:c>
      <x:c r="AF1255" s="36" t="str">
        <x:v>JA</x:v>
      </x:c>
      <x:c r="AG1255" s="36" t="str">
        <x:v>FREIGEGEBEN</x:v>
      </x:c>
      <x:c r="AH1255" s="36" t="str">
        <x:v>GPT-5.6 Sol · Buchprüfung Offenbarung · L1912/OTB</x:v>
      </x:c>
      <x:c r="AI1255" s="36" t="str">
        <x:v>FREIGEGEBEN</x:v>
      </x:c>
      <x:c r="AJ1255" s="36" t="str">
        <x:v>Offenbarung 13: neue textnahe ZEICHEN-Frage ohne unnötige Endzeit-Systemfestlegung freigegeben.</x:v>
      </x:c>
      <x:c r="AK1255" s="36" t="str">
        <x:v>FaithPath repo develop/v4 · data/bibles/l1912/REV.json · data/bibles/otb/REV.json</x:v>
      </x:c>
      <x:c r="AL1255" t="str">
        <x:v>JA</x:v>
      </x:c>
    </x:row>
    <x:row r="1256">
      <x:c r="A1256" t="str">
        <x:v>FP-1515</x:v>
      </x:c>
      <x:c r="B1256" t="str">
        <x:v>REV</x:v>
      </x:c>
      <x:c r="C1256" t="str">
        <x:v>Offenbarung</x:v>
      </x:c>
      <x:c r="D1256" t="n">
        <x:v>13</x:v>
      </x:c>
      <x:c r="E1256" t="n">
        <x:v>5</x:v>
      </x:c>
      <x:c r="F1256" t="str">
        <x:v>REV-013</x:v>
      </x:c>
      <x:c r="G1256" t="n">
        <x:v>251</x:v>
      </x:c>
      <x:c r="H1256" t="str">
        <x:v>CQ-A27</x:v>
      </x:c>
      <x:c r="I1256" s="36" t="str">
        <x:v>Bestandsfrage: exakter Wortlaut in diesem Arbeitsschritt nicht rekonstruiert.</x:v>
      </x:c>
      <x:c r="J1256" s="36"/>
      <x:c r="K1256" s="36"/>
      <x:c r="L1256" s="36" t="str">
        <x:v>MASTER_STATUS_VERIFIZIERT</x:v>
      </x:c>
      <x:c r="M1256" s="36" t="str">
        <x:v>ERSETZEN</x:v>
      </x:c>
      <x:c r="N1256" s="36" t="str">
        <x:v>BESTAND_NOCH_NICHT_GEPRÜFT</x:v>
      </x:c>
      <x:c r="O1256" s="36" t="str">
        <x:v>DIDAKTISCHE_NEUFASSUNG</x:v>
      </x:c>
      <x:c r="P1256" s="36" t="str">
        <x:v>ZAHL</x:v>
      </x:c>
      <x:c r="Q1256" s="36" t="str">
        <x:v>Welche Zahl nennt Offenbarung 13 als Zahl des Tieres?</x:v>
      </x:c>
      <x:c r="R1256" s="36" t="str">
        <x:v>666.</x:v>
      </x:c>
      <x:c r="S1256" s="36" t="str">
        <x:v>144.000.</x:v>
      </x:c>
      <x:c r="T1256" s="36" t="str">
        <x:v>1.260.</x:v>
      </x:c>
      <x:c r="U1256" s="36" t="str">
        <x:v>777.</x:v>
      </x:c>
      <x:c r="V1256" s="36" t="n">
        <x:v>0</x:v>
      </x:c>
      <x:c r="W1256" s="36" t="str">
        <x:v>666.</x:v>
      </x:c>
      <x:c r="X1256" s="36" t="str">
        <x:v>Offenbarung 13,18</x:v>
      </x:c>
      <x:c r="Y1256" s="36" t="str">
        <x:v>Der Vers nennt ausdrücklich 666 und fordert Weisheit beim Verständnis, ohne hier eine bestimmte historische Deutung festzulegen.</x:v>
      </x:c>
      <x:c r="Z1256" s="36" t="str">
        <x:v>JA</x:v>
      </x:c>
      <x:c r="AA1256" s="36" t="str">
        <x:v>JA</x:v>
      </x:c>
      <x:c r="AB1256" s="36" t="str">
        <x:v>JA</x:v>
      </x:c>
      <x:c r="AC1256" s="36" t="str">
        <x:v>JA</x:v>
      </x:c>
      <x:c r="AD1256" s="36" t="str">
        <x:v>JA</x:v>
      </x:c>
      <x:c r="AE1256" s="36" t="str">
        <x:v>JA</x:v>
      </x:c>
      <x:c r="AF1256" s="36" t="str">
        <x:v>JA</x:v>
      </x:c>
      <x:c r="AG1256" s="36" t="str">
        <x:v>FREIGEGEBEN</x:v>
      </x:c>
      <x:c r="AH1256" s="36" t="str">
        <x:v>GPT-5.6 Sol · Buchprüfung Offenbarung · L1912/OTB</x:v>
      </x:c>
      <x:c r="AI1256" s="36" t="str">
        <x:v>FREIGEGEBEN</x:v>
      </x:c>
      <x:c r="AJ1256" s="36" t="str">
        <x:v>Offenbarung 13: neue textnahe ZAHL-Frage ohne unnötige Endzeit-Systemfestlegung freigegeben.</x:v>
      </x:c>
      <x:c r="AK1256" s="36" t="str">
        <x:v>FaithPath repo develop/v4 · data/bibles/l1912/REV.json · data/bibles/otb/REV.json</x:v>
      </x:c>
      <x:c r="AL1256" t="str">
        <x:v>JA</x:v>
      </x:c>
    </x:row>
    <x:row r="1257">
      <x:c r="A1257" t="str">
        <x:v>FP-1516</x:v>
      </x:c>
      <x:c r="B1257" t="str">
        <x:v>REV</x:v>
      </x:c>
      <x:c r="C1257" t="str">
        <x:v>Offenbarung</x:v>
      </x:c>
      <x:c r="D1257" t="n">
        <x:v>14</x:v>
      </x:c>
      <x:c r="E1257" t="n">
        <x:v>1</x:v>
      </x:c>
      <x:c r="F1257" t="str">
        <x:v>REV-014</x:v>
      </x:c>
      <x:c r="G1257" t="n">
        <x:v>252</x:v>
      </x:c>
      <x:c r="H1257" t="str">
        <x:v>CQ-A27</x:v>
      </x:c>
      <x:c r="I1257" s="36" t="str">
        <x:v>Bestandsfrage: exakter Wortlaut in diesem Arbeitsschritt nicht rekonstruiert.</x:v>
      </x:c>
      <x:c r="J1257" s="36"/>
      <x:c r="K1257" s="36"/>
      <x:c r="L1257" s="36" t="str">
        <x:v>MASTER_STATUS_VERIFIZIERT</x:v>
      </x:c>
      <x:c r="M1257" s="36" t="str">
        <x:v>ERSETZEN</x:v>
      </x:c>
      <x:c r="N1257" s="36" t="str">
        <x:v>BESTAND_NOCH_NICHT_GEPRÜFT</x:v>
      </x:c>
      <x:c r="O1257" s="36" t="str">
        <x:v>DIDAKTISCHE_NEUFASSUNG</x:v>
      </x:c>
      <x:c r="P1257" s="36" t="str">
        <x:v>LAMM_AUF_ZION</x:v>
      </x:c>
      <x:c r="Q1257" s="36" t="str">
        <x:v>Was tragen die 144.000 beim Lamm auf dem Berg Zion auf ihren Stirnen?</x:v>
      </x:c>
      <x:c r="R1257" s="36" t="str">
        <x:v>Das Zeichen des Tieres.</x:v>
      </x:c>
      <x:c r="S1257" s="36" t="str">
        <x:v>Den Namen des Lammes und den Namen seines Vaters.</x:v>
      </x:c>
      <x:c r="T1257" s="36" t="str">
        <x:v>Die Namen der sieben Gemeinden.</x:v>
      </x:c>
      <x:c r="U1257" s="36" t="str">
        <x:v>Die Zahl der vierundzwanzig Ältesten.</x:v>
      </x:c>
      <x:c r="V1257" s="36" t="n">
        <x:v>1</x:v>
      </x:c>
      <x:c r="W1257" s="36" t="str">
        <x:v>Den Namen des Lammes und den Namen seines Vaters.</x:v>
      </x:c>
      <x:c r="X1257" s="36" t="str">
        <x:v>Offenbarung 14,1–5</x:v>
      </x:c>
      <x:c r="Y1257" s="36" t="str">
        <x:v>Die Gruppe wird durch Zugehörigkeit zum Lamm und zum Vater gekennzeichnet.</x:v>
      </x:c>
      <x:c r="Z1257" s="36" t="str">
        <x:v>JA</x:v>
      </x:c>
      <x:c r="AA1257" s="36" t="str">
        <x:v>JA</x:v>
      </x:c>
      <x:c r="AB1257" s="36" t="str">
        <x:v>JA</x:v>
      </x:c>
      <x:c r="AC1257" s="36" t="str">
        <x:v>JA</x:v>
      </x:c>
      <x:c r="AD1257" s="36" t="str">
        <x:v>JA</x:v>
      </x:c>
      <x:c r="AE1257" s="36" t="str">
        <x:v>JA</x:v>
      </x:c>
      <x:c r="AF1257" s="36" t="str">
        <x:v>JA</x:v>
      </x:c>
      <x:c r="AG1257" s="36" t="str">
        <x:v>FREIGEGEBEN</x:v>
      </x:c>
      <x:c r="AH1257" s="36" t="str">
        <x:v>GPT-5.6 Sol · Buchprüfung Offenbarung · L1912/OTB</x:v>
      </x:c>
      <x:c r="AI1257" s="36" t="str">
        <x:v>FREIGEGEBEN</x:v>
      </x:c>
      <x:c r="AJ1257" s="36" t="str">
        <x:v>Offenbarung 14: neue textnahe LAMM_AUF_ZION-Frage ohne unnötige Endzeit-Systemfestlegung freigegeben.</x:v>
      </x:c>
      <x:c r="AK1257" s="36" t="str">
        <x:v>FaithPath repo develop/v4 · data/bibles/l1912/REV.json · data/bibles/otb/REV.json</x:v>
      </x:c>
      <x:c r="AL1257" t="str">
        <x:v>JA</x:v>
      </x:c>
    </x:row>
    <x:row r="1258">
      <x:c r="A1258" t="str">
        <x:v>FP-1517</x:v>
      </x:c>
      <x:c r="B1258" t="str">
        <x:v>REV</x:v>
      </x:c>
      <x:c r="C1258" t="str">
        <x:v>Offenbarung</x:v>
      </x:c>
      <x:c r="D1258" t="n">
        <x:v>14</x:v>
      </x:c>
      <x:c r="E1258" t="n">
        <x:v>2</x:v>
      </x:c>
      <x:c r="F1258" t="str">
        <x:v>REV-014</x:v>
      </x:c>
      <x:c r="G1258" t="n">
        <x:v>252</x:v>
      </x:c>
      <x:c r="H1258" t="str">
        <x:v>CQ-A27</x:v>
      </x:c>
      <x:c r="I1258" s="36" t="str">
        <x:v>Bestandsfrage: exakter Wortlaut in diesem Arbeitsschritt nicht rekonstruiert.</x:v>
      </x:c>
      <x:c r="J1258" s="36"/>
      <x:c r="K1258" s="36"/>
      <x:c r="L1258" s="36" t="str">
        <x:v>MASTER_STATUS_VERIFIZIERT</x:v>
      </x:c>
      <x:c r="M1258" s="36" t="str">
        <x:v>ERSETZEN</x:v>
      </x:c>
      <x:c r="N1258" s="36" t="str">
        <x:v>BESTAND_NOCH_NICHT_GEPRÜFT</x:v>
      </x:c>
      <x:c r="O1258" s="36" t="str">
        <x:v>DIDAKTISCHE_NEUFASSUNG</x:v>
      </x:c>
      <x:c r="P1258" s="36" t="str">
        <x:v>EWIGES_EVANGELIUM</x:v>
      </x:c>
      <x:c r="Q1258" s="36" t="str">
        <x:v>Was ruft der Engel mit dem ewigen Evangelium den Bewohnern der Erde zu?</x:v>
      </x:c>
      <x:c r="R1258" s="36" t="str">
        <x:v>Das Tier und sein Bild anzubeten.</x:v>
      </x:c>
      <x:c r="S1258" s="36" t="str">
        <x:v>Babylon zu folgen.</x:v>
      </x:c>
      <x:c r="T1258" s="36" t="str">
        <x:v>Gott zu fürchten, ihm Ehre zu geben und den Schöpfer anzubeten.</x:v>
      </x:c>
      <x:c r="U1258" s="36" t="str">
        <x:v>Die sieben Gemeinden zu verlassen.</x:v>
      </x:c>
      <x:c r="V1258" s="36" t="n">
        <x:v>2</x:v>
      </x:c>
      <x:c r="W1258" s="36" t="str">
        <x:v>Gott zu fürchten, ihm Ehre zu geben und den Schöpfer anzubeten.</x:v>
      </x:c>
      <x:c r="X1258" s="36" t="str">
        <x:v>Offenbarung 14,6–7</x:v>
      </x:c>
      <x:c r="Y1258" s="36" t="str">
        <x:v>Die Botschaft verbindet die Stunde des Gerichts mit Anbetung des Schöpfers.</x:v>
      </x:c>
      <x:c r="Z1258" s="36" t="str">
        <x:v>JA</x:v>
      </x:c>
      <x:c r="AA1258" s="36" t="str">
        <x:v>JA</x:v>
      </x:c>
      <x:c r="AB1258" s="36" t="str">
        <x:v>JA</x:v>
      </x:c>
      <x:c r="AC1258" s="36" t="str">
        <x:v>JA</x:v>
      </x:c>
      <x:c r="AD1258" s="36" t="str">
        <x:v>JA</x:v>
      </x:c>
      <x:c r="AE1258" s="36" t="str">
        <x:v>JA</x:v>
      </x:c>
      <x:c r="AF1258" s="36" t="str">
        <x:v>JA</x:v>
      </x:c>
      <x:c r="AG1258" s="36" t="str">
        <x:v>FREIGEGEBEN</x:v>
      </x:c>
      <x:c r="AH1258" s="36" t="str">
        <x:v>GPT-5.6 Sol · Buchprüfung Offenbarung · L1912/OTB</x:v>
      </x:c>
      <x:c r="AI1258" s="36" t="str">
        <x:v>FREIGEGEBEN</x:v>
      </x:c>
      <x:c r="AJ1258" s="36" t="str">
        <x:v>Offenbarung 14: neue textnahe EWIGES_EVANGELIUM-Frage ohne unnötige Endzeit-Systemfestlegung freigegeben.</x:v>
      </x:c>
      <x:c r="AK1258" s="36" t="str">
        <x:v>FaithPath repo develop/v4 · data/bibles/l1912/REV.json · data/bibles/otb/REV.json</x:v>
      </x:c>
      <x:c r="AL1258" t="str">
        <x:v>JA</x:v>
      </x:c>
    </x:row>
    <x:row r="1259">
      <x:c r="A1259" t="str">
        <x:v>FP-1518</x:v>
      </x:c>
      <x:c r="B1259" t="str">
        <x:v>REV</x:v>
      </x:c>
      <x:c r="C1259" t="str">
        <x:v>Offenbarung</x:v>
      </x:c>
      <x:c r="D1259" t="n">
        <x:v>14</x:v>
      </x:c>
      <x:c r="E1259" t="n">
        <x:v>3</x:v>
      </x:c>
      <x:c r="F1259" t="str">
        <x:v>REV-014</x:v>
      </x:c>
      <x:c r="G1259" t="n">
        <x:v>252</x:v>
      </x:c>
      <x:c r="H1259" t="str">
        <x:v>CQ-A27</x:v>
      </x:c>
      <x:c r="I1259" s="36" t="str">
        <x:v>Bestandsfrage: exakter Wortlaut in diesem Arbeitsschritt nicht rekonstruiert.</x:v>
      </x:c>
      <x:c r="J1259" s="36"/>
      <x:c r="K1259" s="36"/>
      <x:c r="L1259" s="36" t="str">
        <x:v>MASTER_STATUS_VERIFIZIERT</x:v>
      </x:c>
      <x:c r="M1259" s="36" t="str">
        <x:v>ERSETZEN</x:v>
      </x:c>
      <x:c r="N1259" s="36" t="str">
        <x:v>BESTAND_NOCH_NICHT_GEPRÜFT</x:v>
      </x:c>
      <x:c r="O1259" s="36" t="str">
        <x:v>DIDAKTISCHE_NEUFASSUNG</x:v>
      </x:c>
      <x:c r="P1259" s="36" t="str">
        <x:v>BABYLON</x:v>
      </x:c>
      <x:c r="Q1259" s="36" t="str">
        <x:v>Welche Botschaft verkündet der zweite Engel?</x:v>
      </x:c>
      <x:c r="R1259" s="36" t="str">
        <x:v>Der Drache ist bereits im Feuersee.</x:v>
      </x:c>
      <x:c r="S1259" s="36" t="str">
        <x:v>Das neue Jerusalem ist vollständig auf der Erde.</x:v>
      </x:c>
      <x:c r="T1259" s="36" t="str">
        <x:v>Die sieben Siegel werden geschlossen.</x:v>
      </x:c>
      <x:c r="U1259" s="36" t="str">
        <x:v>Gefallen ist Babylon, die Große.</x:v>
      </x:c>
      <x:c r="V1259" s="36" t="n">
        <x:v>3</x:v>
      </x:c>
      <x:c r="W1259" s="36" t="str">
        <x:v>Gefallen ist Babylon, die Große.</x:v>
      </x:c>
      <x:c r="X1259" s="36" t="str">
        <x:v>Offenbarung 14,8</x:v>
      </x:c>
      <x:c r="Y1259" s="36" t="str">
        <x:v>Der Fall Babylons wird angekündigt, bevor Kapitel 17–18 das Bild ausführlich entfalten.</x:v>
      </x:c>
      <x:c r="Z1259" s="36" t="str">
        <x:v>JA</x:v>
      </x:c>
      <x:c r="AA1259" s="36" t="str">
        <x:v>JA</x:v>
      </x:c>
      <x:c r="AB1259" s="36" t="str">
        <x:v>JA</x:v>
      </x:c>
      <x:c r="AC1259" s="36" t="str">
        <x:v>JA</x:v>
      </x:c>
      <x:c r="AD1259" s="36" t="str">
        <x:v>JA</x:v>
      </x:c>
      <x:c r="AE1259" s="36" t="str">
        <x:v>JA</x:v>
      </x:c>
      <x:c r="AF1259" s="36" t="str">
        <x:v>JA</x:v>
      </x:c>
      <x:c r="AG1259" s="36" t="str">
        <x:v>FREIGEGEBEN</x:v>
      </x:c>
      <x:c r="AH1259" s="36" t="str">
        <x:v>GPT-5.6 Sol · Buchprüfung Offenbarung · L1912/OTB</x:v>
      </x:c>
      <x:c r="AI1259" s="36" t="str">
        <x:v>FREIGEGEBEN</x:v>
      </x:c>
      <x:c r="AJ1259" s="36" t="str">
        <x:v>Offenbarung 14: neue textnahe BABYLON-Frage ohne unnötige Endzeit-Systemfestlegung freigegeben.</x:v>
      </x:c>
      <x:c r="AK1259" s="36" t="str">
        <x:v>FaithPath repo develop/v4 · data/bibles/l1912/REV.json · data/bibles/otb/REV.json</x:v>
      </x:c>
      <x:c r="AL1259" t="str">
        <x:v>JA</x:v>
      </x:c>
    </x:row>
    <x:row r="1260">
      <x:c r="A1260" t="str">
        <x:v>FP-1519</x:v>
      </x:c>
      <x:c r="B1260" t="str">
        <x:v>REV</x:v>
      </x:c>
      <x:c r="C1260" t="str">
        <x:v>Offenbarung</x:v>
      </x:c>
      <x:c r="D1260" t="n">
        <x:v>14</x:v>
      </x:c>
      <x:c r="E1260" t="n">
        <x:v>4</x:v>
      </x:c>
      <x:c r="F1260" t="str">
        <x:v>REV-014</x:v>
      </x:c>
      <x:c r="G1260" t="n">
        <x:v>252</x:v>
      </x:c>
      <x:c r="H1260" t="str">
        <x:v>CQ-A27</x:v>
      </x:c>
      <x:c r="I1260" s="36" t="str">
        <x:v>Bestandsfrage: exakter Wortlaut in diesem Arbeitsschritt nicht rekonstruiert.</x:v>
      </x:c>
      <x:c r="J1260" s="36"/>
      <x:c r="K1260" s="36"/>
      <x:c r="L1260" s="36" t="str">
        <x:v>MASTER_STATUS_VERIFIZIERT</x:v>
      </x:c>
      <x:c r="M1260" s="36" t="str">
        <x:v>ERSETZEN</x:v>
      </x:c>
      <x:c r="N1260" s="36" t="str">
        <x:v>BESTAND_NOCH_NICHT_GEPRÜFT</x:v>
      </x:c>
      <x:c r="O1260" s="36" t="str">
        <x:v>DIDAKTISCHE_NEUFASSUNG</x:v>
      </x:c>
      <x:c r="P1260" s="36" t="str">
        <x:v>TREUE</x:v>
      </x:c>
      <x:c r="Q1260" s="36" t="str">
        <x:v>Welche Haltung kennzeichnet die Heiligen im Zusammenhang mit der Warnung vor dem Tier?</x:v>
      </x:c>
      <x:c r="R1260" s="36" t="str">
        <x:v>Ausharren, Gottes Gebote bewahren und am Glauben an Jesus festhalten.</x:v>
      </x:c>
      <x:c r="S1260" s="36" t="str">
        <x:v>Das Zeichen des Tieres annehmen, um Schwierigkeiten zu vermeiden.</x:v>
      </x:c>
      <x:c r="T1260" s="36" t="str">
        <x:v>Alle Arbeit einstellen.</x:v>
      </x:c>
      <x:c r="U1260" s="36" t="str">
        <x:v>Nur das Gericht über andere beobachten.</x:v>
      </x:c>
      <x:c r="V1260" s="36" t="n">
        <x:v>0</x:v>
      </x:c>
      <x:c r="W1260" s="36" t="str">
        <x:v>Ausharren, Gottes Gebote bewahren und am Glauben an Jesus festhalten.</x:v>
      </x:c>
      <x:c r="X1260" s="36" t="str">
        <x:v>Offenbarung 14,9–13</x:v>
      </x:c>
      <x:c r="Y1260" s="36" t="str">
        <x:v>Die Warnung vor der Anbetung des Tieres mündet in einen Ruf zu standhafter Treue.</x:v>
      </x:c>
      <x:c r="Z1260" s="36" t="str">
        <x:v>JA</x:v>
      </x:c>
      <x:c r="AA1260" s="36" t="str">
        <x:v>JA</x:v>
      </x:c>
      <x:c r="AB1260" s="36" t="str">
        <x:v>JA</x:v>
      </x:c>
      <x:c r="AC1260" s="36" t="str">
        <x:v>JA</x:v>
      </x:c>
      <x:c r="AD1260" s="36" t="str">
        <x:v>JA</x:v>
      </x:c>
      <x:c r="AE1260" s="36" t="str">
        <x:v>JA</x:v>
      </x:c>
      <x:c r="AF1260" s="36" t="str">
        <x:v>JA</x:v>
      </x:c>
      <x:c r="AG1260" s="36" t="str">
        <x:v>FREIGEGEBEN</x:v>
      </x:c>
      <x:c r="AH1260" s="36" t="str">
        <x:v>GPT-5.6 Sol · Buchprüfung Offenbarung · L1912/OTB</x:v>
      </x:c>
      <x:c r="AI1260" s="36" t="str">
        <x:v>FREIGEGEBEN</x:v>
      </x:c>
      <x:c r="AJ1260" s="36" t="str">
        <x:v>Offenbarung 14: neue textnahe TREUE-Frage ohne unnötige Endzeit-Systemfestlegung freigegeben.</x:v>
      </x:c>
      <x:c r="AK1260" s="36" t="str">
        <x:v>FaithPath repo develop/v4 · data/bibles/l1912/REV.json · data/bibles/otb/REV.json</x:v>
      </x:c>
      <x:c r="AL1260" t="str">
        <x:v>JA</x:v>
      </x:c>
    </x:row>
    <x:row r="1261">
      <x:c r="A1261" t="str">
        <x:v>FP-1520</x:v>
      </x:c>
      <x:c r="B1261" t="str">
        <x:v>REV</x:v>
      </x:c>
      <x:c r="C1261" t="str">
        <x:v>Offenbarung</x:v>
      </x:c>
      <x:c r="D1261" t="n">
        <x:v>14</x:v>
      </x:c>
      <x:c r="E1261" t="n">
        <x:v>5</x:v>
      </x:c>
      <x:c r="F1261" t="str">
        <x:v>REV-014</x:v>
      </x:c>
      <x:c r="G1261" t="n">
        <x:v>252</x:v>
      </x:c>
      <x:c r="H1261" t="str">
        <x:v>CQ-A27</x:v>
      </x:c>
      <x:c r="I1261" s="36" t="str">
        <x:v>Bestandsfrage: exakter Wortlaut in diesem Arbeitsschritt nicht rekonstruiert.</x:v>
      </x:c>
      <x:c r="J1261" s="36"/>
      <x:c r="K1261" s="36"/>
      <x:c r="L1261" s="36" t="str">
        <x:v>MASTER_STATUS_VERIFIZIERT</x:v>
      </x:c>
      <x:c r="M1261" s="36" t="str">
        <x:v>ERSETZEN</x:v>
      </x:c>
      <x:c r="N1261" s="36" t="str">
        <x:v>BESTAND_NOCH_NICHT_GEPRÜFT</x:v>
      </x:c>
      <x:c r="O1261" s="36" t="str">
        <x:v>DIDAKTISCHE_NEUFASSUNG</x:v>
      </x:c>
      <x:c r="P1261" s="36" t="str">
        <x:v>ERNTE</x:v>
      </x:c>
      <x:c r="Q1261" s="36" t="str">
        <x:v>Welche zwei Erntebilder erscheinen am Ende des Kapitels?</x:v>
      </x:c>
      <x:c r="R1261" s="36" t="str">
        <x:v>Weizen und Gerste für den Tempel.</x:v>
      </x:c>
      <x:c r="S1261" s="36" t="str">
        <x:v>Die Ernte der Erde und die Traubenernte für die Kelter des Zornes Gottes.</x:v>
      </x:c>
      <x:c r="T1261" s="36" t="str">
        <x:v>Oliven und Feigen für die sieben Gemeinden.</x:v>
      </x:c>
      <x:c r="U1261" s="36" t="str">
        <x:v>Manna und Trauben für Israel.</x:v>
      </x:c>
      <x:c r="V1261" s="36" t="n">
        <x:v>1</x:v>
      </x:c>
      <x:c r="W1261" s="36" t="str">
        <x:v>Die Ernte der Erde und die Traubenernte für die Kelter des Zornes Gottes.</x:v>
      </x:c>
      <x:c r="X1261" s="36" t="str">
        <x:v>Offenbarung 14,14–20</x:v>
      </x:c>
      <x:c r="Y1261" s="36" t="str">
        <x:v>Die beiden Sichel-Szenen bilden den Abschluss des Kapitels und tragen deutlich gerichtliche Bildsprache.</x:v>
      </x:c>
      <x:c r="Z1261" s="36" t="str">
        <x:v>JA</x:v>
      </x:c>
      <x:c r="AA1261" s="36" t="str">
        <x:v>JA</x:v>
      </x:c>
      <x:c r="AB1261" s="36" t="str">
        <x:v>JA</x:v>
      </x:c>
      <x:c r="AC1261" s="36" t="str">
        <x:v>JA</x:v>
      </x:c>
      <x:c r="AD1261" s="36" t="str">
        <x:v>JA</x:v>
      </x:c>
      <x:c r="AE1261" s="36" t="str">
        <x:v>JA</x:v>
      </x:c>
      <x:c r="AF1261" s="36" t="str">
        <x:v>JA</x:v>
      </x:c>
      <x:c r="AG1261" s="36" t="str">
        <x:v>FREIGEGEBEN</x:v>
      </x:c>
      <x:c r="AH1261" s="36" t="str">
        <x:v>GPT-5.6 Sol · Buchprüfung Offenbarung · L1912/OTB</x:v>
      </x:c>
      <x:c r="AI1261" s="36" t="str">
        <x:v>FREIGEGEBEN</x:v>
      </x:c>
      <x:c r="AJ1261" s="36" t="str">
        <x:v>Offenbarung 14: neue textnahe ERNTE-Frage ohne unnötige Endzeit-Systemfestlegung freigegeben.</x:v>
      </x:c>
      <x:c r="AK1261" s="36" t="str">
        <x:v>FaithPath repo develop/v4 · data/bibles/l1912/REV.json · data/bibles/otb/REV.json</x:v>
      </x:c>
      <x:c r="AL1261" t="str">
        <x:v>JA</x:v>
      </x:c>
    </x:row>
    <x:row r="1262">
      <x:c r="A1262" t="str">
        <x:v>FP-1521</x:v>
      </x:c>
      <x:c r="B1262" t="str">
        <x:v>REV</x:v>
      </x:c>
      <x:c r="C1262" t="str">
        <x:v>Offenbarung</x:v>
      </x:c>
      <x:c r="D1262" t="n">
        <x:v>15</x:v>
      </x:c>
      <x:c r="E1262" t="n">
        <x:v>1</x:v>
      </x:c>
      <x:c r="F1262" t="str">
        <x:v>REV-015</x:v>
      </x:c>
      <x:c r="G1262" t="n">
        <x:v>253</x:v>
      </x:c>
      <x:c r="H1262" t="str">
        <x:v>CQ-A27</x:v>
      </x:c>
      <x:c r="I1262" s="36" t="str">
        <x:v>Bestandsfrage: exakter Wortlaut in diesem Arbeitsschritt nicht rekonstruiert.</x:v>
      </x:c>
      <x:c r="J1262" s="36"/>
      <x:c r="K1262" s="36"/>
      <x:c r="L1262" s="36" t="str">
        <x:v>MASTER_STATUS_VERIFIZIERT</x:v>
      </x:c>
      <x:c r="M1262" s="36" t="str">
        <x:v>ERSETZEN</x:v>
      </x:c>
      <x:c r="N1262" s="36" t="str">
        <x:v>BESTAND_NOCH_NICHT_GEPRÜFT</x:v>
      </x:c>
      <x:c r="O1262" s="36" t="str">
        <x:v>DIDAKTISCHE_NEUFASSUNG</x:v>
      </x:c>
      <x:c r="P1262" s="36" t="str">
        <x:v>LETZTE_PLAGEN</x:v>
      </x:c>
      <x:c r="Q1262" s="36" t="str">
        <x:v>Warum werden die sieben Plagen in Offenbarung 15 als die letzten bezeichnet?</x:v>
      </x:c>
      <x:c r="R1262" s="36" t="str">
        <x:v>Weil danach Gott nicht mehr richtet.</x:v>
      </x:c>
      <x:c r="S1262" s="36" t="str">
        <x:v>Weil es die ersten Plagen des Buches sind.</x:v>
      </x:c>
      <x:c r="T1262" s="36" t="str">
        <x:v>Weil mit ihnen der Zorn Gottes vollendet wird.</x:v>
      </x:c>
      <x:c r="U1262" s="36" t="str">
        <x:v>Weil nur sieben Menschen betroffen sind.</x:v>
      </x:c>
      <x:c r="V1262" s="36" t="n">
        <x:v>2</x:v>
      </x:c>
      <x:c r="W1262" s="36" t="str">
        <x:v>Weil mit ihnen der Zorn Gottes vollendet wird.</x:v>
      </x:c>
      <x:c r="X1262" s="36" t="str">
        <x:v>Offenbarung 15,1</x:v>
      </x:c>
      <x:c r="Y1262" s="36" t="str">
        <x:v>Die sieben letzten Plagen markieren die Vollendung dieses Gerichtszyklus.</x:v>
      </x:c>
      <x:c r="Z1262" s="36" t="str">
        <x:v>JA</x:v>
      </x:c>
      <x:c r="AA1262" s="36" t="str">
        <x:v>JA</x:v>
      </x:c>
      <x:c r="AB1262" s="36" t="str">
        <x:v>JA</x:v>
      </x:c>
      <x:c r="AC1262" s="36" t="str">
        <x:v>JA</x:v>
      </x:c>
      <x:c r="AD1262" s="36" t="str">
        <x:v>JA</x:v>
      </x:c>
      <x:c r="AE1262" s="36" t="str">
        <x:v>JA</x:v>
      </x:c>
      <x:c r="AF1262" s="36" t="str">
        <x:v>JA</x:v>
      </x:c>
      <x:c r="AG1262" s="36" t="str">
        <x:v>FREIGEGEBEN</x:v>
      </x:c>
      <x:c r="AH1262" s="36" t="str">
        <x:v>GPT-5.6 Sol · Buchprüfung Offenbarung · L1912/OTB</x:v>
      </x:c>
      <x:c r="AI1262" s="36" t="str">
        <x:v>FREIGEGEBEN</x:v>
      </x:c>
      <x:c r="AJ1262" s="36" t="str">
        <x:v>Offenbarung 15: neue textnahe LETZTE_PLAGEN-Frage ohne unnötige Endzeit-Systemfestlegung freigegeben.</x:v>
      </x:c>
      <x:c r="AK1262" s="36" t="str">
        <x:v>FaithPath repo develop/v4 · data/bibles/l1912/REV.json · data/bibles/otb/REV.json</x:v>
      </x:c>
      <x:c r="AL1262" t="str">
        <x:v>JA</x:v>
      </x:c>
    </x:row>
    <x:row r="1263">
      <x:c r="A1263" t="str">
        <x:v>FP-1522</x:v>
      </x:c>
      <x:c r="B1263" t="str">
        <x:v>REV</x:v>
      </x:c>
      <x:c r="C1263" t="str">
        <x:v>Offenbarung</x:v>
      </x:c>
      <x:c r="D1263" t="n">
        <x:v>15</x:v>
      </x:c>
      <x:c r="E1263" t="n">
        <x:v>2</x:v>
      </x:c>
      <x:c r="F1263" t="str">
        <x:v>REV-015</x:v>
      </x:c>
      <x:c r="G1263" t="n">
        <x:v>253</x:v>
      </x:c>
      <x:c r="H1263" t="str">
        <x:v>CQ-A27</x:v>
      </x:c>
      <x:c r="I1263" s="36" t="str">
        <x:v>Bestandsfrage: exakter Wortlaut in diesem Arbeitsschritt nicht rekonstruiert.</x:v>
      </x:c>
      <x:c r="J1263" s="36"/>
      <x:c r="K1263" s="36"/>
      <x:c r="L1263" s="36" t="str">
        <x:v>MASTER_STATUS_VERIFIZIERT</x:v>
      </x:c>
      <x:c r="M1263" s="36" t="str">
        <x:v>ERSETZEN</x:v>
      </x:c>
      <x:c r="N1263" s="36" t="str">
        <x:v>BESTAND_NOCH_NICHT_GEPRÜFT</x:v>
      </x:c>
      <x:c r="O1263" s="36" t="str">
        <x:v>DIDAKTISCHE_NEUFASSUNG</x:v>
      </x:c>
      <x:c r="P1263" s="36" t="str">
        <x:v>ÜBERWINDER</x:v>
      </x:c>
      <x:c r="Q1263" s="36" t="str">
        <x:v>Wer steht am gläsernen Meer mit Harfen von Gott?</x:v>
      </x:c>
      <x:c r="R1263" s="36" t="str">
        <x:v>Die Kaufleute Babylons.</x:v>
      </x:c>
      <x:c r="S1263" s="36" t="str">
        <x:v>Die Anhänger des Tieres.</x:v>
      </x:c>
      <x:c r="T1263" s="36" t="str">
        <x:v>Die vier Reiter.</x:v>
      </x:c>
      <x:c r="U1263" s="36" t="str">
        <x:v>Diejenigen, die über das Tier, sein Bild und die Zahl seines Namens gesiegt haben.</x:v>
      </x:c>
      <x:c r="V1263" s="36" t="n">
        <x:v>3</x:v>
      </x:c>
      <x:c r="W1263" s="36" t="str">
        <x:v>Diejenigen, die über das Tier, sein Bild und die Zahl seines Namens gesiegt haben.</x:v>
      </x:c>
      <x:c r="X1263" s="36" t="str">
        <x:v>Offenbarung 15,2</x:v>
      </x:c>
      <x:c r="Y1263" s="36" t="str">
        <x:v>Die Szene zeigt die treuen Überwinder vor dem Beginn der Schalengerichte.</x:v>
      </x:c>
      <x:c r="Z1263" s="36" t="str">
        <x:v>JA</x:v>
      </x:c>
      <x:c r="AA1263" s="36" t="str">
        <x:v>JA</x:v>
      </x:c>
      <x:c r="AB1263" s="36" t="str">
        <x:v>JA</x:v>
      </x:c>
      <x:c r="AC1263" s="36" t="str">
        <x:v>JA</x:v>
      </x:c>
      <x:c r="AD1263" s="36" t="str">
        <x:v>JA</x:v>
      </x:c>
      <x:c r="AE1263" s="36" t="str">
        <x:v>JA</x:v>
      </x:c>
      <x:c r="AF1263" s="36" t="str">
        <x:v>JA</x:v>
      </x:c>
      <x:c r="AG1263" s="36" t="str">
        <x:v>FREIGEGEBEN</x:v>
      </x:c>
      <x:c r="AH1263" s="36" t="str">
        <x:v>GPT-5.6 Sol · Buchprüfung Offenbarung · L1912/OTB</x:v>
      </x:c>
      <x:c r="AI1263" s="36" t="str">
        <x:v>FREIGEGEBEN</x:v>
      </x:c>
      <x:c r="AJ1263" s="36" t="str">
        <x:v>Offenbarung 15: neue textnahe ÜBERWINDER-Frage ohne unnötige Endzeit-Systemfestlegung freigegeben.</x:v>
      </x:c>
      <x:c r="AK1263" s="36" t="str">
        <x:v>FaithPath repo develop/v4 · data/bibles/l1912/REV.json · data/bibles/otb/REV.json</x:v>
      </x:c>
      <x:c r="AL1263" t="str">
        <x:v>JA</x:v>
      </x:c>
    </x:row>
    <x:row r="1264">
      <x:c r="A1264" t="str">
        <x:v>FP-1523</x:v>
      </x:c>
      <x:c r="B1264" t="str">
        <x:v>REV</x:v>
      </x:c>
      <x:c r="C1264" t="str">
        <x:v>Offenbarung</x:v>
      </x:c>
      <x:c r="D1264" t="n">
        <x:v>15</x:v>
      </x:c>
      <x:c r="E1264" t="n">
        <x:v>3</x:v>
      </x:c>
      <x:c r="F1264" t="str">
        <x:v>REV-015</x:v>
      </x:c>
      <x:c r="G1264" t="n">
        <x:v>253</x:v>
      </x:c>
      <x:c r="H1264" t="str">
        <x:v>CQ-A27</x:v>
      </x:c>
      <x:c r="I1264" s="36" t="str">
        <x:v>Bestandsfrage: exakter Wortlaut in diesem Arbeitsschritt nicht rekonstruiert.</x:v>
      </x:c>
      <x:c r="J1264" s="36"/>
      <x:c r="K1264" s="36"/>
      <x:c r="L1264" s="36" t="str">
        <x:v>MASTER_STATUS_VERIFIZIERT</x:v>
      </x:c>
      <x:c r="M1264" s="36" t="str">
        <x:v>ERSETZEN</x:v>
      </x:c>
      <x:c r="N1264" s="36" t="str">
        <x:v>BESTAND_NOCH_NICHT_GEPRÜFT</x:v>
      </x:c>
      <x:c r="O1264" s="36" t="str">
        <x:v>DIDAKTISCHE_NEUFASSUNG</x:v>
      </x:c>
      <x:c r="P1264" s="36" t="str">
        <x:v>LIED</x:v>
      </x:c>
      <x:c r="Q1264" s="36" t="str">
        <x:v>Welche beiden Bezeichnungen trägt das Lied der Überwinder?</x:v>
      </x:c>
      <x:c r="R1264" s="36" t="str">
        <x:v>Das Lied des Mose und das Lied des Lammes.</x:v>
      </x:c>
      <x:c r="S1264" s="36" t="str">
        <x:v>Das Lied Davids und das Lied Salomos.</x:v>
      </x:c>
      <x:c r="T1264" s="36" t="str">
        <x:v>Das Lied der sieben Gemeinden und das Lied Babylons.</x:v>
      </x:c>
      <x:c r="U1264" s="36" t="str">
        <x:v>Das Lied Michaels und das Lied der Engel.</x:v>
      </x:c>
      <x:c r="V1264" s="36" t="n">
        <x:v>0</x:v>
      </x:c>
      <x:c r="W1264" s="36" t="str">
        <x:v>Das Lied des Mose und das Lied des Lammes.</x:v>
      </x:c>
      <x:c r="X1264" s="36" t="str">
        <x:v>Offenbarung 15,3</x:v>
      </x:c>
      <x:c r="Y1264" s="36" t="str">
        <x:v>Die Bezeichnung verbindet Gottes frühere Rettungsgeschichte mit dem Sieg des Lammes.</x:v>
      </x:c>
      <x:c r="Z1264" s="36" t="str">
        <x:v>JA</x:v>
      </x:c>
      <x:c r="AA1264" s="36" t="str">
        <x:v>JA</x:v>
      </x:c>
      <x:c r="AB1264" s="36" t="str">
        <x:v>JA</x:v>
      </x:c>
      <x:c r="AC1264" s="36" t="str">
        <x:v>JA</x:v>
      </x:c>
      <x:c r="AD1264" s="36" t="str">
        <x:v>JA</x:v>
      </x:c>
      <x:c r="AE1264" s="36" t="str">
        <x:v>JA</x:v>
      </x:c>
      <x:c r="AF1264" s="36" t="str">
        <x:v>JA</x:v>
      </x:c>
      <x:c r="AG1264" s="36" t="str">
        <x:v>FREIGEGEBEN</x:v>
      </x:c>
      <x:c r="AH1264" s="36" t="str">
        <x:v>GPT-5.6 Sol · Buchprüfung Offenbarung · L1912/OTB</x:v>
      </x:c>
      <x:c r="AI1264" s="36" t="str">
        <x:v>FREIGEGEBEN</x:v>
      </x:c>
      <x:c r="AJ1264" s="36" t="str">
        <x:v>Offenbarung 15: neue textnahe LIED-Frage ohne unnötige Endzeit-Systemfestlegung freigegeben.</x:v>
      </x:c>
      <x:c r="AK1264" s="36" t="str">
        <x:v>FaithPath repo develop/v4 · data/bibles/l1912/REV.json · data/bibles/otb/REV.json</x:v>
      </x:c>
      <x:c r="AL1264" t="str">
        <x:v>JA</x:v>
      </x:c>
    </x:row>
    <x:row r="1265">
      <x:c r="A1265" t="str">
        <x:v>FP-1524</x:v>
      </x:c>
      <x:c r="B1265" t="str">
        <x:v>REV</x:v>
      </x:c>
      <x:c r="C1265" t="str">
        <x:v>Offenbarung</x:v>
      </x:c>
      <x:c r="D1265" t="n">
        <x:v>15</x:v>
      </x:c>
      <x:c r="E1265" t="n">
        <x:v>4</x:v>
      </x:c>
      <x:c r="F1265" t="str">
        <x:v>REV-015</x:v>
      </x:c>
      <x:c r="G1265" t="n">
        <x:v>253</x:v>
      </x:c>
      <x:c r="H1265" t="str">
        <x:v>CQ-A27</x:v>
      </x:c>
      <x:c r="I1265" s="36" t="str">
        <x:v>Bestandsfrage: exakter Wortlaut in diesem Arbeitsschritt nicht rekonstruiert.</x:v>
      </x:c>
      <x:c r="J1265" s="36"/>
      <x:c r="K1265" s="36"/>
      <x:c r="L1265" s="36" t="str">
        <x:v>MASTER_STATUS_VERIFIZIERT</x:v>
      </x:c>
      <x:c r="M1265" s="36" t="str">
        <x:v>ERSETZEN</x:v>
      </x:c>
      <x:c r="N1265" s="36" t="str">
        <x:v>BESTAND_NOCH_NICHT_GEPRÜFT</x:v>
      </x:c>
      <x:c r="O1265" s="36" t="str">
        <x:v>DIDAKTISCHE_NEUFASSUNG</x:v>
      </x:c>
      <x:c r="P1265" s="36" t="str">
        <x:v>ANBETUNG</x:v>
      </x:c>
      <x:c r="Q1265" s="36" t="str">
        <x:v>Was wird in diesem Lied über Gottes Wege und Taten gesagt?</x:v>
      </x:c>
      <x:c r="R1265" s="36" t="str">
        <x:v>Sie seien verborgen und ungerecht.</x:v>
      </x:c>
      <x:c r="S1265" s="36" t="str">
        <x:v>Sie sind groß und wunderbar, gerecht und wahrhaftig.</x:v>
      </x:c>
      <x:c r="T1265" s="36" t="str">
        <x:v>Sie müssten von den Nationen korrigiert werden.</x:v>
      </x:c>
      <x:c r="U1265" s="36" t="str">
        <x:v>Sie beträfen nur eine einzige Nation.</x:v>
      </x:c>
      <x:c r="V1265" s="36" t="n">
        <x:v>1</x:v>
      </x:c>
      <x:c r="W1265" s="36" t="str">
        <x:v>Sie sind groß und wunderbar, gerecht und wahrhaftig.</x:v>
      </x:c>
      <x:c r="X1265" s="36" t="str">
        <x:v>Offenbarung 15,3–4</x:v>
      </x:c>
      <x:c r="Y1265" s="36" t="str">
        <x:v>Der Lobpreis richtet sich auf Gottes Werke, Gerechtigkeit und Heiligkeit und erwartet die Anbetung der Nationen.</x:v>
      </x:c>
      <x:c r="Z1265" s="36" t="str">
        <x:v>JA</x:v>
      </x:c>
      <x:c r="AA1265" s="36" t="str">
        <x:v>JA</x:v>
      </x:c>
      <x:c r="AB1265" s="36" t="str">
        <x:v>JA</x:v>
      </x:c>
      <x:c r="AC1265" s="36" t="str">
        <x:v>JA</x:v>
      </x:c>
      <x:c r="AD1265" s="36" t="str">
        <x:v>JA</x:v>
      </x:c>
      <x:c r="AE1265" s="36" t="str">
        <x:v>JA</x:v>
      </x:c>
      <x:c r="AF1265" s="36" t="str">
        <x:v>JA</x:v>
      </x:c>
      <x:c r="AG1265" s="36" t="str">
        <x:v>FREIGEGEBEN</x:v>
      </x:c>
      <x:c r="AH1265" s="36" t="str">
        <x:v>GPT-5.6 Sol · Buchprüfung Offenbarung · L1912/OTB</x:v>
      </x:c>
      <x:c r="AI1265" s="36" t="str">
        <x:v>FREIGEGEBEN</x:v>
      </x:c>
      <x:c r="AJ1265" s="36" t="str">
        <x:v>Offenbarung 15: neue textnahe ANBETUNG-Frage ohne unnötige Endzeit-Systemfestlegung freigegeben.</x:v>
      </x:c>
      <x:c r="AK1265" s="36" t="str">
        <x:v>FaithPath repo develop/v4 · data/bibles/l1912/REV.json · data/bibles/otb/REV.json</x:v>
      </x:c>
      <x:c r="AL1265" t="str">
        <x:v>JA</x:v>
      </x:c>
    </x:row>
    <x:row r="1266">
      <x:c r="A1266" t="str">
        <x:v>FP-1525</x:v>
      </x:c>
      <x:c r="B1266" t="str">
        <x:v>REV</x:v>
      </x:c>
      <x:c r="C1266" t="str">
        <x:v>Offenbarung</x:v>
      </x:c>
      <x:c r="D1266" t="n">
        <x:v>15</x:v>
      </x:c>
      <x:c r="E1266" t="n">
        <x:v>5</x:v>
      </x:c>
      <x:c r="F1266" t="str">
        <x:v>REV-015</x:v>
      </x:c>
      <x:c r="G1266" t="n">
        <x:v>253</x:v>
      </x:c>
      <x:c r="H1266" t="str">
        <x:v>CQ-A27</x:v>
      </x:c>
      <x:c r="I1266" s="36" t="str">
        <x:v>Bestandsfrage: exakter Wortlaut in diesem Arbeitsschritt nicht rekonstruiert.</x:v>
      </x:c>
      <x:c r="J1266" s="36"/>
      <x:c r="K1266" s="36"/>
      <x:c r="L1266" s="36" t="str">
        <x:v>MASTER_STATUS_VERIFIZIERT</x:v>
      </x:c>
      <x:c r="M1266" s="36" t="str">
        <x:v>ERSETZEN</x:v>
      </x:c>
      <x:c r="N1266" s="36" t="str">
        <x:v>BESTAND_NOCH_NICHT_GEPRÜFT</x:v>
      </x:c>
      <x:c r="O1266" s="36" t="str">
        <x:v>DIDAKTISCHE_NEUFASSUNG</x:v>
      </x:c>
      <x:c r="P1266" s="36" t="str">
        <x:v>TEMPEL</x:v>
      </x:c>
      <x:c r="Q1266" s="36" t="str">
        <x:v>Warum kann niemand den himmlischen Tempel betreten?</x:v>
      </x:c>
      <x:c r="R1266" s="36" t="str">
        <x:v>Weil der Tempel zerstört wurde.</x:v>
      </x:c>
      <x:c r="S1266" s="36" t="str">
        <x:v>Weil das Lamm ihn verlassen hat.</x:v>
      </x:c>
      <x:c r="T1266" s="36" t="str">
        <x:v>Er ist mit Rauch von Gottes Herrlichkeit und Macht erfüllt, bis die sieben Plagen vollendet sind.</x:v>
      </x:c>
      <x:c r="U1266" s="36" t="str">
        <x:v>Weil die Ältesten die Türen verschlossen haben.</x:v>
      </x:c>
      <x:c r="V1266" s="36" t="n">
        <x:v>2</x:v>
      </x:c>
      <x:c r="W1266" s="36" t="str">
        <x:v>Er ist mit Rauch von Gottes Herrlichkeit und Macht erfüllt, bis die sieben Plagen vollendet sind.</x:v>
      </x:c>
      <x:c r="X1266" s="36" t="str">
        <x:v>Offenbarung 15,5–8</x:v>
      </x:c>
      <x:c r="Y1266" s="36" t="str">
        <x:v>Die Szene unterstreicht die Heiligkeit und Unaufhaltsamkeit des nun folgenden Gerichts.</x:v>
      </x:c>
      <x:c r="Z1266" s="36" t="str">
        <x:v>JA</x:v>
      </x:c>
      <x:c r="AA1266" s="36" t="str">
        <x:v>JA</x:v>
      </x:c>
      <x:c r="AB1266" s="36" t="str">
        <x:v>JA</x:v>
      </x:c>
      <x:c r="AC1266" s="36" t="str">
        <x:v>JA</x:v>
      </x:c>
      <x:c r="AD1266" s="36" t="str">
        <x:v>JA</x:v>
      </x:c>
      <x:c r="AE1266" s="36" t="str">
        <x:v>JA</x:v>
      </x:c>
      <x:c r="AF1266" s="36" t="str">
        <x:v>JA</x:v>
      </x:c>
      <x:c r="AG1266" s="36" t="str">
        <x:v>FREIGEGEBEN</x:v>
      </x:c>
      <x:c r="AH1266" s="36" t="str">
        <x:v>GPT-5.6 Sol · Buchprüfung Offenbarung · L1912/OTB</x:v>
      </x:c>
      <x:c r="AI1266" s="36" t="str">
        <x:v>FREIGEGEBEN</x:v>
      </x:c>
      <x:c r="AJ1266" s="36" t="str">
        <x:v>Offenbarung 15: neue textnahe TEMPEL-Frage ohne unnötige Endzeit-Systemfestlegung freigegeben.</x:v>
      </x:c>
      <x:c r="AK1266" s="36" t="str">
        <x:v>FaithPath repo develop/v4 · data/bibles/l1912/REV.json · data/bibles/otb/REV.json</x:v>
      </x:c>
      <x:c r="AL1266" t="str">
        <x:v>JA</x:v>
      </x:c>
    </x:row>
    <x:row r="1267">
      <x:c r="A1267" t="str">
        <x:v>FP-1526</x:v>
      </x:c>
      <x:c r="B1267" t="str">
        <x:v>REV</x:v>
      </x:c>
      <x:c r="C1267" t="str">
        <x:v>Offenbarung</x:v>
      </x:c>
      <x:c r="D1267" t="n">
        <x:v>16</x:v>
      </x:c>
      <x:c r="E1267" t="n">
        <x:v>1</x:v>
      </x:c>
      <x:c r="F1267" t="str">
        <x:v>REV-016</x:v>
      </x:c>
      <x:c r="G1267" t="n">
        <x:v>254</x:v>
      </x:c>
      <x:c r="H1267" t="str">
        <x:v>CQ-A27</x:v>
      </x:c>
      <x:c r="I1267" s="36" t="str">
        <x:v>Bestandsfrage: exakter Wortlaut in diesem Arbeitsschritt nicht rekonstruiert.</x:v>
      </x:c>
      <x:c r="J1267" s="36"/>
      <x:c r="K1267" s="36"/>
      <x:c r="L1267" s="36" t="str">
        <x:v>MASTER_STATUS_VERIFIZIERT</x:v>
      </x:c>
      <x:c r="M1267" s="36" t="str">
        <x:v>ERSETZEN</x:v>
      </x:c>
      <x:c r="N1267" s="36" t="str">
        <x:v>BESTAND_NOCH_NICHT_GEPRÜFT</x:v>
      </x:c>
      <x:c r="O1267" s="36" t="str">
        <x:v>DIDAKTISCHE_NEUFASSUNG</x:v>
      </x:c>
      <x:c r="P1267" s="36" t="str">
        <x:v>ERSTE_SCHALE</x:v>
      </x:c>
      <x:c r="Q1267" s="36" t="str">
        <x:v>Wen treffen die schmerzhaften Geschwüre der ersten Schale?</x:v>
      </x:c>
      <x:c r="R1267" s="36" t="str">
        <x:v>Die Überwinder am gläsernen Meer.</x:v>
      </x:c>
      <x:c r="S1267" s="36" t="str">
        <x:v>Die vierundzwanzig Ältesten.</x:v>
      </x:c>
      <x:c r="T1267" s="36" t="str">
        <x:v>Alle versiegelten Diener Gottes.</x:v>
      </x:c>
      <x:c r="U1267" s="36" t="str">
        <x:v>Die Menschen mit dem Zeichen des Tieres, die sein Bild anbeten.</x:v>
      </x:c>
      <x:c r="V1267" s="36" t="n">
        <x:v>3</x:v>
      </x:c>
      <x:c r="W1267" s="36" t="str">
        <x:v>Die Menschen mit dem Zeichen des Tieres, die sein Bild anbeten.</x:v>
      </x:c>
      <x:c r="X1267" s="36" t="str">
        <x:v>Offenbarung 16,1–2</x:v>
      </x:c>
      <x:c r="Y1267" s="36" t="str">
        <x:v>Die erste Schale trifft gezielt Menschen, die mit dem Tier verbunden sind.</x:v>
      </x:c>
      <x:c r="Z1267" s="36" t="str">
        <x:v>JA</x:v>
      </x:c>
      <x:c r="AA1267" s="36" t="str">
        <x:v>JA</x:v>
      </x:c>
      <x:c r="AB1267" s="36" t="str">
        <x:v>JA</x:v>
      </x:c>
      <x:c r="AC1267" s="36" t="str">
        <x:v>JA</x:v>
      </x:c>
      <x:c r="AD1267" s="36" t="str">
        <x:v>JA</x:v>
      </x:c>
      <x:c r="AE1267" s="36" t="str">
        <x:v>JA</x:v>
      </x:c>
      <x:c r="AF1267" s="36" t="str">
        <x:v>JA</x:v>
      </x:c>
      <x:c r="AG1267" s="36" t="str">
        <x:v>FREIGEGEBEN</x:v>
      </x:c>
      <x:c r="AH1267" s="36" t="str">
        <x:v>GPT-5.6 Sol · Buchprüfung Offenbarung · L1912/OTB</x:v>
      </x:c>
      <x:c r="AI1267" s="36" t="str">
        <x:v>FREIGEGEBEN</x:v>
      </x:c>
      <x:c r="AJ1267" s="36" t="str">
        <x:v>Offenbarung 16: neue textnahe ERSTE_SCHALE-Frage ohne unnötige Endzeit-Systemfestlegung freigegeben.</x:v>
      </x:c>
      <x:c r="AK1267" s="36" t="str">
        <x:v>FaithPath repo develop/v4 · data/bibles/l1912/REV.json · data/bibles/otb/REV.json</x:v>
      </x:c>
      <x:c r="AL1267" t="str">
        <x:v>JA</x:v>
      </x:c>
    </x:row>
    <x:row r="1268">
      <x:c r="A1268" t="str">
        <x:v>FP-1527</x:v>
      </x:c>
      <x:c r="B1268" t="str">
        <x:v>REV</x:v>
      </x:c>
      <x:c r="C1268" t="str">
        <x:v>Offenbarung</x:v>
      </x:c>
      <x:c r="D1268" t="n">
        <x:v>16</x:v>
      </x:c>
      <x:c r="E1268" t="n">
        <x:v>2</x:v>
      </x:c>
      <x:c r="F1268" t="str">
        <x:v>REV-016</x:v>
      </x:c>
      <x:c r="G1268" t="n">
        <x:v>254</x:v>
      </x:c>
      <x:c r="H1268" t="str">
        <x:v>CQ-A27</x:v>
      </x:c>
      <x:c r="I1268" s="36" t="str">
        <x:v>Bestandsfrage: exakter Wortlaut in diesem Arbeitsschritt nicht rekonstruiert.</x:v>
      </x:c>
      <x:c r="J1268" s="36"/>
      <x:c r="K1268" s="36"/>
      <x:c r="L1268" s="36" t="str">
        <x:v>MASTER_STATUS_VERIFIZIERT</x:v>
      </x:c>
      <x:c r="M1268" s="36" t="str">
        <x:v>ERSETZEN</x:v>
      </x:c>
      <x:c r="N1268" s="36" t="str">
        <x:v>BESTAND_NOCH_NICHT_GEPRÜFT</x:v>
      </x:c>
      <x:c r="O1268" s="36" t="str">
        <x:v>DIDAKTISCHE_NEUFASSUNG</x:v>
      </x:c>
      <x:c r="P1268" s="36" t="str">
        <x:v>WASSER_ZU_BLUT</x:v>
      </x:c>
      <x:c r="Q1268" s="36" t="str">
        <x:v>Was geschieht bei der zweiten und dritten Schale?</x:v>
      </x:c>
      <x:c r="R1268" s="36" t="str">
        <x:v>Meer, Flüsse und Wasserquellen werden zu Blut.</x:v>
      </x:c>
      <x:c r="S1268" s="36" t="str">
        <x:v>Der Euphrat wird zu Gold.</x:v>
      </x:c>
      <x:c r="T1268" s="36" t="str">
        <x:v>Die Sonne wird vollständig ausgelöscht.</x:v>
      </x:c>
      <x:c r="U1268" s="36" t="str">
        <x:v>Der Abgrund wird geschlossen.</x:v>
      </x:c>
      <x:c r="V1268" s="36" t="n">
        <x:v>0</x:v>
      </x:c>
      <x:c r="W1268" s="36" t="str">
        <x:v>Meer, Flüsse und Wasserquellen werden zu Blut.</x:v>
      </x:c>
      <x:c r="X1268" s="36" t="str">
        <x:v>Offenbarung 16,3–7</x:v>
      </x:c>
      <x:c r="Y1268" s="36" t="str">
        <x:v>Die Wassergerichte werden im Text mit Gottes gerechtem Urteil über vergossenes Blut verbunden.</x:v>
      </x:c>
      <x:c r="Z1268" s="36" t="str">
        <x:v>JA</x:v>
      </x:c>
      <x:c r="AA1268" s="36" t="str">
        <x:v>JA</x:v>
      </x:c>
      <x:c r="AB1268" s="36" t="str">
        <x:v>JA</x:v>
      </x:c>
      <x:c r="AC1268" s="36" t="str">
        <x:v>JA</x:v>
      </x:c>
      <x:c r="AD1268" s="36" t="str">
        <x:v>JA</x:v>
      </x:c>
      <x:c r="AE1268" s="36" t="str">
        <x:v>JA</x:v>
      </x:c>
      <x:c r="AF1268" s="36" t="str">
        <x:v>JA</x:v>
      </x:c>
      <x:c r="AG1268" s="36" t="str">
        <x:v>FREIGEGEBEN</x:v>
      </x:c>
      <x:c r="AH1268" s="36" t="str">
        <x:v>GPT-5.6 Sol · Buchprüfung Offenbarung · L1912/OTB</x:v>
      </x:c>
      <x:c r="AI1268" s="36" t="str">
        <x:v>FREIGEGEBEN</x:v>
      </x:c>
      <x:c r="AJ1268" s="36" t="str">
        <x:v>Offenbarung 16: neue textnahe WASSER_ZU_BLUT-Frage ohne unnötige Endzeit-Systemfestlegung freigegeben.</x:v>
      </x:c>
      <x:c r="AK1268" s="36" t="str">
        <x:v>FaithPath repo develop/v4 · data/bibles/l1912/REV.json · data/bibles/otb/REV.json</x:v>
      </x:c>
      <x:c r="AL1268" t="str">
        <x:v>JA</x:v>
      </x:c>
    </x:row>
    <x:row r="1269">
      <x:c r="A1269" t="str">
        <x:v>FP-1528</x:v>
      </x:c>
      <x:c r="B1269" t="str">
        <x:v>REV</x:v>
      </x:c>
      <x:c r="C1269" t="str">
        <x:v>Offenbarung</x:v>
      </x:c>
      <x:c r="D1269" t="n">
        <x:v>16</x:v>
      </x:c>
      <x:c r="E1269" t="n">
        <x:v>3</x:v>
      </x:c>
      <x:c r="F1269" t="str">
        <x:v>REV-016</x:v>
      </x:c>
      <x:c r="G1269" t="n">
        <x:v>254</x:v>
      </x:c>
      <x:c r="H1269" t="str">
        <x:v>CQ-A27</x:v>
      </x:c>
      <x:c r="I1269" s="36" t="str">
        <x:v>Bestandsfrage: exakter Wortlaut in diesem Arbeitsschritt nicht rekonstruiert.</x:v>
      </x:c>
      <x:c r="J1269" s="36"/>
      <x:c r="K1269" s="36"/>
      <x:c r="L1269" s="36" t="str">
        <x:v>MASTER_STATUS_VERIFIZIERT</x:v>
      </x:c>
      <x:c r="M1269" s="36" t="str">
        <x:v>ERSETZEN</x:v>
      </x:c>
      <x:c r="N1269" s="36" t="str">
        <x:v>BESTAND_NOCH_NICHT_GEPRÜFT</x:v>
      </x:c>
      <x:c r="O1269" s="36" t="str">
        <x:v>DIDAKTISCHE_NEUFASSUNG</x:v>
      </x:c>
      <x:c r="P1269" s="36" t="str">
        <x:v>KEINE_UMKEHR</x:v>
      </x:c>
      <x:c r="Q1269" s="36" t="str">
        <x:v>Wie reagieren Menschen auf die große Hitze und die Finsternis des Tierreiches?</x:v>
      </x:c>
      <x:c r="R1269" s="36" t="str">
        <x:v>Sie geben Gott sofort die Ehre.</x:v>
      </x:c>
      <x:c r="S1269" s="36" t="str">
        <x:v>Sie lästern Gott und kehren trotz der Plagen nicht um.</x:v>
      </x:c>
      <x:c r="T1269" s="36" t="str">
        <x:v>Sie verlassen geschlossen das Tier.</x:v>
      </x:c>
      <x:c r="U1269" s="36" t="str">
        <x:v>Sie bitten die Heiligen um Vergebung.</x:v>
      </x:c>
      <x:c r="V1269" s="36" t="n">
        <x:v>1</x:v>
      </x:c>
      <x:c r="W1269" s="36" t="str">
        <x:v>Sie lästern Gott und kehren trotz der Plagen nicht um.</x:v>
      </x:c>
      <x:c r="X1269" s="36" t="str">
        <x:v>Offenbarung 16,8–11</x:v>
      </x:c>
      <x:c r="Y1269" s="36" t="str">
        <x:v>Wie schon in Kapitel 9 betont der Text die Verhärtung: Leiden führt nicht automatisch zur Umkehr.</x:v>
      </x:c>
      <x:c r="Z1269" s="36" t="str">
        <x:v>JA</x:v>
      </x:c>
      <x:c r="AA1269" s="36" t="str">
        <x:v>JA</x:v>
      </x:c>
      <x:c r="AB1269" s="36" t="str">
        <x:v>JA</x:v>
      </x:c>
      <x:c r="AC1269" s="36" t="str">
        <x:v>JA</x:v>
      </x:c>
      <x:c r="AD1269" s="36" t="str">
        <x:v>JA</x:v>
      </x:c>
      <x:c r="AE1269" s="36" t="str">
        <x:v>JA</x:v>
      </x:c>
      <x:c r="AF1269" s="36" t="str">
        <x:v>JA</x:v>
      </x:c>
      <x:c r="AG1269" s="36" t="str">
        <x:v>FREIGEGEBEN</x:v>
      </x:c>
      <x:c r="AH1269" s="36" t="str">
        <x:v>GPT-5.6 Sol · Buchprüfung Offenbarung · L1912/OTB</x:v>
      </x:c>
      <x:c r="AI1269" s="36" t="str">
        <x:v>FREIGEGEBEN</x:v>
      </x:c>
      <x:c r="AJ1269" s="36" t="str">
        <x:v>Offenbarung 16: neue textnahe KEINE_UMKEHR-Frage ohne unnötige Endzeit-Systemfestlegung freigegeben.</x:v>
      </x:c>
      <x:c r="AK1269" s="36" t="str">
        <x:v>FaithPath repo develop/v4 · data/bibles/l1912/REV.json · data/bibles/otb/REV.json</x:v>
      </x:c>
      <x:c r="AL1269" t="str">
        <x:v>JA</x:v>
      </x:c>
    </x:row>
    <x:row r="1270">
      <x:c r="A1270" t="str">
        <x:v>FP-1529</x:v>
      </x:c>
      <x:c r="B1270" t="str">
        <x:v>REV</x:v>
      </x:c>
      <x:c r="C1270" t="str">
        <x:v>Offenbarung</x:v>
      </x:c>
      <x:c r="D1270" t="n">
        <x:v>16</x:v>
      </x:c>
      <x:c r="E1270" t="n">
        <x:v>4</x:v>
      </x:c>
      <x:c r="F1270" t="str">
        <x:v>REV-016</x:v>
      </x:c>
      <x:c r="G1270" t="n">
        <x:v>254</x:v>
      </x:c>
      <x:c r="H1270" t="str">
        <x:v>CQ-A27</x:v>
      </x:c>
      <x:c r="I1270" s="36" t="str">
        <x:v>Bestandsfrage: exakter Wortlaut in diesem Arbeitsschritt nicht rekonstruiert.</x:v>
      </x:c>
      <x:c r="J1270" s="36"/>
      <x:c r="K1270" s="36"/>
      <x:c r="L1270" s="36" t="str">
        <x:v>MASTER_STATUS_VERIFIZIERT</x:v>
      </x:c>
      <x:c r="M1270" s="36" t="str">
        <x:v>ERSETZEN</x:v>
      </x:c>
      <x:c r="N1270" s="36" t="str">
        <x:v>BESTAND_NOCH_NICHT_GEPRÜFT</x:v>
      </x:c>
      <x:c r="O1270" s="36" t="str">
        <x:v>DIDAKTISCHE_NEUFASSUNG</x:v>
      </x:c>
      <x:c r="P1270" s="36" t="str">
        <x:v>HARMAGEDON</x:v>
      </x:c>
      <x:c r="Q1270" s="36" t="str">
        <x:v>Was geschieht im Zusammenhang mit der sechsten Schale?</x:v>
      </x:c>
      <x:c r="R1270" s="36" t="str">
        <x:v>Die neue Stadt steigt vom Himmel herab.</x:v>
      </x:c>
      <x:c r="S1270" s="36" t="str">
        <x:v>Der Drache wird endgültig in den Feuersee geworfen.</x:v>
      </x:c>
      <x:c r="T1270" s="36" t="str">
        <x:v>Der Euphrat trocknet aus, dämonische Geister sammeln Könige zum Kampf, und der Ort Harmagedon wird genannt.</x:v>
      </x:c>
      <x:c r="U1270" s="36" t="str">
        <x:v>Die Hochzeit des Lammes beginnt.</x:v>
      </x:c>
      <x:c r="V1270" s="36" t="n">
        <x:v>2</x:v>
      </x:c>
      <x:c r="W1270" s="36" t="str">
        <x:v>Der Euphrat trocknet aus, dämonische Geister sammeln Könige zum Kampf, und der Ort Harmagedon wird genannt.</x:v>
      </x:c>
      <x:c r="X1270" s="36" t="str">
        <x:v>Offenbarung 16,12–16</x:v>
      </x:c>
      <x:c r="Y1270" s="36" t="str">
        <x:v>Die Szene verbindet geopolitisch anmutende Bildsprache mit geistlicher Verführung; mitten darin steht der Ruf zur Wachsamkeit.</x:v>
      </x:c>
      <x:c r="Z1270" s="36" t="str">
        <x:v>JA</x:v>
      </x:c>
      <x:c r="AA1270" s="36" t="str">
        <x:v>JA</x:v>
      </x:c>
      <x:c r="AB1270" s="36" t="str">
        <x:v>JA</x:v>
      </x:c>
      <x:c r="AC1270" s="36" t="str">
        <x:v>JA</x:v>
      </x:c>
      <x:c r="AD1270" s="36" t="str">
        <x:v>JA</x:v>
      </x:c>
      <x:c r="AE1270" s="36" t="str">
        <x:v>JA</x:v>
      </x:c>
      <x:c r="AF1270" s="36" t="str">
        <x:v>JA</x:v>
      </x:c>
      <x:c r="AG1270" s="36" t="str">
        <x:v>FREIGEGEBEN</x:v>
      </x:c>
      <x:c r="AH1270" s="36" t="str">
        <x:v>GPT-5.6 Sol · Buchprüfung Offenbarung · L1912/OTB</x:v>
      </x:c>
      <x:c r="AI1270" s="36" t="str">
        <x:v>FREIGEGEBEN</x:v>
      </x:c>
      <x:c r="AJ1270" s="36" t="str">
        <x:v>Offenbarung 16: neue textnahe HARMAGEDON-Frage ohne unnötige Endzeit-Systemfestlegung freigegeben.</x:v>
      </x:c>
      <x:c r="AK1270" s="36" t="str">
        <x:v>FaithPath repo develop/v4 · data/bibles/l1912/REV.json · data/bibles/otb/REV.json</x:v>
      </x:c>
      <x:c r="AL1270" t="str">
        <x:v>JA</x:v>
      </x:c>
    </x:row>
    <x:row r="1271">
      <x:c r="A1271" t="str">
        <x:v>FP-1530</x:v>
      </x:c>
      <x:c r="B1271" t="str">
        <x:v>REV</x:v>
      </x:c>
      <x:c r="C1271" t="str">
        <x:v>Offenbarung</x:v>
      </x:c>
      <x:c r="D1271" t="n">
        <x:v>16</x:v>
      </x:c>
      <x:c r="E1271" t="n">
        <x:v>5</x:v>
      </x:c>
      <x:c r="F1271" t="str">
        <x:v>REV-016</x:v>
      </x:c>
      <x:c r="G1271" t="n">
        <x:v>254</x:v>
      </x:c>
      <x:c r="H1271" t="str">
        <x:v>CQ-A27</x:v>
      </x:c>
      <x:c r="I1271" s="36" t="str">
        <x:v>Bestandsfrage: exakter Wortlaut in diesem Arbeitsschritt nicht rekonstruiert.</x:v>
      </x:c>
      <x:c r="J1271" s="36"/>
      <x:c r="K1271" s="36"/>
      <x:c r="L1271" s="36" t="str">
        <x:v>MASTER_STATUS_VERIFIZIERT</x:v>
      </x:c>
      <x:c r="M1271" s="36" t="str">
        <x:v>ERSETZEN</x:v>
      </x:c>
      <x:c r="N1271" s="36" t="str">
        <x:v>BESTAND_NOCH_NICHT_GEPRÜFT</x:v>
      </x:c>
      <x:c r="O1271" s="36" t="str">
        <x:v>DIDAKTISCHE_NEUFASSUNG</x:v>
      </x:c>
      <x:c r="P1271" s="36" t="str">
        <x:v>SIEBTE_SCHALE</x:v>
      </x:c>
      <x:c r="Q1271" s="36" t="str">
        <x:v>Welche Erklärung ertönt bei der siebten Schale vom Thron?</x:v>
      </x:c>
      <x:c r="R1271" s="36" t="str">
        <x:v>Alles beginnt von vorn.</x:v>
      </x:c>
      <x:c r="S1271" s="36" t="str">
        <x:v>Babylon wird zum ewigen Reich.</x:v>
      </x:c>
      <x:c r="T1271" s="36" t="str">
        <x:v>Die sieben Gemeinden werden gerichtet.</x:v>
      </x:c>
      <x:c r="U1271" s="36" t="str">
        <x:v>Es ist geschehen.</x:v>
      </x:c>
      <x:c r="V1271" s="36" t="n">
        <x:v>3</x:v>
      </x:c>
      <x:c r="W1271" s="36" t="str">
        <x:v>Es ist geschehen.</x:v>
      </x:c>
      <x:c r="X1271" s="36" t="str">
        <x:v>Offenbarung 16,17–21</x:v>
      </x:c>
      <x:c r="Y1271" s="36" t="str">
        <x:v>Die abschließende Schale bringt gewaltige Erschütterungen und die Erinnerung Gottes an Babylon.</x:v>
      </x:c>
      <x:c r="Z1271" s="36" t="str">
        <x:v>JA</x:v>
      </x:c>
      <x:c r="AA1271" s="36" t="str">
        <x:v>JA</x:v>
      </x:c>
      <x:c r="AB1271" s="36" t="str">
        <x:v>JA</x:v>
      </x:c>
      <x:c r="AC1271" s="36" t="str">
        <x:v>JA</x:v>
      </x:c>
      <x:c r="AD1271" s="36" t="str">
        <x:v>JA</x:v>
      </x:c>
      <x:c r="AE1271" s="36" t="str">
        <x:v>JA</x:v>
      </x:c>
      <x:c r="AF1271" s="36" t="str">
        <x:v>JA</x:v>
      </x:c>
      <x:c r="AG1271" s="36" t="str">
        <x:v>FREIGEGEBEN</x:v>
      </x:c>
      <x:c r="AH1271" s="36" t="str">
        <x:v>GPT-5.6 Sol · Buchprüfung Offenbarung · L1912/OTB</x:v>
      </x:c>
      <x:c r="AI1271" s="36" t="str">
        <x:v>FREIGEGEBEN</x:v>
      </x:c>
      <x:c r="AJ1271" s="36" t="str">
        <x:v>Offenbarung 16: neue textnahe SIEBTE_SCHALE-Frage ohne unnötige Endzeit-Systemfestlegung freigegeben.</x:v>
      </x:c>
      <x:c r="AK1271" s="36" t="str">
        <x:v>FaithPath repo develop/v4 · data/bibles/l1912/REV.json · data/bibles/otb/REV.json</x:v>
      </x:c>
      <x:c r="AL1271" t="str">
        <x:v>JA</x:v>
      </x:c>
    </x:row>
    <x:row r="1272">
      <x:c r="A1272" t="str">
        <x:v>FP-1531</x:v>
      </x:c>
      <x:c r="B1272" t="str">
        <x:v>REV</x:v>
      </x:c>
      <x:c r="C1272" t="str">
        <x:v>Offenbarung</x:v>
      </x:c>
      <x:c r="D1272" t="n">
        <x:v>17</x:v>
      </x:c>
      <x:c r="E1272" t="n">
        <x:v>1</x:v>
      </x:c>
      <x:c r="F1272" t="str">
        <x:v>REV-017</x:v>
      </x:c>
      <x:c r="G1272" t="n">
        <x:v>255</x:v>
      </x:c>
      <x:c r="H1272" t="str">
        <x:v>CQ-A27</x:v>
      </x:c>
      <x:c r="I1272" s="36" t="str">
        <x:v>Bestandsfrage: exakter Wortlaut in diesem Arbeitsschritt nicht rekonstruiert.</x:v>
      </x:c>
      <x:c r="J1272" s="36"/>
      <x:c r="K1272" s="36"/>
      <x:c r="L1272" s="36" t="str">
        <x:v>MASTER_STATUS_VERIFIZIERT</x:v>
      </x:c>
      <x:c r="M1272" s="36" t="str">
        <x:v>ERSETZEN</x:v>
      </x:c>
      <x:c r="N1272" s="36" t="str">
        <x:v>BESTAND_NOCH_NICHT_GEPRÜFT</x:v>
      </x:c>
      <x:c r="O1272" s="36" t="str">
        <x:v>DIDAKTISCHE_NEUFASSUNG</x:v>
      </x:c>
      <x:c r="P1272" s="36" t="str">
        <x:v>BABYLON_BILD</x:v>
      </x:c>
      <x:c r="Q1272" s="36" t="str">
        <x:v>Wie erscheint 'Babylon, die Große' in der Vision?</x:v>
      </x:c>
      <x:c r="R1272" s="36" t="str">
        <x:v>Als reich geschmückte Frau auf einem scharlachroten Tier mit sieben Köpfen und zehn Hörnern.</x:v>
      </x:c>
      <x:c r="S1272" s="36" t="str">
        <x:v>Als das Lamm auf dem Berg Zion.</x:v>
      </x:c>
      <x:c r="T1272" s="36" t="str">
        <x:v>Als neue Stadt aus reinem Gold.</x:v>
      </x:c>
      <x:c r="U1272" s="36" t="str">
        <x:v>Als einer der vier Reiter.</x:v>
      </x:c>
      <x:c r="V1272" s="36" t="n">
        <x:v>0</x:v>
      </x:c>
      <x:c r="W1272" s="36" t="str">
        <x:v>Als reich geschmückte Frau auf einem scharlachroten Tier mit sieben Köpfen und zehn Hörnern.</x:v>
      </x:c>
      <x:c r="X1272" s="36" t="str">
        <x:v>Offenbarung 17,1–5</x:v>
      </x:c>
      <x:c r="Y1272" s="36" t="str">
        <x:v>Die große Hure beziehungsweise Babylon wird in einer bewusst symbolischen Bildszene dargestellt.</x:v>
      </x:c>
      <x:c r="Z1272" s="36" t="str">
        <x:v>JA</x:v>
      </x:c>
      <x:c r="AA1272" s="36" t="str">
        <x:v>JA</x:v>
      </x:c>
      <x:c r="AB1272" s="36" t="str">
        <x:v>JA</x:v>
      </x:c>
      <x:c r="AC1272" s="36" t="str">
        <x:v>JA</x:v>
      </x:c>
      <x:c r="AD1272" s="36" t="str">
        <x:v>JA</x:v>
      </x:c>
      <x:c r="AE1272" s="36" t="str">
        <x:v>JA</x:v>
      </x:c>
      <x:c r="AF1272" s="36" t="str">
        <x:v>JA</x:v>
      </x:c>
      <x:c r="AG1272" s="36" t="str">
        <x:v>FREIGEGEBEN</x:v>
      </x:c>
      <x:c r="AH1272" s="36" t="str">
        <x:v>GPT-5.6 Sol · Buchprüfung Offenbarung · L1912/OTB</x:v>
      </x:c>
      <x:c r="AI1272" s="36" t="str">
        <x:v>FREIGEGEBEN</x:v>
      </x:c>
      <x:c r="AJ1272" s="36" t="str">
        <x:v>Offenbarung 17: neue textnahe BABYLON_BILD-Frage ohne unnötige Endzeit-Systemfestlegung freigegeben.</x:v>
      </x:c>
      <x:c r="AK1272" s="36" t="str">
        <x:v>FaithPath repo develop/v4 · data/bibles/l1912/REV.json · data/bibles/otb/REV.json</x:v>
      </x:c>
      <x:c r="AL1272" t="str">
        <x:v>JA</x:v>
      </x:c>
    </x:row>
    <x:row r="1273">
      <x:c r="A1273" t="str">
        <x:v>FP-1532</x:v>
      </x:c>
      <x:c r="B1273" t="str">
        <x:v>REV</x:v>
      </x:c>
      <x:c r="C1273" t="str">
        <x:v>Offenbarung</x:v>
      </x:c>
      <x:c r="D1273" t="n">
        <x:v>17</x:v>
      </x:c>
      <x:c r="E1273" t="n">
        <x:v>2</x:v>
      </x:c>
      <x:c r="F1273" t="str">
        <x:v>REV-017</x:v>
      </x:c>
      <x:c r="G1273" t="n">
        <x:v>255</x:v>
      </x:c>
      <x:c r="H1273" t="str">
        <x:v>CQ-A27</x:v>
      </x:c>
      <x:c r="I1273" s="36" t="str">
        <x:v>Bestandsfrage: exakter Wortlaut in diesem Arbeitsschritt nicht rekonstruiert.</x:v>
      </x:c>
      <x:c r="J1273" s="36"/>
      <x:c r="K1273" s="36"/>
      <x:c r="L1273" s="36" t="str">
        <x:v>MASTER_STATUS_VERIFIZIERT</x:v>
      </x:c>
      <x:c r="M1273" s="36" t="str">
        <x:v>ERSETZEN</x:v>
      </x:c>
      <x:c r="N1273" s="36" t="str">
        <x:v>BESTAND_NOCH_NICHT_GEPRÜFT</x:v>
      </x:c>
      <x:c r="O1273" s="36" t="str">
        <x:v>DIDAKTISCHE_NEUFASSUNG</x:v>
      </x:c>
      <x:c r="P1273" s="36" t="str">
        <x:v>VERFOLGUNG</x:v>
      </x:c>
      <x:c r="Q1273" s="36" t="str">
        <x:v>Wovon ist die Frau nach Johannes' Vision betrunken?</x:v>
      </x:c>
      <x:c r="R1273" s="36" t="str">
        <x:v>Vom Wasser des Lebens.</x:v>
      </x:c>
      <x:c r="S1273" s="36" t="str">
        <x:v>Vom Blut der Heiligen und der Zeugen Jesu.</x:v>
      </x:c>
      <x:c r="T1273" s="36" t="str">
        <x:v>Von den Tränen der Kaufleute.</x:v>
      </x:c>
      <x:c r="U1273" s="36" t="str">
        <x:v>Vom Wein des Hochzeitsmahls des Lammes.</x:v>
      </x:c>
      <x:c r="V1273" s="36" t="n">
        <x:v>1</x:v>
      </x:c>
      <x:c r="W1273" s="36" t="str">
        <x:v>Vom Blut der Heiligen und der Zeugen Jesu.</x:v>
      </x:c>
      <x:c r="X1273" s="36" t="str">
        <x:v>Offenbarung 17,6</x:v>
      </x:c>
      <x:c r="Y1273" s="36" t="str">
        <x:v>Das Bild verbindet Babylon mit Gewalt gegen Gottes Volk.</x:v>
      </x:c>
      <x:c r="Z1273" s="36" t="str">
        <x:v>JA</x:v>
      </x:c>
      <x:c r="AA1273" s="36" t="str">
        <x:v>JA</x:v>
      </x:c>
      <x:c r="AB1273" s="36" t="str">
        <x:v>JA</x:v>
      </x:c>
      <x:c r="AC1273" s="36" t="str">
        <x:v>JA</x:v>
      </x:c>
      <x:c r="AD1273" s="36" t="str">
        <x:v>JA</x:v>
      </x:c>
      <x:c r="AE1273" s="36" t="str">
        <x:v>JA</x:v>
      </x:c>
      <x:c r="AF1273" s="36" t="str">
        <x:v>JA</x:v>
      </x:c>
      <x:c r="AG1273" s="36" t="str">
        <x:v>FREIGEGEBEN</x:v>
      </x:c>
      <x:c r="AH1273" s="36" t="str">
        <x:v>GPT-5.6 Sol · Buchprüfung Offenbarung · L1912/OTB</x:v>
      </x:c>
      <x:c r="AI1273" s="36" t="str">
        <x:v>FREIGEGEBEN</x:v>
      </x:c>
      <x:c r="AJ1273" s="36" t="str">
        <x:v>Offenbarung 17: neue textnahe VERFOLGUNG-Frage ohne unnötige Endzeit-Systemfestlegung freigegeben.</x:v>
      </x:c>
      <x:c r="AK1273" s="36" t="str">
        <x:v>FaithPath repo develop/v4 · data/bibles/l1912/REV.json · data/bibles/otb/REV.json</x:v>
      </x:c>
      <x:c r="AL1273" t="str">
        <x:v>JA</x:v>
      </x:c>
    </x:row>
    <x:row r="1274">
      <x:c r="A1274" t="str">
        <x:v>FP-1533</x:v>
      </x:c>
      <x:c r="B1274" t="str">
        <x:v>REV</x:v>
      </x:c>
      <x:c r="C1274" t="str">
        <x:v>Offenbarung</x:v>
      </x:c>
      <x:c r="D1274" t="n">
        <x:v>17</x:v>
      </x:c>
      <x:c r="E1274" t="n">
        <x:v>3</x:v>
      </x:c>
      <x:c r="F1274" t="str">
        <x:v>REV-017</x:v>
      </x:c>
      <x:c r="G1274" t="n">
        <x:v>255</x:v>
      </x:c>
      <x:c r="H1274" t="str">
        <x:v>CQ-A27</x:v>
      </x:c>
      <x:c r="I1274" s="36" t="str">
        <x:v>Bestandsfrage: exakter Wortlaut in diesem Arbeitsschritt nicht rekonstruiert.</x:v>
      </x:c>
      <x:c r="J1274" s="36"/>
      <x:c r="K1274" s="36"/>
      <x:c r="L1274" s="36" t="str">
        <x:v>MASTER_STATUS_VERIFIZIERT</x:v>
      </x:c>
      <x:c r="M1274" s="36" t="str">
        <x:v>ERSETZEN</x:v>
      </x:c>
      <x:c r="N1274" s="36" t="str">
        <x:v>BESTAND_NOCH_NICHT_GEPRÜFT</x:v>
      </x:c>
      <x:c r="O1274" s="36" t="str">
        <x:v>DIDAKTISCHE_NEUFASSUNG</x:v>
      </x:c>
      <x:c r="P1274" s="36" t="str">
        <x:v>SYMBOLERKLÄRUNG</x:v>
      </x:c>
      <x:c r="Q1274" s="36" t="str">
        <x:v>Wofür stehen die zehn Hörner nach der Erklärung des Engels?</x:v>
      </x:c>
      <x:c r="R1274" s="36" t="str">
        <x:v>Für die zehn Gebote.</x:v>
      </x:c>
      <x:c r="S1274" s="36" t="str">
        <x:v>Für zehn Apostel.</x:v>
      </x:c>
      <x:c r="T1274" s="36" t="str">
        <x:v>Für zehn Könige, die für kurze Zeit Macht mit dem Tier erhalten.</x:v>
      </x:c>
      <x:c r="U1274" s="36" t="str">
        <x:v>Für zehn Gemeinden in Asien.</x:v>
      </x:c>
      <x:c r="V1274" s="36" t="n">
        <x:v>2</x:v>
      </x:c>
      <x:c r="W1274" s="36" t="str">
        <x:v>Für zehn Könige, die für kurze Zeit Macht mit dem Tier erhalten.</x:v>
      </x:c>
      <x:c r="X1274" s="36" t="str">
        <x:v>Offenbarung 17,9–13</x:v>
      </x:c>
      <x:c r="Y1274" s="36" t="str">
        <x:v>Der Engel erklärt Teile der Symbolik ausdrücklich; die Hörner werden als Könige gedeutet.</x:v>
      </x:c>
      <x:c r="Z1274" s="36" t="str">
        <x:v>JA</x:v>
      </x:c>
      <x:c r="AA1274" s="36" t="str">
        <x:v>JA</x:v>
      </x:c>
      <x:c r="AB1274" s="36" t="str">
        <x:v>JA</x:v>
      </x:c>
      <x:c r="AC1274" s="36" t="str">
        <x:v>JA</x:v>
      </x:c>
      <x:c r="AD1274" s="36" t="str">
        <x:v>JA</x:v>
      </x:c>
      <x:c r="AE1274" s="36" t="str">
        <x:v>JA</x:v>
      </x:c>
      <x:c r="AF1274" s="36" t="str">
        <x:v>JA</x:v>
      </x:c>
      <x:c r="AG1274" s="36" t="str">
        <x:v>FREIGEGEBEN</x:v>
      </x:c>
      <x:c r="AH1274" s="36" t="str">
        <x:v>GPT-5.6 Sol · Buchprüfung Offenbarung · L1912/OTB</x:v>
      </x:c>
      <x:c r="AI1274" s="36" t="str">
        <x:v>FREIGEGEBEN</x:v>
      </x:c>
      <x:c r="AJ1274" s="36" t="str">
        <x:v>Offenbarung 17: neue textnahe SYMBOLERKLÄRUNG-Frage ohne unnötige Endzeit-Systemfestlegung freigegeben.</x:v>
      </x:c>
      <x:c r="AK1274" s="36" t="str">
        <x:v>FaithPath repo develop/v4 · data/bibles/l1912/REV.json · data/bibles/otb/REV.json</x:v>
      </x:c>
      <x:c r="AL1274" t="str">
        <x:v>JA</x:v>
      </x:c>
    </x:row>
    <x:row r="1275">
      <x:c r="A1275" t="str">
        <x:v>FP-1534</x:v>
      </x:c>
      <x:c r="B1275" t="str">
        <x:v>REV</x:v>
      </x:c>
      <x:c r="C1275" t="str">
        <x:v>Offenbarung</x:v>
      </x:c>
      <x:c r="D1275" t="n">
        <x:v>17</x:v>
      </x:c>
      <x:c r="E1275" t="n">
        <x:v>4</x:v>
      </x:c>
      <x:c r="F1275" t="str">
        <x:v>REV-017</x:v>
      </x:c>
      <x:c r="G1275" t="n">
        <x:v>255</x:v>
      </x:c>
      <x:c r="H1275" t="str">
        <x:v>CQ-A27</x:v>
      </x:c>
      <x:c r="I1275" s="36" t="str">
        <x:v>Bestandsfrage: exakter Wortlaut in diesem Arbeitsschritt nicht rekonstruiert.</x:v>
      </x:c>
      <x:c r="J1275" s="36"/>
      <x:c r="K1275" s="36"/>
      <x:c r="L1275" s="36" t="str">
        <x:v>MASTER_STATUS_VERIFIZIERT</x:v>
      </x:c>
      <x:c r="M1275" s="36" t="str">
        <x:v>ERSETZEN</x:v>
      </x:c>
      <x:c r="N1275" s="36" t="str">
        <x:v>BESTAND_NOCH_NICHT_GEPRÜFT</x:v>
      </x:c>
      <x:c r="O1275" s="36" t="str">
        <x:v>DIDAKTISCHE_NEUFASSUNG</x:v>
      </x:c>
      <x:c r="P1275" s="36" t="str">
        <x:v>LAMM_SIEGT</x:v>
      </x:c>
      <x:c r="Q1275" s="36" t="str">
        <x:v>Warum wird das Lamm die gegen es kämpfenden Mächte überwinden?</x:v>
      </x:c>
      <x:c r="R1275" s="36" t="str">
        <x:v>Weil Babylon ihm ihre Macht übergibt.</x:v>
      </x:c>
      <x:c r="S1275" s="36" t="str">
        <x:v>Weil das Tier freiwillig abdankt.</x:v>
      </x:c>
      <x:c r="T1275" s="36" t="str">
        <x:v>Weil die Könige keine Armeen besitzen.</x:v>
      </x:c>
      <x:c r="U1275" s="36" t="str">
        <x:v>Weil es Herr der Herren und König der Könige ist.</x:v>
      </x:c>
      <x:c r="V1275" s="36" t="n">
        <x:v>3</x:v>
      </x:c>
      <x:c r="W1275" s="36" t="str">
        <x:v>Weil es Herr der Herren und König der Könige ist.</x:v>
      </x:c>
      <x:c r="X1275" s="36" t="str">
        <x:v>Offenbarung 17,14</x:v>
      </x:c>
      <x:c r="Y1275" s="36" t="str">
        <x:v>Der Sieg des Lammes wird in seiner höchsten Herrschaft begründet und mit den Berufenen, Auserwählten und Treuen verbunden.</x:v>
      </x:c>
      <x:c r="Z1275" s="36" t="str">
        <x:v>JA</x:v>
      </x:c>
      <x:c r="AA1275" s="36" t="str">
        <x:v>JA</x:v>
      </x:c>
      <x:c r="AB1275" s="36" t="str">
        <x:v>JA</x:v>
      </x:c>
      <x:c r="AC1275" s="36" t="str">
        <x:v>JA</x:v>
      </x:c>
      <x:c r="AD1275" s="36" t="str">
        <x:v>JA</x:v>
      </x:c>
      <x:c r="AE1275" s="36" t="str">
        <x:v>JA</x:v>
      </x:c>
      <x:c r="AF1275" s="36" t="str">
        <x:v>JA</x:v>
      </x:c>
      <x:c r="AG1275" s="36" t="str">
        <x:v>FREIGEGEBEN</x:v>
      </x:c>
      <x:c r="AH1275" s="36" t="str">
        <x:v>GPT-5.6 Sol · Buchprüfung Offenbarung · L1912/OTB</x:v>
      </x:c>
      <x:c r="AI1275" s="36" t="str">
        <x:v>FREIGEGEBEN</x:v>
      </x:c>
      <x:c r="AJ1275" s="36" t="str">
        <x:v>Offenbarung 17: neue textnahe LAMM_SIEGT-Frage ohne unnötige Endzeit-Systemfestlegung freigegeben.</x:v>
      </x:c>
      <x:c r="AK1275" s="36" t="str">
        <x:v>FaithPath repo develop/v4 · data/bibles/l1912/REV.json · data/bibles/otb/REV.json</x:v>
      </x:c>
      <x:c r="AL1275" t="str">
        <x:v>JA</x:v>
      </x:c>
    </x:row>
    <x:row r="1276">
      <x:c r="A1276" t="str">
        <x:v>FP-1535</x:v>
      </x:c>
      <x:c r="B1276" t="str">
        <x:v>REV</x:v>
      </x:c>
      <x:c r="C1276" t="str">
        <x:v>Offenbarung</x:v>
      </x:c>
      <x:c r="D1276" t="n">
        <x:v>17</x:v>
      </x:c>
      <x:c r="E1276" t="n">
        <x:v>5</x:v>
      </x:c>
      <x:c r="F1276" t="str">
        <x:v>REV-017</x:v>
      </x:c>
      <x:c r="G1276" t="n">
        <x:v>255</x:v>
      </x:c>
      <x:c r="H1276" t="str">
        <x:v>CQ-A27</x:v>
      </x:c>
      <x:c r="I1276" s="36" t="str">
        <x:v>Bestandsfrage: exakter Wortlaut in diesem Arbeitsschritt nicht rekonstruiert.</x:v>
      </x:c>
      <x:c r="J1276" s="36"/>
      <x:c r="K1276" s="36"/>
      <x:c r="L1276" s="36" t="str">
        <x:v>MASTER_STATUS_VERIFIZIERT</x:v>
      </x:c>
      <x:c r="M1276" s="36" t="str">
        <x:v>ERSETZEN</x:v>
      </x:c>
      <x:c r="N1276" s="36" t="str">
        <x:v>BESTAND_NOCH_NICHT_GEPRÜFT</x:v>
      </x:c>
      <x:c r="O1276" s="36" t="str">
        <x:v>DIDAKTISCHE_NEUFASSUNG</x:v>
      </x:c>
      <x:c r="P1276" s="36" t="str">
        <x:v>ENDE_BABYLONS</x:v>
      </x:c>
      <x:c r="Q1276" s="36" t="str">
        <x:v>Was geschieht schließlich zwischen dem Tier, den zehn Hörnern und der Frau?</x:v>
      </x:c>
      <x:c r="R1276" s="36" t="str">
        <x:v>Die Mächte wenden sich gegen die Frau und zerstören sie.</x:v>
      </x:c>
      <x:c r="S1276" s="36" t="str">
        <x:v>Sie krönen die Frau dauerhaft zur Königin.</x:v>
      </x:c>
      <x:c r="T1276" s="36" t="str">
        <x:v>Sie unterwerfen sich der Frau für immer.</x:v>
      </x:c>
      <x:c r="U1276" s="36" t="str">
        <x:v>Sie bringen die Frau zum neuen Jerusalem.</x:v>
      </x:c>
      <x:c r="V1276" s="36" t="n">
        <x:v>0</x:v>
      </x:c>
      <x:c r="W1276" s="36" t="str">
        <x:v>Die Mächte wenden sich gegen die Frau und zerstören sie.</x:v>
      </x:c>
      <x:c r="X1276" s="36" t="str">
        <x:v>Offenbarung 17,15–18</x:v>
      </x:c>
      <x:c r="Y1276" s="36" t="str">
        <x:v>Das System, das Babylon trägt, wendet sich am Ende selbst gegen sie; der Text ordnet auch dies der Erfüllung von Gottes Plan unter.</x:v>
      </x:c>
      <x:c r="Z1276" s="36" t="str">
        <x:v>JA</x:v>
      </x:c>
      <x:c r="AA1276" s="36" t="str">
        <x:v>JA</x:v>
      </x:c>
      <x:c r="AB1276" s="36" t="str">
        <x:v>JA</x:v>
      </x:c>
      <x:c r="AC1276" s="36" t="str">
        <x:v>JA</x:v>
      </x:c>
      <x:c r="AD1276" s="36" t="str">
        <x:v>JA</x:v>
      </x:c>
      <x:c r="AE1276" s="36" t="str">
        <x:v>JA</x:v>
      </x:c>
      <x:c r="AF1276" s="36" t="str">
        <x:v>JA</x:v>
      </x:c>
      <x:c r="AG1276" s="36" t="str">
        <x:v>FREIGEGEBEN</x:v>
      </x:c>
      <x:c r="AH1276" s="36" t="str">
        <x:v>GPT-5.6 Sol · Buchprüfung Offenbarung · L1912/OTB</x:v>
      </x:c>
      <x:c r="AI1276" s="36" t="str">
        <x:v>FREIGEGEBEN</x:v>
      </x:c>
      <x:c r="AJ1276" s="36" t="str">
        <x:v>Offenbarung 17: neue textnahe ENDE_BABYLONS-Frage ohne unnötige Endzeit-Systemfestlegung freigegeben.</x:v>
      </x:c>
      <x:c r="AK1276" s="36" t="str">
        <x:v>FaithPath repo develop/v4 · data/bibles/l1912/REV.json · data/bibles/otb/REV.json</x:v>
      </x:c>
      <x:c r="AL1276" t="str">
        <x:v>JA</x:v>
      </x:c>
    </x:row>
    <x:row r="1277">
      <x:c r="A1277" t="str">
        <x:v>FP-1536</x:v>
      </x:c>
      <x:c r="B1277" t="str">
        <x:v>REV</x:v>
      </x:c>
      <x:c r="C1277" t="str">
        <x:v>Offenbarung</x:v>
      </x:c>
      <x:c r="D1277" t="n">
        <x:v>18</x:v>
      </x:c>
      <x:c r="E1277" t="n">
        <x:v>1</x:v>
      </x:c>
      <x:c r="F1277" t="str">
        <x:v>REV-018</x:v>
      </x:c>
      <x:c r="G1277" t="n">
        <x:v>256</x:v>
      </x:c>
      <x:c r="H1277" t="str">
        <x:v>CQ-A27</x:v>
      </x:c>
      <x:c r="I1277" s="36" t="str">
        <x:v>Bestandsfrage: exakter Wortlaut in diesem Arbeitsschritt nicht rekonstruiert.</x:v>
      </x:c>
      <x:c r="J1277" s="36"/>
      <x:c r="K1277" s="36"/>
      <x:c r="L1277" s="36" t="str">
        <x:v>MASTER_STATUS_VERIFIZIERT</x:v>
      </x:c>
      <x:c r="M1277" s="36" t="str">
        <x:v>ERSETZEN</x:v>
      </x:c>
      <x:c r="N1277" s="36" t="str">
        <x:v>BESTAND_NOCH_NICHT_GEPRÜFT</x:v>
      </x:c>
      <x:c r="O1277" s="36" t="str">
        <x:v>DIDAKTISCHE_NEUFASSUNG</x:v>
      </x:c>
      <x:c r="P1277" s="36" t="str">
        <x:v>FALL_BABYLONS</x:v>
      </x:c>
      <x:c r="Q1277" s="36" t="str">
        <x:v>Welche Botschaft verkündet der mächtige Engel über Babylon?</x:v>
      </x:c>
      <x:c r="R1277" s="36" t="str">
        <x:v>Babylon wird Gottes neue Stadt.</x:v>
      </x:c>
      <x:c r="S1277" s="36" t="str">
        <x:v>Gefallen, gefallen ist Babylon, die Große.</x:v>
      </x:c>
      <x:c r="T1277" s="36" t="str">
        <x:v>Babylon erhält eine zweite Krone.</x:v>
      </x:c>
      <x:c r="U1277" s="36" t="str">
        <x:v>Babylon ersetzt Jerusalem im Himmel.</x:v>
      </x:c>
      <x:c r="V1277" s="36" t="n">
        <x:v>1</x:v>
      </x:c>
      <x:c r="W1277" s="36" t="str">
        <x:v>Gefallen, gefallen ist Babylon, die Große.</x:v>
      </x:c>
      <x:c r="X1277" s="36" t="str">
        <x:v>Offenbarung 18,1–3</x:v>
      </x:c>
      <x:c r="Y1277" s="36" t="str">
        <x:v>Kapitel 18 entfaltet den angekündigten Fall Babylons und dessen Folgen.</x:v>
      </x:c>
      <x:c r="Z1277" s="36" t="str">
        <x:v>JA</x:v>
      </x:c>
      <x:c r="AA1277" s="36" t="str">
        <x:v>JA</x:v>
      </x:c>
      <x:c r="AB1277" s="36" t="str">
        <x:v>JA</x:v>
      </x:c>
      <x:c r="AC1277" s="36" t="str">
        <x:v>JA</x:v>
      </x:c>
      <x:c r="AD1277" s="36" t="str">
        <x:v>JA</x:v>
      </x:c>
      <x:c r="AE1277" s="36" t="str">
        <x:v>JA</x:v>
      </x:c>
      <x:c r="AF1277" s="36" t="str">
        <x:v>JA</x:v>
      </x:c>
      <x:c r="AG1277" s="36" t="str">
        <x:v>FREIGEGEBEN</x:v>
      </x:c>
      <x:c r="AH1277" s="36" t="str">
        <x:v>GPT-5.6 Sol · Buchprüfung Offenbarung · L1912/OTB</x:v>
      </x:c>
      <x:c r="AI1277" s="36" t="str">
        <x:v>FREIGEGEBEN</x:v>
      </x:c>
      <x:c r="AJ1277" s="36" t="str">
        <x:v>Offenbarung 18: neue textnahe FALL_BABYLONS-Frage ohne unnötige Endzeit-Systemfestlegung freigegeben.</x:v>
      </x:c>
      <x:c r="AK1277" s="36" t="str">
        <x:v>FaithPath repo develop/v4 · data/bibles/l1912/REV.json · data/bibles/otb/REV.json</x:v>
      </x:c>
      <x:c r="AL1277" t="str">
        <x:v>JA</x:v>
      </x:c>
    </x:row>
    <x:row r="1278">
      <x:c r="A1278" t="str">
        <x:v>FP-1537</x:v>
      </x:c>
      <x:c r="B1278" t="str">
        <x:v>REV</x:v>
      </x:c>
      <x:c r="C1278" t="str">
        <x:v>Offenbarung</x:v>
      </x:c>
      <x:c r="D1278" t="n">
        <x:v>18</x:v>
      </x:c>
      <x:c r="E1278" t="n">
        <x:v>2</x:v>
      </x:c>
      <x:c r="F1278" t="str">
        <x:v>REV-018</x:v>
      </x:c>
      <x:c r="G1278" t="n">
        <x:v>256</x:v>
      </x:c>
      <x:c r="H1278" t="str">
        <x:v>CQ-A27</x:v>
      </x:c>
      <x:c r="I1278" s="36" t="str">
        <x:v>Bestandsfrage: exakter Wortlaut in diesem Arbeitsschritt nicht rekonstruiert.</x:v>
      </x:c>
      <x:c r="J1278" s="36"/>
      <x:c r="K1278" s="36"/>
      <x:c r="L1278" s="36" t="str">
        <x:v>MASTER_STATUS_VERIFIZIERT</x:v>
      </x:c>
      <x:c r="M1278" s="36" t="str">
        <x:v>ERSETZEN</x:v>
      </x:c>
      <x:c r="N1278" s="36" t="str">
        <x:v>BESTAND_NOCH_NICHT_GEPRÜFT</x:v>
      </x:c>
      <x:c r="O1278" s="36" t="str">
        <x:v>DIDAKTISCHE_NEUFASSUNG</x:v>
      </x:c>
      <x:c r="P1278" s="36" t="str">
        <x:v>AUFRUF</x:v>
      </x:c>
      <x:c r="Q1278" s="36" t="str">
        <x:v>Welchen Ruf hört Gottes Volk im Blick auf Babylon?</x:v>
      </x:c>
      <x:c r="R1278" s="36" t="str">
        <x:v>Baut Babylon wieder auf.</x:v>
      </x:c>
      <x:c r="S1278" s="36" t="str">
        <x:v>Teilt ihre Sünden, um sie zu verstehen.</x:v>
      </x:c>
      <x:c r="T1278" s="36" t="str">
        <x:v>Geht hinaus aus ihr, damit ihr nicht an ihren Sünden und Plagen teilhabt.</x:v>
      </x:c>
      <x:c r="U1278" s="36" t="str">
        <x:v>Übernehmt ihre wirtschaftliche Macht.</x:v>
      </x:c>
      <x:c r="V1278" s="36" t="n">
        <x:v>2</x:v>
      </x:c>
      <x:c r="W1278" s="36" t="str">
        <x:v>Geht hinaus aus ihr, damit ihr nicht an ihren Sünden und Plagen teilhabt.</x:v>
      </x:c>
      <x:c r="X1278" s="36" t="str">
        <x:v>Offenbarung 18,4–8</x:v>
      </x:c>
      <x:c r="Y1278" s="36" t="str">
        <x:v>Die Distanzierung ist moralisch und geistlich begründet: Gottes Volk soll nicht an Babylons Sünden teilnehmen.</x:v>
      </x:c>
      <x:c r="Z1278" s="36" t="str">
        <x:v>JA</x:v>
      </x:c>
      <x:c r="AA1278" s="36" t="str">
        <x:v>JA</x:v>
      </x:c>
      <x:c r="AB1278" s="36" t="str">
        <x:v>JA</x:v>
      </x:c>
      <x:c r="AC1278" s="36" t="str">
        <x:v>JA</x:v>
      </x:c>
      <x:c r="AD1278" s="36" t="str">
        <x:v>JA</x:v>
      </x:c>
      <x:c r="AE1278" s="36" t="str">
        <x:v>JA</x:v>
      </x:c>
      <x:c r="AF1278" s="36" t="str">
        <x:v>JA</x:v>
      </x:c>
      <x:c r="AG1278" s="36" t="str">
        <x:v>FREIGEGEBEN</x:v>
      </x:c>
      <x:c r="AH1278" s="36" t="str">
        <x:v>GPT-5.6 Sol · Buchprüfung Offenbarung · L1912/OTB</x:v>
      </x:c>
      <x:c r="AI1278" s="36" t="str">
        <x:v>FREIGEGEBEN</x:v>
      </x:c>
      <x:c r="AJ1278" s="36" t="str">
        <x:v>Offenbarung 18: neue textnahe AUFRUF-Frage ohne unnötige Endzeit-Systemfestlegung freigegeben.</x:v>
      </x:c>
      <x:c r="AK1278" s="36" t="str">
        <x:v>FaithPath repo develop/v4 · data/bibles/l1912/REV.json · data/bibles/otb/REV.json</x:v>
      </x:c>
      <x:c r="AL1278" t="str">
        <x:v>JA</x:v>
      </x:c>
    </x:row>
    <x:row r="1279">
      <x:c r="A1279" t="str">
        <x:v>FP-1538</x:v>
      </x:c>
      <x:c r="B1279" t="str">
        <x:v>REV</x:v>
      </x:c>
      <x:c r="C1279" t="str">
        <x:v>Offenbarung</x:v>
      </x:c>
      <x:c r="D1279" t="n">
        <x:v>18</x:v>
      </x:c>
      <x:c r="E1279" t="n">
        <x:v>3</x:v>
      </x:c>
      <x:c r="F1279" t="str">
        <x:v>REV-018</x:v>
      </x:c>
      <x:c r="G1279" t="n">
        <x:v>256</x:v>
      </x:c>
      <x:c r="H1279" t="str">
        <x:v>CQ-A27</x:v>
      </x:c>
      <x:c r="I1279" s="36" t="str">
        <x:v>Bestandsfrage: exakter Wortlaut in diesem Arbeitsschritt nicht rekonstruiert.</x:v>
      </x:c>
      <x:c r="J1279" s="36"/>
      <x:c r="K1279" s="36"/>
      <x:c r="L1279" s="36" t="str">
        <x:v>MASTER_STATUS_VERIFIZIERT</x:v>
      </x:c>
      <x:c r="M1279" s="36" t="str">
        <x:v>ERSETZEN</x:v>
      </x:c>
      <x:c r="N1279" s="36" t="str">
        <x:v>BESTAND_NOCH_NICHT_GEPRÜFT</x:v>
      </x:c>
      <x:c r="O1279" s="36" t="str">
        <x:v>DIDAKTISCHE_NEUFASSUNG</x:v>
      </x:c>
      <x:c r="P1279" s="36" t="str">
        <x:v>KAUFLEUTE</x:v>
      </x:c>
      <x:c r="Q1279" s="36" t="str">
        <x:v>Warum trauern die Kaufleute der Erde über Babylons Fall?</x:v>
      </x:c>
      <x:c r="R1279" s="36" t="str">
        <x:v>Weil ihre Waren im neuen Jerusalem verboten werden.</x:v>
      </x:c>
      <x:c r="S1279" s="36" t="str">
        <x:v>Weil sie selbst zu den zwei Zeugen werden.</x:v>
      </x:c>
      <x:c r="T1279" s="36" t="str">
        <x:v>Weil das Meer dauerhaft verschwindet.</x:v>
      </x:c>
      <x:c r="U1279" s="36" t="str">
        <x:v>Weil niemand ihre Waren mehr kauft und der große Reichtum zusammenbricht.</x:v>
      </x:c>
      <x:c r="V1279" s="36" t="n">
        <x:v>3</x:v>
      </x:c>
      <x:c r="W1279" s="36" t="str">
        <x:v>Weil niemand ihre Waren mehr kauft und der große Reichtum zusammenbricht.</x:v>
      </x:c>
      <x:c r="X1279" s="36" t="str">
        <x:v>Offenbarung 18,11–19</x:v>
      </x:c>
      <x:c r="Y1279" s="36" t="str">
        <x:v>Die Klage der Kaufleute zeigt Babylons wirtschaftliche Macht und die Abhängigkeit vieler von ihrem Luxus.</x:v>
      </x:c>
      <x:c r="Z1279" s="36" t="str">
        <x:v>JA</x:v>
      </x:c>
      <x:c r="AA1279" s="36" t="str">
        <x:v>JA</x:v>
      </x:c>
      <x:c r="AB1279" s="36" t="str">
        <x:v>JA</x:v>
      </x:c>
      <x:c r="AC1279" s="36" t="str">
        <x:v>JA</x:v>
      </x:c>
      <x:c r="AD1279" s="36" t="str">
        <x:v>JA</x:v>
      </x:c>
      <x:c r="AE1279" s="36" t="str">
        <x:v>JA</x:v>
      </x:c>
      <x:c r="AF1279" s="36" t="str">
        <x:v>JA</x:v>
      </x:c>
      <x:c r="AG1279" s="36" t="str">
        <x:v>FREIGEGEBEN</x:v>
      </x:c>
      <x:c r="AH1279" s="36" t="str">
        <x:v>GPT-5.6 Sol · Buchprüfung Offenbarung · L1912/OTB</x:v>
      </x:c>
      <x:c r="AI1279" s="36" t="str">
        <x:v>FREIGEGEBEN</x:v>
      </x:c>
      <x:c r="AJ1279" s="36" t="str">
        <x:v>Offenbarung 18: neue textnahe KAUFLEUTE-Frage ohne unnötige Endzeit-Systemfestlegung freigegeben.</x:v>
      </x:c>
      <x:c r="AK1279" s="36" t="str">
        <x:v>FaithPath repo develop/v4 · data/bibles/l1912/REV.json · data/bibles/otb/REV.json</x:v>
      </x:c>
      <x:c r="AL1279" t="str">
        <x:v>JA</x:v>
      </x:c>
    </x:row>
    <x:row r="1280">
      <x:c r="A1280" t="str">
        <x:v>FP-1539</x:v>
      </x:c>
      <x:c r="B1280" t="str">
        <x:v>REV</x:v>
      </x:c>
      <x:c r="C1280" t="str">
        <x:v>Offenbarung</x:v>
      </x:c>
      <x:c r="D1280" t="n">
        <x:v>18</x:v>
      </x:c>
      <x:c r="E1280" t="n">
        <x:v>4</x:v>
      </x:c>
      <x:c r="F1280" t="str">
        <x:v>REV-018</x:v>
      </x:c>
      <x:c r="G1280" t="n">
        <x:v>256</x:v>
      </x:c>
      <x:c r="H1280" t="str">
        <x:v>CQ-A27</x:v>
      </x:c>
      <x:c r="I1280" s="36" t="str">
        <x:v>Bestandsfrage: exakter Wortlaut in diesem Arbeitsschritt nicht rekonstruiert.</x:v>
      </x:c>
      <x:c r="J1280" s="36"/>
      <x:c r="K1280" s="36"/>
      <x:c r="L1280" s="36" t="str">
        <x:v>MASTER_STATUS_VERIFIZIERT</x:v>
      </x:c>
      <x:c r="M1280" s="36" t="str">
        <x:v>ERSETZEN</x:v>
      </x:c>
      <x:c r="N1280" s="36" t="str">
        <x:v>BESTAND_NOCH_NICHT_GEPRÜFT</x:v>
      </x:c>
      <x:c r="O1280" s="36" t="str">
        <x:v>DIDAKTISCHE_NEUFASSUNG</x:v>
      </x:c>
      <x:c r="P1280" s="36" t="str">
        <x:v>MENSCHENHANDEL</x:v>
      </x:c>
      <x:c r="Q1280" s="36" t="str">
        <x:v>Welcher besonders ernste Bestandteil erscheint in der langen Warenliste Babylons?</x:v>
      </x:c>
      <x:c r="R1280" s="36" t="str">
        <x:v>Menschen werden selbst als Handelsware genannt.</x:v>
      </x:c>
      <x:c r="S1280" s="36" t="str">
        <x:v>Nur landwirtschaftliche Geräte.</x:v>
      </x:c>
      <x:c r="T1280" s="36" t="str">
        <x:v>Ausschließlich religiöse Bücher.</x:v>
      </x:c>
      <x:c r="U1280" s="36" t="str">
        <x:v>Nur kostbare Steine ohne weitere Güter.</x:v>
      </x:c>
      <x:c r="V1280" s="36" t="n">
        <x:v>0</x:v>
      </x:c>
      <x:c r="W1280" s="36" t="str">
        <x:v>Menschen werden selbst als Handelsware genannt.</x:v>
      </x:c>
      <x:c r="X1280" s="36" t="str">
        <x:v>Offenbarung 18,12–13</x:v>
      </x:c>
      <x:c r="Y1280" s="36" t="str">
        <x:v>Die Liste steigert die Kritik am Luxus-System bis zum Handel mit menschlichem Leben.</x:v>
      </x:c>
      <x:c r="Z1280" s="36" t="str">
        <x:v>JA</x:v>
      </x:c>
      <x:c r="AA1280" s="36" t="str">
        <x:v>JA</x:v>
      </x:c>
      <x:c r="AB1280" s="36" t="str">
        <x:v>JA</x:v>
      </x:c>
      <x:c r="AC1280" s="36" t="str">
        <x:v>JA</x:v>
      </x:c>
      <x:c r="AD1280" s="36" t="str">
        <x:v>JA</x:v>
      </x:c>
      <x:c r="AE1280" s="36" t="str">
        <x:v>JA</x:v>
      </x:c>
      <x:c r="AF1280" s="36" t="str">
        <x:v>JA</x:v>
      </x:c>
      <x:c r="AG1280" s="36" t="str">
        <x:v>FREIGEGEBEN</x:v>
      </x:c>
      <x:c r="AH1280" s="36" t="str">
        <x:v>GPT-5.6 Sol · Buchprüfung Offenbarung · L1912/OTB</x:v>
      </x:c>
      <x:c r="AI1280" s="36" t="str">
        <x:v>FREIGEGEBEN</x:v>
      </x:c>
      <x:c r="AJ1280" s="36" t="str">
        <x:v>Offenbarung 18: neue textnahe MENSCHENHANDEL-Frage ohne unnötige Endzeit-Systemfestlegung freigegeben.</x:v>
      </x:c>
      <x:c r="AK1280" s="36" t="str">
        <x:v>FaithPath repo develop/v4 · data/bibles/l1912/REV.json · data/bibles/otb/REV.json</x:v>
      </x:c>
      <x:c r="AL1280" t="str">
        <x:v>JA</x:v>
      </x:c>
    </x:row>
    <x:row r="1281">
      <x:c r="A1281" t="str">
        <x:v>FP-1540</x:v>
      </x:c>
      <x:c r="B1281" t="str">
        <x:v>REV</x:v>
      </x:c>
      <x:c r="C1281" t="str">
        <x:v>Offenbarung</x:v>
      </x:c>
      <x:c r="D1281" t="n">
        <x:v>18</x:v>
      </x:c>
      <x:c r="E1281" t="n">
        <x:v>5</x:v>
      </x:c>
      <x:c r="F1281" t="str">
        <x:v>REV-018</x:v>
      </x:c>
      <x:c r="G1281" t="n">
        <x:v>256</x:v>
      </x:c>
      <x:c r="H1281" t="str">
        <x:v>CQ-A27</x:v>
      </x:c>
      <x:c r="I1281" s="36" t="str">
        <x:v>Bestandsfrage: exakter Wortlaut in diesem Arbeitsschritt nicht rekonstruiert.</x:v>
      </x:c>
      <x:c r="J1281" s="36"/>
      <x:c r="K1281" s="36"/>
      <x:c r="L1281" s="36" t="str">
        <x:v>MASTER_STATUS_VERIFIZIERT</x:v>
      </x:c>
      <x:c r="M1281" s="36" t="str">
        <x:v>ERSETZEN</x:v>
      </x:c>
      <x:c r="N1281" s="36" t="str">
        <x:v>BESTAND_NOCH_NICHT_GEPRÜFT</x:v>
      </x:c>
      <x:c r="O1281" s="36" t="str">
        <x:v>DIDAKTISCHE_NEUFASSUNG</x:v>
      </x:c>
      <x:c r="P1281" s="36" t="str">
        <x:v>ENDGÜLTIGKEIT</x:v>
      </x:c>
      <x:c r="Q1281" s="36" t="str">
        <x:v>Welches Bild verwendet der Engel für die Endgültigkeit von Babylons Fall?</x:v>
      </x:c>
      <x:c r="R1281" s="36" t="str">
        <x:v>Ein Feigenbaum wird neu gepflanzt.</x:v>
      </x:c>
      <x:c r="S1281" s="36" t="str">
        <x:v>Ein großer Mühlstein wird ins Meer geworfen, so wird Babylon mit Gewalt niedergeworfen und nicht mehr gefunden.</x:v>
      </x:c>
      <x:c r="T1281" s="36" t="str">
        <x:v>Eine Tür wird geöffnet, die niemand schließen kann.</x:v>
      </x:c>
      <x:c r="U1281" s="36" t="str">
        <x:v>Ein Regenbogen erscheint über der Stadt.</x:v>
      </x:c>
      <x:c r="V1281" s="36" t="n">
        <x:v>1</x:v>
      </x:c>
      <x:c r="W1281" s="36" t="str">
        <x:v>Ein großer Mühlstein wird ins Meer geworfen, so wird Babylon mit Gewalt niedergeworfen und nicht mehr gefunden.</x:v>
      </x:c>
      <x:c r="X1281" s="36" t="str">
        <x:v>Offenbarung 18,20–24</x:v>
      </x:c>
      <x:c r="Y1281" s="36" t="str">
        <x:v>Der Mühlstein symbolisiert den unumkehrbaren Fall; abschließend wird Babylon auch mit dem Blut von Propheten und Heiligen verbunden.</x:v>
      </x:c>
      <x:c r="Z1281" s="36" t="str">
        <x:v>JA</x:v>
      </x:c>
      <x:c r="AA1281" s="36" t="str">
        <x:v>JA</x:v>
      </x:c>
      <x:c r="AB1281" s="36" t="str">
        <x:v>JA</x:v>
      </x:c>
      <x:c r="AC1281" s="36" t="str">
        <x:v>JA</x:v>
      </x:c>
      <x:c r="AD1281" s="36" t="str">
        <x:v>JA</x:v>
      </x:c>
      <x:c r="AE1281" s="36" t="str">
        <x:v>JA</x:v>
      </x:c>
      <x:c r="AF1281" s="36" t="str">
        <x:v>JA</x:v>
      </x:c>
      <x:c r="AG1281" s="36" t="str">
        <x:v>FREIGEGEBEN</x:v>
      </x:c>
      <x:c r="AH1281" s="36" t="str">
        <x:v>GPT-5.6 Sol · Buchprüfung Offenbarung · L1912/OTB</x:v>
      </x:c>
      <x:c r="AI1281" s="36" t="str">
        <x:v>FREIGEGEBEN</x:v>
      </x:c>
      <x:c r="AJ1281" s="36" t="str">
        <x:v>Offenbarung 18: neue textnahe ENDGÜLTIGKEIT-Frage ohne unnötige Endzeit-Systemfestlegung freigegeben.</x:v>
      </x:c>
      <x:c r="AK1281" s="36" t="str">
        <x:v>FaithPath repo develop/v4 · data/bibles/l1912/REV.json · data/bibles/otb/REV.json</x:v>
      </x:c>
      <x:c r="AL1281" t="str">
        <x:v>JA</x:v>
      </x:c>
    </x:row>
    <x:row r="1282">
      <x:c r="A1282" t="str">
        <x:v>FP-1541</x:v>
      </x:c>
      <x:c r="B1282" t="str">
        <x:v>REV</x:v>
      </x:c>
      <x:c r="C1282" t="str">
        <x:v>Offenbarung</x:v>
      </x:c>
      <x:c r="D1282" t="n">
        <x:v>19</x:v>
      </x:c>
      <x:c r="E1282" t="n">
        <x:v>1</x:v>
      </x:c>
      <x:c r="F1282" t="str">
        <x:v>REV-019</x:v>
      </x:c>
      <x:c r="G1282" t="n">
        <x:v>257</x:v>
      </x:c>
      <x:c r="H1282" t="str">
        <x:v>CQ-A27</x:v>
      </x:c>
      <x:c r="I1282" s="36" t="str">
        <x:v>Bestandsfrage: exakter Wortlaut in diesem Arbeitsschritt nicht rekonstruiert.</x:v>
      </x:c>
      <x:c r="J1282" s="36"/>
      <x:c r="K1282" s="36"/>
      <x:c r="L1282" s="36" t="str">
        <x:v>MASTER_STATUS_VERIFIZIERT</x:v>
      </x:c>
      <x:c r="M1282" s="36" t="str">
        <x:v>ERSETZEN</x:v>
      </x:c>
      <x:c r="N1282" s="36" t="str">
        <x:v>BESTAND_NOCH_NICHT_GEPRÜFT</x:v>
      </x:c>
      <x:c r="O1282" s="36" t="str">
        <x:v>DIDAKTISCHE_NEUFASSUNG</x:v>
      </x:c>
      <x:c r="P1282" s="36" t="str">
        <x:v>HALLELUJA</x:v>
      </x:c>
      <x:c r="Q1282" s="36" t="str">
        <x:v>Warum lobt die große Menge Gott zu Beginn des Kapitels?</x:v>
      </x:c>
      <x:c r="R1282" s="36" t="str">
        <x:v>Weil Babylon das Reich Gottes geworden ist.</x:v>
      </x:c>
      <x:c r="S1282" s="36" t="str">
        <x:v>Weil das Tier die Heiligen besiegt hat.</x:v>
      </x:c>
      <x:c r="T1282" s="36" t="str">
        <x:v>Weil seine Gerichte wahr und gerecht sind und er Babylon gerichtet hat.</x:v>
      </x:c>
      <x:c r="U1282" s="36" t="str">
        <x:v>Weil die sieben Plagen aufgehoben wurden.</x:v>
      </x:c>
      <x:c r="V1282" s="36" t="n">
        <x:v>2</x:v>
      </x:c>
      <x:c r="W1282" s="36" t="str">
        <x:v>Weil seine Gerichte wahr und gerecht sind und er Babylon gerichtet hat.</x:v>
      </x:c>
      <x:c r="X1282" s="36" t="str">
        <x:v>Offenbarung 19,1–5</x:v>
      </x:c>
      <x:c r="Y1282" s="36" t="str">
        <x:v>Das Halleluja antwortet auf das gerechte Gericht über die verführerische und gewalttätige Stadt.</x:v>
      </x:c>
      <x:c r="Z1282" s="36" t="str">
        <x:v>JA</x:v>
      </x:c>
      <x:c r="AA1282" s="36" t="str">
        <x:v>JA</x:v>
      </x:c>
      <x:c r="AB1282" s="36" t="str">
        <x:v>JA</x:v>
      </x:c>
      <x:c r="AC1282" s="36" t="str">
        <x:v>JA</x:v>
      </x:c>
      <x:c r="AD1282" s="36" t="str">
        <x:v>JA</x:v>
      </x:c>
      <x:c r="AE1282" s="36" t="str">
        <x:v>JA</x:v>
      </x:c>
      <x:c r="AF1282" s="36" t="str">
        <x:v>JA</x:v>
      </x:c>
      <x:c r="AG1282" s="36" t="str">
        <x:v>FREIGEGEBEN</x:v>
      </x:c>
      <x:c r="AH1282" s="36" t="str">
        <x:v>GPT-5.6 Sol · Buchprüfung Offenbarung · L1912/OTB</x:v>
      </x:c>
      <x:c r="AI1282" s="36" t="str">
        <x:v>FREIGEGEBEN</x:v>
      </x:c>
      <x:c r="AJ1282" s="36" t="str">
        <x:v>Offenbarung 19: neue textnahe HALLELUJA-Frage ohne unnötige Endzeit-Systemfestlegung freigegeben.</x:v>
      </x:c>
      <x:c r="AK1282" s="36" t="str">
        <x:v>FaithPath repo develop/v4 · data/bibles/l1912/REV.json · data/bibles/otb/REV.json</x:v>
      </x:c>
      <x:c r="AL1282" t="str">
        <x:v>JA</x:v>
      </x:c>
    </x:row>
    <x:row r="1283">
      <x:c r="A1283" t="str">
        <x:v>FP-1542</x:v>
      </x:c>
      <x:c r="B1283" t="str">
        <x:v>REV</x:v>
      </x:c>
      <x:c r="C1283" t="str">
        <x:v>Offenbarung</x:v>
      </x:c>
      <x:c r="D1283" t="n">
        <x:v>19</x:v>
      </x:c>
      <x:c r="E1283" t="n">
        <x:v>2</x:v>
      </x:c>
      <x:c r="F1283" t="str">
        <x:v>REV-019</x:v>
      </x:c>
      <x:c r="G1283" t="n">
        <x:v>257</x:v>
      </x:c>
      <x:c r="H1283" t="str">
        <x:v>CQ-A27</x:v>
      </x:c>
      <x:c r="I1283" s="36" t="str">
        <x:v>Bestandsfrage: exakter Wortlaut in diesem Arbeitsschritt nicht rekonstruiert.</x:v>
      </x:c>
      <x:c r="J1283" s="36"/>
      <x:c r="K1283" s="36"/>
      <x:c r="L1283" s="36" t="str">
        <x:v>MASTER_STATUS_VERIFIZIERT</x:v>
      </x:c>
      <x:c r="M1283" s="36" t="str">
        <x:v>ERSETZEN</x:v>
      </x:c>
      <x:c r="N1283" s="36" t="str">
        <x:v>BESTAND_NOCH_NICHT_GEPRÜFT</x:v>
      </x:c>
      <x:c r="O1283" s="36" t="str">
        <x:v>DIDAKTISCHE_NEUFASSUNG</x:v>
      </x:c>
      <x:c r="P1283" s="36" t="str">
        <x:v>HOCHZEIT</x:v>
      </x:c>
      <x:c r="Q1283" s="36" t="str">
        <x:v>Welches freudige Ereignis wird nach dem Lobpreis angekündigt?</x:v>
      </x:c>
      <x:c r="R1283" s="36" t="str">
        <x:v>Die Krönung des Tieres.</x:v>
      </x:c>
      <x:c r="S1283" s="36" t="str">
        <x:v>Die Rückkehr Babylons.</x:v>
      </x:c>
      <x:c r="T1283" s="36" t="str">
        <x:v>Die Schließung des Buches des Lebens.</x:v>
      </x:c>
      <x:c r="U1283" s="36" t="str">
        <x:v>Die Hochzeit des Lammes und das Hochzeitsmahl.</x:v>
      </x:c>
      <x:c r="V1283" s="36" t="n">
        <x:v>3</x:v>
      </x:c>
      <x:c r="W1283" s="36" t="str">
        <x:v>Die Hochzeit des Lammes und das Hochzeitsmahl.</x:v>
      </x:c>
      <x:c r="X1283" s="36" t="str">
        <x:v>Offenbarung 19,6–9</x:v>
      </x:c>
      <x:c r="Y1283" s="36" t="str">
        <x:v>Die Hochzeit des Lammes steht als Gegenbild zu Babylon und führt zum Seligpreis der Eingeladenen.</x:v>
      </x:c>
      <x:c r="Z1283" s="36" t="str">
        <x:v>JA</x:v>
      </x:c>
      <x:c r="AA1283" s="36" t="str">
        <x:v>JA</x:v>
      </x:c>
      <x:c r="AB1283" s="36" t="str">
        <x:v>JA</x:v>
      </x:c>
      <x:c r="AC1283" s="36" t="str">
        <x:v>JA</x:v>
      </x:c>
      <x:c r="AD1283" s="36" t="str">
        <x:v>JA</x:v>
      </x:c>
      <x:c r="AE1283" s="36" t="str">
        <x:v>JA</x:v>
      </x:c>
      <x:c r="AF1283" s="36" t="str">
        <x:v>JA</x:v>
      </x:c>
      <x:c r="AG1283" s="36" t="str">
        <x:v>FREIGEGEBEN</x:v>
      </x:c>
      <x:c r="AH1283" s="36" t="str">
        <x:v>GPT-5.6 Sol · Buchprüfung Offenbarung · L1912/OTB</x:v>
      </x:c>
      <x:c r="AI1283" s="36" t="str">
        <x:v>FREIGEGEBEN</x:v>
      </x:c>
      <x:c r="AJ1283" s="36" t="str">
        <x:v>Offenbarung 19: neue textnahe HOCHZEIT-Frage ohne unnötige Endzeit-Systemfestlegung freigegeben.</x:v>
      </x:c>
      <x:c r="AK1283" s="36" t="str">
        <x:v>FaithPath repo develop/v4 · data/bibles/l1912/REV.json · data/bibles/otb/REV.json</x:v>
      </x:c>
      <x:c r="AL1283" t="str">
        <x:v>JA</x:v>
      </x:c>
    </x:row>
    <x:row r="1284">
      <x:c r="A1284" t="str">
        <x:v>FP-1543</x:v>
      </x:c>
      <x:c r="B1284" t="str">
        <x:v>REV</x:v>
      </x:c>
      <x:c r="C1284" t="str">
        <x:v>Offenbarung</x:v>
      </x:c>
      <x:c r="D1284" t="n">
        <x:v>19</x:v>
      </x:c>
      <x:c r="E1284" t="n">
        <x:v>3</x:v>
      </x:c>
      <x:c r="F1284" t="str">
        <x:v>REV-019</x:v>
      </x:c>
      <x:c r="G1284" t="n">
        <x:v>257</x:v>
      </x:c>
      <x:c r="H1284" t="str">
        <x:v>CQ-A27</x:v>
      </x:c>
      <x:c r="I1284" s="36" t="str">
        <x:v>Bestandsfrage: exakter Wortlaut in diesem Arbeitsschritt nicht rekonstruiert.</x:v>
      </x:c>
      <x:c r="J1284" s="36"/>
      <x:c r="K1284" s="36"/>
      <x:c r="L1284" s="36" t="str">
        <x:v>MASTER_STATUS_VERIFIZIERT</x:v>
      </x:c>
      <x:c r="M1284" s="36" t="str">
        <x:v>ERSETZEN</x:v>
      </x:c>
      <x:c r="N1284" s="36" t="str">
        <x:v>BESTAND_NOCH_NICHT_GEPRÜFT</x:v>
      </x:c>
      <x:c r="O1284" s="36" t="str">
        <x:v>DIDAKTISCHE_NEUFASSUNG</x:v>
      </x:c>
      <x:c r="P1284" s="36" t="str">
        <x:v>ANBETUNG</x:v>
      </x:c>
      <x:c r="Q1284" s="36" t="str">
        <x:v>Wie reagiert der Engel, als Johannes vor ihm niederfällt?</x:v>
      </x:c>
      <x:c r="R1284" s="36" t="str">
        <x:v>Er verbietet es und sagt: Bete Gott an.</x:v>
      </x:c>
      <x:c r="S1284" s="36" t="str">
        <x:v>Er nimmt die Anbetung an.</x:v>
      </x:c>
      <x:c r="T1284" s="36" t="str">
        <x:v>Er fordert Johannes auf, auch andere Engel anzubeten.</x:v>
      </x:c>
      <x:c r="U1284" s="36" t="str">
        <x:v>Er erklärt sich selbst zum Lamm.</x:v>
      </x:c>
      <x:c r="V1284" s="36" t="n">
        <x:v>0</x:v>
      </x:c>
      <x:c r="W1284" s="36" t="str">
        <x:v>Er verbietet es und sagt: Bete Gott an.</x:v>
      </x:c>
      <x:c r="X1284" s="36" t="str">
        <x:v>Offenbarung 19,10</x:v>
      </x:c>
      <x:c r="Y1284" s="36" t="str">
        <x:v>Die Offenbarung grenzt Engelverehrung ausdrücklich ab und richtet Anbetung auf Gott.</x:v>
      </x:c>
      <x:c r="Z1284" s="36" t="str">
        <x:v>JA</x:v>
      </x:c>
      <x:c r="AA1284" s="36" t="str">
        <x:v>JA</x:v>
      </x:c>
      <x:c r="AB1284" s="36" t="str">
        <x:v>JA</x:v>
      </x:c>
      <x:c r="AC1284" s="36" t="str">
        <x:v>JA</x:v>
      </x:c>
      <x:c r="AD1284" s="36" t="str">
        <x:v>JA</x:v>
      </x:c>
      <x:c r="AE1284" s="36" t="str">
        <x:v>JA</x:v>
      </x:c>
      <x:c r="AF1284" s="36" t="str">
        <x:v>JA</x:v>
      </x:c>
      <x:c r="AG1284" s="36" t="str">
        <x:v>FREIGEGEBEN</x:v>
      </x:c>
      <x:c r="AH1284" s="36" t="str">
        <x:v>GPT-5.6 Sol · Buchprüfung Offenbarung · L1912/OTB</x:v>
      </x:c>
      <x:c r="AI1284" s="36" t="str">
        <x:v>FREIGEGEBEN</x:v>
      </x:c>
      <x:c r="AJ1284" s="36" t="str">
        <x:v>Offenbarung 19: neue textnahe ANBETUNG-Frage ohne unnötige Endzeit-Systemfestlegung freigegeben.</x:v>
      </x:c>
      <x:c r="AK1284" s="36" t="str">
        <x:v>FaithPath repo develop/v4 · data/bibles/l1912/REV.json · data/bibles/otb/REV.json</x:v>
      </x:c>
      <x:c r="AL1284" t="str">
        <x:v>JA</x:v>
      </x:c>
    </x:row>
    <x:row r="1285">
      <x:c r="A1285" t="str">
        <x:v>FP-1544</x:v>
      </x:c>
      <x:c r="B1285" t="str">
        <x:v>REV</x:v>
      </x:c>
      <x:c r="C1285" t="str">
        <x:v>Offenbarung</x:v>
      </x:c>
      <x:c r="D1285" t="n">
        <x:v>19</x:v>
      </x:c>
      <x:c r="E1285" t="n">
        <x:v>4</x:v>
      </x:c>
      <x:c r="F1285" t="str">
        <x:v>REV-019</x:v>
      </x:c>
      <x:c r="G1285" t="n">
        <x:v>257</x:v>
      </x:c>
      <x:c r="H1285" t="str">
        <x:v>CQ-A27</x:v>
      </x:c>
      <x:c r="I1285" s="36" t="str">
        <x:v>Bestandsfrage: exakter Wortlaut in diesem Arbeitsschritt nicht rekonstruiert.</x:v>
      </x:c>
      <x:c r="J1285" s="36"/>
      <x:c r="K1285" s="36"/>
      <x:c r="L1285" s="36" t="str">
        <x:v>MASTER_STATUS_VERIFIZIERT</x:v>
      </x:c>
      <x:c r="M1285" s="36" t="str">
        <x:v>ERSETZEN</x:v>
      </x:c>
      <x:c r="N1285" s="36" t="str">
        <x:v>BESTAND_NOCH_NICHT_GEPRÜFT</x:v>
      </x:c>
      <x:c r="O1285" s="36" t="str">
        <x:v>DIDAKTISCHE_NEUFASSUNG</x:v>
      </x:c>
      <x:c r="P1285" s="36" t="str">
        <x:v>REITER</x:v>
      </x:c>
      <x:c r="Q1285" s="36" t="str">
        <x:v>Wie wird der Reiter auf dem weißen Pferd bezeichnet?</x:v>
      </x:c>
      <x:c r="R1285" s="36" t="str">
        <x:v>Abaddon und Apollyon.</x:v>
      </x:c>
      <x:c r="S1285" s="36" t="str">
        <x:v>Treue und Wahrhaftige, Wort Gottes sowie König der Könige und Herr der Herren.</x:v>
      </x:c>
      <x:c r="T1285" s="36" t="str">
        <x:v>Babylon und Morgenstern.</x:v>
      </x:c>
      <x:c r="U1285" s="36" t="str">
        <x:v>Der falsche Prophet und zweite Zeuge.</x:v>
      </x:c>
      <x:c r="V1285" s="36" t="n">
        <x:v>1</x:v>
      </x:c>
      <x:c r="W1285" s="36" t="str">
        <x:v>Treue und Wahrhaftige, Wort Gottes sowie König der Könige und Herr der Herren.</x:v>
      </x:c>
      <x:c r="X1285" s="36" t="str">
        <x:v>Offenbarung 19,11–16</x:v>
      </x:c>
      <x:c r="Y1285" s="36" t="str">
        <x:v>Mehrere Titel identifizieren den Reiter und beschreiben gerechtes Gericht und königliche Herrschaft.</x:v>
      </x:c>
      <x:c r="Z1285" s="36" t="str">
        <x:v>JA</x:v>
      </x:c>
      <x:c r="AA1285" s="36" t="str">
        <x:v>JA</x:v>
      </x:c>
      <x:c r="AB1285" s="36" t="str">
        <x:v>JA</x:v>
      </x:c>
      <x:c r="AC1285" s="36" t="str">
        <x:v>JA</x:v>
      </x:c>
      <x:c r="AD1285" s="36" t="str">
        <x:v>JA</x:v>
      </x:c>
      <x:c r="AE1285" s="36" t="str">
        <x:v>JA</x:v>
      </x:c>
      <x:c r="AF1285" s="36" t="str">
        <x:v>JA</x:v>
      </x:c>
      <x:c r="AG1285" s="36" t="str">
        <x:v>FREIGEGEBEN</x:v>
      </x:c>
      <x:c r="AH1285" s="36" t="str">
        <x:v>GPT-5.6 Sol · Buchprüfung Offenbarung · L1912/OTB</x:v>
      </x:c>
      <x:c r="AI1285" s="36" t="str">
        <x:v>FREIGEGEBEN</x:v>
      </x:c>
      <x:c r="AJ1285" s="36" t="str">
        <x:v>Offenbarung 19: neue textnahe REITER-Frage ohne unnötige Endzeit-Systemfestlegung freigegeben.</x:v>
      </x:c>
      <x:c r="AK1285" s="36" t="str">
        <x:v>FaithPath repo develop/v4 · data/bibles/l1912/REV.json · data/bibles/otb/REV.json</x:v>
      </x:c>
      <x:c r="AL1285" t="str">
        <x:v>JA</x:v>
      </x:c>
    </x:row>
    <x:row r="1286">
      <x:c r="A1286" t="str">
        <x:v>FP-1545</x:v>
      </x:c>
      <x:c r="B1286" t="str">
        <x:v>REV</x:v>
      </x:c>
      <x:c r="C1286" t="str">
        <x:v>Offenbarung</x:v>
      </x:c>
      <x:c r="D1286" t="n">
        <x:v>19</x:v>
      </x:c>
      <x:c r="E1286" t="n">
        <x:v>5</x:v>
      </x:c>
      <x:c r="F1286" t="str">
        <x:v>REV-019</x:v>
      </x:c>
      <x:c r="G1286" t="n">
        <x:v>257</x:v>
      </x:c>
      <x:c r="H1286" t="str">
        <x:v>CQ-A27</x:v>
      </x:c>
      <x:c r="I1286" s="36" t="str">
        <x:v>Bestandsfrage: exakter Wortlaut in diesem Arbeitsschritt nicht rekonstruiert.</x:v>
      </x:c>
      <x:c r="J1286" s="36"/>
      <x:c r="K1286" s="36"/>
      <x:c r="L1286" s="36" t="str">
        <x:v>MASTER_STATUS_VERIFIZIERT</x:v>
      </x:c>
      <x:c r="M1286" s="36" t="str">
        <x:v>ERSETZEN</x:v>
      </x:c>
      <x:c r="N1286" s="36" t="str">
        <x:v>BESTAND_NOCH_NICHT_GEPRÜFT</x:v>
      </x:c>
      <x:c r="O1286" s="36" t="str">
        <x:v>DIDAKTISCHE_NEUFASSUNG</x:v>
      </x:c>
      <x:c r="P1286" s="36" t="str">
        <x:v>NIEDERLAGE</x:v>
      </x:c>
      <x:c r="Q1286" s="36" t="str">
        <x:v>Was geschieht mit dem Tier und dem falschen Propheten?</x:v>
      </x:c>
      <x:c r="R1286" s="36" t="str">
        <x:v>Sie fliehen in das neue Jerusalem.</x:v>
      </x:c>
      <x:c r="S1286" s="36" t="str">
        <x:v>Sie werden zu Engeln verwandelt.</x:v>
      </x:c>
      <x:c r="T1286" s="36" t="str">
        <x:v>Sie werden gefangen und in den Feuersee geworfen.</x:v>
      </x:c>
      <x:c r="U1286" s="36" t="str">
        <x:v>Sie erhalten eine weitere Herrschaftszeit.</x:v>
      </x:c>
      <x:c r="V1286" s="36" t="n">
        <x:v>2</x:v>
      </x:c>
      <x:c r="W1286" s="36" t="str">
        <x:v>Sie werden gefangen und in den Feuersee geworfen.</x:v>
      </x:c>
      <x:c r="X1286" s="36" t="str">
        <x:v>Offenbarung 19,17–21</x:v>
      </x:c>
      <x:c r="Y1286" s="36" t="str">
        <x:v>Die beiden zentralen Verführer aus Kapitel 13 werden in dieser Vision endgültig besiegt.</x:v>
      </x:c>
      <x:c r="Z1286" s="36" t="str">
        <x:v>JA</x:v>
      </x:c>
      <x:c r="AA1286" s="36" t="str">
        <x:v>JA</x:v>
      </x:c>
      <x:c r="AB1286" s="36" t="str">
        <x:v>JA</x:v>
      </x:c>
      <x:c r="AC1286" s="36" t="str">
        <x:v>JA</x:v>
      </x:c>
      <x:c r="AD1286" s="36" t="str">
        <x:v>JA</x:v>
      </x:c>
      <x:c r="AE1286" s="36" t="str">
        <x:v>JA</x:v>
      </x:c>
      <x:c r="AF1286" s="36" t="str">
        <x:v>JA</x:v>
      </x:c>
      <x:c r="AG1286" s="36" t="str">
        <x:v>FREIGEGEBEN</x:v>
      </x:c>
      <x:c r="AH1286" s="36" t="str">
        <x:v>GPT-5.6 Sol · Buchprüfung Offenbarung · L1912/OTB</x:v>
      </x:c>
      <x:c r="AI1286" s="36" t="str">
        <x:v>FREIGEGEBEN</x:v>
      </x:c>
      <x:c r="AJ1286" s="36" t="str">
        <x:v>Offenbarung 19: neue textnahe NIEDERLAGE-Frage ohne unnötige Endzeit-Systemfestlegung freigegeben.</x:v>
      </x:c>
      <x:c r="AK1286" s="36" t="str">
        <x:v>FaithPath repo develop/v4 · data/bibles/l1912/REV.json · data/bibles/otb/REV.json</x:v>
      </x:c>
      <x:c r="AL1286" t="str">
        <x:v>JA</x:v>
      </x:c>
    </x:row>
    <x:row r="1287">
      <x:c r="A1287" t="str">
        <x:v>FP-1546</x:v>
      </x:c>
      <x:c r="B1287" t="str">
        <x:v>REV</x:v>
      </x:c>
      <x:c r="C1287" t="str">
        <x:v>Offenbarung</x:v>
      </x:c>
      <x:c r="D1287" t="n">
        <x:v>20</x:v>
      </x:c>
      <x:c r="E1287" t="n">
        <x:v>1</x:v>
      </x:c>
      <x:c r="F1287" t="str">
        <x:v>REV-020</x:v>
      </x:c>
      <x:c r="G1287" t="n">
        <x:v>258</x:v>
      </x:c>
      <x:c r="H1287" t="str">
        <x:v>CQ-A27</x:v>
      </x:c>
      <x:c r="I1287" s="36" t="str">
        <x:v>Bestandsfrage: exakter Wortlaut in diesem Arbeitsschritt nicht rekonstruiert.</x:v>
      </x:c>
      <x:c r="J1287" s="36"/>
      <x:c r="K1287" s="36"/>
      <x:c r="L1287" s="36" t="str">
        <x:v>MASTER_STATUS_VERIFIZIERT</x:v>
      </x:c>
      <x:c r="M1287" s="36" t="str">
        <x:v>ERSETZEN</x:v>
      </x:c>
      <x:c r="N1287" s="36" t="str">
        <x:v>BESTAND_NOCH_NICHT_GEPRÜFT</x:v>
      </x:c>
      <x:c r="O1287" s="36" t="str">
        <x:v>DIDAKTISCHE_NEUFASSUNG</x:v>
      </x:c>
      <x:c r="P1287" s="36" t="str">
        <x:v>BINDUNG_SATANS</x:v>
      </x:c>
      <x:c r="Q1287" s="36" t="str">
        <x:v>Was geschieht zu Beginn von Offenbarung 20 mit dem Drachen?</x:v>
      </x:c>
      <x:c r="R1287" s="36" t="str">
        <x:v>Er wird zum König des neuen Jerusalems.</x:v>
      </x:c>
      <x:c r="S1287" s="36" t="str">
        <x:v>Er erhält das Buch des Lebens.</x:v>
      </x:c>
      <x:c r="T1287" s="36" t="str">
        <x:v>Er wird mit den Heiligen auf Throne gesetzt.</x:v>
      </x:c>
      <x:c r="U1287" s="36" t="str">
        <x:v>Er wird für tausend Jahre gebunden und in den Abgrund geworfen.</x:v>
      </x:c>
      <x:c r="V1287" s="36" t="n">
        <x:v>3</x:v>
      </x:c>
      <x:c r="W1287" s="36" t="str">
        <x:v>Er wird für tausend Jahre gebunden und in den Abgrund geworfen.</x:v>
      </x:c>
      <x:c r="X1287" s="36" t="str">
        <x:v>Offenbarung 20,1–3</x:v>
      </x:c>
      <x:c r="Y1287" s="36" t="str">
        <x:v>Der Text nennt eine begrenzte Bindung mit dem Ziel, die Nationen in dieser Zeit nicht zu verführen.</x:v>
      </x:c>
      <x:c r="Z1287" s="36" t="str">
        <x:v>JA</x:v>
      </x:c>
      <x:c r="AA1287" s="36" t="str">
        <x:v>JA</x:v>
      </x:c>
      <x:c r="AB1287" s="36" t="str">
        <x:v>JA</x:v>
      </x:c>
      <x:c r="AC1287" s="36" t="str">
        <x:v>JA</x:v>
      </x:c>
      <x:c r="AD1287" s="36" t="str">
        <x:v>JA</x:v>
      </x:c>
      <x:c r="AE1287" s="36" t="str">
        <x:v>JA</x:v>
      </x:c>
      <x:c r="AF1287" s="36" t="str">
        <x:v>JA</x:v>
      </x:c>
      <x:c r="AG1287" s="36" t="str">
        <x:v>FREIGEGEBEN</x:v>
      </x:c>
      <x:c r="AH1287" s="36" t="str">
        <x:v>GPT-5.6 Sol · Buchprüfung Offenbarung · L1912/OTB</x:v>
      </x:c>
      <x:c r="AI1287" s="36" t="str">
        <x:v>FREIGEGEBEN</x:v>
      </x:c>
      <x:c r="AJ1287" s="36" t="str">
        <x:v>Offenbarung 20: neue textnahe BINDUNG_SATANS-Frage ohne unnötige Endzeit-Systemfestlegung freigegeben.</x:v>
      </x:c>
      <x:c r="AK1287" s="36" t="str">
        <x:v>FaithPath repo develop/v4 · data/bibles/l1912/REV.json · data/bibles/otb/REV.json</x:v>
      </x:c>
      <x:c r="AL1287" t="str">
        <x:v>JA</x:v>
      </x:c>
    </x:row>
    <x:row r="1288">
      <x:c r="A1288" t="str">
        <x:v>FP-1547</x:v>
      </x:c>
      <x:c r="B1288" t="str">
        <x:v>REV</x:v>
      </x:c>
      <x:c r="C1288" t="str">
        <x:v>Offenbarung</x:v>
      </x:c>
      <x:c r="D1288" t="n">
        <x:v>20</x:v>
      </x:c>
      <x:c r="E1288" t="n">
        <x:v>2</x:v>
      </x:c>
      <x:c r="F1288" t="str">
        <x:v>REV-020</x:v>
      </x:c>
      <x:c r="G1288" t="n">
        <x:v>258</x:v>
      </x:c>
      <x:c r="H1288" t="str">
        <x:v>CQ-A27</x:v>
      </x:c>
      <x:c r="I1288" s="36" t="str">
        <x:v>Bestandsfrage: exakter Wortlaut in diesem Arbeitsschritt nicht rekonstruiert.</x:v>
      </x:c>
      <x:c r="J1288" s="36"/>
      <x:c r="K1288" s="36"/>
      <x:c r="L1288" s="36" t="str">
        <x:v>MASTER_STATUS_VERIFIZIERT</x:v>
      </x:c>
      <x:c r="M1288" s="36" t="str">
        <x:v>ERSETZEN</x:v>
      </x:c>
      <x:c r="N1288" s="36" t="str">
        <x:v>BESTAND_NOCH_NICHT_GEPRÜFT</x:v>
      </x:c>
      <x:c r="O1288" s="36" t="str">
        <x:v>DIDAKTISCHE_NEUFASSUNG</x:v>
      </x:c>
      <x:c r="P1288" s="36" t="str">
        <x:v>ERSTE_AUFERSTEHUNG</x:v>
      </x:c>
      <x:c r="Q1288" s="36" t="str">
        <x:v>Wer wird in der Vision lebendig und herrscht mit Christus?</x:v>
      </x:c>
      <x:c r="R1288" s="36" t="str">
        <x:v>Die treuen Zeugen, die das Tier und sein Zeichen nicht angenommen haben.</x:v>
      </x:c>
      <x:c r="S1288" s="36" t="str">
        <x:v>Die Anhänger Babylons.</x:v>
      </x:c>
      <x:c r="T1288" s="36" t="str">
        <x:v>Nur die Könige der Erde.</x:v>
      </x:c>
      <x:c r="U1288" s="36" t="str">
        <x:v>Das Tier und der falsche Prophet.</x:v>
      </x:c>
      <x:c r="V1288" s="36" t="n">
        <x:v>0</x:v>
      </x:c>
      <x:c r="W1288" s="36" t="str">
        <x:v>Die treuen Zeugen, die das Tier und sein Zeichen nicht angenommen haben.</x:v>
      </x:c>
      <x:c r="X1288" s="36" t="str">
        <x:v>Offenbarung 20,4–6</x:v>
      </x:c>
      <x:c r="Y1288" s="36" t="str">
        <x:v>Der Abschnitt verbindet Treue unter Verfolgung mit der ersten Auferstehung und Herrschaft mit Christus.</x:v>
      </x:c>
      <x:c r="Z1288" s="36" t="str">
        <x:v>JA</x:v>
      </x:c>
      <x:c r="AA1288" s="36" t="str">
        <x:v>JA</x:v>
      </x:c>
      <x:c r="AB1288" s="36" t="str">
        <x:v>JA</x:v>
      </x:c>
      <x:c r="AC1288" s="36" t="str">
        <x:v>JA</x:v>
      </x:c>
      <x:c r="AD1288" s="36" t="str">
        <x:v>JA</x:v>
      </x:c>
      <x:c r="AE1288" s="36" t="str">
        <x:v>JA</x:v>
      </x:c>
      <x:c r="AF1288" s="36" t="str">
        <x:v>JA</x:v>
      </x:c>
      <x:c r="AG1288" s="36" t="str">
        <x:v>FREIGEGEBEN</x:v>
      </x:c>
      <x:c r="AH1288" s="36" t="str">
        <x:v>GPT-5.6 Sol · Buchprüfung Offenbarung · L1912/OTB</x:v>
      </x:c>
      <x:c r="AI1288" s="36" t="str">
        <x:v>FREIGEGEBEN</x:v>
      </x:c>
      <x:c r="AJ1288" s="36" t="str">
        <x:v>Offenbarung 20: neue textnahe ERSTE_AUFERSTEHUNG-Frage ohne unnötige Endzeit-Systemfestlegung freigegeben.</x:v>
      </x:c>
      <x:c r="AK1288" s="36" t="str">
        <x:v>FaithPath repo develop/v4 · data/bibles/l1912/REV.json · data/bibles/otb/REV.json</x:v>
      </x:c>
      <x:c r="AL1288" t="str">
        <x:v>JA</x:v>
      </x:c>
    </x:row>
    <x:row r="1289">
      <x:c r="A1289" t="str">
        <x:v>FP-1548</x:v>
      </x:c>
      <x:c r="B1289" t="str">
        <x:v>REV</x:v>
      </x:c>
      <x:c r="C1289" t="str">
        <x:v>Offenbarung</x:v>
      </x:c>
      <x:c r="D1289" t="n">
        <x:v>20</x:v>
      </x:c>
      <x:c r="E1289" t="n">
        <x:v>3</x:v>
      </x:c>
      <x:c r="F1289" t="str">
        <x:v>REV-020</x:v>
      </x:c>
      <x:c r="G1289" t="n">
        <x:v>258</x:v>
      </x:c>
      <x:c r="H1289" t="str">
        <x:v>CQ-A27</x:v>
      </x:c>
      <x:c r="I1289" s="36" t="str">
        <x:v>Bestandsfrage: exakter Wortlaut in diesem Arbeitsschritt nicht rekonstruiert.</x:v>
      </x:c>
      <x:c r="J1289" s="36"/>
      <x:c r="K1289" s="36"/>
      <x:c r="L1289" s="36" t="str">
        <x:v>MASTER_STATUS_VERIFIZIERT</x:v>
      </x:c>
      <x:c r="M1289" s="36" t="str">
        <x:v>ERSETZEN</x:v>
      </x:c>
      <x:c r="N1289" s="36" t="str">
        <x:v>BESTAND_NOCH_NICHT_GEPRÜFT</x:v>
      </x:c>
      <x:c r="O1289" s="36" t="str">
        <x:v>DIDAKTISCHE_NEUFASSUNG</x:v>
      </x:c>
      <x:c r="P1289" s="36" t="str">
        <x:v>LETZTE_REBELLION</x:v>
      </x:c>
      <x:c r="Q1289" s="36" t="str">
        <x:v>Was geschieht nach der Freilassung Satans am Ende der tausend Jahre?</x:v>
      </x:c>
      <x:c r="R1289" s="36" t="str">
        <x:v>Er führt die Nationen zur Umkehr.</x:v>
      </x:c>
      <x:c r="S1289" s="36" t="str">
        <x:v>Er verführt die Nationen zu einer letzten Rebellion, die durch Feuer von Gott beendet wird.</x:v>
      </x:c>
      <x:c r="T1289" s="36" t="str">
        <x:v>Er wird zum Hirten des Volkes Gottes.</x:v>
      </x:c>
      <x:c r="U1289" s="36" t="str">
        <x:v>Er öffnet die Tore des neuen Jerusalems.</x:v>
      </x:c>
      <x:c r="V1289" s="36" t="n">
        <x:v>1</x:v>
      </x:c>
      <x:c r="W1289" s="36" t="str">
        <x:v>Er verführt die Nationen zu einer letzten Rebellion, die durch Feuer von Gott beendet wird.</x:v>
      </x:c>
      <x:c r="X1289" s="36" t="str">
        <x:v>Offenbarung 20,7–10</x:v>
      </x:c>
      <x:c r="Y1289" s="36" t="str">
        <x:v>Die letzte Verführung endet nicht im Sieg Satans, sondern in seinem endgültigen Gericht.</x:v>
      </x:c>
      <x:c r="Z1289" s="36" t="str">
        <x:v>JA</x:v>
      </x:c>
      <x:c r="AA1289" s="36" t="str">
        <x:v>JA</x:v>
      </x:c>
      <x:c r="AB1289" s="36" t="str">
        <x:v>JA</x:v>
      </x:c>
      <x:c r="AC1289" s="36" t="str">
        <x:v>JA</x:v>
      </x:c>
      <x:c r="AD1289" s="36" t="str">
        <x:v>JA</x:v>
      </x:c>
      <x:c r="AE1289" s="36" t="str">
        <x:v>JA</x:v>
      </x:c>
      <x:c r="AF1289" s="36" t="str">
        <x:v>JA</x:v>
      </x:c>
      <x:c r="AG1289" s="36" t="str">
        <x:v>FREIGEGEBEN</x:v>
      </x:c>
      <x:c r="AH1289" s="36" t="str">
        <x:v>GPT-5.6 Sol · Buchprüfung Offenbarung · L1912/OTB</x:v>
      </x:c>
      <x:c r="AI1289" s="36" t="str">
        <x:v>FREIGEGEBEN</x:v>
      </x:c>
      <x:c r="AJ1289" s="36" t="str">
        <x:v>Offenbarung 20: neue textnahe LETZTE_REBELLION-Frage ohne unnötige Endzeit-Systemfestlegung freigegeben.</x:v>
      </x:c>
      <x:c r="AK1289" s="36" t="str">
        <x:v>FaithPath repo develop/v4 · data/bibles/l1912/REV.json · data/bibles/otb/REV.json</x:v>
      </x:c>
      <x:c r="AL1289" t="str">
        <x:v>JA</x:v>
      </x:c>
    </x:row>
    <x:row r="1290">
      <x:c r="A1290" t="str">
        <x:v>FP-1549</x:v>
      </x:c>
      <x:c r="B1290" t="str">
        <x:v>REV</x:v>
      </x:c>
      <x:c r="C1290" t="str">
        <x:v>Offenbarung</x:v>
      </x:c>
      <x:c r="D1290" t="n">
        <x:v>20</x:v>
      </x:c>
      <x:c r="E1290" t="n">
        <x:v>4</x:v>
      </x:c>
      <x:c r="F1290" t="str">
        <x:v>REV-020</x:v>
      </x:c>
      <x:c r="G1290" t="n">
        <x:v>258</x:v>
      </x:c>
      <x:c r="H1290" t="str">
        <x:v>CQ-A27</x:v>
      </x:c>
      <x:c r="I1290" s="36" t="str">
        <x:v>Bestandsfrage: exakter Wortlaut in diesem Arbeitsschritt nicht rekonstruiert.</x:v>
      </x:c>
      <x:c r="J1290" s="36"/>
      <x:c r="K1290" s="36"/>
      <x:c r="L1290" s="36" t="str">
        <x:v>MASTER_STATUS_VERIFIZIERT</x:v>
      </x:c>
      <x:c r="M1290" s="36" t="str">
        <x:v>ERSETZEN</x:v>
      </x:c>
      <x:c r="N1290" s="36" t="str">
        <x:v>BESTAND_NOCH_NICHT_GEPRÜFT</x:v>
      </x:c>
      <x:c r="O1290" s="36" t="str">
        <x:v>DIDAKTISCHE_NEUFASSUNG</x:v>
      </x:c>
      <x:c r="P1290" s="36" t="str">
        <x:v>WEISSER_THRON</x:v>
      </x:c>
      <x:c r="Q1290" s="36" t="str">
        <x:v>Woran orientiert sich das Gericht vor dem großen weißen Thron?</x:v>
      </x:c>
      <x:c r="R1290" s="36" t="str">
        <x:v>Nur am gesellschaftlichen Rang.</x:v>
      </x:c>
      <x:c r="S1290" s="36" t="str">
        <x:v>Nur an der Herkunft der Menschen.</x:v>
      </x:c>
      <x:c r="T1290" s="36" t="str">
        <x:v>An dem, was in den Büchern über die Taten geschrieben ist; außerdem wird das Buch des Lebens geöffnet.</x:v>
      </x:c>
      <x:c r="U1290" s="36" t="str">
        <x:v>An der Zahl ihrer Besitztümer.</x:v>
      </x:c>
      <x:c r="V1290" s="36" t="n">
        <x:v>2</x:v>
      </x:c>
      <x:c r="W1290" s="36" t="str">
        <x:v>An dem, was in den Büchern über die Taten geschrieben ist; außerdem wird das Buch des Lebens geöffnet.</x:v>
      </x:c>
      <x:c r="X1290" s="36" t="str">
        <x:v>Offenbarung 20,11–13</x:v>
      </x:c>
      <x:c r="Y1290" s="36" t="str">
        <x:v>Die Vision verbindet universales Gericht nach den Taten mit dem besonderen Buch des Lebens.</x:v>
      </x:c>
      <x:c r="Z1290" s="36" t="str">
        <x:v>JA</x:v>
      </x:c>
      <x:c r="AA1290" s="36" t="str">
        <x:v>JA</x:v>
      </x:c>
      <x:c r="AB1290" s="36" t="str">
        <x:v>JA</x:v>
      </x:c>
      <x:c r="AC1290" s="36" t="str">
        <x:v>JA</x:v>
      </x:c>
      <x:c r="AD1290" s="36" t="str">
        <x:v>JA</x:v>
      </x:c>
      <x:c r="AE1290" s="36" t="str">
        <x:v>JA</x:v>
      </x:c>
      <x:c r="AF1290" s="36" t="str">
        <x:v>JA</x:v>
      </x:c>
      <x:c r="AG1290" s="36" t="str">
        <x:v>FREIGEGEBEN</x:v>
      </x:c>
      <x:c r="AH1290" s="36" t="str">
        <x:v>GPT-5.6 Sol · Buchprüfung Offenbarung · L1912/OTB</x:v>
      </x:c>
      <x:c r="AI1290" s="36" t="str">
        <x:v>FREIGEGEBEN</x:v>
      </x:c>
      <x:c r="AJ1290" s="36" t="str">
        <x:v>Offenbarung 20: neue textnahe WEISSER_THRON-Frage ohne unnötige Endzeit-Systemfestlegung freigegeben.</x:v>
      </x:c>
      <x:c r="AK1290" s="36" t="str">
        <x:v>FaithPath repo develop/v4 · data/bibles/l1912/REV.json · data/bibles/otb/REV.json</x:v>
      </x:c>
      <x:c r="AL1290" t="str">
        <x:v>JA</x:v>
      </x:c>
    </x:row>
    <x:row r="1291">
      <x:c r="A1291" t="str">
        <x:v>FP-1550</x:v>
      </x:c>
      <x:c r="B1291" t="str">
        <x:v>REV</x:v>
      </x:c>
      <x:c r="C1291" t="str">
        <x:v>Offenbarung</x:v>
      </x:c>
      <x:c r="D1291" t="n">
        <x:v>20</x:v>
      </x:c>
      <x:c r="E1291" t="n">
        <x:v>5</x:v>
      </x:c>
      <x:c r="F1291" t="str">
        <x:v>REV-020</x:v>
      </x:c>
      <x:c r="G1291" t="n">
        <x:v>258</x:v>
      </x:c>
      <x:c r="H1291" t="str">
        <x:v>CQ-A27</x:v>
      </x:c>
      <x:c r="I1291" s="36" t="str">
        <x:v>Bestandsfrage: exakter Wortlaut in diesem Arbeitsschritt nicht rekonstruiert.</x:v>
      </x:c>
      <x:c r="J1291" s="36"/>
      <x:c r="K1291" s="36"/>
      <x:c r="L1291" s="36" t="str">
        <x:v>MASTER_STATUS_VERIFIZIERT</x:v>
      </x:c>
      <x:c r="M1291" s="36" t="str">
        <x:v>ERSETZEN</x:v>
      </x:c>
      <x:c r="N1291" s="36" t="str">
        <x:v>BESTAND_NOCH_NICHT_GEPRÜFT</x:v>
      </x:c>
      <x:c r="O1291" s="36" t="str">
        <x:v>DIDAKTISCHE_NEUFASSUNG</x:v>
      </x:c>
      <x:c r="P1291" s="36" t="str">
        <x:v>ZWEITER_TOD</x:v>
      </x:c>
      <x:c r="Q1291" s="36" t="str">
        <x:v>Was bezeichnet Offenbarung 20 als den zweiten Tod?</x:v>
      </x:c>
      <x:c r="R1291" s="36" t="str">
        <x:v>Die erste Auferstehung.</x:v>
      </x:c>
      <x:c r="S1291" s="36" t="str">
        <x:v>Die Bindung Satans.</x:v>
      </x:c>
      <x:c r="T1291" s="36" t="str">
        <x:v>Das Verschwinden Babylons.</x:v>
      </x:c>
      <x:c r="U1291" s="36" t="str">
        <x:v>Den Feuersee, in den auch Tod und Totenreich geworfen werden.</x:v>
      </x:c>
      <x:c r="V1291" s="36" t="n">
        <x:v>3</x:v>
      </x:c>
      <x:c r="W1291" s="36" t="str">
        <x:v>Den Feuersee, in den auch Tod und Totenreich geworfen werden.</x:v>
      </x:c>
      <x:c r="X1291" s="36" t="str">
        <x:v>Offenbarung 20,14–15</x:v>
      </x:c>
      <x:c r="Y1291" s="36" t="str">
        <x:v>Der Text erklärt das Symbol selbst und verbindet es mit dem endgültigen Gericht.</x:v>
      </x:c>
      <x:c r="Z1291" s="36" t="str">
        <x:v>JA</x:v>
      </x:c>
      <x:c r="AA1291" s="36" t="str">
        <x:v>JA</x:v>
      </x:c>
      <x:c r="AB1291" s="36" t="str">
        <x:v>JA</x:v>
      </x:c>
      <x:c r="AC1291" s="36" t="str">
        <x:v>JA</x:v>
      </x:c>
      <x:c r="AD1291" s="36" t="str">
        <x:v>JA</x:v>
      </x:c>
      <x:c r="AE1291" s="36" t="str">
        <x:v>JA</x:v>
      </x:c>
      <x:c r="AF1291" s="36" t="str">
        <x:v>JA</x:v>
      </x:c>
      <x:c r="AG1291" s="36" t="str">
        <x:v>FREIGEGEBEN</x:v>
      </x:c>
      <x:c r="AH1291" s="36" t="str">
        <x:v>GPT-5.6 Sol · Buchprüfung Offenbarung · L1912/OTB</x:v>
      </x:c>
      <x:c r="AI1291" s="36" t="str">
        <x:v>FREIGEGEBEN</x:v>
      </x:c>
      <x:c r="AJ1291" s="36" t="str">
        <x:v>Offenbarung 20: neue textnahe ZWEITER_TOD-Frage ohne unnötige Endzeit-Systemfestlegung freigegeben.</x:v>
      </x:c>
      <x:c r="AK1291" s="36" t="str">
        <x:v>FaithPath repo develop/v4 · data/bibles/l1912/REV.json · data/bibles/otb/REV.json</x:v>
      </x:c>
      <x:c r="AL1291" t="str">
        <x:v>JA</x:v>
      </x:c>
    </x:row>
    <x:row r="1292">
      <x:c r="A1292" t="str">
        <x:v>FP-1551</x:v>
      </x:c>
      <x:c r="B1292" t="str">
        <x:v>REV</x:v>
      </x:c>
      <x:c r="C1292" t="str">
        <x:v>Offenbarung</x:v>
      </x:c>
      <x:c r="D1292" t="n">
        <x:v>21</x:v>
      </x:c>
      <x:c r="E1292" t="n">
        <x:v>1</x:v>
      </x:c>
      <x:c r="F1292" t="str">
        <x:v>REV-021</x:v>
      </x:c>
      <x:c r="G1292" t="n">
        <x:v>259</x:v>
      </x:c>
      <x:c r="H1292" t="str">
        <x:v>CQ-A27</x:v>
      </x:c>
      <x:c r="I1292" s="36" t="str">
        <x:v>Bestandsfrage: exakter Wortlaut in diesem Arbeitsschritt nicht rekonstruiert.</x:v>
      </x:c>
      <x:c r="J1292" s="36"/>
      <x:c r="K1292" s="36"/>
      <x:c r="L1292" s="36" t="str">
        <x:v>MASTER_STATUS_VERIFIZIERT</x:v>
      </x:c>
      <x:c r="M1292" s="36" t="str">
        <x:v>ERSETZEN</x:v>
      </x:c>
      <x:c r="N1292" s="36" t="str">
        <x:v>BESTAND_NOCH_NICHT_GEPRÜFT</x:v>
      </x:c>
      <x:c r="O1292" s="36" t="str">
        <x:v>DIDAKTISCHE_NEUFASSUNG</x:v>
      </x:c>
      <x:c r="P1292" s="36" t="str">
        <x:v>NEUE_SCHÖPFUNG</x:v>
      </x:c>
      <x:c r="Q1292" s="36" t="str">
        <x:v>Was sieht Johannes nach dem Gericht?</x:v>
      </x:c>
      <x:c r="R1292" s="36" t="str">
        <x:v>Einen neuen Himmel, eine neue Erde und das neue Jerusalem, das von Gott herabkommt.</x:v>
      </x:c>
      <x:c r="S1292" s="36" t="str">
        <x:v>Die Rückkehr Babylons.</x:v>
      </x:c>
      <x:c r="T1292" s="36" t="str">
        <x:v>Einen wiederhergestellten Thron des Tieres.</x:v>
      </x:c>
      <x:c r="U1292" s="36" t="str">
        <x:v>Nur eine erneuerte Insel Patmos.</x:v>
      </x:c>
      <x:c r="V1292" s="36" t="n">
        <x:v>0</x:v>
      </x:c>
      <x:c r="W1292" s="36" t="str">
        <x:v>Einen neuen Himmel, eine neue Erde und das neue Jerusalem, das von Gott herabkommt.</x:v>
      </x:c>
      <x:c r="X1292" s="36" t="str">
        <x:v>Offenbarung 21,1–2</x:v>
      </x:c>
      <x:c r="Y1292" s="36" t="str">
        <x:v>Die abschließenden Kapitel wechseln vom Gericht zur Vision der erneuerten Schöpfung und der heiligen Stadt.</x:v>
      </x:c>
      <x:c r="Z1292" s="36" t="str">
        <x:v>JA</x:v>
      </x:c>
      <x:c r="AA1292" s="36" t="str">
        <x:v>JA</x:v>
      </x:c>
      <x:c r="AB1292" s="36" t="str">
        <x:v>JA</x:v>
      </x:c>
      <x:c r="AC1292" s="36" t="str">
        <x:v>JA</x:v>
      </x:c>
      <x:c r="AD1292" s="36" t="str">
        <x:v>JA</x:v>
      </x:c>
      <x:c r="AE1292" s="36" t="str">
        <x:v>JA</x:v>
      </x:c>
      <x:c r="AF1292" s="36" t="str">
        <x:v>JA</x:v>
      </x:c>
      <x:c r="AG1292" s="36" t="str">
        <x:v>FREIGEGEBEN</x:v>
      </x:c>
      <x:c r="AH1292" s="36" t="str">
        <x:v>GPT-5.6 Sol · Buchprüfung Offenbarung · L1912/OTB</x:v>
      </x:c>
      <x:c r="AI1292" s="36" t="str">
        <x:v>FREIGEGEBEN</x:v>
      </x:c>
      <x:c r="AJ1292" s="36" t="str">
        <x:v>Offenbarung 21: neue textnahe NEUE_SCHÖPFUNG-Frage ohne unnötige Endzeit-Systemfestlegung freigegeben.</x:v>
      </x:c>
      <x:c r="AK1292" s="36" t="str">
        <x:v>FaithPath repo develop/v4 · data/bibles/l1912/REV.json · data/bibles/otb/REV.json</x:v>
      </x:c>
      <x:c r="AL1292" t="str">
        <x:v>JA</x:v>
      </x:c>
    </x:row>
    <x:row r="1293">
      <x:c r="A1293" t="str">
        <x:v>FP-1552</x:v>
      </x:c>
      <x:c r="B1293" t="str">
        <x:v>REV</x:v>
      </x:c>
      <x:c r="C1293" t="str">
        <x:v>Offenbarung</x:v>
      </x:c>
      <x:c r="D1293" t="n">
        <x:v>21</x:v>
      </x:c>
      <x:c r="E1293" t="n">
        <x:v>2</x:v>
      </x:c>
      <x:c r="F1293" t="str">
        <x:v>REV-021</x:v>
      </x:c>
      <x:c r="G1293" t="n">
        <x:v>259</x:v>
      </x:c>
      <x:c r="H1293" t="str">
        <x:v>CQ-A27</x:v>
      </x:c>
      <x:c r="I1293" s="36" t="str">
        <x:v>Bestandsfrage: exakter Wortlaut in diesem Arbeitsschritt nicht rekonstruiert.</x:v>
      </x:c>
      <x:c r="J1293" s="36"/>
      <x:c r="K1293" s="36"/>
      <x:c r="L1293" s="36" t="str">
        <x:v>MASTER_STATUS_VERIFIZIERT</x:v>
      </x:c>
      <x:c r="M1293" s="36" t="str">
        <x:v>ERSETZEN</x:v>
      </x:c>
      <x:c r="N1293" s="36" t="str">
        <x:v>BESTAND_NOCH_NICHT_GEPRÜFT</x:v>
      </x:c>
      <x:c r="O1293" s="36" t="str">
        <x:v>DIDAKTISCHE_NEUFASSUNG</x:v>
      </x:c>
      <x:c r="P1293" s="36" t="str">
        <x:v>GOTT_BEI_DEN_MENSCHEN</x:v>
      </x:c>
      <x:c r="Q1293" s="36" t="str">
        <x:v>Welche zentrale Verheißung wird vom Thron über Gottes Beziehung zu den Menschen ausgesprochen?</x:v>
      </x:c>
      <x:c r="R1293" s="36" t="str">
        <x:v>Gott bleibt für immer unzugänglich.</x:v>
      </x:c>
      <x:c r="S1293" s="36" t="str">
        <x:v>Gott wird bei ihnen wohnen, sie werden sein Volk sein, und er wird jede Träne abwischen.</x:v>
      </x:c>
      <x:c r="T1293" s="36" t="str">
        <x:v>Tod und Schmerz werden nur seltener.</x:v>
      </x:c>
      <x:c r="U1293" s="36" t="str">
        <x:v>Nur Engel dürfen in Gottes Gegenwart leben.</x:v>
      </x:c>
      <x:c r="V1293" s="36" t="n">
        <x:v>1</x:v>
      </x:c>
      <x:c r="W1293" s="36" t="str">
        <x:v>Gott wird bei ihnen wohnen, sie werden sein Volk sein, und er wird jede Träne abwischen.</x:v>
      </x:c>
      <x:c r="X1293" s="36" t="str">
        <x:v>Offenbarung 21,3–4</x:v>
      </x:c>
      <x:c r="Y1293" s="36" t="str">
        <x:v>Die Hoffnung gipfelt in Gottes unmittelbarer Gegenwart und im Ende von Tod, Trauer, Geschrei und Schmerz.</x:v>
      </x:c>
      <x:c r="Z1293" s="36" t="str">
        <x:v>JA</x:v>
      </x:c>
      <x:c r="AA1293" s="36" t="str">
        <x:v>JA</x:v>
      </x:c>
      <x:c r="AB1293" s="36" t="str">
        <x:v>JA</x:v>
      </x:c>
      <x:c r="AC1293" s="36" t="str">
        <x:v>JA</x:v>
      </x:c>
      <x:c r="AD1293" s="36" t="str">
        <x:v>JA</x:v>
      </x:c>
      <x:c r="AE1293" s="36" t="str">
        <x:v>JA</x:v>
      </x:c>
      <x:c r="AF1293" s="36" t="str">
        <x:v>JA</x:v>
      </x:c>
      <x:c r="AG1293" s="36" t="str">
        <x:v>FREIGEGEBEN</x:v>
      </x:c>
      <x:c r="AH1293" s="36" t="str">
        <x:v>GPT-5.6 Sol · Buchprüfung Offenbarung · L1912/OTB</x:v>
      </x:c>
      <x:c r="AI1293" s="36" t="str">
        <x:v>FREIGEGEBEN</x:v>
      </x:c>
      <x:c r="AJ1293" s="36" t="str">
        <x:v>Offenbarung 21: neue textnahe GOTT_BEI_DEN_MENSCHEN-Frage ohne unnötige Endzeit-Systemfestlegung freigegeben.</x:v>
      </x:c>
      <x:c r="AK1293" s="36" t="str">
        <x:v>FaithPath repo develop/v4 · data/bibles/l1912/REV.json · data/bibles/otb/REV.json</x:v>
      </x:c>
      <x:c r="AL1293" t="str">
        <x:v>JA</x:v>
      </x:c>
    </x:row>
    <x:row r="1294">
      <x:c r="A1294" t="str">
        <x:v>FP-1553</x:v>
      </x:c>
      <x:c r="B1294" t="str">
        <x:v>REV</x:v>
      </x:c>
      <x:c r="C1294" t="str">
        <x:v>Offenbarung</x:v>
      </x:c>
      <x:c r="D1294" t="n">
        <x:v>21</x:v>
      </x:c>
      <x:c r="E1294" t="n">
        <x:v>3</x:v>
      </x:c>
      <x:c r="F1294" t="str">
        <x:v>REV-021</x:v>
      </x:c>
      <x:c r="G1294" t="n">
        <x:v>259</x:v>
      </x:c>
      <x:c r="H1294" t="str">
        <x:v>CQ-A27</x:v>
      </x:c>
      <x:c r="I1294" s="36" t="str">
        <x:v>Bestandsfrage: exakter Wortlaut in diesem Arbeitsschritt nicht rekonstruiert.</x:v>
      </x:c>
      <x:c r="J1294" s="36"/>
      <x:c r="K1294" s="36"/>
      <x:c r="L1294" s="36" t="str">
        <x:v>MASTER_STATUS_VERIFIZIERT</x:v>
      </x:c>
      <x:c r="M1294" s="36" t="str">
        <x:v>ERSETZEN</x:v>
      </x:c>
      <x:c r="N1294" s="36" t="str">
        <x:v>BESTAND_NOCH_NICHT_GEPRÜFT</x:v>
      </x:c>
      <x:c r="O1294" s="36" t="str">
        <x:v>DIDAKTISCHE_NEUFASSUNG</x:v>
      </x:c>
      <x:c r="P1294" s="36" t="str">
        <x:v>ALLES_NEU</x:v>
      </x:c>
      <x:c r="Q1294" s="36" t="str">
        <x:v>Was sagt der auf dem Thron Sitzende über die Zukunft?</x:v>
      </x:c>
      <x:c r="R1294" s="36" t="str">
        <x:v>Siehe, ich lasse alles unverändert.</x:v>
      </x:c>
      <x:c r="S1294" s="36" t="str">
        <x:v>Siehe, Babylon wird wieder aufgebaut.</x:v>
      </x:c>
      <x:c r="T1294" s="36" t="str">
        <x:v>Siehe, ich mache alles neu.</x:v>
      </x:c>
      <x:c r="U1294" s="36" t="str">
        <x:v>Siehe, das Tier erhält einen neuen Thron.</x:v>
      </x:c>
      <x:c r="V1294" s="36" t="n">
        <x:v>2</x:v>
      </x:c>
      <x:c r="W1294" s="36" t="str">
        <x:v>Siehe, ich mache alles neu.</x:v>
      </x:c>
      <x:c r="X1294" s="36" t="str">
        <x:v>Offenbarung 21,5–7</x:v>
      </x:c>
      <x:c r="Y1294" s="36" t="str">
        <x:v>Die Erneuerung wird mit Gottes Verlässlichkeit und der kostenlosen Gabe des Wassers des Lebens verbunden.</x:v>
      </x:c>
      <x:c r="Z1294" s="36" t="str">
        <x:v>JA</x:v>
      </x:c>
      <x:c r="AA1294" s="36" t="str">
        <x:v>JA</x:v>
      </x:c>
      <x:c r="AB1294" s="36" t="str">
        <x:v>JA</x:v>
      </x:c>
      <x:c r="AC1294" s="36" t="str">
        <x:v>JA</x:v>
      </x:c>
      <x:c r="AD1294" s="36" t="str">
        <x:v>JA</x:v>
      </x:c>
      <x:c r="AE1294" s="36" t="str">
        <x:v>JA</x:v>
      </x:c>
      <x:c r="AF1294" s="36" t="str">
        <x:v>JA</x:v>
      </x:c>
      <x:c r="AG1294" s="36" t="str">
        <x:v>FREIGEGEBEN</x:v>
      </x:c>
      <x:c r="AH1294" s="36" t="str">
        <x:v>GPT-5.6 Sol · Buchprüfung Offenbarung · L1912/OTB</x:v>
      </x:c>
      <x:c r="AI1294" s="36" t="str">
        <x:v>FREIGEGEBEN</x:v>
      </x:c>
      <x:c r="AJ1294" s="36" t="str">
        <x:v>Offenbarung 21: neue textnahe ALLES_NEU-Frage ohne unnötige Endzeit-Systemfestlegung freigegeben.</x:v>
      </x:c>
      <x:c r="AK1294" s="36" t="str">
        <x:v>FaithPath repo develop/v4 · data/bibles/l1912/REV.json · data/bibles/otb/REV.json</x:v>
      </x:c>
      <x:c r="AL1294" t="str">
        <x:v>JA</x:v>
      </x:c>
    </x:row>
    <x:row r="1295">
      <x:c r="A1295" t="str">
        <x:v>FP-1554</x:v>
      </x:c>
      <x:c r="B1295" t="str">
        <x:v>REV</x:v>
      </x:c>
      <x:c r="C1295" t="str">
        <x:v>Offenbarung</x:v>
      </x:c>
      <x:c r="D1295" t="n">
        <x:v>21</x:v>
      </x:c>
      <x:c r="E1295" t="n">
        <x:v>4</x:v>
      </x:c>
      <x:c r="F1295" t="str">
        <x:v>REV-021</x:v>
      </x:c>
      <x:c r="G1295" t="n">
        <x:v>259</x:v>
      </x:c>
      <x:c r="H1295" t="str">
        <x:v>CQ-A27</x:v>
      </x:c>
      <x:c r="I1295" s="36" t="str">
        <x:v>Bestandsfrage: exakter Wortlaut in diesem Arbeitsschritt nicht rekonstruiert.</x:v>
      </x:c>
      <x:c r="J1295" s="36"/>
      <x:c r="K1295" s="36"/>
      <x:c r="L1295" s="36" t="str">
        <x:v>MASTER_STATUS_VERIFIZIERT</x:v>
      </x:c>
      <x:c r="M1295" s="36" t="str">
        <x:v>ERSETZEN</x:v>
      </x:c>
      <x:c r="N1295" s="36" t="str">
        <x:v>BESTAND_NOCH_NICHT_GEPRÜFT</x:v>
      </x:c>
      <x:c r="O1295" s="36" t="str">
        <x:v>DIDAKTISCHE_NEUFASSUNG</x:v>
      </x:c>
      <x:c r="P1295" s="36" t="str">
        <x:v>STADT</x:v>
      </x:c>
      <x:c r="Q1295" s="36" t="str">
        <x:v>Welche Verbindung von Israel und den Aposteln zeigt die Architektur des neuen Jerusalems?</x:v>
      </x:c>
      <x:c r="R1295" s="36" t="str">
        <x:v>Tore und Grundsteine tragen nur Namen römischer Kaiser.</x:v>
      </x:c>
      <x:c r="S1295" s="36" t="str">
        <x:v>Alle Tore tragen Namen der sieben Gemeinden.</x:v>
      </x:c>
      <x:c r="T1295" s="36" t="str">
        <x:v>Die Stadt hat weder Tore noch Grundsteine.</x:v>
      </x:c>
      <x:c r="U1295" s="36" t="str">
        <x:v>Die zwölf Tore tragen Namen der Stämme Israels, die zwölf Grundsteine Namen der Apostel des Lammes.</x:v>
      </x:c>
      <x:c r="V1295" s="36" t="n">
        <x:v>3</x:v>
      </x:c>
      <x:c r="W1295" s="36" t="str">
        <x:v>Die zwölf Tore tragen Namen der Stämme Israels, die zwölf Grundsteine Namen der Apostel des Lammes.</x:v>
      </x:c>
      <x:c r="X1295" s="36" t="str">
        <x:v>Offenbarung 21,9–21</x:v>
      </x:c>
      <x:c r="Y1295" s="36" t="str">
        <x:v>Die Symbolik der Stadt verbindet die Geschichte des Volkes Gottes in zwölf Stämmen und zwölf Aposteln.</x:v>
      </x:c>
      <x:c r="Z1295" s="36" t="str">
        <x:v>JA</x:v>
      </x:c>
      <x:c r="AA1295" s="36" t="str">
        <x:v>JA</x:v>
      </x:c>
      <x:c r="AB1295" s="36" t="str">
        <x:v>JA</x:v>
      </x:c>
      <x:c r="AC1295" s="36" t="str">
        <x:v>JA</x:v>
      </x:c>
      <x:c r="AD1295" s="36" t="str">
        <x:v>JA</x:v>
      </x:c>
      <x:c r="AE1295" s="36" t="str">
        <x:v>JA</x:v>
      </x:c>
      <x:c r="AF1295" s="36" t="str">
        <x:v>JA</x:v>
      </x:c>
      <x:c r="AG1295" s="36" t="str">
        <x:v>FREIGEGEBEN</x:v>
      </x:c>
      <x:c r="AH1295" s="36" t="str">
        <x:v>GPT-5.6 Sol · Buchprüfung Offenbarung · L1912/OTB</x:v>
      </x:c>
      <x:c r="AI1295" s="36" t="str">
        <x:v>FREIGEGEBEN</x:v>
      </x:c>
      <x:c r="AJ1295" s="36" t="str">
        <x:v>Offenbarung 21: neue textnahe STADT-Frage ohne unnötige Endzeit-Systemfestlegung freigegeben.</x:v>
      </x:c>
      <x:c r="AK1295" s="36" t="str">
        <x:v>FaithPath repo develop/v4 · data/bibles/l1912/REV.json · data/bibles/otb/REV.json</x:v>
      </x:c>
      <x:c r="AL1295" t="str">
        <x:v>JA</x:v>
      </x:c>
    </x:row>
    <x:row r="1296">
      <x:c r="A1296" t="str">
        <x:v>FP-1555</x:v>
      </x:c>
      <x:c r="B1296" t="str">
        <x:v>REV</x:v>
      </x:c>
      <x:c r="C1296" t="str">
        <x:v>Offenbarung</x:v>
      </x:c>
      <x:c r="D1296" t="n">
        <x:v>21</x:v>
      </x:c>
      <x:c r="E1296" t="n">
        <x:v>5</x:v>
      </x:c>
      <x:c r="F1296" t="str">
        <x:v>REV-021</x:v>
      </x:c>
      <x:c r="G1296" t="n">
        <x:v>259</x:v>
      </x:c>
      <x:c r="H1296" t="str">
        <x:v>CQ-A27</x:v>
      </x:c>
      <x:c r="I1296" s="36" t="str">
        <x:v>Bestandsfrage: exakter Wortlaut in diesem Arbeitsschritt nicht rekonstruiert.</x:v>
      </x:c>
      <x:c r="J1296" s="36"/>
      <x:c r="K1296" s="36"/>
      <x:c r="L1296" s="36" t="str">
        <x:v>MASTER_STATUS_VERIFIZIERT</x:v>
      </x:c>
      <x:c r="M1296" s="36" t="str">
        <x:v>ERSETZEN</x:v>
      </x:c>
      <x:c r="N1296" s="36" t="str">
        <x:v>BESTAND_NOCH_NICHT_GEPRÜFT</x:v>
      </x:c>
      <x:c r="O1296" s="36" t="str">
        <x:v>DIDAKTISCHE_NEUFASSUNG</x:v>
      </x:c>
      <x:c r="P1296" s="36" t="str">
        <x:v>TEMPEL_UND_LICHT</x:v>
      </x:c>
      <x:c r="Q1296" s="36" t="str">
        <x:v>Warum braucht die Stadt weder einen Tempel noch Sonne und Mond als Lichtquelle?</x:v>
      </x:c>
      <x:c r="R1296" s="36" t="str">
        <x:v>Gott und das Lamm sind ihr Tempel, und Gottes Herrlichkeit mit dem Lamm als Leuchte erhellt sie.</x:v>
      </x:c>
      <x:c r="S1296" s="36" t="str">
        <x:v>Weil die Stadt dauerhaft dunkel bleibt.</x:v>
      </x:c>
      <x:c r="T1296" s="36" t="str">
        <x:v>Weil Engel den Tempel ersetzen.</x:v>
      </x:c>
      <x:c r="U1296" s="36" t="str">
        <x:v>Weil die Stadt außerhalb von Gottes Gegenwart liegt.</x:v>
      </x:c>
      <x:c r="V1296" s="36" t="n">
        <x:v>0</x:v>
      </x:c>
      <x:c r="W1296" s="36" t="str">
        <x:v>Gott und das Lamm sind ihr Tempel, und Gottes Herrlichkeit mit dem Lamm als Leuchte erhellt sie.</x:v>
      </x:c>
      <x:c r="X1296" s="36" t="str">
        <x:v>Offenbarung 21,22–27</x:v>
      </x:c>
      <x:c r="Y1296" s="36" t="str">
        <x:v>Die Vision beschreibt unmittelbare Gottesgegenwart; zugleich wird betont, dass nichts Unreines hineinkommt, sondern nur die im Lebensbuch des Lammes stehen.</x:v>
      </x:c>
      <x:c r="Z1296" s="36" t="str">
        <x:v>JA</x:v>
      </x:c>
      <x:c r="AA1296" s="36" t="str">
        <x:v>JA</x:v>
      </x:c>
      <x:c r="AB1296" s="36" t="str">
        <x:v>JA</x:v>
      </x:c>
      <x:c r="AC1296" s="36" t="str">
        <x:v>JA</x:v>
      </x:c>
      <x:c r="AD1296" s="36" t="str">
        <x:v>JA</x:v>
      </x:c>
      <x:c r="AE1296" s="36" t="str">
        <x:v>JA</x:v>
      </x:c>
      <x:c r="AF1296" s="36" t="str">
        <x:v>JA</x:v>
      </x:c>
      <x:c r="AG1296" s="36" t="str">
        <x:v>FREIGEGEBEN</x:v>
      </x:c>
      <x:c r="AH1296" s="36" t="str">
        <x:v>GPT-5.6 Sol · Buchprüfung Offenbarung · L1912/OTB</x:v>
      </x:c>
      <x:c r="AI1296" s="36" t="str">
        <x:v>FREIGEGEBEN</x:v>
      </x:c>
      <x:c r="AJ1296" s="36" t="str">
        <x:v>Offenbarung 21: neue textnahe TEMPEL_UND_LICHT-Frage ohne unnötige Endzeit-Systemfestlegung freigegeben.</x:v>
      </x:c>
      <x:c r="AK1296" s="36" t="str">
        <x:v>FaithPath repo develop/v4 · data/bibles/l1912/REV.json · data/bibles/otb/REV.json</x:v>
      </x:c>
      <x:c r="AL1296" t="str">
        <x:v>JA</x:v>
      </x:c>
    </x:row>
    <x:row r="1297">
      <x:c r="A1297" t="str">
        <x:v>FP-1556</x:v>
      </x:c>
      <x:c r="B1297" t="str">
        <x:v>REV</x:v>
      </x:c>
      <x:c r="C1297" t="str">
        <x:v>Offenbarung</x:v>
      </x:c>
      <x:c r="D1297" t="n">
        <x:v>22</x:v>
      </x:c>
      <x:c r="E1297" t="n">
        <x:v>1</x:v>
      </x:c>
      <x:c r="F1297" t="str">
        <x:v>REV-022</x:v>
      </x:c>
      <x:c r="G1297" t="n">
        <x:v>260</x:v>
      </x:c>
      <x:c r="H1297" t="str">
        <x:v>CQ-A27</x:v>
      </x:c>
      <x:c r="I1297" s="36" t="str">
        <x:v>Bestandsfrage: exakter Wortlaut in diesem Arbeitsschritt nicht rekonstruiert.</x:v>
      </x:c>
      <x:c r="J1297" s="36"/>
      <x:c r="K1297" s="36"/>
      <x:c r="L1297" s="36" t="str">
        <x:v>MASTER_STATUS_VERIFIZIERT</x:v>
      </x:c>
      <x:c r="M1297" s="36" t="str">
        <x:v>ERSETZEN</x:v>
      </x:c>
      <x:c r="N1297" s="36" t="str">
        <x:v>BESTAND_NOCH_NICHT_GEPRÜFT</x:v>
      </x:c>
      <x:c r="O1297" s="36" t="str">
        <x:v>DIDAKTISCHE_NEUFASSUNG</x:v>
      </x:c>
      <x:c r="P1297" s="36" t="str">
        <x:v>WASSER_UND_BAUM</x:v>
      </x:c>
      <x:c r="Q1297" s="36" t="str">
        <x:v>Was sieht Johannes am Strom des Wassers des Lebens?</x:v>
      </x:c>
      <x:c r="R1297" s="36" t="str">
        <x:v>Den Baum der Erkenntnis mit verbotenen Früchten.</x:v>
      </x:c>
      <x:c r="S1297" s="36" t="str">
        <x:v>Den Baum des Lebens, der regelmäßig Frucht trägt und dessen Blätter der Heilung der Völker dienen.</x:v>
      </x:c>
      <x:c r="T1297" s="36" t="str">
        <x:v>Die sieben Leuchter aus Kapitel 1.</x:v>
      </x:c>
      <x:c r="U1297" s="36" t="str">
        <x:v>Den Thron des Tieres.</x:v>
      </x:c>
      <x:c r="V1297" s="36" t="n">
        <x:v>1</x:v>
      </x:c>
      <x:c r="W1297" s="36" t="str">
        <x:v>Den Baum des Lebens, der regelmäßig Frucht trägt und dessen Blätter der Heilung der Völker dienen.</x:v>
      </x:c>
      <x:c r="X1297" s="36" t="str">
        <x:v>Offenbarung 22,1–2</x:v>
      </x:c>
      <x:c r="Y1297" s="36" t="str">
        <x:v>Der Schluss greift Eden-Motive auf und beschreibt Leben, Fruchtbarkeit und Heilung.</x:v>
      </x:c>
      <x:c r="Z1297" s="36" t="str">
        <x:v>JA</x:v>
      </x:c>
      <x:c r="AA1297" s="36" t="str">
        <x:v>JA</x:v>
      </x:c>
      <x:c r="AB1297" s="36" t="str">
        <x:v>JA</x:v>
      </x:c>
      <x:c r="AC1297" s="36" t="str">
        <x:v>JA</x:v>
      </x:c>
      <x:c r="AD1297" s="36" t="str">
        <x:v>JA</x:v>
      </x:c>
      <x:c r="AE1297" s="36" t="str">
        <x:v>JA</x:v>
      </x:c>
      <x:c r="AF1297" s="36" t="str">
        <x:v>JA</x:v>
      </x:c>
      <x:c r="AG1297" s="36" t="str">
        <x:v>FREIGEGEBEN</x:v>
      </x:c>
      <x:c r="AH1297" s="36" t="str">
        <x:v>GPT-5.6 Sol · Buchprüfung Offenbarung · L1912/OTB</x:v>
      </x:c>
      <x:c r="AI1297" s="36" t="str">
        <x:v>FREIGEGEBEN</x:v>
      </x:c>
      <x:c r="AJ1297" s="36" t="str">
        <x:v>Offenbarung 22: neue textnahe WASSER_UND_BAUM-Frage ohne unnötige Endzeit-Systemfestlegung freigegeben.</x:v>
      </x:c>
      <x:c r="AK1297" s="36" t="str">
        <x:v>FaithPath repo develop/v4 · data/bibles/l1912/REV.json · data/bibles/otb/REV.json</x:v>
      </x:c>
      <x:c r="AL1297" t="str">
        <x:v>JA</x:v>
      </x:c>
    </x:row>
    <x:row r="1298">
      <x:c r="A1298" t="str">
        <x:v>FP-1557</x:v>
      </x:c>
      <x:c r="B1298" t="str">
        <x:v>REV</x:v>
      </x:c>
      <x:c r="C1298" t="str">
        <x:v>Offenbarung</x:v>
      </x:c>
      <x:c r="D1298" t="n">
        <x:v>22</x:v>
      </x:c>
      <x:c r="E1298" t="n">
        <x:v>2</x:v>
      </x:c>
      <x:c r="F1298" t="str">
        <x:v>REV-022</x:v>
      </x:c>
      <x:c r="G1298" t="n">
        <x:v>260</x:v>
      </x:c>
      <x:c r="H1298" t="str">
        <x:v>CQ-A27</x:v>
      </x:c>
      <x:c r="I1298" s="36" t="str">
        <x:v>Bestandsfrage: exakter Wortlaut in diesem Arbeitsschritt nicht rekonstruiert.</x:v>
      </x:c>
      <x:c r="J1298" s="36"/>
      <x:c r="K1298" s="36"/>
      <x:c r="L1298" s="36" t="str">
        <x:v>MASTER_STATUS_VERIFIZIERT</x:v>
      </x:c>
      <x:c r="M1298" s="36" t="str">
        <x:v>ERSETZEN</x:v>
      </x:c>
      <x:c r="N1298" s="36" t="str">
        <x:v>BESTAND_NOCH_NICHT_GEPRÜFT</x:v>
      </x:c>
      <x:c r="O1298" s="36" t="str">
        <x:v>DIDAKTISCHE_NEUFASSUNG</x:v>
      </x:c>
      <x:c r="P1298" s="36" t="str">
        <x:v>KEIN_FLUCH</x:v>
      </x:c>
      <x:c r="Q1298" s="36" t="str">
        <x:v>Welche Zustände kennzeichnen die Stadt in Offenbarung 22?</x:v>
      </x:c>
      <x:c r="R1298" s="36" t="str">
        <x:v>Der Fluch bleibt bestehen und Gottes Angesicht bleibt verborgen.</x:v>
      </x:c>
      <x:c r="S1298" s="36" t="str">
        <x:v>Die Nacht herrscht dauerhaft.</x:v>
      </x:c>
      <x:c r="T1298" s="36" t="str">
        <x:v>Kein Fluch mehr, Gottes Thron ist dort, seine Diener sehen sein Angesicht und Gott selbst ist ihr Licht.</x:v>
      </x:c>
      <x:c r="U1298" s="36" t="str">
        <x:v>Das Lamm verlässt die Stadt.</x:v>
      </x:c>
      <x:c r="V1298" s="36" t="n">
        <x:v>2</x:v>
      </x:c>
      <x:c r="W1298" s="36" t="str">
        <x:v>Kein Fluch mehr, Gottes Thron ist dort, seine Diener sehen sein Angesicht und Gott selbst ist ihr Licht.</x:v>
      </x:c>
      <x:c r="X1298" s="36" t="str">
        <x:v>Offenbarung 22,3–5</x:v>
      </x:c>
      <x:c r="Y1298" s="36" t="str">
        <x:v>Die Vision endet mit unmittelbarer Gottesnähe, aufgehobenem Fluch und ewiger Herrschaft.</x:v>
      </x:c>
      <x:c r="Z1298" s="36" t="str">
        <x:v>JA</x:v>
      </x:c>
      <x:c r="AA1298" s="36" t="str">
        <x:v>JA</x:v>
      </x:c>
      <x:c r="AB1298" s="36" t="str">
        <x:v>JA</x:v>
      </x:c>
      <x:c r="AC1298" s="36" t="str">
        <x:v>JA</x:v>
      </x:c>
      <x:c r="AD1298" s="36" t="str">
        <x:v>JA</x:v>
      </x:c>
      <x:c r="AE1298" s="36" t="str">
        <x:v>JA</x:v>
      </x:c>
      <x:c r="AF1298" s="36" t="str">
        <x:v>JA</x:v>
      </x:c>
      <x:c r="AG1298" s="36" t="str">
        <x:v>FREIGEGEBEN</x:v>
      </x:c>
      <x:c r="AH1298" s="36" t="str">
        <x:v>GPT-5.6 Sol · Buchprüfung Offenbarung · L1912/OTB</x:v>
      </x:c>
      <x:c r="AI1298" s="36" t="str">
        <x:v>FREIGEGEBEN</x:v>
      </x:c>
      <x:c r="AJ1298" s="36" t="str">
        <x:v>Offenbarung 22: neue textnahe KEIN_FLUCH-Frage ohne unnötige Endzeit-Systemfestlegung freigegeben.</x:v>
      </x:c>
      <x:c r="AK1298" s="36" t="str">
        <x:v>FaithPath repo develop/v4 · data/bibles/l1912/REV.json · data/bibles/otb/REV.json</x:v>
      </x:c>
      <x:c r="AL1298" t="str">
        <x:v>JA</x:v>
      </x:c>
    </x:row>
    <x:row r="1299">
      <x:c r="A1299" t="str">
        <x:v>FP-1558</x:v>
      </x:c>
      <x:c r="B1299" t="str">
        <x:v>REV</x:v>
      </x:c>
      <x:c r="C1299" t="str">
        <x:v>Offenbarung</x:v>
      </x:c>
      <x:c r="D1299" t="n">
        <x:v>22</x:v>
      </x:c>
      <x:c r="E1299" t="n">
        <x:v>3</x:v>
      </x:c>
      <x:c r="F1299" t="str">
        <x:v>REV-022</x:v>
      </x:c>
      <x:c r="G1299" t="n">
        <x:v>260</x:v>
      </x:c>
      <x:c r="H1299" t="str">
        <x:v>CQ-A27</x:v>
      </x:c>
      <x:c r="I1299" s="36" t="str">
        <x:v>Bestandsfrage: exakter Wortlaut in diesem Arbeitsschritt nicht rekonstruiert.</x:v>
      </x:c>
      <x:c r="J1299" s="36"/>
      <x:c r="K1299" s="36"/>
      <x:c r="L1299" s="36" t="str">
        <x:v>MASTER_STATUS_VERIFIZIERT</x:v>
      </x:c>
      <x:c r="M1299" s="36" t="str">
        <x:v>ERSETZEN</x:v>
      </x:c>
      <x:c r="N1299" s="36" t="str">
        <x:v>BESTAND_NOCH_NICHT_GEPRÜFT</x:v>
      </x:c>
      <x:c r="O1299" s="36" t="str">
        <x:v>DIDAKTISCHE_NEUFASSUNG</x:v>
      </x:c>
      <x:c r="P1299" s="36" t="str">
        <x:v>ANBETUNG</x:v>
      </x:c>
      <x:c r="Q1299" s="36" t="str">
        <x:v>Was sagt der Engel erneut, als Johannes vor ihm niederfallen will?</x:v>
      </x:c>
      <x:c r="R1299" s="36" t="str">
        <x:v>Bete mich an, weil ich die Vision gezeigt habe.</x:v>
      </x:c>
      <x:c r="S1299" s="36" t="str">
        <x:v>Bete die sieben Engel gemeinsam an.</x:v>
      </x:c>
      <x:c r="T1299" s="36" t="str">
        <x:v>Anbetung ist jetzt nicht mehr nötig.</x:v>
      </x:c>
      <x:c r="U1299" s="36" t="str">
        <x:v>Tu das nicht – bete Gott an.</x:v>
      </x:c>
      <x:c r="V1299" s="36" t="n">
        <x:v>3</x:v>
      </x:c>
      <x:c r="W1299" s="36" t="str">
        <x:v>Tu das nicht – bete Gott an.</x:v>
      </x:c>
      <x:c r="X1299" s="36" t="str">
        <x:v>Offenbarung 22,8–9</x:v>
      </x:c>
      <x:c r="Y1299" s="36" t="str">
        <x:v>Wie bereits in Kapitel 19 wird Engelverehrung ausdrücklich zurückgewiesen.</x:v>
      </x:c>
      <x:c r="Z1299" s="36" t="str">
        <x:v>JA</x:v>
      </x:c>
      <x:c r="AA1299" s="36" t="str">
        <x:v>JA</x:v>
      </x:c>
      <x:c r="AB1299" s="36" t="str">
        <x:v>JA</x:v>
      </x:c>
      <x:c r="AC1299" s="36" t="str">
        <x:v>JA</x:v>
      </x:c>
      <x:c r="AD1299" s="36" t="str">
        <x:v>JA</x:v>
      </x:c>
      <x:c r="AE1299" s="36" t="str">
        <x:v>JA</x:v>
      </x:c>
      <x:c r="AF1299" s="36" t="str">
        <x:v>JA</x:v>
      </x:c>
      <x:c r="AG1299" s="36" t="str">
        <x:v>FREIGEGEBEN</x:v>
      </x:c>
      <x:c r="AH1299" s="36" t="str">
        <x:v>GPT-5.6 Sol · Buchprüfung Offenbarung · L1912/OTB</x:v>
      </x:c>
      <x:c r="AI1299" s="36" t="str">
        <x:v>FREIGEGEBEN</x:v>
      </x:c>
      <x:c r="AJ1299" s="36" t="str">
        <x:v>Offenbarung 22: neue textnahe ANBETUNG-Frage ohne unnötige Endzeit-Systemfestlegung freigegeben.</x:v>
      </x:c>
      <x:c r="AK1299" s="36" t="str">
        <x:v>FaithPath repo develop/v4 · data/bibles/l1912/REV.json · data/bibles/otb/REV.json</x:v>
      </x:c>
      <x:c r="AL1299" t="str">
        <x:v>JA</x:v>
      </x:c>
    </x:row>
    <x:row r="1300">
      <x:c r="A1300" t="str">
        <x:v>FP-1559</x:v>
      </x:c>
      <x:c r="B1300" t="str">
        <x:v>REV</x:v>
      </x:c>
      <x:c r="C1300" t="str">
        <x:v>Offenbarung</x:v>
      </x:c>
      <x:c r="D1300" t="n">
        <x:v>22</x:v>
      </x:c>
      <x:c r="E1300" t="n">
        <x:v>4</x:v>
      </x:c>
      <x:c r="F1300" t="str">
        <x:v>REV-022</x:v>
      </x:c>
      <x:c r="G1300" t="n">
        <x:v>260</x:v>
      </x:c>
      <x:c r="H1300" t="str">
        <x:v>CQ-A27</x:v>
      </x:c>
      <x:c r="I1300" s="36" t="str">
        <x:v>Bestandsfrage: exakter Wortlaut in diesem Arbeitsschritt nicht rekonstruiert.</x:v>
      </x:c>
      <x:c r="J1300" s="36"/>
      <x:c r="K1300" s="36"/>
      <x:c r="L1300" s="36" t="str">
        <x:v>MASTER_STATUS_VERIFIZIERT</x:v>
      </x:c>
      <x:c r="M1300" s="36" t="str">
        <x:v>ERSETZEN</x:v>
      </x:c>
      <x:c r="N1300" s="36" t="str">
        <x:v>BESTAND_NOCH_NICHT_GEPRÜFT</x:v>
      </x:c>
      <x:c r="O1300" s="36" t="str">
        <x:v>DIDAKTISCHE_NEUFASSUNG</x:v>
      </x:c>
      <x:c r="P1300" s="36" t="str">
        <x:v>EINLADUNG</x:v>
      </x:c>
      <x:c r="Q1300" s="36" t="str">
        <x:v>Welche offene Einladung spricht der Schluss der Offenbarung aus?</x:v>
      </x:c>
      <x:c r="R1300" s="36" t="str">
        <x:v>Wer durstig ist, soll kommen und das Wasser des Lebens umsonst nehmen.</x:v>
      </x:c>
      <x:c r="S1300" s="36" t="str">
        <x:v>Nur Könige dürfen zum Wasser kommen.</x:v>
      </x:c>
      <x:c r="T1300" s="36" t="str">
        <x:v>Das Wasser des Lebens muss gekauft werden.</x:v>
      </x:c>
      <x:c r="U1300" s="36" t="str">
        <x:v>Die Einladung gilt nur Johannes.</x:v>
      </x:c>
      <x:c r="V1300" s="36" t="n">
        <x:v>0</x:v>
      </x:c>
      <x:c r="W1300" s="36" t="str">
        <x:v>Wer durstig ist, soll kommen und das Wasser des Lebens umsonst nehmen.</x:v>
      </x:c>
      <x:c r="X1300" s="36" t="str">
        <x:v>Offenbarung 22,16–17</x:v>
      </x:c>
      <x:c r="Y1300" s="36" t="str">
        <x:v>Der Ruf des Geistes und der Braut verbindet die Erwartung Christi mit einer freien Einladung zum Leben.</x:v>
      </x:c>
      <x:c r="Z1300" s="36" t="str">
        <x:v>JA</x:v>
      </x:c>
      <x:c r="AA1300" s="36" t="str">
        <x:v>JA</x:v>
      </x:c>
      <x:c r="AB1300" s="36" t="str">
        <x:v>JA</x:v>
      </x:c>
      <x:c r="AC1300" s="36" t="str">
        <x:v>JA</x:v>
      </x:c>
      <x:c r="AD1300" s="36" t="str">
        <x:v>JA</x:v>
      </x:c>
      <x:c r="AE1300" s="36" t="str">
        <x:v>JA</x:v>
      </x:c>
      <x:c r="AF1300" s="36" t="str">
        <x:v>JA</x:v>
      </x:c>
      <x:c r="AG1300" s="36" t="str">
        <x:v>FREIGEGEBEN</x:v>
      </x:c>
      <x:c r="AH1300" s="36" t="str">
        <x:v>GPT-5.6 Sol · Buchprüfung Offenbarung · L1912/OTB</x:v>
      </x:c>
      <x:c r="AI1300" s="36" t="str">
        <x:v>FREIGEGEBEN</x:v>
      </x:c>
      <x:c r="AJ1300" s="36" t="str">
        <x:v>Offenbarung 22: neue textnahe EINLADUNG-Frage ohne unnötige Endzeit-Systemfestlegung freigegeben.</x:v>
      </x:c>
      <x:c r="AK1300" s="36" t="str">
        <x:v>FaithPath repo develop/v4 · data/bibles/l1912/REV.json · data/bibles/otb/REV.json</x:v>
      </x:c>
      <x:c r="AL1300" t="str">
        <x:v>JA</x:v>
      </x:c>
    </x:row>
    <x:row r="1301">
      <x:c r="A1301" t="str">
        <x:v>FP-1560</x:v>
      </x:c>
      <x:c r="B1301" t="str">
        <x:v>REV</x:v>
      </x:c>
      <x:c r="C1301" t="str">
        <x:v>Offenbarung</x:v>
      </x:c>
      <x:c r="D1301" t="n">
        <x:v>22</x:v>
      </x:c>
      <x:c r="E1301" t="n">
        <x:v>5</x:v>
      </x:c>
      <x:c r="F1301" t="str">
        <x:v>REV-022</x:v>
      </x:c>
      <x:c r="G1301" t="n">
        <x:v>260</x:v>
      </x:c>
      <x:c r="H1301" t="str">
        <x:v>CQ-A27</x:v>
      </x:c>
      <x:c r="I1301" s="36" t="str">
        <x:v>Bestandsfrage: exakter Wortlaut in diesem Arbeitsschritt nicht rekonstruiert.</x:v>
      </x:c>
      <x:c r="J1301" s="36"/>
      <x:c r="K1301" s="36"/>
      <x:c r="L1301" s="36" t="str">
        <x:v>MASTER_STATUS_VERIFIZIERT</x:v>
      </x:c>
      <x:c r="M1301" s="36" t="str">
        <x:v>ERSETZEN</x:v>
      </x:c>
      <x:c r="N1301" s="36" t="str">
        <x:v>BESTAND_NOCH_NICHT_GEPRÜFT</x:v>
      </x:c>
      <x:c r="O1301" s="36" t="str">
        <x:v>DIDAKTISCHE_NEUFASSUNG</x:v>
      </x:c>
      <x:c r="P1301" s="36" t="str">
        <x:v>ABSCHLUSS</x:v>
      </x:c>
      <x:c r="Q1301" s="36" t="str">
        <x:v>Welche Antwort steht unmittelbar vor dem abschließenden Gnadenwunsch?</x:v>
      </x:c>
      <x:c r="R1301" s="36" t="str">
        <x:v>Gefallen ist Babylon.</x:v>
      </x:c>
      <x:c r="S1301" s="36" t="str">
        <x:v>Amen. Komm, Herr Jesus.</x:v>
      </x:c>
      <x:c r="T1301" s="36" t="str">
        <x:v>Wer ist würdig, die Schriftrolle zu öffnen?</x:v>
      </x:c>
      <x:c r="U1301" s="36" t="str">
        <x:v>Heilig, heilig, heilig.</x:v>
      </x:c>
      <x:c r="V1301" s="36" t="n">
        <x:v>1</x:v>
      </x:c>
      <x:c r="W1301" s="36" t="str">
        <x:v>Amen. Komm, Herr Jesus.</x:v>
      </x:c>
      <x:c r="X1301" s="36" t="str">
        <x:v>Offenbarung 22,18–21</x:v>
      </x:c>
      <x:c r="Y1301" s="36" t="str">
        <x:v>Nach der Warnung, dem Buch nichts hinzuzufügen oder wegzunehmen, endet die Offenbarung mit Jesu Zusage seines Kommens, der Antwort 'Komm' und einem Gnadenwunsch.</x:v>
      </x:c>
      <x:c r="Z1301" s="36" t="str">
        <x:v>JA</x:v>
      </x:c>
      <x:c r="AA1301" s="36" t="str">
        <x:v>JA</x:v>
      </x:c>
      <x:c r="AB1301" s="36" t="str">
        <x:v>JA</x:v>
      </x:c>
      <x:c r="AC1301" s="36" t="str">
        <x:v>JA</x:v>
      </x:c>
      <x:c r="AD1301" s="36" t="str">
        <x:v>JA</x:v>
      </x:c>
      <x:c r="AE1301" s="36" t="str">
        <x:v>JA</x:v>
      </x:c>
      <x:c r="AF1301" s="36" t="str">
        <x:v>JA</x:v>
      </x:c>
      <x:c r="AG1301" s="36" t="str">
        <x:v>FREIGEGEBEN</x:v>
      </x:c>
      <x:c r="AH1301" s="36" t="str">
        <x:v>GPT-5.6 Sol · Buchprüfung Offenbarung · L1912/OTB</x:v>
      </x:c>
      <x:c r="AI1301" s="36" t="str">
        <x:v>FREIGEGEBEN</x:v>
      </x:c>
      <x:c r="AJ1301" s="36" t="str">
        <x:v>Offenbarung 22: neue textnahe ABSCHLUSS-Frage ohne unnötige Endzeit-Systemfestlegung freigegeben.</x:v>
      </x:c>
      <x:c r="AK1301" s="36" t="str">
        <x:v>FaithPath repo develop/v4 · data/bibles/l1912/REV.json · data/bibles/otb/REV.json</x:v>
      </x:c>
      <x:c r="AL1301" t="str">
        <x:v>JA</x:v>
      </x:c>
    </x:row>
  </x:sheetData>
  <x:conditionalFormatting sqref="M2:M1301">
    <x:cfRule type="expression" dxfId="0" priority="1">
      <x:formula>M2="ERSETZEN"</x:formula>
    </x:cfRule>
  </x:conditionalFormatting>
  <x:conditionalFormatting sqref="AL2:AL1301">
    <x:cfRule type="expression" dxfId="1" priority="2">
      <x:formula>AL2="JA"</x:formula>
    </x:cfRule>
  </x:conditionalFormatting>
  <x:dataValidations count="2">
    <x:dataValidation type="list" sqref="M2:M1301">
      <x:formula1>"ZU_PRÜFEN,BEHALTEN,VERBESSERN,ERSETZEN"</x:formula1>
    </x:dataValidation>
    <x:dataValidation type="list" sqref="P2:P1301">
      <x:formula1>",GESCHEHEN,PERSON_AUSSAGE,ZUSAMMENHANG,KERNAUSSAGE,TEXTGENAUIGKEIT,DETAIL,SONSTIGES"</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0" hidden="0" customWidth="1"/>
    <x:col min="3" max="3" width="19" hidden="0" customWidth="1"/>
    <x:col min="4" max="4" width="9" hidden="0" customWidth="1"/>
    <x:col min="5" max="5" width="13" hidden="0" customWidth="1"/>
    <x:col min="6" max="6" width="12" hidden="0" customWidth="1"/>
    <x:col min="7" max="7" width="12" hidden="0" customWidth="1"/>
    <x:col min="8" max="8" width="11" hidden="0" customWidth="1"/>
    <x:col min="9" max="9" width="10" hidden="0" customWidth="1"/>
    <x:col min="10" max="10" width="12" hidden="0" customWidth="1"/>
    <x:col min="11" max="11" width="10" hidden="0" customWidth="1"/>
    <x:col min="12" max="12" width="15" hidden="0" customWidth="1"/>
    <x:col min="13" max="13" width="13" hidden="0" customWidth="1"/>
    <x:col min="14" max="14" width="20" hidden="0" customWidth="1"/>
    <x:col min="15" max="15" width="12" hidden="0" customWidth="1"/>
    <x:col min="16" max="16" width="16" hidden="0" customWidth="1"/>
    <x:col min="17" max="17" width="14" hidden="0" customWidth="1"/>
    <x:col min="18" max="18" width="13" hidden="0" customWidth="1"/>
    <x:col min="19" max="19" width="17" hidden="0" customWidth="1"/>
    <x:col min="20" max="20" width="17" hidden="0" customWidth="1"/>
    <x:col min="21" max="21" width="42" hidden="0" customWidth="1"/>
  </x:cols>
  <x:sheetData>
    <x:row r="1">
      <x:c r="A1" s="33" t="str">
        <x:v>Kapitel_Index</x:v>
      </x:c>
      <x:c r="B1" s="33" t="str">
        <x:v>Book_Key</x:v>
      </x:c>
      <x:c r="C1" s="33" t="str">
        <x:v>Buch</x:v>
      </x:c>
      <x:c r="D1" s="33" t="str">
        <x:v>Kapitel</x:v>
      </x:c>
      <x:c r="E1" s="33" t="str">
        <x:v>Chapter_Key</x:v>
      </x:c>
      <x:c r="F1" s="33" t="str">
        <x:v>Start_ID</x:v>
      </x:c>
      <x:c r="G1" s="33" t="str">
        <x:v>End_ID</x:v>
      </x:c>
      <x:c r="H1" s="33" t="str">
        <x:v>ZU_PRÜFEN</x:v>
      </x:c>
      <x:c r="I1" s="33" t="str">
        <x:v>BEHALTEN</x:v>
      </x:c>
      <x:c r="J1" s="33" t="str">
        <x:v>VERBESSERN</x:v>
      </x:c>
      <x:c r="K1" s="33" t="str">
        <x:v>ERSETZEN</x:v>
      </x:c>
      <x:c r="L1" s="33" t="str">
        <x:v>QA_FREIGEGEBEN</x:v>
      </x:c>
      <x:c r="M1" s="33" t="str">
        <x:v>IMPORT_READY</x:v>
      </x:c>
      <x:c r="N1" s="33" t="str">
        <x:v>Kapitelstatus</x:v>
      </x:c>
      <x:c r="O1" s="33" t="str">
        <x:v>GESCHEHEN</x:v>
      </x:c>
      <x:c r="P1" s="33" t="str">
        <x:v>PERSON_AUSSAGE</x:v>
      </x:c>
      <x:c r="Q1" s="33" t="str">
        <x:v>ZUSAMMENHANG</x:v>
      </x:c>
      <x:c r="R1" s="33" t="str">
        <x:v>KERNAUSSAGE</x:v>
      </x:c>
      <x:c r="S1" s="33" t="str">
        <x:v>TEXTGENAUIGKEIT</x:v>
      </x:c>
      <x:c r="T1" s="33" t="str">
        <x:v>DETAIL/SONSTIGES</x:v>
      </x:c>
      <x:c r="U1" s="33" t="str">
        <x:v>Kapitelnotiz</x:v>
      </x:c>
    </x:row>
    <x:row r="2">
      <x:c r="A2" s="36" t="n">
        <x:v>1</x:v>
      </x:c>
      <x:c r="B2" s="36" t="str">
        <x:v>MAT</x:v>
      </x:c>
      <x:c r="C2" s="36" t="str">
        <x:v>Matthäus</x:v>
      </x:c>
      <x:c r="D2" s="36" t="n">
        <x:v>1</x:v>
      </x:c>
      <x:c r="E2" s="36" t="str">
        <x:v>MAT-001</x:v>
      </x:c>
      <x:c r="F2" s="36" t="str">
        <x:v>FP-0261</x:v>
      </x:c>
      <x:c r="G2" s="36" t="str">
        <x:v>FP-0265</x:v>
      </x:c>
      <x:c r="H2" s="36" t="n">
        <x:v>0</x:v>
      </x:c>
      <x:c r="I2" s="36" t="n">
        <x:v>0</x:v>
      </x:c>
      <x:c r="J2" s="36" t="n">
        <x:v>0</x:v>
      </x:c>
      <x:c r="K2" s="36" t="n">
        <x:v>5</x:v>
      </x:c>
      <x:c r="L2" s="36" t="n">
        <x:v>5</x:v>
      </x:c>
      <x:c r="M2" s="36" t="n">
        <x:v>5</x:v>
      </x:c>
      <x:c r="N2" s="36" t="str">
        <x:v>FREIGEGEBEN</x:v>
      </x:c>
      <x:c r="O2" s="36" t="n">
        <x:v>0</x:v>
      </x:c>
      <x:c r="P2" s="36" t="n">
        <x:v>1</x:v>
      </x:c>
      <x:c r="Q2" s="36" t="n">
        <x:v>1</x:v>
      </x:c>
      <x:c r="R2" s="36" t="n">
        <x:v>1</x:v>
      </x:c>
      <x:c r="S2" s="36" t="n">
        <x:v>2</x:v>
      </x:c>
      <x:c r="T2" s="36" t="n">
        <x:v>0</x:v>
      </x:c>
      <x:c r="U2" s="36" t="str">
        <x:v>Matthäus 1: 5/5 ersetzt, gegen L1912 + OTB geprüft und freigegeben.</x:v>
      </x:c>
    </x:row>
    <x:row r="3">
      <x:c r="A3" s="36" t="n">
        <x:v>2</x:v>
      </x:c>
      <x:c r="B3" s="36" t="str">
        <x:v>MAT</x:v>
      </x:c>
      <x:c r="C3" s="36" t="str">
        <x:v>Matthäus</x:v>
      </x:c>
      <x:c r="D3" s="36" t="n">
        <x:v>2</x:v>
      </x:c>
      <x:c r="E3" s="36" t="str">
        <x:v>MAT-002</x:v>
      </x:c>
      <x:c r="F3" s="36" t="str">
        <x:v>FP-0266</x:v>
      </x:c>
      <x:c r="G3" s="36" t="str">
        <x:v>FP-0270</x:v>
      </x:c>
      <x:c r="H3" s="36" t="n">
        <x:v>0</x:v>
      </x:c>
      <x:c r="I3" s="36" t="n">
        <x:v>0</x:v>
      </x:c>
      <x:c r="J3" s="36" t="n">
        <x:v>0</x:v>
      </x:c>
      <x:c r="K3" s="36" t="n">
        <x:v>5</x:v>
      </x:c>
      <x:c r="L3" s="36" t="n">
        <x:v>5</x:v>
      </x:c>
      <x:c r="M3" s="36" t="n">
        <x:v>5</x:v>
      </x:c>
      <x:c r="N3" s="36" t="str">
        <x:v>FREIGEGEBEN</x:v>
      </x:c>
      <x:c r="O3" s="36" t="n">
        <x:v>1</x:v>
      </x:c>
      <x:c r="P3" s="36" t="n">
        <x:v>0</x:v>
      </x:c>
      <x:c r="Q3" s="36" t="n">
        <x:v>2</x:v>
      </x:c>
      <x:c r="R3" s="36" t="n">
        <x:v>0</x:v>
      </x:c>
      <x:c r="S3" s="36" t="n">
        <x:v>1</x:v>
      </x:c>
      <x:c r="T3" s="36" t="n">
        <x:v>1</x:v>
      </x:c>
      <x:c r="U3" s="36" t="str">
        <x:v>Matthäus 2: 5/5 ersetzt, gegen L1912 + OTB geprüft und freigegeben.</x:v>
      </x:c>
    </x:row>
    <x:row r="4">
      <x:c r="A4" s="36" t="n">
        <x:v>3</x:v>
      </x:c>
      <x:c r="B4" s="36" t="str">
        <x:v>MAT</x:v>
      </x:c>
      <x:c r="C4" s="36" t="str">
        <x:v>Matthäus</x:v>
      </x:c>
      <x:c r="D4" s="36" t="n">
        <x:v>3</x:v>
      </x:c>
      <x:c r="E4" s="36" t="str">
        <x:v>MAT-003</x:v>
      </x:c>
      <x:c r="F4" s="36" t="str">
        <x:v>FP-0271</x:v>
      </x:c>
      <x:c r="G4" s="36" t="str">
        <x:v>FP-0275</x:v>
      </x:c>
      <x:c r="H4" s="36" t="n">
        <x:v>0</x:v>
      </x:c>
      <x:c r="I4" s="36" t="n">
        <x:v>0</x:v>
      </x:c>
      <x:c r="J4" s="36" t="n">
        <x:v>0</x:v>
      </x:c>
      <x:c r="K4" s="36" t="n">
        <x:v>5</x:v>
      </x:c>
      <x:c r="L4" s="36" t="n">
        <x:v>5</x:v>
      </x:c>
      <x:c r="M4" s="36" t="n">
        <x:v>5</x:v>
      </x:c>
      <x:c r="N4" s="36" t="str">
        <x:v>FREIGEGEBEN</x:v>
      </x:c>
      <x:c r="O4" s="36" t="n">
        <x:v>1</x:v>
      </x:c>
      <x:c r="P4" s="36" t="n">
        <x:v>1</x:v>
      </x:c>
      <x:c r="Q4" s="36" t="n">
        <x:v>1</x:v>
      </x:c>
      <x:c r="R4" s="36" t="n">
        <x:v>2</x:v>
      </x:c>
      <x:c r="S4" s="36" t="n">
        <x:v>0</x:v>
      </x:c>
      <x:c r="T4" s="36" t="n">
        <x:v>0</x:v>
      </x:c>
      <x:c r="U4" s="36" t="str">
        <x:v>Matthäus 3: 5/5 ersetzt, gegen L1912 + OTB geprüft und freigegeben.</x:v>
      </x:c>
    </x:row>
    <x:row r="5">
      <x:c r="A5" s="36" t="n">
        <x:v>4</x:v>
      </x:c>
      <x:c r="B5" s="36" t="str">
        <x:v>MAT</x:v>
      </x:c>
      <x:c r="C5" s="36" t="str">
        <x:v>Matthäus</x:v>
      </x:c>
      <x:c r="D5" s="36" t="n">
        <x:v>4</x:v>
      </x:c>
      <x:c r="E5" s="36" t="str">
        <x:v>MAT-004</x:v>
      </x:c>
      <x:c r="F5" s="36" t="str">
        <x:v>FP-0276</x:v>
      </x:c>
      <x:c r="G5" s="36" t="str">
        <x:v>FP-0280</x:v>
      </x:c>
      <x:c r="H5" s="36" t="n">
        <x:v>0</x:v>
      </x:c>
      <x:c r="I5" s="36" t="n">
        <x:v>0</x:v>
      </x:c>
      <x:c r="J5" s="36" t="n">
        <x:v>0</x:v>
      </x:c>
      <x:c r="K5" s="36" t="n">
        <x:v>5</x:v>
      </x:c>
      <x:c r="L5" s="36" t="n">
        <x:v>5</x:v>
      </x:c>
      <x:c r="M5" s="36" t="n">
        <x:v>5</x:v>
      </x:c>
      <x:c r="N5" s="36" t="str">
        <x:v>FREIGEGEBEN</x:v>
      </x:c>
      <x:c r="O5" s="36" t="n">
        <x:v>2</x:v>
      </x:c>
      <x:c r="P5" s="36" t="n">
        <x:v>1</x:v>
      </x:c>
      <x:c r="Q5" s="36" t="n">
        <x:v>1</x:v>
      </x:c>
      <x:c r="R5" s="36" t="n">
        <x:v>1</x:v>
      </x:c>
      <x:c r="S5" s="36" t="n">
        <x:v>0</x:v>
      </x:c>
      <x:c r="T5" s="36" t="n">
        <x:v>0</x:v>
      </x:c>
      <x:c r="U5" s="36" t="str">
        <x:v>Matthäus 4: 5/5 ersetzt, gegen L1912 + OTB geprüft und freigegeben.</x:v>
      </x:c>
    </x:row>
    <x:row r="6">
      <x:c r="A6" s="36" t="n">
        <x:v>5</x:v>
      </x:c>
      <x:c r="B6" s="36" t="str">
        <x:v>MAT</x:v>
      </x:c>
      <x:c r="C6" s="36" t="str">
        <x:v>Matthäus</x:v>
      </x:c>
      <x:c r="D6" s="36" t="n">
        <x:v>5</x:v>
      </x:c>
      <x:c r="E6" s="36" t="str">
        <x:v>MAT-005</x:v>
      </x:c>
      <x:c r="F6" s="36" t="str">
        <x:v>FP-0281</x:v>
      </x:c>
      <x:c r="G6" s="36" t="str">
        <x:v>FP-0285</x:v>
      </x:c>
      <x:c r="H6" s="36" t="n">
        <x:v>0</x:v>
      </x:c>
      <x:c r="I6" s="36" t="n">
        <x:v>0</x:v>
      </x:c>
      <x:c r="J6" s="36" t="n">
        <x:v>0</x:v>
      </x:c>
      <x:c r="K6" s="36" t="n">
        <x:v>5</x:v>
      </x:c>
      <x:c r="L6" s="36" t="n">
        <x:v>5</x:v>
      </x:c>
      <x:c r="M6" s="36" t="n">
        <x:v>5</x:v>
      </x:c>
      <x:c r="N6" s="36" t="str">
        <x:v>FREIGEGEBEN</x:v>
      </x:c>
      <x:c r="O6" s="36" t="n">
        <x:v>0</x:v>
      </x:c>
      <x:c r="P6" s="36" t="n">
        <x:v>0</x:v>
      </x:c>
      <x:c r="Q6" s="36" t="n">
        <x:v>1</x:v>
      </x:c>
      <x:c r="R6" s="36" t="n">
        <x:v>3</x:v>
      </x:c>
      <x:c r="S6" s="36" t="n">
        <x:v>1</x:v>
      </x:c>
      <x:c r="T6" s="36" t="n">
        <x:v>0</x:v>
      </x:c>
      <x:c r="U6" s="36" t="str">
        <x:v>Matthäus 5: 5/5 ersetzt, gegen L1912 + OTB geprüft und freigegeben.</x:v>
      </x:c>
    </x:row>
    <x:row r="7">
      <x:c r="A7" s="36" t="n">
        <x:v>6</x:v>
      </x:c>
      <x:c r="B7" s="36" t="str">
        <x:v>MAT</x:v>
      </x:c>
      <x:c r="C7" s="36" t="str">
        <x:v>Matthäus</x:v>
      </x:c>
      <x:c r="D7" s="36" t="n">
        <x:v>6</x:v>
      </x:c>
      <x:c r="E7" s="36" t="str">
        <x:v>MAT-006</x:v>
      </x:c>
      <x:c r="F7" s="36" t="str">
        <x:v>FP-0286</x:v>
      </x:c>
      <x:c r="G7" s="36" t="str">
        <x:v>FP-0290</x:v>
      </x:c>
      <x:c r="H7" s="36" t="n">
        <x:v>0</x:v>
      </x:c>
      <x:c r="I7" s="36" t="n">
        <x:v>0</x:v>
      </x:c>
      <x:c r="J7" s="36" t="n">
        <x:v>0</x:v>
      </x:c>
      <x:c r="K7" s="36" t="n">
        <x:v>5</x:v>
      </x:c>
      <x:c r="L7" s="36" t="n">
        <x:v>5</x:v>
      </x:c>
      <x:c r="M7" s="36" t="n">
        <x:v>5</x:v>
      </x:c>
      <x:c r="N7" s="36" t="str">
        <x:v>FREIGEGEBEN</x:v>
      </x:c>
      <x:c r="O7" s="36" t="n">
        <x:v>0</x:v>
      </x:c>
      <x:c r="P7" s="36" t="n">
        <x:v>1</x:v>
      </x:c>
      <x:c r="Q7" s="36" t="n">
        <x:v>1</x:v>
      </x:c>
      <x:c r="R7" s="36" t="n">
        <x:v>2</x:v>
      </x:c>
      <x:c r="S7" s="36" t="n">
        <x:v>1</x:v>
      </x:c>
      <x:c r="T7" s="36" t="n">
        <x:v>0</x:v>
      </x:c>
      <x:c r="U7" s="36" t="str">
        <x:v>Matthäus 6: 5/5 ersetzt, gegen L1912 + OTB geprüft und freigegeben.</x:v>
      </x:c>
    </x:row>
    <x:row r="8">
      <x:c r="A8" s="36" t="n">
        <x:v>7</x:v>
      </x:c>
      <x:c r="B8" s="36" t="str">
        <x:v>MAT</x:v>
      </x:c>
      <x:c r="C8" s="36" t="str">
        <x:v>Matthäus</x:v>
      </x:c>
      <x:c r="D8" s="36" t="n">
        <x:v>7</x:v>
      </x:c>
      <x:c r="E8" s="36" t="str">
        <x:v>MAT-007</x:v>
      </x:c>
      <x:c r="F8" s="36" t="str">
        <x:v>FP-0291</x:v>
      </x:c>
      <x:c r="G8" s="36" t="str">
        <x:v>FP-0295</x:v>
      </x:c>
      <x:c r="H8" s="36" t="n">
        <x:v>0</x:v>
      </x:c>
      <x:c r="I8" s="36" t="n">
        <x:v>0</x:v>
      </x:c>
      <x:c r="J8" s="36" t="n">
        <x:v>0</x:v>
      </x:c>
      <x:c r="K8" s="36" t="n">
        <x:v>5</x:v>
      </x:c>
      <x:c r="L8" s="36" t="n">
        <x:v>5</x:v>
      </x:c>
      <x:c r="M8" s="36" t="n">
        <x:v>5</x:v>
      </x:c>
      <x:c r="N8" s="36" t="str">
        <x:v>FREIGEGEBEN</x:v>
      </x:c>
      <x:c r="O8" s="36" t="n">
        <x:v>0</x:v>
      </x:c>
      <x:c r="P8" s="36" t="n">
        <x:v>0</x:v>
      </x:c>
      <x:c r="Q8" s="36" t="n">
        <x:v>2</x:v>
      </x:c>
      <x:c r="R8" s="36" t="n">
        <x:v>2</x:v>
      </x:c>
      <x:c r="S8" s="36" t="n">
        <x:v>1</x:v>
      </x:c>
      <x:c r="T8" s="36" t="n">
        <x:v>0</x:v>
      </x:c>
      <x:c r="U8" s="36" t="str">
        <x:v>Matthäus 7: 5/5 ersetzt, gegen L1912 + OTB geprüft und freigegeben.</x:v>
      </x:c>
    </x:row>
    <x:row r="9">
      <x:c r="A9" s="36" t="n">
        <x:v>8</x:v>
      </x:c>
      <x:c r="B9" s="36" t="str">
        <x:v>MAT</x:v>
      </x:c>
      <x:c r="C9" s="36" t="str">
        <x:v>Matthäus</x:v>
      </x:c>
      <x:c r="D9" s="36" t="n">
        <x:v>8</x:v>
      </x:c>
      <x:c r="E9" s="36" t="str">
        <x:v>MAT-008</x:v>
      </x:c>
      <x:c r="F9" s="36" t="str">
        <x:v>FP-0296</x:v>
      </x:c>
      <x:c r="G9" s="36" t="str">
        <x:v>FP-0300</x:v>
      </x:c>
      <x:c r="H9" s="36" t="n">
        <x:v>0</x:v>
      </x:c>
      <x:c r="I9" s="36" t="n">
        <x:v>0</x:v>
      </x:c>
      <x:c r="J9" s="36" t="n">
        <x:v>0</x:v>
      </x:c>
      <x:c r="K9" s="36" t="n">
        <x:v>5</x:v>
      </x:c>
      <x:c r="L9" s="36" t="n">
        <x:v>5</x:v>
      </x:c>
      <x:c r="M9" s="36" t="n">
        <x:v>5</x:v>
      </x:c>
      <x:c r="N9" s="36" t="str">
        <x:v>FREIGEGEBEN</x:v>
      </x:c>
      <x:c r="O9" s="36" t="n">
        <x:v>2</x:v>
      </x:c>
      <x:c r="P9" s="36" t="n">
        <x:v>1</x:v>
      </x:c>
      <x:c r="Q9" s="36" t="n">
        <x:v>1</x:v>
      </x:c>
      <x:c r="R9" s="36" t="n">
        <x:v>1</x:v>
      </x:c>
      <x:c r="S9" s="36" t="n">
        <x:v>0</x:v>
      </x:c>
      <x:c r="T9" s="36" t="n">
        <x:v>0</x:v>
      </x:c>
      <x:c r="U9" s="36" t="str">
        <x:v>Matthäus 8: 5/5 ersetzt, gegen L1912 + OTB geprüft und freigegeben.</x:v>
      </x:c>
    </x:row>
    <x:row r="10">
      <x:c r="A10" s="36" t="n">
        <x:v>9</x:v>
      </x:c>
      <x:c r="B10" s="36" t="str">
        <x:v>MAT</x:v>
      </x:c>
      <x:c r="C10" s="36" t="str">
        <x:v>Matthäus</x:v>
      </x:c>
      <x:c r="D10" s="36" t="n">
        <x:v>9</x:v>
      </x:c>
      <x:c r="E10" s="36" t="str">
        <x:v>MAT-009</x:v>
      </x:c>
      <x:c r="F10" s="36" t="str">
        <x:v>FP-0301</x:v>
      </x:c>
      <x:c r="G10" s="36" t="str">
        <x:v>FP-0305</x:v>
      </x:c>
      <x:c r="H10" s="36" t="n">
        <x:v>0</x:v>
      </x:c>
      <x:c r="I10" s="36" t="n">
        <x:v>0</x:v>
      </x:c>
      <x:c r="J10" s="36" t="n">
        <x:v>0</x:v>
      </x:c>
      <x:c r="K10" s="36" t="n">
        <x:v>5</x:v>
      </x:c>
      <x:c r="L10" s="36" t="n">
        <x:v>5</x:v>
      </x:c>
      <x:c r="M10" s="36" t="n">
        <x:v>5</x:v>
      </x:c>
      <x:c r="N10" s="36" t="str">
        <x:v>FREIGEGEBEN</x:v>
      </x:c>
      <x:c r="O10" s="36" t="n">
        <x:v>1</x:v>
      </x:c>
      <x:c r="P10" s="36" t="n">
        <x:v>1</x:v>
      </x:c>
      <x:c r="Q10" s="36" t="n">
        <x:v>1</x:v>
      </x:c>
      <x:c r="R10" s="36" t="n">
        <x:v>2</x:v>
      </x:c>
      <x:c r="S10" s="36" t="n">
        <x:v>0</x:v>
      </x:c>
      <x:c r="T10" s="36" t="n">
        <x:v>0</x:v>
      </x:c>
      <x:c r="U10" s="36" t="str">
        <x:v>Matthäus 9: 5/5 ersetzt, gegen L1912 + OTB geprüft und freigegeben.</x:v>
      </x:c>
    </x:row>
    <x:row r="11">
      <x:c r="A11" s="36" t="n">
        <x:v>10</x:v>
      </x:c>
      <x:c r="B11" s="36" t="str">
        <x:v>MAT</x:v>
      </x:c>
      <x:c r="C11" s="36" t="str">
        <x:v>Matthäus</x:v>
      </x:c>
      <x:c r="D11" s="36" t="n">
        <x:v>10</x:v>
      </x:c>
      <x:c r="E11" s="36" t="str">
        <x:v>MAT-010</x:v>
      </x:c>
      <x:c r="F11" s="36" t="str">
        <x:v>FP-0306</x:v>
      </x:c>
      <x:c r="G11" s="36" t="str">
        <x:v>FP-0310</x:v>
      </x:c>
      <x:c r="H11" s="36" t="n">
        <x:v>0</x:v>
      </x:c>
      <x:c r="I11" s="36" t="n">
        <x:v>0</x:v>
      </x:c>
      <x:c r="J11" s="36" t="n">
        <x:v>0</x:v>
      </x:c>
      <x:c r="K11" s="36" t="n">
        <x:v>5</x:v>
      </x:c>
      <x:c r="L11" s="36" t="n">
        <x:v>5</x:v>
      </x:c>
      <x:c r="M11" s="36" t="n">
        <x:v>5</x:v>
      </x:c>
      <x:c r="N11" s="36" t="str">
        <x:v>FREIGEGEBEN</x:v>
      </x:c>
      <x:c r="O11" s="36" t="n">
        <x:v>1</x:v>
      </x:c>
      <x:c r="P11" s="36" t="n">
        <x:v>0</x:v>
      </x:c>
      <x:c r="Q11" s="36" t="n">
        <x:v>1</x:v>
      </x:c>
      <x:c r="R11" s="36" t="n">
        <x:v>2</x:v>
      </x:c>
      <x:c r="S11" s="36" t="n">
        <x:v>1</x:v>
      </x:c>
      <x:c r="T11" s="36" t="n">
        <x:v>0</x:v>
      </x:c>
      <x:c r="U11" s="36" t="str">
        <x:v>Matthäus 10: 5/5 ersetzt, gegen L1912 + OTB geprüft und freigegeben.</x:v>
      </x:c>
    </x:row>
    <x:row r="12">
      <x:c r="A12" s="36" t="n">
        <x:v>11</x:v>
      </x:c>
      <x:c r="B12" s="36" t="str">
        <x:v>MAT</x:v>
      </x:c>
      <x:c r="C12" s="36" t="str">
        <x:v>Matthäus</x:v>
      </x:c>
      <x:c r="D12" s="36" t="n">
        <x:v>11</x:v>
      </x:c>
      <x:c r="E12" s="36" t="str">
        <x:v>MAT-011</x:v>
      </x:c>
      <x:c r="F12" s="36" t="str">
        <x:v>FP-0311</x:v>
      </x:c>
      <x:c r="G12" s="36" t="str">
        <x:v>FP-0315</x:v>
      </x:c>
      <x:c r="H12" s="36" t="n">
        <x:v>0</x:v>
      </x:c>
      <x:c r="I12" s="36" t="n">
        <x:v>0</x:v>
      </x:c>
      <x:c r="J12" s="36" t="n">
        <x:v>0</x:v>
      </x:c>
      <x:c r="K12" s="36" t="n">
        <x:v>5</x:v>
      </x:c>
      <x:c r="L12" s="36" t="n">
        <x:v>5</x:v>
      </x:c>
      <x:c r="M12" s="36" t="n">
        <x:v>5</x:v>
      </x:c>
      <x:c r="N12" s="36" t="str">
        <x:v>FREIGEGEBEN</x:v>
      </x:c>
      <x:c r="O12" s="36" t="n">
        <x:v>1</x:v>
      </x:c>
      <x:c r="P12" s="36" t="n">
        <x:v>1</x:v>
      </x:c>
      <x:c r="Q12" s="36" t="n">
        <x:v>2</x:v>
      </x:c>
      <x:c r="R12" s="36" t="n">
        <x:v>1</x:v>
      </x:c>
      <x:c r="S12" s="36" t="n">
        <x:v>0</x:v>
      </x:c>
      <x:c r="T12" s="36" t="n">
        <x:v>0</x:v>
      </x:c>
      <x:c r="U12" s="36" t="str">
        <x:v>Matthäus 11: 5/5 ersetzt, gegen L1912 + OTB geprüft und freigegeben.</x:v>
      </x:c>
    </x:row>
    <x:row r="13">
      <x:c r="A13" s="36" t="n">
        <x:v>12</x:v>
      </x:c>
      <x:c r="B13" s="36" t="str">
        <x:v>MAT</x:v>
      </x:c>
      <x:c r="C13" s="36" t="str">
        <x:v>Matthäus</x:v>
      </x:c>
      <x:c r="D13" s="36" t="n">
        <x:v>12</x:v>
      </x:c>
      <x:c r="E13" s="36" t="str">
        <x:v>MAT-012</x:v>
      </x:c>
      <x:c r="F13" s="36" t="str">
        <x:v>FP-0316</x:v>
      </x:c>
      <x:c r="G13" s="36" t="str">
        <x:v>FP-0320</x:v>
      </x:c>
      <x:c r="H13" s="36" t="n">
        <x:v>0</x:v>
      </x:c>
      <x:c r="I13" s="36" t="n">
        <x:v>0</x:v>
      </x:c>
      <x:c r="J13" s="36" t="n">
        <x:v>0</x:v>
      </x:c>
      <x:c r="K13" s="36" t="n">
        <x:v>5</x:v>
      </x:c>
      <x:c r="L13" s="36" t="n">
        <x:v>5</x:v>
      </x:c>
      <x:c r="M13" s="36" t="n">
        <x:v>5</x:v>
      </x:c>
      <x:c r="N13" s="36" t="str">
        <x:v>FREIGEGEBEN</x:v>
      </x:c>
      <x:c r="O13" s="36" t="n">
        <x:v>0</x:v>
      </x:c>
      <x:c r="P13" s="36" t="n">
        <x:v>0</x:v>
      </x:c>
      <x:c r="Q13" s="36" t="n">
        <x:v>2</x:v>
      </x:c>
      <x:c r="R13" s="36" t="n">
        <x:v>2</x:v>
      </x:c>
      <x:c r="S13" s="36" t="n">
        <x:v>1</x:v>
      </x:c>
      <x:c r="T13" s="36" t="n">
        <x:v>0</x:v>
      </x:c>
      <x:c r="U13" s="36" t="str">
        <x:v>Matthäus 12: 5/5 ersetzt, gegen L1912 + OTB geprüft und freigegeben.</x:v>
      </x:c>
    </x:row>
    <x:row r="14">
      <x:c r="A14" s="36" t="n">
        <x:v>13</x:v>
      </x:c>
      <x:c r="B14" s="36" t="str">
        <x:v>MAT</x:v>
      </x:c>
      <x:c r="C14" s="36" t="str">
        <x:v>Matthäus</x:v>
      </x:c>
      <x:c r="D14" s="36" t="n">
        <x:v>13</x:v>
      </x:c>
      <x:c r="E14" s="36" t="str">
        <x:v>MAT-013</x:v>
      </x:c>
      <x:c r="F14" s="36" t="str">
        <x:v>FP-0321</x:v>
      </x:c>
      <x:c r="G14" s="36" t="str">
        <x:v>FP-0325</x:v>
      </x:c>
      <x:c r="H14" s="36" t="n">
        <x:v>0</x:v>
      </x:c>
      <x:c r="I14" s="36" t="n">
        <x:v>0</x:v>
      </x:c>
      <x:c r="J14" s="36" t="n">
        <x:v>0</x:v>
      </x:c>
      <x:c r="K14" s="36" t="n">
        <x:v>5</x:v>
      </x:c>
      <x:c r="L14" s="36" t="n">
        <x:v>5</x:v>
      </x:c>
      <x:c r="M14" s="36" t="n">
        <x:v>5</x:v>
      </x:c>
      <x:c r="N14" s="36" t="str">
        <x:v>FREIGEGEBEN</x:v>
      </x:c>
      <x:c r="O14" s="36" t="n">
        <x:v>1</x:v>
      </x:c>
      <x:c r="P14" s="36" t="n">
        <x:v>0</x:v>
      </x:c>
      <x:c r="Q14" s="36" t="n">
        <x:v>2</x:v>
      </x:c>
      <x:c r="R14" s="36" t="n">
        <x:v>1</x:v>
      </x:c>
      <x:c r="S14" s="36" t="n">
        <x:v>0</x:v>
      </x:c>
      <x:c r="T14" s="36" t="n">
        <x:v>1</x:v>
      </x:c>
      <x:c r="U14" s="36" t="str">
        <x:v>Matthäus 13: 5/5 ersetzt, gegen L1912 + OTB geprüft und freigegeben.</x:v>
      </x:c>
    </x:row>
    <x:row r="15">
      <x:c r="A15" s="36" t="n">
        <x:v>14</x:v>
      </x:c>
      <x:c r="B15" s="36" t="str">
        <x:v>MAT</x:v>
      </x:c>
      <x:c r="C15" s="36" t="str">
        <x:v>Matthäus</x:v>
      </x:c>
      <x:c r="D15" s="36" t="n">
        <x:v>14</x:v>
      </x:c>
      <x:c r="E15" s="36" t="str">
        <x:v>MAT-014</x:v>
      </x:c>
      <x:c r="F15" s="36" t="str">
        <x:v>FP-0326</x:v>
      </x:c>
      <x:c r="G15" s="36" t="str">
        <x:v>FP-0330</x:v>
      </x:c>
      <x:c r="H15" s="36" t="n">
        <x:v>0</x:v>
      </x:c>
      <x:c r="I15" s="36" t="n">
        <x:v>0</x:v>
      </x:c>
      <x:c r="J15" s="36" t="n">
        <x:v>0</x:v>
      </x:c>
      <x:c r="K15" s="36" t="n">
        <x:v>5</x:v>
      </x:c>
      <x:c r="L15" s="36" t="n">
        <x:v>5</x:v>
      </x:c>
      <x:c r="M15" s="36" t="n">
        <x:v>5</x:v>
      </x:c>
      <x:c r="N15" s="36" t="str">
        <x:v>FREIGEGEBEN</x:v>
      </x:c>
      <x:c r="O15" s="36" t="n">
        <x:v>1</x:v>
      </x:c>
      <x:c r="P15" s="36" t="n">
        <x:v>1</x:v>
      </x:c>
      <x:c r="Q15" s="36" t="n">
        <x:v>1</x:v>
      </x:c>
      <x:c r="R15" s="36" t="n">
        <x:v>0</x:v>
      </x:c>
      <x:c r="S15" s="36" t="n">
        <x:v>0</x:v>
      </x:c>
      <x:c r="T15" s="36" t="n">
        <x:v>2</x:v>
      </x:c>
      <x:c r="U15" s="36" t="str">
        <x:v>Matthäus 14: 5/5 ersetzt, gegen L1912 + OTB geprüft und freigegeben.</x:v>
      </x:c>
    </x:row>
    <x:row r="16">
      <x:c r="A16" s="36" t="n">
        <x:v>15</x:v>
      </x:c>
      <x:c r="B16" s="36" t="str">
        <x:v>MAT</x:v>
      </x:c>
      <x:c r="C16" s="36" t="str">
        <x:v>Matthäus</x:v>
      </x:c>
      <x:c r="D16" s="36" t="n">
        <x:v>15</x:v>
      </x:c>
      <x:c r="E16" s="36" t="str">
        <x:v>MAT-015</x:v>
      </x:c>
      <x:c r="F16" s="36" t="str">
        <x:v>FP-0331</x:v>
      </x:c>
      <x:c r="G16" s="36" t="str">
        <x:v>FP-0335</x:v>
      </x:c>
      <x:c r="H16" s="36" t="n">
        <x:v>0</x:v>
      </x:c>
      <x:c r="I16" s="36" t="n">
        <x:v>0</x:v>
      </x:c>
      <x:c r="J16" s="36" t="n">
        <x:v>0</x:v>
      </x:c>
      <x:c r="K16" s="36" t="n">
        <x:v>5</x:v>
      </x:c>
      <x:c r="L16" s="36" t="n">
        <x:v>5</x:v>
      </x:c>
      <x:c r="M16" s="36" t="n">
        <x:v>5</x:v>
      </x:c>
      <x:c r="N16" s="36" t="str">
        <x:v>FREIGEGEBEN</x:v>
      </x:c>
      <x:c r="O16" s="36" t="n">
        <x:v>1</x:v>
      </x:c>
      <x:c r="P16" s="36" t="n">
        <x:v>1</x:v>
      </x:c>
      <x:c r="Q16" s="36" t="n">
        <x:v>1</x:v>
      </x:c>
      <x:c r="R16" s="36" t="n">
        <x:v>1</x:v>
      </x:c>
      <x:c r="S16" s="36" t="n">
        <x:v>0</x:v>
      </x:c>
      <x:c r="T16" s="36" t="n">
        <x:v>1</x:v>
      </x:c>
      <x:c r="U16" s="36" t="str">
        <x:v>Matthäus 15: 5/5 ersetzt, gegen L1912 + OTB geprüft und freigegeben.</x:v>
      </x:c>
    </x:row>
    <x:row r="17">
      <x:c r="A17" s="36" t="n">
        <x:v>16</x:v>
      </x:c>
      <x:c r="B17" s="36" t="str">
        <x:v>MAT</x:v>
      </x:c>
      <x:c r="C17" s="36" t="str">
        <x:v>Matthäus</x:v>
      </x:c>
      <x:c r="D17" s="36" t="n">
        <x:v>16</x:v>
      </x:c>
      <x:c r="E17" s="36" t="str">
        <x:v>MAT-016</x:v>
      </x:c>
      <x:c r="F17" s="36" t="str">
        <x:v>FP-0336</x:v>
      </x:c>
      <x:c r="G17" s="36" t="str">
        <x:v>FP-0340</x:v>
      </x:c>
      <x:c r="H17" s="36" t="n">
        <x:v>0</x:v>
      </x:c>
      <x:c r="I17" s="36" t="n">
        <x:v>0</x:v>
      </x:c>
      <x:c r="J17" s="36" t="n">
        <x:v>0</x:v>
      </x:c>
      <x:c r="K17" s="36" t="n">
        <x:v>5</x:v>
      </x:c>
      <x:c r="L17" s="36" t="n">
        <x:v>5</x:v>
      </x:c>
      <x:c r="M17" s="36" t="n">
        <x:v>5</x:v>
      </x:c>
      <x:c r="N17" s="36" t="str">
        <x:v>FREIGEGEBEN</x:v>
      </x:c>
      <x:c r="O17" s="36" t="n">
        <x:v>1</x:v>
      </x:c>
      <x:c r="P17" s="36" t="n">
        <x:v>1</x:v>
      </x:c>
      <x:c r="Q17" s="36" t="n">
        <x:v>1</x:v>
      </x:c>
      <x:c r="R17" s="36" t="n">
        <x:v>1</x:v>
      </x:c>
      <x:c r="S17" s="36" t="n">
        <x:v>1</x:v>
      </x:c>
      <x:c r="T17" s="36" t="n">
        <x:v>0</x:v>
      </x:c>
      <x:c r="U17" s="36" t="str">
        <x:v>Matthäus 16: 5/5 ersetzt, gegen L1912 + OTB geprüft und freigegeben.</x:v>
      </x:c>
    </x:row>
    <x:row r="18">
      <x:c r="A18" s="36" t="n">
        <x:v>17</x:v>
      </x:c>
      <x:c r="B18" s="36" t="str">
        <x:v>MAT</x:v>
      </x:c>
      <x:c r="C18" s="36" t="str">
        <x:v>Matthäus</x:v>
      </x:c>
      <x:c r="D18" s="36" t="n">
        <x:v>17</x:v>
      </x:c>
      <x:c r="E18" s="36" t="str">
        <x:v>MAT-017</x:v>
      </x:c>
      <x:c r="F18" s="36" t="str">
        <x:v>FP-0341</x:v>
      </x:c>
      <x:c r="G18" s="36" t="str">
        <x:v>FP-0345</x:v>
      </x:c>
      <x:c r="H18" s="36" t="n">
        <x:v>0</x:v>
      </x:c>
      <x:c r="I18" s="36" t="n">
        <x:v>0</x:v>
      </x:c>
      <x:c r="J18" s="36" t="n">
        <x:v>0</x:v>
      </x:c>
      <x:c r="K18" s="36" t="n">
        <x:v>5</x:v>
      </x:c>
      <x:c r="L18" s="36" t="n">
        <x:v>5</x:v>
      </x:c>
      <x:c r="M18" s="36" t="n">
        <x:v>5</x:v>
      </x:c>
      <x:c r="N18" s="36" t="str">
        <x:v>FREIGEGEBEN</x:v>
      </x:c>
      <x:c r="O18" s="36" t="n">
        <x:v>1</x:v>
      </x:c>
      <x:c r="P18" s="36" t="n">
        <x:v>1</x:v>
      </x:c>
      <x:c r="Q18" s="36" t="n">
        <x:v>0</x:v>
      </x:c>
      <x:c r="R18" s="36" t="n">
        <x:v>1</x:v>
      </x:c>
      <x:c r="S18" s="36" t="n">
        <x:v>0</x:v>
      </x:c>
      <x:c r="T18" s="36" t="n">
        <x:v>2</x:v>
      </x:c>
      <x:c r="U18" s="36" t="str">
        <x:v>Matthäus 17: 5/5 ersetzt, gegen L1912 + OTB geprüft und freigegeben.</x:v>
      </x:c>
    </x:row>
    <x:row r="19">
      <x:c r="A19" s="36" t="n">
        <x:v>18</x:v>
      </x:c>
      <x:c r="B19" s="36" t="str">
        <x:v>MAT</x:v>
      </x:c>
      <x:c r="C19" s="36" t="str">
        <x:v>Matthäus</x:v>
      </x:c>
      <x:c r="D19" s="36" t="n">
        <x:v>18</x:v>
      </x:c>
      <x:c r="E19" s="36" t="str">
        <x:v>MAT-018</x:v>
      </x:c>
      <x:c r="F19" s="36" t="str">
        <x:v>FP-0346</x:v>
      </x:c>
      <x:c r="G19" s="36" t="str">
        <x:v>FP-0350</x:v>
      </x:c>
      <x:c r="H19" s="36" t="n">
        <x:v>0</x:v>
      </x:c>
      <x:c r="I19" s="36" t="n">
        <x:v>0</x:v>
      </x:c>
      <x:c r="J19" s="36" t="n">
        <x:v>0</x:v>
      </x:c>
      <x:c r="K19" s="36" t="n">
        <x:v>5</x:v>
      </x:c>
      <x:c r="L19" s="36" t="n">
        <x:v>5</x:v>
      </x:c>
      <x:c r="M19" s="36" t="n">
        <x:v>5</x:v>
      </x:c>
      <x:c r="N19" s="36" t="str">
        <x:v>FREIGEGEBEN</x:v>
      </x:c>
      <x:c r="O19" s="36" t="n">
        <x:v>0</x:v>
      </x:c>
      <x:c r="P19" s="36" t="n">
        <x:v>0</x:v>
      </x:c>
      <x:c r="Q19" s="36" t="n">
        <x:v>2</x:v>
      </x:c>
      <x:c r="R19" s="36" t="n">
        <x:v>3</x:v>
      </x:c>
      <x:c r="S19" s="36" t="n">
        <x:v>0</x:v>
      </x:c>
      <x:c r="T19" s="36" t="n">
        <x:v>0</x:v>
      </x:c>
      <x:c r="U19" s="36" t="str">
        <x:v>Matthäus 18: 5/5 ersetzt, gegen L1912 + OTB geprüft und freigegeben.</x:v>
      </x:c>
    </x:row>
    <x:row r="20">
      <x:c r="A20" s="36" t="n">
        <x:v>19</x:v>
      </x:c>
      <x:c r="B20" s="36" t="str">
        <x:v>MAT</x:v>
      </x:c>
      <x:c r="C20" s="36" t="str">
        <x:v>Matthäus</x:v>
      </x:c>
      <x:c r="D20" s="36" t="n">
        <x:v>19</x:v>
      </x:c>
      <x:c r="E20" s="36" t="str">
        <x:v>MAT-019</x:v>
      </x:c>
      <x:c r="F20" s="36" t="str">
        <x:v>FP-0351</x:v>
      </x:c>
      <x:c r="G20" s="36" t="str">
        <x:v>FP-0355</x:v>
      </x:c>
      <x:c r="H20" s="36" t="n">
        <x:v>0</x:v>
      </x:c>
      <x:c r="I20" s="36" t="n">
        <x:v>0</x:v>
      </x:c>
      <x:c r="J20" s="36" t="n">
        <x:v>0</x:v>
      </x:c>
      <x:c r="K20" s="36" t="n">
        <x:v>5</x:v>
      </x:c>
      <x:c r="L20" s="36" t="n">
        <x:v>5</x:v>
      </x:c>
      <x:c r="M20" s="36" t="n">
        <x:v>5</x:v>
      </x:c>
      <x:c r="N20" s="36" t="str">
        <x:v>FREIGEGEBEN</x:v>
      </x:c>
      <x:c r="O20" s="36" t="n">
        <x:v>0</x:v>
      </x:c>
      <x:c r="P20" s="36" t="n">
        <x:v>1</x:v>
      </x:c>
      <x:c r="Q20" s="36" t="n">
        <x:v>1</x:v>
      </x:c>
      <x:c r="R20" s="36" t="n">
        <x:v>3</x:v>
      </x:c>
      <x:c r="S20" s="36" t="n">
        <x:v>0</x:v>
      </x:c>
      <x:c r="T20" s="36" t="n">
        <x:v>0</x:v>
      </x:c>
      <x:c r="U20" s="36" t="str">
        <x:v>Matthäus 19: 5/5 ersetzt, gegen L1912 + OTB geprüft und freigegeben.</x:v>
      </x:c>
    </x:row>
    <x:row r="21">
      <x:c r="A21" s="36" t="n">
        <x:v>20</x:v>
      </x:c>
      <x:c r="B21" s="36" t="str">
        <x:v>MAT</x:v>
      </x:c>
      <x:c r="C21" s="36" t="str">
        <x:v>Matthäus</x:v>
      </x:c>
      <x:c r="D21" s="36" t="n">
        <x:v>20</x:v>
      </x:c>
      <x:c r="E21" s="36" t="str">
        <x:v>MAT-020</x:v>
      </x:c>
      <x:c r="F21" s="36" t="str">
        <x:v>FP-0356</x:v>
      </x:c>
      <x:c r="G21" s="36" t="str">
        <x:v>FP-0360</x:v>
      </x:c>
      <x:c r="H21" s="36" t="n">
        <x:v>0</x:v>
      </x:c>
      <x:c r="I21" s="36" t="n">
        <x:v>0</x:v>
      </x:c>
      <x:c r="J21" s="36" t="n">
        <x:v>0</x:v>
      </x:c>
      <x:c r="K21" s="36" t="n">
        <x:v>5</x:v>
      </x:c>
      <x:c r="L21" s="36" t="n">
        <x:v>5</x:v>
      </x:c>
      <x:c r="M21" s="36" t="n">
        <x:v>5</x:v>
      </x:c>
      <x:c r="N21" s="36" t="str">
        <x:v>FREIGEGEBEN</x:v>
      </x:c>
      <x:c r="O21" s="36" t="n">
        <x:v>3</x:v>
      </x:c>
      <x:c r="P21" s="36" t="n">
        <x:v>0</x:v>
      </x:c>
      <x:c r="Q21" s="36" t="n">
        <x:v>1</x:v>
      </x:c>
      <x:c r="R21" s="36" t="n">
        <x:v>1</x:v>
      </x:c>
      <x:c r="S21" s="36" t="n">
        <x:v>0</x:v>
      </x:c>
      <x:c r="T21" s="36" t="n">
        <x:v>0</x:v>
      </x:c>
      <x:c r="U21" s="36" t="str">
        <x:v>Matthäus 20: 5/5 ersetzt, gegen L1912 + OTB geprüft und freigegeben.</x:v>
      </x:c>
    </x:row>
    <x:row r="22">
      <x:c r="A22" s="36" t="n">
        <x:v>21</x:v>
      </x:c>
      <x:c r="B22" s="36" t="str">
        <x:v>MAT</x:v>
      </x:c>
      <x:c r="C22" s="36" t="str">
        <x:v>Matthäus</x:v>
      </x:c>
      <x:c r="D22" s="36" t="n">
        <x:v>21</x:v>
      </x:c>
      <x:c r="E22" s="36" t="str">
        <x:v>MAT-021</x:v>
      </x:c>
      <x:c r="F22" s="36" t="str">
        <x:v>FP-0361</x:v>
      </x:c>
      <x:c r="G22" s="36" t="str">
        <x:v>FP-0365</x:v>
      </x:c>
      <x:c r="H22" s="36" t="n">
        <x:v>0</x:v>
      </x:c>
      <x:c r="I22" s="36" t="n">
        <x:v>0</x:v>
      </x:c>
      <x:c r="J22" s="36" t="n">
        <x:v>0</x:v>
      </x:c>
      <x:c r="K22" s="36" t="n">
        <x:v>5</x:v>
      </x:c>
      <x:c r="L22" s="36" t="n">
        <x:v>5</x:v>
      </x:c>
      <x:c r="M22" s="36" t="n">
        <x:v>5</x:v>
      </x:c>
      <x:c r="N22" s="36" t="str">
        <x:v>FREIGEGEBEN</x:v>
      </x:c>
      <x:c r="O22" s="36" t="n">
        <x:v>1</x:v>
      </x:c>
      <x:c r="P22" s="36" t="n">
        <x:v>1</x:v>
      </x:c>
      <x:c r="Q22" s="36" t="n">
        <x:v>3</x:v>
      </x:c>
      <x:c r="R22" s="36" t="n">
        <x:v>0</x:v>
      </x:c>
      <x:c r="S22" s="36" t="n">
        <x:v>0</x:v>
      </x:c>
      <x:c r="T22" s="36" t="n">
        <x:v>0</x:v>
      </x:c>
      <x:c r="U22" s="36" t="str">
        <x:v>Matthäus 21: 5/5 ersetzt, gegen L1912 + OTB geprüft und freigegeben.</x:v>
      </x:c>
    </x:row>
    <x:row r="23">
      <x:c r="A23" s="36" t="n">
        <x:v>22</x:v>
      </x:c>
      <x:c r="B23" s="36" t="str">
        <x:v>MAT</x:v>
      </x:c>
      <x:c r="C23" s="36" t="str">
        <x:v>Matthäus</x:v>
      </x:c>
      <x:c r="D23" s="36" t="n">
        <x:v>22</x:v>
      </x:c>
      <x:c r="E23" s="36" t="str">
        <x:v>MAT-022</x:v>
      </x:c>
      <x:c r="F23" s="36" t="str">
        <x:v>FP-0366</x:v>
      </x:c>
      <x:c r="G23" s="36" t="str">
        <x:v>FP-0370</x:v>
      </x:c>
      <x:c r="H23" s="36" t="n">
        <x:v>0</x:v>
      </x:c>
      <x:c r="I23" s="36" t="n">
        <x:v>0</x:v>
      </x:c>
      <x:c r="J23" s="36" t="n">
        <x:v>0</x:v>
      </x:c>
      <x:c r="K23" s="36" t="n">
        <x:v>5</x:v>
      </x:c>
      <x:c r="L23" s="36" t="n">
        <x:v>5</x:v>
      </x:c>
      <x:c r="M23" s="36" t="n">
        <x:v>5</x:v>
      </x:c>
      <x:c r="N23" s="36" t="str">
        <x:v>FREIGEGEBEN</x:v>
      </x:c>
      <x:c r="O23" s="36" t="n">
        <x:v>1</x:v>
      </x:c>
      <x:c r="P23" s="36" t="n">
        <x:v>1</x:v>
      </x:c>
      <x:c r="Q23" s="36" t="n">
        <x:v>0</x:v>
      </x:c>
      <x:c r="R23" s="36" t="n">
        <x:v>3</x:v>
      </x:c>
      <x:c r="S23" s="36" t="n">
        <x:v>0</x:v>
      </x:c>
      <x:c r="T23" s="36" t="n">
        <x:v>0</x:v>
      </x:c>
      <x:c r="U23" s="36" t="str">
        <x:v>Matthäus 22: 5/5 ersetzt, gegen L1912 + OTB geprüft und freigegeben.</x:v>
      </x:c>
    </x:row>
    <x:row r="24">
      <x:c r="A24" s="36" t="n">
        <x:v>23</x:v>
      </x:c>
      <x:c r="B24" s="36" t="str">
        <x:v>MAT</x:v>
      </x:c>
      <x:c r="C24" s="36" t="str">
        <x:v>Matthäus</x:v>
      </x:c>
      <x:c r="D24" s="36" t="n">
        <x:v>23</x:v>
      </x:c>
      <x:c r="E24" s="36" t="str">
        <x:v>MAT-023</x:v>
      </x:c>
      <x:c r="F24" s="36" t="str">
        <x:v>FP-0371</x:v>
      </x:c>
      <x:c r="G24" s="36" t="str">
        <x:v>FP-0375</x:v>
      </x:c>
      <x:c r="H24" s="36" t="n">
        <x:v>0</x:v>
      </x:c>
      <x:c r="I24" s="36" t="n">
        <x:v>0</x:v>
      </x:c>
      <x:c r="J24" s="36" t="n">
        <x:v>0</x:v>
      </x:c>
      <x:c r="K24" s="36" t="n">
        <x:v>5</x:v>
      </x:c>
      <x:c r="L24" s="36" t="n">
        <x:v>5</x:v>
      </x:c>
      <x:c r="M24" s="36" t="n">
        <x:v>5</x:v>
      </x:c>
      <x:c r="N24" s="36" t="str">
        <x:v>FREIGEGEBEN</x:v>
      </x:c>
      <x:c r="O24" s="36" t="n">
        <x:v>0</x:v>
      </x:c>
      <x:c r="P24" s="36" t="n">
        <x:v>1</x:v>
      </x:c>
      <x:c r="Q24" s="36" t="n">
        <x:v>2</x:v>
      </x:c>
      <x:c r="R24" s="36" t="n">
        <x:v>2</x:v>
      </x:c>
      <x:c r="S24" s="36" t="n">
        <x:v>0</x:v>
      </x:c>
      <x:c r="T24" s="36" t="n">
        <x:v>0</x:v>
      </x:c>
      <x:c r="U24" s="36" t="str">
        <x:v>Matthäus 23: 5/5 ersetzt, gegen L1912 + OTB geprüft und freigegeben.</x:v>
      </x:c>
    </x:row>
    <x:row r="25">
      <x:c r="A25" s="36" t="n">
        <x:v>24</x:v>
      </x:c>
      <x:c r="B25" s="36" t="str">
        <x:v>MAT</x:v>
      </x:c>
      <x:c r="C25" s="36" t="str">
        <x:v>Matthäus</x:v>
      </x:c>
      <x:c r="D25" s="36" t="n">
        <x:v>24</x:v>
      </x:c>
      <x:c r="E25" s="36" t="str">
        <x:v>MAT-024</x:v>
      </x:c>
      <x:c r="F25" s="36" t="str">
        <x:v>FP-0376</x:v>
      </x:c>
      <x:c r="G25" s="36" t="str">
        <x:v>FP-0380</x:v>
      </x:c>
      <x:c r="H25" s="36" t="n">
        <x:v>0</x:v>
      </x:c>
      <x:c r="I25" s="36" t="n">
        <x:v>0</x:v>
      </x:c>
      <x:c r="J25" s="36" t="n">
        <x:v>0</x:v>
      </x:c>
      <x:c r="K25" s="36" t="n">
        <x:v>5</x:v>
      </x:c>
      <x:c r="L25" s="36" t="n">
        <x:v>5</x:v>
      </x:c>
      <x:c r="M25" s="36" t="n">
        <x:v>5</x:v>
      </x:c>
      <x:c r="N25" s="36" t="str">
        <x:v>FREIGEGEBEN</x:v>
      </x:c>
      <x:c r="O25" s="36" t="n">
        <x:v>1</x:v>
      </x:c>
      <x:c r="P25" s="36" t="n">
        <x:v>0</x:v>
      </x:c>
      <x:c r="Q25" s="36" t="n">
        <x:v>1</x:v>
      </x:c>
      <x:c r="R25" s="36" t="n">
        <x:v>2</x:v>
      </x:c>
      <x:c r="S25" s="36" t="n">
        <x:v>1</x:v>
      </x:c>
      <x:c r="T25" s="36" t="n">
        <x:v>0</x:v>
      </x:c>
      <x:c r="U25" s="36" t="str">
        <x:v>Matthäus 24: 5/5 ersetzt, gegen L1912 + OTB geprüft und freigegeben.</x:v>
      </x:c>
    </x:row>
    <x:row r="26">
      <x:c r="A26" s="36" t="n">
        <x:v>25</x:v>
      </x:c>
      <x:c r="B26" s="36" t="str">
        <x:v>MAT</x:v>
      </x:c>
      <x:c r="C26" s="36" t="str">
        <x:v>Matthäus</x:v>
      </x:c>
      <x:c r="D26" s="36" t="n">
        <x:v>25</x:v>
      </x:c>
      <x:c r="E26" s="36" t="str">
        <x:v>MAT-025</x:v>
      </x:c>
      <x:c r="F26" s="36" t="str">
        <x:v>FP-0381</x:v>
      </x:c>
      <x:c r="G26" s="36" t="str">
        <x:v>FP-0385</x:v>
      </x:c>
      <x:c r="H26" s="36" t="n">
        <x:v>0</x:v>
      </x:c>
      <x:c r="I26" s="36" t="n">
        <x:v>0</x:v>
      </x:c>
      <x:c r="J26" s="36" t="n">
        <x:v>0</x:v>
      </x:c>
      <x:c r="K26" s="36" t="n">
        <x:v>5</x:v>
      </x:c>
      <x:c r="L26" s="36" t="n">
        <x:v>5</x:v>
      </x:c>
      <x:c r="M26" s="36" t="n">
        <x:v>5</x:v>
      </x:c>
      <x:c r="N26" s="36" t="str">
        <x:v>FREIGEGEBEN</x:v>
      </x:c>
      <x:c r="O26" s="36" t="n">
        <x:v>0</x:v>
      </x:c>
      <x:c r="P26" s="36" t="n">
        <x:v>0</x:v>
      </x:c>
      <x:c r="Q26" s="36" t="n">
        <x:v>2</x:v>
      </x:c>
      <x:c r="R26" s="36" t="n">
        <x:v>2</x:v>
      </x:c>
      <x:c r="S26" s="36" t="n">
        <x:v>1</x:v>
      </x:c>
      <x:c r="T26" s="36" t="n">
        <x:v>0</x:v>
      </x:c>
      <x:c r="U26" s="36" t="str">
        <x:v>Matthäus 25: 5/5 ersetzt, gegen L1912 + OTB geprüft und freigegeben.</x:v>
      </x:c>
    </x:row>
    <x:row r="27">
      <x:c r="A27" s="36" t="n">
        <x:v>26</x:v>
      </x:c>
      <x:c r="B27" s="36" t="str">
        <x:v>MAT</x:v>
      </x:c>
      <x:c r="C27" s="36" t="str">
        <x:v>Matthäus</x:v>
      </x:c>
      <x:c r="D27" s="36" t="n">
        <x:v>26</x:v>
      </x:c>
      <x:c r="E27" s="36" t="str">
        <x:v>MAT-026</x:v>
      </x:c>
      <x:c r="F27" s="36" t="str">
        <x:v>FP-0386</x:v>
      </x:c>
      <x:c r="G27" s="36" t="str">
        <x:v>FP-0390</x:v>
      </x:c>
      <x:c r="H27" s="36" t="n">
        <x:v>0</x:v>
      </x:c>
      <x:c r="I27" s="36" t="n">
        <x:v>0</x:v>
      </x:c>
      <x:c r="J27" s="36" t="n">
        <x:v>0</x:v>
      </x:c>
      <x:c r="K27" s="36" t="n">
        <x:v>5</x:v>
      </x:c>
      <x:c r="L27" s="36" t="n">
        <x:v>5</x:v>
      </x:c>
      <x:c r="M27" s="36" t="n">
        <x:v>5</x:v>
      </x:c>
      <x:c r="N27" s="36" t="str">
        <x:v>FREIGEGEBEN</x:v>
      </x:c>
      <x:c r="O27" s="36" t="n">
        <x:v>1</x:v>
      </x:c>
      <x:c r="P27" s="36" t="n">
        <x:v>1</x:v>
      </x:c>
      <x:c r="Q27" s="36" t="n">
        <x:v>1</x:v>
      </x:c>
      <x:c r="R27" s="36" t="n">
        <x:v>1</x:v>
      </x:c>
      <x:c r="S27" s="36" t="n">
        <x:v>0</x:v>
      </x:c>
      <x:c r="T27" s="36" t="n">
        <x:v>1</x:v>
      </x:c>
      <x:c r="U27" s="36" t="str">
        <x:v>Matthäus 26: 5/5 ersetzt, gegen L1912 + OTB geprüft und freigegeben.</x:v>
      </x:c>
    </x:row>
    <x:row r="28">
      <x:c r="A28" s="36" t="n">
        <x:v>27</x:v>
      </x:c>
      <x:c r="B28" s="36" t="str">
        <x:v>MAT</x:v>
      </x:c>
      <x:c r="C28" s="36" t="str">
        <x:v>Matthäus</x:v>
      </x:c>
      <x:c r="D28" s="36" t="n">
        <x:v>27</x:v>
      </x:c>
      <x:c r="E28" s="36" t="str">
        <x:v>MAT-027</x:v>
      </x:c>
      <x:c r="F28" s="36" t="str">
        <x:v>FP-0391</x:v>
      </x:c>
      <x:c r="G28" s="36" t="str">
        <x:v>FP-0395</x:v>
      </x:c>
      <x:c r="H28" s="36" t="n">
        <x:v>0</x:v>
      </x:c>
      <x:c r="I28" s="36" t="n">
        <x:v>0</x:v>
      </x:c>
      <x:c r="J28" s="36" t="n">
        <x:v>0</x:v>
      </x:c>
      <x:c r="K28" s="36" t="n">
        <x:v>5</x:v>
      </x:c>
      <x:c r="L28" s="36" t="n">
        <x:v>5</x:v>
      </x:c>
      <x:c r="M28" s="36" t="n">
        <x:v>5</x:v>
      </x:c>
      <x:c r="N28" s="36" t="str">
        <x:v>FREIGEGEBEN</x:v>
      </x:c>
      <x:c r="O28" s="36" t="n">
        <x:v>3</x:v>
      </x:c>
      <x:c r="P28" s="36" t="n">
        <x:v>0</x:v>
      </x:c>
      <x:c r="Q28" s="36" t="n">
        <x:v>1</x:v>
      </x:c>
      <x:c r="R28" s="36" t="n">
        <x:v>0</x:v>
      </x:c>
      <x:c r="S28" s="36" t="n">
        <x:v>1</x:v>
      </x:c>
      <x:c r="T28" s="36" t="n">
        <x:v>0</x:v>
      </x:c>
      <x:c r="U28" s="36" t="str">
        <x:v>Matthäus 27: 5/5 ersetzt, gegen L1912 + OTB geprüft und freigegeben.</x:v>
      </x:c>
    </x:row>
    <x:row r="29">
      <x:c r="A29" s="36" t="n">
        <x:v>28</x:v>
      </x:c>
      <x:c r="B29" s="36" t="str">
        <x:v>MAT</x:v>
      </x:c>
      <x:c r="C29" s="36" t="str">
        <x:v>Matthäus</x:v>
      </x:c>
      <x:c r="D29" s="36" t="n">
        <x:v>28</x:v>
      </x:c>
      <x:c r="E29" s="36" t="str">
        <x:v>MAT-028</x:v>
      </x:c>
      <x:c r="F29" s="36" t="str">
        <x:v>FP-0396</x:v>
      </x:c>
      <x:c r="G29" s="36" t="str">
        <x:v>FP-0400</x:v>
      </x:c>
      <x:c r="H29" s="36" t="n">
        <x:v>0</x:v>
      </x:c>
      <x:c r="I29" s="36" t="n">
        <x:v>0</x:v>
      </x:c>
      <x:c r="J29" s="36" t="n">
        <x:v>0</x:v>
      </x:c>
      <x:c r="K29" s="36" t="n">
        <x:v>5</x:v>
      </x:c>
      <x:c r="L29" s="36" t="n">
        <x:v>5</x:v>
      </x:c>
      <x:c r="M29" s="36" t="n">
        <x:v>5</x:v>
      </x:c>
      <x:c r="N29" s="36" t="str">
        <x:v>FREIGEGEBEN</x:v>
      </x:c>
      <x:c r="O29" s="36" t="n">
        <x:v>2</x:v>
      </x:c>
      <x:c r="P29" s="36" t="n">
        <x:v>1</x:v>
      </x:c>
      <x:c r="Q29" s="36" t="n">
        <x:v>0</x:v>
      </x:c>
      <x:c r="R29" s="36" t="n">
        <x:v>2</x:v>
      </x:c>
      <x:c r="S29" s="36" t="n">
        <x:v>0</x:v>
      </x:c>
      <x:c r="T29" s="36" t="n">
        <x:v>0</x:v>
      </x:c>
      <x:c r="U29" s="36" t="str">
        <x:v>Matthäus 28: 5/5 ersetzt, gegen L1912 + OTB geprüft und freigegeben.</x:v>
      </x:c>
    </x:row>
    <x:row r="30">
      <x:c r="A30" s="36" t="n">
        <x:v>29</x:v>
      </x:c>
      <x:c r="B30" s="36" t="str">
        <x:v>MRK</x:v>
      </x:c>
      <x:c r="C30" s="36" t="str">
        <x:v>Markus</x:v>
      </x:c>
      <x:c r="D30" s="36" t="n">
        <x:v>1</x:v>
      </x:c>
      <x:c r="E30" s="36" t="str">
        <x:v>MRK-001</x:v>
      </x:c>
      <x:c r="F30" s="36" t="str">
        <x:v>FP-0401</x:v>
      </x:c>
      <x:c r="G30" s="36" t="str">
        <x:v>FP-0405</x:v>
      </x:c>
      <x:c r="H30" s="36" t="n">
        <x:v>0</x:v>
      </x:c>
      <x:c r="I30" s="36" t="n">
        <x:v>0</x:v>
      </x:c>
      <x:c r="J30" s="36" t="n">
        <x:v>0</x:v>
      </x:c>
      <x:c r="K30" s="36" t="n">
        <x:v>5</x:v>
      </x:c>
      <x:c r="L30" s="36" t="n">
        <x:v>5</x:v>
      </x:c>
      <x:c r="M30" s="36" t="n">
        <x:v>5</x:v>
      </x:c>
      <x:c r="N30" s="36" t="str">
        <x:v>FREIGEGEBEN</x:v>
      </x:c>
      <x:c r="O30" s="36" t="n">
        <x:v>2</x:v>
      </x:c>
      <x:c r="P30" s="36" t="n">
        <x:v>1</x:v>
      </x:c>
      <x:c r="Q30" s="36" t="n">
        <x:v>1</x:v>
      </x:c>
      <x:c r="R30" s="36" t="n">
        <x:v>0</x:v>
      </x:c>
      <x:c r="S30" s="36" t="n">
        <x:v>1</x:v>
      </x:c>
      <x:c r="T30" s="36" t="n">
        <x:v>0</x:v>
      </x:c>
      <x:c r="U30" s="36" t="str">
        <x:v>Markus 1: 5/5 ersetzt, gegen L1912 + OTB geprüft und freigegeben.</x:v>
      </x:c>
    </x:row>
    <x:row r="31">
      <x:c r="A31" s="36" t="n">
        <x:v>30</x:v>
      </x:c>
      <x:c r="B31" s="36" t="str">
        <x:v>MRK</x:v>
      </x:c>
      <x:c r="C31" s="36" t="str">
        <x:v>Markus</x:v>
      </x:c>
      <x:c r="D31" s="36" t="n">
        <x:v>2</x:v>
      </x:c>
      <x:c r="E31" s="36" t="str">
        <x:v>MRK-002</x:v>
      </x:c>
      <x:c r="F31" s="36" t="str">
        <x:v>FP-0406</x:v>
      </x:c>
      <x:c r="G31" s="36" t="str">
        <x:v>FP-0410</x:v>
      </x:c>
      <x:c r="H31" s="36" t="n">
        <x:v>0</x:v>
      </x:c>
      <x:c r="I31" s="36" t="n">
        <x:v>0</x:v>
      </x:c>
      <x:c r="J31" s="36" t="n">
        <x:v>0</x:v>
      </x:c>
      <x:c r="K31" s="36" t="n">
        <x:v>5</x:v>
      </x:c>
      <x:c r="L31" s="36" t="n">
        <x:v>5</x:v>
      </x:c>
      <x:c r="M31" s="36" t="n">
        <x:v>5</x:v>
      </x:c>
      <x:c r="N31" s="36" t="str">
        <x:v>FREIGEGEBEN</x:v>
      </x:c>
      <x:c r="O31" s="36" t="n">
        <x:v>1</x:v>
      </x:c>
      <x:c r="P31" s="36" t="n">
        <x:v>1</x:v>
      </x:c>
      <x:c r="Q31" s="36" t="n">
        <x:v>1</x:v>
      </x:c>
      <x:c r="R31" s="36" t="n">
        <x:v>2</x:v>
      </x:c>
      <x:c r="S31" s="36" t="n">
        <x:v>0</x:v>
      </x:c>
      <x:c r="T31" s="36" t="n">
        <x:v>0</x:v>
      </x:c>
      <x:c r="U31" s="36" t="str">
        <x:v>Markus 2: 5/5 ersetzt, gegen L1912 + OTB geprüft und freigegeben.</x:v>
      </x:c>
    </x:row>
    <x:row r="32">
      <x:c r="A32" s="36" t="n">
        <x:v>31</x:v>
      </x:c>
      <x:c r="B32" s="36" t="str">
        <x:v>MRK</x:v>
      </x:c>
      <x:c r="C32" s="36" t="str">
        <x:v>Markus</x:v>
      </x:c>
      <x:c r="D32" s="36" t="n">
        <x:v>3</x:v>
      </x:c>
      <x:c r="E32" s="36" t="str">
        <x:v>MRK-003</x:v>
      </x:c>
      <x:c r="F32" s="36" t="str">
        <x:v>FP-0411</x:v>
      </x:c>
      <x:c r="G32" s="36" t="str">
        <x:v>FP-0415</x:v>
      </x:c>
      <x:c r="H32" s="36" t="n">
        <x:v>0</x:v>
      </x:c>
      <x:c r="I32" s="36" t="n">
        <x:v>0</x:v>
      </x:c>
      <x:c r="J32" s="36" t="n">
        <x:v>0</x:v>
      </x:c>
      <x:c r="K32" s="36" t="n">
        <x:v>5</x:v>
      </x:c>
      <x:c r="L32" s="36" t="n">
        <x:v>5</x:v>
      </x:c>
      <x:c r="M32" s="36" t="n">
        <x:v>5</x:v>
      </x:c>
      <x:c r="N32" s="36" t="str">
        <x:v>FREIGEGEBEN</x:v>
      </x:c>
      <x:c r="O32" s="36" t="n">
        <x:v>1</x:v>
      </x:c>
      <x:c r="P32" s="36" t="n">
        <x:v>1</x:v>
      </x:c>
      <x:c r="Q32" s="36" t="n">
        <x:v>1</x:v>
      </x:c>
      <x:c r="R32" s="36" t="n">
        <x:v>2</x:v>
      </x:c>
      <x:c r="S32" s="36" t="n">
        <x:v>0</x:v>
      </x:c>
      <x:c r="T32" s="36" t="n">
        <x:v>0</x:v>
      </x:c>
      <x:c r="U32" s="36" t="str">
        <x:v>Markus 3: 5/5 ersetzt, gegen L1912 + OTB geprüft und freigegeben.</x:v>
      </x:c>
    </x:row>
    <x:row r="33">
      <x:c r="A33" s="36" t="n">
        <x:v>32</x:v>
      </x:c>
      <x:c r="B33" s="36" t="str">
        <x:v>MRK</x:v>
      </x:c>
      <x:c r="C33" s="36" t="str">
        <x:v>Markus</x:v>
      </x:c>
      <x:c r="D33" s="36" t="n">
        <x:v>4</x:v>
      </x:c>
      <x:c r="E33" s="36" t="str">
        <x:v>MRK-004</x:v>
      </x:c>
      <x:c r="F33" s="36" t="str">
        <x:v>FP-0416</x:v>
      </x:c>
      <x:c r="G33" s="36" t="str">
        <x:v>FP-0420</x:v>
      </x:c>
      <x:c r="H33" s="36" t="n">
        <x:v>0</x:v>
      </x:c>
      <x:c r="I33" s="36" t="n">
        <x:v>0</x:v>
      </x:c>
      <x:c r="J33" s="36" t="n">
        <x:v>0</x:v>
      </x:c>
      <x:c r="K33" s="36" t="n">
        <x:v>5</x:v>
      </x:c>
      <x:c r="L33" s="36" t="n">
        <x:v>5</x:v>
      </x:c>
      <x:c r="M33" s="36" t="n">
        <x:v>5</x:v>
      </x:c>
      <x:c r="N33" s="36" t="str">
        <x:v>FREIGEGEBEN</x:v>
      </x:c>
      <x:c r="O33" s="36" t="n">
        <x:v>2</x:v>
      </x:c>
      <x:c r="P33" s="36" t="n">
        <x:v>0</x:v>
      </x:c>
      <x:c r="Q33" s="36" t="n">
        <x:v>0</x:v>
      </x:c>
      <x:c r="R33" s="36" t="n">
        <x:v>2</x:v>
      </x:c>
      <x:c r="S33" s="36" t="n">
        <x:v>1</x:v>
      </x:c>
      <x:c r="T33" s="36" t="n">
        <x:v>0</x:v>
      </x:c>
      <x:c r="U33" s="36" t="str">
        <x:v>Markus 4: 5/5 ersetzt, gegen L1912 + OTB geprüft und freigegeben.</x:v>
      </x:c>
    </x:row>
    <x:row r="34">
      <x:c r="A34" s="36" t="n">
        <x:v>33</x:v>
      </x:c>
      <x:c r="B34" s="36" t="str">
        <x:v>MRK</x:v>
      </x:c>
      <x:c r="C34" s="36" t="str">
        <x:v>Markus</x:v>
      </x:c>
      <x:c r="D34" s="36" t="n">
        <x:v>5</x:v>
      </x:c>
      <x:c r="E34" s="36" t="str">
        <x:v>MRK-005</x:v>
      </x:c>
      <x:c r="F34" s="36" t="str">
        <x:v>FP-0421</x:v>
      </x:c>
      <x:c r="G34" s="36" t="str">
        <x:v>FP-0425</x:v>
      </x:c>
      <x:c r="H34" s="36" t="n">
        <x:v>0</x:v>
      </x:c>
      <x:c r="I34" s="36" t="n">
        <x:v>0</x:v>
      </x:c>
      <x:c r="J34" s="36" t="n">
        <x:v>0</x:v>
      </x:c>
      <x:c r="K34" s="36" t="n">
        <x:v>5</x:v>
      </x:c>
      <x:c r="L34" s="36" t="n">
        <x:v>5</x:v>
      </x:c>
      <x:c r="M34" s="36" t="n">
        <x:v>5</x:v>
      </x:c>
      <x:c r="N34" s="36" t="str">
        <x:v>FREIGEGEBEN</x:v>
      </x:c>
      <x:c r="O34" s="36" t="n">
        <x:v>2</x:v>
      </x:c>
      <x:c r="P34" s="36" t="n">
        <x:v>1</x:v>
      </x:c>
      <x:c r="Q34" s="36" t="n">
        <x:v>1</x:v>
      </x:c>
      <x:c r="R34" s="36" t="n">
        <x:v>0</x:v>
      </x:c>
      <x:c r="S34" s="36" t="n">
        <x:v>0</x:v>
      </x:c>
      <x:c r="T34" s="36" t="n">
        <x:v>1</x:v>
      </x:c>
      <x:c r="U34" s="36" t="str">
        <x:v>Markus 5: 5/5 ersetzt, gegen L1912 + OTB geprüft und freigegeben.</x:v>
      </x:c>
    </x:row>
    <x:row r="35">
      <x:c r="A35" s="36" t="n">
        <x:v>34</x:v>
      </x:c>
      <x:c r="B35" s="36" t="str">
        <x:v>MRK</x:v>
      </x:c>
      <x:c r="C35" s="36" t="str">
        <x:v>Markus</x:v>
      </x:c>
      <x:c r="D35" s="36" t="n">
        <x:v>6</x:v>
      </x:c>
      <x:c r="E35" s="36" t="str">
        <x:v>MRK-006</x:v>
      </x:c>
      <x:c r="F35" s="36" t="str">
        <x:v>FP-0426</x:v>
      </x:c>
      <x:c r="G35" s="36" t="str">
        <x:v>FP-0430</x:v>
      </x:c>
      <x:c r="H35" s="36" t="n">
        <x:v>0</x:v>
      </x:c>
      <x:c r="I35" s="36" t="n">
        <x:v>0</x:v>
      </x:c>
      <x:c r="J35" s="36" t="n">
        <x:v>0</x:v>
      </x:c>
      <x:c r="K35" s="36" t="n">
        <x:v>5</x:v>
      </x:c>
      <x:c r="L35" s="36" t="n">
        <x:v>5</x:v>
      </x:c>
      <x:c r="M35" s="36" t="n">
        <x:v>5</x:v>
      </x:c>
      <x:c r="N35" s="36" t="str">
        <x:v>FREIGEGEBEN</x:v>
      </x:c>
      <x:c r="O35" s="36" t="n">
        <x:v>3</x:v>
      </x:c>
      <x:c r="P35" s="36" t="n">
        <x:v>0</x:v>
      </x:c>
      <x:c r="Q35" s="36" t="n">
        <x:v>1</x:v>
      </x:c>
      <x:c r="R35" s="36" t="n">
        <x:v>0</x:v>
      </x:c>
      <x:c r="S35" s="36" t="n">
        <x:v>1</x:v>
      </x:c>
      <x:c r="T35" s="36" t="n">
        <x:v>0</x:v>
      </x:c>
      <x:c r="U35" s="36" t="str">
        <x:v>Markus 6: 5/5 ersetzt, gegen L1912 + OTB geprüft und freigegeben.</x:v>
      </x:c>
    </x:row>
    <x:row r="36">
      <x:c r="A36" s="36" t="n">
        <x:v>35</x:v>
      </x:c>
      <x:c r="B36" s="36" t="str">
        <x:v>MRK</x:v>
      </x:c>
      <x:c r="C36" s="36" t="str">
        <x:v>Markus</x:v>
      </x:c>
      <x:c r="D36" s="36" t="n">
        <x:v>7</x:v>
      </x:c>
      <x:c r="E36" s="36" t="str">
        <x:v>MRK-007</x:v>
      </x:c>
      <x:c r="F36" s="36" t="str">
        <x:v>FP-0431</x:v>
      </x:c>
      <x:c r="G36" s="36" t="str">
        <x:v>FP-0435</x:v>
      </x:c>
      <x:c r="H36" s="36" t="n">
        <x:v>0</x:v>
      </x:c>
      <x:c r="I36" s="36" t="n">
        <x:v>0</x:v>
      </x:c>
      <x:c r="J36" s="36" t="n">
        <x:v>0</x:v>
      </x:c>
      <x:c r="K36" s="36" t="n">
        <x:v>5</x:v>
      </x:c>
      <x:c r="L36" s="36" t="n">
        <x:v>5</x:v>
      </x:c>
      <x:c r="M36" s="36" t="n">
        <x:v>5</x:v>
      </x:c>
      <x:c r="N36" s="36" t="str">
        <x:v>FREIGEGEBEN</x:v>
      </x:c>
      <x:c r="O36" s="36" t="n">
        <x:v>2</x:v>
      </x:c>
      <x:c r="P36" s="36" t="n">
        <x:v>0</x:v>
      </x:c>
      <x:c r="Q36" s="36" t="n">
        <x:v>1</x:v>
      </x:c>
      <x:c r="R36" s="36" t="n">
        <x:v>2</x:v>
      </x:c>
      <x:c r="S36" s="36" t="n">
        <x:v>0</x:v>
      </x:c>
      <x:c r="T36" s="36" t="n">
        <x:v>0</x:v>
      </x:c>
      <x:c r="U36" s="36" t="str">
        <x:v>Markus 7: 5/5 ersetzt, gegen L1912 + OTB geprüft und freigegeben.</x:v>
      </x:c>
    </x:row>
    <x:row r="37">
      <x:c r="A37" s="36" t="n">
        <x:v>36</x:v>
      </x:c>
      <x:c r="B37" s="36" t="str">
        <x:v>MRK</x:v>
      </x:c>
      <x:c r="C37" s="36" t="str">
        <x:v>Markus</x:v>
      </x:c>
      <x:c r="D37" s="36" t="n">
        <x:v>8</x:v>
      </x:c>
      <x:c r="E37" s="36" t="str">
        <x:v>MRK-008</x:v>
      </x:c>
      <x:c r="F37" s="36" t="str">
        <x:v>FP-0436</x:v>
      </x:c>
      <x:c r="G37" s="36" t="str">
        <x:v>FP-0440</x:v>
      </x:c>
      <x:c r="H37" s="36" t="n">
        <x:v>0</x:v>
      </x:c>
      <x:c r="I37" s="36" t="n">
        <x:v>0</x:v>
      </x:c>
      <x:c r="J37" s="36" t="n">
        <x:v>0</x:v>
      </x:c>
      <x:c r="K37" s="36" t="n">
        <x:v>5</x:v>
      </x:c>
      <x:c r="L37" s="36" t="n">
        <x:v>5</x:v>
      </x:c>
      <x:c r="M37" s="36" t="n">
        <x:v>5</x:v>
      </x:c>
      <x:c r="N37" s="36" t="str">
        <x:v>FREIGEGEBEN</x:v>
      </x:c>
      <x:c r="O37" s="36" t="n">
        <x:v>1</x:v>
      </x:c>
      <x:c r="P37" s="36" t="n">
        <x:v>1</x:v>
      </x:c>
      <x:c r="Q37" s="36" t="n">
        <x:v>1</x:v>
      </x:c>
      <x:c r="R37" s="36" t="n">
        <x:v>1</x:v>
      </x:c>
      <x:c r="S37" s="36" t="n">
        <x:v>1</x:v>
      </x:c>
      <x:c r="T37" s="36" t="n">
        <x:v>0</x:v>
      </x:c>
      <x:c r="U37" s="36" t="str">
        <x:v>Markus 8: 5/5 ersetzt, gegen L1912 + OTB geprüft und freigegeben.</x:v>
      </x:c>
    </x:row>
    <x:row r="38">
      <x:c r="A38" s="36" t="n">
        <x:v>37</x:v>
      </x:c>
      <x:c r="B38" s="36" t="str">
        <x:v>MRK</x:v>
      </x:c>
      <x:c r="C38" s="36" t="str">
        <x:v>Markus</x:v>
      </x:c>
      <x:c r="D38" s="36" t="n">
        <x:v>9</x:v>
      </x:c>
      <x:c r="E38" s="36" t="str">
        <x:v>MRK-009</x:v>
      </x:c>
      <x:c r="F38" s="36" t="str">
        <x:v>FP-0441</x:v>
      </x:c>
      <x:c r="G38" s="36" t="str">
        <x:v>FP-0445</x:v>
      </x:c>
      <x:c r="H38" s="36" t="n">
        <x:v>0</x:v>
      </x:c>
      <x:c r="I38" s="36" t="n">
        <x:v>0</x:v>
      </x:c>
      <x:c r="J38" s="36" t="n">
        <x:v>0</x:v>
      </x:c>
      <x:c r="K38" s="36" t="n">
        <x:v>5</x:v>
      </x:c>
      <x:c r="L38" s="36" t="n">
        <x:v>5</x:v>
      </x:c>
      <x:c r="M38" s="36" t="n">
        <x:v>5</x:v>
      </x:c>
      <x:c r="N38" s="36" t="str">
        <x:v>FREIGEGEBEN</x:v>
      </x:c>
      <x:c r="O38" s="36" t="n">
        <x:v>1</x:v>
      </x:c>
      <x:c r="P38" s="36" t="n">
        <x:v>2</x:v>
      </x:c>
      <x:c r="Q38" s="36" t="n">
        <x:v>0</x:v>
      </x:c>
      <x:c r="R38" s="36" t="n">
        <x:v>2</x:v>
      </x:c>
      <x:c r="S38" s="36" t="n">
        <x:v>0</x:v>
      </x:c>
      <x:c r="T38" s="36" t="n">
        <x:v>0</x:v>
      </x:c>
      <x:c r="U38" s="36" t="str">
        <x:v>Markus 9: 5/5 ersetzt, gegen L1912 + OTB geprüft und freigegeben.</x:v>
      </x:c>
    </x:row>
    <x:row r="39">
      <x:c r="A39" s="36" t="n">
        <x:v>38</x:v>
      </x:c>
      <x:c r="B39" s="36" t="str">
        <x:v>MRK</x:v>
      </x:c>
      <x:c r="C39" s="36" t="str">
        <x:v>Markus</x:v>
      </x:c>
      <x:c r="D39" s="36" t="n">
        <x:v>10</x:v>
      </x:c>
      <x:c r="E39" s="36" t="str">
        <x:v>MRK-010</x:v>
      </x:c>
      <x:c r="F39" s="36" t="str">
        <x:v>FP-0446</x:v>
      </x:c>
      <x:c r="G39" s="36" t="str">
        <x:v>FP-0450</x:v>
      </x:c>
      <x:c r="H39" s="36" t="n">
        <x:v>0</x:v>
      </x:c>
      <x:c r="I39" s="36" t="n">
        <x:v>0</x:v>
      </x:c>
      <x:c r="J39" s="36" t="n">
        <x:v>0</x:v>
      </x:c>
      <x:c r="K39" s="36" t="n">
        <x:v>5</x:v>
      </x:c>
      <x:c r="L39" s="36" t="n">
        <x:v>5</x:v>
      </x:c>
      <x:c r="M39" s="36" t="n">
        <x:v>5</x:v>
      </x:c>
      <x:c r="N39" s="36" t="str">
        <x:v>FREIGEGEBEN</x:v>
      </x:c>
      <x:c r="O39" s="36" t="n">
        <x:v>2</x:v>
      </x:c>
      <x:c r="P39" s="36" t="n">
        <x:v>0</x:v>
      </x:c>
      <x:c r="Q39" s="36" t="n">
        <x:v>1</x:v>
      </x:c>
      <x:c r="R39" s="36" t="n">
        <x:v>2</x:v>
      </x:c>
      <x:c r="S39" s="36" t="n">
        <x:v>0</x:v>
      </x:c>
      <x:c r="T39" s="36" t="n">
        <x:v>0</x:v>
      </x:c>
      <x:c r="U39" s="36" t="str">
        <x:v>Markus 10: 5/5 ersetzt, gegen L1912 + OTB geprüft und freigegeben.</x:v>
      </x:c>
    </x:row>
    <x:row r="40">
      <x:c r="A40" s="36" t="n">
        <x:v>39</x:v>
      </x:c>
      <x:c r="B40" s="36" t="str">
        <x:v>MRK</x:v>
      </x:c>
      <x:c r="C40" s="36" t="str">
        <x:v>Markus</x:v>
      </x:c>
      <x:c r="D40" s="36" t="n">
        <x:v>11</x:v>
      </x:c>
      <x:c r="E40" s="36" t="str">
        <x:v>MRK-011</x:v>
      </x:c>
      <x:c r="F40" s="36" t="str">
        <x:v>FP-0451</x:v>
      </x:c>
      <x:c r="G40" s="36" t="str">
        <x:v>FP-0455</x:v>
      </x:c>
      <x:c r="H40" s="36" t="n">
        <x:v>0</x:v>
      </x:c>
      <x:c r="I40" s="36" t="n">
        <x:v>0</x:v>
      </x:c>
      <x:c r="J40" s="36" t="n">
        <x:v>0</x:v>
      </x:c>
      <x:c r="K40" s="36" t="n">
        <x:v>5</x:v>
      </x:c>
      <x:c r="L40" s="36" t="n">
        <x:v>5</x:v>
      </x:c>
      <x:c r="M40" s="36" t="n">
        <x:v>5</x:v>
      </x:c>
      <x:c r="N40" s="36" t="str">
        <x:v>FREIGEGEBEN</x:v>
      </x:c>
      <x:c r="O40" s="36" t="n">
        <x:v>2</x:v>
      </x:c>
      <x:c r="P40" s="36" t="n">
        <x:v>0</x:v>
      </x:c>
      <x:c r="Q40" s="36" t="n">
        <x:v>1</x:v>
      </x:c>
      <x:c r="R40" s="36" t="n">
        <x:v>2</x:v>
      </x:c>
      <x:c r="S40" s="36" t="n">
        <x:v>0</x:v>
      </x:c>
      <x:c r="T40" s="36" t="n">
        <x:v>0</x:v>
      </x:c>
      <x:c r="U40" s="36" t="str">
        <x:v>Markus 11: 5/5 ersetzt, gegen L1912 + OTB geprüft und freigegeben.</x:v>
      </x:c>
    </x:row>
    <x:row r="41">
      <x:c r="A41" s="36" t="n">
        <x:v>40</x:v>
      </x:c>
      <x:c r="B41" s="36" t="str">
        <x:v>MRK</x:v>
      </x:c>
      <x:c r="C41" s="36" t="str">
        <x:v>Markus</x:v>
      </x:c>
      <x:c r="D41" s="36" t="n">
        <x:v>12</x:v>
      </x:c>
      <x:c r="E41" s="36" t="str">
        <x:v>MRK-012</x:v>
      </x:c>
      <x:c r="F41" s="36" t="str">
        <x:v>FP-0456</x:v>
      </x:c>
      <x:c r="G41" s="36" t="str">
        <x:v>FP-0460</x:v>
      </x:c>
      <x:c r="H41" s="36" t="n">
        <x:v>0</x:v>
      </x:c>
      <x:c r="I41" s="36" t="n">
        <x:v>0</x:v>
      </x:c>
      <x:c r="J41" s="36" t="n">
        <x:v>0</x:v>
      </x:c>
      <x:c r="K41" s="36" t="n">
        <x:v>5</x:v>
      </x:c>
      <x:c r="L41" s="36" t="n">
        <x:v>5</x:v>
      </x:c>
      <x:c r="M41" s="36" t="n">
        <x:v>5</x:v>
      </x:c>
      <x:c r="N41" s="36" t="str">
        <x:v>FREIGEGEBEN</x:v>
      </x:c>
      <x:c r="O41" s="36" t="n">
        <x:v>1</x:v>
      </x:c>
      <x:c r="P41" s="36" t="n">
        <x:v>0</x:v>
      </x:c>
      <x:c r="Q41" s="36" t="n">
        <x:v>1</x:v>
      </x:c>
      <x:c r="R41" s="36" t="n">
        <x:v>3</x:v>
      </x:c>
      <x:c r="S41" s="36" t="n">
        <x:v>0</x:v>
      </x:c>
      <x:c r="T41" s="36" t="n">
        <x:v>0</x:v>
      </x:c>
      <x:c r="U41" s="36" t="str">
        <x:v>Markus 12: 5/5 ersetzt, gegen L1912 + OTB geprüft und freigegeben.</x:v>
      </x:c>
    </x:row>
    <x:row r="42">
      <x:c r="A42" s="36" t="n">
        <x:v>41</x:v>
      </x:c>
      <x:c r="B42" s="36" t="str">
        <x:v>MRK</x:v>
      </x:c>
      <x:c r="C42" s="36" t="str">
        <x:v>Markus</x:v>
      </x:c>
      <x:c r="D42" s="36" t="n">
        <x:v>13</x:v>
      </x:c>
      <x:c r="E42" s="36" t="str">
        <x:v>MRK-013</x:v>
      </x:c>
      <x:c r="F42" s="36" t="str">
        <x:v>FP-0461</x:v>
      </x:c>
      <x:c r="G42" s="36" t="str">
        <x:v>FP-0465</x:v>
      </x:c>
      <x:c r="H42" s="36" t="n">
        <x:v>0</x:v>
      </x:c>
      <x:c r="I42" s="36" t="n">
        <x:v>0</x:v>
      </x:c>
      <x:c r="J42" s="36" t="n">
        <x:v>0</x:v>
      </x:c>
      <x:c r="K42" s="36" t="n">
        <x:v>5</x:v>
      </x:c>
      <x:c r="L42" s="36" t="n">
        <x:v>5</x:v>
      </x:c>
      <x:c r="M42" s="36" t="n">
        <x:v>5</x:v>
      </x:c>
      <x:c r="N42" s="36" t="str">
        <x:v>FREIGEGEBEN</x:v>
      </x:c>
      <x:c r="O42" s="36" t="n">
        <x:v>1</x:v>
      </x:c>
      <x:c r="P42" s="36" t="n">
        <x:v>0</x:v>
      </x:c>
      <x:c r="Q42" s="36" t="n">
        <x:v>0</x:v>
      </x:c>
      <x:c r="R42" s="36" t="n">
        <x:v>3</x:v>
      </x:c>
      <x:c r="S42" s="36" t="n">
        <x:v>1</x:v>
      </x:c>
      <x:c r="T42" s="36" t="n">
        <x:v>0</x:v>
      </x:c>
      <x:c r="U42" s="36" t="str">
        <x:v>Markus 13: 5/5 ersetzt, gegen L1912 + OTB geprüft und freigegeben.</x:v>
      </x:c>
    </x:row>
    <x:row r="43">
      <x:c r="A43" s="36" t="n">
        <x:v>42</x:v>
      </x:c>
      <x:c r="B43" s="36" t="str">
        <x:v>MRK</x:v>
      </x:c>
      <x:c r="C43" s="36" t="str">
        <x:v>Markus</x:v>
      </x:c>
      <x:c r="D43" s="36" t="n">
        <x:v>14</x:v>
      </x:c>
      <x:c r="E43" s="36" t="str">
        <x:v>MRK-014</x:v>
      </x:c>
      <x:c r="F43" s="36" t="str">
        <x:v>FP-0466</x:v>
      </x:c>
      <x:c r="G43" s="36" t="str">
        <x:v>FP-0470</x:v>
      </x:c>
      <x:c r="H43" s="36" t="n">
        <x:v>0</x:v>
      </x:c>
      <x:c r="I43" s="36" t="n">
        <x:v>0</x:v>
      </x:c>
      <x:c r="J43" s="36" t="n">
        <x:v>0</x:v>
      </x:c>
      <x:c r="K43" s="36" t="n">
        <x:v>5</x:v>
      </x:c>
      <x:c r="L43" s="36" t="n">
        <x:v>5</x:v>
      </x:c>
      <x:c r="M43" s="36" t="n">
        <x:v>5</x:v>
      </x:c>
      <x:c r="N43" s="36" t="str">
        <x:v>FREIGEGEBEN</x:v>
      </x:c>
      <x:c r="O43" s="36" t="n">
        <x:v>2</x:v>
      </x:c>
      <x:c r="P43" s="36" t="n">
        <x:v>1</x:v>
      </x:c>
      <x:c r="Q43" s="36" t="n">
        <x:v>1</x:v>
      </x:c>
      <x:c r="R43" s="36" t="n">
        <x:v>1</x:v>
      </x:c>
      <x:c r="S43" s="36" t="n">
        <x:v>0</x:v>
      </x:c>
      <x:c r="T43" s="36" t="n">
        <x:v>0</x:v>
      </x:c>
      <x:c r="U43" s="36" t="str">
        <x:v>Markus 14: 5/5 ersetzt, gegen L1912 + OTB geprüft und freigegeben.</x:v>
      </x:c>
    </x:row>
    <x:row r="44">
      <x:c r="A44" s="36" t="n">
        <x:v>43</x:v>
      </x:c>
      <x:c r="B44" s="36" t="str">
        <x:v>MRK</x:v>
      </x:c>
      <x:c r="C44" s="36" t="str">
        <x:v>Markus</x:v>
      </x:c>
      <x:c r="D44" s="36" t="n">
        <x:v>15</x:v>
      </x:c>
      <x:c r="E44" s="36" t="str">
        <x:v>MRK-015</x:v>
      </x:c>
      <x:c r="F44" s="36" t="str">
        <x:v>FP-0471</x:v>
      </x:c>
      <x:c r="G44" s="36" t="str">
        <x:v>FP-0475</x:v>
      </x:c>
      <x:c r="H44" s="36" t="n">
        <x:v>0</x:v>
      </x:c>
      <x:c r="I44" s="36" t="n">
        <x:v>0</x:v>
      </x:c>
      <x:c r="J44" s="36" t="n">
        <x:v>0</x:v>
      </x:c>
      <x:c r="K44" s="36" t="n">
        <x:v>5</x:v>
      </x:c>
      <x:c r="L44" s="36" t="n">
        <x:v>5</x:v>
      </x:c>
      <x:c r="M44" s="36" t="n">
        <x:v>5</x:v>
      </x:c>
      <x:c r="N44" s="36" t="str">
        <x:v>FREIGEGEBEN</x:v>
      </x:c>
      <x:c r="O44" s="36" t="n">
        <x:v>3</x:v>
      </x:c>
      <x:c r="P44" s="36" t="n">
        <x:v>0</x:v>
      </x:c>
      <x:c r="Q44" s="36" t="n">
        <x:v>0</x:v>
      </x:c>
      <x:c r="R44" s="36" t="n">
        <x:v>1</x:v>
      </x:c>
      <x:c r="S44" s="36" t="n">
        <x:v>0</x:v>
      </x:c>
      <x:c r="T44" s="36" t="n">
        <x:v>1</x:v>
      </x:c>
      <x:c r="U44" s="36" t="str">
        <x:v>Markus 15: 5/5 ersetzt, gegen L1912 + OTB geprüft und freigegeben.</x:v>
      </x:c>
    </x:row>
    <x:row r="45">
      <x:c r="A45" s="36" t="n">
        <x:v>44</x:v>
      </x:c>
      <x:c r="B45" s="36" t="str">
        <x:v>MRK</x:v>
      </x:c>
      <x:c r="C45" s="36" t="str">
        <x:v>Markus</x:v>
      </x:c>
      <x:c r="D45" s="36" t="n">
        <x:v>16</x:v>
      </x:c>
      <x:c r="E45" s="36" t="str">
        <x:v>MRK-016</x:v>
      </x:c>
      <x:c r="F45" s="36" t="str">
        <x:v>FP-0476</x:v>
      </x:c>
      <x:c r="G45" s="36" t="str">
        <x:v>FP-0480</x:v>
      </x:c>
      <x:c r="H45" s="36" t="n">
        <x:v>0</x:v>
      </x:c>
      <x:c r="I45" s="36" t="n">
        <x:v>0</x:v>
      </x:c>
      <x:c r="J45" s="36" t="n">
        <x:v>0</x:v>
      </x:c>
      <x:c r="K45" s="36" t="n">
        <x:v>5</x:v>
      </x:c>
      <x:c r="L45" s="36" t="n">
        <x:v>5</x:v>
      </x:c>
      <x:c r="M45" s="36" t="n">
        <x:v>5</x:v>
      </x:c>
      <x:c r="N45" s="36" t="str">
        <x:v>FREIGEGEBEN</x:v>
      </x:c>
      <x:c r="O45" s="36" t="n">
        <x:v>3</x:v>
      </x:c>
      <x:c r="P45" s="36" t="n">
        <x:v>1</x:v>
      </x:c>
      <x:c r="Q45" s="36" t="n">
        <x:v>0</x:v>
      </x:c>
      <x:c r="R45" s="36" t="n">
        <x:v>0</x:v>
      </x:c>
      <x:c r="S45" s="36" t="n">
        <x:v>0</x:v>
      </x:c>
      <x:c r="T45" s="36" t="n">
        <x:v>1</x:v>
      </x:c>
      <x:c r="U45" s="36" t="str">
        <x:v>Markus 16: 5/5 ersetzt, gegen L1912 + OTB geprüft und freigegeben.</x:v>
      </x:c>
    </x:row>
    <x:row r="46">
      <x:c r="A46" s="36" t="n">
        <x:v>45</x:v>
      </x:c>
      <x:c r="B46" s="36" t="str">
        <x:v>LUK</x:v>
      </x:c>
      <x:c r="C46" s="36" t="str">
        <x:v>Lukas</x:v>
      </x:c>
      <x:c r="D46" s="36" t="n">
        <x:v>1</x:v>
      </x:c>
      <x:c r="E46" s="36" t="str">
        <x:v>LUK-001</x:v>
      </x:c>
      <x:c r="F46" s="36" t="str">
        <x:v>FP-0481</x:v>
      </x:c>
      <x:c r="G46" s="36" t="str">
        <x:v>FP-0485</x:v>
      </x:c>
      <x:c r="H46" s="36" t="n">
        <x:v>0</x:v>
      </x:c>
      <x:c r="I46" s="36" t="n">
        <x:v>0</x:v>
      </x:c>
      <x:c r="J46" s="36" t="n">
        <x:v>0</x:v>
      </x:c>
      <x:c r="K46" s="36" t="n">
        <x:v>5</x:v>
      </x:c>
      <x:c r="L46" s="36" t="n">
        <x:v>5</x:v>
      </x:c>
      <x:c r="M46" s="36" t="n">
        <x:v>5</x:v>
      </x:c>
      <x:c r="N46" s="36" t="str">
        <x:v>FREIGEGEBEN</x:v>
      </x:c>
      <x:c r="O46" s="36" t="n">
        <x:v>1</x:v>
      </x:c>
      <x:c r="P46" s="36" t="n">
        <x:v>1</x:v>
      </x:c>
      <x:c r="Q46" s="36" t="n">
        <x:v>1</x:v>
      </x:c>
      <x:c r="R46" s="36" t="n">
        <x:v>2</x:v>
      </x:c>
      <x:c r="S46" s="36" t="n">
        <x:v>0</x:v>
      </x:c>
      <x:c r="T46" s="36" t="n">
        <x:v>0</x:v>
      </x:c>
      <x:c r="U46" s="36" t="str">
        <x:v>Lukas 1: 5/5 ersetzt, gegen L1912 + OTB geprüft und freigegeben.</x:v>
      </x:c>
    </x:row>
    <x:row r="47">
      <x:c r="A47" s="36" t="n">
        <x:v>46</x:v>
      </x:c>
      <x:c r="B47" s="36" t="str">
        <x:v>LUK</x:v>
      </x:c>
      <x:c r="C47" s="36" t="str">
        <x:v>Lukas</x:v>
      </x:c>
      <x:c r="D47" s="36" t="n">
        <x:v>2</x:v>
      </x:c>
      <x:c r="E47" s="36" t="str">
        <x:v>LUK-002</x:v>
      </x:c>
      <x:c r="F47" s="36" t="str">
        <x:v>FP-0486</x:v>
      </x:c>
      <x:c r="G47" s="36" t="str">
        <x:v>FP-0490</x:v>
      </x:c>
      <x:c r="H47" s="36" t="n">
        <x:v>0</x:v>
      </x:c>
      <x:c r="I47" s="36" t="n">
        <x:v>0</x:v>
      </x:c>
      <x:c r="J47" s="36" t="n">
        <x:v>0</x:v>
      </x:c>
      <x:c r="K47" s="36" t="n">
        <x:v>5</x:v>
      </x:c>
      <x:c r="L47" s="36" t="n">
        <x:v>5</x:v>
      </x:c>
      <x:c r="M47" s="36" t="n">
        <x:v>5</x:v>
      </x:c>
      <x:c r="N47" s="36" t="str">
        <x:v>FREIGEGEBEN</x:v>
      </x:c>
      <x:c r="O47" s="36" t="n">
        <x:v>2</x:v>
      </x:c>
      <x:c r="P47" s="36" t="n">
        <x:v>1</x:v>
      </x:c>
      <x:c r="Q47" s="36" t="n">
        <x:v>0</x:v>
      </x:c>
      <x:c r="R47" s="36" t="n">
        <x:v>1</x:v>
      </x:c>
      <x:c r="S47" s="36" t="n">
        <x:v>1</x:v>
      </x:c>
      <x:c r="T47" s="36" t="n">
        <x:v>0</x:v>
      </x:c>
      <x:c r="U47" s="36" t="str">
        <x:v>Lukas 2: 5/5 ersetzt, gegen L1912 + OTB geprüft und freigegeben.</x:v>
      </x:c>
    </x:row>
    <x:row r="48">
      <x:c r="A48" s="36" t="n">
        <x:v>47</x:v>
      </x:c>
      <x:c r="B48" s="36" t="str">
        <x:v>LUK</x:v>
      </x:c>
      <x:c r="C48" s="36" t="str">
        <x:v>Lukas</x:v>
      </x:c>
      <x:c r="D48" s="36" t="n">
        <x:v>3</x:v>
      </x:c>
      <x:c r="E48" s="36" t="str">
        <x:v>LUK-003</x:v>
      </x:c>
      <x:c r="F48" s="36" t="str">
        <x:v>FP-0491</x:v>
      </x:c>
      <x:c r="G48" s="36" t="str">
        <x:v>FP-0495</x:v>
      </x:c>
      <x:c r="H48" s="36" t="n">
        <x:v>0</x:v>
      </x:c>
      <x:c r="I48" s="36" t="n">
        <x:v>0</x:v>
      </x:c>
      <x:c r="J48" s="36" t="n">
        <x:v>0</x:v>
      </x:c>
      <x:c r="K48" s="36" t="n">
        <x:v>5</x:v>
      </x:c>
      <x:c r="L48" s="36" t="n">
        <x:v>5</x:v>
      </x:c>
      <x:c r="M48" s="36" t="n">
        <x:v>5</x:v>
      </x:c>
      <x:c r="N48" s="36" t="str">
        <x:v>FREIGEGEBEN</x:v>
      </x:c>
      <x:c r="O48" s="36" t="n">
        <x:v>1</x:v>
      </x:c>
      <x:c r="P48" s="36" t="n">
        <x:v>1</x:v>
      </x:c>
      <x:c r="Q48" s="36" t="n">
        <x:v>0</x:v>
      </x:c>
      <x:c r="R48" s="36" t="n">
        <x:v>1</x:v>
      </x:c>
      <x:c r="S48" s="36" t="n">
        <x:v>1</x:v>
      </x:c>
      <x:c r="T48" s="36" t="n">
        <x:v>1</x:v>
      </x:c>
      <x:c r="U48" s="36" t="str">
        <x:v>Lukas 3: 5/5 ersetzt, gegen L1912 + OTB geprüft und freigegeben.</x:v>
      </x:c>
    </x:row>
    <x:row r="49">
      <x:c r="A49" s="36" t="n">
        <x:v>48</x:v>
      </x:c>
      <x:c r="B49" s="36" t="str">
        <x:v>LUK</x:v>
      </x:c>
      <x:c r="C49" s="36" t="str">
        <x:v>Lukas</x:v>
      </x:c>
      <x:c r="D49" s="36" t="n">
        <x:v>4</x:v>
      </x:c>
      <x:c r="E49" s="36" t="str">
        <x:v>LUK-004</x:v>
      </x:c>
      <x:c r="F49" s="36" t="str">
        <x:v>FP-0496</x:v>
      </x:c>
      <x:c r="G49" s="36" t="str">
        <x:v>FP-0500</x:v>
      </x:c>
      <x:c r="H49" s="36" t="n">
        <x:v>0</x:v>
      </x:c>
      <x:c r="I49" s="36" t="n">
        <x:v>0</x:v>
      </x:c>
      <x:c r="J49" s="36" t="n">
        <x:v>0</x:v>
      </x:c>
      <x:c r="K49" s="36" t="n">
        <x:v>5</x:v>
      </x:c>
      <x:c r="L49" s="36" t="n">
        <x:v>5</x:v>
      </x:c>
      <x:c r="M49" s="36" t="n">
        <x:v>5</x:v>
      </x:c>
      <x:c r="N49" s="36" t="str">
        <x:v>FREIGEGEBEN</x:v>
      </x:c>
      <x:c r="O49" s="36" t="n">
        <x:v>2</x:v>
      </x:c>
      <x:c r="P49" s="36" t="n">
        <x:v>1</x:v>
      </x:c>
      <x:c r="Q49" s="36" t="n">
        <x:v>1</x:v>
      </x:c>
      <x:c r="R49" s="36" t="n">
        <x:v>1</x:v>
      </x:c>
      <x:c r="S49" s="36" t="n">
        <x:v>0</x:v>
      </x:c>
      <x:c r="T49" s="36" t="n">
        <x:v>0</x:v>
      </x:c>
      <x:c r="U49" s="36" t="str">
        <x:v>Lukas 4: 5/5 ersetzt, gegen L1912 + OTB geprüft und freigegeben.</x:v>
      </x:c>
    </x:row>
    <x:row r="50">
      <x:c r="A50" s="36" t="n">
        <x:v>49</x:v>
      </x:c>
      <x:c r="B50" s="36" t="str">
        <x:v>LUK</x:v>
      </x:c>
      <x:c r="C50" s="36" t="str">
        <x:v>Lukas</x:v>
      </x:c>
      <x:c r="D50" s="36" t="n">
        <x:v>5</x:v>
      </x:c>
      <x:c r="E50" s="36" t="str">
        <x:v>LUK-005</x:v>
      </x:c>
      <x:c r="F50" s="36" t="str">
        <x:v>FP-0501</x:v>
      </x:c>
      <x:c r="G50" s="36" t="str">
        <x:v>FP-0505</x:v>
      </x:c>
      <x:c r="H50" s="36" t="n">
        <x:v>0</x:v>
      </x:c>
      <x:c r="I50" s="36" t="n">
        <x:v>0</x:v>
      </x:c>
      <x:c r="J50" s="36" t="n">
        <x:v>0</x:v>
      </x:c>
      <x:c r="K50" s="36" t="n">
        <x:v>5</x:v>
      </x:c>
      <x:c r="L50" s="36" t="n">
        <x:v>5</x:v>
      </x:c>
      <x:c r="M50" s="36" t="n">
        <x:v>5</x:v>
      </x:c>
      <x:c r="N50" s="36" t="str">
        <x:v>FREIGEGEBEN</x:v>
      </x:c>
      <x:c r="O50" s="36" t="n">
        <x:v>1</x:v>
      </x:c>
      <x:c r="P50" s="36" t="n">
        <x:v>0</x:v>
      </x:c>
      <x:c r="Q50" s="36" t="n">
        <x:v>2</x:v>
      </x:c>
      <x:c r="R50" s="36" t="n">
        <x:v>2</x:v>
      </x:c>
      <x:c r="S50" s="36" t="n">
        <x:v>0</x:v>
      </x:c>
      <x:c r="T50" s="36" t="n">
        <x:v>0</x:v>
      </x:c>
      <x:c r="U50" s="36" t="str">
        <x:v>Lukas 5: 5/5 ersetzt, gegen L1912 + OTB geprüft und freigegeben.</x:v>
      </x:c>
    </x:row>
    <x:row r="51">
      <x:c r="A51" s="36" t="n">
        <x:v>50</x:v>
      </x:c>
      <x:c r="B51" s="36" t="str">
        <x:v>LUK</x:v>
      </x:c>
      <x:c r="C51" s="36" t="str">
        <x:v>Lukas</x:v>
      </x:c>
      <x:c r="D51" s="36" t="n">
        <x:v>6</x:v>
      </x:c>
      <x:c r="E51" s="36" t="str">
        <x:v>LUK-006</x:v>
      </x:c>
      <x:c r="F51" s="36" t="str">
        <x:v>FP-0506</x:v>
      </x:c>
      <x:c r="G51" s="36" t="str">
        <x:v>FP-0510</x:v>
      </x:c>
      <x:c r="H51" s="36" t="n">
        <x:v>0</x:v>
      </x:c>
      <x:c r="I51" s="36" t="n">
        <x:v>0</x:v>
      </x:c>
      <x:c r="J51" s="36" t="n">
        <x:v>0</x:v>
      </x:c>
      <x:c r="K51" s="36" t="n">
        <x:v>5</x:v>
      </x:c>
      <x:c r="L51" s="36" t="n">
        <x:v>5</x:v>
      </x:c>
      <x:c r="M51" s="36" t="n">
        <x:v>5</x:v>
      </x:c>
      <x:c r="N51" s="36" t="str">
        <x:v>FREIGEGEBEN</x:v>
      </x:c>
      <x:c r="O51" s="36" t="n">
        <x:v>0</x:v>
      </x:c>
      <x:c r="P51" s="36" t="n">
        <x:v>0</x:v>
      </x:c>
      <x:c r="Q51" s="36" t="n">
        <x:v>1</x:v>
      </x:c>
      <x:c r="R51" s="36" t="n">
        <x:v>3</x:v>
      </x:c>
      <x:c r="S51" s="36" t="n">
        <x:v>1</x:v>
      </x:c>
      <x:c r="T51" s="36" t="n">
        <x:v>0</x:v>
      </x:c>
      <x:c r="U51" s="36" t="str">
        <x:v>Lukas 6: 5/5 ersetzt, gegen L1912 + OTB geprüft und freigegeben.</x:v>
      </x:c>
    </x:row>
    <x:row r="52">
      <x:c r="A52" s="36" t="n">
        <x:v>51</x:v>
      </x:c>
      <x:c r="B52" s="36" t="str">
        <x:v>LUK</x:v>
      </x:c>
      <x:c r="C52" s="36" t="str">
        <x:v>Lukas</x:v>
      </x:c>
      <x:c r="D52" s="36" t="n">
        <x:v>7</x:v>
      </x:c>
      <x:c r="E52" s="36" t="str">
        <x:v>LUK-007</x:v>
      </x:c>
      <x:c r="F52" s="36" t="str">
        <x:v>FP-0511</x:v>
      </x:c>
      <x:c r="G52" s="36" t="str">
        <x:v>FP-0515</x:v>
      </x:c>
      <x:c r="H52" s="36" t="n">
        <x:v>0</x:v>
      </x:c>
      <x:c r="I52" s="36" t="n">
        <x:v>0</x:v>
      </x:c>
      <x:c r="J52" s="36" t="n">
        <x:v>0</x:v>
      </x:c>
      <x:c r="K52" s="36" t="n">
        <x:v>5</x:v>
      </x:c>
      <x:c r="L52" s="36" t="n">
        <x:v>5</x:v>
      </x:c>
      <x:c r="M52" s="36" t="n">
        <x:v>5</x:v>
      </x:c>
      <x:c r="N52" s="36" t="str">
        <x:v>FREIGEGEBEN</x:v>
      </x:c>
      <x:c r="O52" s="36" t="n">
        <x:v>1</x:v>
      </x:c>
      <x:c r="P52" s="36" t="n">
        <x:v>0</x:v>
      </x:c>
      <x:c r="Q52" s="36" t="n">
        <x:v>2</x:v>
      </x:c>
      <x:c r="R52" s="36" t="n">
        <x:v>2</x:v>
      </x:c>
      <x:c r="S52" s="36" t="n">
        <x:v>0</x:v>
      </x:c>
      <x:c r="T52" s="36" t="n">
        <x:v>0</x:v>
      </x:c>
      <x:c r="U52" s="36" t="str">
        <x:v>Lukas 7: 5/5 ersetzt, gegen L1912 + OTB geprüft und freigegeben.</x:v>
      </x:c>
    </x:row>
    <x:row r="53">
      <x:c r="A53" s="36" t="n">
        <x:v>52</x:v>
      </x:c>
      <x:c r="B53" s="36" t="str">
        <x:v>LUK</x:v>
      </x:c>
      <x:c r="C53" s="36" t="str">
        <x:v>Lukas</x:v>
      </x:c>
      <x:c r="D53" s="36" t="n">
        <x:v>8</x:v>
      </x:c>
      <x:c r="E53" s="36" t="str">
        <x:v>LUK-008</x:v>
      </x:c>
      <x:c r="F53" s="36" t="str">
        <x:v>FP-0516</x:v>
      </x:c>
      <x:c r="G53" s="36" t="str">
        <x:v>FP-0520</x:v>
      </x:c>
      <x:c r="H53" s="36" t="n">
        <x:v>0</x:v>
      </x:c>
      <x:c r="I53" s="36" t="n">
        <x:v>0</x:v>
      </x:c>
      <x:c r="J53" s="36" t="n">
        <x:v>0</x:v>
      </x:c>
      <x:c r="K53" s="36" t="n">
        <x:v>5</x:v>
      </x:c>
      <x:c r="L53" s="36" t="n">
        <x:v>5</x:v>
      </x:c>
      <x:c r="M53" s="36" t="n">
        <x:v>5</x:v>
      </x:c>
      <x:c r="N53" s="36" t="str">
        <x:v>FREIGEGEBEN</x:v>
      </x:c>
      <x:c r="O53" s="36" t="n">
        <x:v>1</x:v>
      </x:c>
      <x:c r="P53" s="36" t="n">
        <x:v>1</x:v>
      </x:c>
      <x:c r="Q53" s="36" t="n">
        <x:v>0</x:v>
      </x:c>
      <x:c r="R53" s="36" t="n">
        <x:v>2</x:v>
      </x:c>
      <x:c r="S53" s="36" t="n">
        <x:v>0</x:v>
      </x:c>
      <x:c r="T53" s="36" t="n">
        <x:v>1</x:v>
      </x:c>
      <x:c r="U53" s="36" t="str">
        <x:v>Lukas 8: 5/5 ersetzt, gegen L1912 + OTB geprüft und freigegeben.</x:v>
      </x:c>
    </x:row>
    <x:row r="54">
      <x:c r="A54" s="36" t="n">
        <x:v>53</x:v>
      </x:c>
      <x:c r="B54" s="36" t="str">
        <x:v>LUK</x:v>
      </x:c>
      <x:c r="C54" s="36" t="str">
        <x:v>Lukas</x:v>
      </x:c>
      <x:c r="D54" s="36" t="n">
        <x:v>9</x:v>
      </x:c>
      <x:c r="E54" s="36" t="str">
        <x:v>LUK-009</x:v>
      </x:c>
      <x:c r="F54" s="36" t="str">
        <x:v>FP-0521</x:v>
      </x:c>
      <x:c r="G54" s="36" t="str">
        <x:v>FP-0525</x:v>
      </x:c>
      <x:c r="H54" s="36" t="n">
        <x:v>0</x:v>
      </x:c>
      <x:c r="I54" s="36" t="n">
        <x:v>0</x:v>
      </x:c>
      <x:c r="J54" s="36" t="n">
        <x:v>0</x:v>
      </x:c>
      <x:c r="K54" s="36" t="n">
        <x:v>5</x:v>
      </x:c>
      <x:c r="L54" s="36" t="n">
        <x:v>5</x:v>
      </x:c>
      <x:c r="M54" s="36" t="n">
        <x:v>5</x:v>
      </x:c>
      <x:c r="N54" s="36" t="str">
        <x:v>FREIGEGEBEN</x:v>
      </x:c>
      <x:c r="O54" s="36" t="n">
        <x:v>2</x:v>
      </x:c>
      <x:c r="P54" s="36" t="n">
        <x:v>1</x:v>
      </x:c>
      <x:c r="Q54" s="36" t="n">
        <x:v>0</x:v>
      </x:c>
      <x:c r="R54" s="36" t="n">
        <x:v>1</x:v>
      </x:c>
      <x:c r="S54" s="36" t="n">
        <x:v>1</x:v>
      </x:c>
      <x:c r="T54" s="36" t="n">
        <x:v>0</x:v>
      </x:c>
      <x:c r="U54" s="36" t="str">
        <x:v>Lukas 9: 5/5 ersetzt, gegen L1912 + OTB geprüft und freigegeben.</x:v>
      </x:c>
    </x:row>
    <x:row r="55">
      <x:c r="A55" s="36" t="n">
        <x:v>54</x:v>
      </x:c>
      <x:c r="B55" s="36" t="str">
        <x:v>LUK</x:v>
      </x:c>
      <x:c r="C55" s="36" t="str">
        <x:v>Lukas</x:v>
      </x:c>
      <x:c r="D55" s="36" t="n">
        <x:v>10</x:v>
      </x:c>
      <x:c r="E55" s="36" t="str">
        <x:v>LUK-010</x:v>
      </x:c>
      <x:c r="F55" s="36" t="str">
        <x:v>FP-0526</x:v>
      </x:c>
      <x:c r="G55" s="36" t="str">
        <x:v>FP-0530</x:v>
      </x:c>
      <x:c r="H55" s="36" t="n">
        <x:v>0</x:v>
      </x:c>
      <x:c r="I55" s="36" t="n">
        <x:v>0</x:v>
      </x:c>
      <x:c r="J55" s="36" t="n">
        <x:v>0</x:v>
      </x:c>
      <x:c r="K55" s="36" t="n">
        <x:v>5</x:v>
      </x:c>
      <x:c r="L55" s="36" t="n">
        <x:v>5</x:v>
      </x:c>
      <x:c r="M55" s="36" t="n">
        <x:v>5</x:v>
      </x:c>
      <x:c r="N55" s="36" t="str">
        <x:v>FREIGEGEBEN</x:v>
      </x:c>
      <x:c r="O55" s="36" t="n">
        <x:v>1</x:v>
      </x:c>
      <x:c r="P55" s="36" t="n">
        <x:v>1</x:v>
      </x:c>
      <x:c r="Q55" s="36" t="n">
        <x:v>1</x:v>
      </x:c>
      <x:c r="R55" s="36" t="n">
        <x:v>2</x:v>
      </x:c>
      <x:c r="S55" s="36" t="n">
        <x:v>0</x:v>
      </x:c>
      <x:c r="T55" s="36" t="n">
        <x:v>0</x:v>
      </x:c>
      <x:c r="U55" s="36" t="str">
        <x:v>Lukas 10: 5/5 ersetzt, gegen L1912 + OTB geprüft und freigegeben.</x:v>
      </x:c>
    </x:row>
    <x:row r="56">
      <x:c r="A56" s="36" t="n">
        <x:v>55</x:v>
      </x:c>
      <x:c r="B56" s="36" t="str">
        <x:v>LUK</x:v>
      </x:c>
      <x:c r="C56" s="36" t="str">
        <x:v>Lukas</x:v>
      </x:c>
      <x:c r="D56" s="36" t="n">
        <x:v>11</x:v>
      </x:c>
      <x:c r="E56" s="36" t="str">
        <x:v>LUK-011</x:v>
      </x:c>
      <x:c r="F56" s="36" t="str">
        <x:v>FP-0531</x:v>
      </x:c>
      <x:c r="G56" s="36" t="str">
        <x:v>FP-0535</x:v>
      </x:c>
      <x:c r="H56" s="36" t="n">
        <x:v>0</x:v>
      </x:c>
      <x:c r="I56" s="36" t="n">
        <x:v>0</x:v>
      </x:c>
      <x:c r="J56" s="36" t="n">
        <x:v>0</x:v>
      </x:c>
      <x:c r="K56" s="36" t="n">
        <x:v>5</x:v>
      </x:c>
      <x:c r="L56" s="36" t="n">
        <x:v>5</x:v>
      </x:c>
      <x:c r="M56" s="36" t="n">
        <x:v>5</x:v>
      </x:c>
      <x:c r="N56" s="36" t="str">
        <x:v>FREIGEGEBEN</x:v>
      </x:c>
      <x:c r="O56" s="36" t="n">
        <x:v>0</x:v>
      </x:c>
      <x:c r="P56" s="36" t="n">
        <x:v>0</x:v>
      </x:c>
      <x:c r="Q56" s="36" t="n">
        <x:v>1</x:v>
      </x:c>
      <x:c r="R56" s="36" t="n">
        <x:v>4</x:v>
      </x:c>
      <x:c r="S56" s="36" t="n">
        <x:v>0</x:v>
      </x:c>
      <x:c r="T56" s="36" t="n">
        <x:v>0</x:v>
      </x:c>
      <x:c r="U56" s="36" t="str">
        <x:v>Lukas 11: 5/5 ersetzt, gegen L1912 + OTB geprüft und freigegeben.</x:v>
      </x:c>
    </x:row>
    <x:row r="57">
      <x:c r="A57" s="36" t="n">
        <x:v>56</x:v>
      </x:c>
      <x:c r="B57" s="36" t="str">
        <x:v>LUK</x:v>
      </x:c>
      <x:c r="C57" s="36" t="str">
        <x:v>Lukas</x:v>
      </x:c>
      <x:c r="D57" s="36" t="n">
        <x:v>12</x:v>
      </x:c>
      <x:c r="E57" s="36" t="str">
        <x:v>LUK-012</x:v>
      </x:c>
      <x:c r="F57" s="36" t="str">
        <x:v>FP-0536</x:v>
      </x:c>
      <x:c r="G57" s="36" t="str">
        <x:v>FP-0540</x:v>
      </x:c>
      <x:c r="H57" s="36" t="n">
        <x:v>0</x:v>
      </x:c>
      <x:c r="I57" s="36" t="n">
        <x:v>0</x:v>
      </x:c>
      <x:c r="J57" s="36" t="n">
        <x:v>0</x:v>
      </x:c>
      <x:c r="K57" s="36" t="n">
        <x:v>5</x:v>
      </x:c>
      <x:c r="L57" s="36" t="n">
        <x:v>5</x:v>
      </x:c>
      <x:c r="M57" s="36" t="n">
        <x:v>5</x:v>
      </x:c>
      <x:c r="N57" s="36" t="str">
        <x:v>FREIGEGEBEN</x:v>
      </x:c>
      <x:c r="O57" s="36" t="n">
        <x:v>0</x:v>
      </x:c>
      <x:c r="P57" s="36" t="n">
        <x:v>0</x:v>
      </x:c>
      <x:c r="Q57" s="36" t="n">
        <x:v>0</x:v>
      </x:c>
      <x:c r="R57" s="36" t="n">
        <x:v>4</x:v>
      </x:c>
      <x:c r="S57" s="36" t="n">
        <x:v>1</x:v>
      </x:c>
      <x:c r="T57" s="36" t="n">
        <x:v>0</x:v>
      </x:c>
      <x:c r="U57" s="36" t="str">
        <x:v>Lukas 12: 5/5 ersetzt, gegen L1912 + OTB geprüft und freigegeben.</x:v>
      </x:c>
    </x:row>
    <x:row r="58">
      <x:c r="A58" s="36" t="n">
        <x:v>57</x:v>
      </x:c>
      <x:c r="B58" s="36" t="str">
        <x:v>LUK</x:v>
      </x:c>
      <x:c r="C58" s="36" t="str">
        <x:v>Lukas</x:v>
      </x:c>
      <x:c r="D58" s="36" t="n">
        <x:v>13</x:v>
      </x:c>
      <x:c r="E58" s="36" t="str">
        <x:v>LUK-013</x:v>
      </x:c>
      <x:c r="F58" s="36" t="str">
        <x:v>FP-0541</x:v>
      </x:c>
      <x:c r="G58" s="36" t="str">
        <x:v>FP-0545</x:v>
      </x:c>
      <x:c r="H58" s="36" t="n">
        <x:v>0</x:v>
      </x:c>
      <x:c r="I58" s="36" t="n">
        <x:v>0</x:v>
      </x:c>
      <x:c r="J58" s="36" t="n">
        <x:v>0</x:v>
      </x:c>
      <x:c r="K58" s="36" t="n">
        <x:v>5</x:v>
      </x:c>
      <x:c r="L58" s="36" t="n">
        <x:v>5</x:v>
      </x:c>
      <x:c r="M58" s="36" t="n">
        <x:v>5</x:v>
      </x:c>
      <x:c r="N58" s="36" t="str">
        <x:v>FREIGEGEBEN</x:v>
      </x:c>
      <x:c r="O58" s="36" t="n">
        <x:v>1</x:v>
      </x:c>
      <x:c r="P58" s="36" t="n">
        <x:v>0</x:v>
      </x:c>
      <x:c r="Q58" s="36" t="n">
        <x:v>1</x:v>
      </x:c>
      <x:c r="R58" s="36" t="n">
        <x:v>3</x:v>
      </x:c>
      <x:c r="S58" s="36" t="n">
        <x:v>0</x:v>
      </x:c>
      <x:c r="T58" s="36" t="n">
        <x:v>0</x:v>
      </x:c>
      <x:c r="U58" s="36" t="str">
        <x:v>Lukas 13: 5/5 ersetzt, gegen L1912 + OTB geprüft und freigegeben.</x:v>
      </x:c>
    </x:row>
    <x:row r="59">
      <x:c r="A59" s="36" t="n">
        <x:v>58</x:v>
      </x:c>
      <x:c r="B59" s="36" t="str">
        <x:v>LUK</x:v>
      </x:c>
      <x:c r="C59" s="36" t="str">
        <x:v>Lukas</x:v>
      </x:c>
      <x:c r="D59" s="36" t="n">
        <x:v>14</x:v>
      </x:c>
      <x:c r="E59" s="36" t="str">
        <x:v>LUK-014</x:v>
      </x:c>
      <x:c r="F59" s="36" t="str">
        <x:v>FP-0546</x:v>
      </x:c>
      <x:c r="G59" s="36" t="str">
        <x:v>FP-0550</x:v>
      </x:c>
      <x:c r="H59" s="36" t="n">
        <x:v>0</x:v>
      </x:c>
      <x:c r="I59" s="36" t="n">
        <x:v>0</x:v>
      </x:c>
      <x:c r="J59" s="36" t="n">
        <x:v>0</x:v>
      </x:c>
      <x:c r="K59" s="36" t="n">
        <x:v>5</x:v>
      </x:c>
      <x:c r="L59" s="36" t="n">
        <x:v>5</x:v>
      </x:c>
      <x:c r="M59" s="36" t="n">
        <x:v>5</x:v>
      </x:c>
      <x:c r="N59" s="36" t="str">
        <x:v>FREIGEGEBEN</x:v>
      </x:c>
      <x:c r="O59" s="36" t="n">
        <x:v>1</x:v>
      </x:c>
      <x:c r="P59" s="36" t="n">
        <x:v>0</x:v>
      </x:c>
      <x:c r="Q59" s="36" t="n">
        <x:v>1</x:v>
      </x:c>
      <x:c r="R59" s="36" t="n">
        <x:v>3</x:v>
      </x:c>
      <x:c r="S59" s="36" t="n">
        <x:v>0</x:v>
      </x:c>
      <x:c r="T59" s="36" t="n">
        <x:v>0</x:v>
      </x:c>
      <x:c r="U59" s="36" t="str">
        <x:v>Lukas 14: 5/5 ersetzt, gegen L1912 + OTB geprüft und freigegeben.</x:v>
      </x:c>
    </x:row>
    <x:row r="60">
      <x:c r="A60" s="36" t="n">
        <x:v>59</x:v>
      </x:c>
      <x:c r="B60" s="36" t="str">
        <x:v>LUK</x:v>
      </x:c>
      <x:c r="C60" s="36" t="str">
        <x:v>Lukas</x:v>
      </x:c>
      <x:c r="D60" s="36" t="n">
        <x:v>15</x:v>
      </x:c>
      <x:c r="E60" s="36" t="str">
        <x:v>LUK-015</x:v>
      </x:c>
      <x:c r="F60" s="36" t="str">
        <x:v>FP-0551</x:v>
      </x:c>
      <x:c r="G60" s="36" t="str">
        <x:v>FP-0555</x:v>
      </x:c>
      <x:c r="H60" s="36" t="n">
        <x:v>0</x:v>
      </x:c>
      <x:c r="I60" s="36" t="n">
        <x:v>0</x:v>
      </x:c>
      <x:c r="J60" s="36" t="n">
        <x:v>0</x:v>
      </x:c>
      <x:c r="K60" s="36" t="n">
        <x:v>5</x:v>
      </x:c>
      <x:c r="L60" s="36" t="n">
        <x:v>5</x:v>
      </x:c>
      <x:c r="M60" s="36" t="n">
        <x:v>5</x:v>
      </x:c>
      <x:c r="N60" s="36" t="str">
        <x:v>FREIGEGEBEN</x:v>
      </x:c>
      <x:c r="O60" s="36" t="n">
        <x:v>1</x:v>
      </x:c>
      <x:c r="P60" s="36" t="n">
        <x:v>1</x:v>
      </x:c>
      <x:c r="Q60" s="36" t="n">
        <x:v>1</x:v>
      </x:c>
      <x:c r="R60" s="36" t="n">
        <x:v>2</x:v>
      </x:c>
      <x:c r="S60" s="36" t="n">
        <x:v>0</x:v>
      </x:c>
      <x:c r="T60" s="36" t="n">
        <x:v>0</x:v>
      </x:c>
      <x:c r="U60" s="36" t="str">
        <x:v>Lukas 15: 5/5 ersetzt, gegen L1912 + OTB geprüft und freigegeben.</x:v>
      </x:c>
    </x:row>
    <x:row r="61">
      <x:c r="A61" s="36" t="n">
        <x:v>60</x:v>
      </x:c>
      <x:c r="B61" s="36" t="str">
        <x:v>LUK</x:v>
      </x:c>
      <x:c r="C61" s="36" t="str">
        <x:v>Lukas</x:v>
      </x:c>
      <x:c r="D61" s="36" t="n">
        <x:v>16</x:v>
      </x:c>
      <x:c r="E61" s="36" t="str">
        <x:v>LUK-016</x:v>
      </x:c>
      <x:c r="F61" s="36" t="str">
        <x:v>FP-0556</x:v>
      </x:c>
      <x:c r="G61" s="36" t="str">
        <x:v>FP-0560</x:v>
      </x:c>
      <x:c r="H61" s="36" t="n">
        <x:v>0</x:v>
      </x:c>
      <x:c r="I61" s="36" t="n">
        <x:v>0</x:v>
      </x:c>
      <x:c r="J61" s="36" t="n">
        <x:v>0</x:v>
      </x:c>
      <x:c r="K61" s="36" t="n">
        <x:v>5</x:v>
      </x:c>
      <x:c r="L61" s="36" t="n">
        <x:v>5</x:v>
      </x:c>
      <x:c r="M61" s="36" t="n">
        <x:v>5</x:v>
      </x:c>
      <x:c r="N61" s="36" t="str">
        <x:v>FREIGEGEBEN</x:v>
      </x:c>
      <x:c r="O61" s="36" t="n">
        <x:v>1</x:v>
      </x:c>
      <x:c r="P61" s="36" t="n">
        <x:v>0</x:v>
      </x:c>
      <x:c r="Q61" s="36" t="n">
        <x:v>1</x:v>
      </x:c>
      <x:c r="R61" s="36" t="n">
        <x:v>3</x:v>
      </x:c>
      <x:c r="S61" s="36" t="n">
        <x:v>0</x:v>
      </x:c>
      <x:c r="T61" s="36" t="n">
        <x:v>0</x:v>
      </x:c>
      <x:c r="U61" s="36" t="str">
        <x:v>Lukas 16: 5/5 ersetzt, gegen L1912 + OTB geprüft und freigegeben.</x:v>
      </x:c>
    </x:row>
    <x:row r="62">
      <x:c r="A62" s="36" t="n">
        <x:v>61</x:v>
      </x:c>
      <x:c r="B62" s="36" t="str">
        <x:v>LUK</x:v>
      </x:c>
      <x:c r="C62" s="36" t="str">
        <x:v>Lukas</x:v>
      </x:c>
      <x:c r="D62" s="36" t="n">
        <x:v>17</x:v>
      </x:c>
      <x:c r="E62" s="36" t="str">
        <x:v>LUK-017</x:v>
      </x:c>
      <x:c r="F62" s="36" t="str">
        <x:v>FP-0561</x:v>
      </x:c>
      <x:c r="G62" s="36" t="str">
        <x:v>FP-0565</x:v>
      </x:c>
      <x:c r="H62" s="36" t="n">
        <x:v>0</x:v>
      </x:c>
      <x:c r="I62" s="36" t="n">
        <x:v>0</x:v>
      </x:c>
      <x:c r="J62" s="36" t="n">
        <x:v>0</x:v>
      </x:c>
      <x:c r="K62" s="36" t="n">
        <x:v>5</x:v>
      </x:c>
      <x:c r="L62" s="36" t="n">
        <x:v>5</x:v>
      </x:c>
      <x:c r="M62" s="36" t="n">
        <x:v>5</x:v>
      </x:c>
      <x:c r="N62" s="36" t="str">
        <x:v>FREIGEGEBEN</x:v>
      </x:c>
      <x:c r="O62" s="36" t="n">
        <x:v>1</x:v>
      </x:c>
      <x:c r="P62" s="36" t="n">
        <x:v>0</x:v>
      </x:c>
      <x:c r="Q62" s="36" t="n">
        <x:v>0</x:v>
      </x:c>
      <x:c r="R62" s="36" t="n">
        <x:v>4</x:v>
      </x:c>
      <x:c r="S62" s="36" t="n">
        <x:v>0</x:v>
      </x:c>
      <x:c r="T62" s="36" t="n">
        <x:v>0</x:v>
      </x:c>
      <x:c r="U62" s="36" t="str">
        <x:v>Lukas 17: 5/5 ersetzt, gegen L1912 + OTB geprüft und freigegeben.</x:v>
      </x:c>
    </x:row>
    <x:row r="63">
      <x:c r="A63" s="36" t="n">
        <x:v>62</x:v>
      </x:c>
      <x:c r="B63" s="36" t="str">
        <x:v>LUK</x:v>
      </x:c>
      <x:c r="C63" s="36" t="str">
        <x:v>Lukas</x:v>
      </x:c>
      <x:c r="D63" s="36" t="n">
        <x:v>18</x:v>
      </x:c>
      <x:c r="E63" s="36" t="str">
        <x:v>LUK-018</x:v>
      </x:c>
      <x:c r="F63" s="36" t="str">
        <x:v>FP-0566</x:v>
      </x:c>
      <x:c r="G63" s="36" t="str">
        <x:v>FP-0570</x:v>
      </x:c>
      <x:c r="H63" s="36" t="n">
        <x:v>0</x:v>
      </x:c>
      <x:c r="I63" s="36" t="n">
        <x:v>0</x:v>
      </x:c>
      <x:c r="J63" s="36" t="n">
        <x:v>0</x:v>
      </x:c>
      <x:c r="K63" s="36" t="n">
        <x:v>5</x:v>
      </x:c>
      <x:c r="L63" s="36" t="n">
        <x:v>5</x:v>
      </x:c>
      <x:c r="M63" s="36" t="n">
        <x:v>5</x:v>
      </x:c>
      <x:c r="N63" s="36" t="str">
        <x:v>FREIGEGEBEN</x:v>
      </x:c>
      <x:c r="O63" s="36" t="n">
        <x:v>1</x:v>
      </x:c>
      <x:c r="P63" s="36" t="n">
        <x:v>0</x:v>
      </x:c>
      <x:c r="Q63" s="36" t="n">
        <x:v>1</x:v>
      </x:c>
      <x:c r="R63" s="36" t="n">
        <x:v>3</x:v>
      </x:c>
      <x:c r="S63" s="36" t="n">
        <x:v>0</x:v>
      </x:c>
      <x:c r="T63" s="36" t="n">
        <x:v>0</x:v>
      </x:c>
      <x:c r="U63" s="36" t="str">
        <x:v>Lukas 18: 5/5 ersetzt, gegen L1912 + OTB geprüft und freigegeben.</x:v>
      </x:c>
    </x:row>
    <x:row r="64">
      <x:c r="A64" s="36" t="n">
        <x:v>63</x:v>
      </x:c>
      <x:c r="B64" s="36" t="str">
        <x:v>LUK</x:v>
      </x:c>
      <x:c r="C64" s="36" t="str">
        <x:v>Lukas</x:v>
      </x:c>
      <x:c r="D64" s="36" t="n">
        <x:v>19</x:v>
      </x:c>
      <x:c r="E64" s="36" t="str">
        <x:v>LUK-019</x:v>
      </x:c>
      <x:c r="F64" s="36" t="str">
        <x:v>FP-0571</x:v>
      </x:c>
      <x:c r="G64" s="36" t="str">
        <x:v>FP-0575</x:v>
      </x:c>
      <x:c r="H64" s="36" t="n">
        <x:v>0</x:v>
      </x:c>
      <x:c r="I64" s="36" t="n">
        <x:v>0</x:v>
      </x:c>
      <x:c r="J64" s="36" t="n">
        <x:v>0</x:v>
      </x:c>
      <x:c r="K64" s="36" t="n">
        <x:v>5</x:v>
      </x:c>
      <x:c r="L64" s="36" t="n">
        <x:v>5</x:v>
      </x:c>
      <x:c r="M64" s="36" t="n">
        <x:v>5</x:v>
      </x:c>
      <x:c r="N64" s="36" t="str">
        <x:v>FREIGEGEBEN</x:v>
      </x:c>
      <x:c r="O64" s="36" t="n">
        <x:v>1</x:v>
      </x:c>
      <x:c r="P64" s="36" t="n">
        <x:v>0</x:v>
      </x:c>
      <x:c r="Q64" s="36" t="n">
        <x:v>2</x:v>
      </x:c>
      <x:c r="R64" s="36" t="n">
        <x:v>2</x:v>
      </x:c>
      <x:c r="S64" s="36" t="n">
        <x:v>0</x:v>
      </x:c>
      <x:c r="T64" s="36" t="n">
        <x:v>0</x:v>
      </x:c>
      <x:c r="U64" s="36" t="str">
        <x:v>Lukas 19: 5/5 ersetzt, gegen L1912 + OTB geprüft und freigegeben.</x:v>
      </x:c>
    </x:row>
    <x:row r="65">
      <x:c r="A65" s="36" t="n">
        <x:v>64</x:v>
      </x:c>
      <x:c r="B65" s="36" t="str">
        <x:v>LUK</x:v>
      </x:c>
      <x:c r="C65" s="36" t="str">
        <x:v>Lukas</x:v>
      </x:c>
      <x:c r="D65" s="36" t="n">
        <x:v>20</x:v>
      </x:c>
      <x:c r="E65" s="36" t="str">
        <x:v>LUK-020</x:v>
      </x:c>
      <x:c r="F65" s="36" t="str">
        <x:v>FP-0576</x:v>
      </x:c>
      <x:c r="G65" s="36" t="str">
        <x:v>FP-0580</x:v>
      </x:c>
      <x:c r="H65" s="36" t="n">
        <x:v>0</x:v>
      </x:c>
      <x:c r="I65" s="36" t="n">
        <x:v>0</x:v>
      </x:c>
      <x:c r="J65" s="36" t="n">
        <x:v>0</x:v>
      </x:c>
      <x:c r="K65" s="36" t="n">
        <x:v>5</x:v>
      </x:c>
      <x:c r="L65" s="36" t="n">
        <x:v>5</x:v>
      </x:c>
      <x:c r="M65" s="36" t="n">
        <x:v>5</x:v>
      </x:c>
      <x:c r="N65" s="36" t="str">
        <x:v>FREIGEGEBEN</x:v>
      </x:c>
      <x:c r="O65" s="36" t="n">
        <x:v>0</x:v>
      </x:c>
      <x:c r="P65" s="36" t="n">
        <x:v>0</x:v>
      </x:c>
      <x:c r="Q65" s="36" t="n">
        <x:v>1</x:v>
      </x:c>
      <x:c r="R65" s="36" t="n">
        <x:v>4</x:v>
      </x:c>
      <x:c r="S65" s="36" t="n">
        <x:v>0</x:v>
      </x:c>
      <x:c r="T65" s="36" t="n">
        <x:v>0</x:v>
      </x:c>
      <x:c r="U65" s="36" t="str">
        <x:v>Lukas 20: 5/5 ersetzt, gegen L1912 + OTB geprüft und freigegeben.</x:v>
      </x:c>
    </x:row>
    <x:row r="66">
      <x:c r="A66" s="36" t="n">
        <x:v>65</x:v>
      </x:c>
      <x:c r="B66" s="36" t="str">
        <x:v>LUK</x:v>
      </x:c>
      <x:c r="C66" s="36" t="str">
        <x:v>Lukas</x:v>
      </x:c>
      <x:c r="D66" s="36" t="n">
        <x:v>21</x:v>
      </x:c>
      <x:c r="E66" s="36" t="str">
        <x:v>LUK-021</x:v>
      </x:c>
      <x:c r="F66" s="36" t="str">
        <x:v>FP-0581</x:v>
      </x:c>
      <x:c r="G66" s="36" t="str">
        <x:v>FP-0585</x:v>
      </x:c>
      <x:c r="H66" s="36" t="n">
        <x:v>0</x:v>
      </x:c>
      <x:c r="I66" s="36" t="n">
        <x:v>0</x:v>
      </x:c>
      <x:c r="J66" s="36" t="n">
        <x:v>0</x:v>
      </x:c>
      <x:c r="K66" s="36" t="n">
        <x:v>5</x:v>
      </x:c>
      <x:c r="L66" s="36" t="n">
        <x:v>5</x:v>
      </x:c>
      <x:c r="M66" s="36" t="n">
        <x:v>5</x:v>
      </x:c>
      <x:c r="N66" s="36" t="str">
        <x:v>FREIGEGEBEN</x:v>
      </x:c>
      <x:c r="O66" s="36" t="n">
        <x:v>1</x:v>
      </x:c>
      <x:c r="P66" s="36" t="n">
        <x:v>0</x:v>
      </x:c>
      <x:c r="Q66" s="36" t="n">
        <x:v>2</x:v>
      </x:c>
      <x:c r="R66" s="36" t="n">
        <x:v>2</x:v>
      </x:c>
      <x:c r="S66" s="36" t="n">
        <x:v>0</x:v>
      </x:c>
      <x:c r="T66" s="36" t="n">
        <x:v>0</x:v>
      </x:c>
      <x:c r="U66" s="36" t="str">
        <x:v>Lukas 21: 5/5 ersetzt, gegen L1912 + OTB geprüft und freigegeben.</x:v>
      </x:c>
    </x:row>
    <x:row r="67">
      <x:c r="A67" s="36" t="n">
        <x:v>66</x:v>
      </x:c>
      <x:c r="B67" s="36" t="str">
        <x:v>LUK</x:v>
      </x:c>
      <x:c r="C67" s="36" t="str">
        <x:v>Lukas</x:v>
      </x:c>
      <x:c r="D67" s="36" t="n">
        <x:v>22</x:v>
      </x:c>
      <x:c r="E67" s="36" t="str">
        <x:v>LUK-022</x:v>
      </x:c>
      <x:c r="F67" s="36" t="str">
        <x:v>FP-0586</x:v>
      </x:c>
      <x:c r="G67" s="36" t="str">
        <x:v>FP-0590</x:v>
      </x:c>
      <x:c r="H67" s="36" t="n">
        <x:v>0</x:v>
      </x:c>
      <x:c r="I67" s="36" t="n">
        <x:v>0</x:v>
      </x:c>
      <x:c r="J67" s="36" t="n">
        <x:v>0</x:v>
      </x:c>
      <x:c r="K67" s="36" t="n">
        <x:v>5</x:v>
      </x:c>
      <x:c r="L67" s="36" t="n">
        <x:v>5</x:v>
      </x:c>
      <x:c r="M67" s="36" t="n">
        <x:v>5</x:v>
      </x:c>
      <x:c r="N67" s="36" t="str">
        <x:v>FREIGEGEBEN</x:v>
      </x:c>
      <x:c r="O67" s="36" t="n">
        <x:v>1</x:v>
      </x:c>
      <x:c r="P67" s="36" t="n">
        <x:v>2</x:v>
      </x:c>
      <x:c r="Q67" s="36" t="n">
        <x:v>0</x:v>
      </x:c>
      <x:c r="R67" s="36" t="n">
        <x:v>2</x:v>
      </x:c>
      <x:c r="S67" s="36" t="n">
        <x:v>0</x:v>
      </x:c>
      <x:c r="T67" s="36" t="n">
        <x:v>0</x:v>
      </x:c>
      <x:c r="U67" s="36" t="str">
        <x:v>Lukas 22: 5/5 ersetzt, gegen L1912 + OTB geprüft und freigegeben.</x:v>
      </x:c>
    </x:row>
    <x:row r="68">
      <x:c r="A68" s="36" t="n">
        <x:v>67</x:v>
      </x:c>
      <x:c r="B68" s="36" t="str">
        <x:v>LUK</x:v>
      </x:c>
      <x:c r="C68" s="36" t="str">
        <x:v>Lukas</x:v>
      </x:c>
      <x:c r="D68" s="36" t="n">
        <x:v>23</x:v>
      </x:c>
      <x:c r="E68" s="36" t="str">
        <x:v>LUK-023</x:v>
      </x:c>
      <x:c r="F68" s="36" t="str">
        <x:v>FP-0591</x:v>
      </x:c>
      <x:c r="G68" s="36" t="str">
        <x:v>FP-0595</x:v>
      </x:c>
      <x:c r="H68" s="36" t="n">
        <x:v>0</x:v>
      </x:c>
      <x:c r="I68" s="36" t="n">
        <x:v>0</x:v>
      </x:c>
      <x:c r="J68" s="36" t="n">
        <x:v>0</x:v>
      </x:c>
      <x:c r="K68" s="36" t="n">
        <x:v>5</x:v>
      </x:c>
      <x:c r="L68" s="36" t="n">
        <x:v>5</x:v>
      </x:c>
      <x:c r="M68" s="36" t="n">
        <x:v>5</x:v>
      </x:c>
      <x:c r="N68" s="36" t="str">
        <x:v>FREIGEGEBEN</x:v>
      </x:c>
      <x:c r="O68" s="36" t="n">
        <x:v>4</x:v>
      </x:c>
      <x:c r="P68" s="36" t="n">
        <x:v>1</x:v>
      </x:c>
      <x:c r="Q68" s="36" t="n">
        <x:v>0</x:v>
      </x:c>
      <x:c r="R68" s="36" t="n">
        <x:v>0</x:v>
      </x:c>
      <x:c r="S68" s="36" t="n">
        <x:v>0</x:v>
      </x:c>
      <x:c r="T68" s="36" t="n">
        <x:v>0</x:v>
      </x:c>
      <x:c r="U68" s="36" t="str">
        <x:v>Lukas 23: 5/5 ersetzt, gegen L1912 + OTB geprüft und freigegeben.</x:v>
      </x:c>
    </x:row>
    <x:row r="69">
      <x:c r="A69" s="36" t="n">
        <x:v>68</x:v>
      </x:c>
      <x:c r="B69" s="36" t="str">
        <x:v>LUK</x:v>
      </x:c>
      <x:c r="C69" s="36" t="str">
        <x:v>Lukas</x:v>
      </x:c>
      <x:c r="D69" s="36" t="n">
        <x:v>24</x:v>
      </x:c>
      <x:c r="E69" s="36" t="str">
        <x:v>LUK-024</x:v>
      </x:c>
      <x:c r="F69" s="36" t="str">
        <x:v>FP-0596</x:v>
      </x:c>
      <x:c r="G69" s="36" t="str">
        <x:v>FP-0600</x:v>
      </x:c>
      <x:c r="H69" s="36" t="n">
        <x:v>0</x:v>
      </x:c>
      <x:c r="I69" s="36" t="n">
        <x:v>0</x:v>
      </x:c>
      <x:c r="J69" s="36" t="n">
        <x:v>0</x:v>
      </x:c>
      <x:c r="K69" s="36" t="n">
        <x:v>5</x:v>
      </x:c>
      <x:c r="L69" s="36" t="n">
        <x:v>5</x:v>
      </x:c>
      <x:c r="M69" s="36" t="n">
        <x:v>5</x:v>
      </x:c>
      <x:c r="N69" s="36" t="str">
        <x:v>FREIGEGEBEN</x:v>
      </x:c>
      <x:c r="O69" s="36" t="n">
        <x:v>3</x:v>
      </x:c>
      <x:c r="P69" s="36" t="n">
        <x:v>0</x:v>
      </x:c>
      <x:c r="Q69" s="36" t="n">
        <x:v>1</x:v>
      </x:c>
      <x:c r="R69" s="36" t="n">
        <x:v>1</x:v>
      </x:c>
      <x:c r="S69" s="36" t="n">
        <x:v>0</x:v>
      </x:c>
      <x:c r="T69" s="36" t="n">
        <x:v>0</x:v>
      </x:c>
      <x:c r="U69" s="36" t="str">
        <x:v>Lukas 24: 5/5 ersetzt, gegen L1912 + OTB geprüft und freigegeben.</x:v>
      </x:c>
    </x:row>
    <x:row r="70">
      <x:c r="A70" s="36" t="n">
        <x:v>69</x:v>
      </x:c>
      <x:c r="B70" s="36" t="str">
        <x:v>JHN</x:v>
      </x:c>
      <x:c r="C70" s="36" t="str">
        <x:v>Johannes</x:v>
      </x:c>
      <x:c r="D70" s="36" t="n">
        <x:v>1</x:v>
      </x:c>
      <x:c r="E70" s="36" t="str">
        <x:v>JHN-001</x:v>
      </x:c>
      <x:c r="F70" s="36" t="str">
        <x:v>FP-0601</x:v>
      </x:c>
      <x:c r="G70" s="36" t="str">
        <x:v>FP-0605</x:v>
      </x:c>
      <x:c r="H70" s="36" t="n">
        <x:v>0</x:v>
      </x:c>
      <x:c r="I70" s="36" t="n">
        <x:v>0</x:v>
      </x:c>
      <x:c r="J70" s="36" t="n">
        <x:v>0</x:v>
      </x:c>
      <x:c r="K70" s="36" t="n">
        <x:v>5</x:v>
      </x:c>
      <x:c r="L70" s="36" t="n">
        <x:v>5</x:v>
      </x:c>
      <x:c r="M70" s="36" t="n">
        <x:v>5</x:v>
      </x:c>
      <x:c r="N70" s="36" t="str">
        <x:v>FREIGEGEBEN</x:v>
      </x:c>
      <x:c r="O70" s="36" t="n">
        <x:v>1</x:v>
      </x:c>
      <x:c r="P70" s="36" t="n">
        <x:v>2</x:v>
      </x:c>
      <x:c r="Q70" s="36" t="n">
        <x:v>0</x:v>
      </x:c>
      <x:c r="R70" s="36" t="n">
        <x:v>2</x:v>
      </x:c>
      <x:c r="S70" s="36" t="n">
        <x:v>0</x:v>
      </x:c>
      <x:c r="T70" s="36" t="n">
        <x:v>0</x:v>
      </x:c>
      <x:c r="U70" s="36" t="str">
        <x:v>Johannes 1: 5/5 ersetzt, gegen L1912 + OTB geprüft und freigegeben.</x:v>
      </x:c>
    </x:row>
    <x:row r="71">
      <x:c r="A71" s="36" t="n">
        <x:v>70</x:v>
      </x:c>
      <x:c r="B71" s="36" t="str">
        <x:v>JHN</x:v>
      </x:c>
      <x:c r="C71" s="36" t="str">
        <x:v>Johannes</x:v>
      </x:c>
      <x:c r="D71" s="36" t="n">
        <x:v>2</x:v>
      </x:c>
      <x:c r="E71" s="36" t="str">
        <x:v>JHN-002</x:v>
      </x:c>
      <x:c r="F71" s="36" t="str">
        <x:v>FP-0606</x:v>
      </x:c>
      <x:c r="G71" s="36" t="str">
        <x:v>FP-0610</x:v>
      </x:c>
      <x:c r="H71" s="36" t="n">
        <x:v>0</x:v>
      </x:c>
      <x:c r="I71" s="36" t="n">
        <x:v>0</x:v>
      </x:c>
      <x:c r="J71" s="36" t="n">
        <x:v>0</x:v>
      </x:c>
      <x:c r="K71" s="36" t="n">
        <x:v>5</x:v>
      </x:c>
      <x:c r="L71" s="36" t="n">
        <x:v>5</x:v>
      </x:c>
      <x:c r="M71" s="36" t="n">
        <x:v>5</x:v>
      </x:c>
      <x:c r="N71" s="36" t="str">
        <x:v>FREIGEGEBEN</x:v>
      </x:c>
      <x:c r="O71" s="36" t="n">
        <x:v>3</x:v>
      </x:c>
      <x:c r="P71" s="36" t="n">
        <x:v>0</x:v>
      </x:c>
      <x:c r="Q71" s="36" t="n">
        <x:v>1</x:v>
      </x:c>
      <x:c r="R71" s="36" t="n">
        <x:v>1</x:v>
      </x:c>
      <x:c r="S71" s="36" t="n">
        <x:v>0</x:v>
      </x:c>
      <x:c r="T71" s="36" t="n">
        <x:v>0</x:v>
      </x:c>
      <x:c r="U71" s="36" t="str">
        <x:v>Johannes 2: 5/5 ersetzt, gegen L1912 + OTB geprüft und freigegeben.</x:v>
      </x:c>
    </x:row>
    <x:row r="72">
      <x:c r="A72" s="36" t="n">
        <x:v>71</x:v>
      </x:c>
      <x:c r="B72" s="36" t="str">
        <x:v>JHN</x:v>
      </x:c>
      <x:c r="C72" s="36" t="str">
        <x:v>Johannes</x:v>
      </x:c>
      <x:c r="D72" s="36" t="n">
        <x:v>3</x:v>
      </x:c>
      <x:c r="E72" s="36" t="str">
        <x:v>JHN-003</x:v>
      </x:c>
      <x:c r="F72" s="36" t="str">
        <x:v>FP-0611</x:v>
      </x:c>
      <x:c r="G72" s="36" t="str">
        <x:v>FP-0615</x:v>
      </x:c>
      <x:c r="H72" s="36" t="n">
        <x:v>0</x:v>
      </x:c>
      <x:c r="I72" s="36" t="n">
        <x:v>0</x:v>
      </x:c>
      <x:c r="J72" s="36" t="n">
        <x:v>0</x:v>
      </x:c>
      <x:c r="K72" s="36" t="n">
        <x:v>5</x:v>
      </x:c>
      <x:c r="L72" s="36" t="n">
        <x:v>5</x:v>
      </x:c>
      <x:c r="M72" s="36" t="n">
        <x:v>5</x:v>
      </x:c>
      <x:c r="N72" s="36" t="str">
        <x:v>FREIGEGEBEN</x:v>
      </x:c>
      <x:c r="O72" s="36" t="n">
        <x:v>0</x:v>
      </x:c>
      <x:c r="P72" s="36" t="n">
        <x:v>0</x:v>
      </x:c>
      <x:c r="Q72" s="36" t="n">
        <x:v>1</x:v>
      </x:c>
      <x:c r="R72" s="36" t="n">
        <x:v>4</x:v>
      </x:c>
      <x:c r="S72" s="36" t="n">
        <x:v>0</x:v>
      </x:c>
      <x:c r="T72" s="36" t="n">
        <x:v>0</x:v>
      </x:c>
      <x:c r="U72" s="36" t="str">
        <x:v>Johannes 3: 5/5 ersetzt, gegen L1912 + OTB geprüft und freigegeben.</x:v>
      </x:c>
    </x:row>
    <x:row r="73">
      <x:c r="A73" s="36" t="n">
        <x:v>72</x:v>
      </x:c>
      <x:c r="B73" s="36" t="str">
        <x:v>JHN</x:v>
      </x:c>
      <x:c r="C73" s="36" t="str">
        <x:v>Johannes</x:v>
      </x:c>
      <x:c r="D73" s="36" t="n">
        <x:v>4</x:v>
      </x:c>
      <x:c r="E73" s="36" t="str">
        <x:v>JHN-004</x:v>
      </x:c>
      <x:c r="F73" s="36" t="str">
        <x:v>FP-0616</x:v>
      </x:c>
      <x:c r="G73" s="36" t="str">
        <x:v>FP-0620</x:v>
      </x:c>
      <x:c r="H73" s="36" t="n">
        <x:v>0</x:v>
      </x:c>
      <x:c r="I73" s="36" t="n">
        <x:v>0</x:v>
      </x:c>
      <x:c r="J73" s="36" t="n">
        <x:v>0</x:v>
      </x:c>
      <x:c r="K73" s="36" t="n">
        <x:v>5</x:v>
      </x:c>
      <x:c r="L73" s="36" t="n">
        <x:v>5</x:v>
      </x:c>
      <x:c r="M73" s="36" t="n">
        <x:v>5</x:v>
      </x:c>
      <x:c r="N73" s="36" t="str">
        <x:v>FREIGEGEBEN</x:v>
      </x:c>
      <x:c r="O73" s="36" t="n">
        <x:v>2</x:v>
      </x:c>
      <x:c r="P73" s="36" t="n">
        <x:v>0</x:v>
      </x:c>
      <x:c r="Q73" s="36" t="n">
        <x:v>1</x:v>
      </x:c>
      <x:c r="R73" s="36" t="n">
        <x:v>2</x:v>
      </x:c>
      <x:c r="S73" s="36" t="n">
        <x:v>0</x:v>
      </x:c>
      <x:c r="T73" s="36" t="n">
        <x:v>0</x:v>
      </x:c>
      <x:c r="U73" s="36" t="str">
        <x:v>Johannes 4: 5/5 ersetzt, gegen L1912 + OTB geprüft und freigegeben.</x:v>
      </x:c>
    </x:row>
    <x:row r="74">
      <x:c r="A74" s="36" t="n">
        <x:v>73</x:v>
      </x:c>
      <x:c r="B74" s="36" t="str">
        <x:v>JHN</x:v>
      </x:c>
      <x:c r="C74" s="36" t="str">
        <x:v>Johannes</x:v>
      </x:c>
      <x:c r="D74" s="36" t="n">
        <x:v>5</x:v>
      </x:c>
      <x:c r="E74" s="36" t="str">
        <x:v>JHN-005</x:v>
      </x:c>
      <x:c r="F74" s="36" t="str">
        <x:v>FP-0621</x:v>
      </x:c>
      <x:c r="G74" s="36" t="str">
        <x:v>FP-0625</x:v>
      </x:c>
      <x:c r="H74" s="36" t="n">
        <x:v>0</x:v>
      </x:c>
      <x:c r="I74" s="36" t="n">
        <x:v>0</x:v>
      </x:c>
      <x:c r="J74" s="36" t="n">
        <x:v>0</x:v>
      </x:c>
      <x:c r="K74" s="36" t="n">
        <x:v>5</x:v>
      </x:c>
      <x:c r="L74" s="36" t="n">
        <x:v>5</x:v>
      </x:c>
      <x:c r="M74" s="36" t="n">
        <x:v>5</x:v>
      </x:c>
      <x:c r="N74" s="36" t="str">
        <x:v>FREIGEGEBEN</x:v>
      </x:c>
      <x:c r="O74" s="36" t="n">
        <x:v>1</x:v>
      </x:c>
      <x:c r="P74" s="36" t="n">
        <x:v>0</x:v>
      </x:c>
      <x:c r="Q74" s="36" t="n">
        <x:v>2</x:v>
      </x:c>
      <x:c r="R74" s="36" t="n">
        <x:v>2</x:v>
      </x:c>
      <x:c r="S74" s="36" t="n">
        <x:v>0</x:v>
      </x:c>
      <x:c r="T74" s="36" t="n">
        <x:v>0</x:v>
      </x:c>
      <x:c r="U74" s="36" t="str">
        <x:v>Johannes 5: 5/5 ersetzt, gegen L1912 + OTB geprüft und freigegeben.</x:v>
      </x:c>
    </x:row>
    <x:row r="75">
      <x:c r="A75" s="36" t="n">
        <x:v>74</x:v>
      </x:c>
      <x:c r="B75" s="36" t="str">
        <x:v>JHN</x:v>
      </x:c>
      <x:c r="C75" s="36" t="str">
        <x:v>Johannes</x:v>
      </x:c>
      <x:c r="D75" s="36" t="n">
        <x:v>6</x:v>
      </x:c>
      <x:c r="E75" s="36" t="str">
        <x:v>JHN-006</x:v>
      </x:c>
      <x:c r="F75" s="36" t="str">
        <x:v>FP-0626</x:v>
      </x:c>
      <x:c r="G75" s="36" t="str">
        <x:v>FP-0630</x:v>
      </x:c>
      <x:c r="H75" s="36" t="n">
        <x:v>0</x:v>
      </x:c>
      <x:c r="I75" s="36" t="n">
        <x:v>0</x:v>
      </x:c>
      <x:c r="J75" s="36" t="n">
        <x:v>0</x:v>
      </x:c>
      <x:c r="K75" s="36" t="n">
        <x:v>5</x:v>
      </x:c>
      <x:c r="L75" s="36" t="n">
        <x:v>5</x:v>
      </x:c>
      <x:c r="M75" s="36" t="n">
        <x:v>5</x:v>
      </x:c>
      <x:c r="N75" s="36" t="str">
        <x:v>FREIGEGEBEN</x:v>
      </x:c>
      <x:c r="O75" s="36" t="n">
        <x:v>2</x:v>
      </x:c>
      <x:c r="P75" s="36" t="n">
        <x:v>1</x:v>
      </x:c>
      <x:c r="Q75" s="36" t="n">
        <x:v>0</x:v>
      </x:c>
      <x:c r="R75" s="36" t="n">
        <x:v>2</x:v>
      </x:c>
      <x:c r="S75" s="36" t="n">
        <x:v>0</x:v>
      </x:c>
      <x:c r="T75" s="36" t="n">
        <x:v>0</x:v>
      </x:c>
      <x:c r="U75" s="36" t="str">
        <x:v>Johannes 6: 5/5 ersetzt, gegen L1912 + OTB geprüft und freigegeben.</x:v>
      </x:c>
    </x:row>
    <x:row r="76">
      <x:c r="A76" s="36" t="n">
        <x:v>75</x:v>
      </x:c>
      <x:c r="B76" s="36" t="str">
        <x:v>JHN</x:v>
      </x:c>
      <x:c r="C76" s="36" t="str">
        <x:v>Johannes</x:v>
      </x:c>
      <x:c r="D76" s="36" t="n">
        <x:v>7</x:v>
      </x:c>
      <x:c r="E76" s="36" t="str">
        <x:v>JHN-007</x:v>
      </x:c>
      <x:c r="F76" s="36" t="str">
        <x:v>FP-0631</x:v>
      </x:c>
      <x:c r="G76" s="36" t="str">
        <x:v>FP-0635</x:v>
      </x:c>
      <x:c r="H76" s="36" t="n">
        <x:v>0</x:v>
      </x:c>
      <x:c r="I76" s="36" t="n">
        <x:v>0</x:v>
      </x:c>
      <x:c r="J76" s="36" t="n">
        <x:v>0</x:v>
      </x:c>
      <x:c r="K76" s="36" t="n">
        <x:v>5</x:v>
      </x:c>
      <x:c r="L76" s="36" t="n">
        <x:v>5</x:v>
      </x:c>
      <x:c r="M76" s="36" t="n">
        <x:v>5</x:v>
      </x:c>
      <x:c r="N76" s="36" t="str">
        <x:v>FREIGEGEBEN</x:v>
      </x:c>
      <x:c r="O76" s="36" t="n">
        <x:v>1</x:v>
      </x:c>
      <x:c r="P76" s="36" t="n">
        <x:v>0</x:v>
      </x:c>
      <x:c r="Q76" s="36" t="n">
        <x:v>2</x:v>
      </x:c>
      <x:c r="R76" s="36" t="n">
        <x:v>2</x:v>
      </x:c>
      <x:c r="S76" s="36" t="n">
        <x:v>0</x:v>
      </x:c>
      <x:c r="T76" s="36" t="n">
        <x:v>0</x:v>
      </x:c>
      <x:c r="U76" s="36" t="str">
        <x:v>Johannes 7: 5/5 ersetzt, gegen L1912 + OTB geprüft und freigegeben.</x:v>
      </x:c>
    </x:row>
    <x:row r="77">
      <x:c r="A77" s="36" t="n">
        <x:v>76</x:v>
      </x:c>
      <x:c r="B77" s="36" t="str">
        <x:v>JHN</x:v>
      </x:c>
      <x:c r="C77" s="36" t="str">
        <x:v>Johannes</x:v>
      </x:c>
      <x:c r="D77" s="36" t="n">
        <x:v>8</x:v>
      </x:c>
      <x:c r="E77" s="36" t="str">
        <x:v>JHN-008</x:v>
      </x:c>
      <x:c r="F77" s="36" t="str">
        <x:v>FP-0636</x:v>
      </x:c>
      <x:c r="G77" s="36" t="str">
        <x:v>FP-0640</x:v>
      </x:c>
      <x:c r="H77" s="36" t="n">
        <x:v>0</x:v>
      </x:c>
      <x:c r="I77" s="36" t="n">
        <x:v>0</x:v>
      </x:c>
      <x:c r="J77" s="36" t="n">
        <x:v>0</x:v>
      </x:c>
      <x:c r="K77" s="36" t="n">
        <x:v>5</x:v>
      </x:c>
      <x:c r="L77" s="36" t="n">
        <x:v>5</x:v>
      </x:c>
      <x:c r="M77" s="36" t="n">
        <x:v>5</x:v>
      </x:c>
      <x:c r="N77" s="36" t="str">
        <x:v>FREIGEGEBEN</x:v>
      </x:c>
      <x:c r="O77" s="36" t="n">
        <x:v>0</x:v>
      </x:c>
      <x:c r="P77" s="36" t="n">
        <x:v>1</x:v>
      </x:c>
      <x:c r="Q77" s="36" t="n">
        <x:v>1</x:v>
      </x:c>
      <x:c r="R77" s="36" t="n">
        <x:v>3</x:v>
      </x:c>
      <x:c r="S77" s="36" t="n">
        <x:v>0</x:v>
      </x:c>
      <x:c r="T77" s="36" t="n">
        <x:v>0</x:v>
      </x:c>
      <x:c r="U77" s="36" t="str">
        <x:v>Johannes 8: 5/5 ersetzt, gegen L1912 + OTB geprüft und freigegeben.</x:v>
      </x:c>
    </x:row>
    <x:row r="78">
      <x:c r="A78" s="36" t="n">
        <x:v>77</x:v>
      </x:c>
      <x:c r="B78" s="36" t="str">
        <x:v>JHN</x:v>
      </x:c>
      <x:c r="C78" s="36" t="str">
        <x:v>Johannes</x:v>
      </x:c>
      <x:c r="D78" s="36" t="n">
        <x:v>9</x:v>
      </x:c>
      <x:c r="E78" s="36" t="str">
        <x:v>JHN-009</x:v>
      </x:c>
      <x:c r="F78" s="36" t="str">
        <x:v>FP-0641</x:v>
      </x:c>
      <x:c r="G78" s="36" t="str">
        <x:v>FP-0645</x:v>
      </x:c>
      <x:c r="H78" s="36" t="n">
        <x:v>0</x:v>
      </x:c>
      <x:c r="I78" s="36" t="n">
        <x:v>0</x:v>
      </x:c>
      <x:c r="J78" s="36" t="n">
        <x:v>0</x:v>
      </x:c>
      <x:c r="K78" s="36" t="n">
        <x:v>5</x:v>
      </x:c>
      <x:c r="L78" s="36" t="n">
        <x:v>5</x:v>
      </x:c>
      <x:c r="M78" s="36" t="n">
        <x:v>5</x:v>
      </x:c>
      <x:c r="N78" s="36" t="str">
        <x:v>FREIGEGEBEN</x:v>
      </x:c>
      <x:c r="O78" s="36" t="n">
        <x:v>1</x:v>
      </x:c>
      <x:c r="P78" s="36" t="n">
        <x:v>1</x:v>
      </x:c>
      <x:c r="Q78" s="36" t="n">
        <x:v>1</x:v>
      </x:c>
      <x:c r="R78" s="36" t="n">
        <x:v>2</x:v>
      </x:c>
      <x:c r="S78" s="36" t="n">
        <x:v>0</x:v>
      </x:c>
      <x:c r="T78" s="36" t="n">
        <x:v>0</x:v>
      </x:c>
      <x:c r="U78" s="36" t="str">
        <x:v>Johannes 9: 5/5 ersetzt, gegen L1912 + OTB geprüft und freigegeben.</x:v>
      </x:c>
    </x:row>
    <x:row r="79">
      <x:c r="A79" s="36" t="n">
        <x:v>78</x:v>
      </x:c>
      <x:c r="B79" s="36" t="str">
        <x:v>JHN</x:v>
      </x:c>
      <x:c r="C79" s="36" t="str">
        <x:v>Johannes</x:v>
      </x:c>
      <x:c r="D79" s="36" t="n">
        <x:v>10</x:v>
      </x:c>
      <x:c r="E79" s="36" t="str">
        <x:v>JHN-010</x:v>
      </x:c>
      <x:c r="F79" s="36" t="str">
        <x:v>FP-0646</x:v>
      </x:c>
      <x:c r="G79" s="36" t="str">
        <x:v>FP-0650</x:v>
      </x:c>
      <x:c r="H79" s="36" t="n">
        <x:v>0</x:v>
      </x:c>
      <x:c r="I79" s="36" t="n">
        <x:v>0</x:v>
      </x:c>
      <x:c r="J79" s="36" t="n">
        <x:v>0</x:v>
      </x:c>
      <x:c r="K79" s="36" t="n">
        <x:v>5</x:v>
      </x:c>
      <x:c r="L79" s="36" t="n">
        <x:v>5</x:v>
      </x:c>
      <x:c r="M79" s="36" t="n">
        <x:v>5</x:v>
      </x:c>
      <x:c r="N79" s="36" t="str">
        <x:v>FREIGEGEBEN</x:v>
      </x:c>
      <x:c r="O79" s="36" t="n">
        <x:v>0</x:v>
      </x:c>
      <x:c r="P79" s="36" t="n">
        <x:v>1</x:v>
      </x:c>
      <x:c r="Q79" s="36" t="n">
        <x:v>0</x:v>
      </x:c>
      <x:c r="R79" s="36" t="n">
        <x:v>4</x:v>
      </x:c>
      <x:c r="S79" s="36" t="n">
        <x:v>0</x:v>
      </x:c>
      <x:c r="T79" s="36" t="n">
        <x:v>0</x:v>
      </x:c>
      <x:c r="U79" s="36" t="str">
        <x:v>Johannes 10: 5/5 ersetzt, gegen L1912 + OTB geprüft und freigegeben.</x:v>
      </x:c>
    </x:row>
    <x:row r="80">
      <x:c r="A80" s="36" t="n">
        <x:v>79</x:v>
      </x:c>
      <x:c r="B80" s="36" t="str">
        <x:v>JHN</x:v>
      </x:c>
      <x:c r="C80" s="36" t="str">
        <x:v>Johannes</x:v>
      </x:c>
      <x:c r="D80" s="36" t="n">
        <x:v>11</x:v>
      </x:c>
      <x:c r="E80" s="36" t="str">
        <x:v>JHN-011</x:v>
      </x:c>
      <x:c r="F80" s="36" t="str">
        <x:v>FP-0651</x:v>
      </x:c>
      <x:c r="G80" s="36" t="str">
        <x:v>FP-0655</x:v>
      </x:c>
      <x:c r="H80" s="36" t="n">
        <x:v>0</x:v>
      </x:c>
      <x:c r="I80" s="36" t="n">
        <x:v>0</x:v>
      </x:c>
      <x:c r="J80" s="36" t="n">
        <x:v>0</x:v>
      </x:c>
      <x:c r="K80" s="36" t="n">
        <x:v>5</x:v>
      </x:c>
      <x:c r="L80" s="36" t="n">
        <x:v>5</x:v>
      </x:c>
      <x:c r="M80" s="36" t="n">
        <x:v>5</x:v>
      </x:c>
      <x:c r="N80" s="36" t="str">
        <x:v>FREIGEGEBEN</x:v>
      </x:c>
      <x:c r="O80" s="36" t="n">
        <x:v>3</x:v>
      </x:c>
      <x:c r="P80" s="36" t="n">
        <x:v>0</x:v>
      </x:c>
      <x:c r="Q80" s="36" t="n">
        <x:v>1</x:v>
      </x:c>
      <x:c r="R80" s="36" t="n">
        <x:v>1</x:v>
      </x:c>
      <x:c r="S80" s="36" t="n">
        <x:v>0</x:v>
      </x:c>
      <x:c r="T80" s="36" t="n">
        <x:v>0</x:v>
      </x:c>
      <x:c r="U80" s="36" t="str">
        <x:v>Johannes 11: 5/5 ersetzt, gegen L1912 + OTB geprüft und freigegeben.</x:v>
      </x:c>
    </x:row>
    <x:row r="81">
      <x:c r="A81" s="36" t="n">
        <x:v>80</x:v>
      </x:c>
      <x:c r="B81" s="36" t="str">
        <x:v>JHN</x:v>
      </x:c>
      <x:c r="C81" s="36" t="str">
        <x:v>Johannes</x:v>
      </x:c>
      <x:c r="D81" s="36" t="n">
        <x:v>12</x:v>
      </x:c>
      <x:c r="E81" s="36" t="str">
        <x:v>JHN-012</x:v>
      </x:c>
      <x:c r="F81" s="36" t="str">
        <x:v>FP-0656</x:v>
      </x:c>
      <x:c r="G81" s="36" t="str">
        <x:v>FP-0660</x:v>
      </x:c>
      <x:c r="H81" s="36" t="n">
        <x:v>0</x:v>
      </x:c>
      <x:c r="I81" s="36" t="n">
        <x:v>0</x:v>
      </x:c>
      <x:c r="J81" s="36" t="n">
        <x:v>0</x:v>
      </x:c>
      <x:c r="K81" s="36" t="n">
        <x:v>5</x:v>
      </x:c>
      <x:c r="L81" s="36" t="n">
        <x:v>5</x:v>
      </x:c>
      <x:c r="M81" s="36" t="n">
        <x:v>5</x:v>
      </x:c>
      <x:c r="N81" s="36" t="str">
        <x:v>FREIGEGEBEN</x:v>
      </x:c>
      <x:c r="O81" s="36" t="n">
        <x:v>2</x:v>
      </x:c>
      <x:c r="P81" s="36" t="n">
        <x:v>0</x:v>
      </x:c>
      <x:c r="Q81" s="36" t="n">
        <x:v>1</x:v>
      </x:c>
      <x:c r="R81" s="36" t="n">
        <x:v>2</x:v>
      </x:c>
      <x:c r="S81" s="36" t="n">
        <x:v>0</x:v>
      </x:c>
      <x:c r="T81" s="36" t="n">
        <x:v>0</x:v>
      </x:c>
      <x:c r="U81" s="36" t="str">
        <x:v>Johannes 12: 5/5 ersetzt, gegen L1912 + OTB geprüft und freigegeben.</x:v>
      </x:c>
    </x:row>
    <x:row r="82">
      <x:c r="A82" s="36" t="n">
        <x:v>81</x:v>
      </x:c>
      <x:c r="B82" s="36" t="str">
        <x:v>JHN</x:v>
      </x:c>
      <x:c r="C82" s="36" t="str">
        <x:v>Johannes</x:v>
      </x:c>
      <x:c r="D82" s="36" t="n">
        <x:v>13</x:v>
      </x:c>
      <x:c r="E82" s="36" t="str">
        <x:v>JHN-013</x:v>
      </x:c>
      <x:c r="F82" s="36" t="str">
        <x:v>FP-0661</x:v>
      </x:c>
      <x:c r="G82" s="36" t="str">
        <x:v>FP-0665</x:v>
      </x:c>
      <x:c r="H82" s="36" t="n">
        <x:v>0</x:v>
      </x:c>
      <x:c r="I82" s="36" t="n">
        <x:v>0</x:v>
      </x:c>
      <x:c r="J82" s="36" t="n">
        <x:v>0</x:v>
      </x:c>
      <x:c r="K82" s="36" t="n">
        <x:v>5</x:v>
      </x:c>
      <x:c r="L82" s="36" t="n">
        <x:v>5</x:v>
      </x:c>
      <x:c r="M82" s="36" t="n">
        <x:v>5</x:v>
      </x:c>
      <x:c r="N82" s="36" t="str">
        <x:v>FREIGEGEBEN</x:v>
      </x:c>
      <x:c r="O82" s="36" t="n">
        <x:v>2</x:v>
      </x:c>
      <x:c r="P82" s="36" t="n">
        <x:v>1</x:v>
      </x:c>
      <x:c r="Q82" s="36" t="n">
        <x:v>0</x:v>
      </x:c>
      <x:c r="R82" s="36" t="n">
        <x:v>2</x:v>
      </x:c>
      <x:c r="S82" s="36" t="n">
        <x:v>0</x:v>
      </x:c>
      <x:c r="T82" s="36" t="n">
        <x:v>0</x:v>
      </x:c>
      <x:c r="U82" s="36" t="str">
        <x:v>Johannes 13: 5/5 ersetzt, gegen L1912 + OTB geprüft und freigegeben.</x:v>
      </x:c>
    </x:row>
    <x:row r="83">
      <x:c r="A83" s="36" t="n">
        <x:v>82</x:v>
      </x:c>
      <x:c r="B83" s="36" t="str">
        <x:v>JHN</x:v>
      </x:c>
      <x:c r="C83" s="36" t="str">
        <x:v>Johannes</x:v>
      </x:c>
      <x:c r="D83" s="36" t="n">
        <x:v>14</x:v>
      </x:c>
      <x:c r="E83" s="36" t="str">
        <x:v>JHN-014</x:v>
      </x:c>
      <x:c r="F83" s="36" t="str">
        <x:v>FP-0666</x:v>
      </x:c>
      <x:c r="G83" s="36" t="str">
        <x:v>FP-0670</x:v>
      </x:c>
      <x:c r="H83" s="36" t="n">
        <x:v>0</x:v>
      </x:c>
      <x:c r="I83" s="36" t="n">
        <x:v>0</x:v>
      </x:c>
      <x:c r="J83" s="36" t="n">
        <x:v>0</x:v>
      </x:c>
      <x:c r="K83" s="36" t="n">
        <x:v>5</x:v>
      </x:c>
      <x:c r="L83" s="36" t="n">
        <x:v>5</x:v>
      </x:c>
      <x:c r="M83" s="36" t="n">
        <x:v>5</x:v>
      </x:c>
      <x:c r="N83" s="36" t="str">
        <x:v>FREIGEGEBEN</x:v>
      </x:c>
      <x:c r="O83" s="36" t="n">
        <x:v>0</x:v>
      </x:c>
      <x:c r="P83" s="36" t="n">
        <x:v>1</x:v>
      </x:c>
      <x:c r="Q83" s="36" t="n">
        <x:v>0</x:v>
      </x:c>
      <x:c r="R83" s="36" t="n">
        <x:v>4</x:v>
      </x:c>
      <x:c r="S83" s="36" t="n">
        <x:v>0</x:v>
      </x:c>
      <x:c r="T83" s="36" t="n">
        <x:v>0</x:v>
      </x:c>
      <x:c r="U83" s="36" t="str">
        <x:v>Johannes 14: 5/5 ersetzt, gegen L1912 + OTB geprüft und freigegeben.</x:v>
      </x:c>
    </x:row>
    <x:row r="84">
      <x:c r="A84" s="36" t="n">
        <x:v>83</x:v>
      </x:c>
      <x:c r="B84" s="36" t="str">
        <x:v>JHN</x:v>
      </x:c>
      <x:c r="C84" s="36" t="str">
        <x:v>Johannes</x:v>
      </x:c>
      <x:c r="D84" s="36" t="n">
        <x:v>15</x:v>
      </x:c>
      <x:c r="E84" s="36" t="str">
        <x:v>JHN-015</x:v>
      </x:c>
      <x:c r="F84" s="36" t="str">
        <x:v>FP-0671</x:v>
      </x:c>
      <x:c r="G84" s="36" t="str">
        <x:v>FP-0675</x:v>
      </x:c>
      <x:c r="H84" s="36" t="n">
        <x:v>0</x:v>
      </x:c>
      <x:c r="I84" s="36" t="n">
        <x:v>0</x:v>
      </x:c>
      <x:c r="J84" s="36" t="n">
        <x:v>0</x:v>
      </x:c>
      <x:c r="K84" s="36" t="n">
        <x:v>5</x:v>
      </x:c>
      <x:c r="L84" s="36" t="n">
        <x:v>5</x:v>
      </x:c>
      <x:c r="M84" s="36" t="n">
        <x:v>5</x:v>
      </x:c>
      <x:c r="N84" s="36" t="str">
        <x:v>FREIGEGEBEN</x:v>
      </x:c>
      <x:c r="O84" s="36" t="n">
        <x:v>0</x:v>
      </x:c>
      <x:c r="P84" s="36" t="n">
        <x:v>0</x:v>
      </x:c>
      <x:c r="Q84" s="36" t="n">
        <x:v>1</x:v>
      </x:c>
      <x:c r="R84" s="36" t="n">
        <x:v>4</x:v>
      </x:c>
      <x:c r="S84" s="36" t="n">
        <x:v>0</x:v>
      </x:c>
      <x:c r="T84" s="36" t="n">
        <x:v>0</x:v>
      </x:c>
      <x:c r="U84" s="36" t="str">
        <x:v>Johannes 15: 5/5 ersetzt, gegen L1912 + OTB geprüft und freigegeben.</x:v>
      </x:c>
    </x:row>
    <x:row r="85">
      <x:c r="A85" s="36" t="n">
        <x:v>84</x:v>
      </x:c>
      <x:c r="B85" s="36" t="str">
        <x:v>JHN</x:v>
      </x:c>
      <x:c r="C85" s="36" t="str">
        <x:v>Johannes</x:v>
      </x:c>
      <x:c r="D85" s="36" t="n">
        <x:v>16</x:v>
      </x:c>
      <x:c r="E85" s="36" t="str">
        <x:v>JHN-016</x:v>
      </x:c>
      <x:c r="F85" s="36" t="str">
        <x:v>FP-0676</x:v>
      </x:c>
      <x:c r="G85" s="36" t="str">
        <x:v>FP-0680</x:v>
      </x:c>
      <x:c r="H85" s="36" t="n">
        <x:v>0</x:v>
      </x:c>
      <x:c r="I85" s="36" t="n">
        <x:v>0</x:v>
      </x:c>
      <x:c r="J85" s="36" t="n">
        <x:v>0</x:v>
      </x:c>
      <x:c r="K85" s="36" t="n">
        <x:v>5</x:v>
      </x:c>
      <x:c r="L85" s="36" t="n">
        <x:v>5</x:v>
      </x:c>
      <x:c r="M85" s="36" t="n">
        <x:v>5</x:v>
      </x:c>
      <x:c r="N85" s="36" t="str">
        <x:v>FREIGEGEBEN</x:v>
      </x:c>
      <x:c r="O85" s="36" t="n">
        <x:v>0</x:v>
      </x:c>
      <x:c r="P85" s="36" t="n">
        <x:v>0</x:v>
      </x:c>
      <x:c r="Q85" s="36" t="n">
        <x:v>1</x:v>
      </x:c>
      <x:c r="R85" s="36" t="n">
        <x:v>4</x:v>
      </x:c>
      <x:c r="S85" s="36" t="n">
        <x:v>0</x:v>
      </x:c>
      <x:c r="T85" s="36" t="n">
        <x:v>0</x:v>
      </x:c>
      <x:c r="U85" s="36" t="str">
        <x:v>Johannes 16: 5/5 ersetzt, gegen L1912 + OTB geprüft und freigegeben.</x:v>
      </x:c>
    </x:row>
    <x:row r="86">
      <x:c r="A86" s="36" t="n">
        <x:v>85</x:v>
      </x:c>
      <x:c r="B86" s="36" t="str">
        <x:v>JHN</x:v>
      </x:c>
      <x:c r="C86" s="36" t="str">
        <x:v>Johannes</x:v>
      </x:c>
      <x:c r="D86" s="36" t="n">
        <x:v>17</x:v>
      </x:c>
      <x:c r="E86" s="36" t="str">
        <x:v>JHN-017</x:v>
      </x:c>
      <x:c r="F86" s="36" t="str">
        <x:v>FP-0681</x:v>
      </x:c>
      <x:c r="G86" s="36" t="str">
        <x:v>FP-0685</x:v>
      </x:c>
      <x:c r="H86" s="36" t="n">
        <x:v>0</x:v>
      </x:c>
      <x:c r="I86" s="36" t="n">
        <x:v>0</x:v>
      </x:c>
      <x:c r="J86" s="36" t="n">
        <x:v>0</x:v>
      </x:c>
      <x:c r="K86" s="36" t="n">
        <x:v>5</x:v>
      </x:c>
      <x:c r="L86" s="36" t="n">
        <x:v>5</x:v>
      </x:c>
      <x:c r="M86" s="36" t="n">
        <x:v>5</x:v>
      </x:c>
      <x:c r="N86" s="36" t="str">
        <x:v>FREIGEGEBEN</x:v>
      </x:c>
      <x:c r="O86" s="36" t="n">
        <x:v>0</x:v>
      </x:c>
      <x:c r="P86" s="36" t="n">
        <x:v>0</x:v>
      </x:c>
      <x:c r="Q86" s="36" t="n">
        <x:v>0</x:v>
      </x:c>
      <x:c r="R86" s="36" t="n">
        <x:v>5</x:v>
      </x:c>
      <x:c r="S86" s="36" t="n">
        <x:v>0</x:v>
      </x:c>
      <x:c r="T86" s="36" t="n">
        <x:v>0</x:v>
      </x:c>
      <x:c r="U86" s="36" t="str">
        <x:v>Johannes 17: 5/5 ersetzt, gegen L1912 + OTB geprüft und freigegeben.</x:v>
      </x:c>
    </x:row>
    <x:row r="87">
      <x:c r="A87" s="36" t="n">
        <x:v>86</x:v>
      </x:c>
      <x:c r="B87" s="36" t="str">
        <x:v>JHN</x:v>
      </x:c>
      <x:c r="C87" s="36" t="str">
        <x:v>Johannes</x:v>
      </x:c>
      <x:c r="D87" s="36" t="n">
        <x:v>18</x:v>
      </x:c>
      <x:c r="E87" s="36" t="str">
        <x:v>JHN-018</x:v>
      </x:c>
      <x:c r="F87" s="36" t="str">
        <x:v>FP-0686</x:v>
      </x:c>
      <x:c r="G87" s="36" t="str">
        <x:v>FP-0690</x:v>
      </x:c>
      <x:c r="H87" s="36" t="n">
        <x:v>0</x:v>
      </x:c>
      <x:c r="I87" s="36" t="n">
        <x:v>0</x:v>
      </x:c>
      <x:c r="J87" s="36" t="n">
        <x:v>0</x:v>
      </x:c>
      <x:c r="K87" s="36" t="n">
        <x:v>5</x:v>
      </x:c>
      <x:c r="L87" s="36" t="n">
        <x:v>5</x:v>
      </x:c>
      <x:c r="M87" s="36" t="n">
        <x:v>5</x:v>
      </x:c>
      <x:c r="N87" s="36" t="str">
        <x:v>FREIGEGEBEN</x:v>
      </x:c>
      <x:c r="O87" s="36" t="n">
        <x:v>4</x:v>
      </x:c>
      <x:c r="P87" s="36" t="n">
        <x:v>0</x:v>
      </x:c>
      <x:c r="Q87" s="36" t="n">
        <x:v>0</x:v>
      </x:c>
      <x:c r="R87" s="36" t="n">
        <x:v>1</x:v>
      </x:c>
      <x:c r="S87" s="36" t="n">
        <x:v>0</x:v>
      </x:c>
      <x:c r="T87" s="36" t="n">
        <x:v>0</x:v>
      </x:c>
      <x:c r="U87" s="36" t="str">
        <x:v>Johannes 18: 5/5 ersetzt, gegen L1912 + OTB geprüft und freigegeben.</x:v>
      </x:c>
    </x:row>
    <x:row r="88">
      <x:c r="A88" s="36" t="n">
        <x:v>87</x:v>
      </x:c>
      <x:c r="B88" s="36" t="str">
        <x:v>JHN</x:v>
      </x:c>
      <x:c r="C88" s="36" t="str">
        <x:v>Johannes</x:v>
      </x:c>
      <x:c r="D88" s="36" t="n">
        <x:v>19</x:v>
      </x:c>
      <x:c r="E88" s="36" t="str">
        <x:v>JHN-019</x:v>
      </x:c>
      <x:c r="F88" s="36" t="str">
        <x:v>FP-0691</x:v>
      </x:c>
      <x:c r="G88" s="36" t="str">
        <x:v>FP-0695</x:v>
      </x:c>
      <x:c r="H88" s="36" t="n">
        <x:v>0</x:v>
      </x:c>
      <x:c r="I88" s="36" t="n">
        <x:v>0</x:v>
      </x:c>
      <x:c r="J88" s="36" t="n">
        <x:v>0</x:v>
      </x:c>
      <x:c r="K88" s="36" t="n">
        <x:v>5</x:v>
      </x:c>
      <x:c r="L88" s="36" t="n">
        <x:v>5</x:v>
      </x:c>
      <x:c r="M88" s="36" t="n">
        <x:v>5</x:v>
      </x:c>
      <x:c r="N88" s="36" t="str">
        <x:v>FREIGEGEBEN</x:v>
      </x:c>
      <x:c r="O88" s="36" t="n">
        <x:v>3</x:v>
      </x:c>
      <x:c r="P88" s="36" t="n">
        <x:v>2</x:v>
      </x:c>
      <x:c r="Q88" s="36" t="n">
        <x:v>0</x:v>
      </x:c>
      <x:c r="R88" s="36" t="n">
        <x:v>0</x:v>
      </x:c>
      <x:c r="S88" s="36" t="n">
        <x:v>0</x:v>
      </x:c>
      <x:c r="T88" s="36" t="n">
        <x:v>0</x:v>
      </x:c>
      <x:c r="U88" s="36" t="str">
        <x:v>Johannes 19: 5/5 ersetzt, gegen L1912 + OTB geprüft und freigegeben.</x:v>
      </x:c>
    </x:row>
    <x:row r="89">
      <x:c r="A89" s="36" t="n">
        <x:v>88</x:v>
      </x:c>
      <x:c r="B89" s="36" t="str">
        <x:v>JHN</x:v>
      </x:c>
      <x:c r="C89" s="36" t="str">
        <x:v>Johannes</x:v>
      </x:c>
      <x:c r="D89" s="36" t="n">
        <x:v>20</x:v>
      </x:c>
      <x:c r="E89" s="36" t="str">
        <x:v>JHN-020</x:v>
      </x:c>
      <x:c r="F89" s="36" t="str">
        <x:v>FP-0696</x:v>
      </x:c>
      <x:c r="G89" s="36" t="str">
        <x:v>FP-0700</x:v>
      </x:c>
      <x:c r="H89" s="36" t="n">
        <x:v>0</x:v>
      </x:c>
      <x:c r="I89" s="36" t="n">
        <x:v>0</x:v>
      </x:c>
      <x:c r="J89" s="36" t="n">
        <x:v>0</x:v>
      </x:c>
      <x:c r="K89" s="36" t="n">
        <x:v>5</x:v>
      </x:c>
      <x:c r="L89" s="36" t="n">
        <x:v>5</x:v>
      </x:c>
      <x:c r="M89" s="36" t="n">
        <x:v>5</x:v>
      </x:c>
      <x:c r="N89" s="36" t="str">
        <x:v>FREIGEGEBEN</x:v>
      </x:c>
      <x:c r="O89" s="36" t="n">
        <x:v>3</x:v>
      </x:c>
      <x:c r="P89" s="36" t="n">
        <x:v>1</x:v>
      </x:c>
      <x:c r="Q89" s="36" t="n">
        <x:v>0</x:v>
      </x:c>
      <x:c r="R89" s="36" t="n">
        <x:v>1</x:v>
      </x:c>
      <x:c r="S89" s="36" t="n">
        <x:v>0</x:v>
      </x:c>
      <x:c r="T89" s="36" t="n">
        <x:v>0</x:v>
      </x:c>
      <x:c r="U89" s="36" t="str">
        <x:v>Johannes 20: 5/5 ersetzt, gegen L1912 + OTB geprüft und freigegeben.</x:v>
      </x:c>
    </x:row>
    <x:row r="90">
      <x:c r="A90" s="36" t="n">
        <x:v>89</x:v>
      </x:c>
      <x:c r="B90" s="36" t="str">
        <x:v>JHN</x:v>
      </x:c>
      <x:c r="C90" s="36" t="str">
        <x:v>Johannes</x:v>
      </x:c>
      <x:c r="D90" s="36" t="n">
        <x:v>21</x:v>
      </x:c>
      <x:c r="E90" s="36" t="str">
        <x:v>JHN-021</x:v>
      </x:c>
      <x:c r="F90" s="36" t="str">
        <x:v>FP-0701</x:v>
      </x:c>
      <x:c r="G90" s="36" t="str">
        <x:v>FP-0705</x:v>
      </x:c>
      <x:c r="H90" s="36" t="n">
        <x:v>0</x:v>
      </x:c>
      <x:c r="I90" s="36" t="n">
        <x:v>0</x:v>
      </x:c>
      <x:c r="J90" s="36" t="n">
        <x:v>0</x:v>
      </x:c>
      <x:c r="K90" s="36" t="n">
        <x:v>5</x:v>
      </x:c>
      <x:c r="L90" s="36" t="n">
        <x:v>5</x:v>
      </x:c>
      <x:c r="M90" s="36" t="n">
        <x:v>5</x:v>
      </x:c>
      <x:c r="N90" s="36" t="str">
        <x:v>FREIGEGEBEN</x:v>
      </x:c>
      <x:c r="O90" s="36" t="n">
        <x:v>1</x:v>
      </x:c>
      <x:c r="P90" s="36" t="n">
        <x:v>0</x:v>
      </x:c>
      <x:c r="Q90" s="36" t="n">
        <x:v>1</x:v>
      </x:c>
      <x:c r="R90" s="36" t="n">
        <x:v>2</x:v>
      </x:c>
      <x:c r="S90" s="36" t="n">
        <x:v>0</x:v>
      </x:c>
      <x:c r="T90" s="36" t="n">
        <x:v>1</x:v>
      </x:c>
      <x:c r="U90" s="36" t="str">
        <x:v>Johannes 21: 5/5 ersetzt, gegen L1912 + OTB geprüft und freigegeben.</x:v>
      </x:c>
    </x:row>
    <x:row r="91">
      <x:c r="A91" s="36" t="n">
        <x:v>90</x:v>
      </x:c>
      <x:c r="B91" s="36" t="str">
        <x:v>ACT</x:v>
      </x:c>
      <x:c r="C91" s="36" t="str">
        <x:v>Apostelgeschichte</x:v>
      </x:c>
      <x:c r="D91" s="36" t="n">
        <x:v>1</x:v>
      </x:c>
      <x:c r="E91" s="36" t="str">
        <x:v>ACT-001</x:v>
      </x:c>
      <x:c r="F91" s="36" t="str">
        <x:v>FP-0706</x:v>
      </x:c>
      <x:c r="G91" s="36" t="str">
        <x:v>FP-0710</x:v>
      </x:c>
      <x:c r="H91" s="36" t="n">
        <x:f>COUNTIFS(FRAGEN_MASTER!$F:$F,$E91,FRAGEN_MASTER!$M:$M,"ZU_PRÜFEN")</x:f>
        <x:v>0</x:v>
      </x:c>
      <x:c r="I91" s="36" t="n">
        <x:f>COUNTIFS(FRAGEN_MASTER!$F:$F,$E91,FRAGEN_MASTER!$M:$M,"BEHALTEN")</x:f>
        <x:v>0</x:v>
      </x:c>
      <x:c r="J91" s="36" t="n">
        <x:f>COUNTIFS(FRAGEN_MASTER!$F:$F,$E91,FRAGEN_MASTER!$M:$M,"VERBESSERN")</x:f>
        <x:v>0</x:v>
      </x:c>
      <x:c r="K91" s="36" t="n">
        <x:f>COUNTIFS(FRAGEN_MASTER!$F:$F,$E91,FRAGEN_MASTER!$M:$M,"ERSETZEN")</x:f>
        <x:v>5</x:v>
      </x:c>
      <x:c r="L91" s="36" t="n">
        <x:f>COUNTIFS(FRAGEN_MASTER!$F:$F,$E91,FRAGEN_MASTER!$AG:$AG,"FREIGEGEBEN")</x:f>
        <x:v>5</x:v>
      </x:c>
      <x:c r="M91" s="36" t="n">
        <x:f>COUNTIFS(FRAGEN_MASTER!$F:$F,$E91,FRAGEN_MASTER!$AL:$AL,"JA")</x:f>
        <x:v>5</x:v>
      </x:c>
      <x:c r="N91" s="36" t="str">
        <x:f>IF(M91=5,"FREIGEGEBEN",IF(H91=5,"NOCH_NICHT_GEPRÜFT","IN_ARBEIT"))</x:f>
        <x:v>FREIGEGEBEN</x:v>
      </x:c>
      <x:c r="O91" s="36" t="n">
        <x:f>COUNTIFS(FRAGEN_MASTER!$F:$F,$E91,FRAGEN_MASTER!$P:$P,"GESCHEHEN")</x:f>
        <x:v>2</x:v>
      </x:c>
      <x:c r="P91" s="36" t="n">
        <x:f>COUNTIFS(FRAGEN_MASTER!$F:$F,$E91,FRAGEN_MASTER!$P:$P,"PERSON_AUSSAGE")</x:f>
        <x:v>0</x:v>
      </x:c>
      <x:c r="Q91" s="36" t="n">
        <x:f>COUNTIFS(FRAGEN_MASTER!$F:$F,$E91,FRAGEN_MASTER!$P:$P,"ZUSAMMENHANG")</x:f>
        <x:v>1</x:v>
      </x:c>
      <x:c r="R91" s="36" t="n">
        <x:f>COUNTIFS(FRAGEN_MASTER!$F:$F,$E91,FRAGEN_MASTER!$P:$P,"KERNAUSSAGE")</x:f>
        <x:v>2</x:v>
      </x:c>
      <x:c r="S91" s="36" t="n">
        <x:f>COUNTIFS(FRAGEN_MASTER!$F:$F,$E91,FRAGEN_MASTER!$P:$P,"TEXTGENAUIGKEIT")</x:f>
        <x:v>0</x:v>
      </x:c>
      <x:c r="T91" s="36" t="n">
        <x:f>COUNTIFS(FRAGEN_MASTER!$F:$F,$E91,FRAGEN_MASTER!$P:$P,"DETAIL")+COUNTIFS(FRAGEN_MASTER!$F:$F,$E91,FRAGEN_MASTER!$P:$P,"SONSTIGES")</x:f>
        <x:v>0</x:v>
      </x:c>
      <x:c r="U91" s="36" t="str">
        <x:v>Apostelgeschichte 1: 5/5 repetitive Kapitel-Erkennungsfragen ersetzt, gegen L1912 + OTB geprüft und freigegeben.</x:v>
      </x:c>
    </x:row>
    <x:row r="92">
      <x:c r="A92" s="36" t="n">
        <x:v>91</x:v>
      </x:c>
      <x:c r="B92" s="36" t="str">
        <x:v>ACT</x:v>
      </x:c>
      <x:c r="C92" s="36" t="str">
        <x:v>Apostelgeschichte</x:v>
      </x:c>
      <x:c r="D92" s="36" t="n">
        <x:v>2</x:v>
      </x:c>
      <x:c r="E92" s="36" t="str">
        <x:v>ACT-002</x:v>
      </x:c>
      <x:c r="F92" s="36" t="str">
        <x:v>FP-0711</x:v>
      </x:c>
      <x:c r="G92" s="36" t="str">
        <x:v>FP-0715</x:v>
      </x:c>
      <x:c r="H92" s="36" t="n">
        <x:f>COUNTIFS(FRAGEN_MASTER!$F:$F,$E92,FRAGEN_MASTER!$M:$M,"ZU_PRÜFEN")</x:f>
        <x:v>0</x:v>
      </x:c>
      <x:c r="I92" s="36" t="n">
        <x:f>COUNTIFS(FRAGEN_MASTER!$F:$F,$E92,FRAGEN_MASTER!$M:$M,"BEHALTEN")</x:f>
        <x:v>0</x:v>
      </x:c>
      <x:c r="J92" s="36" t="n">
        <x:f>COUNTIFS(FRAGEN_MASTER!$F:$F,$E92,FRAGEN_MASTER!$M:$M,"VERBESSERN")</x:f>
        <x:v>0</x:v>
      </x:c>
      <x:c r="K92" s="36" t="n">
        <x:f>COUNTIFS(FRAGEN_MASTER!$F:$F,$E92,FRAGEN_MASTER!$M:$M,"ERSETZEN")</x:f>
        <x:v>5</x:v>
      </x:c>
      <x:c r="L92" s="36" t="n">
        <x:f>COUNTIFS(FRAGEN_MASTER!$F:$F,$E92,FRAGEN_MASTER!$AG:$AG,"FREIGEGEBEN")</x:f>
        <x:v>5</x:v>
      </x:c>
      <x:c r="M92" s="36" t="n">
        <x:f>COUNTIFS(FRAGEN_MASTER!$F:$F,$E92,FRAGEN_MASTER!$AL:$AL,"JA")</x:f>
        <x:v>5</x:v>
      </x:c>
      <x:c r="N92" s="36" t="str">
        <x:f>IF(M92=5,"FREIGEGEBEN",IF(H92=5,"NOCH_NICHT_GEPRÜFT","IN_ARBEIT"))</x:f>
        <x:v>FREIGEGEBEN</x:v>
      </x:c>
      <x:c r="O92" s="36" t="n">
        <x:f>COUNTIFS(FRAGEN_MASTER!$F:$F,$E92,FRAGEN_MASTER!$P:$P,"GESCHEHEN")</x:f>
        <x:v>1</x:v>
      </x:c>
      <x:c r="P92" s="36" t="n">
        <x:f>COUNTIFS(FRAGEN_MASTER!$F:$F,$E92,FRAGEN_MASTER!$P:$P,"PERSON_AUSSAGE")</x:f>
        <x:v>0</x:v>
      </x:c>
      <x:c r="Q92" s="36" t="n">
        <x:f>COUNTIFS(FRAGEN_MASTER!$F:$F,$E92,FRAGEN_MASTER!$P:$P,"ZUSAMMENHANG")</x:f>
        <x:v>1</x:v>
      </x:c>
      <x:c r="R92" s="36" t="n">
        <x:f>COUNTIFS(FRAGEN_MASTER!$F:$F,$E92,FRAGEN_MASTER!$P:$P,"KERNAUSSAGE")</x:f>
        <x:v>2</x:v>
      </x:c>
      <x:c r="S92" s="36" t="n">
        <x:f>COUNTIFS(FRAGEN_MASTER!$F:$F,$E92,FRAGEN_MASTER!$P:$P,"TEXTGENAUIGKEIT")</x:f>
        <x:v>1</x:v>
      </x:c>
      <x:c r="T92" s="36" t="n">
        <x:f>COUNTIFS(FRAGEN_MASTER!$F:$F,$E92,FRAGEN_MASTER!$P:$P,"DETAIL")+COUNTIFS(FRAGEN_MASTER!$F:$F,$E92,FRAGEN_MASTER!$P:$P,"SONSTIGES")</x:f>
        <x:v>0</x:v>
      </x:c>
      <x:c r="U92" s="36" t="str">
        <x:v>Apostelgeschichte 2: 5/5 repetitive Kapitel-Erkennungsfragen ersetzt, gegen L1912 + OTB geprüft und freigegeben.</x:v>
      </x:c>
    </x:row>
    <x:row r="93">
      <x:c r="A93" s="36" t="n">
        <x:v>92</x:v>
      </x:c>
      <x:c r="B93" s="36" t="str">
        <x:v>ACT</x:v>
      </x:c>
      <x:c r="C93" s="36" t="str">
        <x:v>Apostelgeschichte</x:v>
      </x:c>
      <x:c r="D93" s="36" t="n">
        <x:v>3</x:v>
      </x:c>
      <x:c r="E93" s="36" t="str">
        <x:v>ACT-003</x:v>
      </x:c>
      <x:c r="F93" s="36" t="str">
        <x:v>FP-0716</x:v>
      </x:c>
      <x:c r="G93" s="36" t="str">
        <x:v>FP-0720</x:v>
      </x:c>
      <x:c r="H93" s="36" t="n">
        <x:f>COUNTIFS(FRAGEN_MASTER!$F:$F,$E93,FRAGEN_MASTER!$M:$M,"ZU_PRÜFEN")</x:f>
        <x:v>0</x:v>
      </x:c>
      <x:c r="I93" s="36" t="n">
        <x:f>COUNTIFS(FRAGEN_MASTER!$F:$F,$E93,FRAGEN_MASTER!$M:$M,"BEHALTEN")</x:f>
        <x:v>0</x:v>
      </x:c>
      <x:c r="J93" s="36" t="n">
        <x:f>COUNTIFS(FRAGEN_MASTER!$F:$F,$E93,FRAGEN_MASTER!$M:$M,"VERBESSERN")</x:f>
        <x:v>0</x:v>
      </x:c>
      <x:c r="K93" s="36" t="n">
        <x:f>COUNTIFS(FRAGEN_MASTER!$F:$F,$E93,FRAGEN_MASTER!$M:$M,"ERSETZEN")</x:f>
        <x:v>5</x:v>
      </x:c>
      <x:c r="L93" s="36" t="n">
        <x:f>COUNTIFS(FRAGEN_MASTER!$F:$F,$E93,FRAGEN_MASTER!$AG:$AG,"FREIGEGEBEN")</x:f>
        <x:v>5</x:v>
      </x:c>
      <x:c r="M93" s="36" t="n">
        <x:f>COUNTIFS(FRAGEN_MASTER!$F:$F,$E93,FRAGEN_MASTER!$AL:$AL,"JA")</x:f>
        <x:v>5</x:v>
      </x:c>
      <x:c r="N93" s="36" t="str">
        <x:f>IF(M93=5,"FREIGEGEBEN",IF(H93=5,"NOCH_NICHT_GEPRÜFT","IN_ARBEIT"))</x:f>
        <x:v>FREIGEGEBEN</x:v>
      </x:c>
      <x:c r="O93" s="36" t="n">
        <x:f>COUNTIFS(FRAGEN_MASTER!$F:$F,$E93,FRAGEN_MASTER!$P:$P,"GESCHEHEN")</x:f>
        <x:v>1</x:v>
      </x:c>
      <x:c r="P93" s="36" t="n">
        <x:f>COUNTIFS(FRAGEN_MASTER!$F:$F,$E93,FRAGEN_MASTER!$P:$P,"PERSON_AUSSAGE")</x:f>
        <x:v>0</x:v>
      </x:c>
      <x:c r="Q93" s="36" t="n">
        <x:f>COUNTIFS(FRAGEN_MASTER!$F:$F,$E93,FRAGEN_MASTER!$P:$P,"ZUSAMMENHANG")</x:f>
        <x:v>1</x:v>
      </x:c>
      <x:c r="R93" s="36" t="n">
        <x:f>COUNTIFS(FRAGEN_MASTER!$F:$F,$E93,FRAGEN_MASTER!$P:$P,"KERNAUSSAGE")</x:f>
        <x:v>3</x:v>
      </x:c>
      <x:c r="S93" s="36" t="n">
        <x:f>COUNTIFS(FRAGEN_MASTER!$F:$F,$E93,FRAGEN_MASTER!$P:$P,"TEXTGENAUIGKEIT")</x:f>
        <x:v>0</x:v>
      </x:c>
      <x:c r="T93" s="36" t="n">
        <x:f>COUNTIFS(FRAGEN_MASTER!$F:$F,$E93,FRAGEN_MASTER!$P:$P,"DETAIL")+COUNTIFS(FRAGEN_MASTER!$F:$F,$E93,FRAGEN_MASTER!$P:$P,"SONSTIGES")</x:f>
        <x:v>0</x:v>
      </x:c>
      <x:c r="U93" s="36" t="str">
        <x:v>Apostelgeschichte 3: 5/5 repetitive Kapitel-Erkennungsfragen ersetzt, gegen L1912 + OTB geprüft und freigegeben.</x:v>
      </x:c>
    </x:row>
    <x:row r="94">
      <x:c r="A94" s="36" t="n">
        <x:v>93</x:v>
      </x:c>
      <x:c r="B94" s="36" t="str">
        <x:v>ACT</x:v>
      </x:c>
      <x:c r="C94" s="36" t="str">
        <x:v>Apostelgeschichte</x:v>
      </x:c>
      <x:c r="D94" s="36" t="n">
        <x:v>4</x:v>
      </x:c>
      <x:c r="E94" s="36" t="str">
        <x:v>ACT-004</x:v>
      </x:c>
      <x:c r="F94" s="36" t="str">
        <x:v>FP-0721</x:v>
      </x:c>
      <x:c r="G94" s="36" t="str">
        <x:v>FP-0725</x:v>
      </x:c>
      <x:c r="H94" s="36" t="n">
        <x:f>COUNTIFS(FRAGEN_MASTER!$F:$F,$E94,FRAGEN_MASTER!$M:$M,"ZU_PRÜFEN")</x:f>
        <x:v>0</x:v>
      </x:c>
      <x:c r="I94" s="36" t="n">
        <x:f>COUNTIFS(FRAGEN_MASTER!$F:$F,$E94,FRAGEN_MASTER!$M:$M,"BEHALTEN")</x:f>
        <x:v>0</x:v>
      </x:c>
      <x:c r="J94" s="36" t="n">
        <x:f>COUNTIFS(FRAGEN_MASTER!$F:$F,$E94,FRAGEN_MASTER!$M:$M,"VERBESSERN")</x:f>
        <x:v>0</x:v>
      </x:c>
      <x:c r="K94" s="36" t="n">
        <x:f>COUNTIFS(FRAGEN_MASTER!$F:$F,$E94,FRAGEN_MASTER!$M:$M,"ERSETZEN")</x:f>
        <x:v>5</x:v>
      </x:c>
      <x:c r="L94" s="36" t="n">
        <x:f>COUNTIFS(FRAGEN_MASTER!$F:$F,$E94,FRAGEN_MASTER!$AG:$AG,"FREIGEGEBEN")</x:f>
        <x:v>5</x:v>
      </x:c>
      <x:c r="M94" s="36" t="n">
        <x:f>COUNTIFS(FRAGEN_MASTER!$F:$F,$E94,FRAGEN_MASTER!$AL:$AL,"JA")</x:f>
        <x:v>5</x:v>
      </x:c>
      <x:c r="N94" s="36" t="str">
        <x:f>IF(M94=5,"FREIGEGEBEN",IF(H94=5,"NOCH_NICHT_GEPRÜFT","IN_ARBEIT"))</x:f>
        <x:v>FREIGEGEBEN</x:v>
      </x:c>
      <x:c r="O94" s="36" t="n">
        <x:f>COUNTIFS(FRAGEN_MASTER!$F:$F,$E94,FRAGEN_MASTER!$P:$P,"GESCHEHEN")</x:f>
        <x:v>1</x:v>
      </x:c>
      <x:c r="P94" s="36" t="n">
        <x:f>COUNTIFS(FRAGEN_MASTER!$F:$F,$E94,FRAGEN_MASTER!$P:$P,"PERSON_AUSSAGE")</x:f>
        <x:v>1</x:v>
      </x:c>
      <x:c r="Q94" s="36" t="n">
        <x:f>COUNTIFS(FRAGEN_MASTER!$F:$F,$E94,FRAGEN_MASTER!$P:$P,"ZUSAMMENHANG")</x:f>
        <x:v>1</x:v>
      </x:c>
      <x:c r="R94" s="36" t="n">
        <x:f>COUNTIFS(FRAGEN_MASTER!$F:$F,$E94,FRAGEN_MASTER!$P:$P,"KERNAUSSAGE")</x:f>
        <x:v>2</x:v>
      </x:c>
      <x:c r="S94" s="36" t="n">
        <x:f>COUNTIFS(FRAGEN_MASTER!$F:$F,$E94,FRAGEN_MASTER!$P:$P,"TEXTGENAUIGKEIT")</x:f>
        <x:v>0</x:v>
      </x:c>
      <x:c r="T94" s="36" t="n">
        <x:f>COUNTIFS(FRAGEN_MASTER!$F:$F,$E94,FRAGEN_MASTER!$P:$P,"DETAIL")+COUNTIFS(FRAGEN_MASTER!$F:$F,$E94,FRAGEN_MASTER!$P:$P,"SONSTIGES")</x:f>
        <x:v>0</x:v>
      </x:c>
      <x:c r="U94" s="36" t="str">
        <x:v>Apostelgeschichte 4: 5/5 repetitive Kapitel-Erkennungsfragen ersetzt, gegen L1912 + OTB geprüft und freigegeben.</x:v>
      </x:c>
    </x:row>
    <x:row r="95">
      <x:c r="A95" s="36" t="n">
        <x:v>94</x:v>
      </x:c>
      <x:c r="B95" s="36" t="str">
        <x:v>ACT</x:v>
      </x:c>
      <x:c r="C95" s="36" t="str">
        <x:v>Apostelgeschichte</x:v>
      </x:c>
      <x:c r="D95" s="36" t="n">
        <x:v>5</x:v>
      </x:c>
      <x:c r="E95" s="36" t="str">
        <x:v>ACT-005</x:v>
      </x:c>
      <x:c r="F95" s="36" t="str">
        <x:v>FP-0726</x:v>
      </x:c>
      <x:c r="G95" s="36" t="str">
        <x:v>FP-0730</x:v>
      </x:c>
      <x:c r="H95" s="36" t="n">
        <x:f>COUNTIFS(FRAGEN_MASTER!$F:$F,$E95,FRAGEN_MASTER!$M:$M,"ZU_PRÜFEN")</x:f>
        <x:v>0</x:v>
      </x:c>
      <x:c r="I95" s="36" t="n">
        <x:f>COUNTIFS(FRAGEN_MASTER!$F:$F,$E95,FRAGEN_MASTER!$M:$M,"BEHALTEN")</x:f>
        <x:v>0</x:v>
      </x:c>
      <x:c r="J95" s="36" t="n">
        <x:f>COUNTIFS(FRAGEN_MASTER!$F:$F,$E95,FRAGEN_MASTER!$M:$M,"VERBESSERN")</x:f>
        <x:v>0</x:v>
      </x:c>
      <x:c r="K95" s="36" t="n">
        <x:f>COUNTIFS(FRAGEN_MASTER!$F:$F,$E95,FRAGEN_MASTER!$M:$M,"ERSETZEN")</x:f>
        <x:v>5</x:v>
      </x:c>
      <x:c r="L95" s="36" t="n">
        <x:f>COUNTIFS(FRAGEN_MASTER!$F:$F,$E95,FRAGEN_MASTER!$AG:$AG,"FREIGEGEBEN")</x:f>
        <x:v>5</x:v>
      </x:c>
      <x:c r="M95" s="36" t="n">
        <x:f>COUNTIFS(FRAGEN_MASTER!$F:$F,$E95,FRAGEN_MASTER!$AL:$AL,"JA")</x:f>
        <x:v>5</x:v>
      </x:c>
      <x:c r="N95" s="36" t="str">
        <x:f>IF(M95=5,"FREIGEGEBEN",IF(H95=5,"NOCH_NICHT_GEPRÜFT","IN_ARBEIT"))</x:f>
        <x:v>FREIGEGEBEN</x:v>
      </x:c>
      <x:c r="O95" s="36" t="n">
        <x:f>COUNTIFS(FRAGEN_MASTER!$F:$F,$E95,FRAGEN_MASTER!$P:$P,"GESCHEHEN")</x:f>
        <x:v>3</x:v>
      </x:c>
      <x:c r="P95" s="36" t="n">
        <x:f>COUNTIFS(FRAGEN_MASTER!$F:$F,$E95,FRAGEN_MASTER!$P:$P,"PERSON_AUSSAGE")</x:f>
        <x:v>0</x:v>
      </x:c>
      <x:c r="Q95" s="36" t="n">
        <x:f>COUNTIFS(FRAGEN_MASTER!$F:$F,$E95,FRAGEN_MASTER!$P:$P,"ZUSAMMENHANG")</x:f>
        <x:v>1</x:v>
      </x:c>
      <x:c r="R95" s="36" t="n">
        <x:f>COUNTIFS(FRAGEN_MASTER!$F:$F,$E95,FRAGEN_MASTER!$P:$P,"KERNAUSSAGE")</x:f>
        <x:v>1</x:v>
      </x:c>
      <x:c r="S95" s="36" t="n">
        <x:f>COUNTIFS(FRAGEN_MASTER!$F:$F,$E95,FRAGEN_MASTER!$P:$P,"TEXTGENAUIGKEIT")</x:f>
        <x:v>0</x:v>
      </x:c>
      <x:c r="T95" s="36" t="n">
        <x:f>COUNTIFS(FRAGEN_MASTER!$F:$F,$E95,FRAGEN_MASTER!$P:$P,"DETAIL")+COUNTIFS(FRAGEN_MASTER!$F:$F,$E95,FRAGEN_MASTER!$P:$P,"SONSTIGES")</x:f>
        <x:v>0</x:v>
      </x:c>
      <x:c r="U95" s="36" t="str">
        <x:v>Apostelgeschichte 5: 5/5 repetitive Kapitel-Erkennungsfragen ersetzt, gegen L1912 + OTB geprüft und freigegeben.</x:v>
      </x:c>
    </x:row>
    <x:row r="96">
      <x:c r="A96" s="36" t="n">
        <x:v>95</x:v>
      </x:c>
      <x:c r="B96" s="36" t="str">
        <x:v>ACT</x:v>
      </x:c>
      <x:c r="C96" s="36" t="str">
        <x:v>Apostelgeschichte</x:v>
      </x:c>
      <x:c r="D96" s="36" t="n">
        <x:v>6</x:v>
      </x:c>
      <x:c r="E96" s="36" t="str">
        <x:v>ACT-006</x:v>
      </x:c>
      <x:c r="F96" s="36" t="str">
        <x:v>FP-0731</x:v>
      </x:c>
      <x:c r="G96" s="36" t="str">
        <x:v>FP-0735</x:v>
      </x:c>
      <x:c r="H96" s="36" t="n">
        <x:f>COUNTIFS(FRAGEN_MASTER!$F:$F,$E96,FRAGEN_MASTER!$M:$M,"ZU_PRÜFEN")</x:f>
        <x:v>0</x:v>
      </x:c>
      <x:c r="I96" s="36" t="n">
        <x:f>COUNTIFS(FRAGEN_MASTER!$F:$F,$E96,FRAGEN_MASTER!$M:$M,"BEHALTEN")</x:f>
        <x:v>0</x:v>
      </x:c>
      <x:c r="J96" s="36" t="n">
        <x:f>COUNTIFS(FRAGEN_MASTER!$F:$F,$E96,FRAGEN_MASTER!$M:$M,"VERBESSERN")</x:f>
        <x:v>0</x:v>
      </x:c>
      <x:c r="K96" s="36" t="n">
        <x:f>COUNTIFS(FRAGEN_MASTER!$F:$F,$E96,FRAGEN_MASTER!$M:$M,"ERSETZEN")</x:f>
        <x:v>5</x:v>
      </x:c>
      <x:c r="L96" s="36" t="n">
        <x:f>COUNTIFS(FRAGEN_MASTER!$F:$F,$E96,FRAGEN_MASTER!$AG:$AG,"FREIGEGEBEN")</x:f>
        <x:v>5</x:v>
      </x:c>
      <x:c r="M96" s="36" t="n">
        <x:f>COUNTIFS(FRAGEN_MASTER!$F:$F,$E96,FRAGEN_MASTER!$AL:$AL,"JA")</x:f>
        <x:v>5</x:v>
      </x:c>
      <x:c r="N96" s="36" t="str">
        <x:f>IF(M96=5,"FREIGEGEBEN",IF(H96=5,"NOCH_NICHT_GEPRÜFT","IN_ARBEIT"))</x:f>
        <x:v>FREIGEGEBEN</x:v>
      </x:c>
      <x:c r="O96" s="36" t="n">
        <x:f>COUNTIFS(FRAGEN_MASTER!$F:$F,$E96,FRAGEN_MASTER!$P:$P,"GESCHEHEN")</x:f>
        <x:v>2</x:v>
      </x:c>
      <x:c r="P96" s="36" t="n">
        <x:f>COUNTIFS(FRAGEN_MASTER!$F:$F,$E96,FRAGEN_MASTER!$P:$P,"PERSON_AUSSAGE")</x:f>
        <x:v>0</x:v>
      </x:c>
      <x:c r="Q96" s="36" t="n">
        <x:f>COUNTIFS(FRAGEN_MASTER!$F:$F,$E96,FRAGEN_MASTER!$P:$P,"ZUSAMMENHANG")</x:f>
        <x:v>2</x:v>
      </x:c>
      <x:c r="R96" s="36" t="n">
        <x:f>COUNTIFS(FRAGEN_MASTER!$F:$F,$E96,FRAGEN_MASTER!$P:$P,"KERNAUSSAGE")</x:f>
        <x:v>0</x:v>
      </x:c>
      <x:c r="S96" s="36" t="n">
        <x:f>COUNTIFS(FRAGEN_MASTER!$F:$F,$E96,FRAGEN_MASTER!$P:$P,"TEXTGENAUIGKEIT")</x:f>
        <x:v>0</x:v>
      </x:c>
      <x:c r="T96" s="36" t="n">
        <x:f>COUNTIFS(FRAGEN_MASTER!$F:$F,$E96,FRAGEN_MASTER!$P:$P,"DETAIL")+COUNTIFS(FRAGEN_MASTER!$F:$F,$E96,FRAGEN_MASTER!$P:$P,"SONSTIGES")</x:f>
        <x:v>1</x:v>
      </x:c>
      <x:c r="U96" s="36" t="str">
        <x:v>Apostelgeschichte 6: 5/5 repetitive Kapitel-Erkennungsfragen ersetzt, gegen L1912 + OTB geprüft und freigegeben.</x:v>
      </x:c>
    </x:row>
    <x:row r="97">
      <x:c r="A97" s="36" t="n">
        <x:v>96</x:v>
      </x:c>
      <x:c r="B97" s="36" t="str">
        <x:v>ACT</x:v>
      </x:c>
      <x:c r="C97" s="36" t="str">
        <x:v>Apostelgeschichte</x:v>
      </x:c>
      <x:c r="D97" s="36" t="n">
        <x:v>7</x:v>
      </x:c>
      <x:c r="E97" s="36" t="str">
        <x:v>ACT-007</x:v>
      </x:c>
      <x:c r="F97" s="36" t="str">
        <x:v>FP-0736</x:v>
      </x:c>
      <x:c r="G97" s="36" t="str">
        <x:v>FP-0740</x:v>
      </x:c>
      <x:c r="H97" s="36" t="n">
        <x:f>COUNTIFS(FRAGEN_MASTER!$F:$F,$E97,FRAGEN_MASTER!$M:$M,"ZU_PRÜFEN")</x:f>
        <x:v>0</x:v>
      </x:c>
      <x:c r="I97" s="36" t="n">
        <x:f>COUNTIFS(FRAGEN_MASTER!$F:$F,$E97,FRAGEN_MASTER!$M:$M,"BEHALTEN")</x:f>
        <x:v>0</x:v>
      </x:c>
      <x:c r="J97" s="36" t="n">
        <x:f>COUNTIFS(FRAGEN_MASTER!$F:$F,$E97,FRAGEN_MASTER!$M:$M,"VERBESSERN")</x:f>
        <x:v>0</x:v>
      </x:c>
      <x:c r="K97" s="36" t="n">
        <x:f>COUNTIFS(FRAGEN_MASTER!$F:$F,$E97,FRAGEN_MASTER!$M:$M,"ERSETZEN")</x:f>
        <x:v>5</x:v>
      </x:c>
      <x:c r="L97" s="36" t="n">
        <x:f>COUNTIFS(FRAGEN_MASTER!$F:$F,$E97,FRAGEN_MASTER!$AG:$AG,"FREIGEGEBEN")</x:f>
        <x:v>5</x:v>
      </x:c>
      <x:c r="M97" s="36" t="n">
        <x:f>COUNTIFS(FRAGEN_MASTER!$F:$F,$E97,FRAGEN_MASTER!$AL:$AL,"JA")</x:f>
        <x:v>5</x:v>
      </x:c>
      <x:c r="N97" s="36" t="str">
        <x:f>IF(M97=5,"FREIGEGEBEN",IF(H97=5,"NOCH_NICHT_GEPRÜFT","IN_ARBEIT"))</x:f>
        <x:v>FREIGEGEBEN</x:v>
      </x:c>
      <x:c r="O97" s="36" t="n">
        <x:f>COUNTIFS(FRAGEN_MASTER!$F:$F,$E97,FRAGEN_MASTER!$P:$P,"GESCHEHEN")</x:f>
        <x:v>2</x:v>
      </x:c>
      <x:c r="P97" s="36" t="n">
        <x:f>COUNTIFS(FRAGEN_MASTER!$F:$F,$E97,FRAGEN_MASTER!$P:$P,"PERSON_AUSSAGE")</x:f>
        <x:v>0</x:v>
      </x:c>
      <x:c r="Q97" s="36" t="n">
        <x:f>COUNTIFS(FRAGEN_MASTER!$F:$F,$E97,FRAGEN_MASTER!$P:$P,"ZUSAMMENHANG")</x:f>
        <x:v>1</x:v>
      </x:c>
      <x:c r="R97" s="36" t="n">
        <x:f>COUNTIFS(FRAGEN_MASTER!$F:$F,$E97,FRAGEN_MASTER!$P:$P,"KERNAUSSAGE")</x:f>
        <x:v>2</x:v>
      </x:c>
      <x:c r="S97" s="36" t="n">
        <x:f>COUNTIFS(FRAGEN_MASTER!$F:$F,$E97,FRAGEN_MASTER!$P:$P,"TEXTGENAUIGKEIT")</x:f>
        <x:v>0</x:v>
      </x:c>
      <x:c r="T97" s="36" t="n">
        <x:f>COUNTIFS(FRAGEN_MASTER!$F:$F,$E97,FRAGEN_MASTER!$P:$P,"DETAIL")+COUNTIFS(FRAGEN_MASTER!$F:$F,$E97,FRAGEN_MASTER!$P:$P,"SONSTIGES")</x:f>
        <x:v>0</x:v>
      </x:c>
      <x:c r="U97" s="36" t="str">
        <x:v>Apostelgeschichte 7: 5/5 repetitive Kapitel-Erkennungsfragen ersetzt, gegen L1912 + OTB geprüft und freigegeben.</x:v>
      </x:c>
    </x:row>
    <x:row r="98">
      <x:c r="A98" s="36" t="n">
        <x:v>97</x:v>
      </x:c>
      <x:c r="B98" s="36" t="str">
        <x:v>ACT</x:v>
      </x:c>
      <x:c r="C98" s="36" t="str">
        <x:v>Apostelgeschichte</x:v>
      </x:c>
      <x:c r="D98" s="36" t="n">
        <x:v>8</x:v>
      </x:c>
      <x:c r="E98" s="36" t="str">
        <x:v>ACT-008</x:v>
      </x:c>
      <x:c r="F98" s="36" t="str">
        <x:v>FP-0741</x:v>
      </x:c>
      <x:c r="G98" s="36" t="str">
        <x:v>FP-0745</x:v>
      </x:c>
      <x:c r="H98" s="36" t="n">
        <x:f>COUNTIFS(FRAGEN_MASTER!$F:$F,$E98,FRAGEN_MASTER!$M:$M,"ZU_PRÜFEN")</x:f>
        <x:v>0</x:v>
      </x:c>
      <x:c r="I98" s="36" t="n">
        <x:f>COUNTIFS(FRAGEN_MASTER!$F:$F,$E98,FRAGEN_MASTER!$M:$M,"BEHALTEN")</x:f>
        <x:v>0</x:v>
      </x:c>
      <x:c r="J98" s="36" t="n">
        <x:f>COUNTIFS(FRAGEN_MASTER!$F:$F,$E98,FRAGEN_MASTER!$M:$M,"VERBESSERN")</x:f>
        <x:v>0</x:v>
      </x:c>
      <x:c r="K98" s="36" t="n">
        <x:f>COUNTIFS(FRAGEN_MASTER!$F:$F,$E98,FRAGEN_MASTER!$M:$M,"ERSETZEN")</x:f>
        <x:v>5</x:v>
      </x:c>
      <x:c r="L98" s="36" t="n">
        <x:f>COUNTIFS(FRAGEN_MASTER!$F:$F,$E98,FRAGEN_MASTER!$AG:$AG,"FREIGEGEBEN")</x:f>
        <x:v>5</x:v>
      </x:c>
      <x:c r="M98" s="36" t="n">
        <x:f>COUNTIFS(FRAGEN_MASTER!$F:$F,$E98,FRAGEN_MASTER!$AL:$AL,"JA")</x:f>
        <x:v>5</x:v>
      </x:c>
      <x:c r="N98" s="36" t="str">
        <x:f>IF(M98=5,"FREIGEGEBEN",IF(H98=5,"NOCH_NICHT_GEPRÜFT","IN_ARBEIT"))</x:f>
        <x:v>FREIGEGEBEN</x:v>
      </x:c>
      <x:c r="O98" s="36" t="n">
        <x:f>COUNTIFS(FRAGEN_MASTER!$F:$F,$E98,FRAGEN_MASTER!$P:$P,"GESCHEHEN")</x:f>
        <x:v>2</x:v>
      </x:c>
      <x:c r="P98" s="36" t="n">
        <x:f>COUNTIFS(FRAGEN_MASTER!$F:$F,$E98,FRAGEN_MASTER!$P:$P,"PERSON_AUSSAGE")</x:f>
        <x:v>0</x:v>
      </x:c>
      <x:c r="Q98" s="36" t="n">
        <x:f>COUNTIFS(FRAGEN_MASTER!$F:$F,$E98,FRAGEN_MASTER!$P:$P,"ZUSAMMENHANG")</x:f>
        <x:v>2</x:v>
      </x:c>
      <x:c r="R98" s="36" t="n">
        <x:f>COUNTIFS(FRAGEN_MASTER!$F:$F,$E98,FRAGEN_MASTER!$P:$P,"KERNAUSSAGE")</x:f>
        <x:v>1</x:v>
      </x:c>
      <x:c r="S98" s="36" t="n">
        <x:f>COUNTIFS(FRAGEN_MASTER!$F:$F,$E98,FRAGEN_MASTER!$P:$P,"TEXTGENAUIGKEIT")</x:f>
        <x:v>0</x:v>
      </x:c>
      <x:c r="T98" s="36" t="n">
        <x:f>COUNTIFS(FRAGEN_MASTER!$F:$F,$E98,FRAGEN_MASTER!$P:$P,"DETAIL")+COUNTIFS(FRAGEN_MASTER!$F:$F,$E98,FRAGEN_MASTER!$P:$P,"SONSTIGES")</x:f>
        <x:v>0</x:v>
      </x:c>
      <x:c r="U98" s="36" t="str">
        <x:v>Apostelgeschichte 8: 5/5 repetitive Kapitel-Erkennungsfragen ersetzt, gegen L1912 + OTB geprüft und freigegeben.</x:v>
      </x:c>
    </x:row>
    <x:row r="99">
      <x:c r="A99" s="36" t="n">
        <x:v>98</x:v>
      </x:c>
      <x:c r="B99" s="36" t="str">
        <x:v>ACT</x:v>
      </x:c>
      <x:c r="C99" s="36" t="str">
        <x:v>Apostelgeschichte</x:v>
      </x:c>
      <x:c r="D99" s="36" t="n">
        <x:v>9</x:v>
      </x:c>
      <x:c r="E99" s="36" t="str">
        <x:v>ACT-009</x:v>
      </x:c>
      <x:c r="F99" s="36" t="str">
        <x:v>FP-0746</x:v>
      </x:c>
      <x:c r="G99" s="36" t="str">
        <x:v>FP-0750</x:v>
      </x:c>
      <x:c r="H99" s="36" t="n">
        <x:f>COUNTIFS(FRAGEN_MASTER!$F:$F,$E99,FRAGEN_MASTER!$M:$M,"ZU_PRÜFEN")</x:f>
        <x:v>0</x:v>
      </x:c>
      <x:c r="I99" s="36" t="n">
        <x:f>COUNTIFS(FRAGEN_MASTER!$F:$F,$E99,FRAGEN_MASTER!$M:$M,"BEHALTEN")</x:f>
        <x:v>0</x:v>
      </x:c>
      <x:c r="J99" s="36" t="n">
        <x:f>COUNTIFS(FRAGEN_MASTER!$F:$F,$E99,FRAGEN_MASTER!$M:$M,"VERBESSERN")</x:f>
        <x:v>0</x:v>
      </x:c>
      <x:c r="K99" s="36" t="n">
        <x:f>COUNTIFS(FRAGEN_MASTER!$F:$F,$E99,FRAGEN_MASTER!$M:$M,"ERSETZEN")</x:f>
        <x:v>5</x:v>
      </x:c>
      <x:c r="L99" s="36" t="n">
        <x:f>COUNTIFS(FRAGEN_MASTER!$F:$F,$E99,FRAGEN_MASTER!$AG:$AG,"FREIGEGEBEN")</x:f>
        <x:v>5</x:v>
      </x:c>
      <x:c r="M99" s="36" t="n">
        <x:f>COUNTIFS(FRAGEN_MASTER!$F:$F,$E99,FRAGEN_MASTER!$AL:$AL,"JA")</x:f>
        <x:v>5</x:v>
      </x:c>
      <x:c r="N99" s="36" t="str">
        <x:f>IF(M99=5,"FREIGEGEBEN",IF(H99=5,"NOCH_NICHT_GEPRÜFT","IN_ARBEIT"))</x:f>
        <x:v>FREIGEGEBEN</x:v>
      </x:c>
      <x:c r="O99" s="36" t="n">
        <x:f>COUNTIFS(FRAGEN_MASTER!$F:$F,$E99,FRAGEN_MASTER!$P:$P,"GESCHEHEN")</x:f>
        <x:v>4</x:v>
      </x:c>
      <x:c r="P99" s="36" t="n">
        <x:f>COUNTIFS(FRAGEN_MASTER!$F:$F,$E99,FRAGEN_MASTER!$P:$P,"PERSON_AUSSAGE")</x:f>
        <x:v>0</x:v>
      </x:c>
      <x:c r="Q99" s="36" t="n">
        <x:f>COUNTIFS(FRAGEN_MASTER!$F:$F,$E99,FRAGEN_MASTER!$P:$P,"ZUSAMMENHANG")</x:f>
        <x:v>1</x:v>
      </x:c>
      <x:c r="R99" s="36" t="n">
        <x:f>COUNTIFS(FRAGEN_MASTER!$F:$F,$E99,FRAGEN_MASTER!$P:$P,"KERNAUSSAGE")</x:f>
        <x:v>0</x:v>
      </x:c>
      <x:c r="S99" s="36" t="n">
        <x:f>COUNTIFS(FRAGEN_MASTER!$F:$F,$E99,FRAGEN_MASTER!$P:$P,"TEXTGENAUIGKEIT")</x:f>
        <x:v>0</x:v>
      </x:c>
      <x:c r="T99" s="36" t="n">
        <x:f>COUNTIFS(FRAGEN_MASTER!$F:$F,$E99,FRAGEN_MASTER!$P:$P,"DETAIL")+COUNTIFS(FRAGEN_MASTER!$F:$F,$E99,FRAGEN_MASTER!$P:$P,"SONSTIGES")</x:f>
        <x:v>0</x:v>
      </x:c>
      <x:c r="U99" s="36" t="str">
        <x:v>Apostelgeschichte 9: 5/5 repetitive Kapitel-Erkennungsfragen ersetzt, gegen L1912 + OTB geprüft und freigegeben.</x:v>
      </x:c>
    </x:row>
    <x:row r="100">
      <x:c r="A100" s="36" t="n">
        <x:v>99</x:v>
      </x:c>
      <x:c r="B100" s="36" t="str">
        <x:v>ACT</x:v>
      </x:c>
      <x:c r="C100" s="36" t="str">
        <x:v>Apostelgeschichte</x:v>
      </x:c>
      <x:c r="D100" s="36" t="n">
        <x:v>10</x:v>
      </x:c>
      <x:c r="E100" s="36" t="str">
        <x:v>ACT-010</x:v>
      </x:c>
      <x:c r="F100" s="36" t="str">
        <x:v>FP-0751</x:v>
      </x:c>
      <x:c r="G100" s="36" t="str">
        <x:v>FP-0755</x:v>
      </x:c>
      <x:c r="H100" s="36" t="n">
        <x:f>COUNTIFS(FRAGEN_MASTER!$F:$F,$E100,FRAGEN_MASTER!$M:$M,"ZU_PRÜFEN")</x:f>
        <x:v>0</x:v>
      </x:c>
      <x:c r="I100" s="36" t="n">
        <x:f>COUNTIFS(FRAGEN_MASTER!$F:$F,$E100,FRAGEN_MASTER!$M:$M,"BEHALTEN")</x:f>
        <x:v>0</x:v>
      </x:c>
      <x:c r="J100" s="36" t="n">
        <x:f>COUNTIFS(FRAGEN_MASTER!$F:$F,$E100,FRAGEN_MASTER!$M:$M,"VERBESSERN")</x:f>
        <x:v>0</x:v>
      </x:c>
      <x:c r="K100" s="36" t="n">
        <x:f>COUNTIFS(FRAGEN_MASTER!$F:$F,$E100,FRAGEN_MASTER!$M:$M,"ERSETZEN")</x:f>
        <x:v>5</x:v>
      </x:c>
      <x:c r="L100" s="36" t="n">
        <x:f>COUNTIFS(FRAGEN_MASTER!$F:$F,$E100,FRAGEN_MASTER!$AG:$AG,"FREIGEGEBEN")</x:f>
        <x:v>5</x:v>
      </x:c>
      <x:c r="M100" s="36" t="n">
        <x:f>COUNTIFS(FRAGEN_MASTER!$F:$F,$E100,FRAGEN_MASTER!$AL:$AL,"JA")</x:f>
        <x:v>5</x:v>
      </x:c>
      <x:c r="N100" s="36" t="str">
        <x:f>IF(M100=5,"FREIGEGEBEN",IF(H100=5,"NOCH_NICHT_GEPRÜFT","IN_ARBEIT"))</x:f>
        <x:v>FREIGEGEBEN</x:v>
      </x:c>
      <x:c r="O100" s="36" t="n">
        <x:f>COUNTIFS(FRAGEN_MASTER!$F:$F,$E100,FRAGEN_MASTER!$P:$P,"GESCHEHEN")</x:f>
        <x:v>2</x:v>
      </x:c>
      <x:c r="P100" s="36" t="n">
        <x:f>COUNTIFS(FRAGEN_MASTER!$F:$F,$E100,FRAGEN_MASTER!$P:$P,"PERSON_AUSSAGE")</x:f>
        <x:v>0</x:v>
      </x:c>
      <x:c r="Q100" s="36" t="n">
        <x:f>COUNTIFS(FRAGEN_MASTER!$F:$F,$E100,FRAGEN_MASTER!$P:$P,"ZUSAMMENHANG")</x:f>
        <x:v>1</x:v>
      </x:c>
      <x:c r="R100" s="36" t="n">
        <x:f>COUNTIFS(FRAGEN_MASTER!$F:$F,$E100,FRAGEN_MASTER!$P:$P,"KERNAUSSAGE")</x:f>
        <x:v>2</x:v>
      </x:c>
      <x:c r="S100" s="36" t="n">
        <x:f>COUNTIFS(FRAGEN_MASTER!$F:$F,$E100,FRAGEN_MASTER!$P:$P,"TEXTGENAUIGKEIT")</x:f>
        <x:v>0</x:v>
      </x:c>
      <x:c r="T100" s="36" t="n">
        <x:f>COUNTIFS(FRAGEN_MASTER!$F:$F,$E100,FRAGEN_MASTER!$P:$P,"DETAIL")+COUNTIFS(FRAGEN_MASTER!$F:$F,$E100,FRAGEN_MASTER!$P:$P,"SONSTIGES")</x:f>
        <x:v>0</x:v>
      </x:c>
      <x:c r="U100" s="36" t="str">
        <x:v>Apostelgeschichte 10: 5/5 repetitive Kapitel-Erkennungsfragen ersetzt, gegen L1912 + OTB geprüft und freigegeben.</x:v>
      </x:c>
    </x:row>
    <x:row r="101">
      <x:c r="A101" s="36" t="n">
        <x:v>100</x:v>
      </x:c>
      <x:c r="B101" s="36" t="str">
        <x:v>ACT</x:v>
      </x:c>
      <x:c r="C101" s="36" t="str">
        <x:v>Apostelgeschichte</x:v>
      </x:c>
      <x:c r="D101" s="36" t="n">
        <x:v>11</x:v>
      </x:c>
      <x:c r="E101" s="36" t="str">
        <x:v>ACT-011</x:v>
      </x:c>
      <x:c r="F101" s="36" t="str">
        <x:v>FP-0756</x:v>
      </x:c>
      <x:c r="G101" s="36" t="str">
        <x:v>FP-0760</x:v>
      </x:c>
      <x:c r="H101" s="36" t="n">
        <x:f>COUNTIFS(FRAGEN_MASTER!$F:$F,$E101,FRAGEN_MASTER!$M:$M,"ZU_PRÜFEN")</x:f>
        <x:v>0</x:v>
      </x:c>
      <x:c r="I101" s="36" t="n">
        <x:f>COUNTIFS(FRAGEN_MASTER!$F:$F,$E101,FRAGEN_MASTER!$M:$M,"BEHALTEN")</x:f>
        <x:v>0</x:v>
      </x:c>
      <x:c r="J101" s="36" t="n">
        <x:f>COUNTIFS(FRAGEN_MASTER!$F:$F,$E101,FRAGEN_MASTER!$M:$M,"VERBESSERN")</x:f>
        <x:v>0</x:v>
      </x:c>
      <x:c r="K101" s="36" t="n">
        <x:f>COUNTIFS(FRAGEN_MASTER!$F:$F,$E101,FRAGEN_MASTER!$M:$M,"ERSETZEN")</x:f>
        <x:v>5</x:v>
      </x:c>
      <x:c r="L101" s="36" t="n">
        <x:f>COUNTIFS(FRAGEN_MASTER!$F:$F,$E101,FRAGEN_MASTER!$AG:$AG,"FREIGEGEBEN")</x:f>
        <x:v>5</x:v>
      </x:c>
      <x:c r="M101" s="36" t="n">
        <x:f>COUNTIFS(FRAGEN_MASTER!$F:$F,$E101,FRAGEN_MASTER!$AL:$AL,"JA")</x:f>
        <x:v>5</x:v>
      </x:c>
      <x:c r="N101" s="36" t="str">
        <x:f>IF(M101=5,"FREIGEGEBEN",IF(H101=5,"NOCH_NICHT_GEPRÜFT","IN_ARBEIT"))</x:f>
        <x:v>FREIGEGEBEN</x:v>
      </x:c>
      <x:c r="O101" s="36" t="n">
        <x:f>COUNTIFS(FRAGEN_MASTER!$F:$F,$E101,FRAGEN_MASTER!$P:$P,"GESCHEHEN")</x:f>
        <x:v>2</x:v>
      </x:c>
      <x:c r="P101" s="36" t="n">
        <x:f>COUNTIFS(FRAGEN_MASTER!$F:$F,$E101,FRAGEN_MASTER!$P:$P,"PERSON_AUSSAGE")</x:f>
        <x:v>1</x:v>
      </x:c>
      <x:c r="Q101" s="36" t="n">
        <x:f>COUNTIFS(FRAGEN_MASTER!$F:$F,$E101,FRAGEN_MASTER!$P:$P,"ZUSAMMENHANG")</x:f>
        <x:v>1</x:v>
      </x:c>
      <x:c r="R101" s="36" t="n">
        <x:f>COUNTIFS(FRAGEN_MASTER!$F:$F,$E101,FRAGEN_MASTER!$P:$P,"KERNAUSSAGE")</x:f>
        <x:v>0</x:v>
      </x:c>
      <x:c r="S101" s="36" t="n">
        <x:f>COUNTIFS(FRAGEN_MASTER!$F:$F,$E101,FRAGEN_MASTER!$P:$P,"TEXTGENAUIGKEIT")</x:f>
        <x:v>0</x:v>
      </x:c>
      <x:c r="T101" s="36" t="n">
        <x:f>COUNTIFS(FRAGEN_MASTER!$F:$F,$E101,FRAGEN_MASTER!$P:$P,"DETAIL")+COUNTIFS(FRAGEN_MASTER!$F:$F,$E101,FRAGEN_MASTER!$P:$P,"SONSTIGES")</x:f>
        <x:v>1</x:v>
      </x:c>
      <x:c r="U101" s="36" t="str">
        <x:v>Apostelgeschichte 11: 5/5 repetitive Kapitel-Erkennungsfragen ersetzt, gegen L1912 + OTB geprüft und freigegeben.</x:v>
      </x:c>
    </x:row>
    <x:row r="102">
      <x:c r="A102" s="36" t="n">
        <x:v>101</x:v>
      </x:c>
      <x:c r="B102" s="36" t="str">
        <x:v>ACT</x:v>
      </x:c>
      <x:c r="C102" s="36" t="str">
        <x:v>Apostelgeschichte</x:v>
      </x:c>
      <x:c r="D102" s="36" t="n">
        <x:v>12</x:v>
      </x:c>
      <x:c r="E102" s="36" t="str">
        <x:v>ACT-012</x:v>
      </x:c>
      <x:c r="F102" s="36" t="str">
        <x:v>FP-0761</x:v>
      </x:c>
      <x:c r="G102" s="36" t="str">
        <x:v>FP-0765</x:v>
      </x:c>
      <x:c r="H102" s="36" t="n">
        <x:f>COUNTIFS(FRAGEN_MASTER!$F:$F,$E102,FRAGEN_MASTER!$M:$M,"ZU_PRÜFEN")</x:f>
        <x:v>0</x:v>
      </x:c>
      <x:c r="I102" s="36" t="n">
        <x:f>COUNTIFS(FRAGEN_MASTER!$F:$F,$E102,FRAGEN_MASTER!$M:$M,"BEHALTEN")</x:f>
        <x:v>0</x:v>
      </x:c>
      <x:c r="J102" s="36" t="n">
        <x:f>COUNTIFS(FRAGEN_MASTER!$F:$F,$E102,FRAGEN_MASTER!$M:$M,"VERBESSERN")</x:f>
        <x:v>0</x:v>
      </x:c>
      <x:c r="K102" s="36" t="n">
        <x:f>COUNTIFS(FRAGEN_MASTER!$F:$F,$E102,FRAGEN_MASTER!$M:$M,"ERSETZEN")</x:f>
        <x:v>5</x:v>
      </x:c>
      <x:c r="L102" s="36" t="n">
        <x:f>COUNTIFS(FRAGEN_MASTER!$F:$F,$E102,FRAGEN_MASTER!$AG:$AG,"FREIGEGEBEN")</x:f>
        <x:v>5</x:v>
      </x:c>
      <x:c r="M102" s="36" t="n">
        <x:f>COUNTIFS(FRAGEN_MASTER!$F:$F,$E102,FRAGEN_MASTER!$AL:$AL,"JA")</x:f>
        <x:v>5</x:v>
      </x:c>
      <x:c r="N102" s="36" t="str">
        <x:f>IF(M102=5,"FREIGEGEBEN",IF(H102=5,"NOCH_NICHT_GEPRÜFT","IN_ARBEIT"))</x:f>
        <x:v>FREIGEGEBEN</x:v>
      </x:c>
      <x:c r="O102" s="36" t="n">
        <x:f>COUNTIFS(FRAGEN_MASTER!$F:$F,$E102,FRAGEN_MASTER!$P:$P,"GESCHEHEN")</x:f>
        <x:v>4</x:v>
      </x:c>
      <x:c r="P102" s="36" t="n">
        <x:f>COUNTIFS(FRAGEN_MASTER!$F:$F,$E102,FRAGEN_MASTER!$P:$P,"PERSON_AUSSAGE")</x:f>
        <x:v>0</x:v>
      </x:c>
      <x:c r="Q102" s="36" t="n">
        <x:f>COUNTIFS(FRAGEN_MASTER!$F:$F,$E102,FRAGEN_MASTER!$P:$P,"ZUSAMMENHANG")</x:f>
        <x:v>0</x:v>
      </x:c>
      <x:c r="R102" s="36" t="n">
        <x:f>COUNTIFS(FRAGEN_MASTER!$F:$F,$E102,FRAGEN_MASTER!$P:$P,"KERNAUSSAGE")</x:f>
        <x:v>1</x:v>
      </x:c>
      <x:c r="S102" s="36" t="n">
        <x:f>COUNTIFS(FRAGEN_MASTER!$F:$F,$E102,FRAGEN_MASTER!$P:$P,"TEXTGENAUIGKEIT")</x:f>
        <x:v>0</x:v>
      </x:c>
      <x:c r="T102" s="36" t="n">
        <x:f>COUNTIFS(FRAGEN_MASTER!$F:$F,$E102,FRAGEN_MASTER!$P:$P,"DETAIL")+COUNTIFS(FRAGEN_MASTER!$F:$F,$E102,FRAGEN_MASTER!$P:$P,"SONSTIGES")</x:f>
        <x:v>0</x:v>
      </x:c>
      <x:c r="U102" s="36" t="str">
        <x:v>Apostelgeschichte 12: 5/5 repetitive Kapitel-Erkennungsfragen ersetzt, gegen L1912 + OTB geprüft und freigegeben.</x:v>
      </x:c>
    </x:row>
    <x:row r="103">
      <x:c r="A103" s="36" t="n">
        <x:v>102</x:v>
      </x:c>
      <x:c r="B103" s="36" t="str">
        <x:v>ACT</x:v>
      </x:c>
      <x:c r="C103" s="36" t="str">
        <x:v>Apostelgeschichte</x:v>
      </x:c>
      <x:c r="D103" s="36" t="n">
        <x:v>13</x:v>
      </x:c>
      <x:c r="E103" s="36" t="str">
        <x:v>ACT-013</x:v>
      </x:c>
      <x:c r="F103" s="36" t="str">
        <x:v>FP-0766</x:v>
      </x:c>
      <x:c r="G103" s="36" t="str">
        <x:v>FP-0770</x:v>
      </x:c>
      <x:c r="H103" s="36" t="n">
        <x:f>COUNTIFS(FRAGEN_MASTER!$F:$F,$E103,FRAGEN_MASTER!$M:$M,"ZU_PRÜFEN")</x:f>
        <x:v>0</x:v>
      </x:c>
      <x:c r="I103" s="36" t="n">
        <x:f>COUNTIFS(FRAGEN_MASTER!$F:$F,$E103,FRAGEN_MASTER!$M:$M,"BEHALTEN")</x:f>
        <x:v>0</x:v>
      </x:c>
      <x:c r="J103" s="36" t="n">
        <x:f>COUNTIFS(FRAGEN_MASTER!$F:$F,$E103,FRAGEN_MASTER!$M:$M,"VERBESSERN")</x:f>
        <x:v>0</x:v>
      </x:c>
      <x:c r="K103" s="36" t="n">
        <x:f>COUNTIFS(FRAGEN_MASTER!$F:$F,$E103,FRAGEN_MASTER!$M:$M,"ERSETZEN")</x:f>
        <x:v>5</x:v>
      </x:c>
      <x:c r="L103" s="36" t="n">
        <x:f>COUNTIFS(FRAGEN_MASTER!$F:$F,$E103,FRAGEN_MASTER!$AG:$AG,"FREIGEGEBEN")</x:f>
        <x:v>5</x:v>
      </x:c>
      <x:c r="M103" s="36" t="n">
        <x:f>COUNTIFS(FRAGEN_MASTER!$F:$F,$E103,FRAGEN_MASTER!$AL:$AL,"JA")</x:f>
        <x:v>5</x:v>
      </x:c>
      <x:c r="N103" s="36" t="str">
        <x:f>IF(M103=5,"FREIGEGEBEN",IF(H103=5,"NOCH_NICHT_GEPRÜFT","IN_ARBEIT"))</x:f>
        <x:v>FREIGEGEBEN</x:v>
      </x:c>
      <x:c r="O103" s="36" t="n">
        <x:f>COUNTIFS(FRAGEN_MASTER!$F:$F,$E103,FRAGEN_MASTER!$P:$P,"GESCHEHEN")</x:f>
        <x:v>2</x:v>
      </x:c>
      <x:c r="P103" s="36" t="n">
        <x:f>COUNTIFS(FRAGEN_MASTER!$F:$F,$E103,FRAGEN_MASTER!$P:$P,"PERSON_AUSSAGE")</x:f>
        <x:v>0</x:v>
      </x:c>
      <x:c r="Q103" s="36" t="n">
        <x:f>COUNTIFS(FRAGEN_MASTER!$F:$F,$E103,FRAGEN_MASTER!$P:$P,"ZUSAMMENHANG")</x:f>
        <x:v>2</x:v>
      </x:c>
      <x:c r="R103" s="36" t="n">
        <x:f>COUNTIFS(FRAGEN_MASTER!$F:$F,$E103,FRAGEN_MASTER!$P:$P,"KERNAUSSAGE")</x:f>
        <x:v>1</x:v>
      </x:c>
      <x:c r="S103" s="36" t="n">
        <x:f>COUNTIFS(FRAGEN_MASTER!$F:$F,$E103,FRAGEN_MASTER!$P:$P,"TEXTGENAUIGKEIT")</x:f>
        <x:v>0</x:v>
      </x:c>
      <x:c r="T103" s="36" t="n">
        <x:f>COUNTIFS(FRAGEN_MASTER!$F:$F,$E103,FRAGEN_MASTER!$P:$P,"DETAIL")+COUNTIFS(FRAGEN_MASTER!$F:$F,$E103,FRAGEN_MASTER!$P:$P,"SONSTIGES")</x:f>
        <x:v>0</x:v>
      </x:c>
      <x:c r="U103" s="36" t="str">
        <x:v>Apostelgeschichte 13: 5/5 repetitive Kapitel-Erkennungsfragen ersetzt, gegen L1912 + OTB geprüft und freigegeben.</x:v>
      </x:c>
    </x:row>
    <x:row r="104">
      <x:c r="A104" s="36" t="n">
        <x:v>103</x:v>
      </x:c>
      <x:c r="B104" s="36" t="str">
        <x:v>ACT</x:v>
      </x:c>
      <x:c r="C104" s="36" t="str">
        <x:v>Apostelgeschichte</x:v>
      </x:c>
      <x:c r="D104" s="36" t="n">
        <x:v>14</x:v>
      </x:c>
      <x:c r="E104" s="36" t="str">
        <x:v>ACT-014</x:v>
      </x:c>
      <x:c r="F104" s="36" t="str">
        <x:v>FP-0771</x:v>
      </x:c>
      <x:c r="G104" s="36" t="str">
        <x:v>FP-0775</x:v>
      </x:c>
      <x:c r="H104" s="36" t="n">
        <x:f>COUNTIFS(FRAGEN_MASTER!$F:$F,$E104,FRAGEN_MASTER!$M:$M,"ZU_PRÜFEN")</x:f>
        <x:v>0</x:v>
      </x:c>
      <x:c r="I104" s="36" t="n">
        <x:f>COUNTIFS(FRAGEN_MASTER!$F:$F,$E104,FRAGEN_MASTER!$M:$M,"BEHALTEN")</x:f>
        <x:v>0</x:v>
      </x:c>
      <x:c r="J104" s="36" t="n">
        <x:f>COUNTIFS(FRAGEN_MASTER!$F:$F,$E104,FRAGEN_MASTER!$M:$M,"VERBESSERN")</x:f>
        <x:v>0</x:v>
      </x:c>
      <x:c r="K104" s="36" t="n">
        <x:f>COUNTIFS(FRAGEN_MASTER!$F:$F,$E104,FRAGEN_MASTER!$M:$M,"ERSETZEN")</x:f>
        <x:v>5</x:v>
      </x:c>
      <x:c r="L104" s="36" t="n">
        <x:f>COUNTIFS(FRAGEN_MASTER!$F:$F,$E104,FRAGEN_MASTER!$AG:$AG,"FREIGEGEBEN")</x:f>
        <x:v>5</x:v>
      </x:c>
      <x:c r="M104" s="36" t="n">
        <x:f>COUNTIFS(FRAGEN_MASTER!$F:$F,$E104,FRAGEN_MASTER!$AL:$AL,"JA")</x:f>
        <x:v>5</x:v>
      </x:c>
      <x:c r="N104" s="36" t="str">
        <x:f>IF(M104=5,"FREIGEGEBEN",IF(H104=5,"NOCH_NICHT_GEPRÜFT","IN_ARBEIT"))</x:f>
        <x:v>FREIGEGEBEN</x:v>
      </x:c>
      <x:c r="O104" s="36" t="n">
        <x:f>COUNTIFS(FRAGEN_MASTER!$F:$F,$E104,FRAGEN_MASTER!$P:$P,"GESCHEHEN")</x:f>
        <x:v>4</x:v>
      </x:c>
      <x:c r="P104" s="36" t="n">
        <x:f>COUNTIFS(FRAGEN_MASTER!$F:$F,$E104,FRAGEN_MASTER!$P:$P,"PERSON_AUSSAGE")</x:f>
        <x:v>0</x:v>
      </x:c>
      <x:c r="Q104" s="36" t="n">
        <x:f>COUNTIFS(FRAGEN_MASTER!$F:$F,$E104,FRAGEN_MASTER!$P:$P,"ZUSAMMENHANG")</x:f>
        <x:v>1</x:v>
      </x:c>
      <x:c r="R104" s="36" t="n">
        <x:f>COUNTIFS(FRAGEN_MASTER!$F:$F,$E104,FRAGEN_MASTER!$P:$P,"KERNAUSSAGE")</x:f>
        <x:v>0</x:v>
      </x:c>
      <x:c r="S104" s="36" t="n">
        <x:f>COUNTIFS(FRAGEN_MASTER!$F:$F,$E104,FRAGEN_MASTER!$P:$P,"TEXTGENAUIGKEIT")</x:f>
        <x:v>0</x:v>
      </x:c>
      <x:c r="T104" s="36" t="n">
        <x:f>COUNTIFS(FRAGEN_MASTER!$F:$F,$E104,FRAGEN_MASTER!$P:$P,"DETAIL")+COUNTIFS(FRAGEN_MASTER!$F:$F,$E104,FRAGEN_MASTER!$P:$P,"SONSTIGES")</x:f>
        <x:v>0</x:v>
      </x:c>
      <x:c r="U104" s="36" t="str">
        <x:v>Apostelgeschichte 14: 5/5 repetitive Kapitel-Erkennungsfragen ersetzt, gegen L1912 + OTB geprüft und freigegeben.</x:v>
      </x:c>
    </x:row>
    <x:row r="105">
      <x:c r="A105" s="36" t="n">
        <x:v>104</x:v>
      </x:c>
      <x:c r="B105" s="36" t="str">
        <x:v>ACT</x:v>
      </x:c>
      <x:c r="C105" s="36" t="str">
        <x:v>Apostelgeschichte</x:v>
      </x:c>
      <x:c r="D105" s="36" t="n">
        <x:v>15</x:v>
      </x:c>
      <x:c r="E105" s="36" t="str">
        <x:v>ACT-015</x:v>
      </x:c>
      <x:c r="F105" s="36" t="str">
        <x:v>FP-0776</x:v>
      </x:c>
      <x:c r="G105" s="36" t="str">
        <x:v>FP-0780</x:v>
      </x:c>
      <x:c r="H105" s="36" t="n">
        <x:f>COUNTIFS(FRAGEN_MASTER!$F:$F,$E105,FRAGEN_MASTER!$M:$M,"ZU_PRÜFEN")</x:f>
        <x:v>0</x:v>
      </x:c>
      <x:c r="I105" s="36" t="n">
        <x:f>COUNTIFS(FRAGEN_MASTER!$F:$F,$E105,FRAGEN_MASTER!$M:$M,"BEHALTEN")</x:f>
        <x:v>0</x:v>
      </x:c>
      <x:c r="J105" s="36" t="n">
        <x:f>COUNTIFS(FRAGEN_MASTER!$F:$F,$E105,FRAGEN_MASTER!$M:$M,"VERBESSERN")</x:f>
        <x:v>0</x:v>
      </x:c>
      <x:c r="K105" s="36" t="n">
        <x:f>COUNTIFS(FRAGEN_MASTER!$F:$F,$E105,FRAGEN_MASTER!$M:$M,"ERSETZEN")</x:f>
        <x:v>5</x:v>
      </x:c>
      <x:c r="L105" s="36" t="n">
        <x:f>COUNTIFS(FRAGEN_MASTER!$F:$F,$E105,FRAGEN_MASTER!$AG:$AG,"FREIGEGEBEN")</x:f>
        <x:v>5</x:v>
      </x:c>
      <x:c r="M105" s="36" t="n">
        <x:f>COUNTIFS(FRAGEN_MASTER!$F:$F,$E105,FRAGEN_MASTER!$AL:$AL,"JA")</x:f>
        <x:v>5</x:v>
      </x:c>
      <x:c r="N105" s="36" t="str">
        <x:f>IF(M105=5,"FREIGEGEBEN",IF(H105=5,"NOCH_NICHT_GEPRÜFT","IN_ARBEIT"))</x:f>
        <x:v>FREIGEGEBEN</x:v>
      </x:c>
      <x:c r="O105" s="36" t="n">
        <x:f>COUNTIFS(FRAGEN_MASTER!$F:$F,$E105,FRAGEN_MASTER!$P:$P,"GESCHEHEN")</x:f>
        <x:v>2</x:v>
      </x:c>
      <x:c r="P105" s="36" t="n">
        <x:f>COUNTIFS(FRAGEN_MASTER!$F:$F,$E105,FRAGEN_MASTER!$P:$P,"PERSON_AUSSAGE")</x:f>
        <x:v>0</x:v>
      </x:c>
      <x:c r="Q105" s="36" t="n">
        <x:f>COUNTIFS(FRAGEN_MASTER!$F:$F,$E105,FRAGEN_MASTER!$P:$P,"ZUSAMMENHANG")</x:f>
        <x:v>1</x:v>
      </x:c>
      <x:c r="R105" s="36" t="n">
        <x:f>COUNTIFS(FRAGEN_MASTER!$F:$F,$E105,FRAGEN_MASTER!$P:$P,"KERNAUSSAGE")</x:f>
        <x:v>2</x:v>
      </x:c>
      <x:c r="S105" s="36" t="n">
        <x:f>COUNTIFS(FRAGEN_MASTER!$F:$F,$E105,FRAGEN_MASTER!$P:$P,"TEXTGENAUIGKEIT")</x:f>
        <x:v>0</x:v>
      </x:c>
      <x:c r="T105" s="36" t="n">
        <x:f>COUNTIFS(FRAGEN_MASTER!$F:$F,$E105,FRAGEN_MASTER!$P:$P,"DETAIL")+COUNTIFS(FRAGEN_MASTER!$F:$F,$E105,FRAGEN_MASTER!$P:$P,"SONSTIGES")</x:f>
        <x:v>0</x:v>
      </x:c>
      <x:c r="U105" s="36" t="str">
        <x:v>Apostelgeschichte 15: 5/5 repetitive Kapitel-Erkennungsfragen ersetzt, gegen L1912 + OTB geprüft und freigegeben.</x:v>
      </x:c>
    </x:row>
    <x:row r="106">
      <x:c r="A106" s="36" t="n">
        <x:v>105</x:v>
      </x:c>
      <x:c r="B106" s="36" t="str">
        <x:v>ACT</x:v>
      </x:c>
      <x:c r="C106" s="36" t="str">
        <x:v>Apostelgeschichte</x:v>
      </x:c>
      <x:c r="D106" s="36" t="n">
        <x:v>16</x:v>
      </x:c>
      <x:c r="E106" s="36" t="str">
        <x:v>ACT-016</x:v>
      </x:c>
      <x:c r="F106" s="36" t="str">
        <x:v>FP-0781</x:v>
      </x:c>
      <x:c r="G106" s="36" t="str">
        <x:v>FP-0785</x:v>
      </x:c>
      <x:c r="H106" s="36" t="n">
        <x:f>COUNTIFS(FRAGEN_MASTER!$F:$F,$E106,FRAGEN_MASTER!$M:$M,"ZU_PRÜFEN")</x:f>
        <x:v>0</x:v>
      </x:c>
      <x:c r="I106" s="36" t="n">
        <x:f>COUNTIFS(FRAGEN_MASTER!$F:$F,$E106,FRAGEN_MASTER!$M:$M,"BEHALTEN")</x:f>
        <x:v>0</x:v>
      </x:c>
      <x:c r="J106" s="36" t="n">
        <x:f>COUNTIFS(FRAGEN_MASTER!$F:$F,$E106,FRAGEN_MASTER!$M:$M,"VERBESSERN")</x:f>
        <x:v>0</x:v>
      </x:c>
      <x:c r="K106" s="36" t="n">
        <x:f>COUNTIFS(FRAGEN_MASTER!$F:$F,$E106,FRAGEN_MASTER!$M:$M,"ERSETZEN")</x:f>
        <x:v>5</x:v>
      </x:c>
      <x:c r="L106" s="36" t="n">
        <x:f>COUNTIFS(FRAGEN_MASTER!$F:$F,$E106,FRAGEN_MASTER!$AG:$AG,"FREIGEGEBEN")</x:f>
        <x:v>5</x:v>
      </x:c>
      <x:c r="M106" s="36" t="n">
        <x:f>COUNTIFS(FRAGEN_MASTER!$F:$F,$E106,FRAGEN_MASTER!$AL:$AL,"JA")</x:f>
        <x:v>5</x:v>
      </x:c>
      <x:c r="N106" s="36" t="str">
        <x:f>IF(M106=5,"FREIGEGEBEN",IF(H106=5,"NOCH_NICHT_GEPRÜFT","IN_ARBEIT"))</x:f>
        <x:v>FREIGEGEBEN</x:v>
      </x:c>
      <x:c r="O106" s="36" t="n">
        <x:f>COUNTIFS(FRAGEN_MASTER!$F:$F,$E106,FRAGEN_MASTER!$P:$P,"GESCHEHEN")</x:f>
        <x:v>3</x:v>
      </x:c>
      <x:c r="P106" s="36" t="n">
        <x:f>COUNTIFS(FRAGEN_MASTER!$F:$F,$E106,FRAGEN_MASTER!$P:$P,"PERSON_AUSSAGE")</x:f>
        <x:v>0</x:v>
      </x:c>
      <x:c r="Q106" s="36" t="n">
        <x:f>COUNTIFS(FRAGEN_MASTER!$F:$F,$E106,FRAGEN_MASTER!$P:$P,"ZUSAMMENHANG")</x:f>
        <x:v>2</x:v>
      </x:c>
      <x:c r="R106" s="36" t="n">
        <x:f>COUNTIFS(FRAGEN_MASTER!$F:$F,$E106,FRAGEN_MASTER!$P:$P,"KERNAUSSAGE")</x:f>
        <x:v>0</x:v>
      </x:c>
      <x:c r="S106" s="36" t="n">
        <x:f>COUNTIFS(FRAGEN_MASTER!$F:$F,$E106,FRAGEN_MASTER!$P:$P,"TEXTGENAUIGKEIT")</x:f>
        <x:v>0</x:v>
      </x:c>
      <x:c r="T106" s="36" t="n">
        <x:f>COUNTIFS(FRAGEN_MASTER!$F:$F,$E106,FRAGEN_MASTER!$P:$P,"DETAIL")+COUNTIFS(FRAGEN_MASTER!$F:$F,$E106,FRAGEN_MASTER!$P:$P,"SONSTIGES")</x:f>
        <x:v>0</x:v>
      </x:c>
      <x:c r="U106" s="36" t="str">
        <x:v>Apostelgeschichte 16: 5/5 repetitive Kapitel-Erkennungsfragen ersetzt, gegen L1912 + OTB geprüft und freigegeben.</x:v>
      </x:c>
    </x:row>
    <x:row r="107">
      <x:c r="A107" s="36" t="n">
        <x:v>106</x:v>
      </x:c>
      <x:c r="B107" s="36" t="str">
        <x:v>ACT</x:v>
      </x:c>
      <x:c r="C107" s="36" t="str">
        <x:v>Apostelgeschichte</x:v>
      </x:c>
      <x:c r="D107" s="36" t="n">
        <x:v>17</x:v>
      </x:c>
      <x:c r="E107" s="36" t="str">
        <x:v>ACT-017</x:v>
      </x:c>
      <x:c r="F107" s="36" t="str">
        <x:v>FP-0786</x:v>
      </x:c>
      <x:c r="G107" s="36" t="str">
        <x:v>FP-0790</x:v>
      </x:c>
      <x:c r="H107" s="36" t="n">
        <x:f>COUNTIFS(FRAGEN_MASTER!$F:$F,$E107,FRAGEN_MASTER!$M:$M,"ZU_PRÜFEN")</x:f>
        <x:v>0</x:v>
      </x:c>
      <x:c r="I107" s="36" t="n">
        <x:f>COUNTIFS(FRAGEN_MASTER!$F:$F,$E107,FRAGEN_MASTER!$M:$M,"BEHALTEN")</x:f>
        <x:v>0</x:v>
      </x:c>
      <x:c r="J107" s="36" t="n">
        <x:f>COUNTIFS(FRAGEN_MASTER!$F:$F,$E107,FRAGEN_MASTER!$M:$M,"VERBESSERN")</x:f>
        <x:v>0</x:v>
      </x:c>
      <x:c r="K107" s="36" t="n">
        <x:f>COUNTIFS(FRAGEN_MASTER!$F:$F,$E107,FRAGEN_MASTER!$M:$M,"ERSETZEN")</x:f>
        <x:v>5</x:v>
      </x:c>
      <x:c r="L107" s="36" t="n">
        <x:f>COUNTIFS(FRAGEN_MASTER!$F:$F,$E107,FRAGEN_MASTER!$AG:$AG,"FREIGEGEBEN")</x:f>
        <x:v>5</x:v>
      </x:c>
      <x:c r="M107" s="36" t="n">
        <x:f>COUNTIFS(FRAGEN_MASTER!$F:$F,$E107,FRAGEN_MASTER!$AL:$AL,"JA")</x:f>
        <x:v>5</x:v>
      </x:c>
      <x:c r="N107" s="36" t="str">
        <x:f>IF(M107=5,"FREIGEGEBEN",IF(H107=5,"NOCH_NICHT_GEPRÜFT","IN_ARBEIT"))</x:f>
        <x:v>FREIGEGEBEN</x:v>
      </x:c>
      <x:c r="O107" s="36" t="n">
        <x:f>COUNTIFS(FRAGEN_MASTER!$F:$F,$E107,FRAGEN_MASTER!$P:$P,"GESCHEHEN")</x:f>
        <x:v>1</x:v>
      </x:c>
      <x:c r="P107" s="36" t="n">
        <x:f>COUNTIFS(FRAGEN_MASTER!$F:$F,$E107,FRAGEN_MASTER!$P:$P,"PERSON_AUSSAGE")</x:f>
        <x:v>0</x:v>
      </x:c>
      <x:c r="Q107" s="36" t="n">
        <x:f>COUNTIFS(FRAGEN_MASTER!$F:$F,$E107,FRAGEN_MASTER!$P:$P,"ZUSAMMENHANG")</x:f>
        <x:v>2</x:v>
      </x:c>
      <x:c r="R107" s="36" t="n">
        <x:f>COUNTIFS(FRAGEN_MASTER!$F:$F,$E107,FRAGEN_MASTER!$P:$P,"KERNAUSSAGE")</x:f>
        <x:v>2</x:v>
      </x:c>
      <x:c r="S107" s="36" t="n">
        <x:f>COUNTIFS(FRAGEN_MASTER!$F:$F,$E107,FRAGEN_MASTER!$P:$P,"TEXTGENAUIGKEIT")</x:f>
        <x:v>0</x:v>
      </x:c>
      <x:c r="T107" s="36" t="n">
        <x:f>COUNTIFS(FRAGEN_MASTER!$F:$F,$E107,FRAGEN_MASTER!$P:$P,"DETAIL")+COUNTIFS(FRAGEN_MASTER!$F:$F,$E107,FRAGEN_MASTER!$P:$P,"SONSTIGES")</x:f>
        <x:v>0</x:v>
      </x:c>
      <x:c r="U107" s="36" t="str">
        <x:v>Apostelgeschichte 17: 5/5 repetitive Kapitel-Erkennungsfragen ersetzt, gegen L1912 + OTB geprüft und freigegeben.</x:v>
      </x:c>
    </x:row>
    <x:row r="108">
      <x:c r="A108" s="36" t="n">
        <x:v>107</x:v>
      </x:c>
      <x:c r="B108" s="36" t="str">
        <x:v>ACT</x:v>
      </x:c>
      <x:c r="C108" s="36" t="str">
        <x:v>Apostelgeschichte</x:v>
      </x:c>
      <x:c r="D108" s="36" t="n">
        <x:v>18</x:v>
      </x:c>
      <x:c r="E108" s="36" t="str">
        <x:v>ACT-018</x:v>
      </x:c>
      <x:c r="F108" s="36" t="str">
        <x:v>FP-0791</x:v>
      </x:c>
      <x:c r="G108" s="36" t="str">
        <x:v>FP-0795</x:v>
      </x:c>
      <x:c r="H108" s="36" t="n">
        <x:f>COUNTIFS(FRAGEN_MASTER!$F:$F,$E108,FRAGEN_MASTER!$M:$M,"ZU_PRÜFEN")</x:f>
        <x:v>0</x:v>
      </x:c>
      <x:c r="I108" s="36" t="n">
        <x:f>COUNTIFS(FRAGEN_MASTER!$F:$F,$E108,FRAGEN_MASTER!$M:$M,"BEHALTEN")</x:f>
        <x:v>0</x:v>
      </x:c>
      <x:c r="J108" s="36" t="n">
        <x:f>COUNTIFS(FRAGEN_MASTER!$F:$F,$E108,FRAGEN_MASTER!$M:$M,"VERBESSERN")</x:f>
        <x:v>0</x:v>
      </x:c>
      <x:c r="K108" s="36" t="n">
        <x:f>COUNTIFS(FRAGEN_MASTER!$F:$F,$E108,FRAGEN_MASTER!$M:$M,"ERSETZEN")</x:f>
        <x:v>5</x:v>
      </x:c>
      <x:c r="L108" s="36" t="n">
        <x:f>COUNTIFS(FRAGEN_MASTER!$F:$F,$E108,FRAGEN_MASTER!$AG:$AG,"FREIGEGEBEN")</x:f>
        <x:v>5</x:v>
      </x:c>
      <x:c r="M108" s="36" t="n">
        <x:f>COUNTIFS(FRAGEN_MASTER!$F:$F,$E108,FRAGEN_MASTER!$AL:$AL,"JA")</x:f>
        <x:v>5</x:v>
      </x:c>
      <x:c r="N108" s="36" t="str">
        <x:f>IF(M108=5,"FREIGEGEBEN",IF(H108=5,"NOCH_NICHT_GEPRÜFT","IN_ARBEIT"))</x:f>
        <x:v>FREIGEGEBEN</x:v>
      </x:c>
      <x:c r="O108" s="36" t="n">
        <x:f>COUNTIFS(FRAGEN_MASTER!$F:$F,$E108,FRAGEN_MASTER!$P:$P,"GESCHEHEN")</x:f>
        <x:v>3</x:v>
      </x:c>
      <x:c r="P108" s="36" t="n">
        <x:f>COUNTIFS(FRAGEN_MASTER!$F:$F,$E108,FRAGEN_MASTER!$P:$P,"PERSON_AUSSAGE")</x:f>
        <x:v>1</x:v>
      </x:c>
      <x:c r="Q108" s="36" t="n">
        <x:f>COUNTIFS(FRAGEN_MASTER!$F:$F,$E108,FRAGEN_MASTER!$P:$P,"ZUSAMMENHANG")</x:f>
        <x:v>1</x:v>
      </x:c>
      <x:c r="R108" s="36" t="n">
        <x:f>COUNTIFS(FRAGEN_MASTER!$F:$F,$E108,FRAGEN_MASTER!$P:$P,"KERNAUSSAGE")</x:f>
        <x:v>0</x:v>
      </x:c>
      <x:c r="S108" s="36" t="n">
        <x:f>COUNTIFS(FRAGEN_MASTER!$F:$F,$E108,FRAGEN_MASTER!$P:$P,"TEXTGENAUIGKEIT")</x:f>
        <x:v>0</x:v>
      </x:c>
      <x:c r="T108" s="36" t="n">
        <x:f>COUNTIFS(FRAGEN_MASTER!$F:$F,$E108,FRAGEN_MASTER!$P:$P,"DETAIL")+COUNTIFS(FRAGEN_MASTER!$F:$F,$E108,FRAGEN_MASTER!$P:$P,"SONSTIGES")</x:f>
        <x:v>0</x:v>
      </x:c>
      <x:c r="U108" s="36" t="str">
        <x:v>Apostelgeschichte 18: 5/5 repetitive Kapitel-Erkennungsfragen ersetzt, gegen L1912 + OTB geprüft und freigegeben.</x:v>
      </x:c>
    </x:row>
    <x:row r="109">
      <x:c r="A109" s="36" t="n">
        <x:v>108</x:v>
      </x:c>
      <x:c r="B109" s="36" t="str">
        <x:v>ACT</x:v>
      </x:c>
      <x:c r="C109" s="36" t="str">
        <x:v>Apostelgeschichte</x:v>
      </x:c>
      <x:c r="D109" s="36" t="n">
        <x:v>19</x:v>
      </x:c>
      <x:c r="E109" s="36" t="str">
        <x:v>ACT-019</x:v>
      </x:c>
      <x:c r="F109" s="36" t="str">
        <x:v>FP-0796</x:v>
      </x:c>
      <x:c r="G109" s="36" t="str">
        <x:v>FP-0800</x:v>
      </x:c>
      <x:c r="H109" s="36" t="n">
        <x:f>COUNTIFS(FRAGEN_MASTER!$F:$F,$E109,FRAGEN_MASTER!$M:$M,"ZU_PRÜFEN")</x:f>
        <x:v>0</x:v>
      </x:c>
      <x:c r="I109" s="36" t="n">
        <x:f>COUNTIFS(FRAGEN_MASTER!$F:$F,$E109,FRAGEN_MASTER!$M:$M,"BEHALTEN")</x:f>
        <x:v>0</x:v>
      </x:c>
      <x:c r="J109" s="36" t="n">
        <x:f>COUNTIFS(FRAGEN_MASTER!$F:$F,$E109,FRAGEN_MASTER!$M:$M,"VERBESSERN")</x:f>
        <x:v>0</x:v>
      </x:c>
      <x:c r="K109" s="36" t="n">
        <x:f>COUNTIFS(FRAGEN_MASTER!$F:$F,$E109,FRAGEN_MASTER!$M:$M,"ERSETZEN")</x:f>
        <x:v>5</x:v>
      </x:c>
      <x:c r="L109" s="36" t="n">
        <x:f>COUNTIFS(FRAGEN_MASTER!$F:$F,$E109,FRAGEN_MASTER!$AG:$AG,"FREIGEGEBEN")</x:f>
        <x:v>5</x:v>
      </x:c>
      <x:c r="M109" s="36" t="n">
        <x:f>COUNTIFS(FRAGEN_MASTER!$F:$F,$E109,FRAGEN_MASTER!$AL:$AL,"JA")</x:f>
        <x:v>5</x:v>
      </x:c>
      <x:c r="N109" s="36" t="str">
        <x:f>IF(M109=5,"FREIGEGEBEN",IF(H109=5,"NOCH_NICHT_GEPRÜFT","IN_ARBEIT"))</x:f>
        <x:v>FREIGEGEBEN</x:v>
      </x:c>
      <x:c r="O109" s="36" t="n">
        <x:f>COUNTIFS(FRAGEN_MASTER!$F:$F,$E109,FRAGEN_MASTER!$P:$P,"GESCHEHEN")</x:f>
        <x:v>3</x:v>
      </x:c>
      <x:c r="P109" s="36" t="n">
        <x:f>COUNTIFS(FRAGEN_MASTER!$F:$F,$E109,FRAGEN_MASTER!$P:$P,"PERSON_AUSSAGE")</x:f>
        <x:v>0</x:v>
      </x:c>
      <x:c r="Q109" s="36" t="n">
        <x:f>COUNTIFS(FRAGEN_MASTER!$F:$F,$E109,FRAGEN_MASTER!$P:$P,"ZUSAMMENHANG")</x:f>
        <x:v>2</x:v>
      </x:c>
      <x:c r="R109" s="36" t="n">
        <x:f>COUNTIFS(FRAGEN_MASTER!$F:$F,$E109,FRAGEN_MASTER!$P:$P,"KERNAUSSAGE")</x:f>
        <x:v>0</x:v>
      </x:c>
      <x:c r="S109" s="36" t="n">
        <x:f>COUNTIFS(FRAGEN_MASTER!$F:$F,$E109,FRAGEN_MASTER!$P:$P,"TEXTGENAUIGKEIT")</x:f>
        <x:v>0</x:v>
      </x:c>
      <x:c r="T109" s="36" t="n">
        <x:f>COUNTIFS(FRAGEN_MASTER!$F:$F,$E109,FRAGEN_MASTER!$P:$P,"DETAIL")+COUNTIFS(FRAGEN_MASTER!$F:$F,$E109,FRAGEN_MASTER!$P:$P,"SONSTIGES")</x:f>
        <x:v>0</x:v>
      </x:c>
      <x:c r="U109" s="36" t="str">
        <x:v>Apostelgeschichte 19: 5/5 repetitive Kapitel-Erkennungsfragen ersetzt, gegen L1912 + OTB geprüft und freigegeben.</x:v>
      </x:c>
    </x:row>
    <x:row r="110">
      <x:c r="A110" s="36" t="n">
        <x:v>109</x:v>
      </x:c>
      <x:c r="B110" s="36" t="str">
        <x:v>ACT</x:v>
      </x:c>
      <x:c r="C110" s="36" t="str">
        <x:v>Apostelgeschichte</x:v>
      </x:c>
      <x:c r="D110" s="36" t="n">
        <x:v>20</x:v>
      </x:c>
      <x:c r="E110" s="36" t="str">
        <x:v>ACT-020</x:v>
      </x:c>
      <x:c r="F110" s="36" t="str">
        <x:v>FP-0801</x:v>
      </x:c>
      <x:c r="G110" s="36" t="str">
        <x:v>FP-0805</x:v>
      </x:c>
      <x:c r="H110" s="36" t="n">
        <x:f>COUNTIFS(FRAGEN_MASTER!$F:$F,$E110,FRAGEN_MASTER!$M:$M,"ZU_PRÜFEN")</x:f>
        <x:v>0</x:v>
      </x:c>
      <x:c r="I110" s="36" t="n">
        <x:f>COUNTIFS(FRAGEN_MASTER!$F:$F,$E110,FRAGEN_MASTER!$M:$M,"BEHALTEN")</x:f>
        <x:v>0</x:v>
      </x:c>
      <x:c r="J110" s="36" t="n">
        <x:f>COUNTIFS(FRAGEN_MASTER!$F:$F,$E110,FRAGEN_MASTER!$M:$M,"VERBESSERN")</x:f>
        <x:v>0</x:v>
      </x:c>
      <x:c r="K110" s="36" t="n">
        <x:f>COUNTIFS(FRAGEN_MASTER!$F:$F,$E110,FRAGEN_MASTER!$M:$M,"ERSETZEN")</x:f>
        <x:v>5</x:v>
      </x:c>
      <x:c r="L110" s="36" t="n">
        <x:f>COUNTIFS(FRAGEN_MASTER!$F:$F,$E110,FRAGEN_MASTER!$AG:$AG,"FREIGEGEBEN")</x:f>
        <x:v>5</x:v>
      </x:c>
      <x:c r="M110" s="36" t="n">
        <x:f>COUNTIFS(FRAGEN_MASTER!$F:$F,$E110,FRAGEN_MASTER!$AL:$AL,"JA")</x:f>
        <x:v>5</x:v>
      </x:c>
      <x:c r="N110" s="36" t="str">
        <x:f>IF(M110=5,"FREIGEGEBEN",IF(H110=5,"NOCH_NICHT_GEPRÜFT","IN_ARBEIT"))</x:f>
        <x:v>FREIGEGEBEN</x:v>
      </x:c>
      <x:c r="O110" s="36" t="n">
        <x:f>COUNTIFS(FRAGEN_MASTER!$F:$F,$E110,FRAGEN_MASTER!$P:$P,"GESCHEHEN")</x:f>
        <x:v>1</x:v>
      </x:c>
      <x:c r="P110" s="36" t="n">
        <x:f>COUNTIFS(FRAGEN_MASTER!$F:$F,$E110,FRAGEN_MASTER!$P:$P,"PERSON_AUSSAGE")</x:f>
        <x:v>0</x:v>
      </x:c>
      <x:c r="Q110" s="36" t="n">
        <x:f>COUNTIFS(FRAGEN_MASTER!$F:$F,$E110,FRAGEN_MASTER!$P:$P,"ZUSAMMENHANG")</x:f>
        <x:v>0</x:v>
      </x:c>
      <x:c r="R110" s="36" t="n">
        <x:f>COUNTIFS(FRAGEN_MASTER!$F:$F,$E110,FRAGEN_MASTER!$P:$P,"KERNAUSSAGE")</x:f>
        <x:v>4</x:v>
      </x:c>
      <x:c r="S110" s="36" t="n">
        <x:f>COUNTIFS(FRAGEN_MASTER!$F:$F,$E110,FRAGEN_MASTER!$P:$P,"TEXTGENAUIGKEIT")</x:f>
        <x:v>0</x:v>
      </x:c>
      <x:c r="T110" s="36" t="n">
        <x:f>COUNTIFS(FRAGEN_MASTER!$F:$F,$E110,FRAGEN_MASTER!$P:$P,"DETAIL")+COUNTIFS(FRAGEN_MASTER!$F:$F,$E110,FRAGEN_MASTER!$P:$P,"SONSTIGES")</x:f>
        <x:v>0</x:v>
      </x:c>
      <x:c r="U110" s="36" t="str">
        <x:v>Apostelgeschichte 20: 5/5 repetitive Kapitel-Erkennungsfragen ersetzt, gegen L1912 + OTB geprüft und freigegeben.</x:v>
      </x:c>
    </x:row>
    <x:row r="111">
      <x:c r="A111" s="36" t="n">
        <x:v>110</x:v>
      </x:c>
      <x:c r="B111" s="36" t="str">
        <x:v>ACT</x:v>
      </x:c>
      <x:c r="C111" s="36" t="str">
        <x:v>Apostelgeschichte</x:v>
      </x:c>
      <x:c r="D111" s="36" t="n">
        <x:v>21</x:v>
      </x:c>
      <x:c r="E111" s="36" t="str">
        <x:v>ACT-021</x:v>
      </x:c>
      <x:c r="F111" s="36" t="str">
        <x:v>FP-0806</x:v>
      </x:c>
      <x:c r="G111" s="36" t="str">
        <x:v>FP-0810</x:v>
      </x:c>
      <x:c r="H111" s="36" t="n">
        <x:f>COUNTIFS(FRAGEN_MASTER!$F:$F,$E111,FRAGEN_MASTER!$M:$M,"ZU_PRÜFEN")</x:f>
        <x:v>0</x:v>
      </x:c>
      <x:c r="I111" s="36" t="n">
        <x:f>COUNTIFS(FRAGEN_MASTER!$F:$F,$E111,FRAGEN_MASTER!$M:$M,"BEHALTEN")</x:f>
        <x:v>0</x:v>
      </x:c>
      <x:c r="J111" s="36" t="n">
        <x:f>COUNTIFS(FRAGEN_MASTER!$F:$F,$E111,FRAGEN_MASTER!$M:$M,"VERBESSERN")</x:f>
        <x:v>0</x:v>
      </x:c>
      <x:c r="K111" s="36" t="n">
        <x:f>COUNTIFS(FRAGEN_MASTER!$F:$F,$E111,FRAGEN_MASTER!$M:$M,"ERSETZEN")</x:f>
        <x:v>5</x:v>
      </x:c>
      <x:c r="L111" s="36" t="n">
        <x:f>COUNTIFS(FRAGEN_MASTER!$F:$F,$E111,FRAGEN_MASTER!$AG:$AG,"FREIGEGEBEN")</x:f>
        <x:v>5</x:v>
      </x:c>
      <x:c r="M111" s="36" t="n">
        <x:f>COUNTIFS(FRAGEN_MASTER!$F:$F,$E111,FRAGEN_MASTER!$AL:$AL,"JA")</x:f>
        <x:v>5</x:v>
      </x:c>
      <x:c r="N111" s="36" t="str">
        <x:f>IF(M111=5,"FREIGEGEBEN",IF(H111=5,"NOCH_NICHT_GEPRÜFT","IN_ARBEIT"))</x:f>
        <x:v>FREIGEGEBEN</x:v>
      </x:c>
      <x:c r="O111" s="36" t="n">
        <x:f>COUNTIFS(FRAGEN_MASTER!$F:$F,$E111,FRAGEN_MASTER!$P:$P,"GESCHEHEN")</x:f>
        <x:v>2</x:v>
      </x:c>
      <x:c r="P111" s="36" t="n">
        <x:f>COUNTIFS(FRAGEN_MASTER!$F:$F,$E111,FRAGEN_MASTER!$P:$P,"PERSON_AUSSAGE")</x:f>
        <x:v>0</x:v>
      </x:c>
      <x:c r="Q111" s="36" t="n">
        <x:f>COUNTIFS(FRAGEN_MASTER!$F:$F,$E111,FRAGEN_MASTER!$P:$P,"ZUSAMMENHANG")</x:f>
        <x:v>2</x:v>
      </x:c>
      <x:c r="R111" s="36" t="n">
        <x:f>COUNTIFS(FRAGEN_MASTER!$F:$F,$E111,FRAGEN_MASTER!$P:$P,"KERNAUSSAGE")</x:f>
        <x:v>0</x:v>
      </x:c>
      <x:c r="S111" s="36" t="n">
        <x:f>COUNTIFS(FRAGEN_MASTER!$F:$F,$E111,FRAGEN_MASTER!$P:$P,"TEXTGENAUIGKEIT")</x:f>
        <x:v>0</x:v>
      </x:c>
      <x:c r="T111" s="36" t="n">
        <x:f>COUNTIFS(FRAGEN_MASTER!$F:$F,$E111,FRAGEN_MASTER!$P:$P,"DETAIL")+COUNTIFS(FRAGEN_MASTER!$F:$F,$E111,FRAGEN_MASTER!$P:$P,"SONSTIGES")</x:f>
        <x:v>1</x:v>
      </x:c>
      <x:c r="U111" s="36" t="str">
        <x:v>Apostelgeschichte 21: 5/5 repetitive Kapitel-Erkennungsfragen ersetzt, gegen L1912 + OTB geprüft und freigegeben.</x:v>
      </x:c>
    </x:row>
    <x:row r="112">
      <x:c r="A112" s="36" t="n">
        <x:v>111</x:v>
      </x:c>
      <x:c r="B112" s="36" t="str">
        <x:v>ACT</x:v>
      </x:c>
      <x:c r="C112" s="36" t="str">
        <x:v>Apostelgeschichte</x:v>
      </x:c>
      <x:c r="D112" s="36" t="n">
        <x:v>22</x:v>
      </x:c>
      <x:c r="E112" s="36" t="str">
        <x:v>ACT-022</x:v>
      </x:c>
      <x:c r="F112" s="36" t="str">
        <x:v>FP-0811</x:v>
      </x:c>
      <x:c r="G112" s="36" t="str">
        <x:v>FP-0815</x:v>
      </x:c>
      <x:c r="H112" s="36" t="n">
        <x:f>COUNTIFS(FRAGEN_MASTER!$F:$F,$E112,FRAGEN_MASTER!$M:$M,"ZU_PRÜFEN")</x:f>
        <x:v>0</x:v>
      </x:c>
      <x:c r="I112" s="36" t="n">
        <x:f>COUNTIFS(FRAGEN_MASTER!$F:$F,$E112,FRAGEN_MASTER!$M:$M,"BEHALTEN")</x:f>
        <x:v>0</x:v>
      </x:c>
      <x:c r="J112" s="36" t="n">
        <x:f>COUNTIFS(FRAGEN_MASTER!$F:$F,$E112,FRAGEN_MASTER!$M:$M,"VERBESSERN")</x:f>
        <x:v>0</x:v>
      </x:c>
      <x:c r="K112" s="36" t="n">
        <x:f>COUNTIFS(FRAGEN_MASTER!$F:$F,$E112,FRAGEN_MASTER!$M:$M,"ERSETZEN")</x:f>
        <x:v>5</x:v>
      </x:c>
      <x:c r="L112" s="36" t="n">
        <x:f>COUNTIFS(FRAGEN_MASTER!$F:$F,$E112,FRAGEN_MASTER!$AG:$AG,"FREIGEGEBEN")</x:f>
        <x:v>5</x:v>
      </x:c>
      <x:c r="M112" s="36" t="n">
        <x:f>COUNTIFS(FRAGEN_MASTER!$F:$F,$E112,FRAGEN_MASTER!$AL:$AL,"JA")</x:f>
        <x:v>5</x:v>
      </x:c>
      <x:c r="N112" s="36" t="str">
        <x:f>IF(M112=5,"FREIGEGEBEN",IF(H112=5,"NOCH_NICHT_GEPRÜFT","IN_ARBEIT"))</x:f>
        <x:v>FREIGEGEBEN</x:v>
      </x:c>
      <x:c r="O112" s="36" t="n">
        <x:f>COUNTIFS(FRAGEN_MASTER!$F:$F,$E112,FRAGEN_MASTER!$P:$P,"GESCHEHEN")</x:f>
        <x:v>2</x:v>
      </x:c>
      <x:c r="P112" s="36" t="n">
        <x:f>COUNTIFS(FRAGEN_MASTER!$F:$F,$E112,FRAGEN_MASTER!$P:$P,"PERSON_AUSSAGE")</x:f>
        <x:v>1</x:v>
      </x:c>
      <x:c r="Q112" s="36" t="n">
        <x:f>COUNTIFS(FRAGEN_MASTER!$F:$F,$E112,FRAGEN_MASTER!$P:$P,"ZUSAMMENHANG")</x:f>
        <x:v>1</x:v>
      </x:c>
      <x:c r="R112" s="36" t="n">
        <x:f>COUNTIFS(FRAGEN_MASTER!$F:$F,$E112,FRAGEN_MASTER!$P:$P,"KERNAUSSAGE")</x:f>
        <x:v>1</x:v>
      </x:c>
      <x:c r="S112" s="36" t="n">
        <x:f>COUNTIFS(FRAGEN_MASTER!$F:$F,$E112,FRAGEN_MASTER!$P:$P,"TEXTGENAUIGKEIT")</x:f>
        <x:v>0</x:v>
      </x:c>
      <x:c r="T112" s="36" t="n">
        <x:f>COUNTIFS(FRAGEN_MASTER!$F:$F,$E112,FRAGEN_MASTER!$P:$P,"DETAIL")+COUNTIFS(FRAGEN_MASTER!$F:$F,$E112,FRAGEN_MASTER!$P:$P,"SONSTIGES")</x:f>
        <x:v>0</x:v>
      </x:c>
      <x:c r="U112" s="36" t="str">
        <x:v>Apostelgeschichte 22: 5/5 repetitive Kapitel-Erkennungsfragen ersetzt, gegen L1912 + OTB geprüft und freigegeben.</x:v>
      </x:c>
    </x:row>
    <x:row r="113">
      <x:c r="A113" s="36" t="n">
        <x:v>112</x:v>
      </x:c>
      <x:c r="B113" s="36" t="str">
        <x:v>ACT</x:v>
      </x:c>
      <x:c r="C113" s="36" t="str">
        <x:v>Apostelgeschichte</x:v>
      </x:c>
      <x:c r="D113" s="36" t="n">
        <x:v>23</x:v>
      </x:c>
      <x:c r="E113" s="36" t="str">
        <x:v>ACT-023</x:v>
      </x:c>
      <x:c r="F113" s="36" t="str">
        <x:v>FP-0816</x:v>
      </x:c>
      <x:c r="G113" s="36" t="str">
        <x:v>FP-0820</x:v>
      </x:c>
      <x:c r="H113" s="36" t="n">
        <x:f>COUNTIFS(FRAGEN_MASTER!$F:$F,$E113,FRAGEN_MASTER!$M:$M,"ZU_PRÜFEN")</x:f>
        <x:v>0</x:v>
      </x:c>
      <x:c r="I113" s="36" t="n">
        <x:f>COUNTIFS(FRAGEN_MASTER!$F:$F,$E113,FRAGEN_MASTER!$M:$M,"BEHALTEN")</x:f>
        <x:v>0</x:v>
      </x:c>
      <x:c r="J113" s="36" t="n">
        <x:f>COUNTIFS(FRAGEN_MASTER!$F:$F,$E113,FRAGEN_MASTER!$M:$M,"VERBESSERN")</x:f>
        <x:v>0</x:v>
      </x:c>
      <x:c r="K113" s="36" t="n">
        <x:f>COUNTIFS(FRAGEN_MASTER!$F:$F,$E113,FRAGEN_MASTER!$M:$M,"ERSETZEN")</x:f>
        <x:v>5</x:v>
      </x:c>
      <x:c r="L113" s="36" t="n">
        <x:f>COUNTIFS(FRAGEN_MASTER!$F:$F,$E113,FRAGEN_MASTER!$AG:$AG,"FREIGEGEBEN")</x:f>
        <x:v>5</x:v>
      </x:c>
      <x:c r="M113" s="36" t="n">
        <x:f>COUNTIFS(FRAGEN_MASTER!$F:$F,$E113,FRAGEN_MASTER!$AL:$AL,"JA")</x:f>
        <x:v>5</x:v>
      </x:c>
      <x:c r="N113" s="36" t="str">
        <x:f>IF(M113=5,"FREIGEGEBEN",IF(H113=5,"NOCH_NICHT_GEPRÜFT","IN_ARBEIT"))</x:f>
        <x:v>FREIGEGEBEN</x:v>
      </x:c>
      <x:c r="O113" s="36" t="n">
        <x:f>COUNTIFS(FRAGEN_MASTER!$F:$F,$E113,FRAGEN_MASTER!$P:$P,"GESCHEHEN")</x:f>
        <x:v>3</x:v>
      </x:c>
      <x:c r="P113" s="36" t="n">
        <x:f>COUNTIFS(FRAGEN_MASTER!$F:$F,$E113,FRAGEN_MASTER!$P:$P,"PERSON_AUSSAGE")</x:f>
        <x:v>1</x:v>
      </x:c>
      <x:c r="Q113" s="36" t="n">
        <x:f>COUNTIFS(FRAGEN_MASTER!$F:$F,$E113,FRAGEN_MASTER!$P:$P,"ZUSAMMENHANG")</x:f>
        <x:v>1</x:v>
      </x:c>
      <x:c r="R113" s="36" t="n">
        <x:f>COUNTIFS(FRAGEN_MASTER!$F:$F,$E113,FRAGEN_MASTER!$P:$P,"KERNAUSSAGE")</x:f>
        <x:v>0</x:v>
      </x:c>
      <x:c r="S113" s="36" t="n">
        <x:f>COUNTIFS(FRAGEN_MASTER!$F:$F,$E113,FRAGEN_MASTER!$P:$P,"TEXTGENAUIGKEIT")</x:f>
        <x:v>0</x:v>
      </x:c>
      <x:c r="T113" s="36" t="n">
        <x:f>COUNTIFS(FRAGEN_MASTER!$F:$F,$E113,FRAGEN_MASTER!$P:$P,"DETAIL")+COUNTIFS(FRAGEN_MASTER!$F:$F,$E113,FRAGEN_MASTER!$P:$P,"SONSTIGES")</x:f>
        <x:v>0</x:v>
      </x:c>
      <x:c r="U113" s="36" t="str">
        <x:v>Apostelgeschichte 23: 5/5 repetitive Kapitel-Erkennungsfragen ersetzt, gegen L1912 + OTB geprüft und freigegeben.</x:v>
      </x:c>
    </x:row>
    <x:row r="114">
      <x:c r="A114" s="36" t="n">
        <x:v>113</x:v>
      </x:c>
      <x:c r="B114" s="36" t="str">
        <x:v>ACT</x:v>
      </x:c>
      <x:c r="C114" s="36" t="str">
        <x:v>Apostelgeschichte</x:v>
      </x:c>
      <x:c r="D114" s="36" t="n">
        <x:v>24</x:v>
      </x:c>
      <x:c r="E114" s="36" t="str">
        <x:v>ACT-024</x:v>
      </x:c>
      <x:c r="F114" s="36" t="str">
        <x:v>FP-0821</x:v>
      </x:c>
      <x:c r="G114" s="36" t="str">
        <x:v>FP-0825</x:v>
      </x:c>
      <x:c r="H114" s="36" t="n">
        <x:f>COUNTIFS(FRAGEN_MASTER!$F:$F,$E114,FRAGEN_MASTER!$M:$M,"ZU_PRÜFEN")</x:f>
        <x:v>0</x:v>
      </x:c>
      <x:c r="I114" s="36" t="n">
        <x:f>COUNTIFS(FRAGEN_MASTER!$F:$F,$E114,FRAGEN_MASTER!$M:$M,"BEHALTEN")</x:f>
        <x:v>0</x:v>
      </x:c>
      <x:c r="J114" s="36" t="n">
        <x:f>COUNTIFS(FRAGEN_MASTER!$F:$F,$E114,FRAGEN_MASTER!$M:$M,"VERBESSERN")</x:f>
        <x:v>0</x:v>
      </x:c>
      <x:c r="K114" s="36" t="n">
        <x:f>COUNTIFS(FRAGEN_MASTER!$F:$F,$E114,FRAGEN_MASTER!$M:$M,"ERSETZEN")</x:f>
        <x:v>5</x:v>
      </x:c>
      <x:c r="L114" s="36" t="n">
        <x:f>COUNTIFS(FRAGEN_MASTER!$F:$F,$E114,FRAGEN_MASTER!$AG:$AG,"FREIGEGEBEN")</x:f>
        <x:v>5</x:v>
      </x:c>
      <x:c r="M114" s="36" t="n">
        <x:f>COUNTIFS(FRAGEN_MASTER!$F:$F,$E114,FRAGEN_MASTER!$AL:$AL,"JA")</x:f>
        <x:v>5</x:v>
      </x:c>
      <x:c r="N114" s="36" t="str">
        <x:f>IF(M114=5,"FREIGEGEBEN",IF(H114=5,"NOCH_NICHT_GEPRÜFT","IN_ARBEIT"))</x:f>
        <x:v>FREIGEGEBEN</x:v>
      </x:c>
      <x:c r="O114" s="36" t="n">
        <x:f>COUNTIFS(FRAGEN_MASTER!$F:$F,$E114,FRAGEN_MASTER!$P:$P,"GESCHEHEN")</x:f>
        <x:v>2</x:v>
      </x:c>
      <x:c r="P114" s="36" t="n">
        <x:f>COUNTIFS(FRAGEN_MASTER!$F:$F,$E114,FRAGEN_MASTER!$P:$P,"PERSON_AUSSAGE")</x:f>
        <x:v>0</x:v>
      </x:c>
      <x:c r="Q114" s="36" t="n">
        <x:f>COUNTIFS(FRAGEN_MASTER!$F:$F,$E114,FRAGEN_MASTER!$P:$P,"ZUSAMMENHANG")</x:f>
        <x:v>2</x:v>
      </x:c>
      <x:c r="R114" s="36" t="n">
        <x:f>COUNTIFS(FRAGEN_MASTER!$F:$F,$E114,FRAGEN_MASTER!$P:$P,"KERNAUSSAGE")</x:f>
        <x:v>1</x:v>
      </x:c>
      <x:c r="S114" s="36" t="n">
        <x:f>COUNTIFS(FRAGEN_MASTER!$F:$F,$E114,FRAGEN_MASTER!$P:$P,"TEXTGENAUIGKEIT")</x:f>
        <x:v>0</x:v>
      </x:c>
      <x:c r="T114" s="36" t="n">
        <x:f>COUNTIFS(FRAGEN_MASTER!$F:$F,$E114,FRAGEN_MASTER!$P:$P,"DETAIL")+COUNTIFS(FRAGEN_MASTER!$F:$F,$E114,FRAGEN_MASTER!$P:$P,"SONSTIGES")</x:f>
        <x:v>0</x:v>
      </x:c>
      <x:c r="U114" s="36" t="str">
        <x:v>Apostelgeschichte 24: 5/5 repetitive Kapitel-Erkennungsfragen ersetzt, gegen L1912 + OTB geprüft und freigegeben.</x:v>
      </x:c>
    </x:row>
    <x:row r="115">
      <x:c r="A115" s="36" t="n">
        <x:v>114</x:v>
      </x:c>
      <x:c r="B115" s="36" t="str">
        <x:v>ACT</x:v>
      </x:c>
      <x:c r="C115" s="36" t="str">
        <x:v>Apostelgeschichte</x:v>
      </x:c>
      <x:c r="D115" s="36" t="n">
        <x:v>25</x:v>
      </x:c>
      <x:c r="E115" s="36" t="str">
        <x:v>ACT-025</x:v>
      </x:c>
      <x:c r="F115" s="36" t="str">
        <x:v>FP-0826</x:v>
      </x:c>
      <x:c r="G115" s="36" t="str">
        <x:v>FP-0830</x:v>
      </x:c>
      <x:c r="H115" s="36" t="n">
        <x:f>COUNTIFS(FRAGEN_MASTER!$F:$F,$E115,FRAGEN_MASTER!$M:$M,"ZU_PRÜFEN")</x:f>
        <x:v>0</x:v>
      </x:c>
      <x:c r="I115" s="36" t="n">
        <x:f>COUNTIFS(FRAGEN_MASTER!$F:$F,$E115,FRAGEN_MASTER!$M:$M,"BEHALTEN")</x:f>
        <x:v>0</x:v>
      </x:c>
      <x:c r="J115" s="36" t="n">
        <x:f>COUNTIFS(FRAGEN_MASTER!$F:$F,$E115,FRAGEN_MASTER!$M:$M,"VERBESSERN")</x:f>
        <x:v>0</x:v>
      </x:c>
      <x:c r="K115" s="36" t="n">
        <x:f>COUNTIFS(FRAGEN_MASTER!$F:$F,$E115,FRAGEN_MASTER!$M:$M,"ERSETZEN")</x:f>
        <x:v>5</x:v>
      </x:c>
      <x:c r="L115" s="36" t="n">
        <x:f>COUNTIFS(FRAGEN_MASTER!$F:$F,$E115,FRAGEN_MASTER!$AG:$AG,"FREIGEGEBEN")</x:f>
        <x:v>5</x:v>
      </x:c>
      <x:c r="M115" s="36" t="n">
        <x:f>COUNTIFS(FRAGEN_MASTER!$F:$F,$E115,FRAGEN_MASTER!$AL:$AL,"JA")</x:f>
        <x:v>5</x:v>
      </x:c>
      <x:c r="N115" s="36" t="str">
        <x:f>IF(M115=5,"FREIGEGEBEN",IF(H115=5,"NOCH_NICHT_GEPRÜFT","IN_ARBEIT"))</x:f>
        <x:v>FREIGEGEBEN</x:v>
      </x:c>
      <x:c r="O115" s="36" t="n">
        <x:f>COUNTIFS(FRAGEN_MASTER!$F:$F,$E115,FRAGEN_MASTER!$P:$P,"GESCHEHEN")</x:f>
        <x:v>2</x:v>
      </x:c>
      <x:c r="P115" s="36" t="n">
        <x:f>COUNTIFS(FRAGEN_MASTER!$F:$F,$E115,FRAGEN_MASTER!$P:$P,"PERSON_AUSSAGE")</x:f>
        <x:v>0</x:v>
      </x:c>
      <x:c r="Q115" s="36" t="n">
        <x:f>COUNTIFS(FRAGEN_MASTER!$F:$F,$E115,FRAGEN_MASTER!$P:$P,"ZUSAMMENHANG")</x:f>
        <x:v>1</x:v>
      </x:c>
      <x:c r="R115" s="36" t="n">
        <x:f>COUNTIFS(FRAGEN_MASTER!$F:$F,$E115,FRAGEN_MASTER!$P:$P,"KERNAUSSAGE")</x:f>
        <x:v>2</x:v>
      </x:c>
      <x:c r="S115" s="36" t="n">
        <x:f>COUNTIFS(FRAGEN_MASTER!$F:$F,$E115,FRAGEN_MASTER!$P:$P,"TEXTGENAUIGKEIT")</x:f>
        <x:v>0</x:v>
      </x:c>
      <x:c r="T115" s="36" t="n">
        <x:f>COUNTIFS(FRAGEN_MASTER!$F:$F,$E115,FRAGEN_MASTER!$P:$P,"DETAIL")+COUNTIFS(FRAGEN_MASTER!$F:$F,$E115,FRAGEN_MASTER!$P:$P,"SONSTIGES")</x:f>
        <x:v>0</x:v>
      </x:c>
      <x:c r="U115" s="36" t="str">
        <x:v>Apostelgeschichte 25: 5/5 repetitive Kapitel-Erkennungsfragen ersetzt, gegen L1912 + OTB geprüft und freigegeben.</x:v>
      </x:c>
    </x:row>
    <x:row r="116">
      <x:c r="A116" s="36" t="n">
        <x:v>115</x:v>
      </x:c>
      <x:c r="B116" s="36" t="str">
        <x:v>ACT</x:v>
      </x:c>
      <x:c r="C116" s="36" t="str">
        <x:v>Apostelgeschichte</x:v>
      </x:c>
      <x:c r="D116" s="36" t="n">
        <x:v>26</x:v>
      </x:c>
      <x:c r="E116" s="36" t="str">
        <x:v>ACT-026</x:v>
      </x:c>
      <x:c r="F116" s="36" t="str">
        <x:v>FP-0831</x:v>
      </x:c>
      <x:c r="G116" s="36" t="str">
        <x:v>FP-0835</x:v>
      </x:c>
      <x:c r="H116" s="36" t="n">
        <x:f>COUNTIFS(FRAGEN_MASTER!$F:$F,$E116,FRAGEN_MASTER!$M:$M,"ZU_PRÜFEN")</x:f>
        <x:v>0</x:v>
      </x:c>
      <x:c r="I116" s="36" t="n">
        <x:f>COUNTIFS(FRAGEN_MASTER!$F:$F,$E116,FRAGEN_MASTER!$M:$M,"BEHALTEN")</x:f>
        <x:v>0</x:v>
      </x:c>
      <x:c r="J116" s="36" t="n">
        <x:f>COUNTIFS(FRAGEN_MASTER!$F:$F,$E116,FRAGEN_MASTER!$M:$M,"VERBESSERN")</x:f>
        <x:v>0</x:v>
      </x:c>
      <x:c r="K116" s="36" t="n">
        <x:f>COUNTIFS(FRAGEN_MASTER!$F:$F,$E116,FRAGEN_MASTER!$M:$M,"ERSETZEN")</x:f>
        <x:v>5</x:v>
      </x:c>
      <x:c r="L116" s="36" t="n">
        <x:f>COUNTIFS(FRAGEN_MASTER!$F:$F,$E116,FRAGEN_MASTER!$AG:$AG,"FREIGEGEBEN")</x:f>
        <x:v>5</x:v>
      </x:c>
      <x:c r="M116" s="36" t="n">
        <x:f>COUNTIFS(FRAGEN_MASTER!$F:$F,$E116,FRAGEN_MASTER!$AL:$AL,"JA")</x:f>
        <x:v>5</x:v>
      </x:c>
      <x:c r="N116" s="36" t="str">
        <x:f>IF(M116=5,"FREIGEGEBEN",IF(H116=5,"NOCH_NICHT_GEPRÜFT","IN_ARBEIT"))</x:f>
        <x:v>FREIGEGEBEN</x:v>
      </x:c>
      <x:c r="O116" s="36" t="n">
        <x:f>COUNTIFS(FRAGEN_MASTER!$F:$F,$E116,FRAGEN_MASTER!$P:$P,"GESCHEHEN")</x:f>
        <x:v>1</x:v>
      </x:c>
      <x:c r="P116" s="36" t="n">
        <x:f>COUNTIFS(FRAGEN_MASTER!$F:$F,$E116,FRAGEN_MASTER!$P:$P,"PERSON_AUSSAGE")</x:f>
        <x:v>0</x:v>
      </x:c>
      <x:c r="Q116" s="36" t="n">
        <x:f>COUNTIFS(FRAGEN_MASTER!$F:$F,$E116,FRAGEN_MASTER!$P:$P,"ZUSAMMENHANG")</x:f>
        <x:v>1</x:v>
      </x:c>
      <x:c r="R116" s="36" t="n">
        <x:f>COUNTIFS(FRAGEN_MASTER!$F:$F,$E116,FRAGEN_MASTER!$P:$P,"KERNAUSSAGE")</x:f>
        <x:v>3</x:v>
      </x:c>
      <x:c r="S116" s="36" t="n">
        <x:f>COUNTIFS(FRAGEN_MASTER!$F:$F,$E116,FRAGEN_MASTER!$P:$P,"TEXTGENAUIGKEIT")</x:f>
        <x:v>0</x:v>
      </x:c>
      <x:c r="T116" s="36" t="n">
        <x:f>COUNTIFS(FRAGEN_MASTER!$F:$F,$E116,FRAGEN_MASTER!$P:$P,"DETAIL")+COUNTIFS(FRAGEN_MASTER!$F:$F,$E116,FRAGEN_MASTER!$P:$P,"SONSTIGES")</x:f>
        <x:v>0</x:v>
      </x:c>
      <x:c r="U116" s="36" t="str">
        <x:v>Apostelgeschichte 26: 5/5 repetitive Kapitel-Erkennungsfragen ersetzt, gegen L1912 + OTB geprüft und freigegeben.</x:v>
      </x:c>
    </x:row>
    <x:row r="117">
      <x:c r="A117" s="36" t="n">
        <x:v>116</x:v>
      </x:c>
      <x:c r="B117" s="36" t="str">
        <x:v>ACT</x:v>
      </x:c>
      <x:c r="C117" s="36" t="str">
        <x:v>Apostelgeschichte</x:v>
      </x:c>
      <x:c r="D117" s="36" t="n">
        <x:v>27</x:v>
      </x:c>
      <x:c r="E117" s="36" t="str">
        <x:v>ACT-027</x:v>
      </x:c>
      <x:c r="F117" s="36" t="str">
        <x:v>FP-0836</x:v>
      </x:c>
      <x:c r="G117" s="36" t="str">
        <x:v>FP-0840</x:v>
      </x:c>
      <x:c r="H117" s="36" t="n">
        <x:f>COUNTIFS(FRAGEN_MASTER!$F:$F,$E117,FRAGEN_MASTER!$M:$M,"ZU_PRÜFEN")</x:f>
        <x:v>0</x:v>
      </x:c>
      <x:c r="I117" s="36" t="n">
        <x:f>COUNTIFS(FRAGEN_MASTER!$F:$F,$E117,FRAGEN_MASTER!$M:$M,"BEHALTEN")</x:f>
        <x:v>0</x:v>
      </x:c>
      <x:c r="J117" s="36" t="n">
        <x:f>COUNTIFS(FRAGEN_MASTER!$F:$F,$E117,FRAGEN_MASTER!$M:$M,"VERBESSERN")</x:f>
        <x:v>0</x:v>
      </x:c>
      <x:c r="K117" s="36" t="n">
        <x:f>COUNTIFS(FRAGEN_MASTER!$F:$F,$E117,FRAGEN_MASTER!$M:$M,"ERSETZEN")</x:f>
        <x:v>5</x:v>
      </x:c>
      <x:c r="L117" s="36" t="n">
        <x:f>COUNTIFS(FRAGEN_MASTER!$F:$F,$E117,FRAGEN_MASTER!$AG:$AG,"FREIGEGEBEN")</x:f>
        <x:v>5</x:v>
      </x:c>
      <x:c r="M117" s="36" t="n">
        <x:f>COUNTIFS(FRAGEN_MASTER!$F:$F,$E117,FRAGEN_MASTER!$AL:$AL,"JA")</x:f>
        <x:v>5</x:v>
      </x:c>
      <x:c r="N117" s="36" t="str">
        <x:f>IF(M117=5,"FREIGEGEBEN",IF(H117=5,"NOCH_NICHT_GEPRÜFT","IN_ARBEIT"))</x:f>
        <x:v>FREIGEGEBEN</x:v>
      </x:c>
      <x:c r="O117" s="36" t="n">
        <x:f>COUNTIFS(FRAGEN_MASTER!$F:$F,$E117,FRAGEN_MASTER!$P:$P,"GESCHEHEN")</x:f>
        <x:v>3</x:v>
      </x:c>
      <x:c r="P117" s="36" t="n">
        <x:f>COUNTIFS(FRAGEN_MASTER!$F:$F,$E117,FRAGEN_MASTER!$P:$P,"PERSON_AUSSAGE")</x:f>
        <x:v>0</x:v>
      </x:c>
      <x:c r="Q117" s="36" t="n">
        <x:f>COUNTIFS(FRAGEN_MASTER!$F:$F,$E117,FRAGEN_MASTER!$P:$P,"ZUSAMMENHANG")</x:f>
        <x:v>1</x:v>
      </x:c>
      <x:c r="R117" s="36" t="n">
        <x:f>COUNTIFS(FRAGEN_MASTER!$F:$F,$E117,FRAGEN_MASTER!$P:$P,"KERNAUSSAGE")</x:f>
        <x:v>1</x:v>
      </x:c>
      <x:c r="S117" s="36" t="n">
        <x:f>COUNTIFS(FRAGEN_MASTER!$F:$F,$E117,FRAGEN_MASTER!$P:$P,"TEXTGENAUIGKEIT")</x:f>
        <x:v>0</x:v>
      </x:c>
      <x:c r="T117" s="36" t="n">
        <x:f>COUNTIFS(FRAGEN_MASTER!$F:$F,$E117,FRAGEN_MASTER!$P:$P,"DETAIL")+COUNTIFS(FRAGEN_MASTER!$F:$F,$E117,FRAGEN_MASTER!$P:$P,"SONSTIGES")</x:f>
        <x:v>0</x:v>
      </x:c>
      <x:c r="U117" s="36" t="str">
        <x:v>Apostelgeschichte 27: 5/5 repetitive Kapitel-Erkennungsfragen ersetzt, gegen L1912 + OTB geprüft und freigegeben.</x:v>
      </x:c>
    </x:row>
    <x:row r="118">
      <x:c r="A118" s="36" t="n">
        <x:v>117</x:v>
      </x:c>
      <x:c r="B118" s="36" t="str">
        <x:v>ACT</x:v>
      </x:c>
      <x:c r="C118" s="36" t="str">
        <x:v>Apostelgeschichte</x:v>
      </x:c>
      <x:c r="D118" s="36" t="n">
        <x:v>28</x:v>
      </x:c>
      <x:c r="E118" s="36" t="str">
        <x:v>ACT-028</x:v>
      </x:c>
      <x:c r="F118" s="36" t="str">
        <x:v>FP-0841</x:v>
      </x:c>
      <x:c r="G118" s="36" t="str">
        <x:v>FP-0845</x:v>
      </x:c>
      <x:c r="H118" s="36" t="n">
        <x:f>COUNTIFS(FRAGEN_MASTER!$F:$F,$E118,FRAGEN_MASTER!$M:$M,"ZU_PRÜFEN")</x:f>
        <x:v>0</x:v>
      </x:c>
      <x:c r="I118" s="36" t="n">
        <x:f>COUNTIFS(FRAGEN_MASTER!$F:$F,$E118,FRAGEN_MASTER!$M:$M,"BEHALTEN")</x:f>
        <x:v>0</x:v>
      </x:c>
      <x:c r="J118" s="36" t="n">
        <x:f>COUNTIFS(FRAGEN_MASTER!$F:$F,$E118,FRAGEN_MASTER!$M:$M,"VERBESSERN")</x:f>
        <x:v>0</x:v>
      </x:c>
      <x:c r="K118" s="36" t="n">
        <x:f>COUNTIFS(FRAGEN_MASTER!$F:$F,$E118,FRAGEN_MASTER!$M:$M,"ERSETZEN")</x:f>
        <x:v>5</x:v>
      </x:c>
      <x:c r="L118" s="36" t="n">
        <x:f>COUNTIFS(FRAGEN_MASTER!$F:$F,$E118,FRAGEN_MASTER!$AG:$AG,"FREIGEGEBEN")</x:f>
        <x:v>5</x:v>
      </x:c>
      <x:c r="M118" s="36" t="n">
        <x:f>COUNTIFS(FRAGEN_MASTER!$F:$F,$E118,FRAGEN_MASTER!$AL:$AL,"JA")</x:f>
        <x:v>5</x:v>
      </x:c>
      <x:c r="N118" s="36" t="str">
        <x:f>IF(M118=5,"FREIGEGEBEN",IF(H118=5,"NOCH_NICHT_GEPRÜFT","IN_ARBEIT"))</x:f>
        <x:v>FREIGEGEBEN</x:v>
      </x:c>
      <x:c r="O118" s="36" t="n">
        <x:f>COUNTIFS(FRAGEN_MASTER!$F:$F,$E118,FRAGEN_MASTER!$P:$P,"GESCHEHEN")</x:f>
        <x:v>3</x:v>
      </x:c>
      <x:c r="P118" s="36" t="n">
        <x:f>COUNTIFS(FRAGEN_MASTER!$F:$F,$E118,FRAGEN_MASTER!$P:$P,"PERSON_AUSSAGE")</x:f>
        <x:v>0</x:v>
      </x:c>
      <x:c r="Q118" s="36" t="n">
        <x:f>COUNTIFS(FRAGEN_MASTER!$F:$F,$E118,FRAGEN_MASTER!$P:$P,"ZUSAMMENHANG")</x:f>
        <x:v>1</x:v>
      </x:c>
      <x:c r="R118" s="36" t="n">
        <x:f>COUNTIFS(FRAGEN_MASTER!$F:$F,$E118,FRAGEN_MASTER!$P:$P,"KERNAUSSAGE")</x:f>
        <x:v>1</x:v>
      </x:c>
      <x:c r="S118" s="36" t="n">
        <x:f>COUNTIFS(FRAGEN_MASTER!$F:$F,$E118,FRAGEN_MASTER!$P:$P,"TEXTGENAUIGKEIT")</x:f>
        <x:v>0</x:v>
      </x:c>
      <x:c r="T118" s="36" t="n">
        <x:f>COUNTIFS(FRAGEN_MASTER!$F:$F,$E118,FRAGEN_MASTER!$P:$P,"DETAIL")+COUNTIFS(FRAGEN_MASTER!$F:$F,$E118,FRAGEN_MASTER!$P:$P,"SONSTIGES")</x:f>
        <x:v>0</x:v>
      </x:c>
      <x:c r="U118" s="36" t="str">
        <x:v>Apostelgeschichte 28: 5/5 repetitive Kapitel-Erkennungsfragen ersetzt, gegen L1912 + OTB geprüft und freigegeben.</x:v>
      </x:c>
    </x:row>
    <x:row r="119">
      <x:c r="A119" s="36" t="n">
        <x:v>118</x:v>
      </x:c>
      <x:c r="B119" s="36" t="str">
        <x:v>ROM</x:v>
      </x:c>
      <x:c r="C119" s="36" t="str">
        <x:v>Römer</x:v>
      </x:c>
      <x:c r="D119" s="36" t="n">
        <x:v>1</x:v>
      </x:c>
      <x:c r="E119" s="36" t="str">
        <x:v>ROM-001</x:v>
      </x:c>
      <x:c r="F119" s="36" t="str">
        <x:v>FP-0846</x:v>
      </x:c>
      <x:c r="G119" s="36" t="str">
        <x:v>FP-0850</x:v>
      </x:c>
      <x:c r="H119" s="36" t="n">
        <x:f>COUNTIFS(FRAGEN_MASTER!$F:$F,$E119,FRAGEN_MASTER!$M:$M,"ZU_PRÜFEN")</x:f>
        <x:v>0</x:v>
      </x:c>
      <x:c r="I119" s="36" t="n">
        <x:f>COUNTIFS(FRAGEN_MASTER!$F:$F,$E119,FRAGEN_MASTER!$M:$M,"BEHALTEN")</x:f>
        <x:v>0</x:v>
      </x:c>
      <x:c r="J119" s="36" t="n">
        <x:f>COUNTIFS(FRAGEN_MASTER!$F:$F,$E119,FRAGEN_MASTER!$M:$M,"VERBESSERN")</x:f>
        <x:v>0</x:v>
      </x:c>
      <x:c r="K119" s="36" t="n">
        <x:f>COUNTIFS(FRAGEN_MASTER!$F:$F,$E119,FRAGEN_MASTER!$M:$M,"ERSETZEN")</x:f>
        <x:v>5</x:v>
      </x:c>
      <x:c r="L119" s="36" t="n">
        <x:f>COUNTIFS(FRAGEN_MASTER!$F:$F,$E119,FRAGEN_MASTER!$AG:$AG,"FREIGEGEBEN")</x:f>
        <x:v>5</x:v>
      </x:c>
      <x:c r="M119" s="36" t="n">
        <x:f>COUNTIFS(FRAGEN_MASTER!$F:$F,$E119,FRAGEN_MASTER!$AL:$AL,"JA")</x:f>
        <x:v>5</x:v>
      </x:c>
      <x:c r="N119" s="36" t="str">
        <x:f>IF(M119=5,"FREIGEGEBEN",IF(H119=5,"NOCH_NICHT_GEPRÜFT","IN_ARBEIT"))</x:f>
        <x:v>FREIGEGEBEN</x:v>
      </x:c>
      <x:c r="O119" s="36" t="n">
        <x:f>COUNTIFS(FRAGEN_MASTER!$F:$F,$E119,FRAGEN_MASTER!$P:$P,"GESCHEHEN")</x:f>
        <x:v>0</x:v>
      </x:c>
      <x:c r="P119" s="36" t="n">
        <x:f>COUNTIFS(FRAGEN_MASTER!$F:$F,$E119,FRAGEN_MASTER!$P:$P,"PERSON_AUSSAGE")</x:f>
        <x:v>0</x:v>
      </x:c>
      <x:c r="Q119" s="36" t="n">
        <x:f>COUNTIFS(FRAGEN_MASTER!$F:$F,$E119,FRAGEN_MASTER!$P:$P,"ZUSAMMENHANG")</x:f>
        <x:v>2</x:v>
      </x:c>
      <x:c r="R119" s="36" t="n">
        <x:f>COUNTIFS(FRAGEN_MASTER!$F:$F,$E119,FRAGEN_MASTER!$P:$P,"KERNAUSSAGE")</x:f>
        <x:v>3</x:v>
      </x:c>
      <x:c r="S119" s="36" t="n">
        <x:f>COUNTIFS(FRAGEN_MASTER!$F:$F,$E119,FRAGEN_MASTER!$P:$P,"TEXTGENAUIGKEIT")</x:f>
        <x:v>0</x:v>
      </x:c>
      <x:c r="T119" s="36" t="n">
        <x:f>COUNTIFS(FRAGEN_MASTER!$F:$F,$E119,FRAGEN_MASTER!$P:$P,"DETAIL")+COUNTIFS(FRAGEN_MASTER!$F:$F,$E119,FRAGEN_MASTER!$P:$P,"SONSTIGES")</x:f>
        <x:v>0</x:v>
      </x:c>
      <x:c r="U119" s="36" t="str">
        <x:v>Römer 1: 5/5 repetitive Kapitel-Erkennungsfragen ersetzt, gegen L1912 + OTB geprüft und freigegeben.</x:v>
      </x:c>
    </x:row>
    <x:row r="120">
      <x:c r="A120" s="36" t="n">
        <x:v>119</x:v>
      </x:c>
      <x:c r="B120" s="36" t="str">
        <x:v>ROM</x:v>
      </x:c>
      <x:c r="C120" s="36" t="str">
        <x:v>Römer</x:v>
      </x:c>
      <x:c r="D120" s="36" t="n">
        <x:v>2</x:v>
      </x:c>
      <x:c r="E120" s="36" t="str">
        <x:v>ROM-002</x:v>
      </x:c>
      <x:c r="F120" s="36" t="str">
        <x:v>FP-0851</x:v>
      </x:c>
      <x:c r="G120" s="36" t="str">
        <x:v>FP-0855</x:v>
      </x:c>
      <x:c r="H120" s="36" t="n">
        <x:f>COUNTIFS(FRAGEN_MASTER!$F:$F,$E120,FRAGEN_MASTER!$M:$M,"ZU_PRÜFEN")</x:f>
        <x:v>0</x:v>
      </x:c>
      <x:c r="I120" s="36" t="n">
        <x:f>COUNTIFS(FRAGEN_MASTER!$F:$F,$E120,FRAGEN_MASTER!$M:$M,"BEHALTEN")</x:f>
        <x:v>0</x:v>
      </x:c>
      <x:c r="J120" s="36" t="n">
        <x:f>COUNTIFS(FRAGEN_MASTER!$F:$F,$E120,FRAGEN_MASTER!$M:$M,"VERBESSERN")</x:f>
        <x:v>0</x:v>
      </x:c>
      <x:c r="K120" s="36" t="n">
        <x:f>COUNTIFS(FRAGEN_MASTER!$F:$F,$E120,FRAGEN_MASTER!$M:$M,"ERSETZEN")</x:f>
        <x:v>5</x:v>
      </x:c>
      <x:c r="L120" s="36" t="n">
        <x:f>COUNTIFS(FRAGEN_MASTER!$F:$F,$E120,FRAGEN_MASTER!$AG:$AG,"FREIGEGEBEN")</x:f>
        <x:v>5</x:v>
      </x:c>
      <x:c r="M120" s="36" t="n">
        <x:f>COUNTIFS(FRAGEN_MASTER!$F:$F,$E120,FRAGEN_MASTER!$AL:$AL,"JA")</x:f>
        <x:v>5</x:v>
      </x:c>
      <x:c r="N120" s="36" t="str">
        <x:f>IF(M120=5,"FREIGEGEBEN",IF(H120=5,"NOCH_NICHT_GEPRÜFT","IN_ARBEIT"))</x:f>
        <x:v>FREIGEGEBEN</x:v>
      </x:c>
      <x:c r="O120" s="36" t="n">
        <x:f>COUNTIFS(FRAGEN_MASTER!$F:$F,$E120,FRAGEN_MASTER!$P:$P,"GESCHEHEN")</x:f>
        <x:v>0</x:v>
      </x:c>
      <x:c r="P120" s="36" t="n">
        <x:f>COUNTIFS(FRAGEN_MASTER!$F:$F,$E120,FRAGEN_MASTER!$P:$P,"PERSON_AUSSAGE")</x:f>
        <x:v>0</x:v>
      </x:c>
      <x:c r="Q120" s="36" t="n">
        <x:f>COUNTIFS(FRAGEN_MASTER!$F:$F,$E120,FRAGEN_MASTER!$P:$P,"ZUSAMMENHANG")</x:f>
        <x:v>2</x:v>
      </x:c>
      <x:c r="R120" s="36" t="n">
        <x:f>COUNTIFS(FRAGEN_MASTER!$F:$F,$E120,FRAGEN_MASTER!$P:$P,"KERNAUSSAGE")</x:f>
        <x:v>3</x:v>
      </x:c>
      <x:c r="S120" s="36" t="n">
        <x:f>COUNTIFS(FRAGEN_MASTER!$F:$F,$E120,FRAGEN_MASTER!$P:$P,"TEXTGENAUIGKEIT")</x:f>
        <x:v>0</x:v>
      </x:c>
      <x:c r="T120" s="36" t="n">
        <x:f>COUNTIFS(FRAGEN_MASTER!$F:$F,$E120,FRAGEN_MASTER!$P:$P,"DETAIL")+COUNTIFS(FRAGEN_MASTER!$F:$F,$E120,FRAGEN_MASTER!$P:$P,"SONSTIGES")</x:f>
        <x:v>0</x:v>
      </x:c>
      <x:c r="U120" s="36" t="str">
        <x:v>Römer 2: 5/5 repetitive Kapitel-Erkennungsfragen ersetzt, gegen L1912 + OTB geprüft und freigegeben.</x:v>
      </x:c>
    </x:row>
    <x:row r="121">
      <x:c r="A121" s="36" t="n">
        <x:v>120</x:v>
      </x:c>
      <x:c r="B121" s="36" t="str">
        <x:v>ROM</x:v>
      </x:c>
      <x:c r="C121" s="36" t="str">
        <x:v>Römer</x:v>
      </x:c>
      <x:c r="D121" s="36" t="n">
        <x:v>3</x:v>
      </x:c>
      <x:c r="E121" s="36" t="str">
        <x:v>ROM-003</x:v>
      </x:c>
      <x:c r="F121" s="36" t="str">
        <x:v>FP-0856</x:v>
      </x:c>
      <x:c r="G121" s="36" t="str">
        <x:v>FP-0860</x:v>
      </x:c>
      <x:c r="H121" s="36" t="n">
        <x:f>COUNTIFS(FRAGEN_MASTER!$F:$F,$E121,FRAGEN_MASTER!$M:$M,"ZU_PRÜFEN")</x:f>
        <x:v>0</x:v>
      </x:c>
      <x:c r="I121" s="36" t="n">
        <x:f>COUNTIFS(FRAGEN_MASTER!$F:$F,$E121,FRAGEN_MASTER!$M:$M,"BEHALTEN")</x:f>
        <x:v>0</x:v>
      </x:c>
      <x:c r="J121" s="36" t="n">
        <x:f>COUNTIFS(FRAGEN_MASTER!$F:$F,$E121,FRAGEN_MASTER!$M:$M,"VERBESSERN")</x:f>
        <x:v>0</x:v>
      </x:c>
      <x:c r="K121" s="36" t="n">
        <x:f>COUNTIFS(FRAGEN_MASTER!$F:$F,$E121,FRAGEN_MASTER!$M:$M,"ERSETZEN")</x:f>
        <x:v>5</x:v>
      </x:c>
      <x:c r="L121" s="36" t="n">
        <x:f>COUNTIFS(FRAGEN_MASTER!$F:$F,$E121,FRAGEN_MASTER!$AG:$AG,"FREIGEGEBEN")</x:f>
        <x:v>5</x:v>
      </x:c>
      <x:c r="M121" s="36" t="n">
        <x:f>COUNTIFS(FRAGEN_MASTER!$F:$F,$E121,FRAGEN_MASTER!$AL:$AL,"JA")</x:f>
        <x:v>5</x:v>
      </x:c>
      <x:c r="N121" s="36" t="str">
        <x:f>IF(M121=5,"FREIGEGEBEN",IF(H121=5,"NOCH_NICHT_GEPRÜFT","IN_ARBEIT"))</x:f>
        <x:v>FREIGEGEBEN</x:v>
      </x:c>
      <x:c r="O121" s="36" t="n">
        <x:f>COUNTIFS(FRAGEN_MASTER!$F:$F,$E121,FRAGEN_MASTER!$P:$P,"GESCHEHEN")</x:f>
        <x:v>0</x:v>
      </x:c>
      <x:c r="P121" s="36" t="n">
        <x:f>COUNTIFS(FRAGEN_MASTER!$F:$F,$E121,FRAGEN_MASTER!$P:$P,"PERSON_AUSSAGE")</x:f>
        <x:v>0</x:v>
      </x:c>
      <x:c r="Q121" s="36" t="n">
        <x:f>COUNTIFS(FRAGEN_MASTER!$F:$F,$E121,FRAGEN_MASTER!$P:$P,"ZUSAMMENHANG")</x:f>
        <x:v>1</x:v>
      </x:c>
      <x:c r="R121" s="36" t="n">
        <x:f>COUNTIFS(FRAGEN_MASTER!$F:$F,$E121,FRAGEN_MASTER!$P:$P,"KERNAUSSAGE")</x:f>
        <x:v>4</x:v>
      </x:c>
      <x:c r="S121" s="36" t="n">
        <x:f>COUNTIFS(FRAGEN_MASTER!$F:$F,$E121,FRAGEN_MASTER!$P:$P,"TEXTGENAUIGKEIT")</x:f>
        <x:v>0</x:v>
      </x:c>
      <x:c r="T121" s="36" t="n">
        <x:f>COUNTIFS(FRAGEN_MASTER!$F:$F,$E121,FRAGEN_MASTER!$P:$P,"DETAIL")+COUNTIFS(FRAGEN_MASTER!$F:$F,$E121,FRAGEN_MASTER!$P:$P,"SONSTIGES")</x:f>
        <x:v>0</x:v>
      </x:c>
      <x:c r="U121" s="36" t="str">
        <x:v>Römer 3: 5/5 repetitive Kapitel-Erkennungsfragen ersetzt, gegen L1912 + OTB geprüft und freigegeben.</x:v>
      </x:c>
    </x:row>
    <x:row r="122">
      <x:c r="A122" s="36" t="n">
        <x:v>121</x:v>
      </x:c>
      <x:c r="B122" s="36" t="str">
        <x:v>ROM</x:v>
      </x:c>
      <x:c r="C122" s="36" t="str">
        <x:v>Römer</x:v>
      </x:c>
      <x:c r="D122" s="36" t="n">
        <x:v>4</x:v>
      </x:c>
      <x:c r="E122" s="36" t="str">
        <x:v>ROM-004</x:v>
      </x:c>
      <x:c r="F122" s="36" t="str">
        <x:v>FP-0861</x:v>
      </x:c>
      <x:c r="G122" s="36" t="str">
        <x:v>FP-0865</x:v>
      </x:c>
      <x:c r="H122" s="36" t="n">
        <x:f>COUNTIFS(FRAGEN_MASTER!$F:$F,$E122,FRAGEN_MASTER!$M:$M,"ZU_PRÜFEN")</x:f>
        <x:v>0</x:v>
      </x:c>
      <x:c r="I122" s="36" t="n">
        <x:f>COUNTIFS(FRAGEN_MASTER!$F:$F,$E122,FRAGEN_MASTER!$M:$M,"BEHALTEN")</x:f>
        <x:v>0</x:v>
      </x:c>
      <x:c r="J122" s="36" t="n">
        <x:f>COUNTIFS(FRAGEN_MASTER!$F:$F,$E122,FRAGEN_MASTER!$M:$M,"VERBESSERN")</x:f>
        <x:v>0</x:v>
      </x:c>
      <x:c r="K122" s="36" t="n">
        <x:f>COUNTIFS(FRAGEN_MASTER!$F:$F,$E122,FRAGEN_MASTER!$M:$M,"ERSETZEN")</x:f>
        <x:v>5</x:v>
      </x:c>
      <x:c r="L122" s="36" t="n">
        <x:f>COUNTIFS(FRAGEN_MASTER!$F:$F,$E122,FRAGEN_MASTER!$AG:$AG,"FREIGEGEBEN")</x:f>
        <x:v>5</x:v>
      </x:c>
      <x:c r="M122" s="36" t="n">
        <x:f>COUNTIFS(FRAGEN_MASTER!$F:$F,$E122,FRAGEN_MASTER!$AL:$AL,"JA")</x:f>
        <x:v>5</x:v>
      </x:c>
      <x:c r="N122" s="36" t="str">
        <x:f>IF(M122=5,"FREIGEGEBEN",IF(H122=5,"NOCH_NICHT_GEPRÜFT","IN_ARBEIT"))</x:f>
        <x:v>FREIGEGEBEN</x:v>
      </x:c>
      <x:c r="O122" s="36" t="n">
        <x:f>COUNTIFS(FRAGEN_MASTER!$F:$F,$E122,FRAGEN_MASTER!$P:$P,"GESCHEHEN")</x:f>
        <x:v>0</x:v>
      </x:c>
      <x:c r="P122" s="36" t="n">
        <x:f>COUNTIFS(FRAGEN_MASTER!$F:$F,$E122,FRAGEN_MASTER!$P:$P,"PERSON_AUSSAGE")</x:f>
        <x:v>0</x:v>
      </x:c>
      <x:c r="Q122" s="36" t="n">
        <x:f>COUNTIFS(FRAGEN_MASTER!$F:$F,$E122,FRAGEN_MASTER!$P:$P,"ZUSAMMENHANG")</x:f>
        <x:v>2</x:v>
      </x:c>
      <x:c r="R122" s="36" t="n">
        <x:f>COUNTIFS(FRAGEN_MASTER!$F:$F,$E122,FRAGEN_MASTER!$P:$P,"KERNAUSSAGE")</x:f>
        <x:v>3</x:v>
      </x:c>
      <x:c r="S122" s="36" t="n">
        <x:f>COUNTIFS(FRAGEN_MASTER!$F:$F,$E122,FRAGEN_MASTER!$P:$P,"TEXTGENAUIGKEIT")</x:f>
        <x:v>0</x:v>
      </x:c>
      <x:c r="T122" s="36" t="n">
        <x:f>COUNTIFS(FRAGEN_MASTER!$F:$F,$E122,FRAGEN_MASTER!$P:$P,"DETAIL")+COUNTIFS(FRAGEN_MASTER!$F:$F,$E122,FRAGEN_MASTER!$P:$P,"SONSTIGES")</x:f>
        <x:v>0</x:v>
      </x:c>
      <x:c r="U122" s="36" t="str">
        <x:v>Römer 4: 5/5 repetitive Kapitel-Erkennungsfragen ersetzt, gegen L1912 + OTB geprüft und freigegeben.</x:v>
      </x:c>
    </x:row>
    <x:row r="123">
      <x:c r="A123" s="36" t="n">
        <x:v>122</x:v>
      </x:c>
      <x:c r="B123" s="36" t="str">
        <x:v>ROM</x:v>
      </x:c>
      <x:c r="C123" s="36" t="str">
        <x:v>Römer</x:v>
      </x:c>
      <x:c r="D123" s="36" t="n">
        <x:v>5</x:v>
      </x:c>
      <x:c r="E123" s="36" t="str">
        <x:v>ROM-005</x:v>
      </x:c>
      <x:c r="F123" s="36" t="str">
        <x:v>FP-0866</x:v>
      </x:c>
      <x:c r="G123" s="36" t="str">
        <x:v>FP-0870</x:v>
      </x:c>
      <x:c r="H123" s="36" t="n">
        <x:f>COUNTIFS(FRAGEN_MASTER!$F:$F,$E123,FRAGEN_MASTER!$M:$M,"ZU_PRÜFEN")</x:f>
        <x:v>0</x:v>
      </x:c>
      <x:c r="I123" s="36" t="n">
        <x:f>COUNTIFS(FRAGEN_MASTER!$F:$F,$E123,FRAGEN_MASTER!$M:$M,"BEHALTEN")</x:f>
        <x:v>0</x:v>
      </x:c>
      <x:c r="J123" s="36" t="n">
        <x:f>COUNTIFS(FRAGEN_MASTER!$F:$F,$E123,FRAGEN_MASTER!$M:$M,"VERBESSERN")</x:f>
        <x:v>0</x:v>
      </x:c>
      <x:c r="K123" s="36" t="n">
        <x:f>COUNTIFS(FRAGEN_MASTER!$F:$F,$E123,FRAGEN_MASTER!$M:$M,"ERSETZEN")</x:f>
        <x:v>5</x:v>
      </x:c>
      <x:c r="L123" s="36" t="n">
        <x:f>COUNTIFS(FRAGEN_MASTER!$F:$F,$E123,FRAGEN_MASTER!$AG:$AG,"FREIGEGEBEN")</x:f>
        <x:v>5</x:v>
      </x:c>
      <x:c r="M123" s="36" t="n">
        <x:f>COUNTIFS(FRAGEN_MASTER!$F:$F,$E123,FRAGEN_MASTER!$AL:$AL,"JA")</x:f>
        <x:v>5</x:v>
      </x:c>
      <x:c r="N123" s="36" t="str">
        <x:f>IF(M123=5,"FREIGEGEBEN",IF(H123=5,"NOCH_NICHT_GEPRÜFT","IN_ARBEIT"))</x:f>
        <x:v>FREIGEGEBEN</x:v>
      </x:c>
      <x:c r="O123" s="36" t="n">
        <x:f>COUNTIFS(FRAGEN_MASTER!$F:$F,$E123,FRAGEN_MASTER!$P:$P,"GESCHEHEN")</x:f>
        <x:v>0</x:v>
      </x:c>
      <x:c r="P123" s="36" t="n">
        <x:f>COUNTIFS(FRAGEN_MASTER!$F:$F,$E123,FRAGEN_MASTER!$P:$P,"PERSON_AUSSAGE")</x:f>
        <x:v>0</x:v>
      </x:c>
      <x:c r="Q123" s="36" t="n">
        <x:f>COUNTIFS(FRAGEN_MASTER!$F:$F,$E123,FRAGEN_MASTER!$P:$P,"ZUSAMMENHANG")</x:f>
        <x:v>2</x:v>
      </x:c>
      <x:c r="R123" s="36" t="n">
        <x:f>COUNTIFS(FRAGEN_MASTER!$F:$F,$E123,FRAGEN_MASTER!$P:$P,"KERNAUSSAGE")</x:f>
        <x:v>3</x:v>
      </x:c>
      <x:c r="S123" s="36" t="n">
        <x:f>COUNTIFS(FRAGEN_MASTER!$F:$F,$E123,FRAGEN_MASTER!$P:$P,"TEXTGENAUIGKEIT")</x:f>
        <x:v>0</x:v>
      </x:c>
      <x:c r="T123" s="36" t="n">
        <x:f>COUNTIFS(FRAGEN_MASTER!$F:$F,$E123,FRAGEN_MASTER!$P:$P,"DETAIL")+COUNTIFS(FRAGEN_MASTER!$F:$F,$E123,FRAGEN_MASTER!$P:$P,"SONSTIGES")</x:f>
        <x:v>0</x:v>
      </x:c>
      <x:c r="U123" s="36" t="str">
        <x:v>Römer 5: 5/5 repetitive Kapitel-Erkennungsfragen ersetzt, gegen L1912 + OTB geprüft und freigegeben.</x:v>
      </x:c>
    </x:row>
    <x:row r="124">
      <x:c r="A124" s="36" t="n">
        <x:v>123</x:v>
      </x:c>
      <x:c r="B124" s="36" t="str">
        <x:v>ROM</x:v>
      </x:c>
      <x:c r="C124" s="36" t="str">
        <x:v>Römer</x:v>
      </x:c>
      <x:c r="D124" s="36" t="n">
        <x:v>6</x:v>
      </x:c>
      <x:c r="E124" s="36" t="str">
        <x:v>ROM-006</x:v>
      </x:c>
      <x:c r="F124" s="36" t="str">
        <x:v>FP-0871</x:v>
      </x:c>
      <x:c r="G124" s="36" t="str">
        <x:v>FP-0875</x:v>
      </x:c>
      <x:c r="H124" s="36" t="n">
        <x:f>COUNTIFS(FRAGEN_MASTER!$F:$F,$E124,FRAGEN_MASTER!$M:$M,"ZU_PRÜFEN")</x:f>
        <x:v>0</x:v>
      </x:c>
      <x:c r="I124" s="36" t="n">
        <x:f>COUNTIFS(FRAGEN_MASTER!$F:$F,$E124,FRAGEN_MASTER!$M:$M,"BEHALTEN")</x:f>
        <x:v>0</x:v>
      </x:c>
      <x:c r="J124" s="36" t="n">
        <x:f>COUNTIFS(FRAGEN_MASTER!$F:$F,$E124,FRAGEN_MASTER!$M:$M,"VERBESSERN")</x:f>
        <x:v>0</x:v>
      </x:c>
      <x:c r="K124" s="36" t="n">
        <x:f>COUNTIFS(FRAGEN_MASTER!$F:$F,$E124,FRAGEN_MASTER!$M:$M,"ERSETZEN")</x:f>
        <x:v>5</x:v>
      </x:c>
      <x:c r="L124" s="36" t="n">
        <x:f>COUNTIFS(FRAGEN_MASTER!$F:$F,$E124,FRAGEN_MASTER!$AG:$AG,"FREIGEGEBEN")</x:f>
        <x:v>5</x:v>
      </x:c>
      <x:c r="M124" s="36" t="n">
        <x:f>COUNTIFS(FRAGEN_MASTER!$F:$F,$E124,FRAGEN_MASTER!$AL:$AL,"JA")</x:f>
        <x:v>5</x:v>
      </x:c>
      <x:c r="N124" s="36" t="str">
        <x:f>IF(M124=5,"FREIGEGEBEN",IF(H124=5,"NOCH_NICHT_GEPRÜFT","IN_ARBEIT"))</x:f>
        <x:v>FREIGEGEBEN</x:v>
      </x:c>
      <x:c r="O124" s="36" t="n">
        <x:f>COUNTIFS(FRAGEN_MASTER!$F:$F,$E124,FRAGEN_MASTER!$P:$P,"GESCHEHEN")</x:f>
        <x:v>0</x:v>
      </x:c>
      <x:c r="P124" s="36" t="n">
        <x:f>COUNTIFS(FRAGEN_MASTER!$F:$F,$E124,FRAGEN_MASTER!$P:$P,"PERSON_AUSSAGE")</x:f>
        <x:v>0</x:v>
      </x:c>
      <x:c r="Q124" s="36" t="n">
        <x:f>COUNTIFS(FRAGEN_MASTER!$F:$F,$E124,FRAGEN_MASTER!$P:$P,"ZUSAMMENHANG")</x:f>
        <x:v>1</x:v>
      </x:c>
      <x:c r="R124" s="36" t="n">
        <x:f>COUNTIFS(FRAGEN_MASTER!$F:$F,$E124,FRAGEN_MASTER!$P:$P,"KERNAUSSAGE")</x:f>
        <x:v>3</x:v>
      </x:c>
      <x:c r="S124" s="36" t="n">
        <x:f>COUNTIFS(FRAGEN_MASTER!$F:$F,$E124,FRAGEN_MASTER!$P:$P,"TEXTGENAUIGKEIT")</x:f>
        <x:v>1</x:v>
      </x:c>
      <x:c r="T124" s="36" t="n">
        <x:f>COUNTIFS(FRAGEN_MASTER!$F:$F,$E124,FRAGEN_MASTER!$P:$P,"DETAIL")+COUNTIFS(FRAGEN_MASTER!$F:$F,$E124,FRAGEN_MASTER!$P:$P,"SONSTIGES")</x:f>
        <x:v>0</x:v>
      </x:c>
      <x:c r="U124" s="36" t="str">
        <x:v>Römer 6: 5/5 repetitive Kapitel-Erkennungsfragen ersetzt, gegen L1912 + OTB geprüft und freigegeben.</x:v>
      </x:c>
    </x:row>
    <x:row r="125">
      <x:c r="A125" s="36" t="n">
        <x:v>124</x:v>
      </x:c>
      <x:c r="B125" s="36" t="str">
        <x:v>ROM</x:v>
      </x:c>
      <x:c r="C125" s="36" t="str">
        <x:v>Römer</x:v>
      </x:c>
      <x:c r="D125" s="36" t="n">
        <x:v>7</x:v>
      </x:c>
      <x:c r="E125" s="36" t="str">
        <x:v>ROM-007</x:v>
      </x:c>
      <x:c r="F125" s="36" t="str">
        <x:v>FP-0876</x:v>
      </x:c>
      <x:c r="G125" s="36" t="str">
        <x:v>FP-0880</x:v>
      </x:c>
      <x:c r="H125" s="36" t="n">
        <x:f>COUNTIFS(FRAGEN_MASTER!$F:$F,$E125,FRAGEN_MASTER!$M:$M,"ZU_PRÜFEN")</x:f>
        <x:v>0</x:v>
      </x:c>
      <x:c r="I125" s="36" t="n">
        <x:f>COUNTIFS(FRAGEN_MASTER!$F:$F,$E125,FRAGEN_MASTER!$M:$M,"BEHALTEN")</x:f>
        <x:v>0</x:v>
      </x:c>
      <x:c r="J125" s="36" t="n">
        <x:f>COUNTIFS(FRAGEN_MASTER!$F:$F,$E125,FRAGEN_MASTER!$M:$M,"VERBESSERN")</x:f>
        <x:v>0</x:v>
      </x:c>
      <x:c r="K125" s="36" t="n">
        <x:f>COUNTIFS(FRAGEN_MASTER!$F:$F,$E125,FRAGEN_MASTER!$M:$M,"ERSETZEN")</x:f>
        <x:v>5</x:v>
      </x:c>
      <x:c r="L125" s="36" t="n">
        <x:f>COUNTIFS(FRAGEN_MASTER!$F:$F,$E125,FRAGEN_MASTER!$AG:$AG,"FREIGEGEBEN")</x:f>
        <x:v>5</x:v>
      </x:c>
      <x:c r="M125" s="36" t="n">
        <x:f>COUNTIFS(FRAGEN_MASTER!$F:$F,$E125,FRAGEN_MASTER!$AL:$AL,"JA")</x:f>
        <x:v>5</x:v>
      </x:c>
      <x:c r="N125" s="36" t="str">
        <x:f>IF(M125=5,"FREIGEGEBEN",IF(H125=5,"NOCH_NICHT_GEPRÜFT","IN_ARBEIT"))</x:f>
        <x:v>FREIGEGEBEN</x:v>
      </x:c>
      <x:c r="O125" s="36" t="n">
        <x:f>COUNTIFS(FRAGEN_MASTER!$F:$F,$E125,FRAGEN_MASTER!$P:$P,"GESCHEHEN")</x:f>
        <x:v>0</x:v>
      </x:c>
      <x:c r="P125" s="36" t="n">
        <x:f>COUNTIFS(FRAGEN_MASTER!$F:$F,$E125,FRAGEN_MASTER!$P:$P,"PERSON_AUSSAGE")</x:f>
        <x:v>2</x:v>
      </x:c>
      <x:c r="Q125" s="36" t="n">
        <x:f>COUNTIFS(FRAGEN_MASTER!$F:$F,$E125,FRAGEN_MASTER!$P:$P,"ZUSAMMENHANG")</x:f>
        <x:v>2</x:v>
      </x:c>
      <x:c r="R125" s="36" t="n">
        <x:f>COUNTIFS(FRAGEN_MASTER!$F:$F,$E125,FRAGEN_MASTER!$P:$P,"KERNAUSSAGE")</x:f>
        <x:v>1</x:v>
      </x:c>
      <x:c r="S125" s="36" t="n">
        <x:f>COUNTIFS(FRAGEN_MASTER!$F:$F,$E125,FRAGEN_MASTER!$P:$P,"TEXTGENAUIGKEIT")</x:f>
        <x:v>0</x:v>
      </x:c>
      <x:c r="T125" s="36" t="n">
        <x:f>COUNTIFS(FRAGEN_MASTER!$F:$F,$E125,FRAGEN_MASTER!$P:$P,"DETAIL")+COUNTIFS(FRAGEN_MASTER!$F:$F,$E125,FRAGEN_MASTER!$P:$P,"SONSTIGES")</x:f>
        <x:v>0</x:v>
      </x:c>
      <x:c r="U125" s="36" t="str">
        <x:v>Römer 7: 5/5 repetitive Kapitel-Erkennungsfragen ersetzt, gegen L1912 + OTB geprüft und freigegeben.</x:v>
      </x:c>
    </x:row>
    <x:row r="126">
      <x:c r="A126" s="36" t="n">
        <x:v>125</x:v>
      </x:c>
      <x:c r="B126" s="36" t="str">
        <x:v>ROM</x:v>
      </x:c>
      <x:c r="C126" s="36" t="str">
        <x:v>Römer</x:v>
      </x:c>
      <x:c r="D126" s="36" t="n">
        <x:v>8</x:v>
      </x:c>
      <x:c r="E126" s="36" t="str">
        <x:v>ROM-008</x:v>
      </x:c>
      <x:c r="F126" s="36" t="str">
        <x:v>FP-0881</x:v>
      </x:c>
      <x:c r="G126" s="36" t="str">
        <x:v>FP-0885</x:v>
      </x:c>
      <x:c r="H126" s="36" t="n">
        <x:f>COUNTIFS(FRAGEN_MASTER!$F:$F,$E126,FRAGEN_MASTER!$M:$M,"ZU_PRÜFEN")</x:f>
        <x:v>0</x:v>
      </x:c>
      <x:c r="I126" s="36" t="n">
        <x:f>COUNTIFS(FRAGEN_MASTER!$F:$F,$E126,FRAGEN_MASTER!$M:$M,"BEHALTEN")</x:f>
        <x:v>0</x:v>
      </x:c>
      <x:c r="J126" s="36" t="n">
        <x:f>COUNTIFS(FRAGEN_MASTER!$F:$F,$E126,FRAGEN_MASTER!$M:$M,"VERBESSERN")</x:f>
        <x:v>0</x:v>
      </x:c>
      <x:c r="K126" s="36" t="n">
        <x:f>COUNTIFS(FRAGEN_MASTER!$F:$F,$E126,FRAGEN_MASTER!$M:$M,"ERSETZEN")</x:f>
        <x:v>5</x:v>
      </x:c>
      <x:c r="L126" s="36" t="n">
        <x:f>COUNTIFS(FRAGEN_MASTER!$F:$F,$E126,FRAGEN_MASTER!$AG:$AG,"FREIGEGEBEN")</x:f>
        <x:v>5</x:v>
      </x:c>
      <x:c r="M126" s="36" t="n">
        <x:f>COUNTIFS(FRAGEN_MASTER!$F:$F,$E126,FRAGEN_MASTER!$AL:$AL,"JA")</x:f>
        <x:v>5</x:v>
      </x:c>
      <x:c r="N126" s="36" t="str">
        <x:f>IF(M126=5,"FREIGEGEBEN",IF(H126=5,"NOCH_NICHT_GEPRÜFT","IN_ARBEIT"))</x:f>
        <x:v>FREIGEGEBEN</x:v>
      </x:c>
      <x:c r="O126" s="36" t="n">
        <x:f>COUNTIFS(FRAGEN_MASTER!$F:$F,$E126,FRAGEN_MASTER!$P:$P,"GESCHEHEN")</x:f>
        <x:v>0</x:v>
      </x:c>
      <x:c r="P126" s="36" t="n">
        <x:f>COUNTIFS(FRAGEN_MASTER!$F:$F,$E126,FRAGEN_MASTER!$P:$P,"PERSON_AUSSAGE")</x:f>
        <x:v>0</x:v>
      </x:c>
      <x:c r="Q126" s="36" t="n">
        <x:f>COUNTIFS(FRAGEN_MASTER!$F:$F,$E126,FRAGEN_MASTER!$P:$P,"ZUSAMMENHANG")</x:f>
        <x:v>1</x:v>
      </x:c>
      <x:c r="R126" s="36" t="n">
        <x:f>COUNTIFS(FRAGEN_MASTER!$F:$F,$E126,FRAGEN_MASTER!$P:$P,"KERNAUSSAGE")</x:f>
        <x:v>4</x:v>
      </x:c>
      <x:c r="S126" s="36" t="n">
        <x:f>COUNTIFS(FRAGEN_MASTER!$F:$F,$E126,FRAGEN_MASTER!$P:$P,"TEXTGENAUIGKEIT")</x:f>
        <x:v>0</x:v>
      </x:c>
      <x:c r="T126" s="36" t="n">
        <x:f>COUNTIFS(FRAGEN_MASTER!$F:$F,$E126,FRAGEN_MASTER!$P:$P,"DETAIL")+COUNTIFS(FRAGEN_MASTER!$F:$F,$E126,FRAGEN_MASTER!$P:$P,"SONSTIGES")</x:f>
        <x:v>0</x:v>
      </x:c>
      <x:c r="U126" s="36" t="str">
        <x:v>Römer 8: 5/5 repetitive Kapitel-Erkennungsfragen ersetzt, gegen L1912 + OTB geprüft und freigegeben.</x:v>
      </x:c>
    </x:row>
    <x:row r="127">
      <x:c r="A127" s="36" t="n">
        <x:v>126</x:v>
      </x:c>
      <x:c r="B127" s="36" t="str">
        <x:v>ROM</x:v>
      </x:c>
      <x:c r="C127" s="36" t="str">
        <x:v>Römer</x:v>
      </x:c>
      <x:c r="D127" s="36" t="n">
        <x:v>9</x:v>
      </x:c>
      <x:c r="E127" s="36" t="str">
        <x:v>ROM-009</x:v>
      </x:c>
      <x:c r="F127" s="36" t="str">
        <x:v>FP-0886</x:v>
      </x:c>
      <x:c r="G127" s="36" t="str">
        <x:v>FP-0890</x:v>
      </x:c>
      <x:c r="H127" s="36" t="n">
        <x:f>COUNTIFS(FRAGEN_MASTER!$F:$F,$E127,FRAGEN_MASTER!$M:$M,"ZU_PRÜFEN")</x:f>
        <x:v>0</x:v>
      </x:c>
      <x:c r="I127" s="36" t="n">
        <x:f>COUNTIFS(FRAGEN_MASTER!$F:$F,$E127,FRAGEN_MASTER!$M:$M,"BEHALTEN")</x:f>
        <x:v>0</x:v>
      </x:c>
      <x:c r="J127" s="36" t="n">
        <x:f>COUNTIFS(FRAGEN_MASTER!$F:$F,$E127,FRAGEN_MASTER!$M:$M,"VERBESSERN")</x:f>
        <x:v>0</x:v>
      </x:c>
      <x:c r="K127" s="36" t="n">
        <x:f>COUNTIFS(FRAGEN_MASTER!$F:$F,$E127,FRAGEN_MASTER!$M:$M,"ERSETZEN")</x:f>
        <x:v>5</x:v>
      </x:c>
      <x:c r="L127" s="36" t="n">
        <x:f>COUNTIFS(FRAGEN_MASTER!$F:$F,$E127,FRAGEN_MASTER!$AG:$AG,"FREIGEGEBEN")</x:f>
        <x:v>5</x:v>
      </x:c>
      <x:c r="M127" s="36" t="n">
        <x:f>COUNTIFS(FRAGEN_MASTER!$F:$F,$E127,FRAGEN_MASTER!$AL:$AL,"JA")</x:f>
        <x:v>5</x:v>
      </x:c>
      <x:c r="N127" s="36" t="str">
        <x:f>IF(M127=5,"FREIGEGEBEN",IF(H127=5,"NOCH_NICHT_GEPRÜFT","IN_ARBEIT"))</x:f>
        <x:v>FREIGEGEBEN</x:v>
      </x:c>
      <x:c r="O127" s="36" t="n">
        <x:f>COUNTIFS(FRAGEN_MASTER!$F:$F,$E127,FRAGEN_MASTER!$P:$P,"GESCHEHEN")</x:f>
        <x:v>0</x:v>
      </x:c>
      <x:c r="P127" s="36" t="n">
        <x:f>COUNTIFS(FRAGEN_MASTER!$F:$F,$E127,FRAGEN_MASTER!$P:$P,"PERSON_AUSSAGE")</x:f>
        <x:v>1</x:v>
      </x:c>
      <x:c r="Q127" s="36" t="n">
        <x:f>COUNTIFS(FRAGEN_MASTER!$F:$F,$E127,FRAGEN_MASTER!$P:$P,"ZUSAMMENHANG")</x:f>
        <x:v>1</x:v>
      </x:c>
      <x:c r="R127" s="36" t="n">
        <x:f>COUNTIFS(FRAGEN_MASTER!$F:$F,$E127,FRAGEN_MASTER!$P:$P,"KERNAUSSAGE")</x:f>
        <x:v>3</x:v>
      </x:c>
      <x:c r="S127" s="36" t="n">
        <x:f>COUNTIFS(FRAGEN_MASTER!$F:$F,$E127,FRAGEN_MASTER!$P:$P,"TEXTGENAUIGKEIT")</x:f>
        <x:v>0</x:v>
      </x:c>
      <x:c r="T127" s="36" t="n">
        <x:f>COUNTIFS(FRAGEN_MASTER!$F:$F,$E127,FRAGEN_MASTER!$P:$P,"DETAIL")+COUNTIFS(FRAGEN_MASTER!$F:$F,$E127,FRAGEN_MASTER!$P:$P,"SONSTIGES")</x:f>
        <x:v>0</x:v>
      </x:c>
      <x:c r="U127" s="36" t="str">
        <x:v>Römer 9: 5/5 repetitive Kapitel-Erkennungsfragen ersetzt, gegen L1912 + OTB geprüft und freigegeben.</x:v>
      </x:c>
    </x:row>
    <x:row r="128">
      <x:c r="A128" s="36" t="n">
        <x:v>127</x:v>
      </x:c>
      <x:c r="B128" s="36" t="str">
        <x:v>ROM</x:v>
      </x:c>
      <x:c r="C128" s="36" t="str">
        <x:v>Römer</x:v>
      </x:c>
      <x:c r="D128" s="36" t="n">
        <x:v>10</x:v>
      </x:c>
      <x:c r="E128" s="36" t="str">
        <x:v>ROM-010</x:v>
      </x:c>
      <x:c r="F128" s="36" t="str">
        <x:v>FP-0891</x:v>
      </x:c>
      <x:c r="G128" s="36" t="str">
        <x:v>FP-0895</x:v>
      </x:c>
      <x:c r="H128" s="36" t="n">
        <x:f>COUNTIFS(FRAGEN_MASTER!$F:$F,$E128,FRAGEN_MASTER!$M:$M,"ZU_PRÜFEN")</x:f>
        <x:v>0</x:v>
      </x:c>
      <x:c r="I128" s="36" t="n">
        <x:f>COUNTIFS(FRAGEN_MASTER!$F:$F,$E128,FRAGEN_MASTER!$M:$M,"BEHALTEN")</x:f>
        <x:v>0</x:v>
      </x:c>
      <x:c r="J128" s="36" t="n">
        <x:f>COUNTIFS(FRAGEN_MASTER!$F:$F,$E128,FRAGEN_MASTER!$M:$M,"VERBESSERN")</x:f>
        <x:v>0</x:v>
      </x:c>
      <x:c r="K128" s="36" t="n">
        <x:f>COUNTIFS(FRAGEN_MASTER!$F:$F,$E128,FRAGEN_MASTER!$M:$M,"ERSETZEN")</x:f>
        <x:v>5</x:v>
      </x:c>
      <x:c r="L128" s="36" t="n">
        <x:f>COUNTIFS(FRAGEN_MASTER!$F:$F,$E128,FRAGEN_MASTER!$AG:$AG,"FREIGEGEBEN")</x:f>
        <x:v>5</x:v>
      </x:c>
      <x:c r="M128" s="36" t="n">
        <x:f>COUNTIFS(FRAGEN_MASTER!$F:$F,$E128,FRAGEN_MASTER!$AL:$AL,"JA")</x:f>
        <x:v>5</x:v>
      </x:c>
      <x:c r="N128" s="36" t="str">
        <x:f>IF(M128=5,"FREIGEGEBEN",IF(H128=5,"NOCH_NICHT_GEPRÜFT","IN_ARBEIT"))</x:f>
        <x:v>FREIGEGEBEN</x:v>
      </x:c>
      <x:c r="O128" s="36" t="n">
        <x:f>COUNTIFS(FRAGEN_MASTER!$F:$F,$E128,FRAGEN_MASTER!$P:$P,"GESCHEHEN")</x:f>
        <x:v>0</x:v>
      </x:c>
      <x:c r="P128" s="36" t="n">
        <x:f>COUNTIFS(FRAGEN_MASTER!$F:$F,$E128,FRAGEN_MASTER!$P:$P,"PERSON_AUSSAGE")</x:f>
        <x:v>1</x:v>
      </x:c>
      <x:c r="Q128" s="36" t="n">
        <x:f>COUNTIFS(FRAGEN_MASTER!$F:$F,$E128,FRAGEN_MASTER!$P:$P,"ZUSAMMENHANG")</x:f>
        <x:v>2</x:v>
      </x:c>
      <x:c r="R128" s="36" t="n">
        <x:f>COUNTIFS(FRAGEN_MASTER!$F:$F,$E128,FRAGEN_MASTER!$P:$P,"KERNAUSSAGE")</x:f>
        <x:v>2</x:v>
      </x:c>
      <x:c r="S128" s="36" t="n">
        <x:f>COUNTIFS(FRAGEN_MASTER!$F:$F,$E128,FRAGEN_MASTER!$P:$P,"TEXTGENAUIGKEIT")</x:f>
        <x:v>0</x:v>
      </x:c>
      <x:c r="T128" s="36" t="n">
        <x:f>COUNTIFS(FRAGEN_MASTER!$F:$F,$E128,FRAGEN_MASTER!$P:$P,"DETAIL")+COUNTIFS(FRAGEN_MASTER!$F:$F,$E128,FRAGEN_MASTER!$P:$P,"SONSTIGES")</x:f>
        <x:v>0</x:v>
      </x:c>
      <x:c r="U128" s="36" t="str">
        <x:v>Römer 10: 5/5 repetitive Kapitel-Erkennungsfragen ersetzt, gegen L1912 + OTB geprüft und freigegeben.</x:v>
      </x:c>
    </x:row>
    <x:row r="129">
      <x:c r="A129" s="36" t="n">
        <x:v>128</x:v>
      </x:c>
      <x:c r="B129" s="36" t="str">
        <x:v>ROM</x:v>
      </x:c>
      <x:c r="C129" s="36" t="str">
        <x:v>Römer</x:v>
      </x:c>
      <x:c r="D129" s="36" t="n">
        <x:v>11</x:v>
      </x:c>
      <x:c r="E129" s="36" t="str">
        <x:v>ROM-011</x:v>
      </x:c>
      <x:c r="F129" s="36" t="str">
        <x:v>FP-0896</x:v>
      </x:c>
      <x:c r="G129" s="36" t="str">
        <x:v>FP-0900</x:v>
      </x:c>
      <x:c r="H129" s="36" t="n">
        <x:f>COUNTIFS(FRAGEN_MASTER!$F:$F,$E129,FRAGEN_MASTER!$M:$M,"ZU_PRÜFEN")</x:f>
        <x:v>0</x:v>
      </x:c>
      <x:c r="I129" s="36" t="n">
        <x:f>COUNTIFS(FRAGEN_MASTER!$F:$F,$E129,FRAGEN_MASTER!$M:$M,"BEHALTEN")</x:f>
        <x:v>0</x:v>
      </x:c>
      <x:c r="J129" s="36" t="n">
        <x:f>COUNTIFS(FRAGEN_MASTER!$F:$F,$E129,FRAGEN_MASTER!$M:$M,"VERBESSERN")</x:f>
        <x:v>0</x:v>
      </x:c>
      <x:c r="K129" s="36" t="n">
        <x:f>COUNTIFS(FRAGEN_MASTER!$F:$F,$E129,FRAGEN_MASTER!$M:$M,"ERSETZEN")</x:f>
        <x:v>5</x:v>
      </x:c>
      <x:c r="L129" s="36" t="n">
        <x:f>COUNTIFS(FRAGEN_MASTER!$F:$F,$E129,FRAGEN_MASTER!$AG:$AG,"FREIGEGEBEN")</x:f>
        <x:v>5</x:v>
      </x:c>
      <x:c r="M129" s="36" t="n">
        <x:f>COUNTIFS(FRAGEN_MASTER!$F:$F,$E129,FRAGEN_MASTER!$AL:$AL,"JA")</x:f>
        <x:v>5</x:v>
      </x:c>
      <x:c r="N129" s="36" t="str">
        <x:f>IF(M129=5,"FREIGEGEBEN",IF(H129=5,"NOCH_NICHT_GEPRÜFT","IN_ARBEIT"))</x:f>
        <x:v>FREIGEGEBEN</x:v>
      </x:c>
      <x:c r="O129" s="36" t="n">
        <x:f>COUNTIFS(FRAGEN_MASTER!$F:$F,$E129,FRAGEN_MASTER!$P:$P,"GESCHEHEN")</x:f>
        <x:v>0</x:v>
      </x:c>
      <x:c r="P129" s="36" t="n">
        <x:f>COUNTIFS(FRAGEN_MASTER!$F:$F,$E129,FRAGEN_MASTER!$P:$P,"PERSON_AUSSAGE")</x:f>
        <x:v>0</x:v>
      </x:c>
      <x:c r="Q129" s="36" t="n">
        <x:f>COUNTIFS(FRAGEN_MASTER!$F:$F,$E129,FRAGEN_MASTER!$P:$P,"ZUSAMMENHANG")</x:f>
        <x:v>1</x:v>
      </x:c>
      <x:c r="R129" s="36" t="n">
        <x:f>COUNTIFS(FRAGEN_MASTER!$F:$F,$E129,FRAGEN_MASTER!$P:$P,"KERNAUSSAGE")</x:f>
        <x:v>4</x:v>
      </x:c>
      <x:c r="S129" s="36" t="n">
        <x:f>COUNTIFS(FRAGEN_MASTER!$F:$F,$E129,FRAGEN_MASTER!$P:$P,"TEXTGENAUIGKEIT")</x:f>
        <x:v>0</x:v>
      </x:c>
      <x:c r="T129" s="36" t="n">
        <x:f>COUNTIFS(FRAGEN_MASTER!$F:$F,$E129,FRAGEN_MASTER!$P:$P,"DETAIL")+COUNTIFS(FRAGEN_MASTER!$F:$F,$E129,FRAGEN_MASTER!$P:$P,"SONSTIGES")</x:f>
        <x:v>0</x:v>
      </x:c>
      <x:c r="U129" s="36" t="str">
        <x:v>Römer 11: 5/5 repetitive Kapitel-Erkennungsfragen ersetzt, gegen L1912 + OTB geprüft und freigegeben.</x:v>
      </x:c>
    </x:row>
    <x:row r="130">
      <x:c r="A130" s="36" t="n">
        <x:v>129</x:v>
      </x:c>
      <x:c r="B130" s="36" t="str">
        <x:v>ROM</x:v>
      </x:c>
      <x:c r="C130" s="36" t="str">
        <x:v>Römer</x:v>
      </x:c>
      <x:c r="D130" s="36" t="n">
        <x:v>12</x:v>
      </x:c>
      <x:c r="E130" s="36" t="str">
        <x:v>ROM-012</x:v>
      </x:c>
      <x:c r="F130" s="36" t="str">
        <x:v>FP-0901</x:v>
      </x:c>
      <x:c r="G130" s="36" t="str">
        <x:v>FP-0905</x:v>
      </x:c>
      <x:c r="H130" s="36" t="n">
        <x:f>COUNTIFS(FRAGEN_MASTER!$F:$F,$E130,FRAGEN_MASTER!$M:$M,"ZU_PRÜFEN")</x:f>
        <x:v>0</x:v>
      </x:c>
      <x:c r="I130" s="36" t="n">
        <x:f>COUNTIFS(FRAGEN_MASTER!$F:$F,$E130,FRAGEN_MASTER!$M:$M,"BEHALTEN")</x:f>
        <x:v>0</x:v>
      </x:c>
      <x:c r="J130" s="36" t="n">
        <x:f>COUNTIFS(FRAGEN_MASTER!$F:$F,$E130,FRAGEN_MASTER!$M:$M,"VERBESSERN")</x:f>
        <x:v>0</x:v>
      </x:c>
      <x:c r="K130" s="36" t="n">
        <x:f>COUNTIFS(FRAGEN_MASTER!$F:$F,$E130,FRAGEN_MASTER!$M:$M,"ERSETZEN")</x:f>
        <x:v>5</x:v>
      </x:c>
      <x:c r="L130" s="36" t="n">
        <x:f>COUNTIFS(FRAGEN_MASTER!$F:$F,$E130,FRAGEN_MASTER!$AG:$AG,"FREIGEGEBEN")</x:f>
        <x:v>5</x:v>
      </x:c>
      <x:c r="M130" s="36" t="n">
        <x:f>COUNTIFS(FRAGEN_MASTER!$F:$F,$E130,FRAGEN_MASTER!$AL:$AL,"JA")</x:f>
        <x:v>5</x:v>
      </x:c>
      <x:c r="N130" s="36" t="str">
        <x:f>IF(M130=5,"FREIGEGEBEN",IF(H130=5,"NOCH_NICHT_GEPRÜFT","IN_ARBEIT"))</x:f>
        <x:v>FREIGEGEBEN</x:v>
      </x:c>
      <x:c r="O130" s="36" t="n">
        <x:f>COUNTIFS(FRAGEN_MASTER!$F:$F,$E130,FRAGEN_MASTER!$P:$P,"GESCHEHEN")</x:f>
        <x:v>0</x:v>
      </x:c>
      <x:c r="P130" s="36" t="n">
        <x:f>COUNTIFS(FRAGEN_MASTER!$F:$F,$E130,FRAGEN_MASTER!$P:$P,"PERSON_AUSSAGE")</x:f>
        <x:v>0</x:v>
      </x:c>
      <x:c r="Q130" s="36" t="n">
        <x:f>COUNTIFS(FRAGEN_MASTER!$F:$F,$E130,FRAGEN_MASTER!$P:$P,"ZUSAMMENHANG")</x:f>
        <x:v>0</x:v>
      </x:c>
      <x:c r="R130" s="36" t="n">
        <x:f>COUNTIFS(FRAGEN_MASTER!$F:$F,$E130,FRAGEN_MASTER!$P:$P,"KERNAUSSAGE")</x:f>
        <x:v>5</x:v>
      </x:c>
      <x:c r="S130" s="36" t="n">
        <x:f>COUNTIFS(FRAGEN_MASTER!$F:$F,$E130,FRAGEN_MASTER!$P:$P,"TEXTGENAUIGKEIT")</x:f>
        <x:v>0</x:v>
      </x:c>
      <x:c r="T130" s="36" t="n">
        <x:f>COUNTIFS(FRAGEN_MASTER!$F:$F,$E130,FRAGEN_MASTER!$P:$P,"DETAIL")+COUNTIFS(FRAGEN_MASTER!$F:$F,$E130,FRAGEN_MASTER!$P:$P,"SONSTIGES")</x:f>
        <x:v>0</x:v>
      </x:c>
      <x:c r="U130" s="36" t="str">
        <x:v>Römer 12: 5/5 repetitive Kapitel-Erkennungsfragen ersetzt, gegen L1912 + OTB geprüft und freigegeben.</x:v>
      </x:c>
    </x:row>
    <x:row r="131">
      <x:c r="A131" s="36" t="n">
        <x:v>130</x:v>
      </x:c>
      <x:c r="B131" s="36" t="str">
        <x:v>ROM</x:v>
      </x:c>
      <x:c r="C131" s="36" t="str">
        <x:v>Römer</x:v>
      </x:c>
      <x:c r="D131" s="36" t="n">
        <x:v>13</x:v>
      </x:c>
      <x:c r="E131" s="36" t="str">
        <x:v>ROM-013</x:v>
      </x:c>
      <x:c r="F131" s="36" t="str">
        <x:v>FP-0906</x:v>
      </x:c>
      <x:c r="G131" s="36" t="str">
        <x:v>FP-0910</x:v>
      </x:c>
      <x:c r="H131" s="36" t="n">
        <x:f>COUNTIFS(FRAGEN_MASTER!$F:$F,$E131,FRAGEN_MASTER!$M:$M,"ZU_PRÜFEN")</x:f>
        <x:v>0</x:v>
      </x:c>
      <x:c r="I131" s="36" t="n">
        <x:f>COUNTIFS(FRAGEN_MASTER!$F:$F,$E131,FRAGEN_MASTER!$M:$M,"BEHALTEN")</x:f>
        <x:v>0</x:v>
      </x:c>
      <x:c r="J131" s="36" t="n">
        <x:f>COUNTIFS(FRAGEN_MASTER!$F:$F,$E131,FRAGEN_MASTER!$M:$M,"VERBESSERN")</x:f>
        <x:v>0</x:v>
      </x:c>
      <x:c r="K131" s="36" t="n">
        <x:f>COUNTIFS(FRAGEN_MASTER!$F:$F,$E131,FRAGEN_MASTER!$M:$M,"ERSETZEN")</x:f>
        <x:v>5</x:v>
      </x:c>
      <x:c r="L131" s="36" t="n">
        <x:f>COUNTIFS(FRAGEN_MASTER!$F:$F,$E131,FRAGEN_MASTER!$AG:$AG,"FREIGEGEBEN")</x:f>
        <x:v>5</x:v>
      </x:c>
      <x:c r="M131" s="36" t="n">
        <x:f>COUNTIFS(FRAGEN_MASTER!$F:$F,$E131,FRAGEN_MASTER!$AL:$AL,"JA")</x:f>
        <x:v>5</x:v>
      </x:c>
      <x:c r="N131" s="36" t="str">
        <x:f>IF(M131=5,"FREIGEGEBEN",IF(H131=5,"NOCH_NICHT_GEPRÜFT","IN_ARBEIT"))</x:f>
        <x:v>FREIGEGEBEN</x:v>
      </x:c>
      <x:c r="O131" s="36" t="n">
        <x:f>COUNTIFS(FRAGEN_MASTER!$F:$F,$E131,FRAGEN_MASTER!$P:$P,"GESCHEHEN")</x:f>
        <x:v>0</x:v>
      </x:c>
      <x:c r="P131" s="36" t="n">
        <x:f>COUNTIFS(FRAGEN_MASTER!$F:$F,$E131,FRAGEN_MASTER!$P:$P,"PERSON_AUSSAGE")</x:f>
        <x:v>0</x:v>
      </x:c>
      <x:c r="Q131" s="36" t="n">
        <x:f>COUNTIFS(FRAGEN_MASTER!$F:$F,$E131,FRAGEN_MASTER!$P:$P,"ZUSAMMENHANG")</x:f>
        <x:v>1</x:v>
      </x:c>
      <x:c r="R131" s="36" t="n">
        <x:f>COUNTIFS(FRAGEN_MASTER!$F:$F,$E131,FRAGEN_MASTER!$P:$P,"KERNAUSSAGE")</x:f>
        <x:v>4</x:v>
      </x:c>
      <x:c r="S131" s="36" t="n">
        <x:f>COUNTIFS(FRAGEN_MASTER!$F:$F,$E131,FRAGEN_MASTER!$P:$P,"TEXTGENAUIGKEIT")</x:f>
        <x:v>0</x:v>
      </x:c>
      <x:c r="T131" s="36" t="n">
        <x:f>COUNTIFS(FRAGEN_MASTER!$F:$F,$E131,FRAGEN_MASTER!$P:$P,"DETAIL")+COUNTIFS(FRAGEN_MASTER!$F:$F,$E131,FRAGEN_MASTER!$P:$P,"SONSTIGES")</x:f>
        <x:v>0</x:v>
      </x:c>
      <x:c r="U131" s="36" t="str">
        <x:v>Römer 13: 5/5 repetitive Kapitel-Erkennungsfragen ersetzt, gegen L1912 + OTB geprüft und freigegeben.</x:v>
      </x:c>
    </x:row>
    <x:row r="132">
      <x:c r="A132" s="36" t="n">
        <x:v>131</x:v>
      </x:c>
      <x:c r="B132" s="36" t="str">
        <x:v>ROM</x:v>
      </x:c>
      <x:c r="C132" s="36" t="str">
        <x:v>Römer</x:v>
      </x:c>
      <x:c r="D132" s="36" t="n">
        <x:v>14</x:v>
      </x:c>
      <x:c r="E132" s="36" t="str">
        <x:v>ROM-014</x:v>
      </x:c>
      <x:c r="F132" s="36" t="str">
        <x:v>FP-0911</x:v>
      </x:c>
      <x:c r="G132" s="36" t="str">
        <x:v>FP-0915</x:v>
      </x:c>
      <x:c r="H132" s="36" t="n">
        <x:f>COUNTIFS(FRAGEN_MASTER!$F:$F,$E132,FRAGEN_MASTER!$M:$M,"ZU_PRÜFEN")</x:f>
        <x:v>0</x:v>
      </x:c>
      <x:c r="I132" s="36" t="n">
        <x:f>COUNTIFS(FRAGEN_MASTER!$F:$F,$E132,FRAGEN_MASTER!$M:$M,"BEHALTEN")</x:f>
        <x:v>0</x:v>
      </x:c>
      <x:c r="J132" s="36" t="n">
        <x:f>COUNTIFS(FRAGEN_MASTER!$F:$F,$E132,FRAGEN_MASTER!$M:$M,"VERBESSERN")</x:f>
        <x:v>0</x:v>
      </x:c>
      <x:c r="K132" s="36" t="n">
        <x:f>COUNTIFS(FRAGEN_MASTER!$F:$F,$E132,FRAGEN_MASTER!$M:$M,"ERSETZEN")</x:f>
        <x:v>5</x:v>
      </x:c>
      <x:c r="L132" s="36" t="n">
        <x:f>COUNTIFS(FRAGEN_MASTER!$F:$F,$E132,FRAGEN_MASTER!$AG:$AG,"FREIGEGEBEN")</x:f>
        <x:v>5</x:v>
      </x:c>
      <x:c r="M132" s="36" t="n">
        <x:f>COUNTIFS(FRAGEN_MASTER!$F:$F,$E132,FRAGEN_MASTER!$AL:$AL,"JA")</x:f>
        <x:v>5</x:v>
      </x:c>
      <x:c r="N132" s="36" t="str">
        <x:f>IF(M132=5,"FREIGEGEBEN",IF(H132=5,"NOCH_NICHT_GEPRÜFT","IN_ARBEIT"))</x:f>
        <x:v>FREIGEGEBEN</x:v>
      </x:c>
      <x:c r="O132" s="36" t="n">
        <x:f>COUNTIFS(FRAGEN_MASTER!$F:$F,$E132,FRAGEN_MASTER!$P:$P,"GESCHEHEN")</x:f>
        <x:v>0</x:v>
      </x:c>
      <x:c r="P132" s="36" t="n">
        <x:f>COUNTIFS(FRAGEN_MASTER!$F:$F,$E132,FRAGEN_MASTER!$P:$P,"PERSON_AUSSAGE")</x:f>
        <x:v>0</x:v>
      </x:c>
      <x:c r="Q132" s="36" t="n">
        <x:f>COUNTIFS(FRAGEN_MASTER!$F:$F,$E132,FRAGEN_MASTER!$P:$P,"ZUSAMMENHANG")</x:f>
        <x:v>0</x:v>
      </x:c>
      <x:c r="R132" s="36" t="n">
        <x:f>COUNTIFS(FRAGEN_MASTER!$F:$F,$E132,FRAGEN_MASTER!$P:$P,"KERNAUSSAGE")</x:f>
        <x:v>5</x:v>
      </x:c>
      <x:c r="S132" s="36" t="n">
        <x:f>COUNTIFS(FRAGEN_MASTER!$F:$F,$E132,FRAGEN_MASTER!$P:$P,"TEXTGENAUIGKEIT")</x:f>
        <x:v>0</x:v>
      </x:c>
      <x:c r="T132" s="36" t="n">
        <x:f>COUNTIFS(FRAGEN_MASTER!$F:$F,$E132,FRAGEN_MASTER!$P:$P,"DETAIL")+COUNTIFS(FRAGEN_MASTER!$F:$F,$E132,FRAGEN_MASTER!$P:$P,"SONSTIGES")</x:f>
        <x:v>0</x:v>
      </x:c>
      <x:c r="U132" s="36" t="str">
        <x:v>Römer 14: 5/5 repetitive Kapitel-Erkennungsfragen ersetzt, gegen L1912 + OTB geprüft und freigegeben.</x:v>
      </x:c>
    </x:row>
    <x:row r="133">
      <x:c r="A133" s="36" t="n">
        <x:v>132</x:v>
      </x:c>
      <x:c r="B133" s="36" t="str">
        <x:v>ROM</x:v>
      </x:c>
      <x:c r="C133" s="36" t="str">
        <x:v>Römer</x:v>
      </x:c>
      <x:c r="D133" s="36" t="n">
        <x:v>15</x:v>
      </x:c>
      <x:c r="E133" s="36" t="str">
        <x:v>ROM-015</x:v>
      </x:c>
      <x:c r="F133" s="36" t="str">
        <x:v>FP-0916</x:v>
      </x:c>
      <x:c r="G133" s="36" t="str">
        <x:v>FP-0920</x:v>
      </x:c>
      <x:c r="H133" s="36" t="n">
        <x:f>COUNTIFS(FRAGEN_MASTER!$F:$F,$E133,FRAGEN_MASTER!$M:$M,"ZU_PRÜFEN")</x:f>
        <x:v>0</x:v>
      </x:c>
      <x:c r="I133" s="36" t="n">
        <x:f>COUNTIFS(FRAGEN_MASTER!$F:$F,$E133,FRAGEN_MASTER!$M:$M,"BEHALTEN")</x:f>
        <x:v>0</x:v>
      </x:c>
      <x:c r="J133" s="36" t="n">
        <x:f>COUNTIFS(FRAGEN_MASTER!$F:$F,$E133,FRAGEN_MASTER!$M:$M,"VERBESSERN")</x:f>
        <x:v>0</x:v>
      </x:c>
      <x:c r="K133" s="36" t="n">
        <x:f>COUNTIFS(FRAGEN_MASTER!$F:$F,$E133,FRAGEN_MASTER!$M:$M,"ERSETZEN")</x:f>
        <x:v>5</x:v>
      </x:c>
      <x:c r="L133" s="36" t="n">
        <x:f>COUNTIFS(FRAGEN_MASTER!$F:$F,$E133,FRAGEN_MASTER!$AG:$AG,"FREIGEGEBEN")</x:f>
        <x:v>5</x:v>
      </x:c>
      <x:c r="M133" s="36" t="n">
        <x:f>COUNTIFS(FRAGEN_MASTER!$F:$F,$E133,FRAGEN_MASTER!$AL:$AL,"JA")</x:f>
        <x:v>5</x:v>
      </x:c>
      <x:c r="N133" s="36" t="str">
        <x:f>IF(M133=5,"FREIGEGEBEN",IF(H133=5,"NOCH_NICHT_GEPRÜFT","IN_ARBEIT"))</x:f>
        <x:v>FREIGEGEBEN</x:v>
      </x:c>
      <x:c r="O133" s="36" t="n">
        <x:f>COUNTIFS(FRAGEN_MASTER!$F:$F,$E133,FRAGEN_MASTER!$P:$P,"GESCHEHEN")</x:f>
        <x:v>1</x:v>
      </x:c>
      <x:c r="P133" s="36" t="n">
        <x:f>COUNTIFS(FRAGEN_MASTER!$F:$F,$E133,FRAGEN_MASTER!$P:$P,"PERSON_AUSSAGE")</x:f>
        <x:v>1</x:v>
      </x:c>
      <x:c r="Q133" s="36" t="n">
        <x:f>COUNTIFS(FRAGEN_MASTER!$F:$F,$E133,FRAGEN_MASTER!$P:$P,"ZUSAMMENHANG")</x:f>
        <x:v>1</x:v>
      </x:c>
      <x:c r="R133" s="36" t="n">
        <x:f>COUNTIFS(FRAGEN_MASTER!$F:$F,$E133,FRAGEN_MASTER!$P:$P,"KERNAUSSAGE")</x:f>
        <x:v>2</x:v>
      </x:c>
      <x:c r="S133" s="36" t="n">
        <x:f>COUNTIFS(FRAGEN_MASTER!$F:$F,$E133,FRAGEN_MASTER!$P:$P,"TEXTGENAUIGKEIT")</x:f>
        <x:v>0</x:v>
      </x:c>
      <x:c r="T133" s="36" t="n">
        <x:f>COUNTIFS(FRAGEN_MASTER!$F:$F,$E133,FRAGEN_MASTER!$P:$P,"DETAIL")+COUNTIFS(FRAGEN_MASTER!$F:$F,$E133,FRAGEN_MASTER!$P:$P,"SONSTIGES")</x:f>
        <x:v>0</x:v>
      </x:c>
      <x:c r="U133" s="36" t="str">
        <x:v>Römer 15: 5/5 repetitive Kapitel-Erkennungsfragen ersetzt, gegen L1912 + OTB geprüft und freigegeben.</x:v>
      </x:c>
    </x:row>
    <x:row r="134">
      <x:c r="A134" s="36" t="n">
        <x:v>133</x:v>
      </x:c>
      <x:c r="B134" s="36" t="str">
        <x:v>ROM</x:v>
      </x:c>
      <x:c r="C134" s="36" t="str">
        <x:v>Römer</x:v>
      </x:c>
      <x:c r="D134" s="36" t="n">
        <x:v>16</x:v>
      </x:c>
      <x:c r="E134" s="36" t="str">
        <x:v>ROM-016</x:v>
      </x:c>
      <x:c r="F134" s="36" t="str">
        <x:v>FP-0921</x:v>
      </x:c>
      <x:c r="G134" s="36" t="str">
        <x:v>FP-0925</x:v>
      </x:c>
      <x:c r="H134" s="36" t="n">
        <x:f>COUNTIFS(FRAGEN_MASTER!$F:$F,$E134,FRAGEN_MASTER!$M:$M,"ZU_PRÜFEN")</x:f>
        <x:v>0</x:v>
      </x:c>
      <x:c r="I134" s="36" t="n">
        <x:f>COUNTIFS(FRAGEN_MASTER!$F:$F,$E134,FRAGEN_MASTER!$M:$M,"BEHALTEN")</x:f>
        <x:v>0</x:v>
      </x:c>
      <x:c r="J134" s="36" t="n">
        <x:f>COUNTIFS(FRAGEN_MASTER!$F:$F,$E134,FRAGEN_MASTER!$M:$M,"VERBESSERN")</x:f>
        <x:v>0</x:v>
      </x:c>
      <x:c r="K134" s="36" t="n">
        <x:f>COUNTIFS(FRAGEN_MASTER!$F:$F,$E134,FRAGEN_MASTER!$M:$M,"ERSETZEN")</x:f>
        <x:v>5</x:v>
      </x:c>
      <x:c r="L134" s="36" t="n">
        <x:f>COUNTIFS(FRAGEN_MASTER!$F:$F,$E134,FRAGEN_MASTER!$AG:$AG,"FREIGEGEBEN")</x:f>
        <x:v>5</x:v>
      </x:c>
      <x:c r="M134" s="36" t="n">
        <x:f>COUNTIFS(FRAGEN_MASTER!$F:$F,$E134,FRAGEN_MASTER!$AL:$AL,"JA")</x:f>
        <x:v>5</x:v>
      </x:c>
      <x:c r="N134" s="36" t="str">
        <x:f>IF(M134=5,"FREIGEGEBEN",IF(H134=5,"NOCH_NICHT_GEPRÜFT","IN_ARBEIT"))</x:f>
        <x:v>FREIGEGEBEN</x:v>
      </x:c>
      <x:c r="O134" s="36" t="n">
        <x:f>COUNTIFS(FRAGEN_MASTER!$F:$F,$E134,FRAGEN_MASTER!$P:$P,"GESCHEHEN")</x:f>
        <x:v>0</x:v>
      </x:c>
      <x:c r="P134" s="36" t="n">
        <x:f>COUNTIFS(FRAGEN_MASTER!$F:$F,$E134,FRAGEN_MASTER!$P:$P,"PERSON_AUSSAGE")</x:f>
        <x:v>1</x:v>
      </x:c>
      <x:c r="Q134" s="36" t="n">
        <x:f>COUNTIFS(FRAGEN_MASTER!$F:$F,$E134,FRAGEN_MASTER!$P:$P,"ZUSAMMENHANG")</x:f>
        <x:v>1</x:v>
      </x:c>
      <x:c r="R134" s="36" t="n">
        <x:f>COUNTIFS(FRAGEN_MASTER!$F:$F,$E134,FRAGEN_MASTER!$P:$P,"KERNAUSSAGE")</x:f>
        <x:v>2</x:v>
      </x:c>
      <x:c r="S134" s="36" t="n">
        <x:f>COUNTIFS(FRAGEN_MASTER!$F:$F,$E134,FRAGEN_MASTER!$P:$P,"TEXTGENAUIGKEIT")</x:f>
        <x:v>0</x:v>
      </x:c>
      <x:c r="T134" s="36" t="n">
        <x:f>COUNTIFS(FRAGEN_MASTER!$F:$F,$E134,FRAGEN_MASTER!$P:$P,"DETAIL")+COUNTIFS(FRAGEN_MASTER!$F:$F,$E134,FRAGEN_MASTER!$P:$P,"SONSTIGES")</x:f>
        <x:v>1</x:v>
      </x:c>
      <x:c r="U134" s="36" t="str">
        <x:v>Römer 16: 5/5 repetitive Kapitel-Erkennungsfragen ersetzt, gegen L1912 + OTB geprüft und freigegeben.</x:v>
      </x:c>
    </x:row>
    <x:row r="135">
      <x:c r="A135" s="36" t="n">
        <x:v>134</x:v>
      </x:c>
      <x:c r="B135" s="36" t="str">
        <x:v>1CO</x:v>
      </x:c>
      <x:c r="C135" s="36" t="str">
        <x:v>1. Korinther</x:v>
      </x:c>
      <x:c r="D135" s="36" t="n">
        <x:v>1</x:v>
      </x:c>
      <x:c r="E135" s="36" t="str">
        <x:v>1CO-001</x:v>
      </x:c>
      <x:c r="F135" s="36" t="str">
        <x:v>FP-0926</x:v>
      </x:c>
      <x:c r="G135" s="36" t="str">
        <x:v>FP-0930</x:v>
      </x:c>
      <x:c r="H135" s="36" t="n">
        <x:f>COUNTIFS(FRAGEN_MASTER!$F:$F,$E135,FRAGEN_MASTER!$M:$M,"ZU_PRÜFEN")</x:f>
        <x:v>0</x:v>
      </x:c>
      <x:c r="I135" s="36" t="n">
        <x:f>COUNTIFS(FRAGEN_MASTER!$F:$F,$E135,FRAGEN_MASTER!$M:$M,"BEHALTEN")</x:f>
        <x:v>0</x:v>
      </x:c>
      <x:c r="J135" s="36" t="n">
        <x:f>COUNTIFS(FRAGEN_MASTER!$F:$F,$E135,FRAGEN_MASTER!$M:$M,"VERBESSERN")</x:f>
        <x:v>0</x:v>
      </x:c>
      <x:c r="K135" s="36" t="n">
        <x:f>COUNTIFS(FRAGEN_MASTER!$F:$F,$E135,FRAGEN_MASTER!$M:$M,"ERSETZEN")</x:f>
        <x:v>5</x:v>
      </x:c>
      <x:c r="L135" s="36" t="n">
        <x:f>COUNTIFS(FRAGEN_MASTER!$F:$F,$E135,FRAGEN_MASTER!$AG:$AG,"FREIGEGEBEN")</x:f>
        <x:v>5</x:v>
      </x:c>
      <x:c r="M135" s="36" t="n">
        <x:f>COUNTIFS(FRAGEN_MASTER!$F:$F,$E135,FRAGEN_MASTER!$AL:$AL,"JA")</x:f>
        <x:v>5</x:v>
      </x:c>
      <x:c r="N135" s="36" t="str">
        <x:f>IF(M135=5,"FREIGEGEBEN",IF(H135=5,"NOCH_NICHT_GEPRÜFT","IN_ARBEIT"))</x:f>
        <x:v>FREIGEGEBEN</x:v>
      </x:c>
      <x:c r="O135" s="36" t="n">
        <x:f>COUNTIFS(FRAGEN_MASTER!$F:$F,$E135,FRAGEN_MASTER!$P:$P,"GESCHEHEN")</x:f>
        <x:v>0</x:v>
      </x:c>
      <x:c r="P135" s="36" t="n">
        <x:f>COUNTIFS(FRAGEN_MASTER!$F:$F,$E135,FRAGEN_MASTER!$P:$P,"PERSON_AUSSAGE")</x:f>
        <x:v>0</x:v>
      </x:c>
      <x:c r="Q135" s="36" t="n">
        <x:f>COUNTIFS(FRAGEN_MASTER!$F:$F,$E135,FRAGEN_MASTER!$P:$P,"ZUSAMMENHANG")</x:f>
        <x:v>2</x:v>
      </x:c>
      <x:c r="R135" s="36" t="n">
        <x:f>COUNTIFS(FRAGEN_MASTER!$F:$F,$E135,FRAGEN_MASTER!$P:$P,"KERNAUSSAGE")</x:f>
        <x:v>3</x:v>
      </x:c>
      <x:c r="S135" s="36" t="n">
        <x:f>COUNTIFS(FRAGEN_MASTER!$F:$F,$E135,FRAGEN_MASTER!$P:$P,"TEXTGENAUIGKEIT")</x:f>
        <x:v>0</x:v>
      </x:c>
      <x:c r="T135" s="36" t="n">
        <x:f>COUNTIFS(FRAGEN_MASTER!$F:$F,$E135,FRAGEN_MASTER!$P:$P,"DETAIL")+COUNTIFS(FRAGEN_MASTER!$F:$F,$E135,FRAGEN_MASTER!$P:$P,"SONSTIGES")</x:f>
        <x:v>0</x:v>
      </x:c>
      <x:c r="U135" s="36" t="str">
        <x:v>1. Korinther 1: 5/5 repetitive Kapitel-Erkennungsfragen ersetzt, gegen L1912 + OTB geprüft und freigegeben.</x:v>
      </x:c>
    </x:row>
    <x:row r="136">
      <x:c r="A136" s="36" t="n">
        <x:v>135</x:v>
      </x:c>
      <x:c r="B136" s="36" t="str">
        <x:v>1CO</x:v>
      </x:c>
      <x:c r="C136" s="36" t="str">
        <x:v>1. Korinther</x:v>
      </x:c>
      <x:c r="D136" s="36" t="n">
        <x:v>2</x:v>
      </x:c>
      <x:c r="E136" s="36" t="str">
        <x:v>1CO-002</x:v>
      </x:c>
      <x:c r="F136" s="36" t="str">
        <x:v>FP-0931</x:v>
      </x:c>
      <x:c r="G136" s="36" t="str">
        <x:v>FP-0935</x:v>
      </x:c>
      <x:c r="H136" s="36" t="n">
        <x:f>COUNTIFS(FRAGEN_MASTER!$F:$F,$E136,FRAGEN_MASTER!$M:$M,"ZU_PRÜFEN")</x:f>
        <x:v>0</x:v>
      </x:c>
      <x:c r="I136" s="36" t="n">
        <x:f>COUNTIFS(FRAGEN_MASTER!$F:$F,$E136,FRAGEN_MASTER!$M:$M,"BEHALTEN")</x:f>
        <x:v>0</x:v>
      </x:c>
      <x:c r="J136" s="36" t="n">
        <x:f>COUNTIFS(FRAGEN_MASTER!$F:$F,$E136,FRAGEN_MASTER!$M:$M,"VERBESSERN")</x:f>
        <x:v>0</x:v>
      </x:c>
      <x:c r="K136" s="36" t="n">
        <x:f>COUNTIFS(FRAGEN_MASTER!$F:$F,$E136,FRAGEN_MASTER!$M:$M,"ERSETZEN")</x:f>
        <x:v>5</x:v>
      </x:c>
      <x:c r="L136" s="36" t="n">
        <x:f>COUNTIFS(FRAGEN_MASTER!$F:$F,$E136,FRAGEN_MASTER!$AG:$AG,"FREIGEGEBEN")</x:f>
        <x:v>5</x:v>
      </x:c>
      <x:c r="M136" s="36" t="n">
        <x:f>COUNTIFS(FRAGEN_MASTER!$F:$F,$E136,FRAGEN_MASTER!$AL:$AL,"JA")</x:f>
        <x:v>5</x:v>
      </x:c>
      <x:c r="N136" s="36" t="str">
        <x:f>IF(M136=5,"FREIGEGEBEN",IF(H136=5,"NOCH_NICHT_GEPRÜFT","IN_ARBEIT"))</x:f>
        <x:v>FREIGEGEBEN</x:v>
      </x:c>
      <x:c r="O136" s="36" t="n">
        <x:f>COUNTIFS(FRAGEN_MASTER!$F:$F,$E136,FRAGEN_MASTER!$P:$P,"GESCHEHEN")</x:f>
        <x:v>0</x:v>
      </x:c>
      <x:c r="P136" s="36" t="n">
        <x:f>COUNTIFS(FRAGEN_MASTER!$F:$F,$E136,FRAGEN_MASTER!$P:$P,"PERSON_AUSSAGE")</x:f>
        <x:v>0</x:v>
      </x:c>
      <x:c r="Q136" s="36" t="n">
        <x:f>COUNTIFS(FRAGEN_MASTER!$F:$F,$E136,FRAGEN_MASTER!$P:$P,"ZUSAMMENHANG")</x:f>
        <x:v>2</x:v>
      </x:c>
      <x:c r="R136" s="36" t="n">
        <x:f>COUNTIFS(FRAGEN_MASTER!$F:$F,$E136,FRAGEN_MASTER!$P:$P,"KERNAUSSAGE")</x:f>
        <x:v>3</x:v>
      </x:c>
      <x:c r="S136" s="36" t="n">
        <x:f>COUNTIFS(FRAGEN_MASTER!$F:$F,$E136,FRAGEN_MASTER!$P:$P,"TEXTGENAUIGKEIT")</x:f>
        <x:v>0</x:v>
      </x:c>
      <x:c r="T136" s="36" t="n">
        <x:f>COUNTIFS(FRAGEN_MASTER!$F:$F,$E136,FRAGEN_MASTER!$P:$P,"DETAIL")+COUNTIFS(FRAGEN_MASTER!$F:$F,$E136,FRAGEN_MASTER!$P:$P,"SONSTIGES")</x:f>
        <x:v>0</x:v>
      </x:c>
      <x:c r="U136" s="36" t="str">
        <x:v>1. Korinther 2: 5/5 repetitive Kapitel-Erkennungsfragen ersetzt, gegen L1912 + OTB geprüft und freigegeben.</x:v>
      </x:c>
    </x:row>
    <x:row r="137">
      <x:c r="A137" s="36" t="n">
        <x:v>136</x:v>
      </x:c>
      <x:c r="B137" s="36" t="str">
        <x:v>1CO</x:v>
      </x:c>
      <x:c r="C137" s="36" t="str">
        <x:v>1. Korinther</x:v>
      </x:c>
      <x:c r="D137" s="36" t="n">
        <x:v>3</x:v>
      </x:c>
      <x:c r="E137" s="36" t="str">
        <x:v>1CO-003</x:v>
      </x:c>
      <x:c r="F137" s="36" t="str">
        <x:v>FP-0936</x:v>
      </x:c>
      <x:c r="G137" s="36" t="str">
        <x:v>FP-0940</x:v>
      </x:c>
      <x:c r="H137" s="36" t="n">
        <x:f>COUNTIFS(FRAGEN_MASTER!$F:$F,$E137,FRAGEN_MASTER!$M:$M,"ZU_PRÜFEN")</x:f>
        <x:v>0</x:v>
      </x:c>
      <x:c r="I137" s="36" t="n">
        <x:f>COUNTIFS(FRAGEN_MASTER!$F:$F,$E137,FRAGEN_MASTER!$M:$M,"BEHALTEN")</x:f>
        <x:v>0</x:v>
      </x:c>
      <x:c r="J137" s="36" t="n">
        <x:f>COUNTIFS(FRAGEN_MASTER!$F:$F,$E137,FRAGEN_MASTER!$M:$M,"VERBESSERN")</x:f>
        <x:v>0</x:v>
      </x:c>
      <x:c r="K137" s="36" t="n">
        <x:f>COUNTIFS(FRAGEN_MASTER!$F:$F,$E137,FRAGEN_MASTER!$M:$M,"ERSETZEN")</x:f>
        <x:v>5</x:v>
      </x:c>
      <x:c r="L137" s="36" t="n">
        <x:f>COUNTIFS(FRAGEN_MASTER!$F:$F,$E137,FRAGEN_MASTER!$AG:$AG,"FREIGEGEBEN")</x:f>
        <x:v>5</x:v>
      </x:c>
      <x:c r="M137" s="36" t="n">
        <x:f>COUNTIFS(FRAGEN_MASTER!$F:$F,$E137,FRAGEN_MASTER!$AL:$AL,"JA")</x:f>
        <x:v>5</x:v>
      </x:c>
      <x:c r="N137" s="36" t="str">
        <x:f>IF(M137=5,"FREIGEGEBEN",IF(H137=5,"NOCH_NICHT_GEPRÜFT","IN_ARBEIT"))</x:f>
        <x:v>FREIGEGEBEN</x:v>
      </x:c>
      <x:c r="O137" s="36" t="n">
        <x:f>COUNTIFS(FRAGEN_MASTER!$F:$F,$E137,FRAGEN_MASTER!$P:$P,"GESCHEHEN")</x:f>
        <x:v>0</x:v>
      </x:c>
      <x:c r="P137" s="36" t="n">
        <x:f>COUNTIFS(FRAGEN_MASTER!$F:$F,$E137,FRAGEN_MASTER!$P:$P,"PERSON_AUSSAGE")</x:f>
        <x:v>0</x:v>
      </x:c>
      <x:c r="Q137" s="36" t="n">
        <x:f>COUNTIFS(FRAGEN_MASTER!$F:$F,$E137,FRAGEN_MASTER!$P:$P,"ZUSAMMENHANG")</x:f>
        <x:v>1</x:v>
      </x:c>
      <x:c r="R137" s="36" t="n">
        <x:f>COUNTIFS(FRAGEN_MASTER!$F:$F,$E137,FRAGEN_MASTER!$P:$P,"KERNAUSSAGE")</x:f>
        <x:v>4</x:v>
      </x:c>
      <x:c r="S137" s="36" t="n">
        <x:f>COUNTIFS(FRAGEN_MASTER!$F:$F,$E137,FRAGEN_MASTER!$P:$P,"TEXTGENAUIGKEIT")</x:f>
        <x:v>0</x:v>
      </x:c>
      <x:c r="T137" s="36" t="n">
        <x:f>COUNTIFS(FRAGEN_MASTER!$F:$F,$E137,FRAGEN_MASTER!$P:$P,"DETAIL")+COUNTIFS(FRAGEN_MASTER!$F:$F,$E137,FRAGEN_MASTER!$P:$P,"SONSTIGES")</x:f>
        <x:v>0</x:v>
      </x:c>
      <x:c r="U137" s="36" t="str">
        <x:v>1. Korinther 3: 5/5 repetitive Kapitel-Erkennungsfragen ersetzt, gegen L1912 + OTB geprüft und freigegeben.</x:v>
      </x:c>
    </x:row>
    <x:row r="138">
      <x:c r="A138" s="36" t="n">
        <x:v>137</x:v>
      </x:c>
      <x:c r="B138" s="36" t="str">
        <x:v>1CO</x:v>
      </x:c>
      <x:c r="C138" s="36" t="str">
        <x:v>1. Korinther</x:v>
      </x:c>
      <x:c r="D138" s="36" t="n">
        <x:v>4</x:v>
      </x:c>
      <x:c r="E138" s="36" t="str">
        <x:v>1CO-004</x:v>
      </x:c>
      <x:c r="F138" s="36" t="str">
        <x:v>FP-0941</x:v>
      </x:c>
      <x:c r="G138" s="36" t="str">
        <x:v>FP-0945</x:v>
      </x:c>
      <x:c r="H138" s="36" t="n">
        <x:f>COUNTIFS(FRAGEN_MASTER!$F:$F,$E138,FRAGEN_MASTER!$M:$M,"ZU_PRÜFEN")</x:f>
        <x:v>0</x:v>
      </x:c>
      <x:c r="I138" s="36" t="n">
        <x:f>COUNTIFS(FRAGEN_MASTER!$F:$F,$E138,FRAGEN_MASTER!$M:$M,"BEHALTEN")</x:f>
        <x:v>0</x:v>
      </x:c>
      <x:c r="J138" s="36" t="n">
        <x:f>COUNTIFS(FRAGEN_MASTER!$F:$F,$E138,FRAGEN_MASTER!$M:$M,"VERBESSERN")</x:f>
        <x:v>0</x:v>
      </x:c>
      <x:c r="K138" s="36" t="n">
        <x:f>COUNTIFS(FRAGEN_MASTER!$F:$F,$E138,FRAGEN_MASTER!$M:$M,"ERSETZEN")</x:f>
        <x:v>5</x:v>
      </x:c>
      <x:c r="L138" s="36" t="n">
        <x:f>COUNTIFS(FRAGEN_MASTER!$F:$F,$E138,FRAGEN_MASTER!$AG:$AG,"FREIGEGEBEN")</x:f>
        <x:v>5</x:v>
      </x:c>
      <x:c r="M138" s="36" t="n">
        <x:f>COUNTIFS(FRAGEN_MASTER!$F:$F,$E138,FRAGEN_MASTER!$AL:$AL,"JA")</x:f>
        <x:v>5</x:v>
      </x:c>
      <x:c r="N138" s="36" t="str">
        <x:f>IF(M138=5,"FREIGEGEBEN",IF(H138=5,"NOCH_NICHT_GEPRÜFT","IN_ARBEIT"))</x:f>
        <x:v>FREIGEGEBEN</x:v>
      </x:c>
      <x:c r="O138" s="36" t="n">
        <x:f>COUNTIFS(FRAGEN_MASTER!$F:$F,$E138,FRAGEN_MASTER!$P:$P,"GESCHEHEN")</x:f>
        <x:v>0</x:v>
      </x:c>
      <x:c r="P138" s="36" t="n">
        <x:f>COUNTIFS(FRAGEN_MASTER!$F:$F,$E138,FRAGEN_MASTER!$P:$P,"PERSON_AUSSAGE")</x:f>
        <x:v>1</x:v>
      </x:c>
      <x:c r="Q138" s="36" t="n">
        <x:f>COUNTIFS(FRAGEN_MASTER!$F:$F,$E138,FRAGEN_MASTER!$P:$P,"ZUSAMMENHANG")</x:f>
        <x:v>1</x:v>
      </x:c>
      <x:c r="R138" s="36" t="n">
        <x:f>COUNTIFS(FRAGEN_MASTER!$F:$F,$E138,FRAGEN_MASTER!$P:$P,"KERNAUSSAGE")</x:f>
        <x:v>3</x:v>
      </x:c>
      <x:c r="S138" s="36" t="n">
        <x:f>COUNTIFS(FRAGEN_MASTER!$F:$F,$E138,FRAGEN_MASTER!$P:$P,"TEXTGENAUIGKEIT")</x:f>
        <x:v>0</x:v>
      </x:c>
      <x:c r="T138" s="36" t="n">
        <x:f>COUNTIFS(FRAGEN_MASTER!$F:$F,$E138,FRAGEN_MASTER!$P:$P,"DETAIL")+COUNTIFS(FRAGEN_MASTER!$F:$F,$E138,FRAGEN_MASTER!$P:$P,"SONSTIGES")</x:f>
        <x:v>0</x:v>
      </x:c>
      <x:c r="U138" s="36" t="str">
        <x:v>1. Korinther 4: 5/5 repetitive Kapitel-Erkennungsfragen ersetzt, gegen L1912 + OTB geprüft und freigegeben.</x:v>
      </x:c>
    </x:row>
    <x:row r="139">
      <x:c r="A139" s="36" t="n">
        <x:v>138</x:v>
      </x:c>
      <x:c r="B139" s="36" t="str">
        <x:v>1CO</x:v>
      </x:c>
      <x:c r="C139" s="36" t="str">
        <x:v>1. Korinther</x:v>
      </x:c>
      <x:c r="D139" s="36" t="n">
        <x:v>5</x:v>
      </x:c>
      <x:c r="E139" s="36" t="str">
        <x:v>1CO-005</x:v>
      </x:c>
      <x:c r="F139" s="36" t="str">
        <x:v>FP-0946</x:v>
      </x:c>
      <x:c r="G139" s="36" t="str">
        <x:v>FP-0950</x:v>
      </x:c>
      <x:c r="H139" s="36" t="n">
        <x:f>COUNTIFS(FRAGEN_MASTER!$F:$F,$E139,FRAGEN_MASTER!$M:$M,"ZU_PRÜFEN")</x:f>
        <x:v>0</x:v>
      </x:c>
      <x:c r="I139" s="36" t="n">
        <x:f>COUNTIFS(FRAGEN_MASTER!$F:$F,$E139,FRAGEN_MASTER!$M:$M,"BEHALTEN")</x:f>
        <x:v>0</x:v>
      </x:c>
      <x:c r="J139" s="36" t="n">
        <x:f>COUNTIFS(FRAGEN_MASTER!$F:$F,$E139,FRAGEN_MASTER!$M:$M,"VERBESSERN")</x:f>
        <x:v>0</x:v>
      </x:c>
      <x:c r="K139" s="36" t="n">
        <x:f>COUNTIFS(FRAGEN_MASTER!$F:$F,$E139,FRAGEN_MASTER!$M:$M,"ERSETZEN")</x:f>
        <x:v>5</x:v>
      </x:c>
      <x:c r="L139" s="36" t="n">
        <x:f>COUNTIFS(FRAGEN_MASTER!$F:$F,$E139,FRAGEN_MASTER!$AG:$AG,"FREIGEGEBEN")</x:f>
        <x:v>5</x:v>
      </x:c>
      <x:c r="M139" s="36" t="n">
        <x:f>COUNTIFS(FRAGEN_MASTER!$F:$F,$E139,FRAGEN_MASTER!$AL:$AL,"JA")</x:f>
        <x:v>5</x:v>
      </x:c>
      <x:c r="N139" s="36" t="str">
        <x:f>IF(M139=5,"FREIGEGEBEN",IF(H139=5,"NOCH_NICHT_GEPRÜFT","IN_ARBEIT"))</x:f>
        <x:v>FREIGEGEBEN</x:v>
      </x:c>
      <x:c r="O139" s="36" t="n">
        <x:f>COUNTIFS(FRAGEN_MASTER!$F:$F,$E139,FRAGEN_MASTER!$P:$P,"GESCHEHEN")</x:f>
        <x:v>0</x:v>
      </x:c>
      <x:c r="P139" s="36" t="n">
        <x:f>COUNTIFS(FRAGEN_MASTER!$F:$F,$E139,FRAGEN_MASTER!$P:$P,"PERSON_AUSSAGE")</x:f>
        <x:v>0</x:v>
      </x:c>
      <x:c r="Q139" s="36" t="n">
        <x:f>COUNTIFS(FRAGEN_MASTER!$F:$F,$E139,FRAGEN_MASTER!$P:$P,"ZUSAMMENHANG")</x:f>
        <x:v>2</x:v>
      </x:c>
      <x:c r="R139" s="36" t="n">
        <x:f>COUNTIFS(FRAGEN_MASTER!$F:$F,$E139,FRAGEN_MASTER!$P:$P,"KERNAUSSAGE")</x:f>
        <x:v>2</x:v>
      </x:c>
      <x:c r="S139" s="36" t="n">
        <x:f>COUNTIFS(FRAGEN_MASTER!$F:$F,$E139,FRAGEN_MASTER!$P:$P,"TEXTGENAUIGKEIT")</x:f>
        <x:v>1</x:v>
      </x:c>
      <x:c r="T139" s="36" t="n">
        <x:f>COUNTIFS(FRAGEN_MASTER!$F:$F,$E139,FRAGEN_MASTER!$P:$P,"DETAIL")+COUNTIFS(FRAGEN_MASTER!$F:$F,$E139,FRAGEN_MASTER!$P:$P,"SONSTIGES")</x:f>
        <x:v>0</x:v>
      </x:c>
      <x:c r="U139" s="36" t="str">
        <x:v>1. Korinther 5: 5/5 repetitive Kapitel-Erkennungsfragen ersetzt, gegen L1912 + OTB geprüft und freigegeben.</x:v>
      </x:c>
    </x:row>
    <x:row r="140">
      <x:c r="A140" s="36" t="n">
        <x:v>139</x:v>
      </x:c>
      <x:c r="B140" s="36" t="str">
        <x:v>1CO</x:v>
      </x:c>
      <x:c r="C140" s="36" t="str">
        <x:v>1. Korinther</x:v>
      </x:c>
      <x:c r="D140" s="36" t="n">
        <x:v>6</x:v>
      </x:c>
      <x:c r="E140" s="36" t="str">
        <x:v>1CO-006</x:v>
      </x:c>
      <x:c r="F140" s="36" t="str">
        <x:v>FP-0951</x:v>
      </x:c>
      <x:c r="G140" s="36" t="str">
        <x:v>FP-0955</x:v>
      </x:c>
      <x:c r="H140" s="36" t="n">
        <x:f>COUNTIFS(FRAGEN_MASTER!$F:$F,$E140,FRAGEN_MASTER!$M:$M,"ZU_PRÜFEN")</x:f>
        <x:v>0</x:v>
      </x:c>
      <x:c r="I140" s="36" t="n">
        <x:f>COUNTIFS(FRAGEN_MASTER!$F:$F,$E140,FRAGEN_MASTER!$M:$M,"BEHALTEN")</x:f>
        <x:v>0</x:v>
      </x:c>
      <x:c r="J140" s="36" t="n">
        <x:f>COUNTIFS(FRAGEN_MASTER!$F:$F,$E140,FRAGEN_MASTER!$M:$M,"VERBESSERN")</x:f>
        <x:v>0</x:v>
      </x:c>
      <x:c r="K140" s="36" t="n">
        <x:f>COUNTIFS(FRAGEN_MASTER!$F:$F,$E140,FRAGEN_MASTER!$M:$M,"ERSETZEN")</x:f>
        <x:v>5</x:v>
      </x:c>
      <x:c r="L140" s="36" t="n">
        <x:f>COUNTIFS(FRAGEN_MASTER!$F:$F,$E140,FRAGEN_MASTER!$AG:$AG,"FREIGEGEBEN")</x:f>
        <x:v>5</x:v>
      </x:c>
      <x:c r="M140" s="36" t="n">
        <x:f>COUNTIFS(FRAGEN_MASTER!$F:$F,$E140,FRAGEN_MASTER!$AL:$AL,"JA")</x:f>
        <x:v>5</x:v>
      </x:c>
      <x:c r="N140" s="36" t="str">
        <x:f>IF(M140=5,"FREIGEGEBEN",IF(H140=5,"NOCH_NICHT_GEPRÜFT","IN_ARBEIT"))</x:f>
        <x:v>FREIGEGEBEN</x:v>
      </x:c>
      <x:c r="O140" s="36" t="n">
        <x:f>COUNTIFS(FRAGEN_MASTER!$F:$F,$E140,FRAGEN_MASTER!$P:$P,"GESCHEHEN")</x:f>
        <x:v>0</x:v>
      </x:c>
      <x:c r="P140" s="36" t="n">
        <x:f>COUNTIFS(FRAGEN_MASTER!$F:$F,$E140,FRAGEN_MASTER!$P:$P,"PERSON_AUSSAGE")</x:f>
        <x:v>0</x:v>
      </x:c>
      <x:c r="Q140" s="36" t="n">
        <x:f>COUNTIFS(FRAGEN_MASTER!$F:$F,$E140,FRAGEN_MASTER!$P:$P,"ZUSAMMENHANG")</x:f>
        <x:v>1</x:v>
      </x:c>
      <x:c r="R140" s="36" t="n">
        <x:f>COUNTIFS(FRAGEN_MASTER!$F:$F,$E140,FRAGEN_MASTER!$P:$P,"KERNAUSSAGE")</x:f>
        <x:v>4</x:v>
      </x:c>
      <x:c r="S140" s="36" t="n">
        <x:f>COUNTIFS(FRAGEN_MASTER!$F:$F,$E140,FRAGEN_MASTER!$P:$P,"TEXTGENAUIGKEIT")</x:f>
        <x:v>0</x:v>
      </x:c>
      <x:c r="T140" s="36" t="n">
        <x:f>COUNTIFS(FRAGEN_MASTER!$F:$F,$E140,FRAGEN_MASTER!$P:$P,"DETAIL")+COUNTIFS(FRAGEN_MASTER!$F:$F,$E140,FRAGEN_MASTER!$P:$P,"SONSTIGES")</x:f>
        <x:v>0</x:v>
      </x:c>
      <x:c r="U140" s="36" t="str">
        <x:v>1. Korinther 6: 5/5 repetitive Kapitel-Erkennungsfragen ersetzt, gegen L1912 + OTB geprüft und freigegeben.</x:v>
      </x:c>
    </x:row>
    <x:row r="141">
      <x:c r="A141" s="36" t="n">
        <x:v>140</x:v>
      </x:c>
      <x:c r="B141" s="36" t="str">
        <x:v>1CO</x:v>
      </x:c>
      <x:c r="C141" s="36" t="str">
        <x:v>1. Korinther</x:v>
      </x:c>
      <x:c r="D141" s="36" t="n">
        <x:v>7</x:v>
      </x:c>
      <x:c r="E141" s="36" t="str">
        <x:v>1CO-007</x:v>
      </x:c>
      <x:c r="F141" s="36" t="str">
        <x:v>FP-0956</x:v>
      </x:c>
      <x:c r="G141" s="36" t="str">
        <x:v>FP-0960</x:v>
      </x:c>
      <x:c r="H141" s="36" t="n">
        <x:f>COUNTIFS(FRAGEN_MASTER!$F:$F,$E141,FRAGEN_MASTER!$M:$M,"ZU_PRÜFEN")</x:f>
        <x:v>0</x:v>
      </x:c>
      <x:c r="I141" s="36" t="n">
        <x:f>COUNTIFS(FRAGEN_MASTER!$F:$F,$E141,FRAGEN_MASTER!$M:$M,"BEHALTEN")</x:f>
        <x:v>0</x:v>
      </x:c>
      <x:c r="J141" s="36" t="n">
        <x:f>COUNTIFS(FRAGEN_MASTER!$F:$F,$E141,FRAGEN_MASTER!$M:$M,"VERBESSERN")</x:f>
        <x:v>0</x:v>
      </x:c>
      <x:c r="K141" s="36" t="n">
        <x:f>COUNTIFS(FRAGEN_MASTER!$F:$F,$E141,FRAGEN_MASTER!$M:$M,"ERSETZEN")</x:f>
        <x:v>5</x:v>
      </x:c>
      <x:c r="L141" s="36" t="n">
        <x:f>COUNTIFS(FRAGEN_MASTER!$F:$F,$E141,FRAGEN_MASTER!$AG:$AG,"FREIGEGEBEN")</x:f>
        <x:v>5</x:v>
      </x:c>
      <x:c r="M141" s="36" t="n">
        <x:f>COUNTIFS(FRAGEN_MASTER!$F:$F,$E141,FRAGEN_MASTER!$AL:$AL,"JA")</x:f>
        <x:v>5</x:v>
      </x:c>
      <x:c r="N141" s="36" t="str">
        <x:f>IF(M141=5,"FREIGEGEBEN",IF(H141=5,"NOCH_NICHT_GEPRÜFT","IN_ARBEIT"))</x:f>
        <x:v>FREIGEGEBEN</x:v>
      </x:c>
      <x:c r="O141" s="36" t="n">
        <x:f>COUNTIFS(FRAGEN_MASTER!$F:$F,$E141,FRAGEN_MASTER!$P:$P,"GESCHEHEN")</x:f>
        <x:v>0</x:v>
      </x:c>
      <x:c r="P141" s="36" t="n">
        <x:f>COUNTIFS(FRAGEN_MASTER!$F:$F,$E141,FRAGEN_MASTER!$P:$P,"PERSON_AUSSAGE")</x:f>
        <x:v>0</x:v>
      </x:c>
      <x:c r="Q141" s="36" t="n">
        <x:f>COUNTIFS(FRAGEN_MASTER!$F:$F,$E141,FRAGEN_MASTER!$P:$P,"ZUSAMMENHANG")</x:f>
        <x:v>2</x:v>
      </x:c>
      <x:c r="R141" s="36" t="n">
        <x:f>COUNTIFS(FRAGEN_MASTER!$F:$F,$E141,FRAGEN_MASTER!$P:$P,"KERNAUSSAGE")</x:f>
        <x:v>3</x:v>
      </x:c>
      <x:c r="S141" s="36" t="n">
        <x:f>COUNTIFS(FRAGEN_MASTER!$F:$F,$E141,FRAGEN_MASTER!$P:$P,"TEXTGENAUIGKEIT")</x:f>
        <x:v>0</x:v>
      </x:c>
      <x:c r="T141" s="36" t="n">
        <x:f>COUNTIFS(FRAGEN_MASTER!$F:$F,$E141,FRAGEN_MASTER!$P:$P,"DETAIL")+COUNTIFS(FRAGEN_MASTER!$F:$F,$E141,FRAGEN_MASTER!$P:$P,"SONSTIGES")</x:f>
        <x:v>0</x:v>
      </x:c>
      <x:c r="U141" s="36" t="str">
        <x:v>1. Korinther 7: 5/5 repetitive Kapitel-Erkennungsfragen ersetzt, gegen L1912 + OTB geprüft und freigegeben.</x:v>
      </x:c>
    </x:row>
    <x:row r="142">
      <x:c r="A142" s="36" t="n">
        <x:v>141</x:v>
      </x:c>
      <x:c r="B142" s="36" t="str">
        <x:v>1CO</x:v>
      </x:c>
      <x:c r="C142" s="36" t="str">
        <x:v>1. Korinther</x:v>
      </x:c>
      <x:c r="D142" s="36" t="n">
        <x:v>8</x:v>
      </x:c>
      <x:c r="E142" s="36" t="str">
        <x:v>1CO-008</x:v>
      </x:c>
      <x:c r="F142" s="36" t="str">
        <x:v>FP-0961</x:v>
      </x:c>
      <x:c r="G142" s="36" t="str">
        <x:v>FP-0965</x:v>
      </x:c>
      <x:c r="H142" s="36" t="n">
        <x:f>COUNTIFS(FRAGEN_MASTER!$F:$F,$E142,FRAGEN_MASTER!$M:$M,"ZU_PRÜFEN")</x:f>
        <x:v>0</x:v>
      </x:c>
      <x:c r="I142" s="36" t="n">
        <x:f>COUNTIFS(FRAGEN_MASTER!$F:$F,$E142,FRAGEN_MASTER!$M:$M,"BEHALTEN")</x:f>
        <x:v>0</x:v>
      </x:c>
      <x:c r="J142" s="36" t="n">
        <x:f>COUNTIFS(FRAGEN_MASTER!$F:$F,$E142,FRAGEN_MASTER!$M:$M,"VERBESSERN")</x:f>
        <x:v>0</x:v>
      </x:c>
      <x:c r="K142" s="36" t="n">
        <x:f>COUNTIFS(FRAGEN_MASTER!$F:$F,$E142,FRAGEN_MASTER!$M:$M,"ERSETZEN")</x:f>
        <x:v>5</x:v>
      </x:c>
      <x:c r="L142" s="36" t="n">
        <x:f>COUNTIFS(FRAGEN_MASTER!$F:$F,$E142,FRAGEN_MASTER!$AG:$AG,"FREIGEGEBEN")</x:f>
        <x:v>5</x:v>
      </x:c>
      <x:c r="M142" s="36" t="n">
        <x:f>COUNTIFS(FRAGEN_MASTER!$F:$F,$E142,FRAGEN_MASTER!$AL:$AL,"JA")</x:f>
        <x:v>5</x:v>
      </x:c>
      <x:c r="N142" s="36" t="str">
        <x:f>IF(M142=5,"FREIGEGEBEN",IF(H142=5,"NOCH_NICHT_GEPRÜFT","IN_ARBEIT"))</x:f>
        <x:v>FREIGEGEBEN</x:v>
      </x:c>
      <x:c r="O142" s="36" t="n">
        <x:f>COUNTIFS(FRAGEN_MASTER!$F:$F,$E142,FRAGEN_MASTER!$P:$P,"GESCHEHEN")</x:f>
        <x:v>0</x:v>
      </x:c>
      <x:c r="P142" s="36" t="n">
        <x:f>COUNTIFS(FRAGEN_MASTER!$F:$F,$E142,FRAGEN_MASTER!$P:$P,"PERSON_AUSSAGE")</x:f>
        <x:v>0</x:v>
      </x:c>
      <x:c r="Q142" s="36" t="n">
        <x:f>COUNTIFS(FRAGEN_MASTER!$F:$F,$E142,FRAGEN_MASTER!$P:$P,"ZUSAMMENHANG")</x:f>
        <x:v>1</x:v>
      </x:c>
      <x:c r="R142" s="36" t="n">
        <x:f>COUNTIFS(FRAGEN_MASTER!$F:$F,$E142,FRAGEN_MASTER!$P:$P,"KERNAUSSAGE")</x:f>
        <x:v>4</x:v>
      </x:c>
      <x:c r="S142" s="36" t="n">
        <x:f>COUNTIFS(FRAGEN_MASTER!$F:$F,$E142,FRAGEN_MASTER!$P:$P,"TEXTGENAUIGKEIT")</x:f>
        <x:v>0</x:v>
      </x:c>
      <x:c r="T142" s="36" t="n">
        <x:f>COUNTIFS(FRAGEN_MASTER!$F:$F,$E142,FRAGEN_MASTER!$P:$P,"DETAIL")+COUNTIFS(FRAGEN_MASTER!$F:$F,$E142,FRAGEN_MASTER!$P:$P,"SONSTIGES")</x:f>
        <x:v>0</x:v>
      </x:c>
      <x:c r="U142" s="36" t="str">
        <x:v>1. Korinther 8: 5/5 repetitive Kapitel-Erkennungsfragen ersetzt, gegen L1912 + OTB geprüft und freigegeben.</x:v>
      </x:c>
    </x:row>
    <x:row r="143">
      <x:c r="A143" s="36" t="n">
        <x:v>142</x:v>
      </x:c>
      <x:c r="B143" s="36" t="str">
        <x:v>1CO</x:v>
      </x:c>
      <x:c r="C143" s="36" t="str">
        <x:v>1. Korinther</x:v>
      </x:c>
      <x:c r="D143" s="36" t="n">
        <x:v>9</x:v>
      </x:c>
      <x:c r="E143" s="36" t="str">
        <x:v>1CO-009</x:v>
      </x:c>
      <x:c r="F143" s="36" t="str">
        <x:v>FP-0966</x:v>
      </x:c>
      <x:c r="G143" s="36" t="str">
        <x:v>FP-0970</x:v>
      </x:c>
      <x:c r="H143" s="36" t="n">
        <x:f>COUNTIFS(FRAGEN_MASTER!$F:$F,$E143,FRAGEN_MASTER!$M:$M,"ZU_PRÜFEN")</x:f>
        <x:v>0</x:v>
      </x:c>
      <x:c r="I143" s="36" t="n">
        <x:f>COUNTIFS(FRAGEN_MASTER!$F:$F,$E143,FRAGEN_MASTER!$M:$M,"BEHALTEN")</x:f>
        <x:v>0</x:v>
      </x:c>
      <x:c r="J143" s="36" t="n">
        <x:f>COUNTIFS(FRAGEN_MASTER!$F:$F,$E143,FRAGEN_MASTER!$M:$M,"VERBESSERN")</x:f>
        <x:v>0</x:v>
      </x:c>
      <x:c r="K143" s="36" t="n">
        <x:f>COUNTIFS(FRAGEN_MASTER!$F:$F,$E143,FRAGEN_MASTER!$M:$M,"ERSETZEN")</x:f>
        <x:v>5</x:v>
      </x:c>
      <x:c r="L143" s="36" t="n">
        <x:f>COUNTIFS(FRAGEN_MASTER!$F:$F,$E143,FRAGEN_MASTER!$AG:$AG,"FREIGEGEBEN")</x:f>
        <x:v>5</x:v>
      </x:c>
      <x:c r="M143" s="36" t="n">
        <x:f>COUNTIFS(FRAGEN_MASTER!$F:$F,$E143,FRAGEN_MASTER!$AL:$AL,"JA")</x:f>
        <x:v>5</x:v>
      </x:c>
      <x:c r="N143" s="36" t="str">
        <x:f>IF(M143=5,"FREIGEGEBEN",IF(H143=5,"NOCH_NICHT_GEPRÜFT","IN_ARBEIT"))</x:f>
        <x:v>FREIGEGEBEN</x:v>
      </x:c>
      <x:c r="O143" s="36" t="n">
        <x:f>COUNTIFS(FRAGEN_MASTER!$F:$F,$E143,FRAGEN_MASTER!$P:$P,"GESCHEHEN")</x:f>
        <x:v>0</x:v>
      </x:c>
      <x:c r="P143" s="36" t="n">
        <x:f>COUNTIFS(FRAGEN_MASTER!$F:$F,$E143,FRAGEN_MASTER!$P:$P,"PERSON_AUSSAGE")</x:f>
        <x:v>0</x:v>
      </x:c>
      <x:c r="Q143" s="36" t="n">
        <x:f>COUNTIFS(FRAGEN_MASTER!$F:$F,$E143,FRAGEN_MASTER!$P:$P,"ZUSAMMENHANG")</x:f>
        <x:v>3</x:v>
      </x:c>
      <x:c r="R143" s="36" t="n">
        <x:f>COUNTIFS(FRAGEN_MASTER!$F:$F,$E143,FRAGEN_MASTER!$P:$P,"KERNAUSSAGE")</x:f>
        <x:v>2</x:v>
      </x:c>
      <x:c r="S143" s="36" t="n">
        <x:f>COUNTIFS(FRAGEN_MASTER!$F:$F,$E143,FRAGEN_MASTER!$P:$P,"TEXTGENAUIGKEIT")</x:f>
        <x:v>0</x:v>
      </x:c>
      <x:c r="T143" s="36" t="n">
        <x:f>COUNTIFS(FRAGEN_MASTER!$F:$F,$E143,FRAGEN_MASTER!$P:$P,"DETAIL")+COUNTIFS(FRAGEN_MASTER!$F:$F,$E143,FRAGEN_MASTER!$P:$P,"SONSTIGES")</x:f>
        <x:v>0</x:v>
      </x:c>
      <x:c r="U143" s="36" t="str">
        <x:v>1. Korinther 9: 5/5 repetitive Kapitel-Erkennungsfragen ersetzt, gegen L1912 + OTB geprüft und freigegeben.</x:v>
      </x:c>
    </x:row>
    <x:row r="144">
      <x:c r="A144" s="36" t="n">
        <x:v>143</x:v>
      </x:c>
      <x:c r="B144" s="36" t="str">
        <x:v>1CO</x:v>
      </x:c>
      <x:c r="C144" s="36" t="str">
        <x:v>1. Korinther</x:v>
      </x:c>
      <x:c r="D144" s="36" t="n">
        <x:v>10</x:v>
      </x:c>
      <x:c r="E144" s="36" t="str">
        <x:v>1CO-010</x:v>
      </x:c>
      <x:c r="F144" s="36" t="str">
        <x:v>FP-0971</x:v>
      </x:c>
      <x:c r="G144" s="36" t="str">
        <x:v>FP-0975</x:v>
      </x:c>
      <x:c r="H144" s="36" t="n">
        <x:f>COUNTIFS(FRAGEN_MASTER!$F:$F,$E144,FRAGEN_MASTER!$M:$M,"ZU_PRÜFEN")</x:f>
        <x:v>0</x:v>
      </x:c>
      <x:c r="I144" s="36" t="n">
        <x:f>COUNTIFS(FRAGEN_MASTER!$F:$F,$E144,FRAGEN_MASTER!$M:$M,"BEHALTEN")</x:f>
        <x:v>0</x:v>
      </x:c>
      <x:c r="J144" s="36" t="n">
        <x:f>COUNTIFS(FRAGEN_MASTER!$F:$F,$E144,FRAGEN_MASTER!$M:$M,"VERBESSERN")</x:f>
        <x:v>0</x:v>
      </x:c>
      <x:c r="K144" s="36" t="n">
        <x:f>COUNTIFS(FRAGEN_MASTER!$F:$F,$E144,FRAGEN_MASTER!$M:$M,"ERSETZEN")</x:f>
        <x:v>5</x:v>
      </x:c>
      <x:c r="L144" s="36" t="n">
        <x:f>COUNTIFS(FRAGEN_MASTER!$F:$F,$E144,FRAGEN_MASTER!$AG:$AG,"FREIGEGEBEN")</x:f>
        <x:v>5</x:v>
      </x:c>
      <x:c r="M144" s="36" t="n">
        <x:f>COUNTIFS(FRAGEN_MASTER!$F:$F,$E144,FRAGEN_MASTER!$AL:$AL,"JA")</x:f>
        <x:v>5</x:v>
      </x:c>
      <x:c r="N144" s="36" t="str">
        <x:f>IF(M144=5,"FREIGEGEBEN",IF(H144=5,"NOCH_NICHT_GEPRÜFT","IN_ARBEIT"))</x:f>
        <x:v>FREIGEGEBEN</x:v>
      </x:c>
      <x:c r="O144" s="36" t="n">
        <x:f>COUNTIFS(FRAGEN_MASTER!$F:$F,$E144,FRAGEN_MASTER!$P:$P,"GESCHEHEN")</x:f>
        <x:v>0</x:v>
      </x:c>
      <x:c r="P144" s="36" t="n">
        <x:f>COUNTIFS(FRAGEN_MASTER!$F:$F,$E144,FRAGEN_MASTER!$P:$P,"PERSON_AUSSAGE")</x:f>
        <x:v>0</x:v>
      </x:c>
      <x:c r="Q144" s="36" t="n">
        <x:f>COUNTIFS(FRAGEN_MASTER!$F:$F,$E144,FRAGEN_MASTER!$P:$P,"ZUSAMMENHANG")</x:f>
        <x:v>1</x:v>
      </x:c>
      <x:c r="R144" s="36" t="n">
        <x:f>COUNTIFS(FRAGEN_MASTER!$F:$F,$E144,FRAGEN_MASTER!$P:$P,"KERNAUSSAGE")</x:f>
        <x:v>4</x:v>
      </x:c>
      <x:c r="S144" s="36" t="n">
        <x:f>COUNTIFS(FRAGEN_MASTER!$F:$F,$E144,FRAGEN_MASTER!$P:$P,"TEXTGENAUIGKEIT")</x:f>
        <x:v>0</x:v>
      </x:c>
      <x:c r="T144" s="36" t="n">
        <x:f>COUNTIFS(FRAGEN_MASTER!$F:$F,$E144,FRAGEN_MASTER!$P:$P,"DETAIL")+COUNTIFS(FRAGEN_MASTER!$F:$F,$E144,FRAGEN_MASTER!$P:$P,"SONSTIGES")</x:f>
        <x:v>0</x:v>
      </x:c>
      <x:c r="U144" s="36" t="str">
        <x:v>1. Korinther 10: 5/5 repetitive Kapitel-Erkennungsfragen ersetzt, gegen L1912 + OTB geprüft und freigegeben.</x:v>
      </x:c>
    </x:row>
    <x:row r="145">
      <x:c r="A145" s="36" t="n">
        <x:v>144</x:v>
      </x:c>
      <x:c r="B145" s="36" t="str">
        <x:v>1CO</x:v>
      </x:c>
      <x:c r="C145" s="36" t="str">
        <x:v>1. Korinther</x:v>
      </x:c>
      <x:c r="D145" s="36" t="n">
        <x:v>11</x:v>
      </x:c>
      <x:c r="E145" s="36" t="str">
        <x:v>1CO-011</x:v>
      </x:c>
      <x:c r="F145" s="36" t="str">
        <x:v>FP-0976</x:v>
      </x:c>
      <x:c r="G145" s="36" t="str">
        <x:v>FP-0980</x:v>
      </x:c>
      <x:c r="H145" s="36" t="n">
        <x:f>COUNTIFS(FRAGEN_MASTER!$F:$F,$E145,FRAGEN_MASTER!$M:$M,"ZU_PRÜFEN")</x:f>
        <x:v>0</x:v>
      </x:c>
      <x:c r="I145" s="36" t="n">
        <x:f>COUNTIFS(FRAGEN_MASTER!$F:$F,$E145,FRAGEN_MASTER!$M:$M,"BEHALTEN")</x:f>
        <x:v>0</x:v>
      </x:c>
      <x:c r="J145" s="36" t="n">
        <x:f>COUNTIFS(FRAGEN_MASTER!$F:$F,$E145,FRAGEN_MASTER!$M:$M,"VERBESSERN")</x:f>
        <x:v>0</x:v>
      </x:c>
      <x:c r="K145" s="36" t="n">
        <x:f>COUNTIFS(FRAGEN_MASTER!$F:$F,$E145,FRAGEN_MASTER!$M:$M,"ERSETZEN")</x:f>
        <x:v>5</x:v>
      </x:c>
      <x:c r="L145" s="36" t="n">
        <x:f>COUNTIFS(FRAGEN_MASTER!$F:$F,$E145,FRAGEN_MASTER!$AG:$AG,"FREIGEGEBEN")</x:f>
        <x:v>5</x:v>
      </x:c>
      <x:c r="M145" s="36" t="n">
        <x:f>COUNTIFS(FRAGEN_MASTER!$F:$F,$E145,FRAGEN_MASTER!$AL:$AL,"JA")</x:f>
        <x:v>5</x:v>
      </x:c>
      <x:c r="N145" s="36" t="str">
        <x:f>IF(M145=5,"FREIGEGEBEN",IF(H145=5,"NOCH_NICHT_GEPRÜFT","IN_ARBEIT"))</x:f>
        <x:v>FREIGEGEBEN</x:v>
      </x:c>
      <x:c r="O145" s="36" t="n">
        <x:f>COUNTIFS(FRAGEN_MASTER!$F:$F,$E145,FRAGEN_MASTER!$P:$P,"GESCHEHEN")</x:f>
        <x:v>0</x:v>
      </x:c>
      <x:c r="P145" s="36" t="n">
        <x:f>COUNTIFS(FRAGEN_MASTER!$F:$F,$E145,FRAGEN_MASTER!$P:$P,"PERSON_AUSSAGE")</x:f>
        <x:v>1</x:v>
      </x:c>
      <x:c r="Q145" s="36" t="n">
        <x:f>COUNTIFS(FRAGEN_MASTER!$F:$F,$E145,FRAGEN_MASTER!$P:$P,"ZUSAMMENHANG")</x:f>
        <x:v>1</x:v>
      </x:c>
      <x:c r="R145" s="36" t="n">
        <x:f>COUNTIFS(FRAGEN_MASTER!$F:$F,$E145,FRAGEN_MASTER!$P:$P,"KERNAUSSAGE")</x:f>
        <x:v>3</x:v>
      </x:c>
      <x:c r="S145" s="36" t="n">
        <x:f>COUNTIFS(FRAGEN_MASTER!$F:$F,$E145,FRAGEN_MASTER!$P:$P,"TEXTGENAUIGKEIT")</x:f>
        <x:v>0</x:v>
      </x:c>
      <x:c r="T145" s="36" t="n">
        <x:f>COUNTIFS(FRAGEN_MASTER!$F:$F,$E145,FRAGEN_MASTER!$P:$P,"DETAIL")+COUNTIFS(FRAGEN_MASTER!$F:$F,$E145,FRAGEN_MASTER!$P:$P,"SONSTIGES")</x:f>
        <x:v>0</x:v>
      </x:c>
      <x:c r="U145" s="36" t="str">
        <x:v>1. Korinther 11: 5/5 repetitive Kapitel-Erkennungsfragen ersetzt, gegen L1912 + OTB geprüft und freigegeben.</x:v>
      </x:c>
    </x:row>
    <x:row r="146">
      <x:c r="A146" s="36" t="n">
        <x:v>145</x:v>
      </x:c>
      <x:c r="B146" s="36" t="str">
        <x:v>1CO</x:v>
      </x:c>
      <x:c r="C146" s="36" t="str">
        <x:v>1. Korinther</x:v>
      </x:c>
      <x:c r="D146" s="36" t="n">
        <x:v>12</x:v>
      </x:c>
      <x:c r="E146" s="36" t="str">
        <x:v>1CO-012</x:v>
      </x:c>
      <x:c r="F146" s="36" t="str">
        <x:v>FP-0981</x:v>
      </x:c>
      <x:c r="G146" s="36" t="str">
        <x:v>FP-0985</x:v>
      </x:c>
      <x:c r="H146" s="36" t="n">
        <x:f>COUNTIFS(FRAGEN_MASTER!$F:$F,$E146,FRAGEN_MASTER!$M:$M,"ZU_PRÜFEN")</x:f>
        <x:v>0</x:v>
      </x:c>
      <x:c r="I146" s="36" t="n">
        <x:f>COUNTIFS(FRAGEN_MASTER!$F:$F,$E146,FRAGEN_MASTER!$M:$M,"BEHALTEN")</x:f>
        <x:v>0</x:v>
      </x:c>
      <x:c r="J146" s="36" t="n">
        <x:f>COUNTIFS(FRAGEN_MASTER!$F:$F,$E146,FRAGEN_MASTER!$M:$M,"VERBESSERN")</x:f>
        <x:v>0</x:v>
      </x:c>
      <x:c r="K146" s="36" t="n">
        <x:f>COUNTIFS(FRAGEN_MASTER!$F:$F,$E146,FRAGEN_MASTER!$M:$M,"ERSETZEN")</x:f>
        <x:v>5</x:v>
      </x:c>
      <x:c r="L146" s="36" t="n">
        <x:f>COUNTIFS(FRAGEN_MASTER!$F:$F,$E146,FRAGEN_MASTER!$AG:$AG,"FREIGEGEBEN")</x:f>
        <x:v>5</x:v>
      </x:c>
      <x:c r="M146" s="36" t="n">
        <x:f>COUNTIFS(FRAGEN_MASTER!$F:$F,$E146,FRAGEN_MASTER!$AL:$AL,"JA")</x:f>
        <x:v>5</x:v>
      </x:c>
      <x:c r="N146" s="36" t="str">
        <x:f>IF(M146=5,"FREIGEGEBEN",IF(H146=5,"NOCH_NICHT_GEPRÜFT","IN_ARBEIT"))</x:f>
        <x:v>FREIGEGEBEN</x:v>
      </x:c>
      <x:c r="O146" s="36" t="n">
        <x:f>COUNTIFS(FRAGEN_MASTER!$F:$F,$E146,FRAGEN_MASTER!$P:$P,"GESCHEHEN")</x:f>
        <x:v>0</x:v>
      </x:c>
      <x:c r="P146" s="36" t="n">
        <x:f>COUNTIFS(FRAGEN_MASTER!$F:$F,$E146,FRAGEN_MASTER!$P:$P,"PERSON_AUSSAGE")</x:f>
        <x:v>0</x:v>
      </x:c>
      <x:c r="Q146" s="36" t="n">
        <x:f>COUNTIFS(FRAGEN_MASTER!$F:$F,$E146,FRAGEN_MASTER!$P:$P,"ZUSAMMENHANG")</x:f>
        <x:v>1</x:v>
      </x:c>
      <x:c r="R146" s="36" t="n">
        <x:f>COUNTIFS(FRAGEN_MASTER!$F:$F,$E146,FRAGEN_MASTER!$P:$P,"KERNAUSSAGE")</x:f>
        <x:v>4</x:v>
      </x:c>
      <x:c r="S146" s="36" t="n">
        <x:f>COUNTIFS(FRAGEN_MASTER!$F:$F,$E146,FRAGEN_MASTER!$P:$P,"TEXTGENAUIGKEIT")</x:f>
        <x:v>0</x:v>
      </x:c>
      <x:c r="T146" s="36" t="n">
        <x:f>COUNTIFS(FRAGEN_MASTER!$F:$F,$E146,FRAGEN_MASTER!$P:$P,"DETAIL")+COUNTIFS(FRAGEN_MASTER!$F:$F,$E146,FRAGEN_MASTER!$P:$P,"SONSTIGES")</x:f>
        <x:v>0</x:v>
      </x:c>
      <x:c r="U146" s="36" t="str">
        <x:v>1. Korinther 12: 5/5 repetitive Kapitel-Erkennungsfragen ersetzt, gegen L1912 + OTB geprüft und freigegeben.</x:v>
      </x:c>
    </x:row>
    <x:row r="147">
      <x:c r="A147" s="36" t="n">
        <x:v>146</x:v>
      </x:c>
      <x:c r="B147" s="36" t="str">
        <x:v>1CO</x:v>
      </x:c>
      <x:c r="C147" s="36" t="str">
        <x:v>1. Korinther</x:v>
      </x:c>
      <x:c r="D147" s="36" t="n">
        <x:v>13</x:v>
      </x:c>
      <x:c r="E147" s="36" t="str">
        <x:v>1CO-013</x:v>
      </x:c>
      <x:c r="F147" s="36" t="str">
        <x:v>FP-0986</x:v>
      </x:c>
      <x:c r="G147" s="36" t="str">
        <x:v>FP-0990</x:v>
      </x:c>
      <x:c r="H147" s="36" t="n">
        <x:f>COUNTIFS(FRAGEN_MASTER!$F:$F,$E147,FRAGEN_MASTER!$M:$M,"ZU_PRÜFEN")</x:f>
        <x:v>0</x:v>
      </x:c>
      <x:c r="I147" s="36" t="n">
        <x:f>COUNTIFS(FRAGEN_MASTER!$F:$F,$E147,FRAGEN_MASTER!$M:$M,"BEHALTEN")</x:f>
        <x:v>0</x:v>
      </x:c>
      <x:c r="J147" s="36" t="n">
        <x:f>COUNTIFS(FRAGEN_MASTER!$F:$F,$E147,FRAGEN_MASTER!$M:$M,"VERBESSERN")</x:f>
        <x:v>0</x:v>
      </x:c>
      <x:c r="K147" s="36" t="n">
        <x:f>COUNTIFS(FRAGEN_MASTER!$F:$F,$E147,FRAGEN_MASTER!$M:$M,"ERSETZEN")</x:f>
        <x:v>5</x:v>
      </x:c>
      <x:c r="L147" s="36" t="n">
        <x:f>COUNTIFS(FRAGEN_MASTER!$F:$F,$E147,FRAGEN_MASTER!$AG:$AG,"FREIGEGEBEN")</x:f>
        <x:v>5</x:v>
      </x:c>
      <x:c r="M147" s="36" t="n">
        <x:f>COUNTIFS(FRAGEN_MASTER!$F:$F,$E147,FRAGEN_MASTER!$AL:$AL,"JA")</x:f>
        <x:v>5</x:v>
      </x:c>
      <x:c r="N147" s="36" t="str">
        <x:f>IF(M147=5,"FREIGEGEBEN",IF(H147=5,"NOCH_NICHT_GEPRÜFT","IN_ARBEIT"))</x:f>
        <x:v>FREIGEGEBEN</x:v>
      </x:c>
      <x:c r="O147" s="36" t="n">
        <x:f>COUNTIFS(FRAGEN_MASTER!$F:$F,$E147,FRAGEN_MASTER!$P:$P,"GESCHEHEN")</x:f>
        <x:v>0</x:v>
      </x:c>
      <x:c r="P147" s="36" t="n">
        <x:f>COUNTIFS(FRAGEN_MASTER!$F:$F,$E147,FRAGEN_MASTER!$P:$P,"PERSON_AUSSAGE")</x:f>
        <x:v>0</x:v>
      </x:c>
      <x:c r="Q147" s="36" t="n">
        <x:f>COUNTIFS(FRAGEN_MASTER!$F:$F,$E147,FRAGEN_MASTER!$P:$P,"ZUSAMMENHANG")</x:f>
        <x:v>1</x:v>
      </x:c>
      <x:c r="R147" s="36" t="n">
        <x:f>COUNTIFS(FRAGEN_MASTER!$F:$F,$E147,FRAGEN_MASTER!$P:$P,"KERNAUSSAGE")</x:f>
        <x:v>2</x:v>
      </x:c>
      <x:c r="S147" s="36" t="n">
        <x:f>COUNTIFS(FRAGEN_MASTER!$F:$F,$E147,FRAGEN_MASTER!$P:$P,"TEXTGENAUIGKEIT")</x:f>
        <x:v>2</x:v>
      </x:c>
      <x:c r="T147" s="36" t="n">
        <x:f>COUNTIFS(FRAGEN_MASTER!$F:$F,$E147,FRAGEN_MASTER!$P:$P,"DETAIL")+COUNTIFS(FRAGEN_MASTER!$F:$F,$E147,FRAGEN_MASTER!$P:$P,"SONSTIGES")</x:f>
        <x:v>0</x:v>
      </x:c>
      <x:c r="U147" s="36" t="str">
        <x:v>1. Korinther 13: 5/5 repetitive Kapitel-Erkennungsfragen ersetzt, gegen L1912 + OTB geprüft und freigegeben.</x:v>
      </x:c>
    </x:row>
    <x:row r="148">
      <x:c r="A148" s="36" t="n">
        <x:v>147</x:v>
      </x:c>
      <x:c r="B148" s="36" t="str">
        <x:v>1CO</x:v>
      </x:c>
      <x:c r="C148" s="36" t="str">
        <x:v>1. Korinther</x:v>
      </x:c>
      <x:c r="D148" s="36" t="n">
        <x:v>14</x:v>
      </x:c>
      <x:c r="E148" s="36" t="str">
        <x:v>1CO-014</x:v>
      </x:c>
      <x:c r="F148" s="36" t="str">
        <x:v>FP-0991</x:v>
      </x:c>
      <x:c r="G148" s="36" t="str">
        <x:v>FP-0995</x:v>
      </x:c>
      <x:c r="H148" s="36" t="n">
        <x:f>COUNTIFS(FRAGEN_MASTER!$F:$F,$E148,FRAGEN_MASTER!$M:$M,"ZU_PRÜFEN")</x:f>
        <x:v>0</x:v>
      </x:c>
      <x:c r="I148" s="36" t="n">
        <x:f>COUNTIFS(FRAGEN_MASTER!$F:$F,$E148,FRAGEN_MASTER!$M:$M,"BEHALTEN")</x:f>
        <x:v>0</x:v>
      </x:c>
      <x:c r="J148" s="36" t="n">
        <x:f>COUNTIFS(FRAGEN_MASTER!$F:$F,$E148,FRAGEN_MASTER!$M:$M,"VERBESSERN")</x:f>
        <x:v>0</x:v>
      </x:c>
      <x:c r="K148" s="36" t="n">
        <x:f>COUNTIFS(FRAGEN_MASTER!$F:$F,$E148,FRAGEN_MASTER!$M:$M,"ERSETZEN")</x:f>
        <x:v>5</x:v>
      </x:c>
      <x:c r="L148" s="36" t="n">
        <x:f>COUNTIFS(FRAGEN_MASTER!$F:$F,$E148,FRAGEN_MASTER!$AG:$AG,"FREIGEGEBEN")</x:f>
        <x:v>5</x:v>
      </x:c>
      <x:c r="M148" s="36" t="n">
        <x:f>COUNTIFS(FRAGEN_MASTER!$F:$F,$E148,FRAGEN_MASTER!$AL:$AL,"JA")</x:f>
        <x:v>5</x:v>
      </x:c>
      <x:c r="N148" s="36" t="str">
        <x:f>IF(M148=5,"FREIGEGEBEN",IF(H148=5,"NOCH_NICHT_GEPRÜFT","IN_ARBEIT"))</x:f>
        <x:v>FREIGEGEBEN</x:v>
      </x:c>
      <x:c r="O148" s="36" t="n">
        <x:f>COUNTIFS(FRAGEN_MASTER!$F:$F,$E148,FRAGEN_MASTER!$P:$P,"GESCHEHEN")</x:f>
        <x:v>0</x:v>
      </x:c>
      <x:c r="P148" s="36" t="n">
        <x:f>COUNTIFS(FRAGEN_MASTER!$F:$F,$E148,FRAGEN_MASTER!$P:$P,"PERSON_AUSSAGE")</x:f>
        <x:v>0</x:v>
      </x:c>
      <x:c r="Q148" s="36" t="n">
        <x:f>COUNTIFS(FRAGEN_MASTER!$F:$F,$E148,FRAGEN_MASTER!$P:$P,"ZUSAMMENHANG")</x:f>
        <x:v>1</x:v>
      </x:c>
      <x:c r="R148" s="36" t="n">
        <x:f>COUNTIFS(FRAGEN_MASTER!$F:$F,$E148,FRAGEN_MASTER!$P:$P,"KERNAUSSAGE")</x:f>
        <x:v>4</x:v>
      </x:c>
      <x:c r="S148" s="36" t="n">
        <x:f>COUNTIFS(FRAGEN_MASTER!$F:$F,$E148,FRAGEN_MASTER!$P:$P,"TEXTGENAUIGKEIT")</x:f>
        <x:v>0</x:v>
      </x:c>
      <x:c r="T148" s="36" t="n">
        <x:f>COUNTIFS(FRAGEN_MASTER!$F:$F,$E148,FRAGEN_MASTER!$P:$P,"DETAIL")+COUNTIFS(FRAGEN_MASTER!$F:$F,$E148,FRAGEN_MASTER!$P:$P,"SONSTIGES")</x:f>
        <x:v>0</x:v>
      </x:c>
      <x:c r="U148" s="36" t="str">
        <x:v>1. Korinther 14: 5/5 repetitive Kapitel-Erkennungsfragen ersetzt, gegen L1912 + OTB geprüft und freigegeben.</x:v>
      </x:c>
    </x:row>
    <x:row r="149">
      <x:c r="A149" s="36" t="n">
        <x:v>148</x:v>
      </x:c>
      <x:c r="B149" s="36" t="str">
        <x:v>1CO</x:v>
      </x:c>
      <x:c r="C149" s="36" t="str">
        <x:v>1. Korinther</x:v>
      </x:c>
      <x:c r="D149" s="36" t="n">
        <x:v>15</x:v>
      </x:c>
      <x:c r="E149" s="36" t="str">
        <x:v>1CO-015</x:v>
      </x:c>
      <x:c r="F149" s="36" t="str">
        <x:v>FP-0996</x:v>
      </x:c>
      <x:c r="G149" s="36" t="str">
        <x:v>FP-1000</x:v>
      </x:c>
      <x:c r="H149" s="36" t="n">
        <x:f>COUNTIFS(FRAGEN_MASTER!$F:$F,$E149,FRAGEN_MASTER!$M:$M,"ZU_PRÜFEN")</x:f>
        <x:v>0</x:v>
      </x:c>
      <x:c r="I149" s="36" t="n">
        <x:f>COUNTIFS(FRAGEN_MASTER!$F:$F,$E149,FRAGEN_MASTER!$M:$M,"BEHALTEN")</x:f>
        <x:v>0</x:v>
      </x:c>
      <x:c r="J149" s="36" t="n">
        <x:f>COUNTIFS(FRAGEN_MASTER!$F:$F,$E149,FRAGEN_MASTER!$M:$M,"VERBESSERN")</x:f>
        <x:v>0</x:v>
      </x:c>
      <x:c r="K149" s="36" t="n">
        <x:f>COUNTIFS(FRAGEN_MASTER!$F:$F,$E149,FRAGEN_MASTER!$M:$M,"ERSETZEN")</x:f>
        <x:v>5</x:v>
      </x:c>
      <x:c r="L149" s="36" t="n">
        <x:f>COUNTIFS(FRAGEN_MASTER!$F:$F,$E149,FRAGEN_MASTER!$AG:$AG,"FREIGEGEBEN")</x:f>
        <x:v>5</x:v>
      </x:c>
      <x:c r="M149" s="36" t="n">
        <x:f>COUNTIFS(FRAGEN_MASTER!$F:$F,$E149,FRAGEN_MASTER!$AL:$AL,"JA")</x:f>
        <x:v>5</x:v>
      </x:c>
      <x:c r="N149" s="36" t="str">
        <x:f>IF(M149=5,"FREIGEGEBEN",IF(H149=5,"NOCH_NICHT_GEPRÜFT","IN_ARBEIT"))</x:f>
        <x:v>FREIGEGEBEN</x:v>
      </x:c>
      <x:c r="O149" s="36" t="n">
        <x:f>COUNTIFS(FRAGEN_MASTER!$F:$F,$E149,FRAGEN_MASTER!$P:$P,"GESCHEHEN")</x:f>
        <x:v>0</x:v>
      </x:c>
      <x:c r="P149" s="36" t="n">
        <x:f>COUNTIFS(FRAGEN_MASTER!$F:$F,$E149,FRAGEN_MASTER!$P:$P,"PERSON_AUSSAGE")</x:f>
        <x:v>0</x:v>
      </x:c>
      <x:c r="Q149" s="36" t="n">
        <x:f>COUNTIFS(FRAGEN_MASTER!$F:$F,$E149,FRAGEN_MASTER!$P:$P,"ZUSAMMENHANG")</x:f>
        <x:v>2</x:v>
      </x:c>
      <x:c r="R149" s="36" t="n">
        <x:f>COUNTIFS(FRAGEN_MASTER!$F:$F,$E149,FRAGEN_MASTER!$P:$P,"KERNAUSSAGE")</x:f>
        <x:v>3</x:v>
      </x:c>
      <x:c r="S149" s="36" t="n">
        <x:f>COUNTIFS(FRAGEN_MASTER!$F:$F,$E149,FRAGEN_MASTER!$P:$P,"TEXTGENAUIGKEIT")</x:f>
        <x:v>0</x:v>
      </x:c>
      <x:c r="T149" s="36" t="n">
        <x:f>COUNTIFS(FRAGEN_MASTER!$F:$F,$E149,FRAGEN_MASTER!$P:$P,"DETAIL")+COUNTIFS(FRAGEN_MASTER!$F:$F,$E149,FRAGEN_MASTER!$P:$P,"SONSTIGES")</x:f>
        <x:v>0</x:v>
      </x:c>
      <x:c r="U149" s="36" t="str">
        <x:v>1. Korinther 15: 5/5 repetitive Kapitel-Erkennungsfragen ersetzt, gegen L1912 + OTB geprüft und freigegeben.</x:v>
      </x:c>
    </x:row>
    <x:row r="150">
      <x:c r="A150" s="36" t="n">
        <x:v>149</x:v>
      </x:c>
      <x:c r="B150" s="36" t="str">
        <x:v>1CO</x:v>
      </x:c>
      <x:c r="C150" s="36" t="str">
        <x:v>1. Korinther</x:v>
      </x:c>
      <x:c r="D150" s="36" t="n">
        <x:v>16</x:v>
      </x:c>
      <x:c r="E150" s="36" t="str">
        <x:v>1CO-016</x:v>
      </x:c>
      <x:c r="F150" s="36" t="str">
        <x:v>FP-1001</x:v>
      </x:c>
      <x:c r="G150" s="36" t="str">
        <x:v>FP-1005</x:v>
      </x:c>
      <x:c r="H150" s="36" t="n">
        <x:f>COUNTIFS(FRAGEN_MASTER!$F:$F,$E150,FRAGEN_MASTER!$M:$M,"ZU_PRÜFEN")</x:f>
        <x:v>0</x:v>
      </x:c>
      <x:c r="I150" s="36" t="n">
        <x:f>COUNTIFS(FRAGEN_MASTER!$F:$F,$E150,FRAGEN_MASTER!$M:$M,"BEHALTEN")</x:f>
        <x:v>0</x:v>
      </x:c>
      <x:c r="J150" s="36" t="n">
        <x:f>COUNTIFS(FRAGEN_MASTER!$F:$F,$E150,FRAGEN_MASTER!$M:$M,"VERBESSERN")</x:f>
        <x:v>0</x:v>
      </x:c>
      <x:c r="K150" s="36" t="n">
        <x:f>COUNTIFS(FRAGEN_MASTER!$F:$F,$E150,FRAGEN_MASTER!$M:$M,"ERSETZEN")</x:f>
        <x:v>5</x:v>
      </x:c>
      <x:c r="L150" s="36" t="n">
        <x:f>COUNTIFS(FRAGEN_MASTER!$F:$F,$E150,FRAGEN_MASTER!$AG:$AG,"FREIGEGEBEN")</x:f>
        <x:v>5</x:v>
      </x:c>
      <x:c r="M150" s="36" t="n">
        <x:f>COUNTIFS(FRAGEN_MASTER!$F:$F,$E150,FRAGEN_MASTER!$AL:$AL,"JA")</x:f>
        <x:v>5</x:v>
      </x:c>
      <x:c r="N150" s="36" t="str">
        <x:f>IF(M150=5,"FREIGEGEBEN",IF(H150=5,"NOCH_NICHT_GEPRÜFT","IN_ARBEIT"))</x:f>
        <x:v>FREIGEGEBEN</x:v>
      </x:c>
      <x:c r="O150" s="36" t="n">
        <x:f>COUNTIFS(FRAGEN_MASTER!$F:$F,$E150,FRAGEN_MASTER!$P:$P,"GESCHEHEN")</x:f>
        <x:v>1</x:v>
      </x:c>
      <x:c r="P150" s="36" t="n">
        <x:f>COUNTIFS(FRAGEN_MASTER!$F:$F,$E150,FRAGEN_MASTER!$P:$P,"PERSON_AUSSAGE")</x:f>
        <x:v>1</x:v>
      </x:c>
      <x:c r="Q150" s="36" t="n">
        <x:f>COUNTIFS(FRAGEN_MASTER!$F:$F,$E150,FRAGEN_MASTER!$P:$P,"ZUSAMMENHANG")</x:f>
        <x:v>1</x:v>
      </x:c>
      <x:c r="R150" s="36" t="n">
        <x:f>COUNTIFS(FRAGEN_MASTER!$F:$F,$E150,FRAGEN_MASTER!$P:$P,"KERNAUSSAGE")</x:f>
        <x:v>1</x:v>
      </x:c>
      <x:c r="S150" s="36" t="n">
        <x:f>COUNTIFS(FRAGEN_MASTER!$F:$F,$E150,FRAGEN_MASTER!$P:$P,"TEXTGENAUIGKEIT")</x:f>
        <x:v>1</x:v>
      </x:c>
      <x:c r="T150" s="36" t="n">
        <x:f>COUNTIFS(FRAGEN_MASTER!$F:$F,$E150,FRAGEN_MASTER!$P:$P,"DETAIL")+COUNTIFS(FRAGEN_MASTER!$F:$F,$E150,FRAGEN_MASTER!$P:$P,"SONSTIGES")</x:f>
        <x:v>0</x:v>
      </x:c>
      <x:c r="U150" s="36" t="str">
        <x:v>1. Korinther 16: 5/5 repetitive Kapitel-Erkennungsfragen ersetzt, gegen L1912 + OTB geprüft und freigegeben.</x:v>
      </x:c>
    </x:row>
    <x:row r="151">
      <x:c r="A151" s="36" t="n">
        <x:v>150</x:v>
      </x:c>
      <x:c r="B151" s="36" t="str">
        <x:v>2CO</x:v>
      </x:c>
      <x:c r="C151" s="36" t="str">
        <x:v>2. Korinther</x:v>
      </x:c>
      <x:c r="D151" s="36" t="n">
        <x:v>1</x:v>
      </x:c>
      <x:c r="E151" s="36" t="str">
        <x:v>2CO-001</x:v>
      </x:c>
      <x:c r="F151" s="36" t="str">
        <x:v>FP-1006</x:v>
      </x:c>
      <x:c r="G151" s="36" t="str">
        <x:v>FP-1010</x:v>
      </x:c>
      <x:c r="H151" s="36" t="n">
        <x:f>COUNTIFS(FRAGEN_MASTER!$F:$F,$E151,FRAGEN_MASTER!$M:$M,"ZU_PRÜFEN")</x:f>
        <x:v>0</x:v>
      </x:c>
      <x:c r="I151" s="36" t="n">
        <x:f>COUNTIFS(FRAGEN_MASTER!$F:$F,$E151,FRAGEN_MASTER!$M:$M,"BEHALTEN")</x:f>
        <x:v>0</x:v>
      </x:c>
      <x:c r="J151" s="36" t="n">
        <x:f>COUNTIFS(FRAGEN_MASTER!$F:$F,$E151,FRAGEN_MASTER!$M:$M,"VERBESSERN")</x:f>
        <x:v>0</x:v>
      </x:c>
      <x:c r="K151" s="36" t="n">
        <x:f>COUNTIFS(FRAGEN_MASTER!$F:$F,$E151,FRAGEN_MASTER!$M:$M,"ERSETZEN")</x:f>
        <x:v>5</x:v>
      </x:c>
      <x:c r="L151" s="36" t="n">
        <x:f>COUNTIFS(FRAGEN_MASTER!$F:$F,$E151,FRAGEN_MASTER!$AG:$AG,"FREIGEGEBEN")</x:f>
        <x:v>5</x:v>
      </x:c>
      <x:c r="M151" s="36" t="n">
        <x:f>COUNTIFS(FRAGEN_MASTER!$F:$F,$E151,FRAGEN_MASTER!$AL:$AL,"JA")</x:f>
        <x:v>5</x:v>
      </x:c>
      <x:c r="N151" s="36" t="str">
        <x:f>IF(M151=5,"FREIGEGEBEN",IF(H151=5,"NOCH_NICHT_GEPRÜFT","IN_ARBEIT"))</x:f>
        <x:v>FREIGEGEBEN</x:v>
      </x:c>
      <x:c r="O151" s="36" t="n">
        <x:f>COUNTIFS(FRAGEN_MASTER!$F:$F,$E151,FRAGEN_MASTER!$P:$P,"GESCHEHEN")</x:f>
        <x:v>0</x:v>
      </x:c>
      <x:c r="P151" s="36" t="n">
        <x:f>COUNTIFS(FRAGEN_MASTER!$F:$F,$E151,FRAGEN_MASTER!$P:$P,"PERSON_AUSSAGE")</x:f>
        <x:v>0</x:v>
      </x:c>
      <x:c r="Q151" s="36" t="n">
        <x:f>COUNTIFS(FRAGEN_MASTER!$F:$F,$E151,FRAGEN_MASTER!$P:$P,"ZUSAMMENHANG")</x:f>
        <x:v>2</x:v>
      </x:c>
      <x:c r="R151" s="36" t="n">
        <x:f>COUNTIFS(FRAGEN_MASTER!$F:$F,$E151,FRAGEN_MASTER!$P:$P,"KERNAUSSAGE")</x:f>
        <x:v>3</x:v>
      </x:c>
      <x:c r="S151" s="36" t="n">
        <x:f>COUNTIFS(FRAGEN_MASTER!$F:$F,$E151,FRAGEN_MASTER!$P:$P,"TEXTGENAUIGKEIT")</x:f>
        <x:v>0</x:v>
      </x:c>
      <x:c r="T151" s="36" t="n">
        <x:f>COUNTIFS(FRAGEN_MASTER!$F:$F,$E151,FRAGEN_MASTER!$P:$P,"DETAIL")+COUNTIFS(FRAGEN_MASTER!$F:$F,$E151,FRAGEN_MASTER!$P:$P,"SONSTIGES")</x:f>
        <x:v>0</x:v>
      </x:c>
      <x:c r="U151" s="36" t="str">
        <x:v>2. Korinther 1: 5/5 repetitive Kapitel-Erkennungsfragen ersetzt, gegen L1912 + OTB geprüft und freigegeben.</x:v>
      </x:c>
    </x:row>
    <x:row r="152">
      <x:c r="A152" s="36" t="n">
        <x:v>151</x:v>
      </x:c>
      <x:c r="B152" s="36" t="str">
        <x:v>2CO</x:v>
      </x:c>
      <x:c r="C152" s="36" t="str">
        <x:v>2. Korinther</x:v>
      </x:c>
      <x:c r="D152" s="36" t="n">
        <x:v>2</x:v>
      </x:c>
      <x:c r="E152" s="36" t="str">
        <x:v>2CO-002</x:v>
      </x:c>
      <x:c r="F152" s="36" t="str">
        <x:v>FP-1011</x:v>
      </x:c>
      <x:c r="G152" s="36" t="str">
        <x:v>FP-1015</x:v>
      </x:c>
      <x:c r="H152" s="36" t="n">
        <x:f>COUNTIFS(FRAGEN_MASTER!$F:$F,$E152,FRAGEN_MASTER!$M:$M,"ZU_PRÜFEN")</x:f>
        <x:v>0</x:v>
      </x:c>
      <x:c r="I152" s="36" t="n">
        <x:f>COUNTIFS(FRAGEN_MASTER!$F:$F,$E152,FRAGEN_MASTER!$M:$M,"BEHALTEN")</x:f>
        <x:v>0</x:v>
      </x:c>
      <x:c r="J152" s="36" t="n">
        <x:f>COUNTIFS(FRAGEN_MASTER!$F:$F,$E152,FRAGEN_MASTER!$M:$M,"VERBESSERN")</x:f>
        <x:v>0</x:v>
      </x:c>
      <x:c r="K152" s="36" t="n">
        <x:f>COUNTIFS(FRAGEN_MASTER!$F:$F,$E152,FRAGEN_MASTER!$M:$M,"ERSETZEN")</x:f>
        <x:v>5</x:v>
      </x:c>
      <x:c r="L152" s="36" t="n">
        <x:f>COUNTIFS(FRAGEN_MASTER!$F:$F,$E152,FRAGEN_MASTER!$AG:$AG,"FREIGEGEBEN")</x:f>
        <x:v>5</x:v>
      </x:c>
      <x:c r="M152" s="36" t="n">
        <x:f>COUNTIFS(FRAGEN_MASTER!$F:$F,$E152,FRAGEN_MASTER!$AL:$AL,"JA")</x:f>
        <x:v>5</x:v>
      </x:c>
      <x:c r="N152" s="36" t="str">
        <x:f>IF(M152=5,"FREIGEGEBEN",IF(H152=5,"NOCH_NICHT_GEPRÜFT","IN_ARBEIT"))</x:f>
        <x:v>FREIGEGEBEN</x:v>
      </x:c>
      <x:c r="O152" s="36" t="n">
        <x:f>COUNTIFS(FRAGEN_MASTER!$F:$F,$E152,FRAGEN_MASTER!$P:$P,"GESCHEHEN")</x:f>
        <x:v>0</x:v>
      </x:c>
      <x:c r="P152" s="36" t="n">
        <x:f>COUNTIFS(FRAGEN_MASTER!$F:$F,$E152,FRAGEN_MASTER!$P:$P,"PERSON_AUSSAGE")</x:f>
        <x:v>0</x:v>
      </x:c>
      <x:c r="Q152" s="36" t="n">
        <x:f>COUNTIFS(FRAGEN_MASTER!$F:$F,$E152,FRAGEN_MASTER!$P:$P,"ZUSAMMENHANG")</x:f>
        <x:v>2</x:v>
      </x:c>
      <x:c r="R152" s="36" t="n">
        <x:f>COUNTIFS(FRAGEN_MASTER!$F:$F,$E152,FRAGEN_MASTER!$P:$P,"KERNAUSSAGE")</x:f>
        <x:v>3</x:v>
      </x:c>
      <x:c r="S152" s="36" t="n">
        <x:f>COUNTIFS(FRAGEN_MASTER!$F:$F,$E152,FRAGEN_MASTER!$P:$P,"TEXTGENAUIGKEIT")</x:f>
        <x:v>0</x:v>
      </x:c>
      <x:c r="T152" s="36" t="n">
        <x:f>COUNTIFS(FRAGEN_MASTER!$F:$F,$E152,FRAGEN_MASTER!$P:$P,"DETAIL")+COUNTIFS(FRAGEN_MASTER!$F:$F,$E152,FRAGEN_MASTER!$P:$P,"SONSTIGES")</x:f>
        <x:v>0</x:v>
      </x:c>
      <x:c r="U152" s="36" t="str">
        <x:v>2. Korinther 2: 5/5 repetitive Kapitel-Erkennungsfragen ersetzt, gegen L1912 + OTB geprüft und freigegeben.</x:v>
      </x:c>
    </x:row>
    <x:row r="153">
      <x:c r="A153" s="36" t="n">
        <x:v>152</x:v>
      </x:c>
      <x:c r="B153" s="36" t="str">
        <x:v>2CO</x:v>
      </x:c>
      <x:c r="C153" s="36" t="str">
        <x:v>2. Korinther</x:v>
      </x:c>
      <x:c r="D153" s="36" t="n">
        <x:v>3</x:v>
      </x:c>
      <x:c r="E153" s="36" t="str">
        <x:v>2CO-003</x:v>
      </x:c>
      <x:c r="F153" s="36" t="str">
        <x:v>FP-1016</x:v>
      </x:c>
      <x:c r="G153" s="36" t="str">
        <x:v>FP-1020</x:v>
      </x:c>
      <x:c r="H153" s="36" t="n">
        <x:f>COUNTIFS(FRAGEN_MASTER!$F:$F,$E153,FRAGEN_MASTER!$M:$M,"ZU_PRÜFEN")</x:f>
        <x:v>0</x:v>
      </x:c>
      <x:c r="I153" s="36" t="n">
        <x:f>COUNTIFS(FRAGEN_MASTER!$F:$F,$E153,FRAGEN_MASTER!$M:$M,"BEHALTEN")</x:f>
        <x:v>0</x:v>
      </x:c>
      <x:c r="J153" s="36" t="n">
        <x:f>COUNTIFS(FRAGEN_MASTER!$F:$F,$E153,FRAGEN_MASTER!$M:$M,"VERBESSERN")</x:f>
        <x:v>0</x:v>
      </x:c>
      <x:c r="K153" s="36" t="n">
        <x:f>COUNTIFS(FRAGEN_MASTER!$F:$F,$E153,FRAGEN_MASTER!$M:$M,"ERSETZEN")</x:f>
        <x:v>5</x:v>
      </x:c>
      <x:c r="L153" s="36" t="n">
        <x:f>COUNTIFS(FRAGEN_MASTER!$F:$F,$E153,FRAGEN_MASTER!$AG:$AG,"FREIGEGEBEN")</x:f>
        <x:v>5</x:v>
      </x:c>
      <x:c r="M153" s="36" t="n">
        <x:f>COUNTIFS(FRAGEN_MASTER!$F:$F,$E153,FRAGEN_MASTER!$AL:$AL,"JA")</x:f>
        <x:v>5</x:v>
      </x:c>
      <x:c r="N153" s="36" t="str">
        <x:f>IF(M153=5,"FREIGEGEBEN",IF(H153=5,"NOCH_NICHT_GEPRÜFT","IN_ARBEIT"))</x:f>
        <x:v>FREIGEGEBEN</x:v>
      </x:c>
      <x:c r="O153" s="36" t="n">
        <x:f>COUNTIFS(FRAGEN_MASTER!$F:$F,$E153,FRAGEN_MASTER!$P:$P,"GESCHEHEN")</x:f>
        <x:v>0</x:v>
      </x:c>
      <x:c r="P153" s="36" t="n">
        <x:f>COUNTIFS(FRAGEN_MASTER!$F:$F,$E153,FRAGEN_MASTER!$P:$P,"PERSON_AUSSAGE")</x:f>
        <x:v>0</x:v>
      </x:c>
      <x:c r="Q153" s="36" t="n">
        <x:f>COUNTIFS(FRAGEN_MASTER!$F:$F,$E153,FRAGEN_MASTER!$P:$P,"ZUSAMMENHANG")</x:f>
        <x:v>3</x:v>
      </x:c>
      <x:c r="R153" s="36" t="n">
        <x:f>COUNTIFS(FRAGEN_MASTER!$F:$F,$E153,FRAGEN_MASTER!$P:$P,"KERNAUSSAGE")</x:f>
        <x:v>2</x:v>
      </x:c>
      <x:c r="S153" s="36" t="n">
        <x:f>COUNTIFS(FRAGEN_MASTER!$F:$F,$E153,FRAGEN_MASTER!$P:$P,"TEXTGENAUIGKEIT")</x:f>
        <x:v>0</x:v>
      </x:c>
      <x:c r="T153" s="36" t="n">
        <x:f>COUNTIFS(FRAGEN_MASTER!$F:$F,$E153,FRAGEN_MASTER!$P:$P,"DETAIL")+COUNTIFS(FRAGEN_MASTER!$F:$F,$E153,FRAGEN_MASTER!$P:$P,"SONSTIGES")</x:f>
        <x:v>0</x:v>
      </x:c>
      <x:c r="U153" s="36" t="str">
        <x:v>2. Korinther 3: 5/5 repetitive Kapitel-Erkennungsfragen ersetzt, gegen L1912 + OTB geprüft und freigegeben.</x:v>
      </x:c>
    </x:row>
    <x:row r="154">
      <x:c r="A154" s="36" t="n">
        <x:v>153</x:v>
      </x:c>
      <x:c r="B154" s="36" t="str">
        <x:v>2CO</x:v>
      </x:c>
      <x:c r="C154" s="36" t="str">
        <x:v>2. Korinther</x:v>
      </x:c>
      <x:c r="D154" s="36" t="n">
        <x:v>4</x:v>
      </x:c>
      <x:c r="E154" s="36" t="str">
        <x:v>2CO-004</x:v>
      </x:c>
      <x:c r="F154" s="36" t="str">
        <x:v>FP-1021</x:v>
      </x:c>
      <x:c r="G154" s="36" t="str">
        <x:v>FP-1025</x:v>
      </x:c>
      <x:c r="H154" s="36" t="n">
        <x:f>COUNTIFS(FRAGEN_MASTER!$F:$F,$E154,FRAGEN_MASTER!$M:$M,"ZU_PRÜFEN")</x:f>
        <x:v>0</x:v>
      </x:c>
      <x:c r="I154" s="36" t="n">
        <x:f>COUNTIFS(FRAGEN_MASTER!$F:$F,$E154,FRAGEN_MASTER!$M:$M,"BEHALTEN")</x:f>
        <x:v>0</x:v>
      </x:c>
      <x:c r="J154" s="36" t="n">
        <x:f>COUNTIFS(FRAGEN_MASTER!$F:$F,$E154,FRAGEN_MASTER!$M:$M,"VERBESSERN")</x:f>
        <x:v>0</x:v>
      </x:c>
      <x:c r="K154" s="36" t="n">
        <x:f>COUNTIFS(FRAGEN_MASTER!$F:$F,$E154,FRAGEN_MASTER!$M:$M,"ERSETZEN")</x:f>
        <x:v>5</x:v>
      </x:c>
      <x:c r="L154" s="36" t="n">
        <x:f>COUNTIFS(FRAGEN_MASTER!$F:$F,$E154,FRAGEN_MASTER!$AG:$AG,"FREIGEGEBEN")</x:f>
        <x:v>5</x:v>
      </x:c>
      <x:c r="M154" s="36" t="n">
        <x:f>COUNTIFS(FRAGEN_MASTER!$F:$F,$E154,FRAGEN_MASTER!$AL:$AL,"JA")</x:f>
        <x:v>5</x:v>
      </x:c>
      <x:c r="N154" s="36" t="str">
        <x:f>IF(M154=5,"FREIGEGEBEN",IF(H154=5,"NOCH_NICHT_GEPRÜFT","IN_ARBEIT"))</x:f>
        <x:v>FREIGEGEBEN</x:v>
      </x:c>
      <x:c r="O154" s="36" t="n">
        <x:f>COUNTIFS(FRAGEN_MASTER!$F:$F,$E154,FRAGEN_MASTER!$P:$P,"GESCHEHEN")</x:f>
        <x:v>0</x:v>
      </x:c>
      <x:c r="P154" s="36" t="n">
        <x:f>COUNTIFS(FRAGEN_MASTER!$F:$F,$E154,FRAGEN_MASTER!$P:$P,"PERSON_AUSSAGE")</x:f>
        <x:v>0</x:v>
      </x:c>
      <x:c r="Q154" s="36" t="n">
        <x:f>COUNTIFS(FRAGEN_MASTER!$F:$F,$E154,FRAGEN_MASTER!$P:$P,"ZUSAMMENHANG")</x:f>
        <x:v>2</x:v>
      </x:c>
      <x:c r="R154" s="36" t="n">
        <x:f>COUNTIFS(FRAGEN_MASTER!$F:$F,$E154,FRAGEN_MASTER!$P:$P,"KERNAUSSAGE")</x:f>
        <x:v>3</x:v>
      </x:c>
      <x:c r="S154" s="36" t="n">
        <x:f>COUNTIFS(FRAGEN_MASTER!$F:$F,$E154,FRAGEN_MASTER!$P:$P,"TEXTGENAUIGKEIT")</x:f>
        <x:v>0</x:v>
      </x:c>
      <x:c r="T154" s="36" t="n">
        <x:f>COUNTIFS(FRAGEN_MASTER!$F:$F,$E154,FRAGEN_MASTER!$P:$P,"DETAIL")+COUNTIFS(FRAGEN_MASTER!$F:$F,$E154,FRAGEN_MASTER!$P:$P,"SONSTIGES")</x:f>
        <x:v>0</x:v>
      </x:c>
      <x:c r="U154" s="36" t="str">
        <x:v>2. Korinther 4: 5/5 repetitive Kapitel-Erkennungsfragen ersetzt, gegen L1912 + OTB geprüft und freigegeben.</x:v>
      </x:c>
    </x:row>
    <x:row r="155">
      <x:c r="A155" s="36" t="n">
        <x:v>154</x:v>
      </x:c>
      <x:c r="B155" s="36" t="str">
        <x:v>2CO</x:v>
      </x:c>
      <x:c r="C155" s="36" t="str">
        <x:v>2. Korinther</x:v>
      </x:c>
      <x:c r="D155" s="36" t="n">
        <x:v>5</x:v>
      </x:c>
      <x:c r="E155" s="36" t="str">
        <x:v>2CO-005</x:v>
      </x:c>
      <x:c r="F155" s="36" t="str">
        <x:v>FP-1026</x:v>
      </x:c>
      <x:c r="G155" s="36" t="str">
        <x:v>FP-1030</x:v>
      </x:c>
      <x:c r="H155" s="36" t="n">
        <x:f>COUNTIFS(FRAGEN_MASTER!$F:$F,$E155,FRAGEN_MASTER!$M:$M,"ZU_PRÜFEN")</x:f>
        <x:v>0</x:v>
      </x:c>
      <x:c r="I155" s="36" t="n">
        <x:f>COUNTIFS(FRAGEN_MASTER!$F:$F,$E155,FRAGEN_MASTER!$M:$M,"BEHALTEN")</x:f>
        <x:v>0</x:v>
      </x:c>
      <x:c r="J155" s="36" t="n">
        <x:f>COUNTIFS(FRAGEN_MASTER!$F:$F,$E155,FRAGEN_MASTER!$M:$M,"VERBESSERN")</x:f>
        <x:v>0</x:v>
      </x:c>
      <x:c r="K155" s="36" t="n">
        <x:f>COUNTIFS(FRAGEN_MASTER!$F:$F,$E155,FRAGEN_MASTER!$M:$M,"ERSETZEN")</x:f>
        <x:v>5</x:v>
      </x:c>
      <x:c r="L155" s="36" t="n">
        <x:f>COUNTIFS(FRAGEN_MASTER!$F:$F,$E155,FRAGEN_MASTER!$AG:$AG,"FREIGEGEBEN")</x:f>
        <x:v>5</x:v>
      </x:c>
      <x:c r="M155" s="36" t="n">
        <x:f>COUNTIFS(FRAGEN_MASTER!$F:$F,$E155,FRAGEN_MASTER!$AL:$AL,"JA")</x:f>
        <x:v>5</x:v>
      </x:c>
      <x:c r="N155" s="36" t="str">
        <x:f>IF(M155=5,"FREIGEGEBEN",IF(H155=5,"NOCH_NICHT_GEPRÜFT","IN_ARBEIT"))</x:f>
        <x:v>FREIGEGEBEN</x:v>
      </x:c>
      <x:c r="O155" s="36" t="n">
        <x:f>COUNTIFS(FRAGEN_MASTER!$F:$F,$E155,FRAGEN_MASTER!$P:$P,"GESCHEHEN")</x:f>
        <x:v>0</x:v>
      </x:c>
      <x:c r="P155" s="36" t="n">
        <x:f>COUNTIFS(FRAGEN_MASTER!$F:$F,$E155,FRAGEN_MASTER!$P:$P,"PERSON_AUSSAGE")</x:f>
        <x:v>0</x:v>
      </x:c>
      <x:c r="Q155" s="36" t="n">
        <x:f>COUNTIFS(FRAGEN_MASTER!$F:$F,$E155,FRAGEN_MASTER!$P:$P,"ZUSAMMENHANG")</x:f>
        <x:v>0</x:v>
      </x:c>
      <x:c r="R155" s="36" t="n">
        <x:f>COUNTIFS(FRAGEN_MASTER!$F:$F,$E155,FRAGEN_MASTER!$P:$P,"KERNAUSSAGE")</x:f>
        <x:v>5</x:v>
      </x:c>
      <x:c r="S155" s="36" t="n">
        <x:f>COUNTIFS(FRAGEN_MASTER!$F:$F,$E155,FRAGEN_MASTER!$P:$P,"TEXTGENAUIGKEIT")</x:f>
        <x:v>0</x:v>
      </x:c>
      <x:c r="T155" s="36" t="n">
        <x:f>COUNTIFS(FRAGEN_MASTER!$F:$F,$E155,FRAGEN_MASTER!$P:$P,"DETAIL")+COUNTIFS(FRAGEN_MASTER!$F:$F,$E155,FRAGEN_MASTER!$P:$P,"SONSTIGES")</x:f>
        <x:v>0</x:v>
      </x:c>
      <x:c r="U155" s="36" t="str">
        <x:v>2. Korinther 5: 5/5 repetitive Kapitel-Erkennungsfragen ersetzt, gegen L1912 + OTB geprüft und freigegeben.</x:v>
      </x:c>
    </x:row>
    <x:row r="156">
      <x:c r="A156" s="36" t="n">
        <x:v>155</x:v>
      </x:c>
      <x:c r="B156" s="36" t="str">
        <x:v>2CO</x:v>
      </x:c>
      <x:c r="C156" s="36" t="str">
        <x:v>2. Korinther</x:v>
      </x:c>
      <x:c r="D156" s="36" t="n">
        <x:v>6</x:v>
      </x:c>
      <x:c r="E156" s="36" t="str">
        <x:v>2CO-006</x:v>
      </x:c>
      <x:c r="F156" s="36" t="str">
        <x:v>FP-1031</x:v>
      </x:c>
      <x:c r="G156" s="36" t="str">
        <x:v>FP-1035</x:v>
      </x:c>
      <x:c r="H156" s="36" t="n">
        <x:f>COUNTIFS(FRAGEN_MASTER!$F:$F,$E156,FRAGEN_MASTER!$M:$M,"ZU_PRÜFEN")</x:f>
        <x:v>0</x:v>
      </x:c>
      <x:c r="I156" s="36" t="n">
        <x:f>COUNTIFS(FRAGEN_MASTER!$F:$F,$E156,FRAGEN_MASTER!$M:$M,"BEHALTEN")</x:f>
        <x:v>0</x:v>
      </x:c>
      <x:c r="J156" s="36" t="n">
        <x:f>COUNTIFS(FRAGEN_MASTER!$F:$F,$E156,FRAGEN_MASTER!$M:$M,"VERBESSERN")</x:f>
        <x:v>0</x:v>
      </x:c>
      <x:c r="K156" s="36" t="n">
        <x:f>COUNTIFS(FRAGEN_MASTER!$F:$F,$E156,FRAGEN_MASTER!$M:$M,"ERSETZEN")</x:f>
        <x:v>5</x:v>
      </x:c>
      <x:c r="L156" s="36" t="n">
        <x:f>COUNTIFS(FRAGEN_MASTER!$F:$F,$E156,FRAGEN_MASTER!$AG:$AG,"FREIGEGEBEN")</x:f>
        <x:v>5</x:v>
      </x:c>
      <x:c r="M156" s="36" t="n">
        <x:f>COUNTIFS(FRAGEN_MASTER!$F:$F,$E156,FRAGEN_MASTER!$AL:$AL,"JA")</x:f>
        <x:v>5</x:v>
      </x:c>
      <x:c r="N156" s="36" t="str">
        <x:f>IF(M156=5,"FREIGEGEBEN",IF(H156=5,"NOCH_NICHT_GEPRÜFT","IN_ARBEIT"))</x:f>
        <x:v>FREIGEGEBEN</x:v>
      </x:c>
      <x:c r="O156" s="36" t="n">
        <x:f>COUNTIFS(FRAGEN_MASTER!$F:$F,$E156,FRAGEN_MASTER!$P:$P,"GESCHEHEN")</x:f>
        <x:v>0</x:v>
      </x:c>
      <x:c r="P156" s="36" t="n">
        <x:f>COUNTIFS(FRAGEN_MASTER!$F:$F,$E156,FRAGEN_MASTER!$P:$P,"PERSON_AUSSAGE")</x:f>
        <x:v>1</x:v>
      </x:c>
      <x:c r="Q156" s="36" t="n">
        <x:f>COUNTIFS(FRAGEN_MASTER!$F:$F,$E156,FRAGEN_MASTER!$P:$P,"ZUSAMMENHANG")</x:f>
        <x:v>1</x:v>
      </x:c>
      <x:c r="R156" s="36" t="n">
        <x:f>COUNTIFS(FRAGEN_MASTER!$F:$F,$E156,FRAGEN_MASTER!$P:$P,"KERNAUSSAGE")</x:f>
        <x:v>3</x:v>
      </x:c>
      <x:c r="S156" s="36" t="n">
        <x:f>COUNTIFS(FRAGEN_MASTER!$F:$F,$E156,FRAGEN_MASTER!$P:$P,"TEXTGENAUIGKEIT")</x:f>
        <x:v>0</x:v>
      </x:c>
      <x:c r="T156" s="36" t="n">
        <x:f>COUNTIFS(FRAGEN_MASTER!$F:$F,$E156,FRAGEN_MASTER!$P:$P,"DETAIL")+COUNTIFS(FRAGEN_MASTER!$F:$F,$E156,FRAGEN_MASTER!$P:$P,"SONSTIGES")</x:f>
        <x:v>0</x:v>
      </x:c>
      <x:c r="U156" s="36" t="str">
        <x:v>2. Korinther 6: 5/5 repetitive Kapitel-Erkennungsfragen ersetzt, gegen L1912 + OTB geprüft und freigegeben.</x:v>
      </x:c>
    </x:row>
    <x:row r="157">
      <x:c r="A157" s="36" t="n">
        <x:v>156</x:v>
      </x:c>
      <x:c r="B157" s="36" t="str">
        <x:v>2CO</x:v>
      </x:c>
      <x:c r="C157" s="36" t="str">
        <x:v>2. Korinther</x:v>
      </x:c>
      <x:c r="D157" s="36" t="n">
        <x:v>7</x:v>
      </x:c>
      <x:c r="E157" s="36" t="str">
        <x:v>2CO-007</x:v>
      </x:c>
      <x:c r="F157" s="36" t="str">
        <x:v>FP-1036</x:v>
      </x:c>
      <x:c r="G157" s="36" t="str">
        <x:v>FP-1040</x:v>
      </x:c>
      <x:c r="H157" s="36" t="n">
        <x:f>COUNTIFS(FRAGEN_MASTER!$F:$F,$E157,FRAGEN_MASTER!$M:$M,"ZU_PRÜFEN")</x:f>
        <x:v>0</x:v>
      </x:c>
      <x:c r="I157" s="36" t="n">
        <x:f>COUNTIFS(FRAGEN_MASTER!$F:$F,$E157,FRAGEN_MASTER!$M:$M,"BEHALTEN")</x:f>
        <x:v>0</x:v>
      </x:c>
      <x:c r="J157" s="36" t="n">
        <x:f>COUNTIFS(FRAGEN_MASTER!$F:$F,$E157,FRAGEN_MASTER!$M:$M,"VERBESSERN")</x:f>
        <x:v>0</x:v>
      </x:c>
      <x:c r="K157" s="36" t="n">
        <x:f>COUNTIFS(FRAGEN_MASTER!$F:$F,$E157,FRAGEN_MASTER!$M:$M,"ERSETZEN")</x:f>
        <x:v>5</x:v>
      </x:c>
      <x:c r="L157" s="36" t="n">
        <x:f>COUNTIFS(FRAGEN_MASTER!$F:$F,$E157,FRAGEN_MASTER!$AG:$AG,"FREIGEGEBEN")</x:f>
        <x:v>5</x:v>
      </x:c>
      <x:c r="M157" s="36" t="n">
        <x:f>COUNTIFS(FRAGEN_MASTER!$F:$F,$E157,FRAGEN_MASTER!$AL:$AL,"JA")</x:f>
        <x:v>5</x:v>
      </x:c>
      <x:c r="N157" s="36" t="str">
        <x:f>IF(M157=5,"FREIGEGEBEN",IF(H157=5,"NOCH_NICHT_GEPRÜFT","IN_ARBEIT"))</x:f>
        <x:v>FREIGEGEBEN</x:v>
      </x:c>
      <x:c r="O157" s="36" t="n">
        <x:f>COUNTIFS(FRAGEN_MASTER!$F:$F,$E157,FRAGEN_MASTER!$P:$P,"GESCHEHEN")</x:f>
        <x:v>2</x:v>
      </x:c>
      <x:c r="P157" s="36" t="n">
        <x:f>COUNTIFS(FRAGEN_MASTER!$F:$F,$E157,FRAGEN_MASTER!$P:$P,"PERSON_AUSSAGE")</x:f>
        <x:v>1</x:v>
      </x:c>
      <x:c r="Q157" s="36" t="n">
        <x:f>COUNTIFS(FRAGEN_MASTER!$F:$F,$E157,FRAGEN_MASTER!$P:$P,"ZUSAMMENHANG")</x:f>
        <x:v>1</x:v>
      </x:c>
      <x:c r="R157" s="36" t="n">
        <x:f>COUNTIFS(FRAGEN_MASTER!$F:$F,$E157,FRAGEN_MASTER!$P:$P,"KERNAUSSAGE")</x:f>
        <x:v>1</x:v>
      </x:c>
      <x:c r="S157" s="36" t="n">
        <x:f>COUNTIFS(FRAGEN_MASTER!$F:$F,$E157,FRAGEN_MASTER!$P:$P,"TEXTGENAUIGKEIT")</x:f>
        <x:v>0</x:v>
      </x:c>
      <x:c r="T157" s="36" t="n">
        <x:f>COUNTIFS(FRAGEN_MASTER!$F:$F,$E157,FRAGEN_MASTER!$P:$P,"DETAIL")+COUNTIFS(FRAGEN_MASTER!$F:$F,$E157,FRAGEN_MASTER!$P:$P,"SONSTIGES")</x:f>
        <x:v>0</x:v>
      </x:c>
      <x:c r="U157" s="36" t="str">
        <x:v>2. Korinther 7: 5/5 repetitive Kapitel-Erkennungsfragen ersetzt, gegen L1912 + OTB geprüft und freigegeben.</x:v>
      </x:c>
    </x:row>
    <x:row r="158">
      <x:c r="A158" s="36" t="n">
        <x:v>157</x:v>
      </x:c>
      <x:c r="B158" s="36" t="str">
        <x:v>2CO</x:v>
      </x:c>
      <x:c r="C158" s="36" t="str">
        <x:v>2. Korinther</x:v>
      </x:c>
      <x:c r="D158" s="36" t="n">
        <x:v>8</x:v>
      </x:c>
      <x:c r="E158" s="36" t="str">
        <x:v>2CO-008</x:v>
      </x:c>
      <x:c r="F158" s="36" t="str">
        <x:v>FP-1041</x:v>
      </x:c>
      <x:c r="G158" s="36" t="str">
        <x:v>FP-1045</x:v>
      </x:c>
      <x:c r="H158" s="36" t="n">
        <x:f>COUNTIFS(FRAGEN_MASTER!$F:$F,$E158,FRAGEN_MASTER!$M:$M,"ZU_PRÜFEN")</x:f>
        <x:v>0</x:v>
      </x:c>
      <x:c r="I158" s="36" t="n">
        <x:f>COUNTIFS(FRAGEN_MASTER!$F:$F,$E158,FRAGEN_MASTER!$M:$M,"BEHALTEN")</x:f>
        <x:v>0</x:v>
      </x:c>
      <x:c r="J158" s="36" t="n">
        <x:f>COUNTIFS(FRAGEN_MASTER!$F:$F,$E158,FRAGEN_MASTER!$M:$M,"VERBESSERN")</x:f>
        <x:v>0</x:v>
      </x:c>
      <x:c r="K158" s="36" t="n">
        <x:f>COUNTIFS(FRAGEN_MASTER!$F:$F,$E158,FRAGEN_MASTER!$M:$M,"ERSETZEN")</x:f>
        <x:v>5</x:v>
      </x:c>
      <x:c r="L158" s="36" t="n">
        <x:f>COUNTIFS(FRAGEN_MASTER!$F:$F,$E158,FRAGEN_MASTER!$AG:$AG,"FREIGEGEBEN")</x:f>
        <x:v>5</x:v>
      </x:c>
      <x:c r="M158" s="36" t="n">
        <x:f>COUNTIFS(FRAGEN_MASTER!$F:$F,$E158,FRAGEN_MASTER!$AL:$AL,"JA")</x:f>
        <x:v>5</x:v>
      </x:c>
      <x:c r="N158" s="36" t="str">
        <x:f>IF(M158=5,"FREIGEGEBEN",IF(H158=5,"NOCH_NICHT_GEPRÜFT","IN_ARBEIT"))</x:f>
        <x:v>FREIGEGEBEN</x:v>
      </x:c>
      <x:c r="O158" s="36" t="n">
        <x:f>COUNTIFS(FRAGEN_MASTER!$F:$F,$E158,FRAGEN_MASTER!$P:$P,"GESCHEHEN")</x:f>
        <x:v>0</x:v>
      </x:c>
      <x:c r="P158" s="36" t="n">
        <x:f>COUNTIFS(FRAGEN_MASTER!$F:$F,$E158,FRAGEN_MASTER!$P:$P,"PERSON_AUSSAGE")</x:f>
        <x:v>0</x:v>
      </x:c>
      <x:c r="Q158" s="36" t="n">
        <x:f>COUNTIFS(FRAGEN_MASTER!$F:$F,$E158,FRAGEN_MASTER!$P:$P,"ZUSAMMENHANG")</x:f>
        <x:v>2</x:v>
      </x:c>
      <x:c r="R158" s="36" t="n">
        <x:f>COUNTIFS(FRAGEN_MASTER!$F:$F,$E158,FRAGEN_MASTER!$P:$P,"KERNAUSSAGE")</x:f>
        <x:v>3</x:v>
      </x:c>
      <x:c r="S158" s="36" t="n">
        <x:f>COUNTIFS(FRAGEN_MASTER!$F:$F,$E158,FRAGEN_MASTER!$P:$P,"TEXTGENAUIGKEIT")</x:f>
        <x:v>0</x:v>
      </x:c>
      <x:c r="T158" s="36" t="n">
        <x:f>COUNTIFS(FRAGEN_MASTER!$F:$F,$E158,FRAGEN_MASTER!$P:$P,"DETAIL")+COUNTIFS(FRAGEN_MASTER!$F:$F,$E158,FRAGEN_MASTER!$P:$P,"SONSTIGES")</x:f>
        <x:v>0</x:v>
      </x:c>
      <x:c r="U158" s="36" t="str">
        <x:v>2. Korinther 8: 5/5 repetitive Kapitel-Erkennungsfragen ersetzt, gegen L1912 + OTB geprüft und freigegeben.</x:v>
      </x:c>
    </x:row>
    <x:row r="159">
      <x:c r="A159" s="36" t="n">
        <x:v>158</x:v>
      </x:c>
      <x:c r="B159" s="36" t="str">
        <x:v>2CO</x:v>
      </x:c>
      <x:c r="C159" s="36" t="str">
        <x:v>2. Korinther</x:v>
      </x:c>
      <x:c r="D159" s="36" t="n">
        <x:v>9</x:v>
      </x:c>
      <x:c r="E159" s="36" t="str">
        <x:v>2CO-009</x:v>
      </x:c>
      <x:c r="F159" s="36" t="str">
        <x:v>FP-1046</x:v>
      </x:c>
      <x:c r="G159" s="36" t="str">
        <x:v>FP-1050</x:v>
      </x:c>
      <x:c r="H159" s="36" t="n">
        <x:f>COUNTIFS(FRAGEN_MASTER!$F:$F,$E159,FRAGEN_MASTER!$M:$M,"ZU_PRÜFEN")</x:f>
        <x:v>0</x:v>
      </x:c>
      <x:c r="I159" s="36" t="n">
        <x:f>COUNTIFS(FRAGEN_MASTER!$F:$F,$E159,FRAGEN_MASTER!$M:$M,"BEHALTEN")</x:f>
        <x:v>0</x:v>
      </x:c>
      <x:c r="J159" s="36" t="n">
        <x:f>COUNTIFS(FRAGEN_MASTER!$F:$F,$E159,FRAGEN_MASTER!$M:$M,"VERBESSERN")</x:f>
        <x:v>0</x:v>
      </x:c>
      <x:c r="K159" s="36" t="n">
        <x:f>COUNTIFS(FRAGEN_MASTER!$F:$F,$E159,FRAGEN_MASTER!$M:$M,"ERSETZEN")</x:f>
        <x:v>5</x:v>
      </x:c>
      <x:c r="L159" s="36" t="n">
        <x:f>COUNTIFS(FRAGEN_MASTER!$F:$F,$E159,FRAGEN_MASTER!$AG:$AG,"FREIGEGEBEN")</x:f>
        <x:v>5</x:v>
      </x:c>
      <x:c r="M159" s="36" t="n">
        <x:f>COUNTIFS(FRAGEN_MASTER!$F:$F,$E159,FRAGEN_MASTER!$AL:$AL,"JA")</x:f>
        <x:v>5</x:v>
      </x:c>
      <x:c r="N159" s="36" t="str">
        <x:f>IF(M159=5,"FREIGEGEBEN",IF(H159=5,"NOCH_NICHT_GEPRÜFT","IN_ARBEIT"))</x:f>
        <x:v>FREIGEGEBEN</x:v>
      </x:c>
      <x:c r="O159" s="36" t="n">
        <x:f>COUNTIFS(FRAGEN_MASTER!$F:$F,$E159,FRAGEN_MASTER!$P:$P,"GESCHEHEN")</x:f>
        <x:v>0</x:v>
      </x:c>
      <x:c r="P159" s="36" t="n">
        <x:f>COUNTIFS(FRAGEN_MASTER!$F:$F,$E159,FRAGEN_MASTER!$P:$P,"PERSON_AUSSAGE")</x:f>
        <x:v>0</x:v>
      </x:c>
      <x:c r="Q159" s="36" t="n">
        <x:f>COUNTIFS(FRAGEN_MASTER!$F:$F,$E159,FRAGEN_MASTER!$P:$P,"ZUSAMMENHANG")</x:f>
        <x:v>2</x:v>
      </x:c>
      <x:c r="R159" s="36" t="n">
        <x:f>COUNTIFS(FRAGEN_MASTER!$F:$F,$E159,FRAGEN_MASTER!$P:$P,"KERNAUSSAGE")</x:f>
        <x:v>2</x:v>
      </x:c>
      <x:c r="S159" s="36" t="n">
        <x:f>COUNTIFS(FRAGEN_MASTER!$F:$F,$E159,FRAGEN_MASTER!$P:$P,"TEXTGENAUIGKEIT")</x:f>
        <x:v>1</x:v>
      </x:c>
      <x:c r="T159" s="36" t="n">
        <x:f>COUNTIFS(FRAGEN_MASTER!$F:$F,$E159,FRAGEN_MASTER!$P:$P,"DETAIL")+COUNTIFS(FRAGEN_MASTER!$F:$F,$E159,FRAGEN_MASTER!$P:$P,"SONSTIGES")</x:f>
        <x:v>0</x:v>
      </x:c>
      <x:c r="U159" s="36" t="str">
        <x:v>2. Korinther 9: 5/5 repetitive Kapitel-Erkennungsfragen ersetzt, gegen L1912 + OTB geprüft und freigegeben.</x:v>
      </x:c>
    </x:row>
    <x:row r="160">
      <x:c r="A160" s="36" t="n">
        <x:v>159</x:v>
      </x:c>
      <x:c r="B160" s="36" t="str">
        <x:v>2CO</x:v>
      </x:c>
      <x:c r="C160" s="36" t="str">
        <x:v>2. Korinther</x:v>
      </x:c>
      <x:c r="D160" s="36" t="n">
        <x:v>10</x:v>
      </x:c>
      <x:c r="E160" s="36" t="str">
        <x:v>2CO-010</x:v>
      </x:c>
      <x:c r="F160" s="36" t="str">
        <x:v>FP-1051</x:v>
      </x:c>
      <x:c r="G160" s="36" t="str">
        <x:v>FP-1055</x:v>
      </x:c>
      <x:c r="H160" s="36" t="n">
        <x:f>COUNTIFS(FRAGEN_MASTER!$F:$F,$E160,FRAGEN_MASTER!$M:$M,"ZU_PRÜFEN")</x:f>
        <x:v>0</x:v>
      </x:c>
      <x:c r="I160" s="36" t="n">
        <x:f>COUNTIFS(FRAGEN_MASTER!$F:$F,$E160,FRAGEN_MASTER!$M:$M,"BEHALTEN")</x:f>
        <x:v>0</x:v>
      </x:c>
      <x:c r="J160" s="36" t="n">
        <x:f>COUNTIFS(FRAGEN_MASTER!$F:$F,$E160,FRAGEN_MASTER!$M:$M,"VERBESSERN")</x:f>
        <x:v>0</x:v>
      </x:c>
      <x:c r="K160" s="36" t="n">
        <x:f>COUNTIFS(FRAGEN_MASTER!$F:$F,$E160,FRAGEN_MASTER!$M:$M,"ERSETZEN")</x:f>
        <x:v>5</x:v>
      </x:c>
      <x:c r="L160" s="36" t="n">
        <x:f>COUNTIFS(FRAGEN_MASTER!$F:$F,$E160,FRAGEN_MASTER!$AG:$AG,"FREIGEGEBEN")</x:f>
        <x:v>5</x:v>
      </x:c>
      <x:c r="M160" s="36" t="n">
        <x:f>COUNTIFS(FRAGEN_MASTER!$F:$F,$E160,FRAGEN_MASTER!$AL:$AL,"JA")</x:f>
        <x:v>5</x:v>
      </x:c>
      <x:c r="N160" s="36" t="str">
        <x:f>IF(M160=5,"FREIGEGEBEN",IF(H160=5,"NOCH_NICHT_GEPRÜFT","IN_ARBEIT"))</x:f>
        <x:v>FREIGEGEBEN</x:v>
      </x:c>
      <x:c r="O160" s="36" t="n">
        <x:f>COUNTIFS(FRAGEN_MASTER!$F:$F,$E160,FRAGEN_MASTER!$P:$P,"GESCHEHEN")</x:f>
        <x:v>0</x:v>
      </x:c>
      <x:c r="P160" s="36" t="n">
        <x:f>COUNTIFS(FRAGEN_MASTER!$F:$F,$E160,FRAGEN_MASTER!$P:$P,"PERSON_AUSSAGE")</x:f>
        <x:v>0</x:v>
      </x:c>
      <x:c r="Q160" s="36" t="n">
        <x:f>COUNTIFS(FRAGEN_MASTER!$F:$F,$E160,FRAGEN_MASTER!$P:$P,"ZUSAMMENHANG")</x:f>
        <x:v>2</x:v>
      </x:c>
      <x:c r="R160" s="36" t="n">
        <x:f>COUNTIFS(FRAGEN_MASTER!$F:$F,$E160,FRAGEN_MASTER!$P:$P,"KERNAUSSAGE")</x:f>
        <x:v>3</x:v>
      </x:c>
      <x:c r="S160" s="36" t="n">
        <x:f>COUNTIFS(FRAGEN_MASTER!$F:$F,$E160,FRAGEN_MASTER!$P:$P,"TEXTGENAUIGKEIT")</x:f>
        <x:v>0</x:v>
      </x:c>
      <x:c r="T160" s="36" t="n">
        <x:f>COUNTIFS(FRAGEN_MASTER!$F:$F,$E160,FRAGEN_MASTER!$P:$P,"DETAIL")+COUNTIFS(FRAGEN_MASTER!$F:$F,$E160,FRAGEN_MASTER!$P:$P,"SONSTIGES")</x:f>
        <x:v>0</x:v>
      </x:c>
      <x:c r="U160" s="36" t="str">
        <x:v>2. Korinther 10: 5/5 repetitive Kapitel-Erkennungsfragen ersetzt, gegen L1912 + OTB geprüft und freigegeben.</x:v>
      </x:c>
    </x:row>
    <x:row r="161">
      <x:c r="A161" s="36" t="n">
        <x:v>160</x:v>
      </x:c>
      <x:c r="B161" s="36" t="str">
        <x:v>2CO</x:v>
      </x:c>
      <x:c r="C161" s="36" t="str">
        <x:v>2. Korinther</x:v>
      </x:c>
      <x:c r="D161" s="36" t="n">
        <x:v>11</x:v>
      </x:c>
      <x:c r="E161" s="36" t="str">
        <x:v>2CO-011</x:v>
      </x:c>
      <x:c r="F161" s="36" t="str">
        <x:v>FP-1056</x:v>
      </x:c>
      <x:c r="G161" s="36" t="str">
        <x:v>FP-1060</x:v>
      </x:c>
      <x:c r="H161" s="36" t="n">
        <x:f>COUNTIFS(FRAGEN_MASTER!$F:$F,$E161,FRAGEN_MASTER!$M:$M,"ZU_PRÜFEN")</x:f>
        <x:v>0</x:v>
      </x:c>
      <x:c r="I161" s="36" t="n">
        <x:f>COUNTIFS(FRAGEN_MASTER!$F:$F,$E161,FRAGEN_MASTER!$M:$M,"BEHALTEN")</x:f>
        <x:v>0</x:v>
      </x:c>
      <x:c r="J161" s="36" t="n">
        <x:f>COUNTIFS(FRAGEN_MASTER!$F:$F,$E161,FRAGEN_MASTER!$M:$M,"VERBESSERN")</x:f>
        <x:v>0</x:v>
      </x:c>
      <x:c r="K161" s="36" t="n">
        <x:f>COUNTIFS(FRAGEN_MASTER!$F:$F,$E161,FRAGEN_MASTER!$M:$M,"ERSETZEN")</x:f>
        <x:v>5</x:v>
      </x:c>
      <x:c r="L161" s="36" t="n">
        <x:f>COUNTIFS(FRAGEN_MASTER!$F:$F,$E161,FRAGEN_MASTER!$AG:$AG,"FREIGEGEBEN")</x:f>
        <x:v>5</x:v>
      </x:c>
      <x:c r="M161" s="36" t="n">
        <x:f>COUNTIFS(FRAGEN_MASTER!$F:$F,$E161,FRAGEN_MASTER!$AL:$AL,"JA")</x:f>
        <x:v>5</x:v>
      </x:c>
      <x:c r="N161" s="36" t="str">
        <x:f>IF(M161=5,"FREIGEGEBEN",IF(H161=5,"NOCH_NICHT_GEPRÜFT","IN_ARBEIT"))</x:f>
        <x:v>FREIGEGEBEN</x:v>
      </x:c>
      <x:c r="O161" s="36" t="n">
        <x:f>COUNTIFS(FRAGEN_MASTER!$F:$F,$E161,FRAGEN_MASTER!$P:$P,"GESCHEHEN")</x:f>
        <x:v>0</x:v>
      </x:c>
      <x:c r="P161" s="36" t="n">
        <x:f>COUNTIFS(FRAGEN_MASTER!$F:$F,$E161,FRAGEN_MASTER!$P:$P,"PERSON_AUSSAGE")</x:f>
        <x:v>0</x:v>
      </x:c>
      <x:c r="Q161" s="36" t="n">
        <x:f>COUNTIFS(FRAGEN_MASTER!$F:$F,$E161,FRAGEN_MASTER!$P:$P,"ZUSAMMENHANG")</x:f>
        <x:v>3</x:v>
      </x:c>
      <x:c r="R161" s="36" t="n">
        <x:f>COUNTIFS(FRAGEN_MASTER!$F:$F,$E161,FRAGEN_MASTER!$P:$P,"KERNAUSSAGE")</x:f>
        <x:v>2</x:v>
      </x:c>
      <x:c r="S161" s="36" t="n">
        <x:f>COUNTIFS(FRAGEN_MASTER!$F:$F,$E161,FRAGEN_MASTER!$P:$P,"TEXTGENAUIGKEIT")</x:f>
        <x:v>0</x:v>
      </x:c>
      <x:c r="T161" s="36" t="n">
        <x:f>COUNTIFS(FRAGEN_MASTER!$F:$F,$E161,FRAGEN_MASTER!$P:$P,"DETAIL")+COUNTIFS(FRAGEN_MASTER!$F:$F,$E161,FRAGEN_MASTER!$P:$P,"SONSTIGES")</x:f>
        <x:v>0</x:v>
      </x:c>
      <x:c r="U161" s="36" t="str">
        <x:v>2. Korinther 11: 5/5 repetitive Kapitel-Erkennungsfragen ersetzt, gegen L1912 + OTB geprüft und freigegeben.</x:v>
      </x:c>
    </x:row>
    <x:row r="162">
      <x:c r="A162" s="36" t="n">
        <x:v>161</x:v>
      </x:c>
      <x:c r="B162" s="36" t="str">
        <x:v>2CO</x:v>
      </x:c>
      <x:c r="C162" s="36" t="str">
        <x:v>2. Korinther</x:v>
      </x:c>
      <x:c r="D162" s="36" t="n">
        <x:v>12</x:v>
      </x:c>
      <x:c r="E162" s="36" t="str">
        <x:v>2CO-012</x:v>
      </x:c>
      <x:c r="F162" s="36" t="str">
        <x:v>FP-1061</x:v>
      </x:c>
      <x:c r="G162" s="36" t="str">
        <x:v>FP-1065</x:v>
      </x:c>
      <x:c r="H162" s="36" t="n">
        <x:f>COUNTIFS(FRAGEN_MASTER!$F:$F,$E162,FRAGEN_MASTER!$M:$M,"ZU_PRÜFEN")</x:f>
        <x:v>0</x:v>
      </x:c>
      <x:c r="I162" s="36" t="n">
        <x:f>COUNTIFS(FRAGEN_MASTER!$F:$F,$E162,FRAGEN_MASTER!$M:$M,"BEHALTEN")</x:f>
        <x:v>0</x:v>
      </x:c>
      <x:c r="J162" s="36" t="n">
        <x:f>COUNTIFS(FRAGEN_MASTER!$F:$F,$E162,FRAGEN_MASTER!$M:$M,"VERBESSERN")</x:f>
        <x:v>0</x:v>
      </x:c>
      <x:c r="K162" s="36" t="n">
        <x:f>COUNTIFS(FRAGEN_MASTER!$F:$F,$E162,FRAGEN_MASTER!$M:$M,"ERSETZEN")</x:f>
        <x:v>5</x:v>
      </x:c>
      <x:c r="L162" s="36" t="n">
        <x:f>COUNTIFS(FRAGEN_MASTER!$F:$F,$E162,FRAGEN_MASTER!$AG:$AG,"FREIGEGEBEN")</x:f>
        <x:v>5</x:v>
      </x:c>
      <x:c r="M162" s="36" t="n">
        <x:f>COUNTIFS(FRAGEN_MASTER!$F:$F,$E162,FRAGEN_MASTER!$AL:$AL,"JA")</x:f>
        <x:v>5</x:v>
      </x:c>
      <x:c r="N162" s="36" t="str">
        <x:f>IF(M162=5,"FREIGEGEBEN",IF(H162=5,"NOCH_NICHT_GEPRÜFT","IN_ARBEIT"))</x:f>
        <x:v>FREIGEGEBEN</x:v>
      </x:c>
      <x:c r="O162" s="36" t="n">
        <x:f>COUNTIFS(FRAGEN_MASTER!$F:$F,$E162,FRAGEN_MASTER!$P:$P,"GESCHEHEN")</x:f>
        <x:v>0</x:v>
      </x:c>
      <x:c r="P162" s="36" t="n">
        <x:f>COUNTIFS(FRAGEN_MASTER!$F:$F,$E162,FRAGEN_MASTER!$P:$P,"PERSON_AUSSAGE")</x:f>
        <x:v>0</x:v>
      </x:c>
      <x:c r="Q162" s="36" t="n">
        <x:f>COUNTIFS(FRAGEN_MASTER!$F:$F,$E162,FRAGEN_MASTER!$P:$P,"ZUSAMMENHANG")</x:f>
        <x:v>3</x:v>
      </x:c>
      <x:c r="R162" s="36" t="n">
        <x:f>COUNTIFS(FRAGEN_MASTER!$F:$F,$E162,FRAGEN_MASTER!$P:$P,"KERNAUSSAGE")</x:f>
        <x:v>2</x:v>
      </x:c>
      <x:c r="S162" s="36" t="n">
        <x:f>COUNTIFS(FRAGEN_MASTER!$F:$F,$E162,FRAGEN_MASTER!$P:$P,"TEXTGENAUIGKEIT")</x:f>
        <x:v>0</x:v>
      </x:c>
      <x:c r="T162" s="36" t="n">
        <x:f>COUNTIFS(FRAGEN_MASTER!$F:$F,$E162,FRAGEN_MASTER!$P:$P,"DETAIL")+COUNTIFS(FRAGEN_MASTER!$F:$F,$E162,FRAGEN_MASTER!$P:$P,"SONSTIGES")</x:f>
        <x:v>0</x:v>
      </x:c>
      <x:c r="U162" s="36" t="str">
        <x:v>2. Korinther 12: 5/5 repetitive Kapitel-Erkennungsfragen ersetzt, gegen L1912 + OTB geprüft und freigegeben.</x:v>
      </x:c>
    </x:row>
    <x:row r="163">
      <x:c r="A163" s="36" t="n">
        <x:v>162</x:v>
      </x:c>
      <x:c r="B163" s="36" t="str">
        <x:v>2CO</x:v>
      </x:c>
      <x:c r="C163" s="36" t="str">
        <x:v>2. Korinther</x:v>
      </x:c>
      <x:c r="D163" s="36" t="n">
        <x:v>13</x:v>
      </x:c>
      <x:c r="E163" s="36" t="str">
        <x:v>2CO-013</x:v>
      </x:c>
      <x:c r="F163" s="36" t="str">
        <x:v>FP-1066</x:v>
      </x:c>
      <x:c r="G163" s="36" t="str">
        <x:v>FP-1070</x:v>
      </x:c>
      <x:c r="H163" s="36" t="n">
        <x:f>COUNTIFS(FRAGEN_MASTER!$F:$F,$E163,FRAGEN_MASTER!$M:$M,"ZU_PRÜFEN")</x:f>
        <x:v>0</x:v>
      </x:c>
      <x:c r="I163" s="36" t="n">
        <x:f>COUNTIFS(FRAGEN_MASTER!$F:$F,$E163,FRAGEN_MASTER!$M:$M,"BEHALTEN")</x:f>
        <x:v>0</x:v>
      </x:c>
      <x:c r="J163" s="36" t="n">
        <x:f>COUNTIFS(FRAGEN_MASTER!$F:$F,$E163,FRAGEN_MASTER!$M:$M,"VERBESSERN")</x:f>
        <x:v>0</x:v>
      </x:c>
      <x:c r="K163" s="36" t="n">
        <x:f>COUNTIFS(FRAGEN_MASTER!$F:$F,$E163,FRAGEN_MASTER!$M:$M,"ERSETZEN")</x:f>
        <x:v>5</x:v>
      </x:c>
      <x:c r="L163" s="36" t="n">
        <x:f>COUNTIFS(FRAGEN_MASTER!$F:$F,$E163,FRAGEN_MASTER!$AG:$AG,"FREIGEGEBEN")</x:f>
        <x:v>5</x:v>
      </x:c>
      <x:c r="M163" s="36" t="n">
        <x:f>COUNTIFS(FRAGEN_MASTER!$F:$F,$E163,FRAGEN_MASTER!$AL:$AL,"JA")</x:f>
        <x:v>5</x:v>
      </x:c>
      <x:c r="N163" s="36" t="str">
        <x:f>IF(M163=5,"FREIGEGEBEN",IF(H163=5,"NOCH_NICHT_GEPRÜFT","IN_ARBEIT"))</x:f>
        <x:v>FREIGEGEBEN</x:v>
      </x:c>
      <x:c r="O163" s="36" t="n">
        <x:f>COUNTIFS(FRAGEN_MASTER!$F:$F,$E163,FRAGEN_MASTER!$P:$P,"GESCHEHEN")</x:f>
        <x:v>1</x:v>
      </x:c>
      <x:c r="P163" s="36" t="n">
        <x:f>COUNTIFS(FRAGEN_MASTER!$F:$F,$E163,FRAGEN_MASTER!$P:$P,"PERSON_AUSSAGE")</x:f>
        <x:v>0</x:v>
      </x:c>
      <x:c r="Q163" s="36" t="n">
        <x:f>COUNTIFS(FRAGEN_MASTER!$F:$F,$E163,FRAGEN_MASTER!$P:$P,"ZUSAMMENHANG")</x:f>
        <x:v>1</x:v>
      </x:c>
      <x:c r="R163" s="36" t="n">
        <x:f>COUNTIFS(FRAGEN_MASTER!$F:$F,$E163,FRAGEN_MASTER!$P:$P,"KERNAUSSAGE")</x:f>
        <x:v>3</x:v>
      </x:c>
      <x:c r="S163" s="36" t="n">
        <x:f>COUNTIFS(FRAGEN_MASTER!$F:$F,$E163,FRAGEN_MASTER!$P:$P,"TEXTGENAUIGKEIT")</x:f>
        <x:v>0</x:v>
      </x:c>
      <x:c r="T163" s="36" t="n">
        <x:f>COUNTIFS(FRAGEN_MASTER!$F:$F,$E163,FRAGEN_MASTER!$P:$P,"DETAIL")+COUNTIFS(FRAGEN_MASTER!$F:$F,$E163,FRAGEN_MASTER!$P:$P,"SONSTIGES")</x:f>
        <x:v>0</x:v>
      </x:c>
      <x:c r="U163" s="36" t="str">
        <x:v>2. Korinther 13: 5/5 repetitive Kapitel-Erkennungsfragen ersetzt, gegen L1912 + OTB geprüft und freigegeben.</x:v>
      </x:c>
    </x:row>
    <x:row r="164">
      <x:c r="A164" s="36" t="n">
        <x:v>163</x:v>
      </x:c>
      <x:c r="B164" s="36" t="str">
        <x:v>GAL</x:v>
      </x:c>
      <x:c r="C164" s="36" t="str">
        <x:v>Galater</x:v>
      </x:c>
      <x:c r="D164" s="36" t="n">
        <x:v>1</x:v>
      </x:c>
      <x:c r="E164" s="36" t="str">
        <x:v>GAL-001</x:v>
      </x:c>
      <x:c r="F164" s="36" t="str">
        <x:v>FP-1071</x:v>
      </x:c>
      <x:c r="G164" s="36" t="str">
        <x:v>FP-1075</x:v>
      </x:c>
      <x:c r="H164" s="36" t="n">
        <x:v>0</x:v>
      </x:c>
      <x:c r="I164" s="36" t="n">
        <x:v>0</x:v>
      </x:c>
      <x:c r="J164" s="36" t="n">
        <x:v>0</x:v>
      </x:c>
      <x:c r="K164" s="36" t="n">
        <x:v>5</x:v>
      </x:c>
      <x:c r="L164" s="36" t="n">
        <x:v>5</x:v>
      </x:c>
      <x:c r="M164" s="36" t="n">
        <x:v>5</x:v>
      </x:c>
      <x:c r="N164" s="36" t="str">
        <x:v>FREIGEGEBEN</x:v>
      </x:c>
      <x:c r="O164" s="36" t="n">
        <x:v>0</x:v>
      </x:c>
      <x:c r="P164" s="36" t="n">
        <x:v>0</x:v>
      </x:c>
      <x:c r="Q164" s="36" t="n">
        <x:v>2</x:v>
      </x:c>
      <x:c r="R164" s="36" t="n">
        <x:v>1</x:v>
      </x:c>
      <x:c r="S164" s="36" t="n">
        <x:v>1</x:v>
      </x:c>
      <x:c r="T164" s="36" t="n">
        <x:v>1</x:v>
      </x:c>
      <x:c r="U164" s="36" t="str">
        <x:v>Galater 1: 5/5 Fragen geprüft, gegen L1912 + OTB freigegeben und importbereit.</x:v>
      </x:c>
    </x:row>
    <x:row r="165">
      <x:c r="A165" s="36" t="n">
        <x:v>164</x:v>
      </x:c>
      <x:c r="B165" s="36" t="str">
        <x:v>GAL</x:v>
      </x:c>
      <x:c r="C165" s="36" t="str">
        <x:v>Galater</x:v>
      </x:c>
      <x:c r="D165" s="36" t="n">
        <x:v>2</x:v>
      </x:c>
      <x:c r="E165" s="36" t="str">
        <x:v>GAL-002</x:v>
      </x:c>
      <x:c r="F165" s="36" t="str">
        <x:v>FP-1076</x:v>
      </x:c>
      <x:c r="G165" s="36" t="str">
        <x:v>FP-1080</x:v>
      </x:c>
      <x:c r="H165" s="36" t="n">
        <x:v>0</x:v>
      </x:c>
      <x:c r="I165" s="36" t="n">
        <x:v>0</x:v>
      </x:c>
      <x:c r="J165" s="36" t="n">
        <x:v>0</x:v>
      </x:c>
      <x:c r="K165" s="36" t="n">
        <x:v>5</x:v>
      </x:c>
      <x:c r="L165" s="36" t="n">
        <x:v>5</x:v>
      </x:c>
      <x:c r="M165" s="36" t="n">
        <x:v>5</x:v>
      </x:c>
      <x:c r="N165" s="36" t="str">
        <x:v>FREIGEGEBEN</x:v>
      </x:c>
      <x:c r="O165" s="36" t="n">
        <x:v>1</x:v>
      </x:c>
      <x:c r="P165" s="36" t="n">
        <x:v>0</x:v>
      </x:c>
      <x:c r="Q165" s="36" t="n">
        <x:v>2</x:v>
      </x:c>
      <x:c r="R165" s="36" t="n">
        <x:v>1</x:v>
      </x:c>
      <x:c r="S165" s="36" t="n">
        <x:v>0</x:v>
      </x:c>
      <x:c r="T165" s="36" t="n">
        <x:v>1</x:v>
      </x:c>
      <x:c r="U165" s="36" t="str">
        <x:v>Galater 2: 5/5 Fragen geprüft, gegen L1912 + OTB freigegeben und importbereit.</x:v>
      </x:c>
    </x:row>
    <x:row r="166">
      <x:c r="A166" s="36" t="n">
        <x:v>165</x:v>
      </x:c>
      <x:c r="B166" s="36" t="str">
        <x:v>GAL</x:v>
      </x:c>
      <x:c r="C166" s="36" t="str">
        <x:v>Galater</x:v>
      </x:c>
      <x:c r="D166" s="36" t="n">
        <x:v>3</x:v>
      </x:c>
      <x:c r="E166" s="36" t="str">
        <x:v>GAL-003</x:v>
      </x:c>
      <x:c r="F166" s="36" t="str">
        <x:v>FP-1081</x:v>
      </x:c>
      <x:c r="G166" s="36" t="str">
        <x:v>FP-1085</x:v>
      </x:c>
      <x:c r="H166" s="36" t="n">
        <x:v>0</x:v>
      </x:c>
      <x:c r="I166" s="36" t="n">
        <x:v>0</x:v>
      </x:c>
      <x:c r="J166" s="36" t="n">
        <x:v>0</x:v>
      </x:c>
      <x:c r="K166" s="36" t="n">
        <x:v>5</x:v>
      </x:c>
      <x:c r="L166" s="36" t="n">
        <x:v>5</x:v>
      </x:c>
      <x:c r="M166" s="36" t="n">
        <x:v>5</x:v>
      </x:c>
      <x:c r="N166" s="36" t="str">
        <x:v>FREIGEGEBEN</x:v>
      </x:c>
      <x:c r="O166" s="36" t="n">
        <x:v>0</x:v>
      </x:c>
      <x:c r="P166" s="36" t="n">
        <x:v>0</x:v>
      </x:c>
      <x:c r="Q166" s="36" t="n">
        <x:v>1</x:v>
      </x:c>
      <x:c r="R166" s="36" t="n">
        <x:v>2</x:v>
      </x:c>
      <x:c r="S166" s="36" t="n">
        <x:v>0</x:v>
      </x:c>
      <x:c r="T166" s="36" t="n">
        <x:v>2</x:v>
      </x:c>
      <x:c r="U166" s="36" t="str">
        <x:v>Galater 3: 5/5 Fragen geprüft, gegen L1912 + OTB freigegeben und importbereit.</x:v>
      </x:c>
    </x:row>
    <x:row r="167">
      <x:c r="A167" s="36" t="n">
        <x:v>166</x:v>
      </x:c>
      <x:c r="B167" s="36" t="str">
        <x:v>GAL</x:v>
      </x:c>
      <x:c r="C167" s="36" t="str">
        <x:v>Galater</x:v>
      </x:c>
      <x:c r="D167" s="36" t="n">
        <x:v>4</x:v>
      </x:c>
      <x:c r="E167" s="36" t="str">
        <x:v>GAL-004</x:v>
      </x:c>
      <x:c r="F167" s="36" t="str">
        <x:v>FP-1086</x:v>
      </x:c>
      <x:c r="G167" s="36" t="str">
        <x:v>FP-1090</x:v>
      </x:c>
      <x:c r="H167" s="36" t="n">
        <x:v>0</x:v>
      </x:c>
      <x:c r="I167" s="36" t="n">
        <x:v>0</x:v>
      </x:c>
      <x:c r="J167" s="36" t="n">
        <x:v>0</x:v>
      </x:c>
      <x:c r="K167" s="36" t="n">
        <x:v>5</x:v>
      </x:c>
      <x:c r="L167" s="36" t="n">
        <x:v>5</x:v>
      </x:c>
      <x:c r="M167" s="36" t="n">
        <x:v>5</x:v>
      </x:c>
      <x:c r="N167" s="36" t="str">
        <x:v>FREIGEGEBEN</x:v>
      </x:c>
      <x:c r="O167" s="36" t="n">
        <x:v>0</x:v>
      </x:c>
      <x:c r="P167" s="36" t="n">
        <x:v>0</x:v>
      </x:c>
      <x:c r="Q167" s="36" t="n">
        <x:v>4</x:v>
      </x:c>
      <x:c r="R167" s="36" t="n">
        <x:v>0</x:v>
      </x:c>
      <x:c r="S167" s="36" t="n">
        <x:v>0</x:v>
      </x:c>
      <x:c r="T167" s="36" t="n">
        <x:v>1</x:v>
      </x:c>
      <x:c r="U167" s="36" t="str">
        <x:v>Galater 4: 5/5 Fragen geprüft, gegen L1912 + OTB freigegeben und importbereit.</x:v>
      </x:c>
    </x:row>
    <x:row r="168">
      <x:c r="A168" s="36" t="n">
        <x:v>167</x:v>
      </x:c>
      <x:c r="B168" s="36" t="str">
        <x:v>GAL</x:v>
      </x:c>
      <x:c r="C168" s="36" t="str">
        <x:v>Galater</x:v>
      </x:c>
      <x:c r="D168" s="36" t="n">
        <x:v>5</x:v>
      </x:c>
      <x:c r="E168" s="36" t="str">
        <x:v>GAL-005</x:v>
      </x:c>
      <x:c r="F168" s="36" t="str">
        <x:v>FP-1091</x:v>
      </x:c>
      <x:c r="G168" s="36" t="str">
        <x:v>FP-1095</x:v>
      </x:c>
      <x:c r="H168" s="36" t="n">
        <x:v>0</x:v>
      </x:c>
      <x:c r="I168" s="36" t="n">
        <x:v>0</x:v>
      </x:c>
      <x:c r="J168" s="36" t="n">
        <x:v>0</x:v>
      </x:c>
      <x:c r="K168" s="36" t="n">
        <x:v>5</x:v>
      </x:c>
      <x:c r="L168" s="36" t="n">
        <x:v>5</x:v>
      </x:c>
      <x:c r="M168" s="36" t="n">
        <x:v>5</x:v>
      </x:c>
      <x:c r="N168" s="36" t="str">
        <x:v>FREIGEGEBEN</x:v>
      </x:c>
      <x:c r="O168" s="36" t="n">
        <x:v>0</x:v>
      </x:c>
      <x:c r="P168" s="36" t="n">
        <x:v>0</x:v>
      </x:c>
      <x:c r="Q168" s="36" t="n">
        <x:v>2</x:v>
      </x:c>
      <x:c r="R168" s="36" t="n">
        <x:v>2</x:v>
      </x:c>
      <x:c r="S168" s="36" t="n">
        <x:v>1</x:v>
      </x:c>
      <x:c r="T168" s="36" t="n">
        <x:v>0</x:v>
      </x:c>
      <x:c r="U168" s="36" t="str">
        <x:v>Galater 5: 5/5 Fragen geprüft, gegen L1912 + OTB freigegeben und importbereit.</x:v>
      </x:c>
    </x:row>
    <x:row r="169">
      <x:c r="A169" s="36" t="n">
        <x:v>168</x:v>
      </x:c>
      <x:c r="B169" s="36" t="str">
        <x:v>GAL</x:v>
      </x:c>
      <x:c r="C169" s="36" t="str">
        <x:v>Galater</x:v>
      </x:c>
      <x:c r="D169" s="36" t="n">
        <x:v>6</x:v>
      </x:c>
      <x:c r="E169" s="36" t="str">
        <x:v>GAL-006</x:v>
      </x:c>
      <x:c r="F169" s="36" t="str">
        <x:v>FP-1096</x:v>
      </x:c>
      <x:c r="G169" s="36" t="str">
        <x:v>FP-1100</x:v>
      </x:c>
      <x:c r="H169" s="36" t="n">
        <x:v>0</x:v>
      </x:c>
      <x:c r="I169" s="36" t="n">
        <x:v>0</x:v>
      </x:c>
      <x:c r="J169" s="36" t="n">
        <x:v>0</x:v>
      </x:c>
      <x:c r="K169" s="36" t="n">
        <x:v>5</x:v>
      </x:c>
      <x:c r="L169" s="36" t="n">
        <x:v>5</x:v>
      </x:c>
      <x:c r="M169" s="36" t="n">
        <x:v>5</x:v>
      </x:c>
      <x:c r="N169" s="36" t="str">
        <x:v>FREIGEGEBEN</x:v>
      </x:c>
      <x:c r="O169" s="36" t="n">
        <x:v>0</x:v>
      </x:c>
      <x:c r="P169" s="36" t="n">
        <x:v>0</x:v>
      </x:c>
      <x:c r="Q169" s="36" t="n">
        <x:v>3</x:v>
      </x:c>
      <x:c r="R169" s="36" t="n">
        <x:v>1</x:v>
      </x:c>
      <x:c r="S169" s="36" t="n">
        <x:v>0</x:v>
      </x:c>
      <x:c r="T169" s="36" t="n">
        <x:v>1</x:v>
      </x:c>
      <x:c r="U169" s="36" t="str">
        <x:v>Galater 6: 5/5 Fragen geprüft, gegen L1912 + OTB freigegeben und importbereit.</x:v>
      </x:c>
    </x:row>
    <x:row r="170">
      <x:c r="A170" s="36" t="n">
        <x:v>169</x:v>
      </x:c>
      <x:c r="B170" s="36" t="str">
        <x:v>EPH</x:v>
      </x:c>
      <x:c r="C170" s="36" t="str">
        <x:v>Epheser</x:v>
      </x:c>
      <x:c r="D170" s="36" t="n">
        <x:v>1</x:v>
      </x:c>
      <x:c r="E170" s="36" t="str">
        <x:v>EPH-001</x:v>
      </x:c>
      <x:c r="F170" s="36" t="str">
        <x:v>FP-1101</x:v>
      </x:c>
      <x:c r="G170" s="36" t="str">
        <x:v>FP-1105</x:v>
      </x:c>
      <x:c r="H170" s="36" t="n">
        <x:v>0</x:v>
      </x:c>
      <x:c r="I170" s="36" t="n">
        <x:v>0</x:v>
      </x:c>
      <x:c r="J170" s="36" t="n">
        <x:v>0</x:v>
      </x:c>
      <x:c r="K170" s="36" t="n">
        <x:v>5</x:v>
      </x:c>
      <x:c r="L170" s="36" t="n">
        <x:v>5</x:v>
      </x:c>
      <x:c r="M170" s="36" t="n">
        <x:v>5</x:v>
      </x:c>
      <x:c r="N170" s="36" t="str">
        <x:v>FREIGEGEBEN</x:v>
      </x:c>
      <x:c r="O170" s="36" t="n">
        <x:v>0</x:v>
      </x:c>
      <x:c r="P170" s="36" t="n">
        <x:v>0</x:v>
      </x:c>
      <x:c r="Q170" s="36" t="n">
        <x:v>2</x:v>
      </x:c>
      <x:c r="R170" s="36" t="n">
        <x:v>1</x:v>
      </x:c>
      <x:c r="S170" s="36" t="n">
        <x:v>0</x:v>
      </x:c>
      <x:c r="T170" s="36" t="n">
        <x:v>2</x:v>
      </x:c>
      <x:c r="U170" s="36" t="str">
        <x:v>Epheser 1: 5/5 Fragen geprüft, gegen L1912 + OTB freigegeben und importbereit.</x:v>
      </x:c>
    </x:row>
    <x:row r="171">
      <x:c r="A171" s="36" t="n">
        <x:v>170</x:v>
      </x:c>
      <x:c r="B171" s="36" t="str">
        <x:v>EPH</x:v>
      </x:c>
      <x:c r="C171" s="36" t="str">
        <x:v>Epheser</x:v>
      </x:c>
      <x:c r="D171" s="36" t="n">
        <x:v>2</x:v>
      </x:c>
      <x:c r="E171" s="36" t="str">
        <x:v>EPH-002</x:v>
      </x:c>
      <x:c r="F171" s="36" t="str">
        <x:v>FP-1106</x:v>
      </x:c>
      <x:c r="G171" s="36" t="str">
        <x:v>FP-1110</x:v>
      </x:c>
      <x:c r="H171" s="36" t="n">
        <x:v>0</x:v>
      </x:c>
      <x:c r="I171" s="36" t="n">
        <x:v>0</x:v>
      </x:c>
      <x:c r="J171" s="36" t="n">
        <x:v>0</x:v>
      </x:c>
      <x:c r="K171" s="36" t="n">
        <x:v>5</x:v>
      </x:c>
      <x:c r="L171" s="36" t="n">
        <x:v>5</x:v>
      </x:c>
      <x:c r="M171" s="36" t="n">
        <x:v>5</x:v>
      </x:c>
      <x:c r="N171" s="36" t="str">
        <x:v>FREIGEGEBEN</x:v>
      </x:c>
      <x:c r="O171" s="36" t="n">
        <x:v>0</x:v>
      </x:c>
      <x:c r="P171" s="36" t="n">
        <x:v>0</x:v>
      </x:c>
      <x:c r="Q171" s="36" t="n">
        <x:v>1</x:v>
      </x:c>
      <x:c r="R171" s="36" t="n">
        <x:v>1</x:v>
      </x:c>
      <x:c r="S171" s="36" t="n">
        <x:v>0</x:v>
      </x:c>
      <x:c r="T171" s="36" t="n">
        <x:v>3</x:v>
      </x:c>
      <x:c r="U171" s="36" t="str">
        <x:v>Epheser 2: 5/5 Fragen geprüft, gegen L1912 + OTB freigegeben und importbereit.</x:v>
      </x:c>
    </x:row>
    <x:row r="172">
      <x:c r="A172" s="36" t="n">
        <x:v>171</x:v>
      </x:c>
      <x:c r="B172" s="36" t="str">
        <x:v>EPH</x:v>
      </x:c>
      <x:c r="C172" s="36" t="str">
        <x:v>Epheser</x:v>
      </x:c>
      <x:c r="D172" s="36" t="n">
        <x:v>3</x:v>
      </x:c>
      <x:c r="E172" s="36" t="str">
        <x:v>EPH-003</x:v>
      </x:c>
      <x:c r="F172" s="36" t="str">
        <x:v>FP-1111</x:v>
      </x:c>
      <x:c r="G172" s="36" t="str">
        <x:v>FP-1115</x:v>
      </x:c>
      <x:c r="H172" s="36" t="n">
        <x:v>0</x:v>
      </x:c>
      <x:c r="I172" s="36" t="n">
        <x:v>0</x:v>
      </x:c>
      <x:c r="J172" s="36" t="n">
        <x:v>0</x:v>
      </x:c>
      <x:c r="K172" s="36" t="n">
        <x:v>5</x:v>
      </x:c>
      <x:c r="L172" s="36" t="n">
        <x:v>5</x:v>
      </x:c>
      <x:c r="M172" s="36" t="n">
        <x:v>5</x:v>
      </x:c>
      <x:c r="N172" s="36" t="str">
        <x:v>FREIGEGEBEN</x:v>
      </x:c>
      <x:c r="O172" s="36" t="n">
        <x:v>0</x:v>
      </x:c>
      <x:c r="P172" s="36" t="n">
        <x:v>0</x:v>
      </x:c>
      <x:c r="Q172" s="36" t="n">
        <x:v>1</x:v>
      </x:c>
      <x:c r="R172" s="36" t="n">
        <x:v>1</x:v>
      </x:c>
      <x:c r="S172" s="36" t="n">
        <x:v>0</x:v>
      </x:c>
      <x:c r="T172" s="36" t="n">
        <x:v>3</x:v>
      </x:c>
      <x:c r="U172" s="36" t="str">
        <x:v>Epheser 3: 5/5 Fragen geprüft, gegen L1912 + OTB freigegeben und importbereit.</x:v>
      </x:c>
    </x:row>
    <x:row r="173">
      <x:c r="A173" s="36" t="n">
        <x:v>172</x:v>
      </x:c>
      <x:c r="B173" s="36" t="str">
        <x:v>EPH</x:v>
      </x:c>
      <x:c r="C173" s="36" t="str">
        <x:v>Epheser</x:v>
      </x:c>
      <x:c r="D173" s="36" t="n">
        <x:v>4</x:v>
      </x:c>
      <x:c r="E173" s="36" t="str">
        <x:v>EPH-004</x:v>
      </x:c>
      <x:c r="F173" s="36" t="str">
        <x:v>FP-1116</x:v>
      </x:c>
      <x:c r="G173" s="36" t="str">
        <x:v>FP-1120</x:v>
      </x:c>
      <x:c r="H173" s="36" t="n">
        <x:v>0</x:v>
      </x:c>
      <x:c r="I173" s="36" t="n">
        <x:v>0</x:v>
      </x:c>
      <x:c r="J173" s="36" t="n">
        <x:v>0</x:v>
      </x:c>
      <x:c r="K173" s="36" t="n">
        <x:v>5</x:v>
      </x:c>
      <x:c r="L173" s="36" t="n">
        <x:v>5</x:v>
      </x:c>
      <x:c r="M173" s="36" t="n">
        <x:v>5</x:v>
      </x:c>
      <x:c r="N173" s="36" t="str">
        <x:v>FREIGEGEBEN</x:v>
      </x:c>
      <x:c r="O173" s="36" t="n">
        <x:v>0</x:v>
      </x:c>
      <x:c r="P173" s="36" t="n">
        <x:v>0</x:v>
      </x:c>
      <x:c r="Q173" s="36" t="n">
        <x:v>1</x:v>
      </x:c>
      <x:c r="R173" s="36" t="n">
        <x:v>0</x:v>
      </x:c>
      <x:c r="S173" s="36" t="n">
        <x:v>0</x:v>
      </x:c>
      <x:c r="T173" s="36" t="n">
        <x:v>4</x:v>
      </x:c>
      <x:c r="U173" s="36" t="str">
        <x:v>Epheser 4: 5/5 Fragen geprüft, gegen L1912 + OTB freigegeben und importbereit.</x:v>
      </x:c>
    </x:row>
    <x:row r="174">
      <x:c r="A174" s="36" t="n">
        <x:v>173</x:v>
      </x:c>
      <x:c r="B174" s="36" t="str">
        <x:v>EPH</x:v>
      </x:c>
      <x:c r="C174" s="36" t="str">
        <x:v>Epheser</x:v>
      </x:c>
      <x:c r="D174" s="36" t="n">
        <x:v>5</x:v>
      </x:c>
      <x:c r="E174" s="36" t="str">
        <x:v>EPH-005</x:v>
      </x:c>
      <x:c r="F174" s="36" t="str">
        <x:v>FP-1121</x:v>
      </x:c>
      <x:c r="G174" s="36" t="str">
        <x:v>FP-1125</x:v>
      </x:c>
      <x:c r="H174" s="36" t="n">
        <x:v>0</x:v>
      </x:c>
      <x:c r="I174" s="36" t="n">
        <x:v>0</x:v>
      </x:c>
      <x:c r="J174" s="36" t="n">
        <x:v>0</x:v>
      </x:c>
      <x:c r="K174" s="36" t="n">
        <x:v>5</x:v>
      </x:c>
      <x:c r="L174" s="36" t="n">
        <x:v>5</x:v>
      </x:c>
      <x:c r="M174" s="36" t="n">
        <x:v>5</x:v>
      </x:c>
      <x:c r="N174" s="36" t="str">
        <x:v>FREIGEGEBEN</x:v>
      </x:c>
      <x:c r="O174" s="36" t="n">
        <x:v>0</x:v>
      </x:c>
      <x:c r="P174" s="36" t="n">
        <x:v>0</x:v>
      </x:c>
      <x:c r="Q174" s="36" t="n">
        <x:v>0</x:v>
      </x:c>
      <x:c r="R174" s="36" t="n">
        <x:v>0</x:v>
      </x:c>
      <x:c r="S174" s="36" t="n">
        <x:v>0</x:v>
      </x:c>
      <x:c r="T174" s="36" t="n">
        <x:v>5</x:v>
      </x:c>
      <x:c r="U174" s="36" t="str">
        <x:v>Epheser 5: 5/5 Fragen geprüft, gegen L1912 + OTB freigegeben und importbereit.</x:v>
      </x:c>
    </x:row>
    <x:row r="175">
      <x:c r="A175" s="36" t="n">
        <x:v>174</x:v>
      </x:c>
      <x:c r="B175" s="36" t="str">
        <x:v>EPH</x:v>
      </x:c>
      <x:c r="C175" s="36" t="str">
        <x:v>Epheser</x:v>
      </x:c>
      <x:c r="D175" s="36" t="n">
        <x:v>6</x:v>
      </x:c>
      <x:c r="E175" s="36" t="str">
        <x:v>EPH-006</x:v>
      </x:c>
      <x:c r="F175" s="36" t="str">
        <x:v>FP-1126</x:v>
      </x:c>
      <x:c r="G175" s="36" t="str">
        <x:v>FP-1130</x:v>
      </x:c>
      <x:c r="H175" s="36" t="n">
        <x:v>0</x:v>
      </x:c>
      <x:c r="I175" s="36" t="n">
        <x:v>0</x:v>
      </x:c>
      <x:c r="J175" s="36" t="n">
        <x:v>0</x:v>
      </x:c>
      <x:c r="K175" s="36" t="n">
        <x:v>5</x:v>
      </x:c>
      <x:c r="L175" s="36" t="n">
        <x:v>5</x:v>
      </x:c>
      <x:c r="M175" s="36" t="n">
        <x:v>5</x:v>
      </x:c>
      <x:c r="N175" s="36" t="str">
        <x:v>FREIGEGEBEN</x:v>
      </x:c>
      <x:c r="O175" s="36" t="n">
        <x:v>0</x:v>
      </x:c>
      <x:c r="P175" s="36" t="n">
        <x:v>0</x:v>
      </x:c>
      <x:c r="Q175" s="36" t="n">
        <x:v>2</x:v>
      </x:c>
      <x:c r="R175" s="36" t="n">
        <x:v>0</x:v>
      </x:c>
      <x:c r="S175" s="36" t="n">
        <x:v>0</x:v>
      </x:c>
      <x:c r="T175" s="36" t="n">
        <x:v>3</x:v>
      </x:c>
      <x:c r="U175" s="36" t="str">
        <x:v>Epheser 6: 5/5 Fragen geprüft, gegen L1912 + OTB freigegeben und importbereit.</x:v>
      </x:c>
    </x:row>
    <x:row r="176">
      <x:c r="A176" s="36" t="n">
        <x:v>175</x:v>
      </x:c>
      <x:c r="B176" s="36" t="str">
        <x:v>PHP</x:v>
      </x:c>
      <x:c r="C176" s="36" t="str">
        <x:v>Philipper</x:v>
      </x:c>
      <x:c r="D176" s="36" t="n">
        <x:v>1</x:v>
      </x:c>
      <x:c r="E176" s="36" t="str">
        <x:v>PHP-001</x:v>
      </x:c>
      <x:c r="F176" s="36" t="str">
        <x:v>FP-1131</x:v>
      </x:c>
      <x:c r="G176" s="36" t="str">
        <x:v>FP-1135</x:v>
      </x:c>
      <x:c r="H176" s="36" t="n">
        <x:v>0</x:v>
      </x:c>
      <x:c r="I176" s="36" t="n">
        <x:v>0</x:v>
      </x:c>
      <x:c r="J176" s="36" t="n">
        <x:v>0</x:v>
      </x:c>
      <x:c r="K176" s="36" t="n">
        <x:v>5</x:v>
      </x:c>
      <x:c r="L176" s="36" t="n">
        <x:v>5</x:v>
      </x:c>
      <x:c r="M176" s="36" t="n">
        <x:v>5</x:v>
      </x:c>
      <x:c r="N176" s="36" t="str">
        <x:v>FREIGEGEBEN</x:v>
      </x:c>
      <x:c r="O176" s="36" t="n">
        <x:v>0</x:v>
      </x:c>
      <x:c r="P176" s="36" t="n">
        <x:v>0</x:v>
      </x:c>
      <x:c r="Q176" s="36" t="n">
        <x:v>3</x:v>
      </x:c>
      <x:c r="R176" s="36" t="n">
        <x:v>1</x:v>
      </x:c>
      <x:c r="S176" s="36" t="n">
        <x:v>0</x:v>
      </x:c>
      <x:c r="T176" s="36" t="n">
        <x:v>1</x:v>
      </x:c>
      <x:c r="U176" s="36" t="str">
        <x:v>Philipper 1: 5/5 Fragen geprüft, gegen L1912 + OTB freigegeben und importbereit.</x:v>
      </x:c>
    </x:row>
    <x:row r="177">
      <x:c r="A177" s="36" t="n">
        <x:v>176</x:v>
      </x:c>
      <x:c r="B177" s="36" t="str">
        <x:v>PHP</x:v>
      </x:c>
      <x:c r="C177" s="36" t="str">
        <x:v>Philipper</x:v>
      </x:c>
      <x:c r="D177" s="36" t="n">
        <x:v>2</x:v>
      </x:c>
      <x:c r="E177" s="36" t="str">
        <x:v>PHP-002</x:v>
      </x:c>
      <x:c r="F177" s="36" t="str">
        <x:v>FP-1136</x:v>
      </x:c>
      <x:c r="G177" s="36" t="str">
        <x:v>FP-1140</x:v>
      </x:c>
      <x:c r="H177" s="36" t="n">
        <x:v>0</x:v>
      </x:c>
      <x:c r="I177" s="36" t="n">
        <x:v>0</x:v>
      </x:c>
      <x:c r="J177" s="36" t="n">
        <x:v>0</x:v>
      </x:c>
      <x:c r="K177" s="36" t="n">
        <x:v>5</x:v>
      </x:c>
      <x:c r="L177" s="36" t="n">
        <x:v>5</x:v>
      </x:c>
      <x:c r="M177" s="36" t="n">
        <x:v>5</x:v>
      </x:c>
      <x:c r="N177" s="36" t="str">
        <x:v>FREIGEGEBEN</x:v>
      </x:c>
      <x:c r="O177" s="36" t="n">
        <x:v>0</x:v>
      </x:c>
      <x:c r="P177" s="36" t="n">
        <x:v>1</x:v>
      </x:c>
      <x:c r="Q177" s="36" t="n">
        <x:v>3</x:v>
      </x:c>
      <x:c r="R177" s="36" t="n">
        <x:v>0</x:v>
      </x:c>
      <x:c r="S177" s="36" t="n">
        <x:v>0</x:v>
      </x:c>
      <x:c r="T177" s="36" t="n">
        <x:v>1</x:v>
      </x:c>
      <x:c r="U177" s="36" t="str">
        <x:v>Philipper 2: 5/5 Fragen geprüft, gegen L1912 + OTB freigegeben und importbereit.</x:v>
      </x:c>
    </x:row>
    <x:row r="178">
      <x:c r="A178" s="36" t="n">
        <x:v>177</x:v>
      </x:c>
      <x:c r="B178" s="36" t="str">
        <x:v>PHP</x:v>
      </x:c>
      <x:c r="C178" s="36" t="str">
        <x:v>Philipper</x:v>
      </x:c>
      <x:c r="D178" s="36" t="n">
        <x:v>3</x:v>
      </x:c>
      <x:c r="E178" s="36" t="str">
        <x:v>PHP-003</x:v>
      </x:c>
      <x:c r="F178" s="36" t="str">
        <x:v>FP-1141</x:v>
      </x:c>
      <x:c r="G178" s="36" t="str">
        <x:v>FP-1145</x:v>
      </x:c>
      <x:c r="H178" s="36" t="n">
        <x:v>0</x:v>
      </x:c>
      <x:c r="I178" s="36" t="n">
        <x:v>0</x:v>
      </x:c>
      <x:c r="J178" s="36" t="n">
        <x:v>0</x:v>
      </x:c>
      <x:c r="K178" s="36" t="n">
        <x:v>5</x:v>
      </x:c>
      <x:c r="L178" s="36" t="n">
        <x:v>5</x:v>
      </x:c>
      <x:c r="M178" s="36" t="n">
        <x:v>5</x:v>
      </x:c>
      <x:c r="N178" s="36" t="str">
        <x:v>FREIGEGEBEN</x:v>
      </x:c>
      <x:c r="O178" s="36" t="n">
        <x:v>0</x:v>
      </x:c>
      <x:c r="P178" s="36" t="n">
        <x:v>0</x:v>
      </x:c>
      <x:c r="Q178" s="36" t="n">
        <x:v>2</x:v>
      </x:c>
      <x:c r="R178" s="36" t="n">
        <x:v>2</x:v>
      </x:c>
      <x:c r="S178" s="36" t="n">
        <x:v>0</x:v>
      </x:c>
      <x:c r="T178" s="36" t="n">
        <x:v>1</x:v>
      </x:c>
      <x:c r="U178" s="36" t="str">
        <x:v>Philipper 3: 5/5 Fragen geprüft, gegen L1912 + OTB freigegeben und importbereit.</x:v>
      </x:c>
    </x:row>
    <x:row r="179">
      <x:c r="A179" s="36" t="n">
        <x:v>178</x:v>
      </x:c>
      <x:c r="B179" s="36" t="str">
        <x:v>PHP</x:v>
      </x:c>
      <x:c r="C179" s="36" t="str">
        <x:v>Philipper</x:v>
      </x:c>
      <x:c r="D179" s="36" t="n">
        <x:v>4</x:v>
      </x:c>
      <x:c r="E179" s="36" t="str">
        <x:v>PHP-004</x:v>
      </x:c>
      <x:c r="F179" s="36" t="str">
        <x:v>FP-1146</x:v>
      </x:c>
      <x:c r="G179" s="36" t="str">
        <x:v>FP-1150</x:v>
      </x:c>
      <x:c r="H179" s="36" t="n">
        <x:v>0</x:v>
      </x:c>
      <x:c r="I179" s="36" t="n">
        <x:v>0</x:v>
      </x:c>
      <x:c r="J179" s="36" t="n">
        <x:v>0</x:v>
      </x:c>
      <x:c r="K179" s="36" t="n">
        <x:v>5</x:v>
      </x:c>
      <x:c r="L179" s="36" t="n">
        <x:v>5</x:v>
      </x:c>
      <x:c r="M179" s="36" t="n">
        <x:v>5</x:v>
      </x:c>
      <x:c r="N179" s="36" t="str">
        <x:v>FREIGEGEBEN</x:v>
      </x:c>
      <x:c r="O179" s="36" t="n">
        <x:v>0</x:v>
      </x:c>
      <x:c r="P179" s="36" t="n">
        <x:v>0</x:v>
      </x:c>
      <x:c r="Q179" s="36" t="n">
        <x:v>2</x:v>
      </x:c>
      <x:c r="R179" s="36" t="n">
        <x:v>0</x:v>
      </x:c>
      <x:c r="S179" s="36" t="n">
        <x:v>0</x:v>
      </x:c>
      <x:c r="T179" s="36" t="n">
        <x:v>3</x:v>
      </x:c>
      <x:c r="U179" s="36" t="str">
        <x:v>Philipper 4: 5/5 Fragen geprüft, gegen L1912 + OTB freigegeben und importbereit.</x:v>
      </x:c>
    </x:row>
    <x:row r="180">
      <x:c r="A180" s="36" t="n">
        <x:v>179</x:v>
      </x:c>
      <x:c r="B180" s="36" t="str">
        <x:v>COL</x:v>
      </x:c>
      <x:c r="C180" s="36" t="str">
        <x:v>Kolosser</x:v>
      </x:c>
      <x:c r="D180" s="36" t="n">
        <x:v>1</x:v>
      </x:c>
      <x:c r="E180" s="36" t="str">
        <x:v>COL-001</x:v>
      </x:c>
      <x:c r="F180" s="36" t="str">
        <x:v>FP-1151</x:v>
      </x:c>
      <x:c r="G180" s="36" t="str">
        <x:v>FP-1155</x:v>
      </x:c>
      <x:c r="H180" s="36" t="n">
        <x:v>0</x:v>
      </x:c>
      <x:c r="I180" s="36" t="n">
        <x:v>0</x:v>
      </x:c>
      <x:c r="J180" s="36" t="n">
        <x:v>0</x:v>
      </x:c>
      <x:c r="K180" s="36" t="n">
        <x:v>5</x:v>
      </x:c>
      <x:c r="L180" s="36" t="n">
        <x:v>5</x:v>
      </x:c>
      <x:c r="M180" s="36" t="n">
        <x:v>5</x:v>
      </x:c>
      <x:c r="N180" s="36" t="str">
        <x:v>FREIGEGEBEN</x:v>
      </x:c>
      <x:c r="O180" s="36" t="n">
        <x:v>0</x:v>
      </x:c>
      <x:c r="P180" s="36" t="n">
        <x:v>0</x:v>
      </x:c>
      <x:c r="Q180" s="36" t="n">
        <x:v>0</x:v>
      </x:c>
      <x:c r="R180" s="36" t="n">
        <x:v>2</x:v>
      </x:c>
      <x:c r="S180" s="36" t="n">
        <x:v>0</x:v>
      </x:c>
      <x:c r="T180" s="36" t="n">
        <x:v>3</x:v>
      </x:c>
      <x:c r="U180" s="36" t="str">
        <x:v>Kolosser 1: 5/5 Fragen geprüft, gegen L1912 + OTB freigegeben und importbereit.</x:v>
      </x:c>
    </x:row>
    <x:row r="181">
      <x:c r="A181" s="36" t="n">
        <x:v>180</x:v>
      </x:c>
      <x:c r="B181" s="36" t="str">
        <x:v>COL</x:v>
      </x:c>
      <x:c r="C181" s="36" t="str">
        <x:v>Kolosser</x:v>
      </x:c>
      <x:c r="D181" s="36" t="n">
        <x:v>2</x:v>
      </x:c>
      <x:c r="E181" s="36" t="str">
        <x:v>COL-002</x:v>
      </x:c>
      <x:c r="F181" s="36" t="str">
        <x:v>FP-1156</x:v>
      </x:c>
      <x:c r="G181" s="36" t="str">
        <x:v>FP-1160</x:v>
      </x:c>
      <x:c r="H181" s="36" t="n">
        <x:v>0</x:v>
      </x:c>
      <x:c r="I181" s="36" t="n">
        <x:v>0</x:v>
      </x:c>
      <x:c r="J181" s="36" t="n">
        <x:v>0</x:v>
      </x:c>
      <x:c r="K181" s="36" t="n">
        <x:v>5</x:v>
      </x:c>
      <x:c r="L181" s="36" t="n">
        <x:v>5</x:v>
      </x:c>
      <x:c r="M181" s="36" t="n">
        <x:v>5</x:v>
      </x:c>
      <x:c r="N181" s="36" t="str">
        <x:v>FREIGEGEBEN</x:v>
      </x:c>
      <x:c r="O181" s="36" t="n">
        <x:v>0</x:v>
      </x:c>
      <x:c r="P181" s="36" t="n">
        <x:v>0</x:v>
      </x:c>
      <x:c r="Q181" s="36" t="n">
        <x:v>3</x:v>
      </x:c>
      <x:c r="R181" s="36" t="n">
        <x:v>1</x:v>
      </x:c>
      <x:c r="S181" s="36" t="n">
        <x:v>0</x:v>
      </x:c>
      <x:c r="T181" s="36" t="n">
        <x:v>1</x:v>
      </x:c>
      <x:c r="U181" s="36" t="str">
        <x:v>Kolosser 2: 5/5 Fragen geprüft, gegen L1912 + OTB freigegeben und importbereit.</x:v>
      </x:c>
    </x:row>
    <x:row r="182">
      <x:c r="A182" s="36" t="n">
        <x:v>181</x:v>
      </x:c>
      <x:c r="B182" s="36" t="str">
        <x:v>COL</x:v>
      </x:c>
      <x:c r="C182" s="36" t="str">
        <x:v>Kolosser</x:v>
      </x:c>
      <x:c r="D182" s="36" t="n">
        <x:v>3</x:v>
      </x:c>
      <x:c r="E182" s="36" t="str">
        <x:v>COL-003</x:v>
      </x:c>
      <x:c r="F182" s="36" t="str">
        <x:v>FP-1161</x:v>
      </x:c>
      <x:c r="G182" s="36" t="str">
        <x:v>FP-1165</x:v>
      </x:c>
      <x:c r="H182" s="36" t="n">
        <x:v>0</x:v>
      </x:c>
      <x:c r="I182" s="36" t="n">
        <x:v>0</x:v>
      </x:c>
      <x:c r="J182" s="36" t="n">
        <x:v>0</x:v>
      </x:c>
      <x:c r="K182" s="36" t="n">
        <x:v>5</x:v>
      </x:c>
      <x:c r="L182" s="36" t="n">
        <x:v>5</x:v>
      </x:c>
      <x:c r="M182" s="36" t="n">
        <x:v>5</x:v>
      </x:c>
      <x:c r="N182" s="36" t="str">
        <x:v>FREIGEGEBEN</x:v>
      </x:c>
      <x:c r="O182" s="36" t="n">
        <x:v>0</x:v>
      </x:c>
      <x:c r="P182" s="36" t="n">
        <x:v>0</x:v>
      </x:c>
      <x:c r="Q182" s="36" t="n">
        <x:v>3</x:v>
      </x:c>
      <x:c r="R182" s="36" t="n">
        <x:v>0</x:v>
      </x:c>
      <x:c r="S182" s="36" t="n">
        <x:v>0</x:v>
      </x:c>
      <x:c r="T182" s="36" t="n">
        <x:v>2</x:v>
      </x:c>
      <x:c r="U182" s="36" t="str">
        <x:v>Kolosser 3: 5/5 Fragen geprüft, gegen L1912 + OTB freigegeben und importbereit.</x:v>
      </x:c>
    </x:row>
    <x:row r="183">
      <x:c r="A183" s="36" t="n">
        <x:v>182</x:v>
      </x:c>
      <x:c r="B183" s="36" t="str">
        <x:v>COL</x:v>
      </x:c>
      <x:c r="C183" s="36" t="str">
        <x:v>Kolosser</x:v>
      </x:c>
      <x:c r="D183" s="36" t="n">
        <x:v>4</x:v>
      </x:c>
      <x:c r="E183" s="36" t="str">
        <x:v>COL-004</x:v>
      </x:c>
      <x:c r="F183" s="36" t="str">
        <x:v>FP-1166</x:v>
      </x:c>
      <x:c r="G183" s="36" t="str">
        <x:v>FP-1170</x:v>
      </x:c>
      <x:c r="H183" s="36" t="n">
        <x:v>0</x:v>
      </x:c>
      <x:c r="I183" s="36" t="n">
        <x:v>0</x:v>
      </x:c>
      <x:c r="J183" s="36" t="n">
        <x:v>0</x:v>
      </x:c>
      <x:c r="K183" s="36" t="n">
        <x:v>5</x:v>
      </x:c>
      <x:c r="L183" s="36" t="n">
        <x:v>5</x:v>
      </x:c>
      <x:c r="M183" s="36" t="n">
        <x:v>5</x:v>
      </x:c>
      <x:c r="N183" s="36" t="str">
        <x:v>FREIGEGEBEN</x:v>
      </x:c>
      <x:c r="O183" s="36" t="n">
        <x:v>0</x:v>
      </x:c>
      <x:c r="P183" s="36" t="n">
        <x:v>1</x:v>
      </x:c>
      <x:c r="Q183" s="36" t="n">
        <x:v>2</x:v>
      </x:c>
      <x:c r="R183" s="36" t="n">
        <x:v>0</x:v>
      </x:c>
      <x:c r="S183" s="36" t="n">
        <x:v>0</x:v>
      </x:c>
      <x:c r="T183" s="36" t="n">
        <x:v>2</x:v>
      </x:c>
      <x:c r="U183" s="36" t="str">
        <x:v>Kolosser 4: 5/5 Fragen geprüft, gegen L1912 + OTB freigegeben und importbereit.</x:v>
      </x:c>
    </x:row>
    <x:row r="184">
      <x:c r="A184" s="36" t="n">
        <x:v>183</x:v>
      </x:c>
      <x:c r="B184" s="36" t="str">
        <x:v>1TH</x:v>
      </x:c>
      <x:c r="C184" s="36" t="str">
        <x:v>1. Thessalonicher</x:v>
      </x:c>
      <x:c r="D184" s="36" t="n">
        <x:v>1</x:v>
      </x:c>
      <x:c r="E184" s="36" t="str">
        <x:v>1TH-001</x:v>
      </x:c>
      <x:c r="F184" s="36" t="str">
        <x:v>FP-1171</x:v>
      </x:c>
      <x:c r="G184" s="36" t="str">
        <x:v>FP-1175</x:v>
      </x:c>
      <x:c r="H184" s="36" t="n">
        <x:v>0</x:v>
      </x:c>
      <x:c r="I184" s="36" t="n">
        <x:v>0</x:v>
      </x:c>
      <x:c r="J184" s="36" t="n">
        <x:v>0</x:v>
      </x:c>
      <x:c r="K184" s="36" t="n">
        <x:v>5</x:v>
      </x:c>
      <x:c r="L184" s="36" t="n">
        <x:v>5</x:v>
      </x:c>
      <x:c r="M184" s="36" t="n">
        <x:v>5</x:v>
      </x:c>
      <x:c r="N184" s="36" t="str">
        <x:v>FREIGEGEBEN</x:v>
      </x:c>
      <x:c r="O184" s="36" t="n">
        <x:v>0</x:v>
      </x:c>
      <x:c r="P184" s="36" t="n">
        <x:v>0</x:v>
      </x:c>
      <x:c r="Q184" s="36" t="n">
        <x:v>2</x:v>
      </x:c>
      <x:c r="R184" s="36" t="n">
        <x:v>2</x:v>
      </x:c>
      <x:c r="S184" s="36" t="n">
        <x:v>0</x:v>
      </x:c>
      <x:c r="T184" s="36" t="n">
        <x:v>1</x:v>
      </x:c>
      <x:c r="U184" s="36" t="str">
        <x:v>1. Thessalonicher 1: 5/5 Fragen geprüft, gegen L1912 + OTB freigegeben und importbereit.</x:v>
      </x:c>
    </x:row>
    <x:row r="185">
      <x:c r="A185" s="36" t="n">
        <x:v>184</x:v>
      </x:c>
      <x:c r="B185" s="36" t="str">
        <x:v>1TH</x:v>
      </x:c>
      <x:c r="C185" s="36" t="str">
        <x:v>1. Thessalonicher</x:v>
      </x:c>
      <x:c r="D185" s="36" t="n">
        <x:v>2</x:v>
      </x:c>
      <x:c r="E185" s="36" t="str">
        <x:v>1TH-002</x:v>
      </x:c>
      <x:c r="F185" s="36" t="str">
        <x:v>FP-1176</x:v>
      </x:c>
      <x:c r="G185" s="36" t="str">
        <x:v>FP-1180</x:v>
      </x:c>
      <x:c r="H185" s="36" t="n">
        <x:v>0</x:v>
      </x:c>
      <x:c r="I185" s="36" t="n">
        <x:v>0</x:v>
      </x:c>
      <x:c r="J185" s="36" t="n">
        <x:v>0</x:v>
      </x:c>
      <x:c r="K185" s="36" t="n">
        <x:v>5</x:v>
      </x:c>
      <x:c r="L185" s="36" t="n">
        <x:v>5</x:v>
      </x:c>
      <x:c r="M185" s="36" t="n">
        <x:v>5</x:v>
      </x:c>
      <x:c r="N185" s="36" t="str">
        <x:v>FREIGEGEBEN</x:v>
      </x:c>
      <x:c r="O185" s="36" t="n">
        <x:v>0</x:v>
      </x:c>
      <x:c r="P185" s="36" t="n">
        <x:v>1</x:v>
      </x:c>
      <x:c r="Q185" s="36" t="n">
        <x:v>1</x:v>
      </x:c>
      <x:c r="R185" s="36" t="n">
        <x:v>0</x:v>
      </x:c>
      <x:c r="S185" s="36" t="n">
        <x:v>0</x:v>
      </x:c>
      <x:c r="T185" s="36" t="n">
        <x:v>3</x:v>
      </x:c>
      <x:c r="U185" s="36" t="str">
        <x:v>1. Thessalonicher 2: 5/5 Fragen geprüft, gegen L1912 + OTB freigegeben und importbereit.</x:v>
      </x:c>
    </x:row>
    <x:row r="186">
      <x:c r="A186" s="36" t="n">
        <x:v>185</x:v>
      </x:c>
      <x:c r="B186" s="36" t="str">
        <x:v>1TH</x:v>
      </x:c>
      <x:c r="C186" s="36" t="str">
        <x:v>1. Thessalonicher</x:v>
      </x:c>
      <x:c r="D186" s="36" t="n">
        <x:v>3</x:v>
      </x:c>
      <x:c r="E186" s="36" t="str">
        <x:v>1TH-003</x:v>
      </x:c>
      <x:c r="F186" s="36" t="str">
        <x:v>FP-1181</x:v>
      </x:c>
      <x:c r="G186" s="36" t="str">
        <x:v>FP-1185</x:v>
      </x:c>
      <x:c r="H186" s="36" t="n">
        <x:v>0</x:v>
      </x:c>
      <x:c r="I186" s="36" t="n">
        <x:v>0</x:v>
      </x:c>
      <x:c r="J186" s="36" t="n">
        <x:v>0</x:v>
      </x:c>
      <x:c r="K186" s="36" t="n">
        <x:v>5</x:v>
      </x:c>
      <x:c r="L186" s="36" t="n">
        <x:v>5</x:v>
      </x:c>
      <x:c r="M186" s="36" t="n">
        <x:v>5</x:v>
      </x:c>
      <x:c r="N186" s="36" t="str">
        <x:v>FREIGEGEBEN</x:v>
      </x:c>
      <x:c r="O186" s="36" t="n">
        <x:v>1</x:v>
      </x:c>
      <x:c r="P186" s="36" t="n">
        <x:v>0</x:v>
      </x:c>
      <x:c r="Q186" s="36" t="n">
        <x:v>1</x:v>
      </x:c>
      <x:c r="R186" s="36" t="n">
        <x:v>0</x:v>
      </x:c>
      <x:c r="S186" s="36" t="n">
        <x:v>0</x:v>
      </x:c>
      <x:c r="T186" s="36" t="n">
        <x:v>3</x:v>
      </x:c>
      <x:c r="U186" s="36" t="str">
        <x:v>1. Thessalonicher 3: 5/5 Fragen geprüft, gegen L1912 + OTB freigegeben und importbereit.</x:v>
      </x:c>
    </x:row>
    <x:row r="187">
      <x:c r="A187" s="36" t="n">
        <x:v>186</x:v>
      </x:c>
      <x:c r="B187" s="36" t="str">
        <x:v>1TH</x:v>
      </x:c>
      <x:c r="C187" s="36" t="str">
        <x:v>1. Thessalonicher</x:v>
      </x:c>
      <x:c r="D187" s="36" t="n">
        <x:v>4</x:v>
      </x:c>
      <x:c r="E187" s="36" t="str">
        <x:v>1TH-004</x:v>
      </x:c>
      <x:c r="F187" s="36" t="str">
        <x:v>FP-1186</x:v>
      </x:c>
      <x:c r="G187" s="36" t="str">
        <x:v>FP-1190</x:v>
      </x:c>
      <x:c r="H187" s="36" t="n">
        <x:v>0</x:v>
      </x:c>
      <x:c r="I187" s="36" t="n">
        <x:v>0</x:v>
      </x:c>
      <x:c r="J187" s="36" t="n">
        <x:v>0</x:v>
      </x:c>
      <x:c r="K187" s="36" t="n">
        <x:v>5</x:v>
      </x:c>
      <x:c r="L187" s="36" t="n">
        <x:v>5</x:v>
      </x:c>
      <x:c r="M187" s="36" t="n">
        <x:v>5</x:v>
      </x:c>
      <x:c r="N187" s="36" t="str">
        <x:v>FREIGEGEBEN</x:v>
      </x:c>
      <x:c r="O187" s="36" t="n">
        <x:v>1</x:v>
      </x:c>
      <x:c r="P187" s="36" t="n">
        <x:v>0</x:v>
      </x:c>
      <x:c r="Q187" s="36" t="n">
        <x:v>1</x:v>
      </x:c>
      <x:c r="R187" s="36" t="n">
        <x:v>1</x:v>
      </x:c>
      <x:c r="S187" s="36" t="n">
        <x:v>0</x:v>
      </x:c>
      <x:c r="T187" s="36" t="n">
        <x:v>2</x:v>
      </x:c>
      <x:c r="U187" s="36" t="str">
        <x:v>1. Thessalonicher 4: 5/5 Fragen geprüft, gegen L1912 + OTB freigegeben und importbereit.</x:v>
      </x:c>
    </x:row>
    <x:row r="188">
      <x:c r="A188" s="36" t="n">
        <x:v>187</x:v>
      </x:c>
      <x:c r="B188" s="36" t="str">
        <x:v>1TH</x:v>
      </x:c>
      <x:c r="C188" s="36" t="str">
        <x:v>1. Thessalonicher</x:v>
      </x:c>
      <x:c r="D188" s="36" t="n">
        <x:v>5</x:v>
      </x:c>
      <x:c r="E188" s="36" t="str">
        <x:v>1TH-005</x:v>
      </x:c>
      <x:c r="F188" s="36" t="str">
        <x:v>FP-1191</x:v>
      </x:c>
      <x:c r="G188" s="36" t="str">
        <x:v>FP-1195</x:v>
      </x:c>
      <x:c r="H188" s="36" t="n">
        <x:v>0</x:v>
      </x:c>
      <x:c r="I188" s="36" t="n">
        <x:v>0</x:v>
      </x:c>
      <x:c r="J188" s="36" t="n">
        <x:v>0</x:v>
      </x:c>
      <x:c r="K188" s="36" t="n">
        <x:v>5</x:v>
      </x:c>
      <x:c r="L188" s="36" t="n">
        <x:v>5</x:v>
      </x:c>
      <x:c r="M188" s="36" t="n">
        <x:v>5</x:v>
      </x:c>
      <x:c r="N188" s="36" t="str">
        <x:v>FREIGEGEBEN</x:v>
      </x:c>
      <x:c r="O188" s="36" t="n">
        <x:v>0</x:v>
      </x:c>
      <x:c r="P188" s="36" t="n">
        <x:v>0</x:v>
      </x:c>
      <x:c r="Q188" s="36" t="n">
        <x:v>3</x:v>
      </x:c>
      <x:c r="R188" s="36" t="n">
        <x:v>1</x:v>
      </x:c>
      <x:c r="S188" s="36" t="n">
        <x:v>0</x:v>
      </x:c>
      <x:c r="T188" s="36" t="n">
        <x:v>1</x:v>
      </x:c>
      <x:c r="U188" s="36" t="str">
        <x:v>1. Thessalonicher 5: 5/5 Fragen geprüft, gegen L1912 + OTB freigegeben und importbereit.</x:v>
      </x:c>
    </x:row>
    <x:row r="189">
      <x:c r="A189" s="36" t="n">
        <x:v>188</x:v>
      </x:c>
      <x:c r="B189" s="36" t="str">
        <x:v>2TH</x:v>
      </x:c>
      <x:c r="C189" s="36" t="str">
        <x:v>2. Thessalonicher</x:v>
      </x:c>
      <x:c r="D189" s="36" t="n">
        <x:v>1</x:v>
      </x:c>
      <x:c r="E189" s="36" t="str">
        <x:v>2TH-001</x:v>
      </x:c>
      <x:c r="F189" s="36" t="str">
        <x:v>FP-1196</x:v>
      </x:c>
      <x:c r="G189" s="36" t="str">
        <x:v>FP-1200</x:v>
      </x:c>
      <x:c r="H189" s="36" t="n">
        <x:v>0</x:v>
      </x:c>
      <x:c r="I189" s="36" t="n">
        <x:v>0</x:v>
      </x:c>
      <x:c r="J189" s="36" t="n">
        <x:v>0</x:v>
      </x:c>
      <x:c r="K189" s="36" t="n">
        <x:v>5</x:v>
      </x:c>
      <x:c r="L189" s="36" t="n">
        <x:v>5</x:v>
      </x:c>
      <x:c r="M189" s="36" t="n">
        <x:v>5</x:v>
      </x:c>
      <x:c r="N189" s="36" t="str">
        <x:v>FREIGEGEBEN</x:v>
      </x:c>
      <x:c r="O189" s="36" t="n">
        <x:v>0</x:v>
      </x:c>
      <x:c r="P189" s="36" t="n">
        <x:v>0</x:v>
      </x:c>
      <x:c r="Q189" s="36" t="n">
        <x:v>3</x:v>
      </x:c>
      <x:c r="R189" s="36" t="n">
        <x:v>1</x:v>
      </x:c>
      <x:c r="S189" s="36" t="n">
        <x:v>0</x:v>
      </x:c>
      <x:c r="T189" s="36" t="n">
        <x:v>1</x:v>
      </x:c>
      <x:c r="U189" s="36" t="str">
        <x:v>2. Thessalonicher 1: 5/5 Fragen geprüft, gegen L1912 + OTB freigegeben und importbereit.</x:v>
      </x:c>
    </x:row>
    <x:row r="190">
      <x:c r="A190" s="36" t="n">
        <x:v>189</x:v>
      </x:c>
      <x:c r="B190" s="36" t="str">
        <x:v>2TH</x:v>
      </x:c>
      <x:c r="C190" s="36" t="str">
        <x:v>2. Thessalonicher</x:v>
      </x:c>
      <x:c r="D190" s="36" t="n">
        <x:v>2</x:v>
      </x:c>
      <x:c r="E190" s="36" t="str">
        <x:v>2TH-002</x:v>
      </x:c>
      <x:c r="F190" s="36" t="str">
        <x:v>FP-1201</x:v>
      </x:c>
      <x:c r="G190" s="36" t="str">
        <x:v>FP-1205</x:v>
      </x:c>
      <x:c r="H190" s="36" t="n">
        <x:v>0</x:v>
      </x:c>
      <x:c r="I190" s="36" t="n">
        <x:v>0</x:v>
      </x:c>
      <x:c r="J190" s="36" t="n">
        <x:v>0</x:v>
      </x:c>
      <x:c r="K190" s="36" t="n">
        <x:v>5</x:v>
      </x:c>
      <x:c r="L190" s="36" t="n">
        <x:v>5</x:v>
      </x:c>
      <x:c r="M190" s="36" t="n">
        <x:v>5</x:v>
      </x:c>
      <x:c r="N190" s="36" t="str">
        <x:v>FREIGEGEBEN</x:v>
      </x:c>
      <x:c r="O190" s="36" t="n">
        <x:v>1</x:v>
      </x:c>
      <x:c r="P190" s="36" t="n">
        <x:v>0</x:v>
      </x:c>
      <x:c r="Q190" s="36" t="n">
        <x:v>3</x:v>
      </x:c>
      <x:c r="R190" s="36" t="n">
        <x:v>1</x:v>
      </x:c>
      <x:c r="S190" s="36" t="n">
        <x:v>0</x:v>
      </x:c>
      <x:c r="T190" s="36" t="n">
        <x:v>0</x:v>
      </x:c>
      <x:c r="U190" s="36" t="str">
        <x:v>2. Thessalonicher 2: 5/5 Fragen geprüft, gegen L1912 + OTB freigegeben und importbereit.</x:v>
      </x:c>
    </x:row>
    <x:row r="191">
      <x:c r="A191" s="36" t="n">
        <x:v>190</x:v>
      </x:c>
      <x:c r="B191" s="36" t="str">
        <x:v>2TH</x:v>
      </x:c>
      <x:c r="C191" s="36" t="str">
        <x:v>2. Thessalonicher</x:v>
      </x:c>
      <x:c r="D191" s="36" t="n">
        <x:v>3</x:v>
      </x:c>
      <x:c r="E191" s="36" t="str">
        <x:v>2TH-003</x:v>
      </x:c>
      <x:c r="F191" s="36" t="str">
        <x:v>FP-1206</x:v>
      </x:c>
      <x:c r="G191" s="36" t="str">
        <x:v>FP-1210</x:v>
      </x:c>
      <x:c r="H191" s="36" t="n">
        <x:v>0</x:v>
      </x:c>
      <x:c r="I191" s="36" t="n">
        <x:v>0</x:v>
      </x:c>
      <x:c r="J191" s="36" t="n">
        <x:v>0</x:v>
      </x:c>
      <x:c r="K191" s="36" t="n">
        <x:v>5</x:v>
      </x:c>
      <x:c r="L191" s="36" t="n">
        <x:v>5</x:v>
      </x:c>
      <x:c r="M191" s="36" t="n">
        <x:v>5</x:v>
      </x:c>
      <x:c r="N191" s="36" t="str">
        <x:v>FREIGEGEBEN</x:v>
      </x:c>
      <x:c r="O191" s="36" t="n">
        <x:v>0</x:v>
      </x:c>
      <x:c r="P191" s="36" t="n">
        <x:v>0</x:v>
      </x:c>
      <x:c r="Q191" s="36" t="n">
        <x:v>2</x:v>
      </x:c>
      <x:c r="R191" s="36" t="n">
        <x:v>1</x:v>
      </x:c>
      <x:c r="S191" s="36" t="n">
        <x:v>0</x:v>
      </x:c>
      <x:c r="T191" s="36" t="n">
        <x:v>2</x:v>
      </x:c>
      <x:c r="U191" s="36" t="str">
        <x:v>2. Thessalonicher 3: 5/5 Fragen geprüft, gegen L1912 + OTB freigegeben und importbereit.</x:v>
      </x:c>
    </x:row>
    <x:row r="192">
      <x:c r="A192" s="36" t="n">
        <x:v>191</x:v>
      </x:c>
      <x:c r="B192" s="36" t="str">
        <x:v>1TI</x:v>
      </x:c>
      <x:c r="C192" s="36" t="str">
        <x:v>1. Timotheus</x:v>
      </x:c>
      <x:c r="D192" s="36" t="n">
        <x:v>1</x:v>
      </x:c>
      <x:c r="E192" s="36" t="str">
        <x:v>1TI-001</x:v>
      </x:c>
      <x:c r="F192" s="36" t="str">
        <x:v>FP-1211</x:v>
      </x:c>
      <x:c r="G192" s="36" t="str">
        <x:v>FP-1215</x:v>
      </x:c>
      <x:c r="H192" s="36" t="n">
        <x:v>0</x:v>
      </x:c>
      <x:c r="I192" s="36" t="n">
        <x:v>0</x:v>
      </x:c>
      <x:c r="J192" s="36" t="n">
        <x:v>0</x:v>
      </x:c>
      <x:c r="K192" s="36" t="n">
        <x:v>5</x:v>
      </x:c>
      <x:c r="L192" s="36" t="n">
        <x:v>5</x:v>
      </x:c>
      <x:c r="M192" s="36" t="n">
        <x:v>5</x:v>
      </x:c>
      <x:c r="N192" s="36" t="str">
        <x:v>FREIGEGEBEN</x:v>
      </x:c>
      <x:c r="O192" s="36" t="n">
        <x:v>0</x:v>
      </x:c>
      <x:c r="P192" s="36" t="n">
        <x:v>0</x:v>
      </x:c>
      <x:c r="Q192" s="36" t="n">
        <x:v>2</x:v>
      </x:c>
      <x:c r="R192" s="36" t="n">
        <x:v>1</x:v>
      </x:c>
      <x:c r="S192" s="36" t="n">
        <x:v>0</x:v>
      </x:c>
      <x:c r="T192" s="36" t="n">
        <x:v>2</x:v>
      </x:c>
      <x:c r="U192" s="36" t="str">
        <x:v>1. Timotheus 1: 5/5 Fragen geprüft, gegen L1912 + OTB freigegeben und importbereit.</x:v>
      </x:c>
    </x:row>
    <x:row r="193">
      <x:c r="A193" s="36" t="n">
        <x:v>192</x:v>
      </x:c>
      <x:c r="B193" s="36" t="str">
        <x:v>1TI</x:v>
      </x:c>
      <x:c r="C193" s="36" t="str">
        <x:v>1. Timotheus</x:v>
      </x:c>
      <x:c r="D193" s="36" t="n">
        <x:v>2</x:v>
      </x:c>
      <x:c r="E193" s="36" t="str">
        <x:v>1TI-002</x:v>
      </x:c>
      <x:c r="F193" s="36" t="str">
        <x:v>FP-1216</x:v>
      </x:c>
      <x:c r="G193" s="36" t="str">
        <x:v>FP-1220</x:v>
      </x:c>
      <x:c r="H193" s="36" t="n">
        <x:v>0</x:v>
      </x:c>
      <x:c r="I193" s="36" t="n">
        <x:v>0</x:v>
      </x:c>
      <x:c r="J193" s="36" t="n">
        <x:v>0</x:v>
      </x:c>
      <x:c r="K193" s="36" t="n">
        <x:v>5</x:v>
      </x:c>
      <x:c r="L193" s="36" t="n">
        <x:v>5</x:v>
      </x:c>
      <x:c r="M193" s="36" t="n">
        <x:v>5</x:v>
      </x:c>
      <x:c r="N193" s="36" t="str">
        <x:v>FREIGEGEBEN</x:v>
      </x:c>
      <x:c r="O193" s="36" t="n">
        <x:v>0</x:v>
      </x:c>
      <x:c r="P193" s="36" t="n">
        <x:v>0</x:v>
      </x:c>
      <x:c r="Q193" s="36" t="n">
        <x:v>2</x:v>
      </x:c>
      <x:c r="R193" s="36" t="n">
        <x:v>1</x:v>
      </x:c>
      <x:c r="S193" s="36" t="n">
        <x:v>1</x:v>
      </x:c>
      <x:c r="T193" s="36" t="n">
        <x:v>1</x:v>
      </x:c>
      <x:c r="U193" s="36" t="str">
        <x:v>1. Timotheus 2: 5/5 Fragen geprüft, gegen L1912 + OTB freigegeben und importbereit.</x:v>
      </x:c>
    </x:row>
    <x:row r="194">
      <x:c r="A194" s="36" t="n">
        <x:v>193</x:v>
      </x:c>
      <x:c r="B194" s="36" t="str">
        <x:v>1TI</x:v>
      </x:c>
      <x:c r="C194" s="36" t="str">
        <x:v>1. Timotheus</x:v>
      </x:c>
      <x:c r="D194" s="36" t="n">
        <x:v>3</x:v>
      </x:c>
      <x:c r="E194" s="36" t="str">
        <x:v>1TI-003</x:v>
      </x:c>
      <x:c r="F194" s="36" t="str">
        <x:v>FP-1221</x:v>
      </x:c>
      <x:c r="G194" s="36" t="str">
        <x:v>FP-1225</x:v>
      </x:c>
      <x:c r="H194" s="36" t="n">
        <x:v>0</x:v>
      </x:c>
      <x:c r="I194" s="36" t="n">
        <x:v>0</x:v>
      </x:c>
      <x:c r="J194" s="36" t="n">
        <x:v>0</x:v>
      </x:c>
      <x:c r="K194" s="36" t="n">
        <x:v>5</x:v>
      </x:c>
      <x:c r="L194" s="36" t="n">
        <x:v>5</x:v>
      </x:c>
      <x:c r="M194" s="36" t="n">
        <x:v>5</x:v>
      </x:c>
      <x:c r="N194" s="36" t="str">
        <x:v>FREIGEGEBEN</x:v>
      </x:c>
      <x:c r="O194" s="36" t="n">
        <x:v>0</x:v>
      </x:c>
      <x:c r="P194" s="36" t="n">
        <x:v>0</x:v>
      </x:c>
      <x:c r="Q194" s="36" t="n">
        <x:v>2</x:v>
      </x:c>
      <x:c r="R194" s="36" t="n">
        <x:v>0</x:v>
      </x:c>
      <x:c r="S194" s="36" t="n">
        <x:v>0</x:v>
      </x:c>
      <x:c r="T194" s="36" t="n">
        <x:v>3</x:v>
      </x:c>
      <x:c r="U194" s="36" t="str">
        <x:v>1. Timotheus 3: 5/5 Fragen geprüft, gegen L1912 + OTB freigegeben und importbereit.</x:v>
      </x:c>
    </x:row>
    <x:row r="195">
      <x:c r="A195" s="36" t="n">
        <x:v>194</x:v>
      </x:c>
      <x:c r="B195" s="36" t="str">
        <x:v>1TI</x:v>
      </x:c>
      <x:c r="C195" s="36" t="str">
        <x:v>1. Timotheus</x:v>
      </x:c>
      <x:c r="D195" s="36" t="n">
        <x:v>4</x:v>
      </x:c>
      <x:c r="E195" s="36" t="str">
        <x:v>1TI-004</x:v>
      </x:c>
      <x:c r="F195" s="36" t="str">
        <x:v>FP-1226</x:v>
      </x:c>
      <x:c r="G195" s="36" t="str">
        <x:v>FP-1230</x:v>
      </x:c>
      <x:c r="H195" s="36" t="n">
        <x:v>0</x:v>
      </x:c>
      <x:c r="I195" s="36" t="n">
        <x:v>0</x:v>
      </x:c>
      <x:c r="J195" s="36" t="n">
        <x:v>0</x:v>
      </x:c>
      <x:c r="K195" s="36" t="n">
        <x:v>5</x:v>
      </x:c>
      <x:c r="L195" s="36" t="n">
        <x:v>5</x:v>
      </x:c>
      <x:c r="M195" s="36" t="n">
        <x:v>5</x:v>
      </x:c>
      <x:c r="N195" s="36" t="str">
        <x:v>FREIGEGEBEN</x:v>
      </x:c>
      <x:c r="O195" s="36" t="n">
        <x:v>0</x:v>
      </x:c>
      <x:c r="P195" s="36" t="n">
        <x:v>0</x:v>
      </x:c>
      <x:c r="Q195" s="36" t="n">
        <x:v>1</x:v>
      </x:c>
      <x:c r="R195" s="36" t="n">
        <x:v>0</x:v>
      </x:c>
      <x:c r="S195" s="36" t="n">
        <x:v>0</x:v>
      </x:c>
      <x:c r="T195" s="36" t="n">
        <x:v>4</x:v>
      </x:c>
      <x:c r="U195" s="36" t="str">
        <x:v>1. Timotheus 4: 5/5 Fragen geprüft, gegen L1912 + OTB freigegeben und importbereit.</x:v>
      </x:c>
    </x:row>
    <x:row r="196">
      <x:c r="A196" s="36" t="n">
        <x:v>195</x:v>
      </x:c>
      <x:c r="B196" s="36" t="str">
        <x:v>1TI</x:v>
      </x:c>
      <x:c r="C196" s="36" t="str">
        <x:v>1. Timotheus</x:v>
      </x:c>
      <x:c r="D196" s="36" t="n">
        <x:v>5</x:v>
      </x:c>
      <x:c r="E196" s="36" t="str">
        <x:v>1TI-005</x:v>
      </x:c>
      <x:c r="F196" s="36" t="str">
        <x:v>FP-1231</x:v>
      </x:c>
      <x:c r="G196" s="36" t="str">
        <x:v>FP-1235</x:v>
      </x:c>
      <x:c r="H196" s="36" t="n">
        <x:v>0</x:v>
      </x:c>
      <x:c r="I196" s="36" t="n">
        <x:v>0</x:v>
      </x:c>
      <x:c r="J196" s="36" t="n">
        <x:v>0</x:v>
      </x:c>
      <x:c r="K196" s="36" t="n">
        <x:v>5</x:v>
      </x:c>
      <x:c r="L196" s="36" t="n">
        <x:v>5</x:v>
      </x:c>
      <x:c r="M196" s="36" t="n">
        <x:v>5</x:v>
      </x:c>
      <x:c r="N196" s="36" t="str">
        <x:v>FREIGEGEBEN</x:v>
      </x:c>
      <x:c r="O196" s="36" t="n">
        <x:v>0</x:v>
      </x:c>
      <x:c r="P196" s="36" t="n">
        <x:v>1</x:v>
      </x:c>
      <x:c r="Q196" s="36" t="n">
        <x:v>2</x:v>
      </x:c>
      <x:c r="R196" s="36" t="n">
        <x:v>0</x:v>
      </x:c>
      <x:c r="S196" s="36" t="n">
        <x:v>0</x:v>
      </x:c>
      <x:c r="T196" s="36" t="n">
        <x:v>2</x:v>
      </x:c>
      <x:c r="U196" s="36" t="str">
        <x:v>1. Timotheus 5: 5/5 Fragen geprüft, gegen L1912 + OTB freigegeben und importbereit.</x:v>
      </x:c>
    </x:row>
    <x:row r="197">
      <x:c r="A197" s="36" t="n">
        <x:v>196</x:v>
      </x:c>
      <x:c r="B197" s="36" t="str">
        <x:v>1TI</x:v>
      </x:c>
      <x:c r="C197" s="36" t="str">
        <x:v>1. Timotheus</x:v>
      </x:c>
      <x:c r="D197" s="36" t="n">
        <x:v>6</x:v>
      </x:c>
      <x:c r="E197" s="36" t="str">
        <x:v>1TI-006</x:v>
      </x:c>
      <x:c r="F197" s="36" t="str">
        <x:v>FP-1236</x:v>
      </x:c>
      <x:c r="G197" s="36" t="str">
        <x:v>FP-1240</x:v>
      </x:c>
      <x:c r="H197" s="36" t="n">
        <x:v>0</x:v>
      </x:c>
      <x:c r="I197" s="36" t="n">
        <x:v>0</x:v>
      </x:c>
      <x:c r="J197" s="36" t="n">
        <x:v>0</x:v>
      </x:c>
      <x:c r="K197" s="36" t="n">
        <x:v>5</x:v>
      </x:c>
      <x:c r="L197" s="36" t="n">
        <x:v>5</x:v>
      </x:c>
      <x:c r="M197" s="36" t="n">
        <x:v>5</x:v>
      </x:c>
      <x:c r="N197" s="36" t="str">
        <x:v>FREIGEGEBEN</x:v>
      </x:c>
      <x:c r="O197" s="36" t="n">
        <x:v>0</x:v>
      </x:c>
      <x:c r="P197" s="36" t="n">
        <x:v>0</x:v>
      </x:c>
      <x:c r="Q197" s="36" t="n">
        <x:v>3</x:v>
      </x:c>
      <x:c r="R197" s="36" t="n">
        <x:v>0</x:v>
      </x:c>
      <x:c r="S197" s="36" t="n">
        <x:v>0</x:v>
      </x:c>
      <x:c r="T197" s="36" t="n">
        <x:v>2</x:v>
      </x:c>
      <x:c r="U197" s="36" t="str">
        <x:v>1. Timotheus 6: 5/5 Fragen geprüft, gegen L1912 + OTB freigegeben und importbereit.</x:v>
      </x:c>
    </x:row>
    <x:row r="198">
      <x:c r="A198" s="36" t="n">
        <x:v>197</x:v>
      </x:c>
      <x:c r="B198" s="36" t="str">
        <x:v>2TI</x:v>
      </x:c>
      <x:c r="C198" s="36" t="str">
        <x:v>2. Timotheus</x:v>
      </x:c>
      <x:c r="D198" s="36" t="n">
        <x:v>1</x:v>
      </x:c>
      <x:c r="E198" s="36" t="str">
        <x:v>2TI-001</x:v>
      </x:c>
      <x:c r="F198" s="36" t="str">
        <x:v>FP-1241</x:v>
      </x:c>
      <x:c r="G198" s="36" t="str">
        <x:v>FP-1245</x:v>
      </x:c>
      <x:c r="H198" s="36" t="n">
        <x:v>0</x:v>
      </x:c>
      <x:c r="I198" s="36" t="n">
        <x:v>0</x:v>
      </x:c>
      <x:c r="J198" s="36" t="n">
        <x:v>0</x:v>
      </x:c>
      <x:c r="K198" s="36" t="n">
        <x:v>5</x:v>
      </x:c>
      <x:c r="L198" s="36" t="n">
        <x:v>5</x:v>
      </x:c>
      <x:c r="M198" s="36" t="n">
        <x:v>5</x:v>
      </x:c>
      <x:c r="N198" s="36" t="str">
        <x:v>FREIGEGEBEN</x:v>
      </x:c>
      <x:c r="O198" s="36" t="n">
        <x:v>0</x:v>
      </x:c>
      <x:c r="P198" s="36" t="n">
        <x:v>0</x:v>
      </x:c>
      <x:c r="Q198" s="36" t="n">
        <x:v>0</x:v>
      </x:c>
      <x:c r="R198" s="36" t="n">
        <x:v>2</x:v>
      </x:c>
      <x:c r="S198" s="36" t="n">
        <x:v>0</x:v>
      </x:c>
      <x:c r="T198" s="36" t="n">
        <x:v>3</x:v>
      </x:c>
      <x:c r="U198" s="36" t="str">
        <x:v>2. Timotheus 1: 5/5 Fragen geprüft, gegen L1912 + OTB freigegeben und importbereit.</x:v>
      </x:c>
    </x:row>
    <x:row r="199">
      <x:c r="A199" s="36" t="n">
        <x:v>198</x:v>
      </x:c>
      <x:c r="B199" s="36" t="str">
        <x:v>2TI</x:v>
      </x:c>
      <x:c r="C199" s="36" t="str">
        <x:v>2. Timotheus</x:v>
      </x:c>
      <x:c r="D199" s="36" t="n">
        <x:v>2</x:v>
      </x:c>
      <x:c r="E199" s="36" t="str">
        <x:v>2TI-002</x:v>
      </x:c>
      <x:c r="F199" s="36" t="str">
        <x:v>FP-1246</x:v>
      </x:c>
      <x:c r="G199" s="36" t="str">
        <x:v>FP-1250</x:v>
      </x:c>
      <x:c r="H199" s="36" t="n">
        <x:v>0</x:v>
      </x:c>
      <x:c r="I199" s="36" t="n">
        <x:v>0</x:v>
      </x:c>
      <x:c r="J199" s="36" t="n">
        <x:v>0</x:v>
      </x:c>
      <x:c r="K199" s="36" t="n">
        <x:v>5</x:v>
      </x:c>
      <x:c r="L199" s="36" t="n">
        <x:v>5</x:v>
      </x:c>
      <x:c r="M199" s="36" t="n">
        <x:v>5</x:v>
      </x:c>
      <x:c r="N199" s="36" t="str">
        <x:v>FREIGEGEBEN</x:v>
      </x:c>
      <x:c r="O199" s="36" t="n">
        <x:v>0</x:v>
      </x:c>
      <x:c r="P199" s="36" t="n">
        <x:v>0</x:v>
      </x:c>
      <x:c r="Q199" s="36" t="n">
        <x:v>2</x:v>
      </x:c>
      <x:c r="R199" s="36" t="n">
        <x:v>1</x:v>
      </x:c>
      <x:c r="S199" s="36" t="n">
        <x:v>0</x:v>
      </x:c>
      <x:c r="T199" s="36" t="n">
        <x:v>2</x:v>
      </x:c>
      <x:c r="U199" s="36" t="str">
        <x:v>2. Timotheus 2: 5/5 Fragen geprüft, gegen L1912 + OTB freigegeben und importbereit.</x:v>
      </x:c>
    </x:row>
    <x:row r="200">
      <x:c r="A200" s="36" t="n">
        <x:v>199</x:v>
      </x:c>
      <x:c r="B200" s="36" t="str">
        <x:v>2TI</x:v>
      </x:c>
      <x:c r="C200" s="36" t="str">
        <x:v>2. Timotheus</x:v>
      </x:c>
      <x:c r="D200" s="36" t="n">
        <x:v>3</x:v>
      </x:c>
      <x:c r="E200" s="36" t="str">
        <x:v>2TI-003</x:v>
      </x:c>
      <x:c r="F200" s="36" t="str">
        <x:v>FP-1251</x:v>
      </x:c>
      <x:c r="G200" s="36" t="str">
        <x:v>FP-1255</x:v>
      </x:c>
      <x:c r="H200" s="36" t="n">
        <x:v>0</x:v>
      </x:c>
      <x:c r="I200" s="36" t="n">
        <x:v>0</x:v>
      </x:c>
      <x:c r="J200" s="36" t="n">
        <x:v>0</x:v>
      </x:c>
      <x:c r="K200" s="36" t="n">
        <x:v>5</x:v>
      </x:c>
      <x:c r="L200" s="36" t="n">
        <x:v>5</x:v>
      </x:c>
      <x:c r="M200" s="36" t="n">
        <x:v>5</x:v>
      </x:c>
      <x:c r="N200" s="36" t="str">
        <x:v>FREIGEGEBEN</x:v>
      </x:c>
      <x:c r="O200" s="36" t="n">
        <x:v>0</x:v>
      </x:c>
      <x:c r="P200" s="36" t="n">
        <x:v>0</x:v>
      </x:c>
      <x:c r="Q200" s="36" t="n">
        <x:v>1</x:v>
      </x:c>
      <x:c r="R200" s="36" t="n">
        <x:v>1</x:v>
      </x:c>
      <x:c r="S200" s="36" t="n">
        <x:v>0</x:v>
      </x:c>
      <x:c r="T200" s="36" t="n">
        <x:v>3</x:v>
      </x:c>
      <x:c r="U200" s="36" t="str">
        <x:v>2. Timotheus 3: 5/5 Fragen geprüft, gegen L1912 + OTB freigegeben und importbereit.</x:v>
      </x:c>
    </x:row>
    <x:row r="201">
      <x:c r="A201" s="36" t="n">
        <x:v>200</x:v>
      </x:c>
      <x:c r="B201" s="36" t="str">
        <x:v>2TI</x:v>
      </x:c>
      <x:c r="C201" s="36" t="str">
        <x:v>2. Timotheus</x:v>
      </x:c>
      <x:c r="D201" s="36" t="n">
        <x:v>4</x:v>
      </x:c>
      <x:c r="E201" s="36" t="str">
        <x:v>2TI-004</x:v>
      </x:c>
      <x:c r="F201" s="36" t="str">
        <x:v>FP-1256</x:v>
      </x:c>
      <x:c r="G201" s="36" t="str">
        <x:v>FP-1260</x:v>
      </x:c>
      <x:c r="H201" s="36" t="n">
        <x:v>0</x:v>
      </x:c>
      <x:c r="I201" s="36" t="n">
        <x:v>0</x:v>
      </x:c>
      <x:c r="J201" s="36" t="n">
        <x:v>0</x:v>
      </x:c>
      <x:c r="K201" s="36" t="n">
        <x:v>5</x:v>
      </x:c>
      <x:c r="L201" s="36" t="n">
        <x:v>5</x:v>
      </x:c>
      <x:c r="M201" s="36" t="n">
        <x:v>5</x:v>
      </x:c>
      <x:c r="N201" s="36" t="str">
        <x:v>FREIGEGEBEN</x:v>
      </x:c>
      <x:c r="O201" s="36" t="n">
        <x:v>1</x:v>
      </x:c>
      <x:c r="P201" s="36" t="n">
        <x:v>1</x:v>
      </x:c>
      <x:c r="Q201" s="36" t="n">
        <x:v>1</x:v>
      </x:c>
      <x:c r="R201" s="36" t="n">
        <x:v>1</x:v>
      </x:c>
      <x:c r="S201" s="36" t="n">
        <x:v>0</x:v>
      </x:c>
      <x:c r="T201" s="36" t="n">
        <x:v>1</x:v>
      </x:c>
      <x:c r="U201" s="36" t="str">
        <x:v>2. Timotheus 4: 5/5 Fragen geprüft, gegen L1912 + OTB freigegeben und importbereit.</x:v>
      </x:c>
    </x:row>
    <x:row r="202">
      <x:c r="A202" s="36" t="n">
        <x:v>201</x:v>
      </x:c>
      <x:c r="B202" s="36" t="str">
        <x:v>TIT</x:v>
      </x:c>
      <x:c r="C202" s="36" t="str">
        <x:v>Titus</x:v>
      </x:c>
      <x:c r="D202" s="36" t="n">
        <x:v>1</x:v>
      </x:c>
      <x:c r="E202" s="36" t="str">
        <x:v>TIT-001</x:v>
      </x:c>
      <x:c r="F202" s="36" t="str">
        <x:v>FP-1261</x:v>
      </x:c>
      <x:c r="G202" s="36" t="str">
        <x:v>FP-1265</x:v>
      </x:c>
      <x:c r="H202" s="36" t="n">
        <x:v>0</x:v>
      </x:c>
      <x:c r="I202" s="36" t="n">
        <x:v>0</x:v>
      </x:c>
      <x:c r="J202" s="36" t="n">
        <x:v>0</x:v>
      </x:c>
      <x:c r="K202" s="36" t="n">
        <x:v>5</x:v>
      </x:c>
      <x:c r="L202" s="36" t="n">
        <x:v>5</x:v>
      </x:c>
      <x:c r="M202" s="36" t="n">
        <x:v>5</x:v>
      </x:c>
      <x:c r="N202" s="36" t="str">
        <x:v>FREIGEGEBEN</x:v>
      </x:c>
      <x:c r="O202" s="36" t="n">
        <x:v>0</x:v>
      </x:c>
      <x:c r="P202" s="36" t="n">
        <x:v>0</x:v>
      </x:c>
      <x:c r="Q202" s="36" t="n">
        <x:v>3</x:v>
      </x:c>
      <x:c r="R202" s="36" t="n">
        <x:v>0</x:v>
      </x:c>
      <x:c r="S202" s="36" t="n">
        <x:v>0</x:v>
      </x:c>
      <x:c r="T202" s="36" t="n">
        <x:v>2</x:v>
      </x:c>
      <x:c r="U202" s="36" t="str">
        <x:v>Titus 1: 5/5 Fragen geprüft, gegen L1912 + OTB freigegeben und importbereit.</x:v>
      </x:c>
    </x:row>
    <x:row r="203">
      <x:c r="A203" s="36" t="n">
        <x:v>202</x:v>
      </x:c>
      <x:c r="B203" s="36" t="str">
        <x:v>TIT</x:v>
      </x:c>
      <x:c r="C203" s="36" t="str">
        <x:v>Titus</x:v>
      </x:c>
      <x:c r="D203" s="36" t="n">
        <x:v>2</x:v>
      </x:c>
      <x:c r="E203" s="36" t="str">
        <x:v>TIT-002</x:v>
      </x:c>
      <x:c r="F203" s="36" t="str">
        <x:v>FP-1266</x:v>
      </x:c>
      <x:c r="G203" s="36" t="str">
        <x:v>FP-1270</x:v>
      </x:c>
      <x:c r="H203" s="36" t="n">
        <x:v>0</x:v>
      </x:c>
      <x:c r="I203" s="36" t="n">
        <x:v>0</x:v>
      </x:c>
      <x:c r="J203" s="36" t="n">
        <x:v>0</x:v>
      </x:c>
      <x:c r="K203" s="36" t="n">
        <x:v>5</x:v>
      </x:c>
      <x:c r="L203" s="36" t="n">
        <x:v>5</x:v>
      </x:c>
      <x:c r="M203" s="36" t="n">
        <x:v>5</x:v>
      </x:c>
      <x:c r="N203" s="36" t="str">
        <x:v>FREIGEGEBEN</x:v>
      </x:c>
      <x:c r="O203" s="36" t="n">
        <x:v>0</x:v>
      </x:c>
      <x:c r="P203" s="36" t="n">
        <x:v>0</x:v>
      </x:c>
      <x:c r="Q203" s="36" t="n">
        <x:v>1</x:v>
      </x:c>
      <x:c r="R203" s="36" t="n">
        <x:v>3</x:v>
      </x:c>
      <x:c r="S203" s="36" t="n">
        <x:v>0</x:v>
      </x:c>
      <x:c r="T203" s="36" t="n">
        <x:v>1</x:v>
      </x:c>
      <x:c r="U203" s="36" t="str">
        <x:v>Titus 2: 5/5 Fragen geprüft, gegen L1912 + OTB freigegeben und importbereit.</x:v>
      </x:c>
    </x:row>
    <x:row r="204">
      <x:c r="A204" s="36" t="n">
        <x:v>203</x:v>
      </x:c>
      <x:c r="B204" s="36" t="str">
        <x:v>TIT</x:v>
      </x:c>
      <x:c r="C204" s="36" t="str">
        <x:v>Titus</x:v>
      </x:c>
      <x:c r="D204" s="36" t="n">
        <x:v>3</x:v>
      </x:c>
      <x:c r="E204" s="36" t="str">
        <x:v>TIT-003</x:v>
      </x:c>
      <x:c r="F204" s="36" t="str">
        <x:v>FP-1271</x:v>
      </x:c>
      <x:c r="G204" s="36" t="str">
        <x:v>FP-1275</x:v>
      </x:c>
      <x:c r="H204" s="36" t="n">
        <x:v>0</x:v>
      </x:c>
      <x:c r="I204" s="36" t="n">
        <x:v>0</x:v>
      </x:c>
      <x:c r="J204" s="36" t="n">
        <x:v>0</x:v>
      </x:c>
      <x:c r="K204" s="36" t="n">
        <x:v>5</x:v>
      </x:c>
      <x:c r="L204" s="36" t="n">
        <x:v>5</x:v>
      </x:c>
      <x:c r="M204" s="36" t="n">
        <x:v>5</x:v>
      </x:c>
      <x:c r="N204" s="36" t="str">
        <x:v>FREIGEGEBEN</x:v>
      </x:c>
      <x:c r="O204" s="36" t="n">
        <x:v>0</x:v>
      </x:c>
      <x:c r="P204" s="36" t="n">
        <x:v>0</x:v>
      </x:c>
      <x:c r="Q204" s="36" t="n">
        <x:v>3</x:v>
      </x:c>
      <x:c r="R204" s="36" t="n">
        <x:v>1</x:v>
      </x:c>
      <x:c r="S204" s="36" t="n">
        <x:v>0</x:v>
      </x:c>
      <x:c r="T204" s="36" t="n">
        <x:v>1</x:v>
      </x:c>
      <x:c r="U204" s="36" t="str">
        <x:v>Titus 3: 5/5 Fragen geprüft, gegen L1912 + OTB freigegeben und importbereit.</x:v>
      </x:c>
    </x:row>
    <x:row r="205">
      <x:c r="A205" s="36" t="n">
        <x:v>204</x:v>
      </x:c>
      <x:c r="B205" s="36" t="str">
        <x:v>PHM</x:v>
      </x:c>
      <x:c r="C205" s="36" t="str">
        <x:v>Philemon</x:v>
      </x:c>
      <x:c r="D205" s="36" t="n">
        <x:v>1</x:v>
      </x:c>
      <x:c r="E205" s="36" t="str">
        <x:v>PHM-001</x:v>
      </x:c>
      <x:c r="F205" s="36" t="str">
        <x:v>FP-1276</x:v>
      </x:c>
      <x:c r="G205" s="36" t="str">
        <x:v>FP-1280</x:v>
      </x:c>
      <x:c r="H205" s="36" t="n">
        <x:v>0</x:v>
      </x:c>
      <x:c r="I205" s="36" t="n">
        <x:v>0</x:v>
      </x:c>
      <x:c r="J205" s="36" t="n">
        <x:v>0</x:v>
      </x:c>
      <x:c r="K205" s="36" t="n">
        <x:v>5</x:v>
      </x:c>
      <x:c r="L205" s="36" t="n">
        <x:v>5</x:v>
      </x:c>
      <x:c r="M205" s="36" t="n">
        <x:v>5</x:v>
      </x:c>
      <x:c r="N205" s="36" t="str">
        <x:v>FREIGEGEBEN</x:v>
      </x:c>
      <x:c r="O205" s="36" t="n">
        <x:v>0</x:v>
      </x:c>
      <x:c r="P205" s="36" t="n">
        <x:v>1</x:v>
      </x:c>
      <x:c r="Q205" s="36" t="n">
        <x:v>3</x:v>
      </x:c>
      <x:c r="R205" s="36" t="n">
        <x:v>0</x:v>
      </x:c>
      <x:c r="S205" s="36" t="n">
        <x:v>0</x:v>
      </x:c>
      <x:c r="T205" s="36" t="n">
        <x:v>1</x:v>
      </x:c>
      <x:c r="U205" s="36" t="str">
        <x:v>Philemon 1: 5/5 Fragen geprüft, gegen L1912 + OTB freigegeben und importbereit.</x:v>
      </x:c>
    </x:row>
    <x:row r="206">
      <x:c r="A206" s="36" t="n">
        <x:v>205</x:v>
      </x:c>
      <x:c r="B206" s="36" t="str">
        <x:v>HEB</x:v>
      </x:c>
      <x:c r="C206" s="36" t="str">
        <x:v>Hebräer</x:v>
      </x:c>
      <x:c r="D206" s="36" t="n">
        <x:v>1</x:v>
      </x:c>
      <x:c r="E206" s="36" t="str">
        <x:v>HEB-001</x:v>
      </x:c>
      <x:c r="F206" s="36" t="str">
        <x:v>FP-1281</x:v>
      </x:c>
      <x:c r="G206" s="36" t="str">
        <x:v>FP-1285</x:v>
      </x:c>
      <x:c r="H206" s="36" t="n">
        <x:v>0</x:v>
      </x:c>
      <x:c r="I206" s="36" t="n">
        <x:v>0</x:v>
      </x:c>
      <x:c r="J206" s="36" t="n">
        <x:v>0</x:v>
      </x:c>
      <x:c r="K206" s="36" t="n">
        <x:v>5</x:v>
      </x:c>
      <x:c r="L206" s="36" t="n">
        <x:v>5</x:v>
      </x:c>
      <x:c r="M206" s="36" t="n">
        <x:v>5</x:v>
      </x:c>
      <x:c r="N206" s="36" t="str">
        <x:v>FREIGEGEBEN</x:v>
      </x:c>
      <x:c r="O206" s="36" t="n">
        <x:v>0</x:v>
      </x:c>
      <x:c r="P206" s="36" t="n">
        <x:v>0</x:v>
      </x:c>
      <x:c r="Q206" s="36" t="n">
        <x:v>1</x:v>
      </x:c>
      <x:c r="R206" s="36" t="n">
        <x:v>2</x:v>
      </x:c>
      <x:c r="S206" s="36" t="n">
        <x:v>0</x:v>
      </x:c>
      <x:c r="T206" s="36" t="n">
        <x:v>2</x:v>
      </x:c>
      <x:c r="U206" s="36" t="str">
        <x:v>Hebräer 1: 5/5 Fragen geprüft, gegen L1912 + OTB freigegeben und importbereit.</x:v>
      </x:c>
    </x:row>
    <x:row r="207">
      <x:c r="A207" s="36" t="n">
        <x:v>206</x:v>
      </x:c>
      <x:c r="B207" s="36" t="str">
        <x:v>HEB</x:v>
      </x:c>
      <x:c r="C207" s="36" t="str">
        <x:v>Hebräer</x:v>
      </x:c>
      <x:c r="D207" s="36" t="n">
        <x:v>2</x:v>
      </x:c>
      <x:c r="E207" s="36" t="str">
        <x:v>HEB-002</x:v>
      </x:c>
      <x:c r="F207" s="36" t="str">
        <x:v>FP-1286</x:v>
      </x:c>
      <x:c r="G207" s="36" t="str">
        <x:v>FP-1290</x:v>
      </x:c>
      <x:c r="H207" s="36" t="n">
        <x:v>0</x:v>
      </x:c>
      <x:c r="I207" s="36" t="n">
        <x:v>0</x:v>
      </x:c>
      <x:c r="J207" s="36" t="n">
        <x:v>0</x:v>
      </x:c>
      <x:c r="K207" s="36" t="n">
        <x:v>5</x:v>
      </x:c>
      <x:c r="L207" s="36" t="n">
        <x:v>5</x:v>
      </x:c>
      <x:c r="M207" s="36" t="n">
        <x:v>5</x:v>
      </x:c>
      <x:c r="N207" s="36" t="str">
        <x:v>FREIGEGEBEN</x:v>
      </x:c>
      <x:c r="O207" s="36" t="n">
        <x:v>0</x:v>
      </x:c>
      <x:c r="P207" s="36" t="n">
        <x:v>0</x:v>
      </x:c>
      <x:c r="Q207" s="36" t="n">
        <x:v>1</x:v>
      </x:c>
      <x:c r="R207" s="36" t="n">
        <x:v>0</x:v>
      </x:c>
      <x:c r="S207" s="36" t="n">
        <x:v>0</x:v>
      </x:c>
      <x:c r="T207" s="36" t="n">
        <x:v>4</x:v>
      </x:c>
      <x:c r="U207" s="36" t="str">
        <x:v>Hebräer 2: 5/5 Fragen geprüft, gegen L1912 + OTB freigegeben und importbereit.</x:v>
      </x:c>
    </x:row>
    <x:row r="208">
      <x:c r="A208" s="36" t="n">
        <x:v>207</x:v>
      </x:c>
      <x:c r="B208" s="36" t="str">
        <x:v>HEB</x:v>
      </x:c>
      <x:c r="C208" s="36" t="str">
        <x:v>Hebräer</x:v>
      </x:c>
      <x:c r="D208" s="36" t="n">
        <x:v>3</x:v>
      </x:c>
      <x:c r="E208" s="36" t="str">
        <x:v>HEB-003</x:v>
      </x:c>
      <x:c r="F208" s="36" t="str">
        <x:v>FP-1291</x:v>
      </x:c>
      <x:c r="G208" s="36" t="str">
        <x:v>FP-1295</x:v>
      </x:c>
      <x:c r="H208" s="36" t="n">
        <x:v>0</x:v>
      </x:c>
      <x:c r="I208" s="36" t="n">
        <x:v>0</x:v>
      </x:c>
      <x:c r="J208" s="36" t="n">
        <x:v>0</x:v>
      </x:c>
      <x:c r="K208" s="36" t="n">
        <x:v>5</x:v>
      </x:c>
      <x:c r="L208" s="36" t="n">
        <x:v>5</x:v>
      </x:c>
      <x:c r="M208" s="36" t="n">
        <x:v>5</x:v>
      </x:c>
      <x:c r="N208" s="36" t="str">
        <x:v>FREIGEGEBEN</x:v>
      </x:c>
      <x:c r="O208" s="36" t="n">
        <x:v>0</x:v>
      </x:c>
      <x:c r="P208" s="36" t="n">
        <x:v>0</x:v>
      </x:c>
      <x:c r="Q208" s="36" t="n">
        <x:v>5</x:v>
      </x:c>
      <x:c r="R208" s="36" t="n">
        <x:v>0</x:v>
      </x:c>
      <x:c r="S208" s="36" t="n">
        <x:v>0</x:v>
      </x:c>
      <x:c r="T208" s="36" t="n">
        <x:v>0</x:v>
      </x:c>
      <x:c r="U208" s="36" t="str">
        <x:v>Hebräer 3: 5/5 Fragen geprüft, gegen L1912 + OTB freigegeben und importbereit.</x:v>
      </x:c>
    </x:row>
    <x:row r="209">
      <x:c r="A209" s="36" t="n">
        <x:v>208</x:v>
      </x:c>
      <x:c r="B209" s="36" t="str">
        <x:v>HEB</x:v>
      </x:c>
      <x:c r="C209" s="36" t="str">
        <x:v>Hebräer</x:v>
      </x:c>
      <x:c r="D209" s="36" t="n">
        <x:v>4</x:v>
      </x:c>
      <x:c r="E209" s="36" t="str">
        <x:v>HEB-004</x:v>
      </x:c>
      <x:c r="F209" s="36" t="str">
        <x:v>FP-1296</x:v>
      </x:c>
      <x:c r="G209" s="36" t="str">
        <x:v>FP-1300</x:v>
      </x:c>
      <x:c r="H209" s="36" t="n">
        <x:v>0</x:v>
      </x:c>
      <x:c r="I209" s="36" t="n">
        <x:v>0</x:v>
      </x:c>
      <x:c r="J209" s="36" t="n">
        <x:v>0</x:v>
      </x:c>
      <x:c r="K209" s="36" t="n">
        <x:v>5</x:v>
      </x:c>
      <x:c r="L209" s="36" t="n">
        <x:v>5</x:v>
      </x:c>
      <x:c r="M209" s="36" t="n">
        <x:v>5</x:v>
      </x:c>
      <x:c r="N209" s="36" t="str">
        <x:v>FREIGEGEBEN</x:v>
      </x:c>
      <x:c r="O209" s="36" t="n">
        <x:v>0</x:v>
      </x:c>
      <x:c r="P209" s="36" t="n">
        <x:v>0</x:v>
      </x:c>
      <x:c r="Q209" s="36" t="n">
        <x:v>0</x:v>
      </x:c>
      <x:c r="R209" s="36" t="n">
        <x:v>2</x:v>
      </x:c>
      <x:c r="S209" s="36" t="n">
        <x:v>0</x:v>
      </x:c>
      <x:c r="T209" s="36" t="n">
        <x:v>3</x:v>
      </x:c>
      <x:c r="U209" s="36" t="str">
        <x:v>Hebräer 4: 5/5 Fragen geprüft, gegen L1912 + OTB freigegeben und importbereit.</x:v>
      </x:c>
    </x:row>
    <x:row r="210">
      <x:c r="A210" s="36" t="n">
        <x:v>209</x:v>
      </x:c>
      <x:c r="B210" s="36" t="str">
        <x:v>HEB</x:v>
      </x:c>
      <x:c r="C210" s="36" t="str">
        <x:v>Hebräer</x:v>
      </x:c>
      <x:c r="D210" s="36" t="n">
        <x:v>5</x:v>
      </x:c>
      <x:c r="E210" s="36" t="str">
        <x:v>HEB-005</x:v>
      </x:c>
      <x:c r="F210" s="36" t="str">
        <x:v>FP-1301</x:v>
      </x:c>
      <x:c r="G210" s="36" t="str">
        <x:v>FP-1305</x:v>
      </x:c>
      <x:c r="H210" s="36" t="n">
        <x:v>0</x:v>
      </x:c>
      <x:c r="I210" s="36" t="n">
        <x:v>0</x:v>
      </x:c>
      <x:c r="J210" s="36" t="n">
        <x:v>0</x:v>
      </x:c>
      <x:c r="K210" s="36" t="n">
        <x:v>5</x:v>
      </x:c>
      <x:c r="L210" s="36" t="n">
        <x:v>5</x:v>
      </x:c>
      <x:c r="M210" s="36" t="n">
        <x:v>5</x:v>
      </x:c>
      <x:c r="N210" s="36" t="str">
        <x:v>FREIGEGEBEN</x:v>
      </x:c>
      <x:c r="O210" s="36" t="n">
        <x:v>0</x:v>
      </x:c>
      <x:c r="P210" s="36" t="n">
        <x:v>0</x:v>
      </x:c>
      <x:c r="Q210" s="36" t="n">
        <x:v>0</x:v>
      </x:c>
      <x:c r="R210" s="36" t="n">
        <x:v>2</x:v>
      </x:c>
      <x:c r="S210" s="36" t="n">
        <x:v>0</x:v>
      </x:c>
      <x:c r="T210" s="36" t="n">
        <x:v>3</x:v>
      </x:c>
      <x:c r="U210" s="36" t="str">
        <x:v>Hebräer 5: 5/5 Fragen geprüft, gegen L1912 + OTB freigegeben und importbereit.</x:v>
      </x:c>
    </x:row>
    <x:row r="211">
      <x:c r="A211" s="36" t="n">
        <x:v>210</x:v>
      </x:c>
      <x:c r="B211" s="36" t="str">
        <x:v>HEB</x:v>
      </x:c>
      <x:c r="C211" s="36" t="str">
        <x:v>Hebräer</x:v>
      </x:c>
      <x:c r="D211" s="36" t="n">
        <x:v>6</x:v>
      </x:c>
      <x:c r="E211" s="36" t="str">
        <x:v>HEB-006</x:v>
      </x:c>
      <x:c r="F211" s="36" t="str">
        <x:v>FP-1306</x:v>
      </x:c>
      <x:c r="G211" s="36" t="str">
        <x:v>FP-1310</x:v>
      </x:c>
      <x:c r="H211" s="36" t="n">
        <x:v>0</x:v>
      </x:c>
      <x:c r="I211" s="36" t="n">
        <x:v>0</x:v>
      </x:c>
      <x:c r="J211" s="36" t="n">
        <x:v>0</x:v>
      </x:c>
      <x:c r="K211" s="36" t="n">
        <x:v>5</x:v>
      </x:c>
      <x:c r="L211" s="36" t="n">
        <x:v>5</x:v>
      </x:c>
      <x:c r="M211" s="36" t="n">
        <x:v>5</x:v>
      </x:c>
      <x:c r="N211" s="36" t="str">
        <x:v>FREIGEGEBEN</x:v>
      </x:c>
      <x:c r="O211" s="36" t="n">
        <x:v>0</x:v>
      </x:c>
      <x:c r="P211" s="36" t="n">
        <x:v>0</x:v>
      </x:c>
      <x:c r="Q211" s="36" t="n">
        <x:v>2</x:v>
      </x:c>
      <x:c r="R211" s="36" t="n">
        <x:v>1</x:v>
      </x:c>
      <x:c r="S211" s="36" t="n">
        <x:v>0</x:v>
      </x:c>
      <x:c r="T211" s="36" t="n">
        <x:v>2</x:v>
      </x:c>
      <x:c r="U211" s="36" t="str">
        <x:v>Hebräer 6: 5/5 Fragen geprüft, gegen L1912 + OTB freigegeben und importbereit.</x:v>
      </x:c>
    </x:row>
    <x:row r="212">
      <x:c r="A212" s="36" t="n">
        <x:v>211</x:v>
      </x:c>
      <x:c r="B212" s="36" t="str">
        <x:v>HEB</x:v>
      </x:c>
      <x:c r="C212" s="36" t="str">
        <x:v>Hebräer</x:v>
      </x:c>
      <x:c r="D212" s="36" t="n">
        <x:v>7</x:v>
      </x:c>
      <x:c r="E212" s="36" t="str">
        <x:v>HEB-007</x:v>
      </x:c>
      <x:c r="F212" s="36" t="str">
        <x:v>FP-1311</x:v>
      </x:c>
      <x:c r="G212" s="36" t="str">
        <x:v>FP-1315</x:v>
      </x:c>
      <x:c r="H212" s="36" t="n">
        <x:v>0</x:v>
      </x:c>
      <x:c r="I212" s="36" t="n">
        <x:v>0</x:v>
      </x:c>
      <x:c r="J212" s="36" t="n">
        <x:v>0</x:v>
      </x:c>
      <x:c r="K212" s="36" t="n">
        <x:v>5</x:v>
      </x:c>
      <x:c r="L212" s="36" t="n">
        <x:v>5</x:v>
      </x:c>
      <x:c r="M212" s="36" t="n">
        <x:v>5</x:v>
      </x:c>
      <x:c r="N212" s="36" t="str">
        <x:v>FREIGEGEBEN</x:v>
      </x:c>
      <x:c r="O212" s="36" t="n">
        <x:v>0</x:v>
      </x:c>
      <x:c r="P212" s="36" t="n">
        <x:v>0</x:v>
      </x:c>
      <x:c r="Q212" s="36" t="n">
        <x:v>1</x:v>
      </x:c>
      <x:c r="R212" s="36" t="n">
        <x:v>1</x:v>
      </x:c>
      <x:c r="S212" s="36" t="n">
        <x:v>0</x:v>
      </x:c>
      <x:c r="T212" s="36" t="n">
        <x:v>3</x:v>
      </x:c>
      <x:c r="U212" s="36" t="str">
        <x:v>Hebräer 7: 5/5 Fragen geprüft, gegen L1912 + OTB freigegeben und importbereit.</x:v>
      </x:c>
    </x:row>
    <x:row r="213">
      <x:c r="A213" s="36" t="n">
        <x:v>212</x:v>
      </x:c>
      <x:c r="B213" s="36" t="str">
        <x:v>HEB</x:v>
      </x:c>
      <x:c r="C213" s="36" t="str">
        <x:v>Hebräer</x:v>
      </x:c>
      <x:c r="D213" s="36" t="n">
        <x:v>8</x:v>
      </x:c>
      <x:c r="E213" s="36" t="str">
        <x:v>HEB-008</x:v>
      </x:c>
      <x:c r="F213" s="36" t="str">
        <x:v>FP-1316</x:v>
      </x:c>
      <x:c r="G213" s="36" t="str">
        <x:v>FP-1320</x:v>
      </x:c>
      <x:c r="H213" s="36" t="n">
        <x:v>0</x:v>
      </x:c>
      <x:c r="I213" s="36" t="n">
        <x:v>0</x:v>
      </x:c>
      <x:c r="J213" s="36" t="n">
        <x:v>0</x:v>
      </x:c>
      <x:c r="K213" s="36" t="n">
        <x:v>5</x:v>
      </x:c>
      <x:c r="L213" s="36" t="n">
        <x:v>5</x:v>
      </x:c>
      <x:c r="M213" s="36" t="n">
        <x:v>5</x:v>
      </x:c>
      <x:c r="N213" s="36" t="str">
        <x:v>FREIGEGEBEN</x:v>
      </x:c>
      <x:c r="O213" s="36" t="n">
        <x:v>0</x:v>
      </x:c>
      <x:c r="P213" s="36" t="n">
        <x:v>0</x:v>
      </x:c>
      <x:c r="Q213" s="36" t="n">
        <x:v>0</x:v>
      </x:c>
      <x:c r="R213" s="36" t="n">
        <x:v>3</x:v>
      </x:c>
      <x:c r="S213" s="36" t="n">
        <x:v>0</x:v>
      </x:c>
      <x:c r="T213" s="36" t="n">
        <x:v>2</x:v>
      </x:c>
      <x:c r="U213" s="36" t="str">
        <x:v>Hebräer 8: 5/5 Fragen geprüft, gegen L1912 + OTB freigegeben und importbereit.</x:v>
      </x:c>
    </x:row>
    <x:row r="214">
      <x:c r="A214" s="36" t="n">
        <x:v>213</x:v>
      </x:c>
      <x:c r="B214" s="36" t="str">
        <x:v>HEB</x:v>
      </x:c>
      <x:c r="C214" s="36" t="str">
        <x:v>Hebräer</x:v>
      </x:c>
      <x:c r="D214" s="36" t="n">
        <x:v>9</x:v>
      </x:c>
      <x:c r="E214" s="36" t="str">
        <x:v>HEB-009</x:v>
      </x:c>
      <x:c r="F214" s="36" t="str">
        <x:v>FP-1321</x:v>
      </x:c>
      <x:c r="G214" s="36" t="str">
        <x:v>FP-1325</x:v>
      </x:c>
      <x:c r="H214" s="36" t="n">
        <x:v>0</x:v>
      </x:c>
      <x:c r="I214" s="36" t="n">
        <x:v>0</x:v>
      </x:c>
      <x:c r="J214" s="36" t="n">
        <x:v>0</x:v>
      </x:c>
      <x:c r="K214" s="36" t="n">
        <x:v>5</x:v>
      </x:c>
      <x:c r="L214" s="36" t="n">
        <x:v>5</x:v>
      </x:c>
      <x:c r="M214" s="36" t="n">
        <x:v>5</x:v>
      </x:c>
      <x:c r="N214" s="36" t="str">
        <x:v>FREIGEGEBEN</x:v>
      </x:c>
      <x:c r="O214" s="36" t="n">
        <x:v>0</x:v>
      </x:c>
      <x:c r="P214" s="36" t="n">
        <x:v>0</x:v>
      </x:c>
      <x:c r="Q214" s="36" t="n">
        <x:v>0</x:v>
      </x:c>
      <x:c r="R214" s="36" t="n">
        <x:v>1</x:v>
      </x:c>
      <x:c r="S214" s="36" t="n">
        <x:v>0</x:v>
      </x:c>
      <x:c r="T214" s="36" t="n">
        <x:v>4</x:v>
      </x:c>
      <x:c r="U214" s="36" t="str">
        <x:v>Hebräer 9: 5/5 Fragen geprüft, gegen L1912 + OTB freigegeben und importbereit.</x:v>
      </x:c>
    </x:row>
    <x:row r="215">
      <x:c r="A215" s="36" t="n">
        <x:v>214</x:v>
      </x:c>
      <x:c r="B215" s="36" t="str">
        <x:v>HEB</x:v>
      </x:c>
      <x:c r="C215" s="36" t="str">
        <x:v>Hebräer</x:v>
      </x:c>
      <x:c r="D215" s="36" t="n">
        <x:v>10</x:v>
      </x:c>
      <x:c r="E215" s="36" t="str">
        <x:v>HEB-010</x:v>
      </x:c>
      <x:c r="F215" s="36" t="str">
        <x:v>FP-1326</x:v>
      </x:c>
      <x:c r="G215" s="36" t="str">
        <x:v>FP-1330</x:v>
      </x:c>
      <x:c r="H215" s="36" t="n">
        <x:v>0</x:v>
      </x:c>
      <x:c r="I215" s="36" t="n">
        <x:v>0</x:v>
      </x:c>
      <x:c r="J215" s="36" t="n">
        <x:v>0</x:v>
      </x:c>
      <x:c r="K215" s="36" t="n">
        <x:v>5</x:v>
      </x:c>
      <x:c r="L215" s="36" t="n">
        <x:v>5</x:v>
      </x:c>
      <x:c r="M215" s="36" t="n">
        <x:v>5</x:v>
      </x:c>
      <x:c r="N215" s="36" t="str">
        <x:v>FREIGEGEBEN</x:v>
      </x:c>
      <x:c r="O215" s="36" t="n">
        <x:v>0</x:v>
      </x:c>
      <x:c r="P215" s="36" t="n">
        <x:v>0</x:v>
      </x:c>
      <x:c r="Q215" s="36" t="n">
        <x:v>2</x:v>
      </x:c>
      <x:c r="R215" s="36" t="n">
        <x:v>1</x:v>
      </x:c>
      <x:c r="S215" s="36" t="n">
        <x:v>0</x:v>
      </x:c>
      <x:c r="T215" s="36" t="n">
        <x:v>2</x:v>
      </x:c>
      <x:c r="U215" s="36" t="str">
        <x:v>Hebräer 10: 5/5 Fragen geprüft, gegen L1912 + OTB freigegeben und importbereit.</x:v>
      </x:c>
    </x:row>
    <x:row r="216">
      <x:c r="A216" s="36" t="n">
        <x:v>215</x:v>
      </x:c>
      <x:c r="B216" s="36" t="str">
        <x:v>HEB</x:v>
      </x:c>
      <x:c r="C216" s="36" t="str">
        <x:v>Hebräer</x:v>
      </x:c>
      <x:c r="D216" s="36" t="n">
        <x:v>11</x:v>
      </x:c>
      <x:c r="E216" s="36" t="str">
        <x:v>HEB-011</x:v>
      </x:c>
      <x:c r="F216" s="36" t="str">
        <x:v>FP-1331</x:v>
      </x:c>
      <x:c r="G216" s="36" t="str">
        <x:v>FP-1335</x:v>
      </x:c>
      <x:c r="H216" s="36" t="n">
        <x:v>0</x:v>
      </x:c>
      <x:c r="I216" s="36" t="n">
        <x:v>0</x:v>
      </x:c>
      <x:c r="J216" s="36" t="n">
        <x:v>0</x:v>
      </x:c>
      <x:c r="K216" s="36" t="n">
        <x:v>5</x:v>
      </x:c>
      <x:c r="L216" s="36" t="n">
        <x:v>5</x:v>
      </x:c>
      <x:c r="M216" s="36" t="n">
        <x:v>5</x:v>
      </x:c>
      <x:c r="N216" s="36" t="str">
        <x:v>FREIGEGEBEN</x:v>
      </x:c>
      <x:c r="O216" s="36" t="n">
        <x:v>0</x:v>
      </x:c>
      <x:c r="P216" s="36" t="n">
        <x:v>0</x:v>
      </x:c>
      <x:c r="Q216" s="36" t="n">
        <x:v>0</x:v>
      </x:c>
      <x:c r="R216" s="36" t="n">
        <x:v>0</x:v>
      </x:c>
      <x:c r="S216" s="36" t="n">
        <x:v>0</x:v>
      </x:c>
      <x:c r="T216" s="36" t="n">
        <x:v>5</x:v>
      </x:c>
      <x:c r="U216" s="36" t="str">
        <x:v>Hebräer 11: 5/5 Fragen geprüft, gegen L1912 + OTB freigegeben und importbereit.</x:v>
      </x:c>
    </x:row>
    <x:row r="217">
      <x:c r="A217" s="36" t="n">
        <x:v>216</x:v>
      </x:c>
      <x:c r="B217" s="36" t="str">
        <x:v>HEB</x:v>
      </x:c>
      <x:c r="C217" s="36" t="str">
        <x:v>Hebräer</x:v>
      </x:c>
      <x:c r="D217" s="36" t="n">
        <x:v>12</x:v>
      </x:c>
      <x:c r="E217" s="36" t="str">
        <x:v>HEB-012</x:v>
      </x:c>
      <x:c r="F217" s="36" t="str">
        <x:v>FP-1336</x:v>
      </x:c>
      <x:c r="G217" s="36" t="str">
        <x:v>FP-1340</x:v>
      </x:c>
      <x:c r="H217" s="36" t="n">
        <x:v>0</x:v>
      </x:c>
      <x:c r="I217" s="36" t="n">
        <x:v>0</x:v>
      </x:c>
      <x:c r="J217" s="36" t="n">
        <x:v>0</x:v>
      </x:c>
      <x:c r="K217" s="36" t="n">
        <x:v>5</x:v>
      </x:c>
      <x:c r="L217" s="36" t="n">
        <x:v>5</x:v>
      </x:c>
      <x:c r="M217" s="36" t="n">
        <x:v>5</x:v>
      </x:c>
      <x:c r="N217" s="36" t="str">
        <x:v>FREIGEGEBEN</x:v>
      </x:c>
      <x:c r="O217" s="36" t="n">
        <x:v>0</x:v>
      </x:c>
      <x:c r="P217" s="36" t="n">
        <x:v>0</x:v>
      </x:c>
      <x:c r="Q217" s="36" t="n">
        <x:v>1</x:v>
      </x:c>
      <x:c r="R217" s="36" t="n">
        <x:v>0</x:v>
      </x:c>
      <x:c r="S217" s="36" t="n">
        <x:v>0</x:v>
      </x:c>
      <x:c r="T217" s="36" t="n">
        <x:v>4</x:v>
      </x:c>
      <x:c r="U217" s="36" t="str">
        <x:v>Hebräer 12: 5/5 Fragen geprüft, gegen L1912 + OTB freigegeben und importbereit.</x:v>
      </x:c>
    </x:row>
    <x:row r="218">
      <x:c r="A218" s="36" t="n">
        <x:v>217</x:v>
      </x:c>
      <x:c r="B218" s="36" t="str">
        <x:v>HEB</x:v>
      </x:c>
      <x:c r="C218" s="36" t="str">
        <x:v>Hebräer</x:v>
      </x:c>
      <x:c r="D218" s="36" t="n">
        <x:v>13</x:v>
      </x:c>
      <x:c r="E218" s="36" t="str">
        <x:v>HEB-013</x:v>
      </x:c>
      <x:c r="F218" s="36" t="str">
        <x:v>FP-1341</x:v>
      </x:c>
      <x:c r="G218" s="36" t="str">
        <x:v>FP-1345</x:v>
      </x:c>
      <x:c r="H218" s="36" t="n">
        <x:v>0</x:v>
      </x:c>
      <x:c r="I218" s="36" t="n">
        <x:v>0</x:v>
      </x:c>
      <x:c r="J218" s="36" t="n">
        <x:v>0</x:v>
      </x:c>
      <x:c r="K218" s="36" t="n">
        <x:v>5</x:v>
      </x:c>
      <x:c r="L218" s="36" t="n">
        <x:v>5</x:v>
      </x:c>
      <x:c r="M218" s="36" t="n">
        <x:v>5</x:v>
      </x:c>
      <x:c r="N218" s="36" t="str">
        <x:v>FREIGEGEBEN</x:v>
      </x:c>
      <x:c r="O218" s="36" t="n">
        <x:v>0</x:v>
      </x:c>
      <x:c r="P218" s="36" t="n">
        <x:v>0</x:v>
      </x:c>
      <x:c r="Q218" s="36" t="n">
        <x:v>0</x:v>
      </x:c>
      <x:c r="R218" s="36" t="n">
        <x:v>0</x:v>
      </x:c>
      <x:c r="S218" s="36" t="n">
        <x:v>0</x:v>
      </x:c>
      <x:c r="T218" s="36" t="n">
        <x:v>5</x:v>
      </x:c>
      <x:c r="U218" s="36" t="str">
        <x:v>Hebräer 13: 5/5 Fragen geprüft, gegen L1912 + OTB freigegeben und importbereit.</x:v>
      </x:c>
    </x:row>
    <x:row r="219">
      <x:c r="A219" s="36" t="n">
        <x:v>218</x:v>
      </x:c>
      <x:c r="B219" s="36" t="str">
        <x:v>JAS</x:v>
      </x:c>
      <x:c r="C219" s="36" t="str">
        <x:v>Jakobus</x:v>
      </x:c>
      <x:c r="D219" s="36" t="n">
        <x:v>1</x:v>
      </x:c>
      <x:c r="E219" s="36" t="str">
        <x:v>JAS-001</x:v>
      </x:c>
      <x:c r="F219" s="36" t="str">
        <x:v>FP-1346</x:v>
      </x:c>
      <x:c r="G219" s="36" t="str">
        <x:v>FP-1350</x:v>
      </x:c>
      <x:c r="H219" s="36" t="n">
        <x:v>0</x:v>
      </x:c>
      <x:c r="I219" s="36" t="n">
        <x:v>0</x:v>
      </x:c>
      <x:c r="J219" s="36" t="n">
        <x:v>0</x:v>
      </x:c>
      <x:c r="K219" s="36" t="n">
        <x:v>5</x:v>
      </x:c>
      <x:c r="L219" s="36" t="n">
        <x:v>5</x:v>
      </x:c>
      <x:c r="M219" s="36" t="n">
        <x:v>5</x:v>
      </x:c>
      <x:c r="N219" s="36" t="str">
        <x:v>FREIGEGEBEN</x:v>
      </x:c>
      <x:c r="O219" s="36" t="n">
        <x:v>0</x:v>
      </x:c>
      <x:c r="P219" s="36" t="n">
        <x:v>0</x:v>
      </x:c>
      <x:c r="Q219" s="36" t="n">
        <x:v>1</x:v>
      </x:c>
      <x:c r="R219" s="36" t="n">
        <x:v>0</x:v>
      </x:c>
      <x:c r="S219" s="36" t="n">
        <x:v>0</x:v>
      </x:c>
      <x:c r="T219" s="36" t="n">
        <x:v>4</x:v>
      </x:c>
      <x:c r="U219" s="36" t="str">
        <x:v>Jakobus 1: 5/5 Fragen geprüft, gegen L1912 + OTB freigegeben und importbereit.</x:v>
      </x:c>
    </x:row>
    <x:row r="220">
      <x:c r="A220" s="36" t="n">
        <x:v>219</x:v>
      </x:c>
      <x:c r="B220" s="36" t="str">
        <x:v>JAS</x:v>
      </x:c>
      <x:c r="C220" s="36" t="str">
        <x:v>Jakobus</x:v>
      </x:c>
      <x:c r="D220" s="36" t="n">
        <x:v>2</x:v>
      </x:c>
      <x:c r="E220" s="36" t="str">
        <x:v>JAS-002</x:v>
      </x:c>
      <x:c r="F220" s="36" t="str">
        <x:v>FP-1351</x:v>
      </x:c>
      <x:c r="G220" s="36" t="str">
        <x:v>FP-1355</x:v>
      </x:c>
      <x:c r="H220" s="36" t="n">
        <x:v>0</x:v>
      </x:c>
      <x:c r="I220" s="36" t="n">
        <x:v>0</x:v>
      </x:c>
      <x:c r="J220" s="36" t="n">
        <x:v>0</x:v>
      </x:c>
      <x:c r="K220" s="36" t="n">
        <x:v>5</x:v>
      </x:c>
      <x:c r="L220" s="36" t="n">
        <x:v>5</x:v>
      </x:c>
      <x:c r="M220" s="36" t="n">
        <x:v>5</x:v>
      </x:c>
      <x:c r="N220" s="36" t="str">
        <x:v>FREIGEGEBEN</x:v>
      </x:c>
      <x:c r="O220" s="36" t="n">
        <x:v>0</x:v>
      </x:c>
      <x:c r="P220" s="36" t="n">
        <x:v>0</x:v>
      </x:c>
      <x:c r="Q220" s="36" t="n">
        <x:v>0</x:v>
      </x:c>
      <x:c r="R220" s="36" t="n">
        <x:v>0</x:v>
      </x:c>
      <x:c r="S220" s="36" t="n">
        <x:v>0</x:v>
      </x:c>
      <x:c r="T220" s="36" t="n">
        <x:v>5</x:v>
      </x:c>
      <x:c r="U220" s="36" t="str">
        <x:v>Jakobus 2: 5/5 Fragen geprüft, gegen L1912 + OTB freigegeben und importbereit.</x:v>
      </x:c>
    </x:row>
    <x:row r="221">
      <x:c r="A221" s="36" t="n">
        <x:v>220</x:v>
      </x:c>
      <x:c r="B221" s="36" t="str">
        <x:v>JAS</x:v>
      </x:c>
      <x:c r="C221" s="36" t="str">
        <x:v>Jakobus</x:v>
      </x:c>
      <x:c r="D221" s="36" t="n">
        <x:v>3</x:v>
      </x:c>
      <x:c r="E221" s="36" t="str">
        <x:v>JAS-003</x:v>
      </x:c>
      <x:c r="F221" s="36" t="str">
        <x:v>FP-1356</x:v>
      </x:c>
      <x:c r="G221" s="36" t="str">
        <x:v>FP-1360</x:v>
      </x:c>
      <x:c r="H221" s="36" t="n">
        <x:v>0</x:v>
      </x:c>
      <x:c r="I221" s="36" t="n">
        <x:v>0</x:v>
      </x:c>
      <x:c r="J221" s="36" t="n">
        <x:v>0</x:v>
      </x:c>
      <x:c r="K221" s="36" t="n">
        <x:v>5</x:v>
      </x:c>
      <x:c r="L221" s="36" t="n">
        <x:v>5</x:v>
      </x:c>
      <x:c r="M221" s="36" t="n">
        <x:v>5</x:v>
      </x:c>
      <x:c r="N221" s="36" t="str">
        <x:v>FREIGEGEBEN</x:v>
      </x:c>
      <x:c r="O221" s="36" t="n">
        <x:v>0</x:v>
      </x:c>
      <x:c r="P221" s="36" t="n">
        <x:v>0</x:v>
      </x:c>
      <x:c r="Q221" s="36" t="n">
        <x:v>0</x:v>
      </x:c>
      <x:c r="R221" s="36" t="n">
        <x:v>0</x:v>
      </x:c>
      <x:c r="S221" s="36" t="n">
        <x:v>0</x:v>
      </x:c>
      <x:c r="T221" s="36" t="n">
        <x:v>5</x:v>
      </x:c>
      <x:c r="U221" s="36" t="str">
        <x:v>Jakobus 3: 5/5 Fragen geprüft, gegen L1912 + OTB freigegeben und importbereit.</x:v>
      </x:c>
    </x:row>
    <x:row r="222">
      <x:c r="A222" s="36" t="n">
        <x:v>221</x:v>
      </x:c>
      <x:c r="B222" s="36" t="str">
        <x:v>JAS</x:v>
      </x:c>
      <x:c r="C222" s="36" t="str">
        <x:v>Jakobus</x:v>
      </x:c>
      <x:c r="D222" s="36" t="n">
        <x:v>4</x:v>
      </x:c>
      <x:c r="E222" s="36" t="str">
        <x:v>JAS-004</x:v>
      </x:c>
      <x:c r="F222" s="36" t="str">
        <x:v>FP-1361</x:v>
      </x:c>
      <x:c r="G222" s="36" t="str">
        <x:v>FP-1365</x:v>
      </x:c>
      <x:c r="H222" s="36" t="n">
        <x:v>0</x:v>
      </x:c>
      <x:c r="I222" s="36" t="n">
        <x:v>0</x:v>
      </x:c>
      <x:c r="J222" s="36" t="n">
        <x:v>0</x:v>
      </x:c>
      <x:c r="K222" s="36" t="n">
        <x:v>5</x:v>
      </x:c>
      <x:c r="L222" s="36" t="n">
        <x:v>5</x:v>
      </x:c>
      <x:c r="M222" s="36" t="n">
        <x:v>5</x:v>
      </x:c>
      <x:c r="N222" s="36" t="str">
        <x:v>FREIGEGEBEN</x:v>
      </x:c>
      <x:c r="O222" s="36" t="n">
        <x:v>0</x:v>
      </x:c>
      <x:c r="P222" s="36" t="n">
        <x:v>0</x:v>
      </x:c>
      <x:c r="Q222" s="36" t="n">
        <x:v>2</x:v>
      </x:c>
      <x:c r="R222" s="36" t="n">
        <x:v>0</x:v>
      </x:c>
      <x:c r="S222" s="36" t="n">
        <x:v>0</x:v>
      </x:c>
      <x:c r="T222" s="36" t="n">
        <x:v>3</x:v>
      </x:c>
      <x:c r="U222" s="36" t="str">
        <x:v>Jakobus 4: 5/5 Fragen geprüft, gegen L1912 + OTB freigegeben und importbereit.</x:v>
      </x:c>
    </x:row>
    <x:row r="223">
      <x:c r="A223" s="36" t="n">
        <x:v>222</x:v>
      </x:c>
      <x:c r="B223" s="36" t="str">
        <x:v>JAS</x:v>
      </x:c>
      <x:c r="C223" s="36" t="str">
        <x:v>Jakobus</x:v>
      </x:c>
      <x:c r="D223" s="36" t="n">
        <x:v>5</x:v>
      </x:c>
      <x:c r="E223" s="36" t="str">
        <x:v>JAS-005</x:v>
      </x:c>
      <x:c r="F223" s="36" t="str">
        <x:v>FP-1366</x:v>
      </x:c>
      <x:c r="G223" s="36" t="str">
        <x:v>FP-1370</x:v>
      </x:c>
      <x:c r="H223" s="36" t="n">
        <x:v>0</x:v>
      </x:c>
      <x:c r="I223" s="36" t="n">
        <x:v>0</x:v>
      </x:c>
      <x:c r="J223" s="36" t="n">
        <x:v>0</x:v>
      </x:c>
      <x:c r="K223" s="36" t="n">
        <x:v>5</x:v>
      </x:c>
      <x:c r="L223" s="36" t="n">
        <x:v>5</x:v>
      </x:c>
      <x:c r="M223" s="36" t="n">
        <x:v>5</x:v>
      </x:c>
      <x:c r="N223" s="36" t="str">
        <x:v>FREIGEGEBEN</x:v>
      </x:c>
      <x:c r="O223" s="36" t="n">
        <x:v>0</x:v>
      </x:c>
      <x:c r="P223" s="36" t="n">
        <x:v>0</x:v>
      </x:c>
      <x:c r="Q223" s="36" t="n">
        <x:v>0</x:v>
      </x:c>
      <x:c r="R223" s="36" t="n">
        <x:v>0</x:v>
      </x:c>
      <x:c r="S223" s="36" t="n">
        <x:v>0</x:v>
      </x:c>
      <x:c r="T223" s="36" t="n">
        <x:v>5</x:v>
      </x:c>
      <x:c r="U223" s="36" t="str">
        <x:v>Jakobus 5: 5/5 Fragen geprüft, gegen L1912 + OTB freigegeben und importbereit.</x:v>
      </x:c>
    </x:row>
    <x:row r="224">
      <x:c r="A224" s="36" t="n">
        <x:v>223</x:v>
      </x:c>
      <x:c r="B224" s="36" t="str">
        <x:v>1PE</x:v>
      </x:c>
      <x:c r="C224" s="36" t="str">
        <x:v>1. Petrus</x:v>
      </x:c>
      <x:c r="D224" s="36" t="n">
        <x:v>1</x:v>
      </x:c>
      <x:c r="E224" s="36" t="str">
        <x:v>1PE-001</x:v>
      </x:c>
      <x:c r="F224" s="36" t="str">
        <x:v>FP-1371</x:v>
      </x:c>
      <x:c r="G224" s="36" t="str">
        <x:v>FP-1375</x:v>
      </x:c>
      <x:c r="H224" s="36" t="n">
        <x:v>0</x:v>
      </x:c>
      <x:c r="I224" s="36" t="n">
        <x:v>0</x:v>
      </x:c>
      <x:c r="J224" s="36" t="n">
        <x:v>0</x:v>
      </x:c>
      <x:c r="K224" s="36" t="n">
        <x:v>5</x:v>
      </x:c>
      <x:c r="L224" s="36" t="n">
        <x:v>5</x:v>
      </x:c>
      <x:c r="M224" s="36" t="n">
        <x:v>5</x:v>
      </x:c>
      <x:c r="N224" s="36" t="str">
        <x:v>FREIGEGEBEN</x:v>
      </x:c>
      <x:c r="O224" s="36" t="n">
        <x:v>0</x:v>
      </x:c>
      <x:c r="P224" s="36" t="n">
        <x:v>0</x:v>
      </x:c>
      <x:c r="Q224" s="36" t="n">
        <x:v>0</x:v>
      </x:c>
      <x:c r="R224" s="36" t="n">
        <x:v>2</x:v>
      </x:c>
      <x:c r="S224" s="36" t="n">
        <x:v>0</x:v>
      </x:c>
      <x:c r="T224" s="36" t="n">
        <x:v>3</x:v>
      </x:c>
      <x:c r="U224" s="36" t="str">
        <x:v>1. Petrus 1: 5/5 Fragen geprüft, gegen L1912 + OTB freigegeben und importbereit.</x:v>
      </x:c>
    </x:row>
    <x:row r="225">
      <x:c r="A225" s="36" t="n">
        <x:v>224</x:v>
      </x:c>
      <x:c r="B225" s="36" t="str">
        <x:v>1PE</x:v>
      </x:c>
      <x:c r="C225" s="36" t="str">
        <x:v>1. Petrus</x:v>
      </x:c>
      <x:c r="D225" s="36" t="n">
        <x:v>2</x:v>
      </x:c>
      <x:c r="E225" s="36" t="str">
        <x:v>1PE-002</x:v>
      </x:c>
      <x:c r="F225" s="36" t="str">
        <x:v>FP-1376</x:v>
      </x:c>
      <x:c r="G225" s="36" t="str">
        <x:v>FP-1380</x:v>
      </x:c>
      <x:c r="H225" s="36" t="n">
        <x:v>0</x:v>
      </x:c>
      <x:c r="I225" s="36" t="n">
        <x:v>0</x:v>
      </x:c>
      <x:c r="J225" s="36" t="n">
        <x:v>0</x:v>
      </x:c>
      <x:c r="K225" s="36" t="n">
        <x:v>5</x:v>
      </x:c>
      <x:c r="L225" s="36" t="n">
        <x:v>5</x:v>
      </x:c>
      <x:c r="M225" s="36" t="n">
        <x:v>5</x:v>
      </x:c>
      <x:c r="N225" s="36" t="str">
        <x:v>FREIGEGEBEN</x:v>
      </x:c>
      <x:c r="O225" s="36" t="n">
        <x:v>0</x:v>
      </x:c>
      <x:c r="P225" s="36" t="n">
        <x:v>0</x:v>
      </x:c>
      <x:c r="Q225" s="36" t="n">
        <x:v>1</x:v>
      </x:c>
      <x:c r="R225" s="36" t="n">
        <x:v>1</x:v>
      </x:c>
      <x:c r="S225" s="36" t="n">
        <x:v>0</x:v>
      </x:c>
      <x:c r="T225" s="36" t="n">
        <x:v>3</x:v>
      </x:c>
      <x:c r="U225" s="36" t="str">
        <x:v>1. Petrus 2: 5/5 Fragen geprüft, gegen L1912 + OTB freigegeben und importbereit.</x:v>
      </x:c>
    </x:row>
    <x:row r="226">
      <x:c r="A226" s="36" t="n">
        <x:v>225</x:v>
      </x:c>
      <x:c r="B226" s="36" t="str">
        <x:v>1PE</x:v>
      </x:c>
      <x:c r="C226" s="36" t="str">
        <x:v>1. Petrus</x:v>
      </x:c>
      <x:c r="D226" s="36" t="n">
        <x:v>3</x:v>
      </x:c>
      <x:c r="E226" s="36" t="str">
        <x:v>1PE-003</x:v>
      </x:c>
      <x:c r="F226" s="36" t="str">
        <x:v>FP-1381</x:v>
      </x:c>
      <x:c r="G226" s="36" t="str">
        <x:v>FP-1385</x:v>
      </x:c>
      <x:c r="H226" s="36" t="n">
        <x:v>0</x:v>
      </x:c>
      <x:c r="I226" s="36" t="n">
        <x:v>0</x:v>
      </x:c>
      <x:c r="J226" s="36" t="n">
        <x:v>0</x:v>
      </x:c>
      <x:c r="K226" s="36" t="n">
        <x:v>5</x:v>
      </x:c>
      <x:c r="L226" s="36" t="n">
        <x:v>5</x:v>
      </x:c>
      <x:c r="M226" s="36" t="n">
        <x:v>5</x:v>
      </x:c>
      <x:c r="N226" s="36" t="str">
        <x:v>FREIGEGEBEN</x:v>
      </x:c>
      <x:c r="O226" s="36" t="n">
        <x:v>0</x:v>
      </x:c>
      <x:c r="P226" s="36" t="n">
        <x:v>0</x:v>
      </x:c>
      <x:c r="Q226" s="36" t="n">
        <x:v>0</x:v>
      </x:c>
      <x:c r="R226" s="36" t="n">
        <x:v>1</x:v>
      </x:c>
      <x:c r="S226" s="36" t="n">
        <x:v>0</x:v>
      </x:c>
      <x:c r="T226" s="36" t="n">
        <x:v>4</x:v>
      </x:c>
      <x:c r="U226" s="36" t="str">
        <x:v>1. Petrus 3: 5/5 Fragen geprüft, gegen L1912 + OTB freigegeben und importbereit.</x:v>
      </x:c>
    </x:row>
    <x:row r="227">
      <x:c r="A227" s="36" t="n">
        <x:v>226</x:v>
      </x:c>
      <x:c r="B227" s="36" t="str">
        <x:v>1PE</x:v>
      </x:c>
      <x:c r="C227" s="36" t="str">
        <x:v>1. Petrus</x:v>
      </x:c>
      <x:c r="D227" s="36" t="n">
        <x:v>4</x:v>
      </x:c>
      <x:c r="E227" s="36" t="str">
        <x:v>1PE-004</x:v>
      </x:c>
      <x:c r="F227" s="36" t="str">
        <x:v>FP-1386</x:v>
      </x:c>
      <x:c r="G227" s="36" t="str">
        <x:v>FP-1390</x:v>
      </x:c>
      <x:c r="H227" s="36" t="n">
        <x:v>0</x:v>
      </x:c>
      <x:c r="I227" s="36" t="n">
        <x:v>0</x:v>
      </x:c>
      <x:c r="J227" s="36" t="n">
        <x:v>0</x:v>
      </x:c>
      <x:c r="K227" s="36" t="n">
        <x:v>5</x:v>
      </x:c>
      <x:c r="L227" s="36" t="n">
        <x:v>5</x:v>
      </x:c>
      <x:c r="M227" s="36" t="n">
        <x:v>5</x:v>
      </x:c>
      <x:c r="N227" s="36" t="str">
        <x:v>FREIGEGEBEN</x:v>
      </x:c>
      <x:c r="O227" s="36" t="n">
        <x:v>0</x:v>
      </x:c>
      <x:c r="P227" s="36" t="n">
        <x:v>0</x:v>
      </x:c>
      <x:c r="Q227" s="36" t="n">
        <x:v>2</x:v>
      </x:c>
      <x:c r="R227" s="36" t="n">
        <x:v>0</x:v>
      </x:c>
      <x:c r="S227" s="36" t="n">
        <x:v>0</x:v>
      </x:c>
      <x:c r="T227" s="36" t="n">
        <x:v>3</x:v>
      </x:c>
      <x:c r="U227" s="36" t="str">
        <x:v>1. Petrus 4: 5/5 Fragen geprüft, gegen L1912 + OTB freigegeben und importbereit.</x:v>
      </x:c>
    </x:row>
    <x:row r="228">
      <x:c r="A228" s="36" t="n">
        <x:v>227</x:v>
      </x:c>
      <x:c r="B228" s="36" t="str">
        <x:v>1PE</x:v>
      </x:c>
      <x:c r="C228" s="36" t="str">
        <x:v>1. Petrus</x:v>
      </x:c>
      <x:c r="D228" s="36" t="n">
        <x:v>5</x:v>
      </x:c>
      <x:c r="E228" s="36" t="str">
        <x:v>1PE-005</x:v>
      </x:c>
      <x:c r="F228" s="36" t="str">
        <x:v>FP-1391</x:v>
      </x:c>
      <x:c r="G228" s="36" t="str">
        <x:v>FP-1395</x:v>
      </x:c>
      <x:c r="H228" s="36" t="n">
        <x:v>0</x:v>
      </x:c>
      <x:c r="I228" s="36" t="n">
        <x:v>0</x:v>
      </x:c>
      <x:c r="J228" s="36" t="n">
        <x:v>0</x:v>
      </x:c>
      <x:c r="K228" s="36" t="n">
        <x:v>5</x:v>
      </x:c>
      <x:c r="L228" s="36" t="n">
        <x:v>5</x:v>
      </x:c>
      <x:c r="M228" s="36" t="n">
        <x:v>5</x:v>
      </x:c>
      <x:c r="N228" s="36" t="str">
        <x:v>FREIGEGEBEN</x:v>
      </x:c>
      <x:c r="O228" s="36" t="n">
        <x:v>0</x:v>
      </x:c>
      <x:c r="P228" s="36" t="n">
        <x:v>0</x:v>
      </x:c>
      <x:c r="Q228" s="36" t="n">
        <x:v>2</x:v>
      </x:c>
      <x:c r="R228" s="36" t="n">
        <x:v>1</x:v>
      </x:c>
      <x:c r="S228" s="36" t="n">
        <x:v>0</x:v>
      </x:c>
      <x:c r="T228" s="36" t="n">
        <x:v>2</x:v>
      </x:c>
      <x:c r="U228" s="36" t="str">
        <x:v>1. Petrus 5: 5/5 Fragen geprüft, gegen L1912 + OTB freigegeben und importbereit.</x:v>
      </x:c>
    </x:row>
    <x:row r="229">
      <x:c r="A229" s="36" t="n">
        <x:v>228</x:v>
      </x:c>
      <x:c r="B229" s="36" t="str">
        <x:v>2PE</x:v>
      </x:c>
      <x:c r="C229" s="36" t="str">
        <x:v>2. Petrus</x:v>
      </x:c>
      <x:c r="D229" s="36" t="n">
        <x:v>1</x:v>
      </x:c>
      <x:c r="E229" s="36" t="str">
        <x:v>2PE-001</x:v>
      </x:c>
      <x:c r="F229" s="36" t="str">
        <x:v>FP-1396</x:v>
      </x:c>
      <x:c r="G229" s="36" t="str">
        <x:v>FP-1400</x:v>
      </x:c>
      <x:c r="H229" s="36" t="n">
        <x:v>0</x:v>
      </x:c>
      <x:c r="I229" s="36" t="n">
        <x:v>0</x:v>
      </x:c>
      <x:c r="J229" s="36" t="n">
        <x:v>0</x:v>
      </x:c>
      <x:c r="K229" s="36" t="n">
        <x:v>5</x:v>
      </x:c>
      <x:c r="L229" s="36" t="n">
        <x:v>5</x:v>
      </x:c>
      <x:c r="M229" s="36" t="n">
        <x:v>5</x:v>
      </x:c>
      <x:c r="N229" s="36" t="str">
        <x:v>FREIGEGEBEN</x:v>
      </x:c>
      <x:c r="O229" s="36" t="n">
        <x:v>0</x:v>
      </x:c>
      <x:c r="P229" s="36" t="n">
        <x:v>0</x:v>
      </x:c>
      <x:c r="Q229" s="36" t="n">
        <x:v>1</x:v>
      </x:c>
      <x:c r="R229" s="36" t="n">
        <x:v>0</x:v>
      </x:c>
      <x:c r="S229" s="36" t="n">
        <x:v>0</x:v>
      </x:c>
      <x:c r="T229" s="36" t="n">
        <x:v>4</x:v>
      </x:c>
      <x:c r="U229" s="36" t="str">
        <x:v>2. Petrus 1: 5/5 Fragen geprüft, gegen L1912 + OTB freigegeben und importbereit.</x:v>
      </x:c>
    </x:row>
    <x:row r="230">
      <x:c r="A230" s="36" t="n">
        <x:v>229</x:v>
      </x:c>
      <x:c r="B230" s="36" t="str">
        <x:v>2PE</x:v>
      </x:c>
      <x:c r="C230" s="36" t="str">
        <x:v>2. Petrus</x:v>
      </x:c>
      <x:c r="D230" s="36" t="n">
        <x:v>2</x:v>
      </x:c>
      <x:c r="E230" s="36" t="str">
        <x:v>2PE-002</x:v>
      </x:c>
      <x:c r="F230" s="36" t="str">
        <x:v>FP-1401</x:v>
      </x:c>
      <x:c r="G230" s="36" t="str">
        <x:v>FP-1405</x:v>
      </x:c>
      <x:c r="H230" s="36" t="n">
        <x:v>0</x:v>
      </x:c>
      <x:c r="I230" s="36" t="n">
        <x:v>0</x:v>
      </x:c>
      <x:c r="J230" s="36" t="n">
        <x:v>0</x:v>
      </x:c>
      <x:c r="K230" s="36" t="n">
        <x:v>5</x:v>
      </x:c>
      <x:c r="L230" s="36" t="n">
        <x:v>5</x:v>
      </x:c>
      <x:c r="M230" s="36" t="n">
        <x:v>5</x:v>
      </x:c>
      <x:c r="N230" s="36" t="str">
        <x:v>FREIGEGEBEN</x:v>
      </x:c>
      <x:c r="O230" s="36" t="n">
        <x:v>0</x:v>
      </x:c>
      <x:c r="P230" s="36" t="n">
        <x:v>0</x:v>
      </x:c>
      <x:c r="Q230" s="36" t="n">
        <x:v>0</x:v>
      </x:c>
      <x:c r="R230" s="36" t="n">
        <x:v>0</x:v>
      </x:c>
      <x:c r="S230" s="36" t="n">
        <x:v>0</x:v>
      </x:c>
      <x:c r="T230" s="36" t="n">
        <x:v>5</x:v>
      </x:c>
      <x:c r="U230" s="36" t="str">
        <x:v>2. Petrus 2: 5/5 Fragen geprüft, gegen L1912 + OTB freigegeben und importbereit.</x:v>
      </x:c>
    </x:row>
    <x:row r="231">
      <x:c r="A231" s="36" t="n">
        <x:v>230</x:v>
      </x:c>
      <x:c r="B231" s="36" t="str">
        <x:v>2PE</x:v>
      </x:c>
      <x:c r="C231" s="36" t="str">
        <x:v>2. Petrus</x:v>
      </x:c>
      <x:c r="D231" s="36" t="n">
        <x:v>3</x:v>
      </x:c>
      <x:c r="E231" s="36" t="str">
        <x:v>2PE-003</x:v>
      </x:c>
      <x:c r="F231" s="36" t="str">
        <x:v>FP-1406</x:v>
      </x:c>
      <x:c r="G231" s="36" t="str">
        <x:v>FP-1410</x:v>
      </x:c>
      <x:c r="H231" s="36" t="n">
        <x:v>0</x:v>
      </x:c>
      <x:c r="I231" s="36" t="n">
        <x:v>0</x:v>
      </x:c>
      <x:c r="J231" s="36" t="n">
        <x:v>0</x:v>
      </x:c>
      <x:c r="K231" s="36" t="n">
        <x:v>5</x:v>
      </x:c>
      <x:c r="L231" s="36" t="n">
        <x:v>5</x:v>
      </x:c>
      <x:c r="M231" s="36" t="n">
        <x:v>5</x:v>
      </x:c>
      <x:c r="N231" s="36" t="str">
        <x:v>FREIGEGEBEN</x:v>
      </x:c>
      <x:c r="O231" s="36" t="n">
        <x:v>0</x:v>
      </x:c>
      <x:c r="P231" s="36" t="n">
        <x:v>0</x:v>
      </x:c>
      <x:c r="Q231" s="36" t="n">
        <x:v>0</x:v>
      </x:c>
      <x:c r="R231" s="36" t="n">
        <x:v>0</x:v>
      </x:c>
      <x:c r="S231" s="36" t="n">
        <x:v>0</x:v>
      </x:c>
      <x:c r="T231" s="36" t="n">
        <x:v>5</x:v>
      </x:c>
      <x:c r="U231" s="36" t="str">
        <x:v>2. Petrus 3: 5/5 Fragen geprüft, gegen L1912 + OTB freigegeben und importbereit.</x:v>
      </x:c>
    </x:row>
    <x:row r="232">
      <x:c r="A232" s="36" t="n">
        <x:v>231</x:v>
      </x:c>
      <x:c r="B232" s="36" t="str">
        <x:v>1JN</x:v>
      </x:c>
      <x:c r="C232" s="36" t="str">
        <x:v>1. Johannes</x:v>
      </x:c>
      <x:c r="D232" s="36" t="n">
        <x:v>1</x:v>
      </x:c>
      <x:c r="E232" s="36" t="str">
        <x:v>1JN-001</x:v>
      </x:c>
      <x:c r="F232" s="36" t="str">
        <x:v>FP-1411</x:v>
      </x:c>
      <x:c r="G232" s="36" t="str">
        <x:v>FP-1415</x:v>
      </x:c>
      <x:c r="H232" s="36" t="n">
        <x:v>0</x:v>
      </x:c>
      <x:c r="I232" s="36" t="n">
        <x:v>0</x:v>
      </x:c>
      <x:c r="J232" s="36" t="n">
        <x:v>0</x:v>
      </x:c>
      <x:c r="K232" s="36" t="n">
        <x:v>5</x:v>
      </x:c>
      <x:c r="L232" s="36" t="n">
        <x:v>5</x:v>
      </x:c>
      <x:c r="M232" s="36" t="n">
        <x:v>5</x:v>
      </x:c>
      <x:c r="N232" s="36" t="str">
        <x:v>FREIGEGEBEN</x:v>
      </x:c>
      <x:c r="O232" s="36" t="n">
        <x:v>0</x:v>
      </x:c>
      <x:c r="P232" s="36" t="n">
        <x:v>0</x:v>
      </x:c>
      <x:c r="Q232" s="36" t="n">
        <x:v>1</x:v>
      </x:c>
      <x:c r="R232" s="36" t="n">
        <x:v>0</x:v>
      </x:c>
      <x:c r="S232" s="36" t="n">
        <x:v>0</x:v>
      </x:c>
      <x:c r="T232" s="36" t="n">
        <x:v>4</x:v>
      </x:c>
      <x:c r="U232" s="36" t="str">
        <x:v>1. Johannes 1: 5/5 Fragen geprüft, gegen L1912 + OTB freigegeben und importbereit.</x:v>
      </x:c>
    </x:row>
    <x:row r="233">
      <x:c r="A233" s="36" t="n">
        <x:v>232</x:v>
      </x:c>
      <x:c r="B233" s="36" t="str">
        <x:v>1JN</x:v>
      </x:c>
      <x:c r="C233" s="36" t="str">
        <x:v>1. Johannes</x:v>
      </x:c>
      <x:c r="D233" s="36" t="n">
        <x:v>2</x:v>
      </x:c>
      <x:c r="E233" s="36" t="str">
        <x:v>1JN-002</x:v>
      </x:c>
      <x:c r="F233" s="36" t="str">
        <x:v>FP-1416</x:v>
      </x:c>
      <x:c r="G233" s="36" t="str">
        <x:v>FP-1420</x:v>
      </x:c>
      <x:c r="H233" s="36" t="n">
        <x:v>0</x:v>
      </x:c>
      <x:c r="I233" s="36" t="n">
        <x:v>0</x:v>
      </x:c>
      <x:c r="J233" s="36" t="n">
        <x:v>0</x:v>
      </x:c>
      <x:c r="K233" s="36" t="n">
        <x:v>5</x:v>
      </x:c>
      <x:c r="L233" s="36" t="n">
        <x:v>5</x:v>
      </x:c>
      <x:c r="M233" s="36" t="n">
        <x:v>5</x:v>
      </x:c>
      <x:c r="N233" s="36" t="str">
        <x:v>FREIGEGEBEN</x:v>
      </x:c>
      <x:c r="O233" s="36" t="n">
        <x:v>0</x:v>
      </x:c>
      <x:c r="P233" s="36" t="n">
        <x:v>0</x:v>
      </x:c>
      <x:c r="Q233" s="36" t="n">
        <x:v>0</x:v>
      </x:c>
      <x:c r="R233" s="36" t="n">
        <x:v>0</x:v>
      </x:c>
      <x:c r="S233" s="36" t="n">
        <x:v>0</x:v>
      </x:c>
      <x:c r="T233" s="36" t="n">
        <x:v>5</x:v>
      </x:c>
      <x:c r="U233" s="36" t="str">
        <x:v>1. Johannes 2: 5/5 Fragen geprüft, gegen L1912 + OTB freigegeben und importbereit.</x:v>
      </x:c>
    </x:row>
    <x:row r="234">
      <x:c r="A234" s="36" t="n">
        <x:v>233</x:v>
      </x:c>
      <x:c r="B234" s="36" t="str">
        <x:v>1JN</x:v>
      </x:c>
      <x:c r="C234" s="36" t="str">
        <x:v>1. Johannes</x:v>
      </x:c>
      <x:c r="D234" s="36" t="n">
        <x:v>3</x:v>
      </x:c>
      <x:c r="E234" s="36" t="str">
        <x:v>1JN-003</x:v>
      </x:c>
      <x:c r="F234" s="36" t="str">
        <x:v>FP-1421</x:v>
      </x:c>
      <x:c r="G234" s="36" t="str">
        <x:v>FP-1425</x:v>
      </x:c>
      <x:c r="H234" s="36" t="n">
        <x:v>0</x:v>
      </x:c>
      <x:c r="I234" s="36" t="n">
        <x:v>0</x:v>
      </x:c>
      <x:c r="J234" s="36" t="n">
        <x:v>0</x:v>
      </x:c>
      <x:c r="K234" s="36" t="n">
        <x:v>5</x:v>
      </x:c>
      <x:c r="L234" s="36" t="n">
        <x:v>5</x:v>
      </x:c>
      <x:c r="M234" s="36" t="n">
        <x:v>5</x:v>
      </x:c>
      <x:c r="N234" s="36" t="str">
        <x:v>FREIGEGEBEN</x:v>
      </x:c>
      <x:c r="O234" s="36" t="n">
        <x:v>0</x:v>
      </x:c>
      <x:c r="P234" s="36" t="n">
        <x:v>0</x:v>
      </x:c>
      <x:c r="Q234" s="36" t="n">
        <x:v>0</x:v>
      </x:c>
      <x:c r="R234" s="36" t="n">
        <x:v>1</x:v>
      </x:c>
      <x:c r="S234" s="36" t="n">
        <x:v>0</x:v>
      </x:c>
      <x:c r="T234" s="36" t="n">
        <x:v>4</x:v>
      </x:c>
      <x:c r="U234" s="36" t="str">
        <x:v>1. Johannes 3: 5/5 Fragen geprüft, gegen L1912 + OTB freigegeben und importbereit.</x:v>
      </x:c>
    </x:row>
    <x:row r="235">
      <x:c r="A235" s="36" t="n">
        <x:v>234</x:v>
      </x:c>
      <x:c r="B235" s="36" t="str">
        <x:v>1JN</x:v>
      </x:c>
      <x:c r="C235" s="36" t="str">
        <x:v>1. Johannes</x:v>
      </x:c>
      <x:c r="D235" s="36" t="n">
        <x:v>4</x:v>
      </x:c>
      <x:c r="E235" s="36" t="str">
        <x:v>1JN-004</x:v>
      </x:c>
      <x:c r="F235" s="36" t="str">
        <x:v>FP-1426</x:v>
      </x:c>
      <x:c r="G235" s="36" t="str">
        <x:v>FP-1430</x:v>
      </x:c>
      <x:c r="H235" s="36" t="n">
        <x:v>0</x:v>
      </x:c>
      <x:c r="I235" s="36" t="n">
        <x:v>0</x:v>
      </x:c>
      <x:c r="J235" s="36" t="n">
        <x:v>0</x:v>
      </x:c>
      <x:c r="K235" s="36" t="n">
        <x:v>5</x:v>
      </x:c>
      <x:c r="L235" s="36" t="n">
        <x:v>5</x:v>
      </x:c>
      <x:c r="M235" s="36" t="n">
        <x:v>5</x:v>
      </x:c>
      <x:c r="N235" s="36" t="str">
        <x:v>FREIGEGEBEN</x:v>
      </x:c>
      <x:c r="O235" s="36" t="n">
        <x:v>0</x:v>
      </x:c>
      <x:c r="P235" s="36" t="n">
        <x:v>0</x:v>
      </x:c>
      <x:c r="Q235" s="36" t="n">
        <x:v>0</x:v>
      </x:c>
      <x:c r="R235" s="36" t="n">
        <x:v>2</x:v>
      </x:c>
      <x:c r="S235" s="36" t="n">
        <x:v>0</x:v>
      </x:c>
      <x:c r="T235" s="36" t="n">
        <x:v>3</x:v>
      </x:c>
      <x:c r="U235" s="36" t="str">
        <x:v>1. Johannes 4: 5/5 Fragen geprüft, gegen L1912 + OTB freigegeben und importbereit.</x:v>
      </x:c>
    </x:row>
    <x:row r="236">
      <x:c r="A236" s="36" t="n">
        <x:v>235</x:v>
      </x:c>
      <x:c r="B236" s="36" t="str">
        <x:v>1JN</x:v>
      </x:c>
      <x:c r="C236" s="36" t="str">
        <x:v>1. Johannes</x:v>
      </x:c>
      <x:c r="D236" s="36" t="n">
        <x:v>5</x:v>
      </x:c>
      <x:c r="E236" s="36" t="str">
        <x:v>1JN-005</x:v>
      </x:c>
      <x:c r="F236" s="36" t="str">
        <x:v>FP-1431</x:v>
      </x:c>
      <x:c r="G236" s="36" t="str">
        <x:v>FP-1435</x:v>
      </x:c>
      <x:c r="H236" s="36" t="n">
        <x:v>0</x:v>
      </x:c>
      <x:c r="I236" s="36" t="n">
        <x:v>0</x:v>
      </x:c>
      <x:c r="J236" s="36" t="n">
        <x:v>0</x:v>
      </x:c>
      <x:c r="K236" s="36" t="n">
        <x:v>5</x:v>
      </x:c>
      <x:c r="L236" s="36" t="n">
        <x:v>5</x:v>
      </x:c>
      <x:c r="M236" s="36" t="n">
        <x:v>5</x:v>
      </x:c>
      <x:c r="N236" s="36" t="str">
        <x:v>FREIGEGEBEN</x:v>
      </x:c>
      <x:c r="O236" s="36" t="n">
        <x:v>0</x:v>
      </x:c>
      <x:c r="P236" s="36" t="n">
        <x:v>0</x:v>
      </x:c>
      <x:c r="Q236" s="36" t="n">
        <x:v>0</x:v>
      </x:c>
      <x:c r="R236" s="36" t="n">
        <x:v>2</x:v>
      </x:c>
      <x:c r="S236" s="36" t="n">
        <x:v>0</x:v>
      </x:c>
      <x:c r="T236" s="36" t="n">
        <x:v>3</x:v>
      </x:c>
      <x:c r="U236" s="36" t="str">
        <x:v>1. Johannes 5: 5/5 Fragen geprüft, gegen L1912 + OTB freigegeben und importbereit.</x:v>
      </x:c>
    </x:row>
    <x:row r="237">
      <x:c r="A237" s="36" t="n">
        <x:v>236</x:v>
      </x:c>
      <x:c r="B237" s="36" t="str">
        <x:v>2JN</x:v>
      </x:c>
      <x:c r="C237" s="36" t="str">
        <x:v>2. Johannes</x:v>
      </x:c>
      <x:c r="D237" s="36" t="n">
        <x:v>1</x:v>
      </x:c>
      <x:c r="E237" s="36" t="str">
        <x:v>2JN-001</x:v>
      </x:c>
      <x:c r="F237" s="36" t="str">
        <x:v>FP-1436</x:v>
      </x:c>
      <x:c r="G237" s="36" t="str">
        <x:v>FP-1440</x:v>
      </x:c>
      <x:c r="H237" s="36" t="n">
        <x:v>0</x:v>
      </x:c>
      <x:c r="I237" s="36" t="n">
        <x:v>0</x:v>
      </x:c>
      <x:c r="J237" s="36" t="n">
        <x:v>0</x:v>
      </x:c>
      <x:c r="K237" s="36" t="n">
        <x:v>5</x:v>
      </x:c>
      <x:c r="L237" s="36" t="n">
        <x:v>5</x:v>
      </x:c>
      <x:c r="M237" s="36" t="n">
        <x:v>5</x:v>
      </x:c>
      <x:c r="N237" s="36" t="str">
        <x:v>FREIGEGEBEN</x:v>
      </x:c>
      <x:c r="O237" s="36" t="n">
        <x:v>0</x:v>
      </x:c>
      <x:c r="P237" s="36" t="n">
        <x:v>0</x:v>
      </x:c>
      <x:c r="Q237" s="36" t="n">
        <x:v>0</x:v>
      </x:c>
      <x:c r="R237" s="36" t="n">
        <x:v>0</x:v>
      </x:c>
      <x:c r="S237" s="36" t="n">
        <x:v>0</x:v>
      </x:c>
      <x:c r="T237" s="36" t="n">
        <x:v>5</x:v>
      </x:c>
      <x:c r="U237" s="36" t="str">
        <x:v>2. Johannes 1: 5/5 Fragen geprüft, gegen L1912 + OTB freigegeben und importbereit.</x:v>
      </x:c>
    </x:row>
    <x:row r="238">
      <x:c r="A238" s="36" t="n">
        <x:v>237</x:v>
      </x:c>
      <x:c r="B238" s="36" t="str">
        <x:v>3JN</x:v>
      </x:c>
      <x:c r="C238" s="36" t="str">
        <x:v>3. Johannes</x:v>
      </x:c>
      <x:c r="D238" s="36" t="n">
        <x:v>1</x:v>
      </x:c>
      <x:c r="E238" s="36" t="str">
        <x:v>3JN-001</x:v>
      </x:c>
      <x:c r="F238" s="36" t="str">
        <x:v>FP-1441</x:v>
      </x:c>
      <x:c r="G238" s="36" t="str">
        <x:v>FP-1445</x:v>
      </x:c>
      <x:c r="H238" s="36" t="n">
        <x:v>0</x:v>
      </x:c>
      <x:c r="I238" s="36" t="n">
        <x:v>0</x:v>
      </x:c>
      <x:c r="J238" s="36" t="n">
        <x:v>0</x:v>
      </x:c>
      <x:c r="K238" s="36" t="n">
        <x:v>5</x:v>
      </x:c>
      <x:c r="L238" s="36" t="n">
        <x:v>5</x:v>
      </x:c>
      <x:c r="M238" s="36" t="n">
        <x:v>5</x:v>
      </x:c>
      <x:c r="N238" s="36" t="str">
        <x:v>FREIGEGEBEN</x:v>
      </x:c>
      <x:c r="O238" s="36" t="n">
        <x:v>0</x:v>
      </x:c>
      <x:c r="P238" s="36" t="n">
        <x:v>0</x:v>
      </x:c>
      <x:c r="Q238" s="36" t="n">
        <x:v>0</x:v>
      </x:c>
      <x:c r="R238" s="36" t="n">
        <x:v>0</x:v>
      </x:c>
      <x:c r="S238" s="36" t="n">
        <x:v>0</x:v>
      </x:c>
      <x:c r="T238" s="36" t="n">
        <x:v>5</x:v>
      </x:c>
      <x:c r="U238" s="36" t="str">
        <x:v>3. Johannes 1: 5/5 Fragen geprüft, gegen L1912 + OTB freigegeben und importbereit.</x:v>
      </x:c>
    </x:row>
    <x:row r="239">
      <x:c r="A239" s="36" t="n">
        <x:v>238</x:v>
      </x:c>
      <x:c r="B239" s="36" t="str">
        <x:v>JUD</x:v>
      </x:c>
      <x:c r="C239" s="36" t="str">
        <x:v>Judas</x:v>
      </x:c>
      <x:c r="D239" s="36" t="n">
        <x:v>1</x:v>
      </x:c>
      <x:c r="E239" s="36" t="str">
        <x:v>JUD-001</x:v>
      </x:c>
      <x:c r="F239" s="36" t="str">
        <x:v>FP-1446</x:v>
      </x:c>
      <x:c r="G239" s="36" t="str">
        <x:v>FP-1450</x:v>
      </x:c>
      <x:c r="H239" s="36" t="n">
        <x:v>0</x:v>
      </x:c>
      <x:c r="I239" s="36" t="n">
        <x:v>0</x:v>
      </x:c>
      <x:c r="J239" s="36" t="n">
        <x:v>0</x:v>
      </x:c>
      <x:c r="K239" s="36" t="n">
        <x:v>5</x:v>
      </x:c>
      <x:c r="L239" s="36" t="n">
        <x:v>5</x:v>
      </x:c>
      <x:c r="M239" s="36" t="n">
        <x:v>5</x:v>
      </x:c>
      <x:c r="N239" s="36" t="str">
        <x:v>FREIGEGEBEN</x:v>
      </x:c>
      <x:c r="O239" s="36" t="n">
        <x:v>0</x:v>
      </x:c>
      <x:c r="P239" s="36" t="n">
        <x:v>0</x:v>
      </x:c>
      <x:c r="Q239" s="36" t="n">
        <x:v>1</x:v>
      </x:c>
      <x:c r="R239" s="36" t="n">
        <x:v>0</x:v>
      </x:c>
      <x:c r="S239" s="36" t="n">
        <x:v>0</x:v>
      </x:c>
      <x:c r="T239" s="36" t="n">
        <x:v>4</x:v>
      </x:c>
      <x:c r="U239" s="36" t="str">
        <x:v>Judas 1: 5/5 Fragen geprüft, gegen L1912 + OTB freigegeben und importbereit.</x:v>
      </x:c>
    </x:row>
    <x:row r="240">
      <x:c r="A240" s="36" t="n">
        <x:v>239</x:v>
      </x:c>
      <x:c r="B240" s="36" t="str">
        <x:v>REV</x:v>
      </x:c>
      <x:c r="C240" s="36" t="str">
        <x:v>Offenbarung</x:v>
      </x:c>
      <x:c r="D240" s="36" t="n">
        <x:v>1</x:v>
      </x:c>
      <x:c r="E240" s="36" t="str">
        <x:v>REV-001</x:v>
      </x:c>
      <x:c r="F240" s="36" t="str">
        <x:v>FP-1451</x:v>
      </x:c>
      <x:c r="G240" s="36" t="str">
        <x:v>FP-1455</x:v>
      </x:c>
      <x:c r="H240" s="36" t="n">
        <x:v>0</x:v>
      </x:c>
      <x:c r="I240" s="36" t="n">
        <x:v>0</x:v>
      </x:c>
      <x:c r="J240" s="36" t="n">
        <x:v>0</x:v>
      </x:c>
      <x:c r="K240" s="36" t="n">
        <x:v>5</x:v>
      </x:c>
      <x:c r="L240" s="36" t="n">
        <x:v>5</x:v>
      </x:c>
      <x:c r="M240" s="36" t="n">
        <x:v>5</x:v>
      </x:c>
      <x:c r="N240" s="36" t="str">
        <x:v>FREIGEGEBEN</x:v>
      </x:c>
      <x:c r="O240" s="36" t="n">
        <x:v>1</x:v>
      </x:c>
      <x:c r="P240" s="36" t="n">
        <x:v>0</x:v>
      </x:c>
      <x:c r="Q240" s="36" t="n">
        <x:v>0</x:v>
      </x:c>
      <x:c r="R240" s="36" t="n">
        <x:v>1</x:v>
      </x:c>
      <x:c r="S240" s="36" t="n">
        <x:v>1</x:v>
      </x:c>
      <x:c r="T240" s="36" t="n">
        <x:v>2</x:v>
      </x:c>
      <x:c r="U240" s="36" t="str">
        <x:v>Offenbarung 1: 5/5 Fragen geprüft, gegen L1912 + OTB freigegeben und importbereit.</x:v>
      </x:c>
    </x:row>
    <x:row r="241">
      <x:c r="A241" s="36" t="n">
        <x:v>240</x:v>
      </x:c>
      <x:c r="B241" s="36" t="str">
        <x:v>REV</x:v>
      </x:c>
      <x:c r="C241" s="36" t="str">
        <x:v>Offenbarung</x:v>
      </x:c>
      <x:c r="D241" s="36" t="n">
        <x:v>2</x:v>
      </x:c>
      <x:c r="E241" s="36" t="str">
        <x:v>REV-002</x:v>
      </x:c>
      <x:c r="F241" s="36" t="str">
        <x:v>FP-1456</x:v>
      </x:c>
      <x:c r="G241" s="36" t="str">
        <x:v>FP-1460</x:v>
      </x:c>
      <x:c r="H241" s="36" t="n">
        <x:v>0</x:v>
      </x:c>
      <x:c r="I241" s="36" t="n">
        <x:v>0</x:v>
      </x:c>
      <x:c r="J241" s="36" t="n">
        <x:v>0</x:v>
      </x:c>
      <x:c r="K241" s="36" t="n">
        <x:v>5</x:v>
      </x:c>
      <x:c r="L241" s="36" t="n">
        <x:v>5</x:v>
      </x:c>
      <x:c r="M241" s="36" t="n">
        <x:v>5</x:v>
      </x:c>
      <x:c r="N241" s="36" t="str">
        <x:v>FREIGEGEBEN</x:v>
      </x:c>
      <x:c r="O241" s="36" t="n">
        <x:v>0</x:v>
      </x:c>
      <x:c r="P241" s="36" t="n">
        <x:v>0</x:v>
      </x:c>
      <x:c r="Q241" s="36" t="n">
        <x:v>0</x:v>
      </x:c>
      <x:c r="R241" s="36" t="n">
        <x:v>0</x:v>
      </x:c>
      <x:c r="S241" s="36" t="n">
        <x:v>0</x:v>
      </x:c>
      <x:c r="T241" s="36" t="n">
        <x:v>5</x:v>
      </x:c>
      <x:c r="U241" s="36" t="str">
        <x:v>Offenbarung 2: 5/5 Fragen geprüft, gegen L1912 + OTB freigegeben und importbereit.</x:v>
      </x:c>
    </x:row>
    <x:row r="242">
      <x:c r="A242" s="36" t="n">
        <x:v>241</x:v>
      </x:c>
      <x:c r="B242" s="36" t="str">
        <x:v>REV</x:v>
      </x:c>
      <x:c r="C242" s="36" t="str">
        <x:v>Offenbarung</x:v>
      </x:c>
      <x:c r="D242" s="36" t="n">
        <x:v>3</x:v>
      </x:c>
      <x:c r="E242" s="36" t="str">
        <x:v>REV-003</x:v>
      </x:c>
      <x:c r="F242" s="36" t="str">
        <x:v>FP-1461</x:v>
      </x:c>
      <x:c r="G242" s="36" t="str">
        <x:v>FP-1465</x:v>
      </x:c>
      <x:c r="H242" s="36" t="n">
        <x:v>0</x:v>
      </x:c>
      <x:c r="I242" s="36" t="n">
        <x:v>0</x:v>
      </x:c>
      <x:c r="J242" s="36" t="n">
        <x:v>0</x:v>
      </x:c>
      <x:c r="K242" s="36" t="n">
        <x:v>5</x:v>
      </x:c>
      <x:c r="L242" s="36" t="n">
        <x:v>5</x:v>
      </x:c>
      <x:c r="M242" s="36" t="n">
        <x:v>5</x:v>
      </x:c>
      <x:c r="N242" s="36" t="str">
        <x:v>FREIGEGEBEN</x:v>
      </x:c>
      <x:c r="O242" s="36" t="n">
        <x:v>0</x:v>
      </x:c>
      <x:c r="P242" s="36" t="n">
        <x:v>0</x:v>
      </x:c>
      <x:c r="Q242" s="36" t="n">
        <x:v>0</x:v>
      </x:c>
      <x:c r="R242" s="36" t="n">
        <x:v>0</x:v>
      </x:c>
      <x:c r="S242" s="36" t="n">
        <x:v>0</x:v>
      </x:c>
      <x:c r="T242" s="36" t="n">
        <x:v>5</x:v>
      </x:c>
      <x:c r="U242" s="36" t="str">
        <x:v>Offenbarung 3: 5/5 Fragen geprüft, gegen L1912 + OTB freigegeben und importbereit.</x:v>
      </x:c>
    </x:row>
    <x:row r="243">
      <x:c r="A243" s="36" t="n">
        <x:v>242</x:v>
      </x:c>
      <x:c r="B243" s="36" t="str">
        <x:v>REV</x:v>
      </x:c>
      <x:c r="C243" s="36" t="str">
        <x:v>Offenbarung</x:v>
      </x:c>
      <x:c r="D243" s="36" t="n">
        <x:v>4</x:v>
      </x:c>
      <x:c r="E243" s="36" t="str">
        <x:v>REV-004</x:v>
      </x:c>
      <x:c r="F243" s="36" t="str">
        <x:v>FP-1466</x:v>
      </x:c>
      <x:c r="G243" s="36" t="str">
        <x:v>FP-1470</x:v>
      </x:c>
      <x:c r="H243" s="36" t="n">
        <x:v>0</x:v>
      </x:c>
      <x:c r="I243" s="36" t="n">
        <x:v>0</x:v>
      </x:c>
      <x:c r="J243" s="36" t="n">
        <x:v>0</x:v>
      </x:c>
      <x:c r="K243" s="36" t="n">
        <x:v>5</x:v>
      </x:c>
      <x:c r="L243" s="36" t="n">
        <x:v>5</x:v>
      </x:c>
      <x:c r="M243" s="36" t="n">
        <x:v>5</x:v>
      </x:c>
      <x:c r="N243" s="36" t="str">
        <x:v>FREIGEGEBEN</x:v>
      </x:c>
      <x:c r="O243" s="36" t="n">
        <x:v>0</x:v>
      </x:c>
      <x:c r="P243" s="36" t="n">
        <x:v>0</x:v>
      </x:c>
      <x:c r="Q243" s="36" t="n">
        <x:v>0</x:v>
      </x:c>
      <x:c r="R243" s="36" t="n">
        <x:v>0</x:v>
      </x:c>
      <x:c r="S243" s="36" t="n">
        <x:v>0</x:v>
      </x:c>
      <x:c r="T243" s="36" t="n">
        <x:v>5</x:v>
      </x:c>
      <x:c r="U243" s="36" t="str">
        <x:v>Offenbarung 4: 5/5 Fragen geprüft, gegen L1912 + OTB freigegeben und importbereit.</x:v>
      </x:c>
    </x:row>
    <x:row r="244">
      <x:c r="A244" s="36" t="n">
        <x:v>243</x:v>
      </x:c>
      <x:c r="B244" s="36" t="str">
        <x:v>REV</x:v>
      </x:c>
      <x:c r="C244" s="36" t="str">
        <x:v>Offenbarung</x:v>
      </x:c>
      <x:c r="D244" s="36" t="n">
        <x:v>5</x:v>
      </x:c>
      <x:c r="E244" s="36" t="str">
        <x:v>REV-005</x:v>
      </x:c>
      <x:c r="F244" s="36" t="str">
        <x:v>FP-1471</x:v>
      </x:c>
      <x:c r="G244" s="36" t="str">
        <x:v>FP-1475</x:v>
      </x:c>
      <x:c r="H244" s="36" t="n">
        <x:v>0</x:v>
      </x:c>
      <x:c r="I244" s="36" t="n">
        <x:v>0</x:v>
      </x:c>
      <x:c r="J244" s="36" t="n">
        <x:v>0</x:v>
      </x:c>
      <x:c r="K244" s="36" t="n">
        <x:v>5</x:v>
      </x:c>
      <x:c r="L244" s="36" t="n">
        <x:v>5</x:v>
      </x:c>
      <x:c r="M244" s="36" t="n">
        <x:v>5</x:v>
      </x:c>
      <x:c r="N244" s="36" t="str">
        <x:v>FREIGEGEBEN</x:v>
      </x:c>
      <x:c r="O244" s="36" t="n">
        <x:v>0</x:v>
      </x:c>
      <x:c r="P244" s="36" t="n">
        <x:v>0</x:v>
      </x:c>
      <x:c r="Q244" s="36" t="n">
        <x:v>0</x:v>
      </x:c>
      <x:c r="R244" s="36" t="n">
        <x:v>0</x:v>
      </x:c>
      <x:c r="S244" s="36" t="n">
        <x:v>0</x:v>
      </x:c>
      <x:c r="T244" s="36" t="n">
        <x:v>5</x:v>
      </x:c>
      <x:c r="U244" s="36" t="str">
        <x:v>Offenbarung 5: 5/5 Fragen geprüft, gegen L1912 + OTB freigegeben und importbereit.</x:v>
      </x:c>
    </x:row>
    <x:row r="245">
      <x:c r="A245" s="36" t="n">
        <x:v>244</x:v>
      </x:c>
      <x:c r="B245" s="36" t="str">
        <x:v>REV</x:v>
      </x:c>
      <x:c r="C245" s="36" t="str">
        <x:v>Offenbarung</x:v>
      </x:c>
      <x:c r="D245" s="36" t="n">
        <x:v>6</x:v>
      </x:c>
      <x:c r="E245" s="36" t="str">
        <x:v>REV-006</x:v>
      </x:c>
      <x:c r="F245" s="36" t="str">
        <x:v>FP-1476</x:v>
      </x:c>
      <x:c r="G245" s="36" t="str">
        <x:v>FP-1480</x:v>
      </x:c>
      <x:c r="H245" s="36" t="n">
        <x:v>0</x:v>
      </x:c>
      <x:c r="I245" s="36" t="n">
        <x:v>0</x:v>
      </x:c>
      <x:c r="J245" s="36" t="n">
        <x:v>0</x:v>
      </x:c>
      <x:c r="K245" s="36" t="n">
        <x:v>5</x:v>
      </x:c>
      <x:c r="L245" s="36" t="n">
        <x:v>5</x:v>
      </x:c>
      <x:c r="M245" s="36" t="n">
        <x:v>5</x:v>
      </x:c>
      <x:c r="N245" s="36" t="str">
        <x:v>FREIGEGEBEN</x:v>
      </x:c>
      <x:c r="O245" s="36" t="n">
        <x:v>0</x:v>
      </x:c>
      <x:c r="P245" s="36" t="n">
        <x:v>0</x:v>
      </x:c>
      <x:c r="Q245" s="36" t="n">
        <x:v>0</x:v>
      </x:c>
      <x:c r="R245" s="36" t="n">
        <x:v>0</x:v>
      </x:c>
      <x:c r="S245" s="36" t="n">
        <x:v>0</x:v>
      </x:c>
      <x:c r="T245" s="36" t="n">
        <x:v>5</x:v>
      </x:c>
      <x:c r="U245" s="36" t="str">
        <x:v>Offenbarung 6: 5/5 Fragen geprüft, gegen L1912 + OTB freigegeben und importbereit.</x:v>
      </x:c>
    </x:row>
    <x:row r="246">
      <x:c r="A246" s="36" t="n">
        <x:v>245</x:v>
      </x:c>
      <x:c r="B246" s="36" t="str">
        <x:v>REV</x:v>
      </x:c>
      <x:c r="C246" s="36" t="str">
        <x:v>Offenbarung</x:v>
      </x:c>
      <x:c r="D246" s="36" t="n">
        <x:v>7</x:v>
      </x:c>
      <x:c r="E246" s="36" t="str">
        <x:v>REV-007</x:v>
      </x:c>
      <x:c r="F246" s="36" t="str">
        <x:v>FP-1481</x:v>
      </x:c>
      <x:c r="G246" s="36" t="str">
        <x:v>FP-1485</x:v>
      </x:c>
      <x:c r="H246" s="36" t="n">
        <x:v>0</x:v>
      </x:c>
      <x:c r="I246" s="36" t="n">
        <x:v>0</x:v>
      </x:c>
      <x:c r="J246" s="36" t="n">
        <x:v>0</x:v>
      </x:c>
      <x:c r="K246" s="36" t="n">
        <x:v>5</x:v>
      </x:c>
      <x:c r="L246" s="36" t="n">
        <x:v>5</x:v>
      </x:c>
      <x:c r="M246" s="36" t="n">
        <x:v>5</x:v>
      </x:c>
      <x:c r="N246" s="36" t="str">
        <x:v>FREIGEGEBEN</x:v>
      </x:c>
      <x:c r="O246" s="36" t="n">
        <x:v>0</x:v>
      </x:c>
      <x:c r="P246" s="36" t="n">
        <x:v>0</x:v>
      </x:c>
      <x:c r="Q246" s="36" t="n">
        <x:v>0</x:v>
      </x:c>
      <x:c r="R246" s="36" t="n">
        <x:v>0</x:v>
      </x:c>
      <x:c r="S246" s="36" t="n">
        <x:v>0</x:v>
      </x:c>
      <x:c r="T246" s="36" t="n">
        <x:v>5</x:v>
      </x:c>
      <x:c r="U246" s="36" t="str">
        <x:v>Offenbarung 7: 5/5 Fragen geprüft, gegen L1912 + OTB freigegeben und importbereit.</x:v>
      </x:c>
    </x:row>
    <x:row r="247">
      <x:c r="A247" s="36" t="n">
        <x:v>246</x:v>
      </x:c>
      <x:c r="B247" s="36" t="str">
        <x:v>REV</x:v>
      </x:c>
      <x:c r="C247" s="36" t="str">
        <x:v>Offenbarung</x:v>
      </x:c>
      <x:c r="D247" s="36" t="n">
        <x:v>8</x:v>
      </x:c>
      <x:c r="E247" s="36" t="str">
        <x:v>REV-008</x:v>
      </x:c>
      <x:c r="F247" s="36" t="str">
        <x:v>FP-1486</x:v>
      </x:c>
      <x:c r="G247" s="36" t="str">
        <x:v>FP-1490</x:v>
      </x:c>
      <x:c r="H247" s="36" t="n">
        <x:v>0</x:v>
      </x:c>
      <x:c r="I247" s="36" t="n">
        <x:v>0</x:v>
      </x:c>
      <x:c r="J247" s="36" t="n">
        <x:v>0</x:v>
      </x:c>
      <x:c r="K247" s="36" t="n">
        <x:v>5</x:v>
      </x:c>
      <x:c r="L247" s="36" t="n">
        <x:v>5</x:v>
      </x:c>
      <x:c r="M247" s="36" t="n">
        <x:v>5</x:v>
      </x:c>
      <x:c r="N247" s="36" t="str">
        <x:v>FREIGEGEBEN</x:v>
      </x:c>
      <x:c r="O247" s="36" t="n">
        <x:v>0</x:v>
      </x:c>
      <x:c r="P247" s="36" t="n">
        <x:v>0</x:v>
      </x:c>
      <x:c r="Q247" s="36" t="n">
        <x:v>0</x:v>
      </x:c>
      <x:c r="R247" s="36" t="n">
        <x:v>0</x:v>
      </x:c>
      <x:c r="S247" s="36" t="n">
        <x:v>0</x:v>
      </x:c>
      <x:c r="T247" s="36" t="n">
        <x:v>5</x:v>
      </x:c>
      <x:c r="U247" s="36" t="str">
        <x:v>Offenbarung 8: 5/5 Fragen geprüft, gegen L1912 + OTB freigegeben und importbereit.</x:v>
      </x:c>
    </x:row>
    <x:row r="248">
      <x:c r="A248" s="36" t="n">
        <x:v>247</x:v>
      </x:c>
      <x:c r="B248" s="36" t="str">
        <x:v>REV</x:v>
      </x:c>
      <x:c r="C248" s="36" t="str">
        <x:v>Offenbarung</x:v>
      </x:c>
      <x:c r="D248" s="36" t="n">
        <x:v>9</x:v>
      </x:c>
      <x:c r="E248" s="36" t="str">
        <x:v>REV-009</x:v>
      </x:c>
      <x:c r="F248" s="36" t="str">
        <x:v>FP-1491</x:v>
      </x:c>
      <x:c r="G248" s="36" t="str">
        <x:v>FP-1495</x:v>
      </x:c>
      <x:c r="H248" s="36" t="n">
        <x:v>0</x:v>
      </x:c>
      <x:c r="I248" s="36" t="n">
        <x:v>0</x:v>
      </x:c>
      <x:c r="J248" s="36" t="n">
        <x:v>0</x:v>
      </x:c>
      <x:c r="K248" s="36" t="n">
        <x:v>5</x:v>
      </x:c>
      <x:c r="L248" s="36" t="n">
        <x:v>5</x:v>
      </x:c>
      <x:c r="M248" s="36" t="n">
        <x:v>5</x:v>
      </x:c>
      <x:c r="N248" s="36" t="str">
        <x:v>FREIGEGEBEN</x:v>
      </x:c>
      <x:c r="O248" s="36" t="n">
        <x:v>0</x:v>
      </x:c>
      <x:c r="P248" s="36" t="n">
        <x:v>0</x:v>
      </x:c>
      <x:c r="Q248" s="36" t="n">
        <x:v>0</x:v>
      </x:c>
      <x:c r="R248" s="36" t="n">
        <x:v>0</x:v>
      </x:c>
      <x:c r="S248" s="36" t="n">
        <x:v>0</x:v>
      </x:c>
      <x:c r="T248" s="36" t="n">
        <x:v>5</x:v>
      </x:c>
      <x:c r="U248" s="36" t="str">
        <x:v>Offenbarung 9: 5/5 Fragen geprüft, gegen L1912 + OTB freigegeben und importbereit.</x:v>
      </x:c>
    </x:row>
    <x:row r="249">
      <x:c r="A249" s="36" t="n">
        <x:v>248</x:v>
      </x:c>
      <x:c r="B249" s="36" t="str">
        <x:v>REV</x:v>
      </x:c>
      <x:c r="C249" s="36" t="str">
        <x:v>Offenbarung</x:v>
      </x:c>
      <x:c r="D249" s="36" t="n">
        <x:v>10</x:v>
      </x:c>
      <x:c r="E249" s="36" t="str">
        <x:v>REV-010</x:v>
      </x:c>
      <x:c r="F249" s="36" t="str">
        <x:v>FP-1496</x:v>
      </x:c>
      <x:c r="G249" s="36" t="str">
        <x:v>FP-1500</x:v>
      </x:c>
      <x:c r="H249" s="36" t="n">
        <x:v>0</x:v>
      </x:c>
      <x:c r="I249" s="36" t="n">
        <x:v>0</x:v>
      </x:c>
      <x:c r="J249" s="36" t="n">
        <x:v>0</x:v>
      </x:c>
      <x:c r="K249" s="36" t="n">
        <x:v>5</x:v>
      </x:c>
      <x:c r="L249" s="36" t="n">
        <x:v>5</x:v>
      </x:c>
      <x:c r="M249" s="36" t="n">
        <x:v>5</x:v>
      </x:c>
      <x:c r="N249" s="36" t="str">
        <x:v>FREIGEGEBEN</x:v>
      </x:c>
      <x:c r="O249" s="36" t="n">
        <x:v>0</x:v>
      </x:c>
      <x:c r="P249" s="36" t="n">
        <x:v>0</x:v>
      </x:c>
      <x:c r="Q249" s="36" t="n">
        <x:v>0</x:v>
      </x:c>
      <x:c r="R249" s="36" t="n">
        <x:v>0</x:v>
      </x:c>
      <x:c r="S249" s="36" t="n">
        <x:v>0</x:v>
      </x:c>
      <x:c r="T249" s="36" t="n">
        <x:v>5</x:v>
      </x:c>
      <x:c r="U249" s="36" t="str">
        <x:v>Offenbarung 10: 5/5 Fragen geprüft, gegen L1912 + OTB freigegeben und importbereit.</x:v>
      </x:c>
    </x:row>
    <x:row r="250">
      <x:c r="A250" s="36" t="n">
        <x:v>249</x:v>
      </x:c>
      <x:c r="B250" s="36" t="str">
        <x:v>REV</x:v>
      </x:c>
      <x:c r="C250" s="36" t="str">
        <x:v>Offenbarung</x:v>
      </x:c>
      <x:c r="D250" s="36" t="n">
        <x:v>11</x:v>
      </x:c>
      <x:c r="E250" s="36" t="str">
        <x:v>REV-011</x:v>
      </x:c>
      <x:c r="F250" s="36" t="str">
        <x:v>FP-1501</x:v>
      </x:c>
      <x:c r="G250" s="36" t="str">
        <x:v>FP-1505</x:v>
      </x:c>
      <x:c r="H250" s="36" t="n">
        <x:v>0</x:v>
      </x:c>
      <x:c r="I250" s="36" t="n">
        <x:v>0</x:v>
      </x:c>
      <x:c r="J250" s="36" t="n">
        <x:v>0</x:v>
      </x:c>
      <x:c r="K250" s="36" t="n">
        <x:v>5</x:v>
      </x:c>
      <x:c r="L250" s="36" t="n">
        <x:v>5</x:v>
      </x:c>
      <x:c r="M250" s="36" t="n">
        <x:v>5</x:v>
      </x:c>
      <x:c r="N250" s="36" t="str">
        <x:v>FREIGEGEBEN</x:v>
      </x:c>
      <x:c r="O250" s="36" t="n">
        <x:v>0</x:v>
      </x:c>
      <x:c r="P250" s="36" t="n">
        <x:v>0</x:v>
      </x:c>
      <x:c r="Q250" s="36" t="n">
        <x:v>0</x:v>
      </x:c>
      <x:c r="R250" s="36" t="n">
        <x:v>0</x:v>
      </x:c>
      <x:c r="S250" s="36" t="n">
        <x:v>0</x:v>
      </x:c>
      <x:c r="T250" s="36" t="n">
        <x:v>5</x:v>
      </x:c>
      <x:c r="U250" s="36" t="str">
        <x:v>Offenbarung 11: 5/5 Fragen geprüft, gegen L1912 + OTB freigegeben und importbereit.</x:v>
      </x:c>
    </x:row>
    <x:row r="251">
      <x:c r="A251" s="36" t="n">
        <x:v>250</x:v>
      </x:c>
      <x:c r="B251" s="36" t="str">
        <x:v>REV</x:v>
      </x:c>
      <x:c r="C251" s="36" t="str">
        <x:v>Offenbarung</x:v>
      </x:c>
      <x:c r="D251" s="36" t="n">
        <x:v>12</x:v>
      </x:c>
      <x:c r="E251" s="36" t="str">
        <x:v>REV-012</x:v>
      </x:c>
      <x:c r="F251" s="36" t="str">
        <x:v>FP-1506</x:v>
      </x:c>
      <x:c r="G251" s="36" t="str">
        <x:v>FP-1510</x:v>
      </x:c>
      <x:c r="H251" s="36" t="n">
        <x:v>0</x:v>
      </x:c>
      <x:c r="I251" s="36" t="n">
        <x:v>0</x:v>
      </x:c>
      <x:c r="J251" s="36" t="n">
        <x:v>0</x:v>
      </x:c>
      <x:c r="K251" s="36" t="n">
        <x:v>5</x:v>
      </x:c>
      <x:c r="L251" s="36" t="n">
        <x:v>5</x:v>
      </x:c>
      <x:c r="M251" s="36" t="n">
        <x:v>5</x:v>
      </x:c>
      <x:c r="N251" s="36" t="str">
        <x:v>FREIGEGEBEN</x:v>
      </x:c>
      <x:c r="O251" s="36" t="n">
        <x:v>0</x:v>
      </x:c>
      <x:c r="P251" s="36" t="n">
        <x:v>0</x:v>
      </x:c>
      <x:c r="Q251" s="36" t="n">
        <x:v>0</x:v>
      </x:c>
      <x:c r="R251" s="36" t="n">
        <x:v>0</x:v>
      </x:c>
      <x:c r="S251" s="36" t="n">
        <x:v>0</x:v>
      </x:c>
      <x:c r="T251" s="36" t="n">
        <x:v>5</x:v>
      </x:c>
      <x:c r="U251" s="36" t="str">
        <x:v>Offenbarung 12: 5/5 Fragen geprüft, gegen L1912 + OTB freigegeben und importbereit.</x:v>
      </x:c>
    </x:row>
    <x:row r="252">
      <x:c r="A252" s="36" t="n">
        <x:v>251</x:v>
      </x:c>
      <x:c r="B252" s="36" t="str">
        <x:v>REV</x:v>
      </x:c>
      <x:c r="C252" s="36" t="str">
        <x:v>Offenbarung</x:v>
      </x:c>
      <x:c r="D252" s="36" t="n">
        <x:v>13</x:v>
      </x:c>
      <x:c r="E252" s="36" t="str">
        <x:v>REV-013</x:v>
      </x:c>
      <x:c r="F252" s="36" t="str">
        <x:v>FP-1511</x:v>
      </x:c>
      <x:c r="G252" s="36" t="str">
        <x:v>FP-1515</x:v>
      </x:c>
      <x:c r="H252" s="36" t="n">
        <x:v>0</x:v>
      </x:c>
      <x:c r="I252" s="36" t="n">
        <x:v>0</x:v>
      </x:c>
      <x:c r="J252" s="36" t="n">
        <x:v>0</x:v>
      </x:c>
      <x:c r="K252" s="36" t="n">
        <x:v>5</x:v>
      </x:c>
      <x:c r="L252" s="36" t="n">
        <x:v>5</x:v>
      </x:c>
      <x:c r="M252" s="36" t="n">
        <x:v>5</x:v>
      </x:c>
      <x:c r="N252" s="36" t="str">
        <x:v>FREIGEGEBEN</x:v>
      </x:c>
      <x:c r="O252" s="36" t="n">
        <x:v>0</x:v>
      </x:c>
      <x:c r="P252" s="36" t="n">
        <x:v>0</x:v>
      </x:c>
      <x:c r="Q252" s="36" t="n">
        <x:v>1</x:v>
      </x:c>
      <x:c r="R252" s="36" t="n">
        <x:v>0</x:v>
      </x:c>
      <x:c r="S252" s="36" t="n">
        <x:v>1</x:v>
      </x:c>
      <x:c r="T252" s="36" t="n">
        <x:v>3</x:v>
      </x:c>
      <x:c r="U252" s="36" t="str">
        <x:v>Offenbarung 13: 5/5 Fragen geprüft, gegen L1912 + OTB freigegeben und importbereit.</x:v>
      </x:c>
    </x:row>
    <x:row r="253">
      <x:c r="A253" s="36" t="n">
        <x:v>252</x:v>
      </x:c>
      <x:c r="B253" s="36" t="str">
        <x:v>REV</x:v>
      </x:c>
      <x:c r="C253" s="36" t="str">
        <x:v>Offenbarung</x:v>
      </x:c>
      <x:c r="D253" s="36" t="n">
        <x:v>14</x:v>
      </x:c>
      <x:c r="E253" s="36" t="str">
        <x:v>REV-014</x:v>
      </x:c>
      <x:c r="F253" s="36" t="str">
        <x:v>FP-1516</x:v>
      </x:c>
      <x:c r="G253" s="36" t="str">
        <x:v>FP-1520</x:v>
      </x:c>
      <x:c r="H253" s="36" t="n">
        <x:v>0</x:v>
      </x:c>
      <x:c r="I253" s="36" t="n">
        <x:v>0</x:v>
      </x:c>
      <x:c r="J253" s="36" t="n">
        <x:v>0</x:v>
      </x:c>
      <x:c r="K253" s="36" t="n">
        <x:v>5</x:v>
      </x:c>
      <x:c r="L253" s="36" t="n">
        <x:v>5</x:v>
      </x:c>
      <x:c r="M253" s="36" t="n">
        <x:v>5</x:v>
      </x:c>
      <x:c r="N253" s="36" t="str">
        <x:v>FREIGEGEBEN</x:v>
      </x:c>
      <x:c r="O253" s="36" t="n">
        <x:v>0</x:v>
      </x:c>
      <x:c r="P253" s="36" t="n">
        <x:v>0</x:v>
      </x:c>
      <x:c r="Q253" s="36" t="n">
        <x:v>0</x:v>
      </x:c>
      <x:c r="R253" s="36" t="n">
        <x:v>0</x:v>
      </x:c>
      <x:c r="S253" s="36" t="n">
        <x:v>0</x:v>
      </x:c>
      <x:c r="T253" s="36" t="n">
        <x:v>5</x:v>
      </x:c>
      <x:c r="U253" s="36" t="str">
        <x:v>Offenbarung 14: 5/5 Fragen geprüft, gegen L1912 + OTB freigegeben und importbereit.</x:v>
      </x:c>
    </x:row>
    <x:row r="254">
      <x:c r="A254" s="36" t="n">
        <x:v>253</x:v>
      </x:c>
      <x:c r="B254" s="36" t="str">
        <x:v>REV</x:v>
      </x:c>
      <x:c r="C254" s="36" t="str">
        <x:v>Offenbarung</x:v>
      </x:c>
      <x:c r="D254" s="36" t="n">
        <x:v>15</x:v>
      </x:c>
      <x:c r="E254" s="36" t="str">
        <x:v>REV-015</x:v>
      </x:c>
      <x:c r="F254" s="36" t="str">
        <x:v>FP-1521</x:v>
      </x:c>
      <x:c r="G254" s="36" t="str">
        <x:v>FP-1525</x:v>
      </x:c>
      <x:c r="H254" s="36" t="n">
        <x:v>0</x:v>
      </x:c>
      <x:c r="I254" s="36" t="n">
        <x:v>0</x:v>
      </x:c>
      <x:c r="J254" s="36" t="n">
        <x:v>0</x:v>
      </x:c>
      <x:c r="K254" s="36" t="n">
        <x:v>5</x:v>
      </x:c>
      <x:c r="L254" s="36" t="n">
        <x:v>5</x:v>
      </x:c>
      <x:c r="M254" s="36" t="n">
        <x:v>5</x:v>
      </x:c>
      <x:c r="N254" s="36" t="str">
        <x:v>FREIGEGEBEN</x:v>
      </x:c>
      <x:c r="O254" s="36" t="n">
        <x:v>0</x:v>
      </x:c>
      <x:c r="P254" s="36" t="n">
        <x:v>0</x:v>
      </x:c>
      <x:c r="Q254" s="36" t="n">
        <x:v>0</x:v>
      </x:c>
      <x:c r="R254" s="36" t="n">
        <x:v>0</x:v>
      </x:c>
      <x:c r="S254" s="36" t="n">
        <x:v>0</x:v>
      </x:c>
      <x:c r="T254" s="36" t="n">
        <x:v>5</x:v>
      </x:c>
      <x:c r="U254" s="36" t="str">
        <x:v>Offenbarung 15: 5/5 Fragen geprüft, gegen L1912 + OTB freigegeben und importbereit.</x:v>
      </x:c>
    </x:row>
    <x:row r="255">
      <x:c r="A255" s="36" t="n">
        <x:v>254</x:v>
      </x:c>
      <x:c r="B255" s="36" t="str">
        <x:v>REV</x:v>
      </x:c>
      <x:c r="C255" s="36" t="str">
        <x:v>Offenbarung</x:v>
      </x:c>
      <x:c r="D255" s="36" t="n">
        <x:v>16</x:v>
      </x:c>
      <x:c r="E255" s="36" t="str">
        <x:v>REV-016</x:v>
      </x:c>
      <x:c r="F255" s="36" t="str">
        <x:v>FP-1526</x:v>
      </x:c>
      <x:c r="G255" s="36" t="str">
        <x:v>FP-1530</x:v>
      </x:c>
      <x:c r="H255" s="36" t="n">
        <x:v>0</x:v>
      </x:c>
      <x:c r="I255" s="36" t="n">
        <x:v>0</x:v>
      </x:c>
      <x:c r="J255" s="36" t="n">
        <x:v>0</x:v>
      </x:c>
      <x:c r="K255" s="36" t="n">
        <x:v>5</x:v>
      </x:c>
      <x:c r="L255" s="36" t="n">
        <x:v>5</x:v>
      </x:c>
      <x:c r="M255" s="36" t="n">
        <x:v>5</x:v>
      </x:c>
      <x:c r="N255" s="36" t="str">
        <x:v>FREIGEGEBEN</x:v>
      </x:c>
      <x:c r="O255" s="36" t="n">
        <x:v>0</x:v>
      </x:c>
      <x:c r="P255" s="36" t="n">
        <x:v>0</x:v>
      </x:c>
      <x:c r="Q255" s="36" t="n">
        <x:v>0</x:v>
      </x:c>
      <x:c r="R255" s="36" t="n">
        <x:v>0</x:v>
      </x:c>
      <x:c r="S255" s="36" t="n">
        <x:v>0</x:v>
      </x:c>
      <x:c r="T255" s="36" t="n">
        <x:v>5</x:v>
      </x:c>
      <x:c r="U255" s="36" t="str">
        <x:v>Offenbarung 16: 5/5 Fragen geprüft, gegen L1912 + OTB freigegeben und importbereit.</x:v>
      </x:c>
    </x:row>
    <x:row r="256">
      <x:c r="A256" s="36" t="n">
        <x:v>255</x:v>
      </x:c>
      <x:c r="B256" s="36" t="str">
        <x:v>REV</x:v>
      </x:c>
      <x:c r="C256" s="36" t="str">
        <x:v>Offenbarung</x:v>
      </x:c>
      <x:c r="D256" s="36" t="n">
        <x:v>17</x:v>
      </x:c>
      <x:c r="E256" s="36" t="str">
        <x:v>REV-017</x:v>
      </x:c>
      <x:c r="F256" s="36" t="str">
        <x:v>FP-1531</x:v>
      </x:c>
      <x:c r="G256" s="36" t="str">
        <x:v>FP-1535</x:v>
      </x:c>
      <x:c r="H256" s="36" t="n">
        <x:v>0</x:v>
      </x:c>
      <x:c r="I256" s="36" t="n">
        <x:v>0</x:v>
      </x:c>
      <x:c r="J256" s="36" t="n">
        <x:v>0</x:v>
      </x:c>
      <x:c r="K256" s="36" t="n">
        <x:v>5</x:v>
      </x:c>
      <x:c r="L256" s="36" t="n">
        <x:v>5</x:v>
      </x:c>
      <x:c r="M256" s="36" t="n">
        <x:v>5</x:v>
      </x:c>
      <x:c r="N256" s="36" t="str">
        <x:v>FREIGEGEBEN</x:v>
      </x:c>
      <x:c r="O256" s="36" t="n">
        <x:v>0</x:v>
      </x:c>
      <x:c r="P256" s="36" t="n">
        <x:v>0</x:v>
      </x:c>
      <x:c r="Q256" s="36" t="n">
        <x:v>0</x:v>
      </x:c>
      <x:c r="R256" s="36" t="n">
        <x:v>0</x:v>
      </x:c>
      <x:c r="S256" s="36" t="n">
        <x:v>1</x:v>
      </x:c>
      <x:c r="T256" s="36" t="n">
        <x:v>4</x:v>
      </x:c>
      <x:c r="U256" s="36" t="str">
        <x:v>Offenbarung 17: 5/5 Fragen geprüft, gegen L1912 + OTB freigegeben und importbereit.</x:v>
      </x:c>
    </x:row>
    <x:row r="257">
      <x:c r="A257" s="36" t="n">
        <x:v>256</x:v>
      </x:c>
      <x:c r="B257" s="36" t="str">
        <x:v>REV</x:v>
      </x:c>
      <x:c r="C257" s="36" t="str">
        <x:v>Offenbarung</x:v>
      </x:c>
      <x:c r="D257" s="36" t="n">
        <x:v>18</x:v>
      </x:c>
      <x:c r="E257" s="36" t="str">
        <x:v>REV-018</x:v>
      </x:c>
      <x:c r="F257" s="36" t="str">
        <x:v>FP-1536</x:v>
      </x:c>
      <x:c r="G257" s="36" t="str">
        <x:v>FP-1540</x:v>
      </x:c>
      <x:c r="H257" s="36" t="n">
        <x:v>0</x:v>
      </x:c>
      <x:c r="I257" s="36" t="n">
        <x:v>0</x:v>
      </x:c>
      <x:c r="J257" s="36" t="n">
        <x:v>0</x:v>
      </x:c>
      <x:c r="K257" s="36" t="n">
        <x:v>5</x:v>
      </x:c>
      <x:c r="L257" s="36" t="n">
        <x:v>5</x:v>
      </x:c>
      <x:c r="M257" s="36" t="n">
        <x:v>5</x:v>
      </x:c>
      <x:c r="N257" s="36" t="str">
        <x:v>FREIGEGEBEN</x:v>
      </x:c>
      <x:c r="O257" s="36" t="n">
        <x:v>0</x:v>
      </x:c>
      <x:c r="P257" s="36" t="n">
        <x:v>0</x:v>
      </x:c>
      <x:c r="Q257" s="36" t="n">
        <x:v>0</x:v>
      </x:c>
      <x:c r="R257" s="36" t="n">
        <x:v>0</x:v>
      </x:c>
      <x:c r="S257" s="36" t="n">
        <x:v>0</x:v>
      </x:c>
      <x:c r="T257" s="36" t="n">
        <x:v>5</x:v>
      </x:c>
      <x:c r="U257" s="36" t="str">
        <x:v>Offenbarung 18: 5/5 Fragen geprüft, gegen L1912 + OTB freigegeben und importbereit.</x:v>
      </x:c>
    </x:row>
    <x:row r="258">
      <x:c r="A258" s="36" t="n">
        <x:v>257</x:v>
      </x:c>
      <x:c r="B258" s="36" t="str">
        <x:v>REV</x:v>
      </x:c>
      <x:c r="C258" s="36" t="str">
        <x:v>Offenbarung</x:v>
      </x:c>
      <x:c r="D258" s="36" t="n">
        <x:v>19</x:v>
      </x:c>
      <x:c r="E258" s="36" t="str">
        <x:v>REV-019</x:v>
      </x:c>
      <x:c r="F258" s="36" t="str">
        <x:v>FP-1541</x:v>
      </x:c>
      <x:c r="G258" s="36" t="str">
        <x:v>FP-1545</x:v>
      </x:c>
      <x:c r="H258" s="36" t="n">
        <x:v>0</x:v>
      </x:c>
      <x:c r="I258" s="36" t="n">
        <x:v>0</x:v>
      </x:c>
      <x:c r="J258" s="36" t="n">
        <x:v>0</x:v>
      </x:c>
      <x:c r="K258" s="36" t="n">
        <x:v>5</x:v>
      </x:c>
      <x:c r="L258" s="36" t="n">
        <x:v>5</x:v>
      </x:c>
      <x:c r="M258" s="36" t="n">
        <x:v>5</x:v>
      </x:c>
      <x:c r="N258" s="36" t="str">
        <x:v>FREIGEGEBEN</x:v>
      </x:c>
      <x:c r="O258" s="36" t="n">
        <x:v>0</x:v>
      </x:c>
      <x:c r="P258" s="36" t="n">
        <x:v>0</x:v>
      </x:c>
      <x:c r="Q258" s="36" t="n">
        <x:v>0</x:v>
      </x:c>
      <x:c r="R258" s="36" t="n">
        <x:v>0</x:v>
      </x:c>
      <x:c r="S258" s="36" t="n">
        <x:v>0</x:v>
      </x:c>
      <x:c r="T258" s="36" t="n">
        <x:v>5</x:v>
      </x:c>
      <x:c r="U258" s="36" t="str">
        <x:v>Offenbarung 19: 5/5 Fragen geprüft, gegen L1912 + OTB freigegeben und importbereit.</x:v>
      </x:c>
    </x:row>
    <x:row r="259">
      <x:c r="A259" s="36" t="n">
        <x:v>258</x:v>
      </x:c>
      <x:c r="B259" s="36" t="str">
        <x:v>REV</x:v>
      </x:c>
      <x:c r="C259" s="36" t="str">
        <x:v>Offenbarung</x:v>
      </x:c>
      <x:c r="D259" s="36" t="n">
        <x:v>20</x:v>
      </x:c>
      <x:c r="E259" s="36" t="str">
        <x:v>REV-020</x:v>
      </x:c>
      <x:c r="F259" s="36" t="str">
        <x:v>FP-1546</x:v>
      </x:c>
      <x:c r="G259" s="36" t="str">
        <x:v>FP-1550</x:v>
      </x:c>
      <x:c r="H259" s="36" t="n">
        <x:v>0</x:v>
      </x:c>
      <x:c r="I259" s="36" t="n">
        <x:v>0</x:v>
      </x:c>
      <x:c r="J259" s="36" t="n">
        <x:v>0</x:v>
      </x:c>
      <x:c r="K259" s="36" t="n">
        <x:v>5</x:v>
      </x:c>
      <x:c r="L259" s="36" t="n">
        <x:v>5</x:v>
      </x:c>
      <x:c r="M259" s="36" t="n">
        <x:v>5</x:v>
      </x:c>
      <x:c r="N259" s="36" t="str">
        <x:v>FREIGEGEBEN</x:v>
      </x:c>
      <x:c r="O259" s="36" t="n">
        <x:v>0</x:v>
      </x:c>
      <x:c r="P259" s="36" t="n">
        <x:v>0</x:v>
      </x:c>
      <x:c r="Q259" s="36" t="n">
        <x:v>0</x:v>
      </x:c>
      <x:c r="R259" s="36" t="n">
        <x:v>0</x:v>
      </x:c>
      <x:c r="S259" s="36" t="n">
        <x:v>0</x:v>
      </x:c>
      <x:c r="T259" s="36" t="n">
        <x:v>5</x:v>
      </x:c>
      <x:c r="U259" s="36" t="str">
        <x:v>Offenbarung 20: 5/5 Fragen geprüft, gegen L1912 + OTB freigegeben und importbereit.</x:v>
      </x:c>
    </x:row>
    <x:row r="260">
      <x:c r="A260" s="36" t="n">
        <x:v>259</x:v>
      </x:c>
      <x:c r="B260" s="36" t="str">
        <x:v>REV</x:v>
      </x:c>
      <x:c r="C260" s="36" t="str">
        <x:v>Offenbarung</x:v>
      </x:c>
      <x:c r="D260" s="36" t="n">
        <x:v>21</x:v>
      </x:c>
      <x:c r="E260" s="36" t="str">
        <x:v>REV-021</x:v>
      </x:c>
      <x:c r="F260" s="36" t="str">
        <x:v>FP-1551</x:v>
      </x:c>
      <x:c r="G260" s="36" t="str">
        <x:v>FP-1555</x:v>
      </x:c>
      <x:c r="H260" s="36" t="n">
        <x:v>0</x:v>
      </x:c>
      <x:c r="I260" s="36" t="n">
        <x:v>0</x:v>
      </x:c>
      <x:c r="J260" s="36" t="n">
        <x:v>0</x:v>
      </x:c>
      <x:c r="K260" s="36" t="n">
        <x:v>5</x:v>
      </x:c>
      <x:c r="L260" s="36" t="n">
        <x:v>5</x:v>
      </x:c>
      <x:c r="M260" s="36" t="n">
        <x:v>5</x:v>
      </x:c>
      <x:c r="N260" s="36" t="str">
        <x:v>FREIGEGEBEN</x:v>
      </x:c>
      <x:c r="O260" s="36" t="n">
        <x:v>0</x:v>
      </x:c>
      <x:c r="P260" s="36" t="n">
        <x:v>0</x:v>
      </x:c>
      <x:c r="Q260" s="36" t="n">
        <x:v>0</x:v>
      </x:c>
      <x:c r="R260" s="36" t="n">
        <x:v>0</x:v>
      </x:c>
      <x:c r="S260" s="36" t="n">
        <x:v>0</x:v>
      </x:c>
      <x:c r="T260" s="36" t="n">
        <x:v>5</x:v>
      </x:c>
      <x:c r="U260" s="36" t="str">
        <x:v>Offenbarung 21: 5/5 Fragen geprüft, gegen L1912 + OTB freigegeben und importbereit.</x:v>
      </x:c>
    </x:row>
    <x:row r="261">
      <x:c r="A261" s="36" t="n">
        <x:v>260</x:v>
      </x:c>
      <x:c r="B261" s="36" t="str">
        <x:v>REV</x:v>
      </x:c>
      <x:c r="C261" s="36" t="str">
        <x:v>Offenbarung</x:v>
      </x:c>
      <x:c r="D261" s="36" t="n">
        <x:v>22</x:v>
      </x:c>
      <x:c r="E261" s="36" t="str">
        <x:v>REV-022</x:v>
      </x:c>
      <x:c r="F261" s="36" t="str">
        <x:v>FP-1556</x:v>
      </x:c>
      <x:c r="G261" s="36" t="str">
        <x:v>FP-1560</x:v>
      </x:c>
      <x:c r="H261" s="36" t="n">
        <x:v>0</x:v>
      </x:c>
      <x:c r="I261" s="36" t="n">
        <x:v>0</x:v>
      </x:c>
      <x:c r="J261" s="36" t="n">
        <x:v>0</x:v>
      </x:c>
      <x:c r="K261" s="36" t="n">
        <x:v>5</x:v>
      </x:c>
      <x:c r="L261" s="36" t="n">
        <x:v>5</x:v>
      </x:c>
      <x:c r="M261" s="36" t="n">
        <x:v>5</x:v>
      </x:c>
      <x:c r="N261" s="36" t="str">
        <x:v>FREIGEGEBEN</x:v>
      </x:c>
      <x:c r="O261" s="36" t="n">
        <x:v>0</x:v>
      </x:c>
      <x:c r="P261" s="36" t="n">
        <x:v>0</x:v>
      </x:c>
      <x:c r="Q261" s="36" t="n">
        <x:v>0</x:v>
      </x:c>
      <x:c r="R261" s="36" t="n">
        <x:v>0</x:v>
      </x:c>
      <x:c r="S261" s="36" t="n">
        <x:v>0</x:v>
      </x:c>
      <x:c r="T261" s="36" t="n">
        <x:v>5</x:v>
      </x:c>
      <x:c r="U261" s="36" t="str">
        <x:v>Offenbarung 22: 5/5 Fragen geprüft, gegen L1912 + OTB freigegeben und importbereit.</x:v>
      </x:c>
    </x:row>
  </x:sheetData>
  <x:conditionalFormatting sqref="N2:N261">
    <x:cfRule type="expression" dxfId="2" priority="1">
      <x:formula>N2="FREIGEGEBEN"</x:formula>
    </x:cfRule>
    <x:cfRule type="expression" dxfId="3" priority="2">
      <x:formula>N2="NOCH_NICHT_GEPRÜFT"</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0" hidden="0" customWidth="1"/>
    <x:col min="3" max="3" width="19" hidden="0" customWidth="1"/>
    <x:col min="4" max="4" width="9" hidden="0" customWidth="1"/>
    <x:col min="5" max="5" width="13" hidden="0" customWidth="1"/>
    <x:col min="6" max="6" width="42" hidden="0" customWidth="1"/>
    <x:col min="7" max="7" width="30" hidden="0" customWidth="1"/>
    <x:col min="8" max="8" width="30" hidden="0" customWidth="1"/>
    <x:col min="9" max="9" width="30" hidden="0" customWidth="1"/>
    <x:col min="10" max="10" width="30" hidden="0" customWidth="1"/>
    <x:col min="11" max="11" width="12" hidden="0" customWidth="1"/>
    <x:col min="12" max="12" width="32" hidden="0" customWidth="1"/>
    <x:col min="13" max="13" width="20" hidden="0" customWidth="1"/>
    <x:col min="14" max="14" width="42" hidden="0" customWidth="1"/>
    <x:col min="15" max="15" width="15" hidden="0" customWidth="1"/>
    <x:col min="16" max="16" width="16" hidden="0" customWidth="1"/>
    <x:col min="17" max="17" width="14" hidden="0" customWidth="1"/>
  </x:cols>
  <x:sheetData>
    <x:row r="1">
      <x:c r="A1" s="33" t="str">
        <x:v>FP_ID</x:v>
      </x:c>
      <x:c r="B1" s="33" t="str">
        <x:v>book_key</x:v>
      </x:c>
      <x:c r="C1" s="33" t="str">
        <x:v>book_name</x:v>
      </x:c>
      <x:c r="D1" s="33" t="str">
        <x:v>chapter</x:v>
      </x:c>
      <x:c r="E1" s="33" t="str">
        <x:v>question_order</x:v>
      </x:c>
      <x:c r="F1" s="33" t="str">
        <x:v>question</x:v>
      </x:c>
      <x:c r="G1" s="33" t="str">
        <x:v>option_0</x:v>
      </x:c>
      <x:c r="H1" s="33" t="str">
        <x:v>option_1</x:v>
      </x:c>
      <x:c r="I1" s="33" t="str">
        <x:v>option_2</x:v>
      </x:c>
      <x:c r="J1" s="33" t="str">
        <x:v>option_3</x:v>
      </x:c>
      <x:c r="K1" s="33" t="str">
        <x:v>correct_index</x:v>
      </x:c>
      <x:c r="L1" s="33" t="str">
        <x:v>correct_answer</x:v>
      </x:c>
      <x:c r="M1" s="33" t="str">
        <x:v>reference</x:v>
      </x:c>
      <x:c r="N1" s="33" t="str">
        <x:v>explanation</x:v>
      </x:c>
      <x:c r="O1" s="33" t="str">
        <x:v>qa_status</x:v>
      </x:c>
      <x:c r="P1" s="33" t="str">
        <x:v>approval</x:v>
      </x:c>
      <x:c r="Q1" s="33" t="str">
        <x:v>import_ready</x:v>
      </x:c>
    </x:row>
    <x:row r="2">
      <x:c r="A2" s="36" t="str">
        <x:v>FP-0261</x:v>
      </x:c>
      <x:c r="B2" s="36" t="str">
        <x:v>MAT</x:v>
      </x:c>
      <x:c r="C2" s="36" t="str">
        <x:v>Matthäus</x:v>
      </x:c>
      <x:c r="D2" s="36" t="n">
        <x:v>1</x:v>
      </x:c>
      <x:c r="E2" s="36" t="n">
        <x:v>1</x:v>
      </x:c>
      <x:c r="F2" s="36" t="str">
        <x:v>Wie fasst Matthäus den Stammbaum Jesu in Vers 17 zusammen?</x:v>
      </x:c>
      <x:c r="G2" s="36" t="str">
        <x:v>In drei Abschnitten mit jeweils vierzehn Generationen.</x:v>
      </x:c>
      <x:c r="H2" s="36" t="str">
        <x:v>In zwei Abschnitten mit jeweils zwölf Generationen.</x:v>
      </x:c>
      <x:c r="I2" s="36" t="str">
        <x:v>In vier Abschnitten mit jeweils sieben Generationen.</x:v>
      </x:c>
      <x:c r="J2" s="36" t="str">
        <x:v>Als eine durchgehende Liste mit vierzig Generationen.</x:v>
      </x:c>
      <x:c r="K2" s="36" t="n">
        <x:v>0</x:v>
      </x:c>
      <x:c r="L2" s="36" t="str">
        <x:v>In drei Abschnitten mit jeweils vierzehn Generationen.</x:v>
      </x:c>
      <x:c r="M2" s="36" t="str">
        <x:v>Matthäus 1,17</x:v>
      </x:c>
      <x:c r="N2" s="36" t="str">
        <x:v>Matthäus gliedert die Abstammung Jesu in drei Abschnitte: von Abraham bis David, von David bis zur Wegführung nach Babylon und von dort bis Christus – jeweils vierzehn Generationen.</x:v>
      </x:c>
      <x:c r="O2" s="36" t="str">
        <x:v>FREIGEGEBEN</x:v>
      </x:c>
      <x:c r="P2" s="36" t="str">
        <x:v>FREIGEGEBEN</x:v>
      </x:c>
      <x:c r="Q2" s="36" t="str">
        <x:v>JA</x:v>
      </x:c>
    </x:row>
    <x:row r="3">
      <x:c r="A3" s="36" t="str">
        <x:v>FP-0262</x:v>
      </x:c>
      <x:c r="B3" s="36" t="str">
        <x:v>MAT</x:v>
      </x:c>
      <x:c r="C3" s="36" t="str">
        <x:v>Matthäus</x:v>
      </x:c>
      <x:c r="D3" s="36" t="n">
        <x:v>1</x:v>
      </x:c>
      <x:c r="E3" s="36" t="n">
        <x:v>2</x:v>
      </x:c>
      <x:c r="F3" s="36" t="str">
        <x:v>Warum wollte Josef Maria zunächst heimlich entlassen?</x:v>
      </x:c>
      <x:c r="G3" s="36" t="str">
        <x:v>Weil ein Engel ihm befohlen hatte, sie zu verlassen.</x:v>
      </x:c>
      <x:c r="H3" s="36" t="str">
        <x:v>Weil er sie nicht öffentlich beschämen wollte.</x:v>
      </x:c>
      <x:c r="I3" s="36" t="str">
        <x:v>Weil Maria nach Bethlehem ziehen wollte.</x:v>
      </x:c>
      <x:c r="J3" s="36" t="str">
        <x:v>Weil Herodes bereits nach dem Kind suchte.</x:v>
      </x:c>
      <x:c r="K3" s="36" t="n">
        <x:v>1</x:v>
      </x:c>
      <x:c r="L3" s="36" t="str">
        <x:v>Weil er sie nicht öffentlich beschämen wollte.</x:v>
      </x:c>
      <x:c r="M3" s="36" t="str">
        <x:v>Matthäus 1,19</x:v>
      </x:c>
      <x:c r="N3" s="36" t="str">
        <x:v>Josef wird als gerecht beschrieben und wollte Maria nicht der öffentlichen Schande aussetzen. Deshalb dachte er daran, sich heimlich von ihr zu trennen.</x:v>
      </x:c>
      <x:c r="O3" s="36" t="str">
        <x:v>FREIGEGEBEN</x:v>
      </x:c>
      <x:c r="P3" s="36" t="str">
        <x:v>FREIGEGEBEN</x:v>
      </x:c>
      <x:c r="Q3" s="36" t="str">
        <x:v>JA</x:v>
      </x:c>
    </x:row>
    <x:row r="4">
      <x:c r="A4" s="36" t="str">
        <x:v>FP-0263</x:v>
      </x:c>
      <x:c r="B4" s="36" t="str">
        <x:v>MAT</x:v>
      </x:c>
      <x:c r="C4" s="36" t="str">
        <x:v>Matthäus</x:v>
      </x:c>
      <x:c r="D4" s="36" t="n">
        <x:v>1</x:v>
      </x:c>
      <x:c r="E4" s="36" t="n">
        <x:v>3</x:v>
      </x:c>
      <x:c r="F4" s="36" t="str">
        <x:v>Was erklärte der Engel Josef über Marias Schwangerschaft?</x:v>
      </x:c>
      <x:c r="G4" s="36" t="str">
        <x:v>Maria erwartet Zwillinge.</x:v>
      </x:c>
      <x:c r="H4" s="36" t="str">
        <x:v>Das Kind muss in Nazareth geboren werden.</x:v>
      </x:c>
      <x:c r="I4" s="36" t="str">
        <x:v>Das Kind ist vom Heiligen Geist.</x:v>
      </x:c>
      <x:c r="J4" s="36" t="str">
        <x:v>Josef soll Maria sofort nach Ägypten bringen.</x:v>
      </x:c>
      <x:c r="K4" s="36" t="n">
        <x:v>2</x:v>
      </x:c>
      <x:c r="L4" s="36" t="str">
        <x:v>Das Kind ist vom Heiligen Geist.</x:v>
      </x:c>
      <x:c r="M4" s="36" t="str">
        <x:v>Matthäus 1,20</x:v>
      </x:c>
      <x:c r="N4" s="36" t="str">
        <x:v>Der Engel erklärt Josef, dass das Kind, das Maria erwartet, vom Heiligen Geist ist. Das beantwortet Josefs vorherige Sorge.</x:v>
      </x:c>
      <x:c r="O4" s="36" t="str">
        <x:v>FREIGEGEBEN</x:v>
      </x:c>
      <x:c r="P4" s="36" t="str">
        <x:v>FREIGEGEBEN</x:v>
      </x:c>
      <x:c r="Q4" s="36" t="str">
        <x:v>JA</x:v>
      </x:c>
    </x:row>
    <x:row r="5">
      <x:c r="A5" s="36" t="str">
        <x:v>FP-0264</x:v>
      </x:c>
      <x:c r="B5" s="36" t="str">
        <x:v>MAT</x:v>
      </x:c>
      <x:c r="C5" s="36" t="str">
        <x:v>Matthäus</x:v>
      </x:c>
      <x:c r="D5" s="36" t="n">
        <x:v>1</x:v>
      </x:c>
      <x:c r="E5" s="36" t="n">
        <x:v>4</x:v>
      </x:c>
      <x:c r="F5" s="36" t="str">
        <x:v>Warum sollte das Kind den Namen Jesus bekommen?</x:v>
      </x:c>
      <x:c r="G5" s="36" t="str">
        <x:v>Weil er König über Rom werden sollte.</x:v>
      </x:c>
      <x:c r="H5" s="36" t="str">
        <x:v>Weil der Name in Josefs Familie üblich war.</x:v>
      </x:c>
      <x:c r="I5" s="36" t="str">
        <x:v>Weil die Weisen diesen Namen vorgeschlagen hatten.</x:v>
      </x:c>
      <x:c r="J5" s="36" t="str">
        <x:v>Weil er sein Volk von ihren Sünden retten würde.</x:v>
      </x:c>
      <x:c r="K5" s="36" t="n">
        <x:v>3</x:v>
      </x:c>
      <x:c r="L5" s="36" t="str">
        <x:v>Weil er sein Volk von ihren Sünden retten würde.</x:v>
      </x:c>
      <x:c r="M5" s="36" t="str">
        <x:v>Matthäus 1,21</x:v>
      </x:c>
      <x:c r="N5" s="36" t="str">
        <x:v>Der Engel verbindet den Namen Jesus unmittelbar mit seiner Aufgabe: Er wird sein Volk von ihren Sünden retten.</x:v>
      </x:c>
      <x:c r="O5" s="36" t="str">
        <x:v>FREIGEGEBEN</x:v>
      </x:c>
      <x:c r="P5" s="36" t="str">
        <x:v>FREIGEGEBEN</x:v>
      </x:c>
      <x:c r="Q5" s="36" t="str">
        <x:v>JA</x:v>
      </x:c>
    </x:row>
    <x:row r="6">
      <x:c r="A6" s="36" t="str">
        <x:v>FP-0265</x:v>
      </x:c>
      <x:c r="B6" s="36" t="str">
        <x:v>MAT</x:v>
      </x:c>
      <x:c r="C6" s="36" t="str">
        <x:v>Matthäus</x:v>
      </x:c>
      <x:c r="D6" s="36" t="n">
        <x:v>1</x:v>
      </x:c>
      <x:c r="E6" s="36" t="n">
        <x:v>5</x:v>
      </x:c>
      <x:c r="F6" s="36" t="str">
        <x:v>Was bedeutet der Name Immanuel laut Matthäus 1?</x:v>
      </x:c>
      <x:c r="G6" s="36" t="str">
        <x:v>Gott mit uns.</x:v>
      </x:c>
      <x:c r="H6" s="36" t="str">
        <x:v>Gott ist König.</x:v>
      </x:c>
      <x:c r="I6" s="36" t="str">
        <x:v>Der Herr rettet.</x:v>
      </x:c>
      <x:c r="J6" s="36" t="str">
        <x:v>Friede auf Erden.</x:v>
      </x:c>
      <x:c r="K6" s="36" t="n">
        <x:v>0</x:v>
      </x:c>
      <x:c r="L6" s="36" t="str">
        <x:v>Gott mit uns.</x:v>
      </x:c>
      <x:c r="M6" s="36" t="str">
        <x:v>Matthäus 1,23</x:v>
      </x:c>
      <x:c r="N6" s="36" t="str">
        <x:v>Matthäus erklärt den Namen Immanuel ausdrücklich mit „Gott mit uns“.</x:v>
      </x:c>
      <x:c r="O6" s="36" t="str">
        <x:v>FREIGEGEBEN</x:v>
      </x:c>
      <x:c r="P6" s="36" t="str">
        <x:v>FREIGEGEBEN</x:v>
      </x:c>
      <x:c r="Q6" s="36" t="str">
        <x:v>JA</x:v>
      </x:c>
    </x:row>
    <x:row r="7">
      <x:c r="A7" s="36" t="str">
        <x:v>FP-0266</x:v>
      </x:c>
      <x:c r="B7" s="36" t="str">
        <x:v>MAT</x:v>
      </x:c>
      <x:c r="C7" s="36" t="str">
        <x:v>Matthäus</x:v>
      </x:c>
      <x:c r="D7" s="36" t="n">
        <x:v>2</x:v>
      </x:c>
      <x:c r="E7" s="36" t="n">
        <x:v>1</x:v>
      </x:c>
      <x:c r="F7" s="36" t="str">
        <x:v>Wo sollte der Christus nach der Auskunft der Hohenpriester und Schriftgelehrten geboren werden?</x:v>
      </x:c>
      <x:c r="G7" s="36" t="str">
        <x:v>In Nazareth in Galiläa.</x:v>
      </x:c>
      <x:c r="H7" s="36" t="str">
        <x:v>In Bethlehem in Judäa.</x:v>
      </x:c>
      <x:c r="I7" s="36" t="str">
        <x:v>In Jerusalem.</x:v>
      </x:c>
      <x:c r="J7" s="36" t="str">
        <x:v>In Ägypten.</x:v>
      </x:c>
      <x:c r="K7" s="36" t="n">
        <x:v>1</x:v>
      </x:c>
      <x:c r="L7" s="36" t="str">
        <x:v>In Bethlehem in Judäa.</x:v>
      </x:c>
      <x:c r="M7" s="36" t="str">
        <x:v>Matthäus 2,4–6</x:v>
      </x:c>
      <x:c r="N7" s="36" t="str">
        <x:v>Die Hohenpriester und Schriftgelehrten nennen Bethlehem in Judäa und begründen dies mit dem Prophetenwort.</x:v>
      </x:c>
      <x:c r="O7" s="36" t="str">
        <x:v>FREIGEGEBEN</x:v>
      </x:c>
      <x:c r="P7" s="36" t="str">
        <x:v>FREIGEGEBEN</x:v>
      </x:c>
      <x:c r="Q7" s="36" t="str">
        <x:v>JA</x:v>
      </x:c>
    </x:row>
    <x:row r="8">
      <x:c r="A8" s="36" t="str">
        <x:v>FP-0267</x:v>
      </x:c>
      <x:c r="B8" s="36" t="str">
        <x:v>MAT</x:v>
      </x:c>
      <x:c r="C8" s="36" t="str">
        <x:v>Matthäus</x:v>
      </x:c>
      <x:c r="D8" s="36" t="n">
        <x:v>2</x:v>
      </x:c>
      <x:c r="E8" s="36" t="n">
        <x:v>2</x:v>
      </x:c>
      <x:c r="F8" s="36" t="str">
        <x:v>Welche Gaben brachten die Weisen dem Kind?</x:v>
      </x:c>
      <x:c r="G8" s="36" t="str">
        <x:v>Silber, Öl und Wein.</x:v>
      </x:c>
      <x:c r="H8" s="36" t="str">
        <x:v>Brot, Salz und Weihrauch.</x:v>
      </x:c>
      <x:c r="I8" s="36" t="str">
        <x:v>Gold, Weihrauch und Myrrhe.</x:v>
      </x:c>
      <x:c r="J8" s="36" t="str">
        <x:v>Gold, Edelsteine und Öl.</x:v>
      </x:c>
      <x:c r="K8" s="36" t="n">
        <x:v>2</x:v>
      </x:c>
      <x:c r="L8" s="36" t="str">
        <x:v>Gold, Weihrauch und Myrrhe.</x:v>
      </x:c>
      <x:c r="M8" s="36" t="str">
        <x:v>Matthäus 2,11</x:v>
      </x:c>
      <x:c r="N8" s="36" t="str">
        <x:v>Die Weisen öffnen ihre Schätze und bringen Gold, Weihrauch und Myrrhe.</x:v>
      </x:c>
      <x:c r="O8" s="36" t="str">
        <x:v>FREIGEGEBEN</x:v>
      </x:c>
      <x:c r="P8" s="36" t="str">
        <x:v>FREIGEGEBEN</x:v>
      </x:c>
      <x:c r="Q8" s="36" t="str">
        <x:v>JA</x:v>
      </x:c>
    </x:row>
    <x:row r="9">
      <x:c r="A9" s="36" t="str">
        <x:v>FP-0268</x:v>
      </x:c>
      <x:c r="B9" s="36" t="str">
        <x:v>MAT</x:v>
      </x:c>
      <x:c r="C9" s="36" t="str">
        <x:v>Matthäus</x:v>
      </x:c>
      <x:c r="D9" s="36" t="n">
        <x:v>2</x:v>
      </x:c>
      <x:c r="E9" s="36" t="n">
        <x:v>3</x:v>
      </x:c>
      <x:c r="F9" s="36" t="str">
        <x:v>Warum kehrten die Weisen nicht zu Herodes zurück?</x:v>
      </x:c>
      <x:c r="G9" s="36" t="str">
        <x:v>Sie hatten den Stern verloren.</x:v>
      </x:c>
      <x:c r="H9" s="36" t="str">
        <x:v>Josef bat sie, Jerusalem zu meiden.</x:v>
      </x:c>
      <x:c r="I9" s="36" t="str">
        <x:v>Herodes war bereits gestorben.</x:v>
      </x:c>
      <x:c r="J9" s="36" t="str">
        <x:v>Sie wurden im Traum gewarnt, nicht zu ihm zurückzukehren.</x:v>
      </x:c>
      <x:c r="K9" s="36" t="n">
        <x:v>3</x:v>
      </x:c>
      <x:c r="L9" s="36" t="str">
        <x:v>Sie wurden im Traum gewarnt, nicht zu ihm zurückzukehren.</x:v>
      </x:c>
      <x:c r="M9" s="36" t="str">
        <x:v>Matthäus 2,12</x:v>
      </x:c>
      <x:c r="N9" s="36" t="str">
        <x:v>Nach einer Warnung im Traum ziehen die Weisen auf einem anderen Weg in ihr Land zurück.</x:v>
      </x:c>
      <x:c r="O9" s="36" t="str">
        <x:v>FREIGEGEBEN</x:v>
      </x:c>
      <x:c r="P9" s="36" t="str">
        <x:v>FREIGEGEBEN</x:v>
      </x:c>
      <x:c r="Q9" s="36" t="str">
        <x:v>JA</x:v>
      </x:c>
    </x:row>
    <x:row r="10">
      <x:c r="A10" s="36" t="str">
        <x:v>FP-0269</x:v>
      </x:c>
      <x:c r="B10" s="36" t="str">
        <x:v>MAT</x:v>
      </x:c>
      <x:c r="C10" s="36" t="str">
        <x:v>Matthäus</x:v>
      </x:c>
      <x:c r="D10" s="36" t="n">
        <x:v>2</x:v>
      </x:c>
      <x:c r="E10" s="36" t="n">
        <x:v>4</x:v>
      </x:c>
      <x:c r="F10" s="36" t="str">
        <x:v>Warum floh Josef mit Maria und dem Kind nach Ägypten?</x:v>
      </x:c>
      <x:c r="G10" s="36" t="str">
        <x:v>Weil Herodes das Kind suchte, um es zu töten.</x:v>
      </x:c>
      <x:c r="H10" s="36" t="str">
        <x:v>Weil in Bethlehem eine Hungersnot ausbrach.</x:v>
      </x:c>
      <x:c r="I10" s="36" t="str">
        <x:v>Weil die Weisen sie dorthin schickten.</x:v>
      </x:c>
      <x:c r="J10" s="36" t="str">
        <x:v>Weil Josef dort Verwandte besuchen wollte.</x:v>
      </x:c>
      <x:c r="K10" s="36" t="n">
        <x:v>0</x:v>
      </x:c>
      <x:c r="L10" s="36" t="str">
        <x:v>Weil Herodes das Kind suchte, um es zu töten.</x:v>
      </x:c>
      <x:c r="M10" s="36" t="str">
        <x:v>Matthäus 2,13–14</x:v>
      </x:c>
      <x:c r="N10" s="36" t="str">
        <x:v>Ein Engel warnt Josef, dass Herodes dem Kind nach dem Leben trachtet. Daraufhin flieht die Familie nach Ägypten.</x:v>
      </x:c>
      <x:c r="O10" s="36" t="str">
        <x:v>FREIGEGEBEN</x:v>
      </x:c>
      <x:c r="P10" s="36" t="str">
        <x:v>FREIGEGEBEN</x:v>
      </x:c>
      <x:c r="Q10" s="36" t="str">
        <x:v>JA</x:v>
      </x:c>
    </x:row>
    <x:row r="11">
      <x:c r="A11" s="36" t="str">
        <x:v>FP-0270</x:v>
      </x:c>
      <x:c r="B11" s="36" t="str">
        <x:v>MAT</x:v>
      </x:c>
      <x:c r="C11" s="36" t="str">
        <x:v>Matthäus</x:v>
      </x:c>
      <x:c r="D11" s="36" t="n">
        <x:v>2</x:v>
      </x:c>
      <x:c r="E11" s="36" t="n">
        <x:v>5</x:v>
      </x:c>
      <x:c r="F11" s="36" t="str">
        <x:v>Warum zog Josef nach seiner Rückkehr nicht nach Judäa, sondern nach Galiläa?</x:v>
      </x:c>
      <x:c r="G11" s="36" t="str">
        <x:v>Weil Bethlehem zerstört worden war.</x:v>
      </x:c>
      <x:c r="H11" s="36" t="str">
        <x:v>Weil Archelaus in Judäa herrschte und Josef zusätzlich im Traum gewarnt wurde.</x:v>
      </x:c>
      <x:c r="I11" s="36" t="str">
        <x:v>Weil die Weisen in Galiläa auf ihn warteten.</x:v>
      </x:c>
      <x:c r="J11" s="36" t="str">
        <x:v>Weil der Tempel in Jerusalem geschlossen war.</x:v>
      </x:c>
      <x:c r="K11" s="36" t="n">
        <x:v>1</x:v>
      </x:c>
      <x:c r="L11" s="36" t="str">
        <x:v>Weil Archelaus in Judäa herrschte und Josef zusätzlich im Traum gewarnt wurde.</x:v>
      </x:c>
      <x:c r="M11" s="36" t="str">
        <x:v>Matthäus 2,22–23</x:v>
      </x:c>
      <x:c r="N11" s="36" t="str">
        <x:v>Josef fürchtet sich wegen Archelaus und erhält im Traum eine Warnung. Deshalb zieht er nach Galiläa und wohnt in Nazareth.</x:v>
      </x:c>
      <x:c r="O11" s="36" t="str">
        <x:v>FREIGEGEBEN</x:v>
      </x:c>
      <x:c r="P11" s="36" t="str">
        <x:v>FREIGEGEBEN</x:v>
      </x:c>
      <x:c r="Q11" s="36" t="str">
        <x:v>JA</x:v>
      </x:c>
    </x:row>
    <x:row r="12">
      <x:c r="A12" s="36" t="str">
        <x:v>FP-0271</x:v>
      </x:c>
      <x:c r="B12" s="36" t="str">
        <x:v>MAT</x:v>
      </x:c>
      <x:c r="C12" s="36" t="str">
        <x:v>Matthäus</x:v>
      </x:c>
      <x:c r="D12" s="36" t="n">
        <x:v>3</x:v>
      </x:c>
      <x:c r="E12" s="36" t="n">
        <x:v>1</x:v>
      </x:c>
      <x:c r="F12" s="36" t="str">
        <x:v>Was war die zentrale Botschaft Johannes des Täufers zu Beginn seines Auftretens?</x:v>
      </x:c>
      <x:c r="G12" s="36" t="str">
        <x:v>Zieht nach Jerusalem und wartet dort.</x:v>
      </x:c>
      <x:c r="H12" s="36" t="str">
        <x:v>Verlasst Judäa und geht nach Galiläa.</x:v>
      </x:c>
      <x:c r="I12" s="36" t="str">
        <x:v>Kehrt um, denn das Himmelreich ist nahe.</x:v>
      </x:c>
      <x:c r="J12" s="36" t="str">
        <x:v>Baut den Tempel neu auf.</x:v>
      </x:c>
      <x:c r="K12" s="36" t="n">
        <x:v>2</x:v>
      </x:c>
      <x:c r="L12" s="36" t="str">
        <x:v>Kehrt um, denn das Himmelreich ist nahe.</x:v>
      </x:c>
      <x:c r="M12" s="36" t="str">
        <x:v>Matthäus 3,1–2</x:v>
      </x:c>
      <x:c r="N12" s="36" t="str">
        <x:v>Johannes beginnt seine Verkündigung mit dem Ruf zur Umkehr, weil das Himmelreich nahe ist.</x:v>
      </x:c>
      <x:c r="O12" s="36" t="str">
        <x:v>FREIGEGEBEN</x:v>
      </x:c>
      <x:c r="P12" s="36" t="str">
        <x:v>FREIGEGEBEN</x:v>
      </x:c>
      <x:c r="Q12" s="36" t="str">
        <x:v>JA</x:v>
      </x:c>
    </x:row>
    <x:row r="13">
      <x:c r="A13" s="36" t="str">
        <x:v>FP-0272</x:v>
      </x:c>
      <x:c r="B13" s="36" t="str">
        <x:v>MAT</x:v>
      </x:c>
      <x:c r="C13" s="36" t="str">
        <x:v>Matthäus</x:v>
      </x:c>
      <x:c r="D13" s="36" t="n">
        <x:v>3</x:v>
      </x:c>
      <x:c r="E13" s="36" t="n">
        <x:v>2</x:v>
      </x:c>
      <x:c r="F13" s="36" t="str">
        <x:v>Was taten die Menschen bei ihrer Taufe im Jordan?</x:v>
      </x:c>
      <x:c r="G13" s="36" t="str">
        <x:v>Sie brachten ein Tieropfer dar.</x:v>
      </x:c>
      <x:c r="H13" s="36" t="str">
        <x:v>Sie legten ein Schweigegelübde ab.</x:v>
      </x:c>
      <x:c r="I13" s="36" t="str">
        <x:v>Sie wurden zu Priestern eingesetzt.</x:v>
      </x:c>
      <x:c r="J13" s="36" t="str">
        <x:v>Sie bekannten ihre Sünden.</x:v>
      </x:c>
      <x:c r="K13" s="36" t="n">
        <x:v>3</x:v>
      </x:c>
      <x:c r="L13" s="36" t="str">
        <x:v>Sie bekannten ihre Sünden.</x:v>
      </x:c>
      <x:c r="M13" s="36" t="str">
        <x:v>Matthäus 3,5–6</x:v>
      </x:c>
      <x:c r="N13" s="36" t="str">
        <x:v>Die Menschen ließen sich von Johannes im Jordan taufen und bekannten dabei ihre Sünden.</x:v>
      </x:c>
      <x:c r="O13" s="36" t="str">
        <x:v>FREIGEGEBEN</x:v>
      </x:c>
      <x:c r="P13" s="36" t="str">
        <x:v>FREIGEGEBEN</x:v>
      </x:c>
      <x:c r="Q13" s="36" t="str">
        <x:v>JA</x:v>
      </x:c>
    </x:row>
    <x:row r="14">
      <x:c r="A14" s="36" t="str">
        <x:v>FP-0273</x:v>
      </x:c>
      <x:c r="B14" s="36" t="str">
        <x:v>MAT</x:v>
      </x:c>
      <x:c r="C14" s="36" t="str">
        <x:v>Matthäus</x:v>
      </x:c>
      <x:c r="D14" s="36" t="n">
        <x:v>3</x:v>
      </x:c>
      <x:c r="E14" s="36" t="n">
        <x:v>3</x:v>
      </x:c>
      <x:c r="F14" s="36" t="str">
        <x:v>Was verlangte Johannes von den Menschen als Zeichen echter Umkehr?</x:v>
      </x:c>
      <x:c r="G14" s="36" t="str">
        <x:v>Frucht, die der Umkehr entspricht.</x:v>
      </x:c>
      <x:c r="H14" s="36" t="str">
        <x:v>Eine Reise nach Jerusalem.</x:v>
      </x:c>
      <x:c r="I14" s="36" t="str">
        <x:v>Den Verzicht auf jede Arbeit.</x:v>
      </x:c>
      <x:c r="J14" s="36" t="str">
        <x:v>Den Bau eines Altars am Jordan.</x:v>
      </x:c>
      <x:c r="K14" s="36" t="n">
        <x:v>0</x:v>
      </x:c>
      <x:c r="L14" s="36" t="str">
        <x:v>Frucht, die der Umkehr entspricht.</x:v>
      </x:c>
      <x:c r="M14" s="36" t="str">
        <x:v>Matthäus 3,7–10</x:v>
      </x:c>
      <x:c r="N14" s="36" t="str">
        <x:v>Johannes warnt vor bloßem Vertrauen auf Abstammung und fordert Frucht, die zur Umkehr passt.</x:v>
      </x:c>
      <x:c r="O14" s="36" t="str">
        <x:v>FREIGEGEBEN</x:v>
      </x:c>
      <x:c r="P14" s="36" t="str">
        <x:v>FREIGEGEBEN</x:v>
      </x:c>
      <x:c r="Q14" s="36" t="str">
        <x:v>JA</x:v>
      </x:c>
    </x:row>
    <x:row r="15">
      <x:c r="A15" s="36" t="str">
        <x:v>FP-0274</x:v>
      </x:c>
      <x:c r="B15" s="36" t="str">
        <x:v>MAT</x:v>
      </x:c>
      <x:c r="C15" s="36" t="str">
        <x:v>Matthäus</x:v>
      </x:c>
      <x:c r="D15" s="36" t="n">
        <x:v>3</x:v>
      </x:c>
      <x:c r="E15" s="36" t="n">
        <x:v>4</x:v>
      </x:c>
      <x:c r="F15" s="36" t="str">
        <x:v>Wie beschreibt Johannes den Unterschied zwischen seiner Taufe und der des Kommenden?</x:v>
      </x:c>
      <x:c r="G15" s="36" t="str">
        <x:v>Johannes tauft im Jordan; der Kommende nur im Tempel.</x:v>
      </x:c>
      <x:c r="H15" s="36" t="str">
        <x:v>Johannes tauft mit Wasser; der Kommende wird mit Heiligem Geist und Feuer taufen.</x:v>
      </x:c>
      <x:c r="I15" s="36" t="str">
        <x:v>Johannes tauft Erwachsene; der Kommende nur Kinder.</x:v>
      </x:c>
      <x:c r="J15" s="36" t="str">
        <x:v>Johannes tauft einmal; der Kommende dreimal.</x:v>
      </x:c>
      <x:c r="K15" s="36" t="n">
        <x:v>1</x:v>
      </x:c>
      <x:c r="L15" s="36" t="str">
        <x:v>Johannes tauft mit Wasser; der Kommende wird mit Heiligem Geist und Feuer taufen.</x:v>
      </x:c>
      <x:c r="M15" s="36" t="str">
        <x:v>Matthäus 3,11</x:v>
      </x:c>
      <x:c r="N15" s="36" t="str">
        <x:v>Johannes stellt seine Wassertaufe der Taufe des Stärkeren mit Heiligem Geist und Feuer gegenüber.</x:v>
      </x:c>
      <x:c r="O15" s="36" t="str">
        <x:v>FREIGEGEBEN</x:v>
      </x:c>
      <x:c r="P15" s="36" t="str">
        <x:v>FREIGEGEBEN</x:v>
      </x:c>
      <x:c r="Q15" s="36" t="str">
        <x:v>JA</x:v>
      </x:c>
    </x:row>
    <x:row r="16">
      <x:c r="A16" s="36" t="str">
        <x:v>FP-0275</x:v>
      </x:c>
      <x:c r="B16" s="36" t="str">
        <x:v>MAT</x:v>
      </x:c>
      <x:c r="C16" s="36" t="str">
        <x:v>Matthäus</x:v>
      </x:c>
      <x:c r="D16" s="36" t="n">
        <x:v>3</x:v>
      </x:c>
      <x:c r="E16" s="36" t="n">
        <x:v>5</x:v>
      </x:c>
      <x:c r="F16" s="36" t="str">
        <x:v>Was sagt die Stimme aus dem Himmel nach der Taufe Jesu über ihn?</x:v>
      </x:c>
      <x:c r="G16" s="36" t="str">
        <x:v>Er soll sofort nach Jerusalem gehen.</x:v>
      </x:c>
      <x:c r="H16" s="36" t="str">
        <x:v>Er ist der größte unter den Propheten.</x:v>
      </x:c>
      <x:c r="I16" s="36" t="str">
        <x:v>Er ist Gottes geliebter Sohn, an dem Gott Wohlgefallen hat.</x:v>
      </x:c>
      <x:c r="J16" s="36" t="str">
        <x:v>Er soll Johannes als Täufer ablösen.</x:v>
      </x:c>
      <x:c r="K16" s="36" t="n">
        <x:v>2</x:v>
      </x:c>
      <x:c r="L16" s="36" t="str">
        <x:v>Er ist Gottes geliebter Sohn, an dem Gott Wohlgefallen hat.</x:v>
      </x:c>
      <x:c r="M16" s="36" t="str">
        <x:v>Matthäus 3,16–17</x:v>
      </x:c>
      <x:c r="N16" s="36" t="str">
        <x:v>Nach Jesu Taufe kommt der Geist Gottes auf ihn herab, und die Stimme aus dem Himmel bezeichnet ihn als den geliebten Sohn.</x:v>
      </x:c>
      <x:c r="O16" s="36" t="str">
        <x:v>FREIGEGEBEN</x:v>
      </x:c>
      <x:c r="P16" s="36" t="str">
        <x:v>FREIGEGEBEN</x:v>
      </x:c>
      <x:c r="Q16" s="36" t="str">
        <x:v>JA</x:v>
      </x:c>
    </x:row>
    <x:row r="17">
      <x:c r="A17" s="36" t="str">
        <x:v>FP-0276</x:v>
      </x:c>
      <x:c r="B17" s="36" t="str">
        <x:v>MAT</x:v>
      </x:c>
      <x:c r="C17" s="36" t="str">
        <x:v>Matthäus</x:v>
      </x:c>
      <x:c r="D17" s="36" t="n">
        <x:v>4</x:v>
      </x:c>
      <x:c r="E17" s="36" t="n">
        <x:v>1</x:v>
      </x:c>
      <x:c r="F17" s="36" t="str">
        <x:v>Wozu forderte der Versucher Jesus bei der ersten Versuchung auf?</x:v>
      </x:c>
      <x:c r="G17" s="36" t="str">
        <x:v>Vom Tempel aus nach Galiläa zu gehen.</x:v>
      </x:c>
      <x:c r="H17" s="36" t="str">
        <x:v>Die Jünger nach Jerusalem zu schicken.</x:v>
      </x:c>
      <x:c r="I17" s="36" t="str">
        <x:v>Wasser in Wein zu verwandeln.</x:v>
      </x:c>
      <x:c r="J17" s="36" t="str">
        <x:v>Steine in Brot zu verwandeln.</x:v>
      </x:c>
      <x:c r="K17" s="36" t="n">
        <x:v>3</x:v>
      </x:c>
      <x:c r="L17" s="36" t="str">
        <x:v>Steine in Brot zu verwandeln.</x:v>
      </x:c>
      <x:c r="M17" s="36" t="str">
        <x:v>Matthäus 4,2–3</x:v>
      </x:c>
      <x:c r="N17" s="36" t="str">
        <x:v>Nach vierzig Tagen Fasten fordert der Versucher Jesus auf, Steine zu Brot werden zu lassen.</x:v>
      </x:c>
      <x:c r="O17" s="36" t="str">
        <x:v>FREIGEGEBEN</x:v>
      </x:c>
      <x:c r="P17" s="36" t="str">
        <x:v>FREIGEGEBEN</x:v>
      </x:c>
      <x:c r="Q17" s="36" t="str">
        <x:v>JA</x:v>
      </x:c>
    </x:row>
    <x:row r="18">
      <x:c r="A18" s="36" t="str">
        <x:v>FP-0277</x:v>
      </x:c>
      <x:c r="B18" s="36" t="str">
        <x:v>MAT</x:v>
      </x:c>
      <x:c r="C18" s="36" t="str">
        <x:v>Matthäus</x:v>
      </x:c>
      <x:c r="D18" s="36" t="n">
        <x:v>4</x:v>
      </x:c>
      <x:c r="E18" s="36" t="n">
        <x:v>2</x:v>
      </x:c>
      <x:c r="F18" s="36" t="str">
        <x:v>Wie antwortete Jesus auf die Versuchung, aus Steinen Brot zu machen?</x:v>
      </x:c>
      <x:c r="G18" s="36" t="str">
        <x:v>Der Mensch lebt nicht vom Brot allein, sondern von jedem Wort aus Gottes Mund.</x:v>
      </x:c>
      <x:c r="H18" s="36" t="str">
        <x:v>Wer bittet, dem wird gegeben.</x:v>
      </x:c>
      <x:c r="I18" s="36" t="str">
        <x:v>Der Sabbat ist um des Menschen willen gemacht.</x:v>
      </x:c>
      <x:c r="J18" s="36" t="str">
        <x:v>Liebe deinen Nächsten wie dich selbst.</x:v>
      </x:c>
      <x:c r="K18" s="36" t="n">
        <x:v>0</x:v>
      </x:c>
      <x:c r="L18" s="36" t="str">
        <x:v>Der Mensch lebt nicht vom Brot allein, sondern von jedem Wort aus Gottes Mund.</x:v>
      </x:c>
      <x:c r="M18" s="36" t="str">
        <x:v>Matthäus 4,4</x:v>
      </x:c>
      <x:c r="N18" s="36" t="str">
        <x:v>Jesus antwortet mit der Schrift und betont, dass menschliches Leben nicht allein von Brot abhängt.</x:v>
      </x:c>
      <x:c r="O18" s="36" t="str">
        <x:v>FREIGEGEBEN</x:v>
      </x:c>
      <x:c r="P18" s="36" t="str">
        <x:v>FREIGEGEBEN</x:v>
      </x:c>
      <x:c r="Q18" s="36" t="str">
        <x:v>JA</x:v>
      </x:c>
    </x:row>
    <x:row r="19">
      <x:c r="A19" s="36" t="str">
        <x:v>FP-0278</x:v>
      </x:c>
      <x:c r="B19" s="36" t="str">
        <x:v>MAT</x:v>
      </x:c>
      <x:c r="C19" s="36" t="str">
        <x:v>Matthäus</x:v>
      </x:c>
      <x:c r="D19" s="36" t="n">
        <x:v>4</x:v>
      </x:c>
      <x:c r="E19" s="36" t="n">
        <x:v>3</x:v>
      </x:c>
      <x:c r="F19" s="36" t="str">
        <x:v>Welche Botschaft begann Jesus nach seinem Umzug nach Kapernaum zu predigen?</x:v>
      </x:c>
      <x:c r="G19" s="36" t="str">
        <x:v>Der Tempel wird in drei Tagen neu gebaut.</x:v>
      </x:c>
      <x:c r="H19" s="36" t="str">
        <x:v>Kehrt um, denn das Himmelreich ist nahe.</x:v>
      </x:c>
      <x:c r="I19" s="36" t="str">
        <x:v>Geht zuerst zu den Heiden.</x:v>
      </x:c>
      <x:c r="J19" s="36" t="str">
        <x:v>Fastet vierzig Tage.</x:v>
      </x:c>
      <x:c r="K19" s="36" t="n">
        <x:v>1</x:v>
      </x:c>
      <x:c r="L19" s="36" t="str">
        <x:v>Kehrt um, denn das Himmelreich ist nahe.</x:v>
      </x:c>
      <x:c r="M19" s="36" t="str">
        <x:v>Matthäus 4,12–17</x:v>
      </x:c>
      <x:c r="N19" s="36" t="str">
        <x:v>Nach dem Beginn seines Wirkens in Galiläa verkündet Jesus wie Johannes den Ruf zur Umkehr und die Nähe des Himmelreichs.</x:v>
      </x:c>
      <x:c r="O19" s="36" t="str">
        <x:v>FREIGEGEBEN</x:v>
      </x:c>
      <x:c r="P19" s="36" t="str">
        <x:v>FREIGEGEBEN</x:v>
      </x:c>
      <x:c r="Q19" s="36" t="str">
        <x:v>JA</x:v>
      </x:c>
    </x:row>
    <x:row r="20">
      <x:c r="A20" s="36" t="str">
        <x:v>FP-0279</x:v>
      </x:c>
      <x:c r="B20" s="36" t="str">
        <x:v>MAT</x:v>
      </x:c>
      <x:c r="C20" s="36" t="str">
        <x:v>Matthäus</x:v>
      </x:c>
      <x:c r="D20" s="36" t="n">
        <x:v>4</x:v>
      </x:c>
      <x:c r="E20" s="36" t="n">
        <x:v>4</x:v>
      </x:c>
      <x:c r="F20" s="36" t="str">
        <x:v>Wie reagierten Simon Petrus und Andreas auf Jesu Ruf, ihm zu folgen?</x:v>
      </x:c>
      <x:c r="G20" s="36" t="str">
        <x:v>Sie baten um sieben Tage Bedenkzeit.</x:v>
      </x:c>
      <x:c r="H20" s="36" t="str">
        <x:v>Sie gingen zuerst nach Jerusalem.</x:v>
      </x:c>
      <x:c r="I20" s="36" t="str">
        <x:v>Sie ließen sofort ihre Netze zurück und folgten ihm.</x:v>
      </x:c>
      <x:c r="J20" s="36" t="str">
        <x:v>Sie schickten einen Knecht an ihrer Stelle.</x:v>
      </x:c>
      <x:c r="K20" s="36" t="n">
        <x:v>2</x:v>
      </x:c>
      <x:c r="L20" s="36" t="str">
        <x:v>Sie ließen sofort ihre Netze zurück und folgten ihm.</x:v>
      </x:c>
      <x:c r="M20" s="36" t="str">
        <x:v>Matthäus 4,18–20</x:v>
      </x:c>
      <x:c r="N20" s="36" t="str">
        <x:v>Petrus und Andreas verlassen unmittelbar ihre Netze und folgen Jesus.</x:v>
      </x:c>
      <x:c r="O20" s="36" t="str">
        <x:v>FREIGEGEBEN</x:v>
      </x:c>
      <x:c r="P20" s="36" t="str">
        <x:v>FREIGEGEBEN</x:v>
      </x:c>
      <x:c r="Q20" s="36" t="str">
        <x:v>JA</x:v>
      </x:c>
    </x:row>
    <x:row r="21">
      <x:c r="A21" s="36" t="str">
        <x:v>FP-0280</x:v>
      </x:c>
      <x:c r="B21" s="36" t="str">
        <x:v>MAT</x:v>
      </x:c>
      <x:c r="C21" s="36" t="str">
        <x:v>Matthäus</x:v>
      </x:c>
      <x:c r="D21" s="36" t="n">
        <x:v>4</x:v>
      </x:c>
      <x:c r="E21" s="36" t="n">
        <x:v>5</x:v>
      </x:c>
      <x:c r="F21" s="36" t="str">
        <x:v>Welche drei Tätigkeiten kennzeichnen Jesu Wirken in Galiläa in Matthäus 4,23?</x:v>
      </x:c>
      <x:c r="G21" s="36" t="str">
        <x:v>Opfern, fasten und schweigen.</x:v>
      </x:c>
      <x:c r="H21" s="36" t="str">
        <x:v>Schreiben, richten und Steuern erheben.</x:v>
      </x:c>
      <x:c r="I21" s="36" t="str">
        <x:v>Bauen, handeln und reisen.</x:v>
      </x:c>
      <x:c r="J21" s="36" t="str">
        <x:v>Lehren, das Evangelium vom Reich verkünden und Krankheiten heilen.</x:v>
      </x:c>
      <x:c r="K21" s="36" t="n">
        <x:v>3</x:v>
      </x:c>
      <x:c r="L21" s="36" t="str">
        <x:v>Lehren, das Evangelium vom Reich verkünden und Krankheiten heilen.</x:v>
      </x:c>
      <x:c r="M21" s="36" t="str">
        <x:v>Matthäus 4,23</x:v>
      </x:c>
      <x:c r="N21" s="36" t="str">
        <x:v>Matthäus fasst Jesu Wirken als Lehren in den Synagogen, Verkündigung des Evangeliums vom Reich und Heilung von Krankheiten zusammen.</x:v>
      </x:c>
      <x:c r="O21" s="36" t="str">
        <x:v>FREIGEGEBEN</x:v>
      </x:c>
      <x:c r="P21" s="36" t="str">
        <x:v>FREIGEGEBEN</x:v>
      </x:c>
      <x:c r="Q21" s="36" t="str">
        <x:v>JA</x:v>
      </x:c>
    </x:row>
    <x:row r="22">
      <x:c r="A22" s="36" t="str">
        <x:v>FP-0281</x:v>
      </x:c>
      <x:c r="B22" s="36" t="str">
        <x:v>MAT</x:v>
      </x:c>
      <x:c r="C22" s="36" t="str">
        <x:v>Matthäus</x:v>
      </x:c>
      <x:c r="D22" s="36" t="n">
        <x:v>5</x:v>
      </x:c>
      <x:c r="E22" s="36" t="n">
        <x:v>1</x:v>
      </x:c>
      <x:c r="F22" s="36" t="str">
        <x:v>Was verheißt Jesus den Sanftmütigen in den Seligpreisungen?</x:v>
      </x:c>
      <x:c r="G22" s="36" t="str">
        <x:v>Sie werden das Erdreich besitzen.</x:v>
      </x:c>
      <x:c r="H22" s="36" t="str">
        <x:v>Sie werden nie verfolgt werden.</x:v>
      </x:c>
      <x:c r="I22" s="36" t="str">
        <x:v>Sie werden Könige in Jerusalem.</x:v>
      </x:c>
      <x:c r="J22" s="36" t="str">
        <x:v>Sie werden reich an Besitz.</x:v>
      </x:c>
      <x:c r="K22" s="36" t="n">
        <x:v>0</x:v>
      </x:c>
      <x:c r="L22" s="36" t="str">
        <x:v>Sie werden das Erdreich besitzen.</x:v>
      </x:c>
      <x:c r="M22" s="36" t="str">
        <x:v>Matthäus 5,5</x:v>
      </x:c>
      <x:c r="N22" s="36" t="str">
        <x:v>In den Seligpreisungen sagt Jesus den Sanftmütigen zu, dass sie das Erdreich besitzen werden.</x:v>
      </x:c>
      <x:c r="O22" s="36" t="str">
        <x:v>FREIGEGEBEN</x:v>
      </x:c>
      <x:c r="P22" s="36" t="str">
        <x:v>FREIGEGEBEN</x:v>
      </x:c>
      <x:c r="Q22" s="36" t="str">
        <x:v>JA</x:v>
      </x:c>
    </x:row>
    <x:row r="23">
      <x:c r="A23" s="36" t="str">
        <x:v>FP-0282</x:v>
      </x:c>
      <x:c r="B23" s="36" t="str">
        <x:v>MAT</x:v>
      </x:c>
      <x:c r="C23" s="36" t="str">
        <x:v>Matthäus</x:v>
      </x:c>
      <x:c r="D23" s="36" t="n">
        <x:v>5</x:v>
      </x:c>
      <x:c r="E23" s="36" t="n">
        <x:v>2</x:v>
      </x:c>
      <x:c r="F23" s="36" t="str">
        <x:v>Warum sollen die Jünger ihr Licht vor den Menschen leuchten lassen?</x:v>
      </x:c>
      <x:c r="G23" s="36" t="str">
        <x:v>Damit sie selbst berühmt werden.</x:v>
      </x:c>
      <x:c r="H23" s="36" t="str">
        <x:v>Damit die Menschen ihre guten Werke sehen und den Vater im Himmel ehren.</x:v>
      </x:c>
      <x:c r="I23" s="36" t="str">
        <x:v>Damit niemand mehr widerspricht.</x:v>
      </x:c>
      <x:c r="J23" s="36" t="str">
        <x:v>Damit sie von Steuern befreit werden.</x:v>
      </x:c>
      <x:c r="K23" s="36" t="n">
        <x:v>1</x:v>
      </x:c>
      <x:c r="L23" s="36" t="str">
        <x:v>Damit die Menschen ihre guten Werke sehen und den Vater im Himmel ehren.</x:v>
      </x:c>
      <x:c r="M23" s="36" t="str">
        <x:v>Matthäus 5,14–16</x:v>
      </x:c>
      <x:c r="N23" s="36" t="str">
        <x:v>Das sichtbare Gute soll nicht die Jünger selbst verherrlichen, sondern Menschen dazu führen, den Vater im Himmel zu ehren.</x:v>
      </x:c>
      <x:c r="O23" s="36" t="str">
        <x:v>FREIGEGEBEN</x:v>
      </x:c>
      <x:c r="P23" s="36" t="str">
        <x:v>FREIGEGEBEN</x:v>
      </x:c>
      <x:c r="Q23" s="36" t="str">
        <x:v>JA</x:v>
      </x:c>
    </x:row>
    <x:row r="24">
      <x:c r="A24" s="36" t="str">
        <x:v>FP-0283</x:v>
      </x:c>
      <x:c r="B24" s="36" t="str">
        <x:v>MAT</x:v>
      </x:c>
      <x:c r="C24" s="36" t="str">
        <x:v>Matthäus</x:v>
      </x:c>
      <x:c r="D24" s="36" t="n">
        <x:v>5</x:v>
      </x:c>
      <x:c r="E24" s="36" t="n">
        <x:v>3</x:v>
      </x:c>
      <x:c r="F24" s="36" t="str">
        <x:v>Wie beschreibt Jesus sein Verhältnis zum Gesetz und zu den Propheten?</x:v>
      </x:c>
      <x:c r="G24" s="36" t="str">
        <x:v>Er erklärt sie vollständig für ungültig.</x:v>
      </x:c>
      <x:c r="H24" s="36" t="str">
        <x:v>Er ersetzt sie durch römisches Recht.</x:v>
      </x:c>
      <x:c r="I24" s="36" t="str">
        <x:v>Er ist gekommen, sie zu erfüllen, nicht sie aufzulösen.</x:v>
      </x:c>
      <x:c r="J24" s="36" t="str">
        <x:v>Er will nur die prophetischen Schriften behalten.</x:v>
      </x:c>
      <x:c r="K24" s="36" t="n">
        <x:v>2</x:v>
      </x:c>
      <x:c r="L24" s="36" t="str">
        <x:v>Er ist gekommen, sie zu erfüllen, nicht sie aufzulösen.</x:v>
      </x:c>
      <x:c r="M24" s="36" t="str">
        <x:v>Matthäus 5,17</x:v>
      </x:c>
      <x:c r="N24" s="36" t="str">
        <x:v>Jesus sagt ausdrücklich, dass er Gesetz und Propheten nicht auflösen, sondern erfüllen will.</x:v>
      </x:c>
      <x:c r="O24" s="36" t="str">
        <x:v>FREIGEGEBEN</x:v>
      </x:c>
      <x:c r="P24" s="36" t="str">
        <x:v>FREIGEGEBEN</x:v>
      </x:c>
      <x:c r="Q24" s="36" t="str">
        <x:v>JA</x:v>
      </x:c>
    </x:row>
    <x:row r="25">
      <x:c r="A25" s="36" t="str">
        <x:v>FP-0284</x:v>
      </x:c>
      <x:c r="B25" s="36" t="str">
        <x:v>MAT</x:v>
      </x:c>
      <x:c r="C25" s="36" t="str">
        <x:v>Matthäus</x:v>
      </x:c>
      <x:c r="D25" s="36" t="n">
        <x:v>5</x:v>
      </x:c>
      <x:c r="E25" s="36" t="n">
        <x:v>4</x:v>
      </x:c>
      <x:c r="F25" s="36" t="str">
        <x:v>Was soll jemand tun, wenn ihm beim Opfer einfällt, dass sein Bruder etwas gegen ihn hat?</x:v>
      </x:c>
      <x:c r="G25" s="36" t="str">
        <x:v>Die Gabe zurücknehmen und nie wieder opfern.</x:v>
      </x:c>
      <x:c r="H25" s="36" t="str">
        <x:v>Den Bruder öffentlich anklagen.</x:v>
      </x:c>
      <x:c r="I25" s="36" t="str">
        <x:v>Den Priester um ein Urteil bitten.</x:v>
      </x:c>
      <x:c r="J25" s="36" t="str">
        <x:v>Zuerst die Versöhnung suchen und danach die Gabe darbringen.</x:v>
      </x:c>
      <x:c r="K25" s="36" t="n">
        <x:v>3</x:v>
      </x:c>
      <x:c r="L25" s="36" t="str">
        <x:v>Zuerst die Versöhnung suchen und danach die Gabe darbringen.</x:v>
      </x:c>
      <x:c r="M25" s="36" t="str">
        <x:v>Matthäus 5,23–24</x:v>
      </x:c>
      <x:c r="N25" s="36" t="str">
        <x:v>Jesus stellt die Versöhnung mit dem Bruder vor die Fortsetzung der Opferhandlung.</x:v>
      </x:c>
      <x:c r="O25" s="36" t="str">
        <x:v>FREIGEGEBEN</x:v>
      </x:c>
      <x:c r="P25" s="36" t="str">
        <x:v>FREIGEGEBEN</x:v>
      </x:c>
      <x:c r="Q25" s="36" t="str">
        <x:v>JA</x:v>
      </x:c>
    </x:row>
    <x:row r="26">
      <x:c r="A26" s="36" t="str">
        <x:v>FP-0285</x:v>
      </x:c>
      <x:c r="B26" s="36" t="str">
        <x:v>MAT</x:v>
      </x:c>
      <x:c r="C26" s="36" t="str">
        <x:v>Matthäus</x:v>
      </x:c>
      <x:c r="D26" s="36" t="n">
        <x:v>5</x:v>
      </x:c>
      <x:c r="E26" s="36" t="n">
        <x:v>5</x:v>
      </x:c>
      <x:c r="F26" s="36" t="str">
        <x:v>Wie sollen Jesu Jünger nach Matthäus 5 mit ihren Feinden umgehen?</x:v>
      </x:c>
      <x:c r="G26" s="36" t="str">
        <x:v>Sie sollen sie lieben und für ihre Verfolger beten.</x:v>
      </x:c>
      <x:c r="H26" s="36" t="str">
        <x:v>Sie sollen jeden Kontakt abbrechen.</x:v>
      </x:c>
      <x:c r="I26" s="36" t="str">
        <x:v>Sie sollen nur dann helfen, wenn sie sich entschuldigen.</x:v>
      </x:c>
      <x:c r="J26" s="36" t="str">
        <x:v>Sie sollen ihnen mit gleicher Härte begegnen.</x:v>
      </x:c>
      <x:c r="K26" s="36" t="n">
        <x:v>0</x:v>
      </x:c>
      <x:c r="L26" s="36" t="str">
        <x:v>Sie sollen sie lieben und für ihre Verfolger beten.</x:v>
      </x:c>
      <x:c r="M26" s="36" t="str">
        <x:v>Matthäus 5,43–45</x:v>
      </x:c>
      <x:c r="N26" s="36" t="str">
        <x:v>Jesus fordert Liebe zu den Feinden und Gebet für die Verfolger und verbindet dies mit dem Handeln des himmlischen Vaters.</x:v>
      </x:c>
      <x:c r="O26" s="36" t="str">
        <x:v>FREIGEGEBEN</x:v>
      </x:c>
      <x:c r="P26" s="36" t="str">
        <x:v>FREIGEGEBEN</x:v>
      </x:c>
      <x:c r="Q26" s="36" t="str">
        <x:v>JA</x:v>
      </x:c>
    </x:row>
    <x:row r="27">
      <x:c r="A27" s="36" t="str">
        <x:v>FP-0286</x:v>
      </x:c>
      <x:c r="B27" s="36" t="str">
        <x:v>MAT</x:v>
      </x:c>
      <x:c r="C27" s="36" t="str">
        <x:v>Matthäus</x:v>
      </x:c>
      <x:c r="D27" s="36" t="n">
        <x:v>6</x:v>
      </x:c>
      <x:c r="E27" s="36" t="n">
        <x:v>1</x:v>
      </x:c>
      <x:c r="F27" s="36" t="str">
        <x:v>Was verbindet Jesu Lehre über Geben und Beten im Verborgenen?</x:v>
      </x:c>
      <x:c r="G27" s="36" t="str">
        <x:v>Beides darf nur im Tempel geschehen.</x:v>
      </x:c>
      <x:c r="H27" s="36" t="str">
        <x:v>Der Vater sieht das Verborgene und belohnt nicht die Selbstdarstellung vor Menschen.</x:v>
      </x:c>
      <x:c r="I27" s="36" t="str">
        <x:v>Beides ist nur am Sabbat erlaubt.</x:v>
      </x:c>
      <x:c r="J27" s="36" t="str">
        <x:v>Beides muss laut vor anderen angekündigt werden.</x:v>
      </x:c>
      <x:c r="K27" s="36" t="n">
        <x:v>1</x:v>
      </x:c>
      <x:c r="L27" s="36" t="str">
        <x:v>Der Vater sieht das Verborgene und belohnt nicht die Selbstdarstellung vor Menschen.</x:v>
      </x:c>
      <x:c r="M27" s="36" t="str">
        <x:v>Matthäus 6,3–6</x:v>
      </x:c>
      <x:c r="N27" s="36" t="str">
        <x:v>Beim Geben wie beim Beten warnt Jesus vor religiöser Selbstdarstellung und verweist auf den Vater, der das Verborgene sieht.</x:v>
      </x:c>
      <x:c r="O27" s="36" t="str">
        <x:v>FREIGEGEBEN</x:v>
      </x:c>
      <x:c r="P27" s="36" t="str">
        <x:v>FREIGEGEBEN</x:v>
      </x:c>
      <x:c r="Q27" s="36" t="str">
        <x:v>JA</x:v>
      </x:c>
    </x:row>
    <x:row r="28">
      <x:c r="A28" s="36" t="str">
        <x:v>FP-0287</x:v>
      </x:c>
      <x:c r="B28" s="36" t="str">
        <x:v>MAT</x:v>
      </x:c>
      <x:c r="C28" s="36" t="str">
        <x:v>Matthäus</x:v>
      </x:c>
      <x:c r="D28" s="36" t="n">
        <x:v>6</x:v>
      </x:c>
      <x:c r="E28" s="36" t="n">
        <x:v>2</x:v>
      </x:c>
      <x:c r="F28" s="36" t="str">
        <x:v>Welche Bitte über Vergebung gehört zum Gebet, das Jesus seine Jünger lehrt?</x:v>
      </x:c>
      <x:c r="G28" s="36" t="str">
        <x:v>Vergib nur denen, die nie wieder sündigen.</x:v>
      </x:c>
      <x:c r="H28" s="36" t="str">
        <x:v>Vergib uns erst nach einem Opfer.</x:v>
      </x:c>
      <x:c r="I28" s="36" t="str">
        <x:v>Vergib uns unsere Schuld, wie auch wir unseren Schuldnern vergeben.</x:v>
      </x:c>
      <x:c r="J28" s="36" t="str">
        <x:v>Vergib uns, ohne dass wir anderen vergeben müssen.</x:v>
      </x:c>
      <x:c r="K28" s="36" t="n">
        <x:v>2</x:v>
      </x:c>
      <x:c r="L28" s="36" t="str">
        <x:v>Vergib uns unsere Schuld, wie auch wir unseren Schuldnern vergeben.</x:v>
      </x:c>
      <x:c r="M28" s="36" t="str">
        <x:v>Matthäus 6,12</x:v>
      </x:c>
      <x:c r="N28" s="36" t="str">
        <x:v>Im Vaterunser wird die Bitte um eigene Vergebung mit der Bereitschaft verbunden, anderen zu vergeben.</x:v>
      </x:c>
      <x:c r="O28" s="36" t="str">
        <x:v>FREIGEGEBEN</x:v>
      </x:c>
      <x:c r="P28" s="36" t="str">
        <x:v>FREIGEGEBEN</x:v>
      </x:c>
      <x:c r="Q28" s="36" t="str">
        <x:v>JA</x:v>
      </x:c>
    </x:row>
    <x:row r="29">
      <x:c r="A29" s="36" t="str">
        <x:v>FP-0288</x:v>
      </x:c>
      <x:c r="B29" s="36" t="str">
        <x:v>MAT</x:v>
      </x:c>
      <x:c r="C29" s="36" t="str">
        <x:v>Matthäus</x:v>
      </x:c>
      <x:c r="D29" s="36" t="n">
        <x:v>6</x:v>
      </x:c>
      <x:c r="E29" s="36" t="n">
        <x:v>3</x:v>
      </x:c>
      <x:c r="F29" s="36" t="str">
        <x:v>Wie sollen Jesu Jünger beim Fasten auftreten?</x:v>
      </x:c>
      <x:c r="G29" s="36" t="str">
        <x:v>Mit besonders traurigem Gesicht.</x:v>
      </x:c>
      <x:c r="H29" s="36" t="str">
        <x:v>Mit zerrissenen Kleidern auf öffentlichen Plätzen.</x:v>
      </x:c>
      <x:c r="I29" s="36" t="str">
        <x:v>Nur nachts und außerhalb der Stadt.</x:v>
      </x:c>
      <x:c r="J29" s="36" t="str">
        <x:v>So, dass ihr Fasten nicht bewusst vor Menschen zur Schau gestellt wird.</x:v>
      </x:c>
      <x:c r="K29" s="36" t="n">
        <x:v>3</x:v>
      </x:c>
      <x:c r="L29" s="36" t="str">
        <x:v>So, dass ihr Fasten nicht bewusst vor Menschen zur Schau gestellt wird.</x:v>
      </x:c>
      <x:c r="M29" s="36" t="str">
        <x:v>Matthäus 6,16–18</x:v>
      </x:c>
      <x:c r="N29" s="36" t="str">
        <x:v>Jesus warnt davor, Fasten als sichtbare Frömmigkeitsleistung vor Menschen zu inszenieren.</x:v>
      </x:c>
      <x:c r="O29" s="36" t="str">
        <x:v>FREIGEGEBEN</x:v>
      </x:c>
      <x:c r="P29" s="36" t="str">
        <x:v>FREIGEGEBEN</x:v>
      </x:c>
      <x:c r="Q29" s="36" t="str">
        <x:v>JA</x:v>
      </x:c>
    </x:row>
    <x:row r="30">
      <x:c r="A30" s="36" t="str">
        <x:v>FP-0289</x:v>
      </x:c>
      <x:c r="B30" s="36" t="str">
        <x:v>MAT</x:v>
      </x:c>
      <x:c r="C30" s="36" t="str">
        <x:v>Matthäus</x:v>
      </x:c>
      <x:c r="D30" s="36" t="n">
        <x:v>6</x:v>
      </x:c>
      <x:c r="E30" s="36" t="n">
        <x:v>4</x:v>
      </x:c>
      <x:c r="F30" s="36" t="str">
        <x:v>Wem kann man nach Jesus nicht gleichzeitig dienen?</x:v>
      </x:c>
      <x:c r="G30" s="36" t="str">
        <x:v>Gott und dem Reichtum (Mammon).</x:v>
      </x:c>
      <x:c r="H30" s="36" t="str">
        <x:v>Mose und Elia.</x:v>
      </x:c>
      <x:c r="I30" s="36" t="str">
        <x:v>Kaiser und Statthalter.</x:v>
      </x:c>
      <x:c r="J30" s="36" t="str">
        <x:v>Petrus und Johannes.</x:v>
      </x:c>
      <x:c r="K30" s="36" t="n">
        <x:v>0</x:v>
      </x:c>
      <x:c r="L30" s="36" t="str">
        <x:v>Gott und dem Reichtum (Mammon).</x:v>
      </x:c>
      <x:c r="M30" s="36" t="str">
        <x:v>Matthäus 6,24</x:v>
      </x:c>
      <x:c r="N30" s="36" t="str">
        <x:v>Luther 1912 spricht von „Gott und dem Mammon“, OTB von „Gott und dem Reichtum“. Gemeint ist dieselbe unvereinbare Doppelbindung.</x:v>
      </x:c>
      <x:c r="O30" s="36" t="str">
        <x:v>FREIGEGEBEN</x:v>
      </x:c>
      <x:c r="P30" s="36" t="str">
        <x:v>FREIGEGEBEN</x:v>
      </x:c>
      <x:c r="Q30" s="36" t="str">
        <x:v>JA</x:v>
      </x:c>
    </x:row>
    <x:row r="31">
      <x:c r="A31" s="36" t="str">
        <x:v>FP-0290</x:v>
      </x:c>
      <x:c r="B31" s="36" t="str">
        <x:v>MAT</x:v>
      </x:c>
      <x:c r="C31" s="36" t="str">
        <x:v>Matthäus</x:v>
      </x:c>
      <x:c r="D31" s="36" t="n">
        <x:v>6</x:v>
      </x:c>
      <x:c r="E31" s="36" t="n">
        <x:v>5</x:v>
      </x:c>
      <x:c r="F31" s="36" t="str">
        <x:v>Was sollen Jesu Jünger zuerst suchen, statt sich von Sorgen bestimmen zu lassen?</x:v>
      </x:c>
      <x:c r="G31" s="36" t="str">
        <x:v>Reichtum und gesellschaftliches Ansehen.</x:v>
      </x:c>
      <x:c r="H31" s="36" t="str">
        <x:v>Gottes Reich und seine Gerechtigkeit.</x:v>
      </x:c>
      <x:c r="I31" s="36" t="str">
        <x:v>Ein sorgenfreies Leben ohne Arbeit.</x:v>
      </x:c>
      <x:c r="J31" s="36" t="str">
        <x:v>Zeichen vom Himmel.</x:v>
      </x:c>
      <x:c r="K31" s="36" t="n">
        <x:v>1</x:v>
      </x:c>
      <x:c r="L31" s="36" t="str">
        <x:v>Gottes Reich und seine Gerechtigkeit.</x:v>
      </x:c>
      <x:c r="M31" s="36" t="str">
        <x:v>Matthäus 6,31–34</x:v>
      </x:c>
      <x:c r="N31" s="36" t="str">
        <x:v>Jesus lenkt den Blick von der Sorge um Versorgung auf Gottes Reich und seine Gerechtigkeit.</x:v>
      </x:c>
      <x:c r="O31" s="36" t="str">
        <x:v>FREIGEGEBEN</x:v>
      </x:c>
      <x:c r="P31" s="36" t="str">
        <x:v>FREIGEGEBEN</x:v>
      </x:c>
      <x:c r="Q31" s="36" t="str">
        <x:v>JA</x:v>
      </x:c>
    </x:row>
    <x:row r="32">
      <x:c r="A32" s="36" t="str">
        <x:v>FP-0291</x:v>
      </x:c>
      <x:c r="B32" s="36" t="str">
        <x:v>MAT</x:v>
      </x:c>
      <x:c r="C32" s="36" t="str">
        <x:v>Matthäus</x:v>
      </x:c>
      <x:c r="D32" s="36" t="n">
        <x:v>7</x:v>
      </x:c>
      <x:c r="E32" s="36" t="n">
        <x:v>1</x:v>
      </x:c>
      <x:c r="F32" s="36" t="str">
        <x:v>Was soll jemand nach Jesu Bild vom Splitter und Balken zuerst tun?</x:v>
      </x:c>
      <x:c r="G32" s="36" t="str">
        <x:v>Den Fehler des anderen öffentlich machen.</x:v>
      </x:c>
      <x:c r="H32" s="36" t="str">
        <x:v>Jeden Fehler vollständig ignorieren.</x:v>
      </x:c>
      <x:c r="I32" s="36" t="str">
        <x:v>Zuerst den eigenen Balken entfernen, bevor er den Splitter des anderen angeht.</x:v>
      </x:c>
      <x:c r="J32" s="36" t="str">
        <x:v>Nur einen Schriftgelehrten um Korrektur bitten.</x:v>
      </x:c>
      <x:c r="K32" s="36" t="n">
        <x:v>2</x:v>
      </x:c>
      <x:c r="L32" s="36" t="str">
        <x:v>Zuerst den eigenen Balken entfernen, bevor er den Splitter des anderen angeht.</x:v>
      </x:c>
      <x:c r="M32" s="36" t="str">
        <x:v>Matthäus 7,3–5</x:v>
      </x:c>
      <x:c r="N32" s="36" t="str">
        <x:v>Jesus fordert zuerst Selbstprüfung und Korrektur des eigenen Fehlers, bevor man den anderen zurechtweist.</x:v>
      </x:c>
      <x:c r="O32" s="36" t="str">
        <x:v>FREIGEGEBEN</x:v>
      </x:c>
      <x:c r="P32" s="36" t="str">
        <x:v>FREIGEGEBEN</x:v>
      </x:c>
      <x:c r="Q32" s="36" t="str">
        <x:v>JA</x:v>
      </x:c>
    </x:row>
    <x:row r="33">
      <x:c r="A33" s="36" t="str">
        <x:v>FP-0292</x:v>
      </x:c>
      <x:c r="B33" s="36" t="str">
        <x:v>MAT</x:v>
      </x:c>
      <x:c r="C33" s="36" t="str">
        <x:v>Matthäus</x:v>
      </x:c>
      <x:c r="D33" s="36" t="n">
        <x:v>7</x:v>
      </x:c>
      <x:c r="E33" s="36" t="n">
        <x:v>2</x:v>
      </x:c>
      <x:c r="F33" s="36" t="str">
        <x:v>Wie fasst Jesus in Matthäus 7,12 den Umgang mit anderen zusammen?</x:v>
      </x:c>
      <x:c r="G33" s="36" t="str">
        <x:v>Behandle Freunde besser als Fremde.</x:v>
      </x:c>
      <x:c r="H33" s="36" t="str">
        <x:v>Antworte auf Unrecht immer mit gleichem Unrecht.</x:v>
      </x:c>
      <x:c r="I33" s="36" t="str">
        <x:v>Meide Menschen, die anders denken.</x:v>
      </x:c>
      <x:c r="J33" s="36" t="str">
        <x:v>Behandle andere so, wie du selbst von ihnen behandelt werden möchtest.</x:v>
      </x:c>
      <x:c r="K33" s="36" t="n">
        <x:v>3</x:v>
      </x:c>
      <x:c r="L33" s="36" t="str">
        <x:v>Behandle andere so, wie du selbst von ihnen behandelt werden möchtest.</x:v>
      </x:c>
      <x:c r="M33" s="36" t="str">
        <x:v>Matthäus 7,12</x:v>
      </x:c>
      <x:c r="N33" s="36" t="str">
        <x:v>Jesus formuliert die sogenannte Goldene Regel und verbindet sie mit Gesetz und Propheten.</x:v>
      </x:c>
      <x:c r="O33" s="36" t="str">
        <x:v>FREIGEGEBEN</x:v>
      </x:c>
      <x:c r="P33" s="36" t="str">
        <x:v>FREIGEGEBEN</x:v>
      </x:c>
      <x:c r="Q33" s="36" t="str">
        <x:v>JA</x:v>
      </x:c>
    </x:row>
    <x:row r="34">
      <x:c r="A34" s="36" t="str">
        <x:v>FP-0293</x:v>
      </x:c>
      <x:c r="B34" s="36" t="str">
        <x:v>MAT</x:v>
      </x:c>
      <x:c r="C34" s="36" t="str">
        <x:v>Matthäus</x:v>
      </x:c>
      <x:c r="D34" s="36" t="n">
        <x:v>7</x:v>
      </x:c>
      <x:c r="E34" s="36" t="n">
        <x:v>3</x:v>
      </x:c>
      <x:c r="F34" s="36" t="str">
        <x:v>Wohin führt nach Jesus der schmale Weg?</x:v>
      </x:c>
      <x:c r="G34" s="36" t="str">
        <x:v>Zum Leben.</x:v>
      </x:c>
      <x:c r="H34" s="36" t="str">
        <x:v>Zu großem Reichtum.</x:v>
      </x:c>
      <x:c r="I34" s="36" t="str">
        <x:v>Nach Jerusalem.</x:v>
      </x:c>
      <x:c r="J34" s="36" t="str">
        <x:v>Zu öffentlicher Anerkennung.</x:v>
      </x:c>
      <x:c r="K34" s="36" t="n">
        <x:v>0</x:v>
      </x:c>
      <x:c r="L34" s="36" t="str">
        <x:v>Zum Leben.</x:v>
      </x:c>
      <x:c r="M34" s="36" t="str">
        <x:v>Matthäus 7,13–14</x:v>
      </x:c>
      <x:c r="N34" s="36" t="str">
        <x:v>Jesus stellt den breiten Weg zur Verderbnis dem schmalen Weg gegenüber, der zum Leben führt.</x:v>
      </x:c>
      <x:c r="O34" s="36" t="str">
        <x:v>FREIGEGEBEN</x:v>
      </x:c>
      <x:c r="P34" s="36" t="str">
        <x:v>FREIGEGEBEN</x:v>
      </x:c>
      <x:c r="Q34" s="36" t="str">
        <x:v>JA</x:v>
      </x:c>
    </x:row>
    <x:row r="35">
      <x:c r="A35" s="36" t="str">
        <x:v>FP-0294</x:v>
      </x:c>
      <x:c r="B35" s="36" t="str">
        <x:v>MAT</x:v>
      </x:c>
      <x:c r="C35" s="36" t="str">
        <x:v>Matthäus</x:v>
      </x:c>
      <x:c r="D35" s="36" t="n">
        <x:v>7</x:v>
      </x:c>
      <x:c r="E35" s="36" t="n">
        <x:v>4</x:v>
      </x:c>
      <x:c r="F35" s="36" t="str">
        <x:v>Woran sollen falsche Propheten erkannt werden?</x:v>
      </x:c>
      <x:c r="G35" s="36" t="str">
        <x:v>An ihrer Kleidung.</x:v>
      </x:c>
      <x:c r="H35" s="36" t="str">
        <x:v>An ihren Früchten.</x:v>
      </x:c>
      <x:c r="I35" s="36" t="str">
        <x:v>An der Länge ihrer Gebete.</x:v>
      </x:c>
      <x:c r="J35" s="36" t="str">
        <x:v>An ihrer Herkunft.</x:v>
      </x:c>
      <x:c r="K35" s="36" t="n">
        <x:v>1</x:v>
      </x:c>
      <x:c r="L35" s="36" t="str">
        <x:v>An ihren Früchten.</x:v>
      </x:c>
      <x:c r="M35" s="36" t="str">
        <x:v>Matthäus 7,15–20</x:v>
      </x:c>
      <x:c r="N35" s="36" t="str">
        <x:v>Jesus warnt vor falschen Propheten und nennt ihre Früchte als entscheidendes Erkennungsmerkmal.</x:v>
      </x:c>
      <x:c r="O35" s="36" t="str">
        <x:v>FREIGEGEBEN</x:v>
      </x:c>
      <x:c r="P35" s="36" t="str">
        <x:v>FREIGEGEBEN</x:v>
      </x:c>
      <x:c r="Q35" s="36" t="str">
        <x:v>JA</x:v>
      </x:c>
    </x:row>
    <x:row r="36">
      <x:c r="A36" s="36" t="str">
        <x:v>FP-0295</x:v>
      </x:c>
      <x:c r="B36" s="36" t="str">
        <x:v>MAT</x:v>
      </x:c>
      <x:c r="C36" s="36" t="str">
        <x:v>Matthäus</x:v>
      </x:c>
      <x:c r="D36" s="36" t="n">
        <x:v>7</x:v>
      </x:c>
      <x:c r="E36" s="36" t="n">
        <x:v>5</x:v>
      </x:c>
      <x:c r="F36" s="36" t="str">
        <x:v>Wodurch gleicht ein Mensch dem klugen Hausbauer auf dem Felsen?</x:v>
      </x:c>
      <x:c r="G36" s="36" t="str">
        <x:v>Indem er möglichst viele Gleichnisse kennt.</x:v>
      </x:c>
      <x:c r="H36" s="36" t="str">
        <x:v>Indem er ein großes Haus besitzt.</x:v>
      </x:c>
      <x:c r="I36" s="36" t="str">
        <x:v>Indem er Jesu Worte hört und danach handelt.</x:v>
      </x:c>
      <x:c r="J36" s="36" t="str">
        <x:v>Indem er nie Schwierigkeiten erlebt.</x:v>
      </x:c>
      <x:c r="K36" s="36" t="n">
        <x:v>2</x:v>
      </x:c>
      <x:c r="L36" s="36" t="str">
        <x:v>Indem er Jesu Worte hört und danach handelt.</x:v>
      </x:c>
      <x:c r="M36" s="36" t="str">
        <x:v>Matthäus 7,24–27</x:v>
      </x:c>
      <x:c r="N36" s="36" t="str">
        <x:v>Der Unterschied zwischen Fels und Sand liegt darin, ob Jesu Worte nicht nur gehört, sondern auch getan werden.</x:v>
      </x:c>
      <x:c r="O36" s="36" t="str">
        <x:v>FREIGEGEBEN</x:v>
      </x:c>
      <x:c r="P36" s="36" t="str">
        <x:v>FREIGEGEBEN</x:v>
      </x:c>
      <x:c r="Q36" s="36" t="str">
        <x:v>JA</x:v>
      </x:c>
    </x:row>
    <x:row r="37">
      <x:c r="A37" s="36" t="str">
        <x:v>FP-0296</x:v>
      </x:c>
      <x:c r="B37" s="36" t="str">
        <x:v>MAT</x:v>
      </x:c>
      <x:c r="C37" s="36" t="str">
        <x:v>Matthäus</x:v>
      </x:c>
      <x:c r="D37" s="36" t="n">
        <x:v>8</x:v>
      </x:c>
      <x:c r="E37" s="36" t="n">
        <x:v>1</x:v>
      </x:c>
      <x:c r="F37" s="36" t="str">
        <x:v>Wie reagiert Jesus auf die Bitte des Aussätzigen, gereinigt zu werden?</x:v>
      </x:c>
      <x:c r="G37" s="36" t="str">
        <x:v>Er schickt ihn zunächst für vierzig Tage weg.</x:v>
      </x:c>
      <x:c r="H37" s="36" t="str">
        <x:v>Er fordert zuerst eine Geldgabe.</x:v>
      </x:c>
      <x:c r="I37" s="36" t="str">
        <x:v>Er verweist ihn ausschließlich an die Jünger.</x:v>
      </x:c>
      <x:c r="J37" s="36" t="str">
        <x:v>Er berührt ihn, erklärt seine Bereitschaft und reinigt ihn.</x:v>
      </x:c>
      <x:c r="K37" s="36" t="n">
        <x:v>3</x:v>
      </x:c>
      <x:c r="L37" s="36" t="str">
        <x:v>Er berührt ihn, erklärt seine Bereitschaft und reinigt ihn.</x:v>
      </x:c>
      <x:c r="M37" s="36" t="str">
        <x:v>Matthäus 8,2–4</x:v>
      </x:c>
      <x:c r="N37" s="36" t="str">
        <x:v>Jesus antwortet auf das Vertrauen des Aussätzigen mit „Ich will“ und reinigt ihn.</x:v>
      </x:c>
      <x:c r="O37" s="36" t="str">
        <x:v>FREIGEGEBEN</x:v>
      </x:c>
      <x:c r="P37" s="36" t="str">
        <x:v>FREIGEGEBEN</x:v>
      </x:c>
      <x:c r="Q37" s="36" t="str">
        <x:v>JA</x:v>
      </x:c>
    </x:row>
    <x:row r="38">
      <x:c r="A38" s="36" t="str">
        <x:v>FP-0297</x:v>
      </x:c>
      <x:c r="B38" s="36" t="str">
        <x:v>MAT</x:v>
      </x:c>
      <x:c r="C38" s="36" t="str">
        <x:v>Matthäus</x:v>
      </x:c>
      <x:c r="D38" s="36" t="n">
        <x:v>8</x:v>
      </x:c>
      <x:c r="E38" s="36" t="n">
        <x:v>2</x:v>
      </x:c>
      <x:c r="F38" s="36" t="str">
        <x:v>Warum meinte der Hauptmann, Jesus müsse nicht in sein Haus kommen?</x:v>
      </x:c>
      <x:c r="G38" s="36" t="str">
        <x:v>Er vertraute darauf, dass Jesu Wort allein zur Heilung genügt.</x:v>
      </x:c>
      <x:c r="H38" s="36" t="str">
        <x:v>Er wollte seinen Knecht nicht heilen lassen.</x:v>
      </x:c>
      <x:c r="I38" s="36" t="str">
        <x:v>Er hielt Jesus für unrein.</x:v>
      </x:c>
      <x:c r="J38" s="36" t="str">
        <x:v>Er hatte das Haus bereits verlassen.</x:v>
      </x:c>
      <x:c r="K38" s="36" t="n">
        <x:v>0</x:v>
      </x:c>
      <x:c r="L38" s="36" t="str">
        <x:v>Er vertraute darauf, dass Jesu Wort allein zur Heilung genügt.</x:v>
      </x:c>
      <x:c r="M38" s="36" t="str">
        <x:v>Matthäus 8,5–10</x:v>
      </x:c>
      <x:c r="N38" s="36" t="str">
        <x:v>Der Hauptmann vergleicht Jesu Autorität mit Befehlsgewalt und vertraut darauf, dass ein Wort Jesu genügt.</x:v>
      </x:c>
      <x:c r="O38" s="36" t="str">
        <x:v>FREIGEGEBEN</x:v>
      </x:c>
      <x:c r="P38" s="36" t="str">
        <x:v>FREIGEGEBEN</x:v>
      </x:c>
      <x:c r="Q38" s="36" t="str">
        <x:v>JA</x:v>
      </x:c>
    </x:row>
    <x:row r="39">
      <x:c r="A39" s="36" t="str">
        <x:v>FP-0298</x:v>
      </x:c>
      <x:c r="B39" s="36" t="str">
        <x:v>MAT</x:v>
      </x:c>
      <x:c r="C39" s="36" t="str">
        <x:v>Matthäus</x:v>
      </x:c>
      <x:c r="D39" s="36" t="n">
        <x:v>8</x:v>
      </x:c>
      <x:c r="E39" s="36" t="n">
        <x:v>3</x:v>
      </x:c>
      <x:c r="F39" s="36" t="str">
        <x:v>Was macht Jesus dem Schriftgelehrten über Nachfolge deutlich?</x:v>
      </x:c>
      <x:c r="G39" s="36" t="str">
        <x:v>Nachfolge führt immer zu materiellem Wohlstand.</x:v>
      </x:c>
      <x:c r="H39" s="36" t="str">
        <x:v>Der Menschensohn hat keinen festen Ort, wo er sein Haupt hinlegen kann.</x:v>
      </x:c>
      <x:c r="I39" s="36" t="str">
        <x:v>Jeder Nachfolger erhält sofort ein eigenes Haus.</x:v>
      </x:c>
      <x:c r="J39" s="36" t="str">
        <x:v>Nachfolge ist nur Priestern möglich.</x:v>
      </x:c>
      <x:c r="K39" s="36" t="n">
        <x:v>1</x:v>
      </x:c>
      <x:c r="L39" s="36" t="str">
        <x:v>Der Menschensohn hat keinen festen Ort, wo er sein Haupt hinlegen kann.</x:v>
      </x:c>
      <x:c r="M39" s="36" t="str">
        <x:v>Matthäus 8,19–20</x:v>
      </x:c>
      <x:c r="N39" s="36" t="str">
        <x:v>Jesus macht deutlich, dass Nachfolge nicht mit Sicherheit und Bequemlichkeit gleichgesetzt werden kann.</x:v>
      </x:c>
      <x:c r="O39" s="36" t="str">
        <x:v>FREIGEGEBEN</x:v>
      </x:c>
      <x:c r="P39" s="36" t="str">
        <x:v>FREIGEGEBEN</x:v>
      </x:c>
      <x:c r="Q39" s="36" t="str">
        <x:v>JA</x:v>
      </x:c>
    </x:row>
    <x:row r="40">
      <x:c r="A40" s="36" t="str">
        <x:v>FP-0299</x:v>
      </x:c>
      <x:c r="B40" s="36" t="str">
        <x:v>MAT</x:v>
      </x:c>
      <x:c r="C40" s="36" t="str">
        <x:v>Matthäus</x:v>
      </x:c>
      <x:c r="D40" s="36" t="n">
        <x:v>8</x:v>
      </x:c>
      <x:c r="E40" s="36" t="n">
        <x:v>4</x:v>
      </x:c>
      <x:c r="F40" s="36" t="str">
        <x:v>Was geschah, nachdem Jesus Wind und Meer bedroht hatte?</x:v>
      </x:c>
      <x:c r="G40" s="36" t="str">
        <x:v>Das Schiff sank.</x:v>
      </x:c>
      <x:c r="H40" s="36" t="str">
        <x:v>Die Jünger schwammen ans Ufer.</x:v>
      </x:c>
      <x:c r="I40" s="36" t="str">
        <x:v>Es wurde ganz still.</x:v>
      </x:c>
      <x:c r="J40" s="36" t="str">
        <x:v>Ein zweiter Sturm begann.</x:v>
      </x:c>
      <x:c r="K40" s="36" t="n">
        <x:v>2</x:v>
      </x:c>
      <x:c r="L40" s="36" t="str">
        <x:v>Es wurde ganz still.</x:v>
      </x:c>
      <x:c r="M40" s="36" t="str">
        <x:v>Matthäus 8,23–27</x:v>
      </x:c>
      <x:c r="N40" s="36" t="str">
        <x:v>Jesus stillt den Sturm; die Jünger staunen darüber, dass ihm sogar Wind und Meer gehorchen.</x:v>
      </x:c>
      <x:c r="O40" s="36" t="str">
        <x:v>FREIGEGEBEN</x:v>
      </x:c>
      <x:c r="P40" s="36" t="str">
        <x:v>FREIGEGEBEN</x:v>
      </x:c>
      <x:c r="Q40" s="36" t="str">
        <x:v>JA</x:v>
      </x:c>
    </x:row>
    <x:row r="41">
      <x:c r="A41" s="36" t="str">
        <x:v>FP-0300</x:v>
      </x:c>
      <x:c r="B41" s="36" t="str">
        <x:v>MAT</x:v>
      </x:c>
      <x:c r="C41" s="36" t="str">
        <x:v>Matthäus</x:v>
      </x:c>
      <x:c r="D41" s="36" t="n">
        <x:v>8</x:v>
      </x:c>
      <x:c r="E41" s="36" t="n">
        <x:v>5</x:v>
      </x:c>
      <x:c r="F41" s="36" t="str">
        <x:v>Was baten die Bewohner der Gegend Jesus nach dem Geschehen mit den Besessenen und der Schweineherde?</x:v>
      </x:c>
      <x:c r="G41" s="36" t="str">
        <x:v>Er solle dauerhaft bei ihnen wohnen.</x:v>
      </x:c>
      <x:c r="H41" s="36" t="str">
        <x:v>Er solle sie alle taufen.</x:v>
      </x:c>
      <x:c r="I41" s="36" t="str">
        <x:v>Er solle die Herde wiederherstellen.</x:v>
      </x:c>
      <x:c r="J41" s="36" t="str">
        <x:v>Er solle ihre Gegend verlassen.</x:v>
      </x:c>
      <x:c r="K41" s="36" t="n">
        <x:v>3</x:v>
      </x:c>
      <x:c r="L41" s="36" t="str">
        <x:v>Er solle ihre Gegend verlassen.</x:v>
      </x:c>
      <x:c r="M41" s="36" t="str">
        <x:v>Matthäus 8,28–34</x:v>
      </x:c>
      <x:c r="N41" s="36" t="str">
        <x:v>Nachdem die Hirten berichtet hatten, kommt die Stadt Jesus entgegen und bittet ihn, ihre Gegend zu verlassen.</x:v>
      </x:c>
      <x:c r="O41" s="36" t="str">
        <x:v>FREIGEGEBEN</x:v>
      </x:c>
      <x:c r="P41" s="36" t="str">
        <x:v>FREIGEGEBEN</x:v>
      </x:c>
      <x:c r="Q41" s="36" t="str">
        <x:v>JA</x:v>
      </x:c>
    </x:row>
    <x:row r="42">
      <x:c r="A42" s="36" t="str">
        <x:v>FP-0301</x:v>
      </x:c>
      <x:c r="B42" s="36" t="str">
        <x:v>MAT</x:v>
      </x:c>
      <x:c r="C42" s="36" t="str">
        <x:v>Matthäus</x:v>
      </x:c>
      <x:c r="D42" s="36" t="n">
        <x:v>9</x:v>
      </x:c>
      <x:c r="E42" s="36" t="n">
        <x:v>1</x:v>
      </x:c>
      <x:c r="F42" s="36" t="str">
        <x:v>Was sagte Jesus dem Gelähmten, bevor er ihn körperlich heilte?</x:v>
      </x:c>
      <x:c r="G42" s="36" t="str">
        <x:v>Seine Sünden seien ihm vergeben.</x:v>
      </x:c>
      <x:c r="H42" s="36" t="str">
        <x:v>Er müsse zuerst fasten.</x:v>
      </x:c>
      <x:c r="I42" s="36" t="str">
        <x:v>Er solle nach Jerusalem gehen.</x:v>
      </x:c>
      <x:c r="J42" s="36" t="str">
        <x:v>Er müsse ein Opfer bringen.</x:v>
      </x:c>
      <x:c r="K42" s="36" t="n">
        <x:v>0</x:v>
      </x:c>
      <x:c r="L42" s="36" t="str">
        <x:v>Seine Sünden seien ihm vergeben.</x:v>
      </x:c>
      <x:c r="M42" s="36" t="str">
        <x:v>Matthäus 9,2–7</x:v>
      </x:c>
      <x:c r="N42" s="36" t="str">
        <x:v>Jesus spricht zuerst die Vergebung der Sünden aus und heilt den Gelähmten anschließend als Zeichen seiner Vollmacht.</x:v>
      </x:c>
      <x:c r="O42" s="36" t="str">
        <x:v>FREIGEGEBEN</x:v>
      </x:c>
      <x:c r="P42" s="36" t="str">
        <x:v>FREIGEGEBEN</x:v>
      </x:c>
      <x:c r="Q42" s="36" t="str">
        <x:v>JA</x:v>
      </x:c>
    </x:row>
    <x:row r="43">
      <x:c r="A43" s="36" t="str">
        <x:v>FP-0302</x:v>
      </x:c>
      <x:c r="B43" s="36" t="str">
        <x:v>MAT</x:v>
      </x:c>
      <x:c r="C43" s="36" t="str">
        <x:v>Matthäus</x:v>
      </x:c>
      <x:c r="D43" s="36" t="n">
        <x:v>9</x:v>
      </x:c>
      <x:c r="E43" s="36" t="n">
        <x:v>2</x:v>
      </x:c>
      <x:c r="F43" s="36" t="str">
        <x:v>Wo befand sich Matthäus, als Jesus ihn in die Nachfolge rief?</x:v>
      </x:c>
      <x:c r="G43" s="36" t="str">
        <x:v>Im Tempel.</x:v>
      </x:c>
      <x:c r="H43" s="36" t="str">
        <x:v>Am Zoll.</x:v>
      </x:c>
      <x:c r="I43" s="36" t="str">
        <x:v>Auf einem Fischerboot.</x:v>
      </x:c>
      <x:c r="J43" s="36" t="str">
        <x:v>In einer Synagoge.</x:v>
      </x:c>
      <x:c r="K43" s="36" t="n">
        <x:v>1</x:v>
      </x:c>
      <x:c r="L43" s="36" t="str">
        <x:v>Am Zoll.</x:v>
      </x:c>
      <x:c r="M43" s="36" t="str">
        <x:v>Matthäus 9,9</x:v>
      </x:c>
      <x:c r="N43" s="36" t="str">
        <x:v>Jesus sieht Matthäus am Zoll sitzen, ruft ihn mit „Folge mir“, und Matthäus folgt ihm.</x:v>
      </x:c>
      <x:c r="O43" s="36" t="str">
        <x:v>FREIGEGEBEN</x:v>
      </x:c>
      <x:c r="P43" s="36" t="str">
        <x:v>FREIGEGEBEN</x:v>
      </x:c>
      <x:c r="Q43" s="36" t="str">
        <x:v>JA</x:v>
      </x:c>
    </x:row>
    <x:row r="44">
      <x:c r="A44" s="36" t="str">
        <x:v>FP-0303</x:v>
      </x:c>
      <x:c r="B44" s="36" t="str">
        <x:v>MAT</x:v>
      </x:c>
      <x:c r="C44" s="36" t="str">
        <x:v>Matthäus</x:v>
      </x:c>
      <x:c r="D44" s="36" t="n">
        <x:v>9</x:v>
      </x:c>
      <x:c r="E44" s="36" t="n">
        <x:v>3</x:v>
      </x:c>
      <x:c r="F44" s="36" t="str">
        <x:v>Wie begründet Jesus, dass er mit Zöllnern und Sündern isst?</x:v>
      </x:c>
      <x:c r="G44" s="36" t="str">
        <x:v>Zöllner seien gerechter als alle anderen.</x:v>
      </x:c>
      <x:c r="H44" s="36" t="str">
        <x:v>Jeder müsse mit jedem essen, unabhängig von allem weiteren.</x:v>
      </x:c>
      <x:c r="I44" s="36" t="str">
        <x:v>Nicht die Gesunden brauchen den Arzt, sondern die Kranken; er ist gekommen, Sünder zu rufen.</x:v>
      </x:c>
      <x:c r="J44" s="36" t="str">
        <x:v>Die Pharisäer hätten ihn ausdrücklich darum gebeten.</x:v>
      </x:c>
      <x:c r="K44" s="36" t="n">
        <x:v>2</x:v>
      </x:c>
      <x:c r="L44" s="36" t="str">
        <x:v>Nicht die Gesunden brauchen den Arzt, sondern die Kranken; er ist gekommen, Sünder zu rufen.</x:v>
      </x:c>
      <x:c r="M44" s="36" t="str">
        <x:v>Matthäus 9,10–13</x:v>
      </x:c>
      <x:c r="N44" s="36" t="str">
        <x:v>Jesus verwendet das Bild vom Arzt und erklärt seinen Auftrag gegenüber Sündern.</x:v>
      </x:c>
      <x:c r="O44" s="36" t="str">
        <x:v>FREIGEGEBEN</x:v>
      </x:c>
      <x:c r="P44" s="36" t="str">
        <x:v>FREIGEGEBEN</x:v>
      </x:c>
      <x:c r="Q44" s="36" t="str">
        <x:v>JA</x:v>
      </x:c>
    </x:row>
    <x:row r="45">
      <x:c r="A45" s="36" t="str">
        <x:v>FP-0304</x:v>
      </x:c>
      <x:c r="B45" s="36" t="str">
        <x:v>MAT</x:v>
      </x:c>
      <x:c r="C45" s="36" t="str">
        <x:v>Matthäus</x:v>
      </x:c>
      <x:c r="D45" s="36" t="n">
        <x:v>9</x:v>
      </x:c>
      <x:c r="E45" s="36" t="n">
        <x:v>4</x:v>
      </x:c>
      <x:c r="F45" s="36" t="str">
        <x:v>Was sagt Jesus der Frau, die seit zwölf Jahren Blutungen hatte?</x:v>
      </x:c>
      <x:c r="G45" s="36" t="str">
        <x:v>Sie müsse zuerst zum Priester gehen.</x:v>
      </x:c>
      <x:c r="H45" s="36" t="str">
        <x:v>Sie solle sieben Tage warten.</x:v>
      </x:c>
      <x:c r="I45" s="36" t="str">
        <x:v>Ihre Familie habe sie geheilt.</x:v>
      </x:c>
      <x:c r="J45" s="36" t="str">
        <x:v>Ihr Glaube habe ihr geholfen.</x:v>
      </x:c>
      <x:c r="K45" s="36" t="n">
        <x:v>3</x:v>
      </x:c>
      <x:c r="L45" s="36" t="str">
        <x:v>Ihr Glaube habe ihr geholfen.</x:v>
      </x:c>
      <x:c r="M45" s="36" t="str">
        <x:v>Matthäus 9,20–22</x:v>
      </x:c>
      <x:c r="N45" s="36" t="str">
        <x:v>Die Frau berührt Jesu Gewand im Vertrauen auf Heilung; Jesus spricht ihr zu, dass ihr Glaube ihr geholfen hat.</x:v>
      </x:c>
      <x:c r="O45" s="36" t="str">
        <x:v>FREIGEGEBEN</x:v>
      </x:c>
      <x:c r="P45" s="36" t="str">
        <x:v>FREIGEGEBEN</x:v>
      </x:c>
      <x:c r="Q45" s="36" t="str">
        <x:v>JA</x:v>
      </x:c>
    </x:row>
    <x:row r="46">
      <x:c r="A46" s="36" t="str">
        <x:v>FP-0305</x:v>
      </x:c>
      <x:c r="B46" s="36" t="str">
        <x:v>MAT</x:v>
      </x:c>
      <x:c r="C46" s="36" t="str">
        <x:v>Matthäus</x:v>
      </x:c>
      <x:c r="D46" s="36" t="n">
        <x:v>9</x:v>
      </x:c>
      <x:c r="E46" s="36" t="n">
        <x:v>5</x:v>
      </x:c>
      <x:c r="F46" s="36" t="str">
        <x:v>Was sollen die Jünger angesichts der großen Ernte und der wenigen Arbeiter tun?</x:v>
      </x:c>
      <x:c r="G46" s="36" t="str">
        <x:v>Den Herrn der Ernte bitten, Arbeiter in seine Ernte zu senden.</x:v>
      </x:c>
      <x:c r="H46" s="36" t="str">
        <x:v>Selbst die Ernte abbrechen.</x:v>
      </x:c>
      <x:c r="I46" s="36" t="str">
        <x:v>Nur in Jerusalem predigen.</x:v>
      </x:c>
      <x:c r="J46" s="36" t="str">
        <x:v>Auf ein weiteres Zeichen warten.</x:v>
      </x:c>
      <x:c r="K46" s="36" t="n">
        <x:v>0</x:v>
      </x:c>
      <x:c r="L46" s="36" t="str">
        <x:v>Den Herrn der Ernte bitten, Arbeiter in seine Ernte zu senden.</x:v>
      </x:c>
      <x:c r="M46" s="36" t="str">
        <x:v>Matthäus 9,36–38</x:v>
      </x:c>
      <x:c r="N46" s="36" t="str">
        <x:v>Jesus sieht die Not der Menschen, spricht von einer großen Ernte und fordert zum Gebet um Arbeiter auf.</x:v>
      </x:c>
      <x:c r="O46" s="36" t="str">
        <x:v>FREIGEGEBEN</x:v>
      </x:c>
      <x:c r="P46" s="36" t="str">
        <x:v>FREIGEGEBEN</x:v>
      </x:c>
      <x:c r="Q46" s="36" t="str">
        <x:v>JA</x:v>
      </x:c>
    </x:row>
    <x:row r="47">
      <x:c r="A47" s="36" t="str">
        <x:v>FP-0306</x:v>
      </x:c>
      <x:c r="B47" s="36" t="str">
        <x:v>MAT</x:v>
      </x:c>
      <x:c r="C47" s="36" t="str">
        <x:v>Matthäus</x:v>
      </x:c>
      <x:c r="D47" s="36" t="n">
        <x:v>10</x:v>
      </x:c>
      <x:c r="E47" s="36" t="n">
        <x:v>1</x:v>
      </x:c>
      <x:c r="F47" s="36" t="str">
        <x:v>Welche Vollmacht gab Jesus den zwölf Jüngern zu Beginn ihrer Aussendung?</x:v>
      </x:c>
      <x:c r="G47" s="36" t="str">
        <x:v>Vollmacht, Steuern zu erheben.</x:v>
      </x:c>
      <x:c r="H47" s="36" t="str">
        <x:v>Vollmacht über unreine Geister und zum Heilen von Krankheiten.</x:v>
      </x:c>
      <x:c r="I47" s="36" t="str">
        <x:v>Vollmacht, den Tempel zu verwalten.</x:v>
      </x:c>
      <x:c r="J47" s="36" t="str">
        <x:v>Vollmacht, römische Soldaten zu befehligen.</x:v>
      </x:c>
      <x:c r="K47" s="36" t="n">
        <x:v>1</x:v>
      </x:c>
      <x:c r="L47" s="36" t="str">
        <x:v>Vollmacht über unreine Geister und zum Heilen von Krankheiten.</x:v>
      </x:c>
      <x:c r="M47" s="36" t="str">
        <x:v>Matthäus 10,1</x:v>
      </x:c>
      <x:c r="N47" s="36" t="str">
        <x:v>Jesus gibt den Zwölf Vollmacht über unreine Geister und über Krankheiten.</x:v>
      </x:c>
      <x:c r="O47" s="36" t="str">
        <x:v>FREIGEGEBEN</x:v>
      </x:c>
      <x:c r="P47" s="36" t="str">
        <x:v>FREIGEGEBEN</x:v>
      </x:c>
      <x:c r="Q47" s="36" t="str">
        <x:v>JA</x:v>
      </x:c>
    </x:row>
    <x:row r="48">
      <x:c r="A48" s="36" t="str">
        <x:v>FP-0307</x:v>
      </x:c>
      <x:c r="B48" s="36" t="str">
        <x:v>MAT</x:v>
      </x:c>
      <x:c r="C48" s="36" t="str">
        <x:v>Matthäus</x:v>
      </x:c>
      <x:c r="D48" s="36" t="n">
        <x:v>10</x:v>
      </x:c>
      <x:c r="E48" s="36" t="n">
        <x:v>2</x:v>
      </x:c>
      <x:c r="F48" s="36" t="str">
        <x:v>Zu wem sollten die Zwölf bei dieser ersten Aussendung besonders gehen?</x:v>
      </x:c>
      <x:c r="G48" s="36" t="str">
        <x:v>Ausschließlich zu den Römern.</x:v>
      </x:c>
      <x:c r="H48" s="36" t="str">
        <x:v>Nur zu den Samaritern.</x:v>
      </x:c>
      <x:c r="I48" s="36" t="str">
        <x:v>Zu den verlorenen Schafen des Hauses Israel.</x:v>
      </x:c>
      <x:c r="J48" s="36" t="str">
        <x:v>Nur zu den Priestern in Jerusalem.</x:v>
      </x:c>
      <x:c r="K48" s="36" t="n">
        <x:v>2</x:v>
      </x:c>
      <x:c r="L48" s="36" t="str">
        <x:v>Zu den verlorenen Schafen des Hauses Israel.</x:v>
      </x:c>
      <x:c r="M48" s="36" t="str">
        <x:v>Matthäus 10,5–6</x:v>
      </x:c>
      <x:c r="N48" s="36" t="str">
        <x:v>Jesus begrenzt diese konkrete Aussendung zunächst auf die verlorenen Schafe des Hauses Israel.</x:v>
      </x:c>
      <x:c r="O48" s="36" t="str">
        <x:v>FREIGEGEBEN</x:v>
      </x:c>
      <x:c r="P48" s="36" t="str">
        <x:v>FREIGEGEBEN</x:v>
      </x:c>
      <x:c r="Q48" s="36" t="str">
        <x:v>JA</x:v>
      </x:c>
    </x:row>
    <x:row r="49">
      <x:c r="A49" s="36" t="str">
        <x:v>FP-0308</x:v>
      </x:c>
      <x:c r="B49" s="36" t="str">
        <x:v>MAT</x:v>
      </x:c>
      <x:c r="C49" s="36" t="str">
        <x:v>Matthäus</x:v>
      </x:c>
      <x:c r="D49" s="36" t="n">
        <x:v>10</x:v>
      </x:c>
      <x:c r="E49" s="36" t="n">
        <x:v>3</x:v>
      </x:c>
      <x:c r="F49" s="36" t="str">
        <x:v>Was sollten die Jünger auf ihrem Weg verkünden?</x:v>
      </x:c>
      <x:c r="G49" s="36" t="str">
        <x:v>Der Tempel wird geschlossen.</x:v>
      </x:c>
      <x:c r="H49" s="36" t="str">
        <x:v>Rom wird bald fallen.</x:v>
      </x:c>
      <x:c r="I49" s="36" t="str">
        <x:v>Johannes wird König.</x:v>
      </x:c>
      <x:c r="J49" s="36" t="str">
        <x:v>Das Himmelreich ist nahe.</x:v>
      </x:c>
      <x:c r="K49" s="36" t="n">
        <x:v>3</x:v>
      </x:c>
      <x:c r="L49" s="36" t="str">
        <x:v>Das Himmelreich ist nahe.</x:v>
      </x:c>
      <x:c r="M49" s="36" t="str">
        <x:v>Matthäus 10,7–8</x:v>
      </x:c>
      <x:c r="N49" s="36" t="str">
        <x:v>Die Jünger sollen die Nähe des Himmelreichs verkünden und das Empfangene unentgeltlich weitergeben.</x:v>
      </x:c>
      <x:c r="O49" s="36" t="str">
        <x:v>FREIGEGEBEN</x:v>
      </x:c>
      <x:c r="P49" s="36" t="str">
        <x:v>FREIGEGEBEN</x:v>
      </x:c>
      <x:c r="Q49" s="36" t="str">
        <x:v>JA</x:v>
      </x:c>
    </x:row>
    <x:row r="50">
      <x:c r="A50" s="36" t="str">
        <x:v>FP-0309</x:v>
      </x:c>
      <x:c r="B50" s="36" t="str">
        <x:v>MAT</x:v>
      </x:c>
      <x:c r="C50" s="36" t="str">
        <x:v>Matthäus</x:v>
      </x:c>
      <x:c r="D50" s="36" t="n">
        <x:v>10</x:v>
      </x:c>
      <x:c r="E50" s="36" t="n">
        <x:v>4</x:v>
      </x:c>
      <x:c r="F50" s="36" t="str">
        <x:v>Warum sollten sich die Jünger bei Verhören nicht vorher sorgen, was sie sagen sollen?</x:v>
      </x:c>
      <x:c r="G50" s="36" t="str">
        <x:v>Weil ihnen gegeben wird, was sie sagen sollen, und der Geist des Vaters durch sie redet.</x:v>
      </x:c>
      <x:c r="H50" s="36" t="str">
        <x:v>Weil sie grundsätzlich schweigen sollten.</x:v>
      </x:c>
      <x:c r="I50" s="36" t="str">
        <x:v>Weil Petrus immer für alle antworten würde.</x:v>
      </x:c>
      <x:c r="J50" s="36" t="str">
        <x:v>Weil sie nie vor Gerichte kommen würden.</x:v>
      </x:c>
      <x:c r="K50" s="36" t="n">
        <x:v>0</x:v>
      </x:c>
      <x:c r="L50" s="36" t="str">
        <x:v>Weil ihnen gegeben wird, was sie sagen sollen, und der Geist des Vaters durch sie redet.</x:v>
      </x:c>
      <x:c r="M50" s="36" t="str">
        <x:v>Matthäus 10,17–20</x:v>
      </x:c>
      <x:c r="N50" s="36" t="str">
        <x:v>Jesus bereitet die Jünger auf Verfolgung vor und verspricht ihnen Hilfe beim Reden.</x:v>
      </x:c>
      <x:c r="O50" s="36" t="str">
        <x:v>FREIGEGEBEN</x:v>
      </x:c>
      <x:c r="P50" s="36" t="str">
        <x:v>FREIGEGEBEN</x:v>
      </x:c>
      <x:c r="Q50" s="36" t="str">
        <x:v>JA</x:v>
      </x:c>
    </x:row>
    <x:row r="51">
      <x:c r="A51" s="36" t="str">
        <x:v>FP-0310</x:v>
      </x:c>
      <x:c r="B51" s="36" t="str">
        <x:v>MAT</x:v>
      </x:c>
      <x:c r="C51" s="36" t="str">
        <x:v>Matthäus</x:v>
      </x:c>
      <x:c r="D51" s="36" t="n">
        <x:v>10</x:v>
      </x:c>
      <x:c r="E51" s="36" t="n">
        <x:v>5</x:v>
      </x:c>
      <x:c r="F51" s="36" t="str">
        <x:v>Was sagt Jesus über selbst kleine Hilfe für einen seiner Jünger?</x:v>
      </x:c>
      <x:c r="G51" s="36" t="str">
        <x:v>Nur große Geldgaben zählen.</x:v>
      </x:c>
      <x:c r="H51" s="36" t="str">
        <x:v>Schon ein Becher kaltes Wasser wird nicht ohne Lohn bleiben.</x:v>
      </x:c>
      <x:c r="I51" s="36" t="str">
        <x:v>Hilfe ist nur im Tempel wertvoll.</x:v>
      </x:c>
      <x:c r="J51" s="36" t="str">
        <x:v>Sie hat keinerlei Bedeutung.</x:v>
      </x:c>
      <x:c r="K51" s="36" t="n">
        <x:v>1</x:v>
      </x:c>
      <x:c r="L51" s="36" t="str">
        <x:v>Schon ein Becher kaltes Wasser wird nicht ohne Lohn bleiben.</x:v>
      </x:c>
      <x:c r="M51" s="36" t="str">
        <x:v>Matthäus 10,40–42</x:v>
      </x:c>
      <x:c r="N51" s="36" t="str">
        <x:v>Jesus verbindet die Aufnahme seiner Gesandten mit seiner eigenen Sendung und würdigt selbst einen Becher kalten Wassers.</x:v>
      </x:c>
      <x:c r="O51" s="36" t="str">
        <x:v>FREIGEGEBEN</x:v>
      </x:c>
      <x:c r="P51" s="36" t="str">
        <x:v>FREIGEGEBEN</x:v>
      </x:c>
      <x:c r="Q51" s="36" t="str">
        <x:v>JA</x:v>
      </x:c>
    </x:row>
    <x:row r="52">
      <x:c r="A52" s="36" t="str">
        <x:v>FP-0311</x:v>
      </x:c>
      <x:c r="B52" s="36" t="str">
        <x:v>MAT</x:v>
      </x:c>
      <x:c r="C52" s="36" t="str">
        <x:v>Matthäus</x:v>
      </x:c>
      <x:c r="D52" s="36" t="n">
        <x:v>11</x:v>
      </x:c>
      <x:c r="E52" s="36" t="n">
        <x:v>1</x:v>
      </x:c>
      <x:c r="F52" s="36" t="str">
        <x:v>Welche Frage ließ Johannes der Täufer Jesus aus dem Gefängnis stellen?</x:v>
      </x:c>
      <x:c r="G52" s="36" t="str">
        <x:v>Ob Jesus nach Rom gehen werde.</x:v>
      </x:c>
      <x:c r="H52" s="36" t="str">
        <x:v>Ob die Jünger fasten sollten.</x:v>
      </x:c>
      <x:c r="I52" s="36" t="str">
        <x:v>Ob Jesus der Kommende sei oder ob sie auf einen anderen warten sollten.</x:v>
      </x:c>
      <x:c r="J52" s="36" t="str">
        <x:v>Ob Herodes König bleiben werde.</x:v>
      </x:c>
      <x:c r="K52" s="36" t="n">
        <x:v>2</x:v>
      </x:c>
      <x:c r="L52" s="36" t="str">
        <x:v>Ob Jesus der Kommende sei oder ob sie auf einen anderen warten sollten.</x:v>
      </x:c>
      <x:c r="M52" s="36" t="str">
        <x:v>Matthäus 11,2–3</x:v>
      </x:c>
      <x:c r="N52" s="36" t="str">
        <x:v>Johannes lässt Jesus fragen, ob er der erwartete Kommende ist.</x:v>
      </x:c>
      <x:c r="O52" s="36" t="str">
        <x:v>FREIGEGEBEN</x:v>
      </x:c>
      <x:c r="P52" s="36" t="str">
        <x:v>FREIGEGEBEN</x:v>
      </x:c>
      <x:c r="Q52" s="36" t="str">
        <x:v>JA</x:v>
      </x:c>
    </x:row>
    <x:row r="53">
      <x:c r="A53" s="36" t="str">
        <x:v>FP-0312</x:v>
      </x:c>
      <x:c r="B53" s="36" t="str">
        <x:v>MAT</x:v>
      </x:c>
      <x:c r="C53" s="36" t="str">
        <x:v>Matthäus</x:v>
      </x:c>
      <x:c r="D53" s="36" t="n">
        <x:v>11</x:v>
      </x:c>
      <x:c r="E53" s="36" t="n">
        <x:v>2</x:v>
      </x:c>
      <x:c r="F53" s="36" t="str">
        <x:v>Worauf verweist Jesus in seiner Antwort an Johannes?</x:v>
      </x:c>
      <x:c r="G53" s="36" t="str">
        <x:v>Auf seine Abstammungsliste allein.</x:v>
      </x:c>
      <x:c r="H53" s="36" t="str">
        <x:v>Auf ein geheimes Zeichen im Tempel.</x:v>
      </x:c>
      <x:c r="I53" s="36" t="str">
        <x:v>Auf eine politische Veränderung in Judäa.</x:v>
      </x:c>
      <x:c r="J53" s="36" t="str">
        <x:v>Auf das, was die Boten hören und sehen: Heilungen, Auferweckung und Evangelium für die Armen.</x:v>
      </x:c>
      <x:c r="K53" s="36" t="n">
        <x:v>3</x:v>
      </x:c>
      <x:c r="L53" s="36" t="str">
        <x:v>Auf das, was die Boten hören und sehen: Heilungen, Auferweckung und Evangelium für die Armen.</x:v>
      </x:c>
      <x:c r="M53" s="36" t="str">
        <x:v>Matthäus 11,4–6</x:v>
      </x:c>
      <x:c r="N53" s="36" t="str">
        <x:v>Jesus verweist auf sichtbare und hörbare Zeichen seines Wirkens als Antwort auf die Frage des Johannes.</x:v>
      </x:c>
      <x:c r="O53" s="36" t="str">
        <x:v>FREIGEGEBEN</x:v>
      </x:c>
      <x:c r="P53" s="36" t="str">
        <x:v>FREIGEGEBEN</x:v>
      </x:c>
      <x:c r="Q53" s="36" t="str">
        <x:v>JA</x:v>
      </x:c>
    </x:row>
    <x:row r="54">
      <x:c r="A54" s="36" t="str">
        <x:v>FP-0313</x:v>
      </x:c>
      <x:c r="B54" s="36" t="str">
        <x:v>MAT</x:v>
      </x:c>
      <x:c r="C54" s="36" t="str">
        <x:v>Matthäus</x:v>
      </x:c>
      <x:c r="D54" s="36" t="n">
        <x:v>11</x:v>
      </x:c>
      <x:c r="E54" s="36" t="n">
        <x:v>3</x:v>
      </x:c>
      <x:c r="F54" s="36" t="str">
        <x:v>Wie beschreibt Jesus Johannes im Verhältnis zu gewöhnlichen Propheten?</x:v>
      </x:c>
      <x:c r="G54" s="36" t="str">
        <x:v>Als mehr als einen Propheten und als den angekündigten Boten, der den Weg bereitet.</x:v>
      </x:c>
      <x:c r="H54" s="36" t="str">
        <x:v>Als König über Israel.</x:v>
      </x:c>
      <x:c r="I54" s="36" t="str">
        <x:v>Als einen der zwölf Apostel.</x:v>
      </x:c>
      <x:c r="J54" s="36" t="str">
        <x:v>Als Schriftgelehrten aus Jerusalem.</x:v>
      </x:c>
      <x:c r="K54" s="36" t="n">
        <x:v>0</x:v>
      </x:c>
      <x:c r="L54" s="36" t="str">
        <x:v>Als mehr als einen Propheten und als den angekündigten Boten, der den Weg bereitet.</x:v>
      </x:c>
      <x:c r="M54" s="36" t="str">
        <x:v>Matthäus 11,9–10</x:v>
      </x:c>
      <x:c r="N54" s="36" t="str">
        <x:v>Jesus bezeichnet Johannes als mehr als einen Propheten und verbindet ihn mit dem angekündigten Wegbereiter.</x:v>
      </x:c>
      <x:c r="O54" s="36" t="str">
        <x:v>FREIGEGEBEN</x:v>
      </x:c>
      <x:c r="P54" s="36" t="str">
        <x:v>FREIGEGEBEN</x:v>
      </x:c>
      <x:c r="Q54" s="36" t="str">
        <x:v>JA</x:v>
      </x:c>
    </x:row>
    <x:row r="55">
      <x:c r="A55" s="36" t="str">
        <x:v>FP-0314</x:v>
      </x:c>
      <x:c r="B55" s="36" t="str">
        <x:v>MAT</x:v>
      </x:c>
      <x:c r="C55" s="36" t="str">
        <x:v>Matthäus</x:v>
      </x:c>
      <x:c r="D55" s="36" t="n">
        <x:v>11</x:v>
      </x:c>
      <x:c r="E55" s="36" t="n">
        <x:v>4</x:v>
      </x:c>
      <x:c r="F55" s="36" t="str">
        <x:v>Warum tadelt Jesus Städte wie Chorazin und Bethsaida?</x:v>
      </x:c>
      <x:c r="G55" s="36" t="str">
        <x:v>Weil sie keine Synagogen hatten.</x:v>
      </x:c>
      <x:c r="H55" s="36" t="str">
        <x:v>Weil sie trotz der dort geschehenen Machttaten nicht umkehrten.</x:v>
      </x:c>
      <x:c r="I55" s="36" t="str">
        <x:v>Weil sie den Sabbat abschafften.</x:v>
      </x:c>
      <x:c r="J55" s="36" t="str">
        <x:v>Weil sie keine Steuern zahlten.</x:v>
      </x:c>
      <x:c r="K55" s="36" t="n">
        <x:v>1</x:v>
      </x:c>
      <x:c r="L55" s="36" t="str">
        <x:v>Weil sie trotz der dort geschehenen Machttaten nicht umkehrten.</x:v>
      </x:c>
      <x:c r="M55" s="36" t="str">
        <x:v>Matthäus 11,20–22</x:v>
      </x:c>
      <x:c r="N55" s="36" t="str">
        <x:v>Jesus wirft den Städten vor, dass die vielen Machttaten nicht zur Umkehr geführt haben.</x:v>
      </x:c>
      <x:c r="O55" s="36" t="str">
        <x:v>FREIGEGEBEN</x:v>
      </x:c>
      <x:c r="P55" s="36" t="str">
        <x:v>FREIGEGEBEN</x:v>
      </x:c>
      <x:c r="Q55" s="36" t="str">
        <x:v>JA</x:v>
      </x:c>
    </x:row>
    <x:row r="56">
      <x:c r="A56" s="36" t="str">
        <x:v>FP-0315</x:v>
      </x:c>
      <x:c r="B56" s="36" t="str">
        <x:v>MAT</x:v>
      </x:c>
      <x:c r="C56" s="36" t="str">
        <x:v>Matthäus</x:v>
      </x:c>
      <x:c r="D56" s="36" t="n">
        <x:v>11</x:v>
      </x:c>
      <x:c r="E56" s="36" t="n">
        <x:v>5</x:v>
      </x:c>
      <x:c r="F56" s="36" t="str">
        <x:v>Welche Einladung spricht Jesus am Ende von Matthäus 11 aus?</x:v>
      </x:c>
      <x:c r="G56" s="36" t="str">
        <x:v>Nur Schriftgelehrte sollen ihm folgen.</x:v>
      </x:c>
      <x:c r="H56" s="36" t="str">
        <x:v>Alle sollen in die Wüste ziehen.</x:v>
      </x:c>
      <x:c r="I56" s="36" t="str">
        <x:v>Mühselige und Beladene sollen zu ihm kommen, und er will ihnen Ruhe geben.</x:v>
      </x:c>
      <x:c r="J56" s="36" t="str">
        <x:v>Niemand soll mehr arbeiten.</x:v>
      </x:c>
      <x:c r="K56" s="36" t="n">
        <x:v>2</x:v>
      </x:c>
      <x:c r="L56" s="36" t="str">
        <x:v>Mühselige und Beladene sollen zu ihm kommen, und er will ihnen Ruhe geben.</x:v>
      </x:c>
      <x:c r="M56" s="36" t="str">
        <x:v>Matthäus 11,28–30</x:v>
      </x:c>
      <x:c r="N56" s="36" t="str">
        <x:v>Jesus lädt Belastete zu sich ein und beschreibt sein Joch als sanft und seine Last als leicht.</x:v>
      </x:c>
      <x:c r="O56" s="36" t="str">
        <x:v>FREIGEGEBEN</x:v>
      </x:c>
      <x:c r="P56" s="36" t="str">
        <x:v>FREIGEGEBEN</x:v>
      </x:c>
      <x:c r="Q56" s="36" t="str">
        <x:v>JA</x:v>
      </x:c>
    </x:row>
    <x:row r="57">
      <x:c r="A57" s="36" t="str">
        <x:v>FP-0316</x:v>
      </x:c>
      <x:c r="B57" s="36" t="str">
        <x:v>MAT</x:v>
      </x:c>
      <x:c r="C57" s="36" t="str">
        <x:v>Matthäus</x:v>
      </x:c>
      <x:c r="D57" s="36" t="n">
        <x:v>12</x:v>
      </x:c>
      <x:c r="E57" s="36" t="n">
        <x:v>1</x:v>
      </x:c>
      <x:c r="F57" s="36" t="str">
        <x:v>Welche Aussage macht Jesus im Streit um das Ährenpflücken am Sabbat über den Menschensohn?</x:v>
      </x:c>
      <x:c r="G57" s="36" t="str">
        <x:v>Der Menschensohn darf den Sabbat nicht betreten.</x:v>
      </x:c>
      <x:c r="H57" s="36" t="str">
        <x:v>Der Sabbat gilt nur für Priester.</x:v>
      </x:c>
      <x:c r="I57" s="36" t="str">
        <x:v>Der Menschensohn soll den Tempel meiden.</x:v>
      </x:c>
      <x:c r="J57" s="36" t="str">
        <x:v>Der Menschensohn ist Herr über den Sabbat.</x:v>
      </x:c>
      <x:c r="K57" s="36" t="n">
        <x:v>3</x:v>
      </x:c>
      <x:c r="L57" s="36" t="str">
        <x:v>Der Menschensohn ist Herr über den Sabbat.</x:v>
      </x:c>
      <x:c r="M57" s="36" t="str">
        <x:v>Matthäus 12,1–8</x:v>
      </x:c>
      <x:c r="N57" s="36" t="str">
        <x:v>Jesus verteidigt seine Jünger und erklärt den Menschensohn zum Herrn über den Sabbat.</x:v>
      </x:c>
      <x:c r="O57" s="36" t="str">
        <x:v>FREIGEGEBEN</x:v>
      </x:c>
      <x:c r="P57" s="36" t="str">
        <x:v>FREIGEGEBEN</x:v>
      </x:c>
      <x:c r="Q57" s="36" t="str">
        <x:v>JA</x:v>
      </x:c>
    </x:row>
    <x:row r="58">
      <x:c r="A58" s="36" t="str">
        <x:v>FP-0317</x:v>
      </x:c>
      <x:c r="B58" s="36" t="str">
        <x:v>MAT</x:v>
      </x:c>
      <x:c r="C58" s="36" t="str">
        <x:v>Matthäus</x:v>
      </x:c>
      <x:c r="D58" s="36" t="n">
        <x:v>12</x:v>
      </x:c>
      <x:c r="E58" s="36" t="n">
        <x:v>2</x:v>
      </x:c>
      <x:c r="F58" s="36" t="str">
        <x:v>Was zeigt Jesus mit der Heilung der verdorrten Hand am Sabbat?</x:v>
      </x:c>
      <x:c r="G58" s="36" t="str">
        <x:v>Es ist erlaubt, am Sabbat Gutes zu tun.</x:v>
      </x:c>
      <x:c r="H58" s="36" t="str">
        <x:v>Heilung ist am Sabbat grundsätzlich verboten.</x:v>
      </x:c>
      <x:c r="I58" s="36" t="str">
        <x:v>Nur Priester dürfen am Sabbat helfen.</x:v>
      </x:c>
      <x:c r="J58" s="36" t="str">
        <x:v>Am Sabbat darf niemand eine Synagoge betreten.</x:v>
      </x:c>
      <x:c r="K58" s="36" t="n">
        <x:v>0</x:v>
      </x:c>
      <x:c r="L58" s="36" t="str">
        <x:v>Es ist erlaubt, am Sabbat Gutes zu tun.</x:v>
      </x:c>
      <x:c r="M58" s="36" t="str">
        <x:v>Matthäus 12,9–13</x:v>
      </x:c>
      <x:c r="N58" s="36" t="str">
        <x:v>Jesus verbindet die Heilung mit der Aussage, dass es erlaubt ist, am Sabbat Gutes zu tun.</x:v>
      </x:c>
      <x:c r="O58" s="36" t="str">
        <x:v>FREIGEGEBEN</x:v>
      </x:c>
      <x:c r="P58" s="36" t="str">
        <x:v>FREIGEGEBEN</x:v>
      </x:c>
      <x:c r="Q58" s="36" t="str">
        <x:v>JA</x:v>
      </x:c>
    </x:row>
    <x:row r="59">
      <x:c r="A59" s="36" t="str">
        <x:v>FP-0318</x:v>
      </x:c>
      <x:c r="B59" s="36" t="str">
        <x:v>MAT</x:v>
      </x:c>
      <x:c r="C59" s="36" t="str">
        <x:v>Matthäus</x:v>
      </x:c>
      <x:c r="D59" s="36" t="n">
        <x:v>12</x:v>
      </x:c>
      <x:c r="E59" s="36" t="n">
        <x:v>3</x:v>
      </x:c>
      <x:c r="F59" s="36" t="str">
        <x:v>Wie antwortet Jesus auf den Vorwurf, er treibe Dämonen durch Beelzebub aus?</x:v>
      </x:c>
      <x:c r="G59" s="36" t="str">
        <x:v>Beelzebub sei ein anderer Name für Johannes.</x:v>
      </x:c>
      <x:c r="H59" s="36" t="str">
        <x:v>Ein Reich, das mit sich selbst entzweit ist, kann nicht bestehen.</x:v>
      </x:c>
      <x:c r="I59" s="36" t="str">
        <x:v>Dämonen könnten überhaupt nicht ausgetrieben werden.</x:v>
      </x:c>
      <x:c r="J59" s="36" t="str">
        <x:v>Nur die Jünger dürften Dämonen austreiben.</x:v>
      </x:c>
      <x:c r="K59" s="36" t="n">
        <x:v>1</x:v>
      </x:c>
      <x:c r="L59" s="36" t="str">
        <x:v>Ein Reich, das mit sich selbst entzweit ist, kann nicht bestehen.</x:v>
      </x:c>
      <x:c r="M59" s="36" t="str">
        <x:v>Matthäus 12,24–28</x:v>
      </x:c>
      <x:c r="N59" s="36" t="str">
        <x:v>Jesus zeigt die Widersprüchlichkeit des Vorwurfs mit dem Bild eines in sich geteilten Reiches.</x:v>
      </x:c>
      <x:c r="O59" s="36" t="str">
        <x:v>FREIGEGEBEN</x:v>
      </x:c>
      <x:c r="P59" s="36" t="str">
        <x:v>FREIGEGEBEN</x:v>
      </x:c>
      <x:c r="Q59" s="36" t="str">
        <x:v>JA</x:v>
      </x:c>
    </x:row>
    <x:row r="60">
      <x:c r="A60" s="36" t="str">
        <x:v>FP-0319</x:v>
      </x:c>
      <x:c r="B60" s="36" t="str">
        <x:v>MAT</x:v>
      </x:c>
      <x:c r="C60" s="36" t="str">
        <x:v>Matthäus</x:v>
      </x:c>
      <x:c r="D60" s="36" t="n">
        <x:v>12</x:v>
      </x:c>
      <x:c r="E60" s="36" t="n">
        <x:v>4</x:v>
      </x:c>
      <x:c r="F60" s="36" t="str">
        <x:v>Welches Zeichen nennt Jesus den Schriftgelehrten und Pharisäern, die ein Zeichen verlangen?</x:v>
      </x:c>
      <x:c r="G60" s="36" t="str">
        <x:v>Das Zeichen des Mose.</x:v>
      </x:c>
      <x:c r="H60" s="36" t="str">
        <x:v>Das Zeichen des Elia.</x:v>
      </x:c>
      <x:c r="I60" s="36" t="str">
        <x:v>Das Zeichen des Propheten Jona.</x:v>
      </x:c>
      <x:c r="J60" s="36" t="str">
        <x:v>Das Zeichen des David.</x:v>
      </x:c>
      <x:c r="K60" s="36" t="n">
        <x:v>2</x:v>
      </x:c>
      <x:c r="L60" s="36" t="str">
        <x:v>Das Zeichen des Propheten Jona.</x:v>
      </x:c>
      <x:c r="M60" s="36" t="str">
        <x:v>Matthäus 12,38–40</x:v>
      </x:c>
      <x:c r="N60" s="36" t="str">
        <x:v>Jesus verweist auf Jona und verbindet dessen Zeit im Fisch mit dem Menschensohn.</x:v>
      </x:c>
      <x:c r="O60" s="36" t="str">
        <x:v>FREIGEGEBEN</x:v>
      </x:c>
      <x:c r="P60" s="36" t="str">
        <x:v>FREIGEGEBEN</x:v>
      </x:c>
      <x:c r="Q60" s="36" t="str">
        <x:v>JA</x:v>
      </x:c>
    </x:row>
    <x:row r="61">
      <x:c r="A61" s="36" t="str">
        <x:v>FP-0320</x:v>
      </x:c>
      <x:c r="B61" s="36" t="str">
        <x:v>MAT</x:v>
      </x:c>
      <x:c r="C61" s="36" t="str">
        <x:v>Matthäus</x:v>
      </x:c>
      <x:c r="D61" s="36" t="n">
        <x:v>12</x:v>
      </x:c>
      <x:c r="E61" s="36" t="n">
        <x:v>5</x:v>
      </x:c>
      <x:c r="F61" s="36" t="str">
        <x:v>Wen bezeichnet Jesus als seine geistliche Familie?</x:v>
      </x:c>
      <x:c r="G61" s="36" t="str">
        <x:v>Nur seine leiblichen Verwandten.</x:v>
      </x:c>
      <x:c r="H61" s="36" t="str">
        <x:v>Nur die zwölf Apostel.</x:v>
      </x:c>
      <x:c r="I61" s="36" t="str">
        <x:v>Alle Einwohner Nazareths.</x:v>
      </x:c>
      <x:c r="J61" s="36" t="str">
        <x:v>Wer den Willen seines Vaters im Himmel tut.</x:v>
      </x:c>
      <x:c r="K61" s="36" t="n">
        <x:v>3</x:v>
      </x:c>
      <x:c r="L61" s="36" t="str">
        <x:v>Wer den Willen seines Vaters im Himmel tut.</x:v>
      </x:c>
      <x:c r="M61" s="36" t="str">
        <x:v>Matthäus 12,46–50</x:v>
      </x:c>
      <x:c r="N61" s="36" t="str">
        <x:v>Jesus erweitert den Familienbegriff auf diejenigen, die den Willen seines himmlischen Vaters tun.</x:v>
      </x:c>
      <x:c r="O61" s="36" t="str">
        <x:v>FREIGEGEBEN</x:v>
      </x:c>
      <x:c r="P61" s="36" t="str">
        <x:v>FREIGEGEBEN</x:v>
      </x:c>
      <x:c r="Q61" s="36" t="str">
        <x:v>JA</x:v>
      </x:c>
    </x:row>
    <x:row r="62">
      <x:c r="A62" s="36" t="str">
        <x:v>FP-0321</x:v>
      </x:c>
      <x:c r="B62" s="36" t="str">
        <x:v>MAT</x:v>
      </x:c>
      <x:c r="C62" s="36" t="str">
        <x:v>Matthäus</x:v>
      </x:c>
      <x:c r="D62" s="36" t="n">
        <x:v>13</x:v>
      </x:c>
      <x:c r="E62" s="36" t="n">
        <x:v>1</x:v>
      </x:c>
      <x:c r="F62" s="36" t="str">
        <x:v>Wofür steht der Same in Jesu Erklärung des Gleichnisses vom Sämann?</x:v>
      </x:c>
      <x:c r="G62" s="36" t="str">
        <x:v>Für das Wort vom Reich.</x:v>
      </x:c>
      <x:c r="H62" s="36" t="str">
        <x:v>Für Geld und Besitz.</x:v>
      </x:c>
      <x:c r="I62" s="36" t="str">
        <x:v>Für die römische Herrschaft.</x:v>
      </x:c>
      <x:c r="J62" s="36" t="str">
        <x:v>Für das Gesetz des Kaisers.</x:v>
      </x:c>
      <x:c r="K62" s="36" t="n">
        <x:v>0</x:v>
      </x:c>
      <x:c r="L62" s="36" t="str">
        <x:v>Für das Wort vom Reich.</x:v>
      </x:c>
      <x:c r="M62" s="36" t="str">
        <x:v>Matthäus 13,18–23</x:v>
      </x:c>
      <x:c r="N62" s="36" t="str">
        <x:v>Jesus erklärt das Gleichnis, indem er den ausgesäten Samen mit dem Wort vom Reich verbindet.</x:v>
      </x:c>
      <x:c r="O62" s="36" t="str">
        <x:v>FREIGEGEBEN</x:v>
      </x:c>
      <x:c r="P62" s="36" t="str">
        <x:v>FREIGEGEBEN</x:v>
      </x:c>
      <x:c r="Q62" s="36" t="str">
        <x:v>JA</x:v>
      </x:c>
    </x:row>
    <x:row r="63">
      <x:c r="A63" s="36" t="str">
        <x:v>FP-0322</x:v>
      </x:c>
      <x:c r="B63" s="36" t="str">
        <x:v>MAT</x:v>
      </x:c>
      <x:c r="C63" s="36" t="str">
        <x:v>Matthäus</x:v>
      </x:c>
      <x:c r="D63" s="36" t="n">
        <x:v>13</x:v>
      </x:c>
      <x:c r="E63" s="36" t="n">
        <x:v>2</x:v>
      </x:c>
      <x:c r="F63" s="36" t="str">
        <x:v>Warum lässt der Hausherr im Gleichnis vom Unkraut Weizen und Unkraut zunächst zusammen wachsen?</x:v>
      </x:c>
      <x:c r="G63" s="36" t="str">
        <x:v>Weil er das Unkraut für wertvoll hält.</x:v>
      </x:c>
      <x:c r="H63" s="36" t="str">
        <x:v>Damit beim Ausreißen des Unkrauts nicht auch der Weizen mit ausgerissen wird.</x:v>
      </x:c>
      <x:c r="I63" s="36" t="str">
        <x:v>Weil niemand den Unterschied erkennen kann, auch bei der Ernte nicht.</x:v>
      </x:c>
      <x:c r="J63" s="36" t="str">
        <x:v>Weil die Arbeiter den Acker verlassen haben.</x:v>
      </x:c>
      <x:c r="K63" s="36" t="n">
        <x:v>1</x:v>
      </x:c>
      <x:c r="L63" s="36" t="str">
        <x:v>Damit beim Ausreißen des Unkrauts nicht auch der Weizen mit ausgerissen wird.</x:v>
      </x:c>
      <x:c r="M63" s="36" t="str">
        <x:v>Matthäus 13,24–30</x:v>
      </x:c>
      <x:c r="N63" s="36" t="str">
        <x:v>Der Hausherr wartet bis zur Ernte, um den Weizen nicht durch vorschnelles Ausjäten zu gefährden.</x:v>
      </x:c>
      <x:c r="O63" s="36" t="str">
        <x:v>FREIGEGEBEN</x:v>
      </x:c>
      <x:c r="P63" s="36" t="str">
        <x:v>FREIGEGEBEN</x:v>
      </x:c>
      <x:c r="Q63" s="36" t="str">
        <x:v>JA</x:v>
      </x:c>
    </x:row>
    <x:row r="64">
      <x:c r="A64" s="36" t="str">
        <x:v>FP-0323</x:v>
      </x:c>
      <x:c r="B64" s="36" t="str">
        <x:v>MAT</x:v>
      </x:c>
      <x:c r="C64" s="36" t="str">
        <x:v>Matthäus</x:v>
      </x:c>
      <x:c r="D64" s="36" t="n">
        <x:v>13</x:v>
      </x:c>
      <x:c r="E64" s="36" t="n">
        <x:v>3</x:v>
      </x:c>
      <x:c r="F64" s="36" t="str">
        <x:v>Was tun der Finder des Schatzes und der Kaufmann mit der kostbaren Perle?</x:v>
      </x:c>
      <x:c r="G64" s="36" t="str">
        <x:v>Sie verstecken alles und behalten ihren bisherigen Besitz unverändert.</x:v>
      </x:c>
      <x:c r="H64" s="36" t="str">
        <x:v>Sie verschenken Schatz und Perle sofort.</x:v>
      </x:c>
      <x:c r="I64" s="36" t="str">
        <x:v>Sie geben alles hin, um den gefundenen Wert zu gewinnen.</x:v>
      </x:c>
      <x:c r="J64" s="36" t="str">
        <x:v>Sie bringen beides zum Tempel, ohne etwas zu verkaufen.</x:v>
      </x:c>
      <x:c r="K64" s="36" t="n">
        <x:v>2</x:v>
      </x:c>
      <x:c r="L64" s="36" t="str">
        <x:v>Sie geben alles hin, um den gefundenen Wert zu gewinnen.</x:v>
      </x:c>
      <x:c r="M64" s="36" t="str">
        <x:v>Matthäus 13,44–46</x:v>
      </x:c>
      <x:c r="N64" s="36" t="str">
        <x:v>Beide Gleichnisse betonen den überragenden Wert des Himmelreichs, für den alles andere zurücktritt.</x:v>
      </x:c>
      <x:c r="O64" s="36" t="str">
        <x:v>FREIGEGEBEN</x:v>
      </x:c>
      <x:c r="P64" s="36" t="str">
        <x:v>FREIGEGEBEN</x:v>
      </x:c>
      <x:c r="Q64" s="36" t="str">
        <x:v>JA</x:v>
      </x:c>
    </x:row>
    <x:row r="65">
      <x:c r="A65" s="36" t="str">
        <x:v>FP-0324</x:v>
      </x:c>
      <x:c r="B65" s="36" t="str">
        <x:v>MAT</x:v>
      </x:c>
      <x:c r="C65" s="36" t="str">
        <x:v>Matthäus</x:v>
      </x:c>
      <x:c r="D65" s="36" t="n">
        <x:v>13</x:v>
      </x:c>
      <x:c r="E65" s="36" t="n">
        <x:v>4</x:v>
      </x:c>
      <x:c r="F65" s="36" t="str">
        <x:v>Was geschieht im Gleichnis vom Netz mit den Fischen nach dem Fang?</x:v>
      </x:c>
      <x:c r="G65" s="36" t="str">
        <x:v>Alle werden sofort wieder ins Meer gesetzt.</x:v>
      </x:c>
      <x:c r="H65" s="36" t="str">
        <x:v>Nur die kleinsten werden behalten.</x:v>
      </x:c>
      <x:c r="I65" s="36" t="str">
        <x:v>Die Fischer verkaufen das Netz und behalten keine Fische.</x:v>
      </x:c>
      <x:c r="J65" s="36" t="str">
        <x:v>Die guten werden gesammelt, die schlechten weggeworfen.</x:v>
      </x:c>
      <x:c r="K65" s="36" t="n">
        <x:v>3</x:v>
      </x:c>
      <x:c r="L65" s="36" t="str">
        <x:v>Die guten werden gesammelt, die schlechten weggeworfen.</x:v>
      </x:c>
      <x:c r="M65" s="36" t="str">
        <x:v>Matthäus 13,47–50</x:v>
      </x:c>
      <x:c r="N65" s="36" t="str">
        <x:v>Das Netz sammelt vielerlei Fische; anschließend werden gute und schlechte getrennt.</x:v>
      </x:c>
      <x:c r="O65" s="36" t="str">
        <x:v>FREIGEGEBEN</x:v>
      </x:c>
      <x:c r="P65" s="36" t="str">
        <x:v>FREIGEGEBEN</x:v>
      </x:c>
      <x:c r="Q65" s="36" t="str">
        <x:v>JA</x:v>
      </x:c>
    </x:row>
    <x:row r="66">
      <x:c r="A66" s="36" t="str">
        <x:v>FP-0325</x:v>
      </x:c>
      <x:c r="B66" s="36" t="str">
        <x:v>MAT</x:v>
      </x:c>
      <x:c r="C66" s="36" t="str">
        <x:v>Matthäus</x:v>
      </x:c>
      <x:c r="D66" s="36" t="n">
        <x:v>13</x:v>
      </x:c>
      <x:c r="E66" s="36" t="n">
        <x:v>5</x:v>
      </x:c>
      <x:c r="F66" s="36" t="str">
        <x:v>Warum tat Jesus in seiner Heimat nicht viele Machttaten?</x:v>
      </x:c>
      <x:c r="G66" s="36" t="str">
        <x:v>Wegen ihres Unglaubens.</x:v>
      </x:c>
      <x:c r="H66" s="36" t="str">
        <x:v>Weil er dort niemanden kannte.</x:v>
      </x:c>
      <x:c r="I66" s="36" t="str">
        <x:v>Weil Herodes es verboten hatte.</x:v>
      </x:c>
      <x:c r="J66" s="36" t="str">
        <x:v>Weil die Jünger ihn verlassen hatten.</x:v>
      </x:c>
      <x:c r="K66" s="36" t="n">
        <x:v>0</x:v>
      </x:c>
      <x:c r="L66" s="36" t="str">
        <x:v>Wegen ihres Unglaubens.</x:v>
      </x:c>
      <x:c r="M66" s="36" t="str">
        <x:v>Matthäus 13,53–58</x:v>
      </x:c>
      <x:c r="N66" s="36" t="str">
        <x:v>Matthäus verbindet die wenigen Machttaten in Jesu Heimat ausdrücklich mit dem Unglauben der Menschen dort.</x:v>
      </x:c>
      <x:c r="O66" s="36" t="str">
        <x:v>FREIGEGEBEN</x:v>
      </x:c>
      <x:c r="P66" s="36" t="str">
        <x:v>FREIGEGEBEN</x:v>
      </x:c>
      <x:c r="Q66" s="36" t="str">
        <x:v>JA</x:v>
      </x:c>
    </x:row>
    <x:row r="67">
      <x:c r="A67" s="36" t="str">
        <x:v>FP-0326</x:v>
      </x:c>
      <x:c r="B67" s="36" t="str">
        <x:v>MAT</x:v>
      </x:c>
      <x:c r="C67" s="36" t="str">
        <x:v>Matthäus</x:v>
      </x:c>
      <x:c r="D67" s="36" t="n">
        <x:v>14</x:v>
      </x:c>
      <x:c r="E67" s="36" t="n">
        <x:v>1</x:v>
      </x:c>
      <x:c r="F67" s="36" t="str">
        <x:v>Warum ließ Herodes Johannes den Täufer schließlich enthaupten?</x:v>
      </x:c>
      <x:c r="G67" s="36" t="str">
        <x:v>Weil Johannes nach Rom fliehen wollte.</x:v>
      </x:c>
      <x:c r="H67" s="36" t="str">
        <x:v>Wegen seines Eides und der Bitte der Tochter der Herodias.</x:v>
      </x:c>
      <x:c r="I67" s="36" t="str">
        <x:v>Weil die Jünger Johannes verrieten.</x:v>
      </x:c>
      <x:c r="J67" s="36" t="str">
        <x:v>Weil Johannes sich selbst zum König erklärt hatte.</x:v>
      </x:c>
      <x:c r="K67" s="36" t="n">
        <x:v>1</x:v>
      </x:c>
      <x:c r="L67" s="36" t="str">
        <x:v>Wegen seines Eides und der Bitte der Tochter der Herodias.</x:v>
      </x:c>
      <x:c r="M67" s="36" t="str">
        <x:v>Matthäus 14,6–10</x:v>
      </x:c>
      <x:c r="N67" s="36" t="str">
        <x:v>Nach dem Tanz der Tochter der Herodias bindet sich Herodes durch seinen Eid und lässt Johannes auf ihre Bitte hin enthaupten.</x:v>
      </x:c>
      <x:c r="O67" s="36" t="str">
        <x:v>FREIGEGEBEN</x:v>
      </x:c>
      <x:c r="P67" s="36" t="str">
        <x:v>FREIGEGEBEN</x:v>
      </x:c>
      <x:c r="Q67" s="36" t="str">
        <x:v>JA</x:v>
      </x:c>
    </x:row>
    <x:row r="68">
      <x:c r="A68" s="36" t="str">
        <x:v>FP-0327</x:v>
      </x:c>
      <x:c r="B68" s="36" t="str">
        <x:v>MAT</x:v>
      </x:c>
      <x:c r="C68" s="36" t="str">
        <x:v>Matthäus</x:v>
      </x:c>
      <x:c r="D68" s="36" t="n">
        <x:v>14</x:v>
      </x:c>
      <x:c r="E68" s="36" t="n">
        <x:v>2</x:v>
      </x:c>
      <x:c r="F68" s="36" t="str">
        <x:v>Wie viele Brote und Fische standen Jesus bei der Speisung der großen Menge zur Verfügung?</x:v>
      </x:c>
      <x:c r="G68" s="36" t="str">
        <x:v>Sieben Brote und wenige Fische.</x:v>
      </x:c>
      <x:c r="H68" s="36" t="str">
        <x:v>Zwölf Brote und ein Fisch.</x:v>
      </x:c>
      <x:c r="I68" s="36" t="str">
        <x:v>Fünf Brote und zwei Fische.</x:v>
      </x:c>
      <x:c r="J68" s="36" t="str">
        <x:v>Drei Brote und fünf Fische.</x:v>
      </x:c>
      <x:c r="K68" s="36" t="n">
        <x:v>2</x:v>
      </x:c>
      <x:c r="L68" s="36" t="str">
        <x:v>Fünf Brote und zwei Fische.</x:v>
      </x:c>
      <x:c r="M68" s="36" t="str">
        <x:v>Matthäus 14,15–19</x:v>
      </x:c>
      <x:c r="N68" s="36" t="str">
        <x:v>Die Jünger nennen fünf Brote und zwei Fische; Jesus dankt dafür und lässt sie austeilen.</x:v>
      </x:c>
      <x:c r="O68" s="36" t="str">
        <x:v>FREIGEGEBEN</x:v>
      </x:c>
      <x:c r="P68" s="36" t="str">
        <x:v>FREIGEGEBEN</x:v>
      </x:c>
      <x:c r="Q68" s="36" t="str">
        <x:v>JA</x:v>
      </x:c>
    </x:row>
    <x:row r="69">
      <x:c r="A69" s="36" t="str">
        <x:v>FP-0328</x:v>
      </x:c>
      <x:c r="B69" s="36" t="str">
        <x:v>MAT</x:v>
      </x:c>
      <x:c r="C69" s="36" t="str">
        <x:v>Matthäus</x:v>
      </x:c>
      <x:c r="D69" s="36" t="n">
        <x:v>14</x:v>
      </x:c>
      <x:c r="E69" s="36" t="n">
        <x:v>3</x:v>
      </x:c>
      <x:c r="F69" s="36" t="str">
        <x:v>Wie viele Körbe mit Resten blieben nach der Speisung der Fünftausend übrig?</x:v>
      </x:c>
      <x:c r="G69" s="36" t="str">
        <x:v>Sieben Körbe.</x:v>
      </x:c>
      <x:c r="H69" s="36" t="str">
        <x:v>Fünf Körbe.</x:v>
      </x:c>
      <x:c r="I69" s="36" t="str">
        <x:v>Vierzehn Körbe.</x:v>
      </x:c>
      <x:c r="J69" s="36" t="str">
        <x:v>Zwölf Körbe.</x:v>
      </x:c>
      <x:c r="K69" s="36" t="n">
        <x:v>3</x:v>
      </x:c>
      <x:c r="L69" s="36" t="str">
        <x:v>Zwölf Körbe.</x:v>
      </x:c>
      <x:c r="M69" s="36" t="str">
        <x:v>Matthäus 14,20–21</x:v>
      </x:c>
      <x:c r="N69" s="36" t="str">
        <x:v>Nach dem Essen werden zwölf volle Körbe mit übrig gebliebenen Brocken gesammelt.</x:v>
      </x:c>
      <x:c r="O69" s="36" t="str">
        <x:v>FREIGEGEBEN</x:v>
      </x:c>
      <x:c r="P69" s="36" t="str">
        <x:v>FREIGEGEBEN</x:v>
      </x:c>
      <x:c r="Q69" s="36" t="str">
        <x:v>JA</x:v>
      </x:c>
    </x:row>
    <x:row r="70">
      <x:c r="A70" s="36" t="str">
        <x:v>FP-0329</x:v>
      </x:c>
      <x:c r="B70" s="36" t="str">
        <x:v>MAT</x:v>
      </x:c>
      <x:c r="C70" s="36" t="str">
        <x:v>Matthäus</x:v>
      </x:c>
      <x:c r="D70" s="36" t="n">
        <x:v>14</x:v>
      </x:c>
      <x:c r="E70" s="36" t="n">
        <x:v>4</x:v>
      </x:c>
      <x:c r="F70" s="36" t="str">
        <x:v>Warum begann Petrus zu sinken, nachdem er Jesus auf dem Wasser entgegengegangen war?</x:v>
      </x:c>
      <x:c r="G70" s="36" t="str">
        <x:v>Er sah auf den starken Wind, bekam Angst und begann zu zweifeln.</x:v>
      </x:c>
      <x:c r="H70" s="36" t="str">
        <x:v>Jesus befahl ihm unterzutauchen.</x:v>
      </x:c>
      <x:c r="I70" s="36" t="str">
        <x:v>Das Boot stieß gegen ihn.</x:v>
      </x:c>
      <x:c r="J70" s="36" t="str">
        <x:v>Die anderen Jünger zogen ihn ins Wasser.</x:v>
      </x:c>
      <x:c r="K70" s="36" t="n">
        <x:v>0</x:v>
      </x:c>
      <x:c r="L70" s="36" t="str">
        <x:v>Er sah auf den starken Wind, bekam Angst und begann zu zweifeln.</x:v>
      </x:c>
      <x:c r="M70" s="36" t="str">
        <x:v>Matthäus 14,28–31</x:v>
      </x:c>
      <x:c r="N70" s="36" t="str">
        <x:v>Petrus geht zunächst auf dem Wasser, erschrickt dann über den Wind und sinkt; Jesus spricht seinen kleinen Glauben und Zweifel an.</x:v>
      </x:c>
      <x:c r="O70" s="36" t="str">
        <x:v>FREIGEGEBEN</x:v>
      </x:c>
      <x:c r="P70" s="36" t="str">
        <x:v>FREIGEGEBEN</x:v>
      </x:c>
      <x:c r="Q70" s="36" t="str">
        <x:v>JA</x:v>
      </x:c>
    </x:row>
    <x:row r="71">
      <x:c r="A71" s="36" t="str">
        <x:v>FP-0330</x:v>
      </x:c>
      <x:c r="B71" s="36" t="str">
        <x:v>MAT</x:v>
      </x:c>
      <x:c r="C71" s="36" t="str">
        <x:v>Matthäus</x:v>
      </x:c>
      <x:c r="D71" s="36" t="n">
        <x:v>14</x:v>
      </x:c>
      <x:c r="E71" s="36" t="n">
        <x:v>5</x:v>
      </x:c>
      <x:c r="F71" s="36" t="str">
        <x:v>Wie reagieren die Jünger im Boot, nachdem Jesus und Petrus eingestiegen sind und der Wind sich legt?</x:v>
      </x:c>
      <x:c r="G71" s="36" t="str">
        <x:v>Sie verlassen sofort das Boot.</x:v>
      </x:c>
      <x:c r="H71" s="36" t="str">
        <x:v>Sie beten Jesus an und bekennen ihn als Gottes Sohn.</x:v>
      </x:c>
      <x:c r="I71" s="36" t="str">
        <x:v>Sie bitten Jesus, nach Nazareth zurückzukehren.</x:v>
      </x:c>
      <x:c r="J71" s="36" t="str">
        <x:v>Sie schweigen und schlafen ein.</x:v>
      </x:c>
      <x:c r="K71" s="36" t="n">
        <x:v>1</x:v>
      </x:c>
      <x:c r="L71" s="36" t="str">
        <x:v>Sie beten Jesus an und bekennen ihn als Gottes Sohn.</x:v>
      </x:c>
      <x:c r="M71" s="36" t="str">
        <x:v>Matthäus 14,32–33</x:v>
      </x:c>
      <x:c r="N71" s="36" t="str">
        <x:v>Nach dem Ende des Sturms fallen die Jünger vor Jesus nieder und bekennen: „Du bist wahrhaftig Gottes Sohn.“</x:v>
      </x:c>
      <x:c r="O71" s="36" t="str">
        <x:v>FREIGEGEBEN</x:v>
      </x:c>
      <x:c r="P71" s="36" t="str">
        <x:v>FREIGEGEBEN</x:v>
      </x:c>
      <x:c r="Q71" s="36" t="str">
        <x:v>JA</x:v>
      </x:c>
    </x:row>
    <x:row r="72">
      <x:c r="A72" s="36" t="str">
        <x:v>FP-0331</x:v>
      </x:c>
      <x:c r="B72" s="36" t="str">
        <x:v>MAT</x:v>
      </x:c>
      <x:c r="C72" s="36" t="str">
        <x:v>Matthäus</x:v>
      </x:c>
      <x:c r="D72" s="36" t="n">
        <x:v>15</x:v>
      </x:c>
      <x:c r="E72" s="36" t="n">
        <x:v>1</x:v>
      </x:c>
      <x:c r="F72" s="36" t="str">
        <x:v>Welchen Vorwurf macht Jesus den Pharisäern und Schriftgelehrten im Streit um ihre Überlieferung?</x:v>
      </x:c>
      <x:c r="G72" s="36" t="str">
        <x:v>Sie würden niemals die Hände waschen.</x:v>
      </x:c>
      <x:c r="H72" s="36" t="str">
        <x:v>Sie würden keine Propheten lesen.</x:v>
      </x:c>
      <x:c r="I72" s="36" t="str">
        <x:v>Ihre Überlieferung könne dazu führen, Gottes Gebot außer Kraft zu setzen.</x:v>
      </x:c>
      <x:c r="J72" s="36" t="str">
        <x:v>Sie würden den Tempel nicht besuchen.</x:v>
      </x:c>
      <x:c r="K72" s="36" t="n">
        <x:v>2</x:v>
      </x:c>
      <x:c r="L72" s="36" t="str">
        <x:v>Ihre Überlieferung könne dazu führen, Gottes Gebot außer Kraft zu setzen.</x:v>
      </x:c>
      <x:c r="M72" s="36" t="str">
        <x:v>Matthäus 15,1–6</x:v>
      </x:c>
      <x:c r="N72" s="36" t="str">
        <x:v>Jesus stellt Gottes Gebot zur Ehrung der Eltern einer Tradition gegenüber, durch die dieses Gebot umgangen werden kann.</x:v>
      </x:c>
      <x:c r="O72" s="36" t="str">
        <x:v>FREIGEGEBEN</x:v>
      </x:c>
      <x:c r="P72" s="36" t="str">
        <x:v>FREIGEGEBEN</x:v>
      </x:c>
      <x:c r="Q72" s="36" t="str">
        <x:v>JA</x:v>
      </x:c>
    </x:row>
    <x:row r="73">
      <x:c r="A73" s="36" t="str">
        <x:v>FP-0332</x:v>
      </x:c>
      <x:c r="B73" s="36" t="str">
        <x:v>MAT</x:v>
      </x:c>
      <x:c r="C73" s="36" t="str">
        <x:v>Matthäus</x:v>
      </x:c>
      <x:c r="D73" s="36" t="n">
        <x:v>15</x:v>
      </x:c>
      <x:c r="E73" s="36" t="n">
        <x:v>2</x:v>
      </x:c>
      <x:c r="F73" s="36" t="str">
        <x:v>Was verunreinigt den Menschen nach Jesu Erklärung?</x:v>
      </x:c>
      <x:c r="G73" s="36" t="str">
        <x:v>Alles, was mit ungewaschenen Händen gegessen wird.</x:v>
      </x:c>
      <x:c r="H73" s="36" t="str">
        <x:v>Jedes Essen mit Fremden.</x:v>
      </x:c>
      <x:c r="I73" s="36" t="str">
        <x:v>Das Betreten eines fremden Hauses.</x:v>
      </x:c>
      <x:c r="J73" s="36" t="str">
        <x:v>Was aus dem Herzen hervorgeht und sich in bösen Worten und Taten zeigt.</x:v>
      </x:c>
      <x:c r="K73" s="36" t="n">
        <x:v>3</x:v>
      </x:c>
      <x:c r="L73" s="36" t="str">
        <x:v>Was aus dem Herzen hervorgeht und sich in bösen Worten und Taten zeigt.</x:v>
      </x:c>
      <x:c r="M73" s="36" t="str">
        <x:v>Matthäus 15,10–20</x:v>
      </x:c>
      <x:c r="N73" s="36" t="str">
        <x:v>Jesus verlagert die Frage der Verunreinigung von äußerer Nahrung auf das, was aus dem Herzen kommt.</x:v>
      </x:c>
      <x:c r="O73" s="36" t="str">
        <x:v>FREIGEGEBEN</x:v>
      </x:c>
      <x:c r="P73" s="36" t="str">
        <x:v>FREIGEGEBEN</x:v>
      </x:c>
      <x:c r="Q73" s="36" t="str">
        <x:v>JA</x:v>
      </x:c>
    </x:row>
    <x:row r="74">
      <x:c r="A74" s="36" t="str">
        <x:v>FP-0333</x:v>
      </x:c>
      <x:c r="B74" s="36" t="str">
        <x:v>MAT</x:v>
      </x:c>
      <x:c r="C74" s="36" t="str">
        <x:v>Matthäus</x:v>
      </x:c>
      <x:c r="D74" s="36" t="n">
        <x:v>15</x:v>
      </x:c>
      <x:c r="E74" s="36" t="n">
        <x:v>3</x:v>
      </x:c>
      <x:c r="F74" s="36" t="str">
        <x:v>Wie bewertet Jesus den Glauben der kanaanäischen Frau?</x:v>
      </x:c>
      <x:c r="G74" s="36" t="str">
        <x:v>Als groß.</x:v>
      </x:c>
      <x:c r="H74" s="36" t="str">
        <x:v>Als zu schwach.</x:v>
      </x:c>
      <x:c r="I74" s="36" t="str">
        <x:v>Als unwichtig.</x:v>
      </x:c>
      <x:c r="J74" s="36" t="str">
        <x:v>Als nur für Israel gültig.</x:v>
      </x:c>
      <x:c r="K74" s="36" t="n">
        <x:v>0</x:v>
      </x:c>
      <x:c r="L74" s="36" t="str">
        <x:v>Als groß.</x:v>
      </x:c>
      <x:c r="M74" s="36" t="str">
        <x:v>Matthäus 15,21–28</x:v>
      </x:c>
      <x:c r="N74" s="36" t="str">
        <x:v>Nach ihrem beharrlichen Vertrauen sagt Jesus: „Frau, dein Glaube ist groß“, und ihre Tochter wird geheilt.</x:v>
      </x:c>
      <x:c r="O74" s="36" t="str">
        <x:v>FREIGEGEBEN</x:v>
      </x:c>
      <x:c r="P74" s="36" t="str">
        <x:v>FREIGEGEBEN</x:v>
      </x:c>
      <x:c r="Q74" s="36" t="str">
        <x:v>JA</x:v>
      </x:c>
    </x:row>
    <x:row r="75">
      <x:c r="A75" s="36" t="str">
        <x:v>FP-0334</x:v>
      </x:c>
      <x:c r="B75" s="36" t="str">
        <x:v>MAT</x:v>
      </x:c>
      <x:c r="C75" s="36" t="str">
        <x:v>Matthäus</x:v>
      </x:c>
      <x:c r="D75" s="36" t="n">
        <x:v>15</x:v>
      </x:c>
      <x:c r="E75" s="36" t="n">
        <x:v>4</x:v>
      </x:c>
      <x:c r="F75" s="36" t="str">
        <x:v>Warum wollte Jesus die Menschenmenge vor der Speisung nicht hungrig wegschicken?</x:v>
      </x:c>
      <x:c r="G75" s="36" t="str">
        <x:v>Sie musste noch am selben Abend nach Jerusalem ziehen.</x:v>
      </x:c>
      <x:c r="H75" s="36" t="str">
        <x:v>Sie war bereits drei Tage bei ihm und hatte nichts zu essen.</x:v>
      </x:c>
      <x:c r="I75" s="36" t="str">
        <x:v>Es gab ein königliches Fest.</x:v>
      </x:c>
      <x:c r="J75" s="36" t="str">
        <x:v>Die Jünger hatten darum gewettet.</x:v>
      </x:c>
      <x:c r="K75" s="36" t="n">
        <x:v>1</x:v>
      </x:c>
      <x:c r="L75" s="36" t="str">
        <x:v>Sie war bereits drei Tage bei ihm und hatte nichts zu essen.</x:v>
      </x:c>
      <x:c r="M75" s="36" t="str">
        <x:v>Matthäus 15,32</x:v>
      </x:c>
      <x:c r="N75" s="36" t="str">
        <x:v>Jesus hat Mitleid mit der Menge, weil sie schon drei Tage bei ihm ist und nichts zu essen hat.</x:v>
      </x:c>
      <x:c r="O75" s="36" t="str">
        <x:v>FREIGEGEBEN</x:v>
      </x:c>
      <x:c r="P75" s="36" t="str">
        <x:v>FREIGEGEBEN</x:v>
      </x:c>
      <x:c r="Q75" s="36" t="str">
        <x:v>JA</x:v>
      </x:c>
    </x:row>
    <x:row r="76">
      <x:c r="A76" s="36" t="str">
        <x:v>FP-0335</x:v>
      </x:c>
      <x:c r="B76" s="36" t="str">
        <x:v>MAT</x:v>
      </x:c>
      <x:c r="C76" s="36" t="str">
        <x:v>Matthäus</x:v>
      </x:c>
      <x:c r="D76" s="36" t="n">
        <x:v>15</x:v>
      </x:c>
      <x:c r="E76" s="36" t="n">
        <x:v>5</x:v>
      </x:c>
      <x:c r="F76" s="36" t="str">
        <x:v>Wie viele Brote hatten die Jünger bei der Speisung der Viertausend?</x:v>
      </x:c>
      <x:c r="G76" s="36" t="str">
        <x:v>Fünf.</x:v>
      </x:c>
      <x:c r="H76" s="36" t="str">
        <x:v>Zwölf.</x:v>
      </x:c>
      <x:c r="I76" s="36" t="str">
        <x:v>Sieben.</x:v>
      </x:c>
      <x:c r="J76" s="36" t="str">
        <x:v>Zwei.</x:v>
      </x:c>
      <x:c r="K76" s="36" t="n">
        <x:v>2</x:v>
      </x:c>
      <x:c r="L76" s="36" t="str">
        <x:v>Sieben.</x:v>
      </x:c>
      <x:c r="M76" s="36" t="str">
        <x:v>Matthäus 15,33–38</x:v>
      </x:c>
      <x:c r="N76" s="36" t="str">
        <x:v>Die Jünger nennen sieben Brote und wenige kleine Fische; daraus wird die Menge gespeist.</x:v>
      </x:c>
      <x:c r="O76" s="36" t="str">
        <x:v>FREIGEGEBEN</x:v>
      </x:c>
      <x:c r="P76" s="36" t="str">
        <x:v>FREIGEGEBEN</x:v>
      </x:c>
      <x:c r="Q76" s="36" t="str">
        <x:v>JA</x:v>
      </x:c>
    </x:row>
    <x:row r="77">
      <x:c r="A77" s="36" t="str">
        <x:v>FP-0336</x:v>
      </x:c>
      <x:c r="B77" s="36" t="str">
        <x:v>MAT</x:v>
      </x:c>
      <x:c r="C77" s="36" t="str">
        <x:v>Matthäus</x:v>
      </x:c>
      <x:c r="D77" s="36" t="n">
        <x:v>16</x:v>
      </x:c>
      <x:c r="E77" s="36" t="n">
        <x:v>1</x:v>
      </x:c>
      <x:c r="F77" s="36" t="str">
        <x:v>Welches Zeichen nennt Jesus den Pharisäern und Sadduzäern, die ein Zeichen vom Himmel fordern?</x:v>
      </x:c>
      <x:c r="G77" s="36" t="str">
        <x:v>Das Zeichen des Elia.</x:v>
      </x:c>
      <x:c r="H77" s="36" t="str">
        <x:v>Das Zeichen des Mose.</x:v>
      </x:c>
      <x:c r="I77" s="36" t="str">
        <x:v>Das Zeichen Samuels.</x:v>
      </x:c>
      <x:c r="J77" s="36" t="str">
        <x:v>Das Zeichen des Jona.</x:v>
      </x:c>
      <x:c r="K77" s="36" t="n">
        <x:v>3</x:v>
      </x:c>
      <x:c r="L77" s="36" t="str">
        <x:v>Das Zeichen des Jona.</x:v>
      </x:c>
      <x:c r="M77" s="36" t="str">
        <x:v>Matthäus 16,1–4</x:v>
      </x:c>
      <x:c r="N77" s="36" t="str">
        <x:v>Jesus verweigert ein Schauwunder und nennt das Zeichen des Jona.</x:v>
      </x:c>
      <x:c r="O77" s="36" t="str">
        <x:v>FREIGEGEBEN</x:v>
      </x:c>
      <x:c r="P77" s="36" t="str">
        <x:v>FREIGEGEBEN</x:v>
      </x:c>
      <x:c r="Q77" s="36" t="str">
        <x:v>JA</x:v>
      </x:c>
    </x:row>
    <x:row r="78">
      <x:c r="A78" s="36" t="str">
        <x:v>FP-0337</x:v>
      </x:c>
      <x:c r="B78" s="36" t="str">
        <x:v>MAT</x:v>
      </x:c>
      <x:c r="C78" s="36" t="str">
        <x:v>Matthäus</x:v>
      </x:c>
      <x:c r="D78" s="36" t="n">
        <x:v>16</x:v>
      </x:c>
      <x:c r="E78" s="36" t="n">
        <x:v>2</x:v>
      </x:c>
      <x:c r="F78" s="36" t="str">
        <x:v>Was meint Jesus mit dem „Sauerteig“ der Pharisäer und Sadduzäer?</x:v>
      </x:c>
      <x:c r="G78" s="36" t="str">
        <x:v>Ihre Lehre.</x:v>
      </x:c>
      <x:c r="H78" s="36" t="str">
        <x:v>Ihr Brot.</x:v>
      </x:c>
      <x:c r="I78" s="36" t="str">
        <x:v>Ihre Kleidung.</x:v>
      </x:c>
      <x:c r="J78" s="36" t="str">
        <x:v>Ihre Tempelsteuer.</x:v>
      </x:c>
      <x:c r="K78" s="36" t="n">
        <x:v>0</x:v>
      </x:c>
      <x:c r="L78" s="36" t="str">
        <x:v>Ihre Lehre.</x:v>
      </x:c>
      <x:c r="M78" s="36" t="str">
        <x:v>Matthäus 16,5–12</x:v>
      </x:c>
      <x:c r="N78" s="36" t="str">
        <x:v>Die Jünger verstehen schließlich, dass Jesus nicht vom Brotsauerteig, sondern von der Lehre der Pharisäer und Sadduzäer spricht.</x:v>
      </x:c>
      <x:c r="O78" s="36" t="str">
        <x:v>FREIGEGEBEN</x:v>
      </x:c>
      <x:c r="P78" s="36" t="str">
        <x:v>FREIGEGEBEN</x:v>
      </x:c>
      <x:c r="Q78" s="36" t="str">
        <x:v>JA</x:v>
      </x:c>
    </x:row>
    <x:row r="79">
      <x:c r="A79" s="36" t="str">
        <x:v>FP-0338</x:v>
      </x:c>
      <x:c r="B79" s="36" t="str">
        <x:v>MAT</x:v>
      </x:c>
      <x:c r="C79" s="36" t="str">
        <x:v>Matthäus</x:v>
      </x:c>
      <x:c r="D79" s="36" t="n">
        <x:v>16</x:v>
      </x:c>
      <x:c r="E79" s="36" t="n">
        <x:v>3</x:v>
      </x:c>
      <x:c r="F79" s="36" t="str">
        <x:v>Wie beantwortet Petrus Jesu Frage: „Wer sagt ihr, dass ich sei?“</x:v>
      </x:c>
      <x:c r="G79" s="36" t="str">
        <x:v>Du bist Johannes der Täufer.</x:v>
      </x:c>
      <x:c r="H79" s="36" t="str">
        <x:v>Du bist der Christus, der Sohn des lebendigen Gottes.</x:v>
      </x:c>
      <x:c r="I79" s="36" t="str">
        <x:v>Du bist Elia und niemand sonst.</x:v>
      </x:c>
      <x:c r="J79" s="36" t="str">
        <x:v>Du bist ein römischer König.</x:v>
      </x:c>
      <x:c r="K79" s="36" t="n">
        <x:v>1</x:v>
      </x:c>
      <x:c r="L79" s="36" t="str">
        <x:v>Du bist der Christus, der Sohn des lebendigen Gottes.</x:v>
      </x:c>
      <x:c r="M79" s="36" t="str">
        <x:v>Matthäus 16,15–16</x:v>
      </x:c>
      <x:c r="N79" s="36" t="str">
        <x:v>Petrus bekennt Jesus als den Christus und Sohn des lebendigen Gottes.</x:v>
      </x:c>
      <x:c r="O79" s="36" t="str">
        <x:v>FREIGEGEBEN</x:v>
      </x:c>
      <x:c r="P79" s="36" t="str">
        <x:v>FREIGEGEBEN</x:v>
      </x:c>
      <x:c r="Q79" s="36" t="str">
        <x:v>JA</x:v>
      </x:c>
    </x:row>
    <x:row r="80">
      <x:c r="A80" s="36" t="str">
        <x:v>FP-0339</x:v>
      </x:c>
      <x:c r="B80" s="36" t="str">
        <x:v>MAT</x:v>
      </x:c>
      <x:c r="C80" s="36" t="str">
        <x:v>Matthäus</x:v>
      </x:c>
      <x:c r="D80" s="36" t="n">
        <x:v>16</x:v>
      </x:c>
      <x:c r="E80" s="36" t="n">
        <x:v>4</x:v>
      </x:c>
      <x:c r="F80" s="36" t="str">
        <x:v>Was begann Jesus seinen Jüngern von diesem Zeitpunkt an über seinen Weg zu zeigen?</x:v>
      </x:c>
      <x:c r="G80" s="36" t="str">
        <x:v>Dass er sofort nach Rom reisen werde.</x:v>
      </x:c>
      <x:c r="H80" s="36" t="str">
        <x:v>Dass er Herodes als König ablösen werde.</x:v>
      </x:c>
      <x:c r="I80" s="36" t="str">
        <x:v>Dass er in Jerusalem leiden, getötet und am dritten Tag auferstehen werde.</x:v>
      </x:c>
      <x:c r="J80" s="36" t="str">
        <x:v>Dass er nie mehr nach Jerusalem gehen werde.</x:v>
      </x:c>
      <x:c r="K80" s="36" t="n">
        <x:v>2</x:v>
      </x:c>
      <x:c r="L80" s="36" t="str">
        <x:v>Dass er in Jerusalem leiden, getötet und am dritten Tag auferstehen werde.</x:v>
      </x:c>
      <x:c r="M80" s="36" t="str">
        <x:v>Matthäus 16,21</x:v>
      </x:c>
      <x:c r="N80" s="36" t="str">
        <x:v>Jesus kündigt seinen Jüngern Leiden, Tod und Auferstehung an.</x:v>
      </x:c>
      <x:c r="O80" s="36" t="str">
        <x:v>FREIGEGEBEN</x:v>
      </x:c>
      <x:c r="P80" s="36" t="str">
        <x:v>FREIGEGEBEN</x:v>
      </x:c>
      <x:c r="Q80" s="36" t="str">
        <x:v>JA</x:v>
      </x:c>
    </x:row>
    <x:row r="81">
      <x:c r="A81" s="36" t="str">
        <x:v>FP-0340</x:v>
      </x:c>
      <x:c r="B81" s="36" t="str">
        <x:v>MAT</x:v>
      </x:c>
      <x:c r="C81" s="36" t="str">
        <x:v>Matthäus</x:v>
      </x:c>
      <x:c r="D81" s="36" t="n">
        <x:v>16</x:v>
      </x:c>
      <x:c r="E81" s="36" t="n">
        <x:v>5</x:v>
      </x:c>
      <x:c r="F81" s="36" t="str">
        <x:v>Was gehört nach Jesus zur Nachfolge?</x:v>
      </x:c>
      <x:c r="G81" s="36" t="str">
        <x:v>Sich vor allen Konflikten zurückziehen.</x:v>
      </x:c>
      <x:c r="H81" s="36" t="str">
        <x:v>Reichtum ansammeln, um unabhängig zu werden.</x:v>
      </x:c>
      <x:c r="I81" s="36" t="str">
        <x:v>Nur an Feiertagen nach Jerusalem reisen.</x:v>
      </x:c>
      <x:c r="J81" s="36" t="str">
        <x:v>Sich selbst verleugnen, sein Kreuz aufnehmen und Jesus folgen.</x:v>
      </x:c>
      <x:c r="K81" s="36" t="n">
        <x:v>3</x:v>
      </x:c>
      <x:c r="L81" s="36" t="str">
        <x:v>Sich selbst verleugnen, sein Kreuz aufnehmen und Jesus folgen.</x:v>
      </x:c>
      <x:c r="M81" s="36" t="str">
        <x:v>Matthäus 16,24–25</x:v>
      </x:c>
      <x:c r="N81" s="36" t="str">
        <x:v>Jesus beschreibt Nachfolge als Selbstverleugnung, Kreuztragen und Folgen und verbindet dies mit dem scheinbaren Verlieren und Finden des Lebens.</x:v>
      </x:c>
      <x:c r="O81" s="36" t="str">
        <x:v>FREIGEGEBEN</x:v>
      </x:c>
      <x:c r="P81" s="36" t="str">
        <x:v>FREIGEGEBEN</x:v>
      </x:c>
      <x:c r="Q81" s="36" t="str">
        <x:v>JA</x:v>
      </x:c>
    </x:row>
    <x:row r="82">
      <x:c r="A82" s="36" t="str">
        <x:v>FP-0341</x:v>
      </x:c>
      <x:c r="B82" s="36" t="str">
        <x:v>MAT</x:v>
      </x:c>
      <x:c r="C82" s="36" t="str">
        <x:v>Matthäus</x:v>
      </x:c>
      <x:c r="D82" s="36" t="n">
        <x:v>17</x:v>
      </x:c>
      <x:c r="E82" s="36" t="n">
        <x:v>1</x:v>
      </x:c>
      <x:c r="F82" s="36" t="str">
        <x:v>Welche drei Jünger nahm Jesus mit auf den hohen Berg zur Verklärung?</x:v>
      </x:c>
      <x:c r="G82" s="36" t="str">
        <x:v>Petrus, Jakobus und Johannes.</x:v>
      </x:c>
      <x:c r="H82" s="36" t="str">
        <x:v>Petrus, Andreas und Matthäus.</x:v>
      </x:c>
      <x:c r="I82" s="36" t="str">
        <x:v>Thomas, Philippus und Bartholomäus.</x:v>
      </x:c>
      <x:c r="J82" s="36" t="str">
        <x:v>Jakobus, Judas und Simon.</x:v>
      </x:c>
      <x:c r="K82" s="36" t="n">
        <x:v>0</x:v>
      </x:c>
      <x:c r="L82" s="36" t="str">
        <x:v>Petrus, Jakobus und Johannes.</x:v>
      </x:c>
      <x:c r="M82" s="36" t="str">
        <x:v>Matthäus 17,1</x:v>
      </x:c>
      <x:c r="N82" s="36" t="str">
        <x:v>Jesus nimmt Petrus, Jakobus und dessen Bruder Johannes mit auf den Berg.</x:v>
      </x:c>
      <x:c r="O82" s="36" t="str">
        <x:v>FREIGEGEBEN</x:v>
      </x:c>
      <x:c r="P82" s="36" t="str">
        <x:v>FREIGEGEBEN</x:v>
      </x:c>
      <x:c r="Q82" s="36" t="str">
        <x:v>JA</x:v>
      </x:c>
    </x:row>
    <x:row r="83">
      <x:c r="A83" s="36" t="str">
        <x:v>FP-0342</x:v>
      </x:c>
      <x:c r="B83" s="36" t="str">
        <x:v>MAT</x:v>
      </x:c>
      <x:c r="C83" s="36" t="str">
        <x:v>Matthäus</x:v>
      </x:c>
      <x:c r="D83" s="36" t="n">
        <x:v>17</x:v>
      </x:c>
      <x:c r="E83" s="36" t="n">
        <x:v>2</x:v>
      </x:c>
      <x:c r="F83" s="36" t="str">
        <x:v>Was fordert die Stimme aus der Wolke die Jünger in Bezug auf Jesus auf?</x:v>
      </x:c>
      <x:c r="G83" s="36" t="str">
        <x:v>Ihn zum König zu machen.</x:v>
      </x:c>
      <x:c r="H83" s="36" t="str">
        <x:v>Auf ihn zu hören.</x:v>
      </x:c>
      <x:c r="I83" s="36" t="str">
        <x:v>Ihn nach Nazareth zurückzubringen.</x:v>
      </x:c>
      <x:c r="J83" s="36" t="str">
        <x:v>Ihm ein Haus zu bauen.</x:v>
      </x:c>
      <x:c r="K83" s="36" t="n">
        <x:v>1</x:v>
      </x:c>
      <x:c r="L83" s="36" t="str">
        <x:v>Auf ihn zu hören.</x:v>
      </x:c>
      <x:c r="M83" s="36" t="str">
        <x:v>Matthäus 17,5</x:v>
      </x:c>
      <x:c r="N83" s="36" t="str">
        <x:v>Die Stimme bezeichnet Jesus als den geliebten Sohn und fordert: „Auf ihn sollt ihr hören.“</x:v>
      </x:c>
      <x:c r="O83" s="36" t="str">
        <x:v>FREIGEGEBEN</x:v>
      </x:c>
      <x:c r="P83" s="36" t="str">
        <x:v>FREIGEGEBEN</x:v>
      </x:c>
      <x:c r="Q83" s="36" t="str">
        <x:v>JA</x:v>
      </x:c>
    </x:row>
    <x:row r="84">
      <x:c r="A84" s="36" t="str">
        <x:v>FP-0343</x:v>
      </x:c>
      <x:c r="B84" s="36" t="str">
        <x:v>MAT</x:v>
      </x:c>
      <x:c r="C84" s="36" t="str">
        <x:v>Matthäus</x:v>
      </x:c>
      <x:c r="D84" s="36" t="n">
        <x:v>17</x:v>
      </x:c>
      <x:c r="E84" s="36" t="n">
        <x:v>3</x:v>
      </x:c>
      <x:c r="F84" s="36" t="str">
        <x:v>Was tat Jesus mit dem Jungen, den die Jünger zuvor nicht heilen konnten?</x:v>
      </x:c>
      <x:c r="G84" s="36" t="str">
        <x:v>Er schickte den Jungen zum Tempel.</x:v>
      </x:c>
      <x:c r="H84" s="36" t="str">
        <x:v>Er bat Herodes um Hilfe.</x:v>
      </x:c>
      <x:c r="I84" s="36" t="str">
        <x:v>Er bedrohte den Dämon, der ausfuhr, und der Junge wurde geheilt.</x:v>
      </x:c>
      <x:c r="J84" s="36" t="str">
        <x:v>Er ließ den Jungen bei den Jüngern zurück.</x:v>
      </x:c>
      <x:c r="K84" s="36" t="n">
        <x:v>2</x:v>
      </x:c>
      <x:c r="L84" s="36" t="str">
        <x:v>Er bedrohte den Dämon, der ausfuhr, und der Junge wurde geheilt.</x:v>
      </x:c>
      <x:c r="M84" s="36" t="str">
        <x:v>Matthäus 17,14–18</x:v>
      </x:c>
      <x:c r="N84" s="36" t="str">
        <x:v>Jesus treibt den Dämon aus; der Junge ist von dieser Stunde an geheilt.</x:v>
      </x:c>
      <x:c r="O84" s="36" t="str">
        <x:v>FREIGEGEBEN</x:v>
      </x:c>
      <x:c r="P84" s="36" t="str">
        <x:v>FREIGEGEBEN</x:v>
      </x:c>
      <x:c r="Q84" s="36" t="str">
        <x:v>JA</x:v>
      </x:c>
    </x:row>
    <x:row r="85">
      <x:c r="A85" s="36" t="str">
        <x:v>FP-0344</x:v>
      </x:c>
      <x:c r="B85" s="36" t="str">
        <x:v>MAT</x:v>
      </x:c>
      <x:c r="C85" s="36" t="str">
        <x:v>Matthäus</x:v>
      </x:c>
      <x:c r="D85" s="36" t="n">
        <x:v>17</x:v>
      </x:c>
      <x:c r="E85" s="36" t="n">
        <x:v>4</x:v>
      </x:c>
      <x:c r="F85" s="36" t="str">
        <x:v>Womit erklärt Jesus den Jüngern, dass selbst scheinbar Unmögliches möglich werden kann?</x:v>
      </x:c>
      <x:c r="G85" s="36" t="str">
        <x:v>Mit politischer Macht.</x:v>
      </x:c>
      <x:c r="H85" s="36" t="str">
        <x:v>Mit großem Besitz.</x:v>
      </x:c>
      <x:c r="I85" s="36" t="str">
        <x:v>Mit einer langen Abstammungsliste.</x:v>
      </x:c>
      <x:c r="J85" s="36" t="str">
        <x:v>Mit Glauben, den er mit einem Senfkorn vergleicht.</x:v>
      </x:c>
      <x:c r="K85" s="36" t="n">
        <x:v>3</x:v>
      </x:c>
      <x:c r="L85" s="36" t="str">
        <x:v>Mit Glauben, den er mit einem Senfkorn vergleicht.</x:v>
      </x:c>
      <x:c r="M85" s="36" t="str">
        <x:v>Matthäus 17,19–20</x:v>
      </x:c>
      <x:c r="N85" s="36" t="str">
        <x:v>Jesus spricht über ihren kleinen Glauben und verwendet das Bild des Senfkorns.</x:v>
      </x:c>
      <x:c r="O85" s="36" t="str">
        <x:v>FREIGEGEBEN</x:v>
      </x:c>
      <x:c r="P85" s="36" t="str">
        <x:v>FREIGEGEBEN</x:v>
      </x:c>
      <x:c r="Q85" s="36" t="str">
        <x:v>JA</x:v>
      </x:c>
    </x:row>
    <x:row r="86">
      <x:c r="A86" s="36" t="str">
        <x:v>FP-0345</x:v>
      </x:c>
      <x:c r="B86" s="36" t="str">
        <x:v>MAT</x:v>
      </x:c>
      <x:c r="C86" s="36" t="str">
        <x:v>Matthäus</x:v>
      </x:c>
      <x:c r="D86" s="36" t="n">
        <x:v>17</x:v>
      </x:c>
      <x:c r="E86" s="36" t="n">
        <x:v>5</x:v>
      </x:c>
      <x:c r="F86" s="36" t="str">
        <x:v>Woher sollte Petrus die Münze für die Tempelabgabe nehmen?</x:v>
      </x:c>
      <x:c r="G86" s="36" t="str">
        <x:v>Aus dem Maul des ersten gefangenen Fisches.</x:v>
      </x:c>
      <x:c r="H86" s="36" t="str">
        <x:v>Aus der gemeinsamen Geldkasse der Jünger.</x:v>
      </x:c>
      <x:c r="I86" s="36" t="str">
        <x:v>Von einem Zöllner in Kapernaum.</x:v>
      </x:c>
      <x:c r="J86" s="36" t="str">
        <x:v>Aus einem Krug im Tempel.</x:v>
      </x:c>
      <x:c r="K86" s="36" t="n">
        <x:v>0</x:v>
      </x:c>
      <x:c r="L86" s="36" t="str">
        <x:v>Aus dem Maul des ersten gefangenen Fisches.</x:v>
      </x:c>
      <x:c r="M86" s="36" t="str">
        <x:v>Matthäus 17,24–27</x:v>
      </x:c>
      <x:c r="N86" s="36" t="str">
        <x:v>Jesus weist Petrus an zu angeln; im Maul des ersten Fisches soll er die Münze für die Abgabe finden.</x:v>
      </x:c>
      <x:c r="O86" s="36" t="str">
        <x:v>FREIGEGEBEN</x:v>
      </x:c>
      <x:c r="P86" s="36" t="str">
        <x:v>FREIGEGEBEN</x:v>
      </x:c>
      <x:c r="Q86" s="36" t="str">
        <x:v>JA</x:v>
      </x:c>
    </x:row>
    <x:row r="87">
      <x:c r="A87" s="36" t="str">
        <x:v>FP-0346</x:v>
      </x:c>
      <x:c r="B87" s="36" t="str">
        <x:v>MAT</x:v>
      </x:c>
      <x:c r="C87" s="36" t="str">
        <x:v>Matthäus</x:v>
      </x:c>
      <x:c r="D87" s="36" t="n">
        <x:v>18</x:v>
      </x:c>
      <x:c r="E87" s="36" t="n">
        <x:v>1</x:v>
      </x:c>
      <x:c r="F87" s="36" t="str">
        <x:v>Welche Haltung verbindet Jesus mit Größe im Himmelreich?</x:v>
      </x:c>
      <x:c r="G87" s="36" t="str">
        <x:v>Möglichst viele Titel zu tragen.</x:v>
      </x:c>
      <x:c r="H87" s="36" t="str">
        <x:v>Sich zu demütigen wie ein Kind.</x:v>
      </x:c>
      <x:c r="I87" s="36" t="str">
        <x:v>Viel Besitz zu sammeln.</x:v>
      </x:c>
      <x:c r="J87" s="36" t="str">
        <x:v>Von allen anderen bedient zu werden.</x:v>
      </x:c>
      <x:c r="K87" s="36" t="n">
        <x:v>1</x:v>
      </x:c>
      <x:c r="L87" s="36" t="str">
        <x:v>Sich zu demütigen wie ein Kind.</x:v>
      </x:c>
      <x:c r="M87" s="36" t="str">
        <x:v>Matthäus 18,1–4</x:v>
      </x:c>
      <x:c r="N87" s="36" t="str">
        <x:v>Jesus stellt ein Kind in die Mitte und verbindet Größe im Himmelreich mit Umkehr und Demut.</x:v>
      </x:c>
      <x:c r="O87" s="36" t="str">
        <x:v>FREIGEGEBEN</x:v>
      </x:c>
      <x:c r="P87" s="36" t="str">
        <x:v>FREIGEGEBEN</x:v>
      </x:c>
      <x:c r="Q87" s="36" t="str">
        <x:v>JA</x:v>
      </x:c>
    </x:row>
    <x:row r="88">
      <x:c r="A88" s="36" t="str">
        <x:v>FP-0347</x:v>
      </x:c>
      <x:c r="B88" s="36" t="str">
        <x:v>MAT</x:v>
      </x:c>
      <x:c r="C88" s="36" t="str">
        <x:v>Matthäus</x:v>
      </x:c>
      <x:c r="D88" s="36" t="n">
        <x:v>18</x:v>
      </x:c>
      <x:c r="E88" s="36" t="n">
        <x:v>2</x:v>
      </x:c>
      <x:c r="F88" s="36" t="str">
        <x:v>Was zeigt das Gleichnis vom verlorenen Schaf über den Willen des Vaters?</x:v>
      </x:c>
      <x:c r="G88" s="36" t="str">
        <x:v>Nur die neunundneunzig zählen.</x:v>
      </x:c>
      <x:c r="H88" s="36" t="str">
        <x:v>Ein verlorenes Schaf soll nicht gesucht werden.</x:v>
      </x:c>
      <x:c r="I88" s="36" t="str">
        <x:v>Er will nicht, dass eines dieser Kleinen verloren geht.</x:v>
      </x:c>
      <x:c r="J88" s="36" t="str">
        <x:v>Der Hirte soll seine Herde verkaufen.</x:v>
      </x:c>
      <x:c r="K88" s="36" t="n">
        <x:v>2</x:v>
      </x:c>
      <x:c r="L88" s="36" t="str">
        <x:v>Er will nicht, dass eines dieser Kleinen verloren geht.</x:v>
      </x:c>
      <x:c r="M88" s="36" t="str">
        <x:v>Matthäus 18,12–14</x:v>
      </x:c>
      <x:c r="N88" s="36" t="str">
        <x:v>Der Hirte sucht das eine verirrte Schaf; Jesus verbindet das mit dem Willen des Vaters, dass keines verloren geht.</x:v>
      </x:c>
      <x:c r="O88" s="36" t="str">
        <x:v>FREIGEGEBEN</x:v>
      </x:c>
      <x:c r="P88" s="36" t="str">
        <x:v>FREIGEGEBEN</x:v>
      </x:c>
      <x:c r="Q88" s="36" t="str">
        <x:v>JA</x:v>
      </x:c>
    </x:row>
    <x:row r="89">
      <x:c r="A89" s="36" t="str">
        <x:v>FP-0348</x:v>
      </x:c>
      <x:c r="B89" s="36" t="str">
        <x:v>MAT</x:v>
      </x:c>
      <x:c r="C89" s="36" t="str">
        <x:v>Matthäus</x:v>
      </x:c>
      <x:c r="D89" s="36" t="n">
        <x:v>18</x:v>
      </x:c>
      <x:c r="E89" s="36" t="n">
        <x:v>3</x:v>
      </x:c>
      <x:c r="F89" s="36" t="str">
        <x:v>Was ist der erste Schritt, wenn ein Bruder gegen dich sündigt?</x:v>
      </x:c>
      <x:c r="G89" s="36" t="str">
        <x:v>Ihn sofort öffentlich vor der Gemeinde anklagen.</x:v>
      </x:c>
      <x:c r="H89" s="36" t="str">
        <x:v>Den Kontakt für immer abbrechen.</x:v>
      </x:c>
      <x:c r="I89" s="36" t="str">
        <x:v>Direkt die römische Obrigkeit einschalten.</x:v>
      </x:c>
      <x:c r="J89" s="36" t="str">
        <x:v>Mit ihm unter vier Augen über die Sache sprechen.</x:v>
      </x:c>
      <x:c r="K89" s="36" t="n">
        <x:v>3</x:v>
      </x:c>
      <x:c r="L89" s="36" t="str">
        <x:v>Mit ihm unter vier Augen über die Sache sprechen.</x:v>
      </x:c>
      <x:c r="M89" s="36" t="str">
        <x:v>Matthäus 18,15–17</x:v>
      </x:c>
      <x:c r="N89" s="36" t="str">
        <x:v>Jesus beginnt den Weg der Klärung mit einem persönlichen Gespräch unter vier Augen.</x:v>
      </x:c>
      <x:c r="O89" s="36" t="str">
        <x:v>FREIGEGEBEN</x:v>
      </x:c>
      <x:c r="P89" s="36" t="str">
        <x:v>FREIGEGEBEN</x:v>
      </x:c>
      <x:c r="Q89" s="36" t="str">
        <x:v>JA</x:v>
      </x:c>
    </x:row>
    <x:row r="90">
      <x:c r="A90" s="36" t="str">
        <x:v>FP-0349</x:v>
      </x:c>
      <x:c r="B90" s="36" t="str">
        <x:v>MAT</x:v>
      </x:c>
      <x:c r="C90" s="36" t="str">
        <x:v>Matthäus</x:v>
      </x:c>
      <x:c r="D90" s="36" t="n">
        <x:v>18</x:v>
      </x:c>
      <x:c r="E90" s="36" t="n">
        <x:v>4</x:v>
      </x:c>
      <x:c r="F90" s="36" t="str">
        <x:v>Wie beantwortet Jesus Petrus' Frage, ob Vergebung auf siebenmal begrenzt werden soll?</x:v>
      </x:c>
      <x:c r="G90" s="36" t="str">
        <x:v>Er macht deutlich, dass Vergebung weit über siebenmal hinausgehen soll.</x:v>
      </x:c>
      <x:c r="H90" s="36" t="str">
        <x:v>Er bestätigt eine feste Grenze von siebenmal.</x:v>
      </x:c>
      <x:c r="I90" s="36" t="str">
        <x:v>Er nennt eine Grenze von dreimal.</x:v>
      </x:c>
      <x:c r="J90" s="36" t="str">
        <x:v>Er sagt, nur einmal müsse vergeben werden.</x:v>
      </x:c>
      <x:c r="K90" s="36" t="n">
        <x:v>0</x:v>
      </x:c>
      <x:c r="L90" s="36" t="str">
        <x:v>Er macht deutlich, dass Vergebung weit über siebenmal hinausgehen soll.</x:v>
      </x:c>
      <x:c r="M90" s="36" t="str">
        <x:v>Matthäus 18,21–22</x:v>
      </x:c>
      <x:c r="N90" s="36" t="str">
        <x:v>Die beiden FaithPath-Übersetzungen geben die Zahl unterschiedlich wieder, stimmen aber darin überein: Vergebung soll nicht auf siebenmal begrenzt werden.</x:v>
      </x:c>
      <x:c r="O90" s="36" t="str">
        <x:v>FREIGEGEBEN</x:v>
      </x:c>
      <x:c r="P90" s="36" t="str">
        <x:v>FREIGEGEBEN</x:v>
      </x:c>
      <x:c r="Q90" s="36" t="str">
        <x:v>JA</x:v>
      </x:c>
    </x:row>
    <x:row r="91">
      <x:c r="A91" s="36" t="str">
        <x:v>FP-0350</x:v>
      </x:c>
      <x:c r="B91" s="36" t="str">
        <x:v>MAT</x:v>
      </x:c>
      <x:c r="C91" s="36" t="str">
        <x:v>Matthäus</x:v>
      </x:c>
      <x:c r="D91" s="36" t="n">
        <x:v>18</x:v>
      </x:c>
      <x:c r="E91" s="36" t="n">
        <x:v>5</x:v>
      </x:c>
      <x:c r="F91" s="36" t="str">
        <x:v>Warum wird der zuvor begnadigte Knecht im Gleichnis am Ende verurteilt?</x:v>
      </x:c>
      <x:c r="G91" s="36" t="str">
        <x:v>Weil er nie eine Schuld gehabt hatte.</x:v>
      </x:c>
      <x:c r="H91" s="36" t="str">
        <x:v>Weil er seinem Mitknecht die viel kleinere Schuld nicht erlassen wollte.</x:v>
      </x:c>
      <x:c r="I91" s="36" t="str">
        <x:v>Weil er das Geld des Königs verschenkte.</x:v>
      </x:c>
      <x:c r="J91" s="36" t="str">
        <x:v>Weil er den Palast verlassen wollte.</x:v>
      </x:c>
      <x:c r="K91" s="36" t="n">
        <x:v>1</x:v>
      </x:c>
      <x:c r="L91" s="36" t="str">
        <x:v>Weil er seinem Mitknecht die viel kleinere Schuld nicht erlassen wollte.</x:v>
      </x:c>
      <x:c r="M91" s="36" t="str">
        <x:v>Matthäus 18,23–35</x:v>
      </x:c>
      <x:c r="N91" s="36" t="str">
        <x:v>Der Herr hatte dem Knecht eine große Schuld erlassen; dessen Unbarmherzigkeit gegenüber dem Mitknecht widerspricht der empfangenen Barmherzigkeit.</x:v>
      </x:c>
      <x:c r="O91" s="36" t="str">
        <x:v>FREIGEGEBEN</x:v>
      </x:c>
      <x:c r="P91" s="36" t="str">
        <x:v>FREIGEGEBEN</x:v>
      </x:c>
      <x:c r="Q91" s="36" t="str">
        <x:v>JA</x:v>
      </x:c>
    </x:row>
    <x:row r="92">
      <x:c r="A92" s="36" t="str">
        <x:v>FP-0351</x:v>
      </x:c>
      <x:c r="B92" s="36" t="str">
        <x:v>MAT</x:v>
      </x:c>
      <x:c r="C92" s="36" t="str">
        <x:v>Matthäus</x:v>
      </x:c>
      <x:c r="D92" s="36" t="n">
        <x:v>19</x:v>
      </x:c>
      <x:c r="E92" s="36" t="n">
        <x:v>1</x:v>
      </x:c>
      <x:c r="F92" s="36" t="str">
        <x:v>Worauf verweist Jesus in der Frage nach Ehe und Scheidung zurück?</x:v>
      </x:c>
      <x:c r="G92" s="36" t="str">
        <x:v>Auf römisches Familienrecht.</x:v>
      </x:c>
      <x:c r="H92" s="36" t="str">
        <x:v>Auf Davids Königsherrschaft.</x:v>
      </x:c>
      <x:c r="I92" s="36" t="str">
        <x:v>Auf Gottes Schöpfungsordnung: Mann und Frau werden ein Fleisch.</x:v>
      </x:c>
      <x:c r="J92" s="36" t="str">
        <x:v>Auf die Tempelsteuer.</x:v>
      </x:c>
      <x:c r="K92" s="36" t="n">
        <x:v>2</x:v>
      </x:c>
      <x:c r="L92" s="36" t="str">
        <x:v>Auf Gottes Schöpfungsordnung: Mann und Frau werden ein Fleisch.</x:v>
      </x:c>
      <x:c r="M92" s="36" t="str">
        <x:v>Matthäus 19,3–6</x:v>
      </x:c>
      <x:c r="N92" s="36" t="str">
        <x:v>Jesus antwortet mit dem Schöpfungsbericht und betont die von Gott verbundene Einheit von Mann und Frau.</x:v>
      </x:c>
      <x:c r="O92" s="36" t="str">
        <x:v>FREIGEGEBEN</x:v>
      </x:c>
      <x:c r="P92" s="36" t="str">
        <x:v>FREIGEGEBEN</x:v>
      </x:c>
      <x:c r="Q92" s="36" t="str">
        <x:v>JA</x:v>
      </x:c>
    </x:row>
    <x:row r="93">
      <x:c r="A93" s="36" t="str">
        <x:v>FP-0352</x:v>
      </x:c>
      <x:c r="B93" s="36" t="str">
        <x:v>MAT</x:v>
      </x:c>
      <x:c r="C93" s="36" t="str">
        <x:v>Matthäus</x:v>
      </x:c>
      <x:c r="D93" s="36" t="n">
        <x:v>19</x:v>
      </x:c>
      <x:c r="E93" s="36" t="n">
        <x:v>2</x:v>
      </x:c>
      <x:c r="F93" s="36" t="str">
        <x:v>Warum erlaubte Mose nach Jesu Aussage einen Scheidebrief?</x:v>
      </x:c>
      <x:c r="G93" s="36" t="str">
        <x:v>Weil Scheidung von Anfang an Gottes Ziel war.</x:v>
      </x:c>
      <x:c r="H93" s="36" t="str">
        <x:v>Weil die Römer es verlangten.</x:v>
      </x:c>
      <x:c r="I93" s="36" t="str">
        <x:v>Weil es keine Ehegesetze gab.</x:v>
      </x:c>
      <x:c r="J93" s="36" t="str">
        <x:v>Wegen der Härte ihrer Herzen.</x:v>
      </x:c>
      <x:c r="K93" s="36" t="n">
        <x:v>3</x:v>
      </x:c>
      <x:c r="L93" s="36" t="str">
        <x:v>Wegen der Härte ihrer Herzen.</x:v>
      </x:c>
      <x:c r="M93" s="36" t="str">
        <x:v>Matthäus 19,7–8</x:v>
      </x:c>
      <x:c r="N93" s="36" t="str">
        <x:v>Jesus erklärt die mosaische Erlaubnis mit der Herzenshärte und sagt, dass es von Anfang an nicht so gewesen sei.</x:v>
      </x:c>
      <x:c r="O93" s="36" t="str">
        <x:v>FREIGEGEBEN</x:v>
      </x:c>
      <x:c r="P93" s="36" t="str">
        <x:v>FREIGEGEBEN</x:v>
      </x:c>
      <x:c r="Q93" s="36" t="str">
        <x:v>JA</x:v>
      </x:c>
    </x:row>
    <x:row r="94">
      <x:c r="A94" s="36" t="str">
        <x:v>FP-0353</x:v>
      </x:c>
      <x:c r="B94" s="36" t="str">
        <x:v>MAT</x:v>
      </x:c>
      <x:c r="C94" s="36" t="str">
        <x:v>Matthäus</x:v>
      </x:c>
      <x:c r="D94" s="36" t="n">
        <x:v>19</x:v>
      </x:c>
      <x:c r="E94" s="36" t="n">
        <x:v>3</x:v>
      </x:c>
      <x:c r="F94" s="36" t="str">
        <x:v>Wie reagiert Jesus, als Kinder zu ihm gebracht werden und die Jünger sie abweisen wollen?</x:v>
      </x:c>
      <x:c r="G94" s="36" t="str">
        <x:v>Er lässt die Kinder zu sich kommen und sagt, solchen gehöre das Himmelreich.</x:v>
      </x:c>
      <x:c r="H94" s="36" t="str">
        <x:v>Er schickt sie nach Hause.</x:v>
      </x:c>
      <x:c r="I94" s="36" t="str">
        <x:v>Er erlaubt nur den ältesten Kindern zu bleiben.</x:v>
      </x:c>
      <x:c r="J94" s="36" t="str">
        <x:v>Er übergibt sie den Pharisäern.</x:v>
      </x:c>
      <x:c r="K94" s="36" t="n">
        <x:v>0</x:v>
      </x:c>
      <x:c r="L94" s="36" t="str">
        <x:v>Er lässt die Kinder zu sich kommen und sagt, solchen gehöre das Himmelreich.</x:v>
      </x:c>
      <x:c r="M94" s="36" t="str">
        <x:v>Matthäus 19,13–15</x:v>
      </x:c>
      <x:c r="N94" s="36" t="str">
        <x:v>Jesus weist die Jünger zurecht, lässt die Kinder zu sich kommen und legt ihnen die Hände auf.</x:v>
      </x:c>
      <x:c r="O94" s="36" t="str">
        <x:v>FREIGEGEBEN</x:v>
      </x:c>
      <x:c r="P94" s="36" t="str">
        <x:v>FREIGEGEBEN</x:v>
      </x:c>
      <x:c r="Q94" s="36" t="str">
        <x:v>JA</x:v>
      </x:c>
    </x:row>
    <x:row r="95">
      <x:c r="A95" s="36" t="str">
        <x:v>FP-0354</x:v>
      </x:c>
      <x:c r="B95" s="36" t="str">
        <x:v>MAT</x:v>
      </x:c>
      <x:c r="C95" s="36" t="str">
        <x:v>Matthäus</x:v>
      </x:c>
      <x:c r="D95" s="36" t="n">
        <x:v>19</x:v>
      </x:c>
      <x:c r="E95" s="36" t="n">
        <x:v>4</x:v>
      </x:c>
      <x:c r="F95" s="36" t="str">
        <x:v>Was fehlt dem reichen jungen Mann nach Jesu Antwort noch?</x:v>
      </x:c>
      <x:c r="G95" s="36" t="str">
        <x:v>Priester zu werden.</x:v>
      </x:c>
      <x:c r="H95" s="36" t="str">
        <x:v>Seinen Besitz zu verkaufen, den Armen zu geben und Jesus zu folgen.</x:v>
      </x:c>
      <x:c r="I95" s="36" t="str">
        <x:v>Nach Rom zu reisen.</x:v>
      </x:c>
      <x:c r="J95" s="36" t="str">
        <x:v>Noch mehr Besitz anzusammeln.</x:v>
      </x:c>
      <x:c r="K95" s="36" t="n">
        <x:v>1</x:v>
      </x:c>
      <x:c r="L95" s="36" t="str">
        <x:v>Seinen Besitz zu verkaufen, den Armen zu geben und Jesus zu folgen.</x:v>
      </x:c>
      <x:c r="M95" s="36" t="str">
        <x:v>Matthäus 19,16–22</x:v>
      </x:c>
      <x:c r="N95" s="36" t="str">
        <x:v>Nach dem Gespräch über die Gebote fordert Jesus ihn auf, Besitz loszulassen, den Armen zu geben und ihm zu folgen.</x:v>
      </x:c>
      <x:c r="O95" s="36" t="str">
        <x:v>FREIGEGEBEN</x:v>
      </x:c>
      <x:c r="P95" s="36" t="str">
        <x:v>FREIGEGEBEN</x:v>
      </x:c>
      <x:c r="Q95" s="36" t="str">
        <x:v>JA</x:v>
      </x:c>
    </x:row>
    <x:row r="96">
      <x:c r="A96" s="36" t="str">
        <x:v>FP-0355</x:v>
      </x:c>
      <x:c r="B96" s="36" t="str">
        <x:v>MAT</x:v>
      </x:c>
      <x:c r="C96" s="36" t="str">
        <x:v>Matthäus</x:v>
      </x:c>
      <x:c r="D96" s="36" t="n">
        <x:v>19</x:v>
      </x:c>
      <x:c r="E96" s="36" t="n">
        <x:v>5</x:v>
      </x:c>
      <x:c r="F96" s="36" t="str">
        <x:v>Was antwortet Jesus auf die Frage der Jünger, wer dann gerettet werden kann?</x:v>
      </x:c>
      <x:c r="G96" s="36" t="str">
        <x:v>Nur Reiche können gerettet werden.</x:v>
      </x:c>
      <x:c r="H96" s="36" t="str">
        <x:v>Niemand kann gerettet werden.</x:v>
      </x:c>
      <x:c r="I96" s="36" t="str">
        <x:v>Bei Menschen ist es unmöglich, aber bei Gott sind alle Dinge möglich.</x:v>
      </x:c>
      <x:c r="J96" s="36" t="str">
        <x:v>Nur die zwölf Jünger können gerettet werden.</x:v>
      </x:c>
      <x:c r="K96" s="36" t="n">
        <x:v>2</x:v>
      </x:c>
      <x:c r="L96" s="36" t="str">
        <x:v>Bei Menschen ist es unmöglich, aber bei Gott sind alle Dinge möglich.</x:v>
      </x:c>
      <x:c r="M96" s="36" t="str">
        <x:v>Matthäus 19,23–26</x:v>
      </x:c>
      <x:c r="N96" s="36" t="str">
        <x:v>Jesus stellt menschliche Unmöglichkeit Gottes Möglichkeit gegenüber.</x:v>
      </x:c>
      <x:c r="O96" s="36" t="str">
        <x:v>FREIGEGEBEN</x:v>
      </x:c>
      <x:c r="P96" s="36" t="str">
        <x:v>FREIGEGEBEN</x:v>
      </x:c>
      <x:c r="Q96" s="36" t="str">
        <x:v>JA</x:v>
      </x:c>
    </x:row>
    <x:row r="97">
      <x:c r="A97" s="36" t="str">
        <x:v>FP-0356</x:v>
      </x:c>
      <x:c r="B97" s="36" t="str">
        <x:v>MAT</x:v>
      </x:c>
      <x:c r="C97" s="36" t="str">
        <x:v>Matthäus</x:v>
      </x:c>
      <x:c r="D97" s="36" t="n">
        <x:v>20</x:v>
      </x:c>
      <x:c r="E97" s="36" t="n">
        <x:v>1</x:v>
      </x:c>
      <x:c r="F97" s="36" t="str">
        <x:v>Was erhalten die zuletzt eingestellten Arbeiter im Gleichnis vom Weinberg?</x:v>
      </x:c>
      <x:c r="G97" s="36" t="str">
        <x:v>Nur die Hälfte eines Denars.</x:v>
      </x:c>
      <x:c r="H97" s="36" t="str">
        <x:v>Gar keinen Lohn.</x:v>
      </x:c>
      <x:c r="I97" s="36" t="str">
        <x:v>Doppelt so viel wie die zuerst eingestellten Arbeiter.</x:v>
      </x:c>
      <x:c r="J97" s="36" t="str">
        <x:v>Denselben Denar wie die zuerst eingestellten Arbeiter.</x:v>
      </x:c>
      <x:c r="K97" s="36" t="n">
        <x:v>3</x:v>
      </x:c>
      <x:c r="L97" s="36" t="str">
        <x:v>Denselben Denar wie die zuerst eingestellten Arbeiter.</x:v>
      </x:c>
      <x:c r="M97" s="36" t="str">
        <x:v>Matthäus 20,1–16</x:v>
      </x:c>
      <x:c r="N97" s="36" t="str">
        <x:v>Die zuletzt Eingestellten erhalten einen Denar – denselben Betrag, den auch die zuerst Eingestellten bekommen.</x:v>
      </x:c>
      <x:c r="O97" s="36" t="str">
        <x:v>FREIGEGEBEN</x:v>
      </x:c>
      <x:c r="P97" s="36" t="str">
        <x:v>FREIGEGEBEN</x:v>
      </x:c>
      <x:c r="Q97" s="36" t="str">
        <x:v>JA</x:v>
      </x:c>
    </x:row>
    <x:row r="98">
      <x:c r="A98" s="36" t="str">
        <x:v>FP-0357</x:v>
      </x:c>
      <x:c r="B98" s="36" t="str">
        <x:v>MAT</x:v>
      </x:c>
      <x:c r="C98" s="36" t="str">
        <x:v>Matthäus</x:v>
      </x:c>
      <x:c r="D98" s="36" t="n">
        <x:v>20</x:v>
      </x:c>
      <x:c r="E98" s="36" t="n">
        <x:v>2</x:v>
      </x:c>
      <x:c r="F98" s="36" t="str">
        <x:v>Was kündigt Jesus auf dem Weg nach Jerusalem über sich an?</x:v>
      </x:c>
      <x:c r="G98" s="36" t="str">
        <x:v>Er wird ausgeliefert, verurteilt, getötet und am dritten Tag auferstehen.</x:v>
      </x:c>
      <x:c r="H98" s="36" t="str">
        <x:v>Er wird zum König gekrönt und in Jerusalem bleiben.</x:v>
      </x:c>
      <x:c r="I98" s="36" t="str">
        <x:v>Er wird Herodes ablösen.</x:v>
      </x:c>
      <x:c r="J98" s="36" t="str">
        <x:v>Er wird nicht mehr nach Jerusalem gehen.</x:v>
      </x:c>
      <x:c r="K98" s="36" t="n">
        <x:v>0</x:v>
      </x:c>
      <x:c r="L98" s="36" t="str">
        <x:v>Er wird ausgeliefert, verurteilt, getötet und am dritten Tag auferstehen.</x:v>
      </x:c>
      <x:c r="M98" s="36" t="str">
        <x:v>Matthäus 20,17–19</x:v>
      </x:c>
      <x:c r="N98" s="36" t="str">
        <x:v>Jesus kündigt erneut Leiden, Tod und Auferstehung an.</x:v>
      </x:c>
      <x:c r="O98" s="36" t="str">
        <x:v>FREIGEGEBEN</x:v>
      </x:c>
      <x:c r="P98" s="36" t="str">
        <x:v>FREIGEGEBEN</x:v>
      </x:c>
      <x:c r="Q98" s="36" t="str">
        <x:v>JA</x:v>
      </x:c>
    </x:row>
    <x:row r="99">
      <x:c r="A99" s="36" t="str">
        <x:v>FP-0358</x:v>
      </x:c>
      <x:c r="B99" s="36" t="str">
        <x:v>MAT</x:v>
      </x:c>
      <x:c r="C99" s="36" t="str">
        <x:v>Matthäus</x:v>
      </x:c>
      <x:c r="D99" s="36" t="n">
        <x:v>20</x:v>
      </x:c>
      <x:c r="E99" s="36" t="n">
        <x:v>3</x:v>
      </x:c>
      <x:c r="F99" s="36" t="str">
        <x:v>Was erbittet die Mutter der Söhne des Zebedäus von Jesus?</x:v>
      </x:c>
      <x:c r="G99" s="36" t="str">
        <x:v>Dass ihre Söhne vom Dienst befreit werden.</x:v>
      </x:c>
      <x:c r="H99" s="36" t="str">
        <x:v>Dass ihre beiden Söhne in seinem Reich rechts und links von ihm sitzen dürfen.</x:v>
      </x:c>
      <x:c r="I99" s="36" t="str">
        <x:v>Dass sie den Tempel leiten dürfen.</x:v>
      </x:c>
      <x:c r="J99" s="36" t="str">
        <x:v>Dass sie nach Galiläa zurückkehren dürfen.</x:v>
      </x:c>
      <x:c r="K99" s="36" t="n">
        <x:v>1</x:v>
      </x:c>
      <x:c r="L99" s="36" t="str">
        <x:v>Dass ihre beiden Söhne in seinem Reich rechts und links von ihm sitzen dürfen.</x:v>
      </x:c>
      <x:c r="M99" s="36" t="str">
        <x:v>Matthäus 20,20–21</x:v>
      </x:c>
      <x:c r="N99" s="36" t="str">
        <x:v>Die Mutter bittet um besondere Ehrenplätze für ihre beiden Söhne im Reich Jesu.</x:v>
      </x:c>
      <x:c r="O99" s="36" t="str">
        <x:v>FREIGEGEBEN</x:v>
      </x:c>
      <x:c r="P99" s="36" t="str">
        <x:v>FREIGEGEBEN</x:v>
      </x:c>
      <x:c r="Q99" s="36" t="str">
        <x:v>JA</x:v>
      </x:c>
    </x:row>
    <x:row r="100">
      <x:c r="A100" s="36" t="str">
        <x:v>FP-0359</x:v>
      </x:c>
      <x:c r="B100" s="36" t="str">
        <x:v>MAT</x:v>
      </x:c>
      <x:c r="C100" s="36" t="str">
        <x:v>Matthäus</x:v>
      </x:c>
      <x:c r="D100" s="36" t="n">
        <x:v>20</x:v>
      </x:c>
      <x:c r="E100" s="36" t="n">
        <x:v>4</x:v>
      </x:c>
      <x:c r="F100" s="36" t="str">
        <x:v>Wie soll Größe unter Jesu Jüngern aussehen?</x:v>
      </x:c>
      <x:c r="G100" s="36" t="str">
        <x:v>Wer groß sein will, soll über die anderen herrschen.</x:v>
      </x:c>
      <x:c r="H100" s="36" t="str">
        <x:v>Wer groß sein will, soll möglichst reich werden.</x:v>
      </x:c>
      <x:c r="I100" s="36" t="str">
        <x:v>Wer groß sein will, soll dienen.</x:v>
      </x:c>
      <x:c r="J100" s="36" t="str">
        <x:v>Wer groß sein will, soll sich von den anderen trennen.</x:v>
      </x:c>
      <x:c r="K100" s="36" t="n">
        <x:v>2</x:v>
      </x:c>
      <x:c r="L100" s="36" t="str">
        <x:v>Wer groß sein will, soll dienen.</x:v>
      </x:c>
      <x:c r="M100" s="36" t="str">
        <x:v>Matthäus 20,25–28</x:v>
      </x:c>
      <x:c r="N100" s="36" t="str">
        <x:v>Jesus stellt die Herrschaftslogik der Völker dem Dienst gegenüber und verweist auf den Menschensohn, der gekommen ist zu dienen.</x:v>
      </x:c>
      <x:c r="O100" s="36" t="str">
        <x:v>FREIGEGEBEN</x:v>
      </x:c>
      <x:c r="P100" s="36" t="str">
        <x:v>FREIGEGEBEN</x:v>
      </x:c>
      <x:c r="Q100" s="36" t="str">
        <x:v>JA</x:v>
      </x:c>
    </x:row>
    <x:row r="101">
      <x:c r="A101" s="36" t="str">
        <x:v>FP-0360</x:v>
      </x:c>
      <x:c r="B101" s="36" t="str">
        <x:v>MAT</x:v>
      </x:c>
      <x:c r="C101" s="36" t="str">
        <x:v>Matthäus</x:v>
      </x:c>
      <x:c r="D101" s="36" t="n">
        <x:v>20</x:v>
      </x:c>
      <x:c r="E101" s="36" t="n">
        <x:v>5</x:v>
      </x:c>
      <x:c r="F101" s="36" t="str">
        <x:v>Wie reagiert Jesus auf die beiden Blinden bei Jericho, die ihn um Erbarmen bitten?</x:v>
      </x:c>
      <x:c r="G101" s="36" t="str">
        <x:v>Er schickt sie zum Priester ohne Heilung.</x:v>
      </x:c>
      <x:c r="H101" s="36" t="str">
        <x:v>Er bittet die Menge, sie wegzuführen.</x:v>
      </x:c>
      <x:c r="I101" s="36" t="str">
        <x:v>Er sagt ihnen, sie müssten bis Jerusalem warten.</x:v>
      </x:c>
      <x:c r="J101" s="36" t="str">
        <x:v>Er hat Mitleid, berührt ihre Augen und sie können sehen.</x:v>
      </x:c>
      <x:c r="K101" s="36" t="n">
        <x:v>3</x:v>
      </x:c>
      <x:c r="L101" s="36" t="str">
        <x:v>Er hat Mitleid, berührt ihre Augen und sie können sehen.</x:v>
      </x:c>
      <x:c r="M101" s="36" t="str">
        <x:v>Matthäus 20,29–34</x:v>
      </x:c>
      <x:c r="N101" s="36" t="str">
        <x:v>Jesus lässt sich von der Menge nicht davon abhalten, auf den Ruf der beiden einzugehen, und heilt sie.</x:v>
      </x:c>
      <x:c r="O101" s="36" t="str">
        <x:v>FREIGEGEBEN</x:v>
      </x:c>
      <x:c r="P101" s="36" t="str">
        <x:v>FREIGEGEBEN</x:v>
      </x:c>
      <x:c r="Q101" s="36" t="str">
        <x:v>JA</x:v>
      </x:c>
    </x:row>
    <x:row r="102">
      <x:c r="A102" s="36" t="str">
        <x:v>FP-0361</x:v>
      </x:c>
      <x:c r="B102" s="36" t="str">
        <x:v>MAT</x:v>
      </x:c>
      <x:c r="C102" s="36" t="str">
        <x:v>Matthäus</x:v>
      </x:c>
      <x:c r="D102" s="36" t="n">
        <x:v>21</x:v>
      </x:c>
      <x:c r="E102" s="36" t="n">
        <x:v>1</x:v>
      </x:c>
      <x:c r="F102" s="36" t="str">
        <x:v>Wie wird Jesus bei seinem Einzug in Jerusalem von der Menge begrüßt?</x:v>
      </x:c>
      <x:c r="G102" s="36" t="str">
        <x:v>Mit „Hosanna dem Sohn Davids“ und dem Ruf nach dem Kommenden im Namen des Herrn.</x:v>
      </x:c>
      <x:c r="H102" s="36" t="str">
        <x:v>Mit dem Ruf „Es lebe Herodes“.</x:v>
      </x:c>
      <x:c r="I102" s="36" t="str">
        <x:v>Mit völliger Stille.</x:v>
      </x:c>
      <x:c r="J102" s="36" t="str">
        <x:v>Mit der Aufforderung, nach Galiläa zurückzukehren.</x:v>
      </x:c>
      <x:c r="K102" s="36" t="n">
        <x:v>0</x:v>
      </x:c>
      <x:c r="L102" s="36" t="str">
        <x:v>Mit „Hosanna dem Sohn Davids“ und dem Ruf nach dem Kommenden im Namen des Herrn.</x:v>
      </x:c>
      <x:c r="M102" s="36" t="str">
        <x:v>Matthäus 21,1–9</x:v>
      </x:c>
      <x:c r="N102" s="36" t="str">
        <x:v>Die Menge breitet Kleider und Zweige aus und begrüßt Jesus messianisch mit „Hosanna dem Sohn Davids“.</x:v>
      </x:c>
      <x:c r="O102" s="36" t="str">
        <x:v>FREIGEGEBEN</x:v>
      </x:c>
      <x:c r="P102" s="36" t="str">
        <x:v>FREIGEGEBEN</x:v>
      </x:c>
      <x:c r="Q102" s="36" t="str">
        <x:v>JA</x:v>
      </x:c>
    </x:row>
    <x:row r="103">
      <x:c r="A103" s="36" t="str">
        <x:v>FP-0362</x:v>
      </x:c>
      <x:c r="B103" s="36" t="str">
        <x:v>MAT</x:v>
      </x:c>
      <x:c r="C103" s="36" t="str">
        <x:v>Matthäus</x:v>
      </x:c>
      <x:c r="D103" s="36" t="n">
        <x:v>21</x:v>
      </x:c>
      <x:c r="E103" s="36" t="n">
        <x:v>2</x:v>
      </x:c>
      <x:c r="F103" s="36" t="str">
        <x:v>Was sagt Jesus über den Tempel, als er Verkäufer und Käufer hinaustreibt?</x:v>
      </x:c>
      <x:c r="G103" s="36" t="str">
        <x:v>Er solle zu einem Markt erweitert werden.</x:v>
      </x:c>
      <x:c r="H103" s="36" t="str">
        <x:v>Er soll ein Haus des Gebets sein, sie aber hätten eine Räuberhöhle daraus gemacht.</x:v>
      </x:c>
      <x:c r="I103" s="36" t="str">
        <x:v>Er dürfe nur von Priestern betreten werden.</x:v>
      </x:c>
      <x:c r="J103" s="36" t="str">
        <x:v>Er müsse sofort abgerissen werden.</x:v>
      </x:c>
      <x:c r="K103" s="36" t="n">
        <x:v>1</x:v>
      </x:c>
      <x:c r="L103" s="36" t="str">
        <x:v>Er soll ein Haus des Gebets sein, sie aber hätten eine Räuberhöhle daraus gemacht.</x:v>
      </x:c>
      <x:c r="M103" s="36" t="str">
        <x:v>Matthäus 21,12–13</x:v>
      </x:c>
      <x:c r="N103" s="36" t="str">
        <x:v>Jesus verbindet die Tempelreinigung mit dem Gegensatz zwischen „Haus des Gebets“ und „Räuberhöhle“.</x:v>
      </x:c>
      <x:c r="O103" s="36" t="str">
        <x:v>FREIGEGEBEN</x:v>
      </x:c>
      <x:c r="P103" s="36" t="str">
        <x:v>FREIGEGEBEN</x:v>
      </x:c>
      <x:c r="Q103" s="36" t="str">
        <x:v>JA</x:v>
      </x:c>
    </x:row>
    <x:row r="104">
      <x:c r="A104" s="36" t="str">
        <x:v>FP-0363</x:v>
      </x:c>
      <x:c r="B104" s="36" t="str">
        <x:v>MAT</x:v>
      </x:c>
      <x:c r="C104" s="36" t="str">
        <x:v>Matthäus</x:v>
      </x:c>
      <x:c r="D104" s="36" t="n">
        <x:v>21</x:v>
      </x:c>
      <x:c r="E104" s="36" t="n">
        <x:v>3</x:v>
      </x:c>
      <x:c r="F104" s="36" t="str">
        <x:v>Welche Lehre verbindet Jesus mit dem verdorrten Feigenbaum?</x:v>
      </x:c>
      <x:c r="G104" s="36" t="str">
        <x:v>Die Pflicht, jeden Baum zu fällen.</x:v>
      </x:c>
      <x:c r="H104" s="36" t="str">
        <x:v>Ein Verbot, Feigen zu essen.</x:v>
      </x:c>
      <x:c r="I104" s="36" t="str">
        <x:v>Glauben und vertrauensvolles Gebet.</x:v>
      </x:c>
      <x:c r="J104" s="36" t="str">
        <x:v>Die Notwendigkeit, nach Bethlehem zu reisen.</x:v>
      </x:c>
      <x:c r="K104" s="36" t="n">
        <x:v>2</x:v>
      </x:c>
      <x:c r="L104" s="36" t="str">
        <x:v>Glauben und vertrauensvolles Gebet.</x:v>
      </x:c>
      <x:c r="M104" s="36" t="str">
        <x:v>Matthäus 21,18–22</x:v>
      </x:c>
      <x:c r="N104" s="36" t="str">
        <x:v>Jesus nimmt das Geschehen am Feigenbaum zum Anlass, über Glauben und Gebet zu sprechen.</x:v>
      </x:c>
      <x:c r="O104" s="36" t="str">
        <x:v>FREIGEGEBEN</x:v>
      </x:c>
      <x:c r="P104" s="36" t="str">
        <x:v>FREIGEGEBEN</x:v>
      </x:c>
      <x:c r="Q104" s="36" t="str">
        <x:v>JA</x:v>
      </x:c>
    </x:row>
    <x:row r="105">
      <x:c r="A105" s="36" t="str">
        <x:v>FP-0364</x:v>
      </x:c>
      <x:c r="B105" s="36" t="str">
        <x:v>MAT</x:v>
      </x:c>
      <x:c r="C105" s="36" t="str">
        <x:v>Matthäus</x:v>
      </x:c>
      <x:c r="D105" s="36" t="n">
        <x:v>21</x:v>
      </x:c>
      <x:c r="E105" s="36" t="n">
        <x:v>4</x:v>
      </x:c>
      <x:c r="F105" s="36" t="str">
        <x:v>Mit welcher Gegenfrage beantwortet Jesus die Frage nach seiner Vollmacht?</x:v>
      </x:c>
      <x:c r="G105" s="36" t="str">
        <x:v>Ob Mose in Ägypten geboren wurde.</x:v>
      </x:c>
      <x:c r="H105" s="36" t="str">
        <x:v>Ob David König von Israel war.</x:v>
      </x:c>
      <x:c r="I105" s="36" t="str">
        <x:v>Ob der Tempel Steuern zahlen müsse.</x:v>
      </x:c>
      <x:c r="J105" s="36" t="str">
        <x:v>Ob die Taufe des Johannes vom Himmel oder von Menschen war.</x:v>
      </x:c>
      <x:c r="K105" s="36" t="n">
        <x:v>3</x:v>
      </x:c>
      <x:c r="L105" s="36" t="str">
        <x:v>Ob die Taufe des Johannes vom Himmel oder von Menschen war.</x:v>
      </x:c>
      <x:c r="M105" s="36" t="str">
        <x:v>Matthäus 21,23–27</x:v>
      </x:c>
      <x:c r="N105" s="36" t="str">
        <x:v>Jesus stellt die Frage nach der Herkunft der Taufe des Johannes und legt damit die Unaufrichtigkeit seiner Fragesteller offen.</x:v>
      </x:c>
      <x:c r="O105" s="36" t="str">
        <x:v>FREIGEGEBEN</x:v>
      </x:c>
      <x:c r="P105" s="36" t="str">
        <x:v>FREIGEGEBEN</x:v>
      </x:c>
      <x:c r="Q105" s="36" t="str">
        <x:v>JA</x:v>
      </x:c>
    </x:row>
    <x:row r="106">
      <x:c r="A106" s="36" t="str">
        <x:v>FP-0365</x:v>
      </x:c>
      <x:c r="B106" s="36" t="str">
        <x:v>MAT</x:v>
      </x:c>
      <x:c r="C106" s="36" t="str">
        <x:v>Matthäus</x:v>
      </x:c>
      <x:c r="D106" s="36" t="n">
        <x:v>21</x:v>
      </x:c>
      <x:c r="E106" s="36" t="n">
        <x:v>5</x:v>
      </x:c>
      <x:c r="F106" s="36" t="str">
        <x:v>Warum suchen die Hohenpriester und Pharisäer nach dem Gleichnis von den bösen Weingärtnern eine Möglichkeit, Jesus festzunehmen?</x:v>
      </x:c>
      <x:c r="G106" s="36" t="str">
        <x:v>Sie erkennen, dass Jesus in den Gleichnissen von ihnen gesprochen hat.</x:v>
      </x:c>
      <x:c r="H106" s="36" t="str">
        <x:v>Sie wollen ihn zum König machen.</x:v>
      </x:c>
      <x:c r="I106" s="36" t="str">
        <x:v>Sie glauben, er wolle den Tempel verkaufen.</x:v>
      </x:c>
      <x:c r="J106" s="36" t="str">
        <x:v>Sie haben das Gleichnis nicht verstanden.</x:v>
      </x:c>
      <x:c r="K106" s="36" t="n">
        <x:v>0</x:v>
      </x:c>
      <x:c r="L106" s="36" t="str">
        <x:v>Sie erkennen, dass Jesus in den Gleichnissen von ihnen gesprochen hat.</x:v>
      </x:c>
      <x:c r="M106" s="36" t="str">
        <x:v>Matthäus 21,33–46</x:v>
      </x:c>
      <x:c r="N106" s="36" t="str">
        <x:v>Nach Jesu Gleichnissen erkennen die religiösen Führer, dass sie gemeint sind, und wollen ihn ergreifen.</x:v>
      </x:c>
      <x:c r="O106" s="36" t="str">
        <x:v>FREIGEGEBEN</x:v>
      </x:c>
      <x:c r="P106" s="36" t="str">
        <x:v>FREIGEGEBEN</x:v>
      </x:c>
      <x:c r="Q106" s="36" t="str">
        <x:v>JA</x:v>
      </x:c>
    </x:row>
    <x:row r="107">
      <x:c r="A107" s="36" t="str">
        <x:v>FP-0366</x:v>
      </x:c>
      <x:c r="B107" s="36" t="str">
        <x:v>MAT</x:v>
      </x:c>
      <x:c r="C107" s="36" t="str">
        <x:v>Matthäus</x:v>
      </x:c>
      <x:c r="D107" s="36" t="n">
        <x:v>22</x:v>
      </x:c>
      <x:c r="E107" s="36" t="n">
        <x:v>1</x:v>
      </x:c>
      <x:c r="F107" s="36" t="str">
        <x:v>Warum wird im Gleichnis vom Hochzeitsmahl ein Gast hinausgeworfen?</x:v>
      </x:c>
      <x:c r="G107" s="36" t="str">
        <x:v>Weil er zu spät kommt.</x:v>
      </x:c>
      <x:c r="H107" s="36" t="str">
        <x:v>Weil er kein Hochzeitsgewand trägt.</x:v>
      </x:c>
      <x:c r="I107" s="36" t="str">
        <x:v>Weil er kein Geschenk mitbringt.</x:v>
      </x:c>
      <x:c r="J107" s="36" t="str">
        <x:v>Weil er aus Galiläa stammt.</x:v>
      </x:c>
      <x:c r="K107" s="36" t="n">
        <x:v>1</x:v>
      </x:c>
      <x:c r="L107" s="36" t="str">
        <x:v>Weil er kein Hochzeitsgewand trägt.</x:v>
      </x:c>
      <x:c r="M107" s="36" t="str">
        <x:v>Matthäus 22,11–13</x:v>
      </x:c>
      <x:c r="N107" s="36" t="str">
        <x:v>Der König spricht den Gast wegen des fehlenden Hochzeitsgewands an und lässt ihn hinauswerfen.</x:v>
      </x:c>
      <x:c r="O107" s="36" t="str">
        <x:v>FREIGEGEBEN</x:v>
      </x:c>
      <x:c r="P107" s="36" t="str">
        <x:v>FREIGEGEBEN</x:v>
      </x:c>
      <x:c r="Q107" s="36" t="str">
        <x:v>JA</x:v>
      </x:c>
    </x:row>
    <x:row r="108">
      <x:c r="A108" s="36" t="str">
        <x:v>FP-0367</x:v>
      </x:c>
      <x:c r="B108" s="36" t="str">
        <x:v>MAT</x:v>
      </x:c>
      <x:c r="C108" s="36" t="str">
        <x:v>Matthäus</x:v>
      </x:c>
      <x:c r="D108" s="36" t="n">
        <x:v>22</x:v>
      </x:c>
      <x:c r="E108" s="36" t="n">
        <x:v>2</x:v>
      </x:c>
      <x:c r="F108" s="36" t="str">
        <x:v>Wie beantwortet Jesus die Frage nach der Steuer für den Kaiser?</x:v>
      </x:c>
      <x:c r="G108" s="36" t="str">
        <x:v>Zahlt niemals Steuern.</x:v>
      </x:c>
      <x:c r="H108" s="36" t="str">
        <x:v>Gebt alles dem Kaiser.</x:v>
      </x:c>
      <x:c r="I108" s="36" t="str">
        <x:v>Gebt dem Kaiser, was dem Kaiser gehört, und Gott, was Gott gehört.</x:v>
      </x:c>
      <x:c r="J108" s="36" t="str">
        <x:v>Nur Priester müssen Steuern zahlen.</x:v>
      </x:c>
      <x:c r="K108" s="36" t="n">
        <x:v>2</x:v>
      </x:c>
      <x:c r="L108" s="36" t="str">
        <x:v>Gebt dem Kaiser, was dem Kaiser gehört, und Gott, was Gott gehört.</x:v>
      </x:c>
      <x:c r="M108" s="36" t="str">
        <x:v>Matthäus 22,15–22</x:v>
      </x:c>
      <x:c r="N108" s="36" t="str">
        <x:v>Jesus nimmt die Münze zum Anlass, die Ansprüche des Kaisers und Gottes zu unterscheiden.</x:v>
      </x:c>
      <x:c r="O108" s="36" t="str">
        <x:v>FREIGEGEBEN</x:v>
      </x:c>
      <x:c r="P108" s="36" t="str">
        <x:v>FREIGEGEBEN</x:v>
      </x:c>
      <x:c r="Q108" s="36" t="str">
        <x:v>JA</x:v>
      </x:c>
    </x:row>
    <x:row r="109">
      <x:c r="A109" s="36" t="str">
        <x:v>FP-0368</x:v>
      </x:c>
      <x:c r="B109" s="36" t="str">
        <x:v>MAT</x:v>
      </x:c>
      <x:c r="C109" s="36" t="str">
        <x:v>Matthäus</x:v>
      </x:c>
      <x:c r="D109" s="36" t="n">
        <x:v>22</x:v>
      </x:c>
      <x:c r="E109" s="36" t="n">
        <x:v>3</x:v>
      </x:c>
      <x:c r="F109" s="36" t="str">
        <x:v>Was betont Jesus gegenüber den Sadduzäern über Gott und die Auferstehung?</x:v>
      </x:c>
      <x:c r="G109" s="36" t="str">
        <x:v>Es gibt keine Auferstehung.</x:v>
      </x:c>
      <x:c r="H109" s="36" t="str">
        <x:v>Nur Priester werden auferstehen.</x:v>
      </x:c>
      <x:c r="I109" s="36" t="str">
        <x:v>Auferstehung betrifft nur Israeliten.</x:v>
      </x:c>
      <x:c r="J109" s="36" t="str">
        <x:v>Gott ist nicht ein Gott der Toten, sondern der Lebenden.</x:v>
      </x:c>
      <x:c r="K109" s="36" t="n">
        <x:v>3</x:v>
      </x:c>
      <x:c r="L109" s="36" t="str">
        <x:v>Gott ist nicht ein Gott der Toten, sondern der Lebenden.</x:v>
      </x:c>
      <x:c r="M109" s="36" t="str">
        <x:v>Matthäus 22,23–32</x:v>
      </x:c>
      <x:c r="N109" s="36" t="str">
        <x:v>Jesus widerspricht den Sadduzäern und begründet aus der Schrift, dass Gott der Gott der Lebenden ist.</x:v>
      </x:c>
      <x:c r="O109" s="36" t="str">
        <x:v>FREIGEGEBEN</x:v>
      </x:c>
      <x:c r="P109" s="36" t="str">
        <x:v>FREIGEGEBEN</x:v>
      </x:c>
      <x:c r="Q109" s="36" t="str">
        <x:v>JA</x:v>
      </x:c>
    </x:row>
    <x:row r="110">
      <x:c r="A110" s="36" t="str">
        <x:v>FP-0369</x:v>
      </x:c>
      <x:c r="B110" s="36" t="str">
        <x:v>MAT</x:v>
      </x:c>
      <x:c r="C110" s="36" t="str">
        <x:v>Matthäus</x:v>
      </x:c>
      <x:c r="D110" s="36" t="n">
        <x:v>22</x:v>
      </x:c>
      <x:c r="E110" s="36" t="n">
        <x:v>4</x:v>
      </x:c>
      <x:c r="F110" s="36" t="str">
        <x:v>Welches Gebot nennt Jesus das größte?</x:v>
      </x:c>
      <x:c r="G110" s="36" t="str">
        <x:v>Gott mit ganzem Herzen, ganzer Seele und ganzem Denken zu lieben.</x:v>
      </x:c>
      <x:c r="H110" s="36" t="str">
        <x:v>Den Sabbat länger als alle anderen zu halten.</x:v>
      </x:c>
      <x:c r="I110" s="36" t="str">
        <x:v>Nie mit Fremden zu essen.</x:v>
      </x:c>
      <x:c r="J110" s="36" t="str">
        <x:v>Jeden Besitz abzugeben.</x:v>
      </x:c>
      <x:c r="K110" s="36" t="n">
        <x:v>0</x:v>
      </x:c>
      <x:c r="L110" s="36" t="str">
        <x:v>Gott mit ganzem Herzen, ganzer Seele und ganzem Denken zu lieben.</x:v>
      </x:c>
      <x:c r="M110" s="36" t="str">
        <x:v>Matthäus 22,34–38</x:v>
      </x:c>
      <x:c r="N110" s="36" t="str">
        <x:v>Jesus nennt die umfassende Liebe zu Gott das größte und erste Gebot.</x:v>
      </x:c>
      <x:c r="O110" s="36" t="str">
        <x:v>FREIGEGEBEN</x:v>
      </x:c>
      <x:c r="P110" s="36" t="str">
        <x:v>FREIGEGEBEN</x:v>
      </x:c>
      <x:c r="Q110" s="36" t="str">
        <x:v>JA</x:v>
      </x:c>
    </x:row>
    <x:row r="111">
      <x:c r="A111" s="36" t="str">
        <x:v>FP-0370</x:v>
      </x:c>
      <x:c r="B111" s="36" t="str">
        <x:v>MAT</x:v>
      </x:c>
      <x:c r="C111" s="36" t="str">
        <x:v>Matthäus</x:v>
      </x:c>
      <x:c r="D111" s="36" t="n">
        <x:v>22</x:v>
      </x:c>
      <x:c r="E111" s="36" t="n">
        <x:v>5</x:v>
      </x:c>
      <x:c r="F111" s="36" t="str">
        <x:v>Wessen Sohn ist der Christus nach der Antwort der Pharisäer?</x:v>
      </x:c>
      <x:c r="G111" s="36" t="str">
        <x:v>Moses Sohn.</x:v>
      </x:c>
      <x:c r="H111" s="36" t="str">
        <x:v>Davids Sohn.</x:v>
      </x:c>
      <x:c r="I111" s="36" t="str">
        <x:v>Johannes' Sohn.</x:v>
      </x:c>
      <x:c r="J111" s="36" t="str">
        <x:v>Herodes' Sohn.</x:v>
      </x:c>
      <x:c r="K111" s="36" t="n">
        <x:v>1</x:v>
      </x:c>
      <x:c r="L111" s="36" t="str">
        <x:v>Davids Sohn.</x:v>
      </x:c>
      <x:c r="M111" s="36" t="str">
        <x:v>Matthäus 22,41–46</x:v>
      </x:c>
      <x:c r="N111" s="36" t="str">
        <x:v>Die Pharisäer antworten „Davids Sohn“. Jesus schließt daran die Frage an, warum David ihn zugleich „Herr“ nennt.</x:v>
      </x:c>
      <x:c r="O111" s="36" t="str">
        <x:v>FREIGEGEBEN</x:v>
      </x:c>
      <x:c r="P111" s="36" t="str">
        <x:v>FREIGEGEBEN</x:v>
      </x:c>
      <x:c r="Q111" s="36" t="str">
        <x:v>JA</x:v>
      </x:c>
    </x:row>
    <x:row r="112">
      <x:c r="A112" s="36" t="str">
        <x:v>FP-0371</x:v>
      </x:c>
      <x:c r="B112" s="36" t="str">
        <x:v>MAT</x:v>
      </x:c>
      <x:c r="C112" s="36" t="str">
        <x:v>Matthäus</x:v>
      </x:c>
      <x:c r="D112" s="36" t="n">
        <x:v>23</x:v>
      </x:c>
      <x:c r="E112" s="36" t="n">
        <x:v>1</x:v>
      </x:c>
      <x:c r="F112" s="36" t="str">
        <x:v>Was sollen die Menschen nach Jesus bei den Schriftgelehrten und Pharisäern beachten?</x:v>
      </x:c>
      <x:c r="G112" s="36" t="str">
        <x:v>Ihre Werke nachahmen, aber ihre Lehre ignorieren.</x:v>
      </x:c>
      <x:c r="H112" s="36" t="str">
        <x:v>Nur ihre Kleidung übernehmen.</x:v>
      </x:c>
      <x:c r="I112" s="36" t="str">
        <x:v>Auf ihre Lehre hören, aber nicht ihre widersprüchlichen Werke nachahmen.</x:v>
      </x:c>
      <x:c r="J112" s="36" t="str">
        <x:v>Jede ihrer Aussagen grundsätzlich ablehnen.</x:v>
      </x:c>
      <x:c r="K112" s="36" t="n">
        <x:v>2</x:v>
      </x:c>
      <x:c r="L112" s="36" t="str">
        <x:v>Auf ihre Lehre hören, aber nicht ihre widersprüchlichen Werke nachahmen.</x:v>
      </x:c>
      <x:c r="M112" s="36" t="str">
        <x:v>Matthäus 23,1–4</x:v>
      </x:c>
      <x:c r="N112" s="36" t="str">
        <x:v>Jesus unterscheidet zwischen dem, was sie lehren, und ihrem eigenen Verhalten, das er kritisiert.</x:v>
      </x:c>
      <x:c r="O112" s="36" t="str">
        <x:v>FREIGEGEBEN</x:v>
      </x:c>
      <x:c r="P112" s="36" t="str">
        <x:v>FREIGEGEBEN</x:v>
      </x:c>
      <x:c r="Q112" s="36" t="str">
        <x:v>JA</x:v>
      </x:c>
    </x:row>
    <x:row r="113">
      <x:c r="A113" s="36" t="str">
        <x:v>FP-0372</x:v>
      </x:c>
      <x:c r="B113" s="36" t="str">
        <x:v>MAT</x:v>
      </x:c>
      <x:c r="C113" s="36" t="str">
        <x:v>Matthäus</x:v>
      </x:c>
      <x:c r="D113" s="36" t="n">
        <x:v>23</x:v>
      </x:c>
      <x:c r="E113" s="36" t="n">
        <x:v>2</x:v>
      </x:c>
      <x:c r="F113" s="36" t="str">
        <x:v>Wer ist nach Jesus wirklich groß unter seinen Jüngern?</x:v>
      </x:c>
      <x:c r="G113" s="36" t="str">
        <x:v>Der mit dem höchsten Titel.</x:v>
      </x:c>
      <x:c r="H113" s="36" t="str">
        <x:v>Der mit dem meisten Besitz.</x:v>
      </x:c>
      <x:c r="I113" s="36" t="str">
        <x:v>Der mit den meisten Anhängern.</x:v>
      </x:c>
      <x:c r="J113" s="36" t="str">
        <x:v>Der, der dient.</x:v>
      </x:c>
      <x:c r="K113" s="36" t="n">
        <x:v>3</x:v>
      </x:c>
      <x:c r="L113" s="36" t="str">
        <x:v>Der, der dient.</x:v>
      </x:c>
      <x:c r="M113" s="36" t="str">
        <x:v>Matthäus 23,8–12</x:v>
      </x:c>
      <x:c r="N113" s="36" t="str">
        <x:v>Jesus warnt vor Selbsterhöhung und sagt: Der Größte unter euch soll euer Diener sein.</x:v>
      </x:c>
      <x:c r="O113" s="36" t="str">
        <x:v>FREIGEGEBEN</x:v>
      </x:c>
      <x:c r="P113" s="36" t="str">
        <x:v>FREIGEGEBEN</x:v>
      </x:c>
      <x:c r="Q113" s="36" t="str">
        <x:v>JA</x:v>
      </x:c>
    </x:row>
    <x:row r="114">
      <x:c r="A114" s="36" t="str">
        <x:v>FP-0373</x:v>
      </x:c>
      <x:c r="B114" s="36" t="str">
        <x:v>MAT</x:v>
      </x:c>
      <x:c r="C114" s="36" t="str">
        <x:v>Matthäus</x:v>
      </x:c>
      <x:c r="D114" s="36" t="n">
        <x:v>23</x:v>
      </x:c>
      <x:c r="E114" s="36" t="n">
        <x:v>3</x:v>
      </x:c>
      <x:c r="F114" s="36" t="str">
        <x:v>Welche „wichtigeren Dinge“ des Gesetzes wirft Jesus den Pharisäern vor vernachlässigt zu haben?</x:v>
      </x:c>
      <x:c r="G114" s="36" t="str">
        <x:v>Recht, Barmherzigkeit und Glauben beziehungsweise Treue.</x:v>
      </x:c>
      <x:c r="H114" s="36" t="str">
        <x:v>Fasten, Reisen und Handel.</x:v>
      </x:c>
      <x:c r="I114" s="36" t="str">
        <x:v>Musik, Baukunst und Bildung.</x:v>
      </x:c>
      <x:c r="J114" s="36" t="str">
        <x:v>Abstammung, Kleidung und Sprache.</x:v>
      </x:c>
      <x:c r="K114" s="36" t="n">
        <x:v>0</x:v>
      </x:c>
      <x:c r="L114" s="36" t="str">
        <x:v>Recht, Barmherzigkeit und Glauben beziehungsweise Treue.</x:v>
      </x:c>
      <x:c r="M114" s="36" t="str">
        <x:v>Matthäus 23,23</x:v>
      </x:c>
      <x:c r="N114" s="36" t="str">
        <x:v>Jesus kritisiert genaue Zehntpraxis bei gleichzeitiger Vernachlässigung der gewichtigeren Anliegen des Gesetzes.</x:v>
      </x:c>
      <x:c r="O114" s="36" t="str">
        <x:v>FREIGEGEBEN</x:v>
      </x:c>
      <x:c r="P114" s="36" t="str">
        <x:v>FREIGEGEBEN</x:v>
      </x:c>
      <x:c r="Q114" s="36" t="str">
        <x:v>JA</x:v>
      </x:c>
    </x:row>
    <x:row r="115">
      <x:c r="A115" s="36" t="str">
        <x:v>FP-0374</x:v>
      </x:c>
      <x:c r="B115" s="36" t="str">
        <x:v>MAT</x:v>
      </x:c>
      <x:c r="C115" s="36" t="str">
        <x:v>Matthäus</x:v>
      </x:c>
      <x:c r="D115" s="36" t="n">
        <x:v>23</x:v>
      </x:c>
      <x:c r="E115" s="36" t="n">
        <x:v>4</x:v>
      </x:c>
      <x:c r="F115" s="36" t="str">
        <x:v>Was sollen die Pharisäer nach Jesu Bild vom Becher zuerst reinigen?</x:v>
      </x:c>
      <x:c r="G115" s="36" t="str">
        <x:v>Nur den äußeren Rand.</x:v>
      </x:c>
      <x:c r="H115" s="36" t="str">
        <x:v>Das Innere, damit auch das Äußere rein werde.</x:v>
      </x:c>
      <x:c r="I115" s="36" t="str">
        <x:v>Nur den Boden.</x:v>
      </x:c>
      <x:c r="J115" s="36" t="str">
        <x:v>Gar nichts, weil Reinheit unwichtig sei.</x:v>
      </x:c>
      <x:c r="K115" s="36" t="n">
        <x:v>1</x:v>
      </x:c>
      <x:c r="L115" s="36" t="str">
        <x:v>Das Innere, damit auch das Äußere rein werde.</x:v>
      </x:c>
      <x:c r="M115" s="36" t="str">
        <x:v>Matthäus 23,25–26</x:v>
      </x:c>
      <x:c r="N115" s="36" t="str">
        <x:v>Jesus verwendet das Bild des Bechers, um innere und äußere Reinheit gegenüberzustellen.</x:v>
      </x:c>
      <x:c r="O115" s="36" t="str">
        <x:v>FREIGEGEBEN</x:v>
      </x:c>
      <x:c r="P115" s="36" t="str">
        <x:v>FREIGEGEBEN</x:v>
      </x:c>
      <x:c r="Q115" s="36" t="str">
        <x:v>JA</x:v>
      </x:c>
    </x:row>
    <x:row r="116">
      <x:c r="A116" s="36" t="str">
        <x:v>FP-0375</x:v>
      </x:c>
      <x:c r="B116" s="36" t="str">
        <x:v>MAT</x:v>
      </x:c>
      <x:c r="C116" s="36" t="str">
        <x:v>Matthäus</x:v>
      </x:c>
      <x:c r="D116" s="36" t="n">
        <x:v>23</x:v>
      </x:c>
      <x:c r="E116" s="36" t="n">
        <x:v>5</x:v>
      </x:c>
      <x:c r="F116" s="36" t="str">
        <x:v>Mit welchem Bild beschreibt Jesus seinen Wunsch, Jerusalem zu sammeln?</x:v>
      </x:c>
      <x:c r="G116" s="36" t="str">
        <x:v>Wie ein Fischer seine Netze auswirft.</x:v>
      </x:c>
      <x:c r="H116" s="36" t="str">
        <x:v>Wie ein König sein Heer versammelt.</x:v>
      </x:c>
      <x:c r="I116" s="36" t="str">
        <x:v>Wie eine Henne ihre Küken unter ihre Flügel sammelt.</x:v>
      </x:c>
      <x:c r="J116" s="36" t="str">
        <x:v>Wie ein Händler seine Münzen zählt.</x:v>
      </x:c>
      <x:c r="K116" s="36" t="n">
        <x:v>2</x:v>
      </x:c>
      <x:c r="L116" s="36" t="str">
        <x:v>Wie eine Henne ihre Küken unter ihre Flügel sammelt.</x:v>
      </x:c>
      <x:c r="M116" s="36" t="str">
        <x:v>Matthäus 23,37–39</x:v>
      </x:c>
      <x:c r="N116" s="36" t="str">
        <x:v>Jesus klagt über Jerusalem und benutzt das Bild einer Henne, die ihre Küken unter den Flügeln sammelt.</x:v>
      </x:c>
      <x:c r="O116" s="36" t="str">
        <x:v>FREIGEGEBEN</x:v>
      </x:c>
      <x:c r="P116" s="36" t="str">
        <x:v>FREIGEGEBEN</x:v>
      </x:c>
      <x:c r="Q116" s="36" t="str">
        <x:v>JA</x:v>
      </x:c>
    </x:row>
    <x:row r="117">
      <x:c r="A117" s="36" t="str">
        <x:v>FP-0376</x:v>
      </x:c>
      <x:c r="B117" s="36" t="str">
        <x:v>MAT</x:v>
      </x:c>
      <x:c r="C117" s="36" t="str">
        <x:v>Matthäus</x:v>
      </x:c>
      <x:c r="D117" s="36" t="n">
        <x:v>24</x:v>
      </x:c>
      <x:c r="E117" s="36" t="n">
        <x:v>1</x:v>
      </x:c>
      <x:c r="F117" s="36" t="str">
        <x:v>Was sagt Jesus über die Tempelgebäude, die ihm die Jünger zeigen?</x:v>
      </x:c>
      <x:c r="G117" s="36" t="str">
        <x:v>Sie würden für immer unverändert stehen.</x:v>
      </x:c>
      <x:c r="H117" s="36" t="str">
        <x:v>Sie würden sofort größer gebaut.</x:v>
      </x:c>
      <x:c r="I117" s="36" t="str">
        <x:v>Sie würden nach Galiläa versetzt.</x:v>
      </x:c>
      <x:c r="J117" s="36" t="str">
        <x:v>Kein Stein werde auf dem anderen bleiben.</x:v>
      </x:c>
      <x:c r="K117" s="36" t="n">
        <x:v>3</x:v>
      </x:c>
      <x:c r="L117" s="36" t="str">
        <x:v>Kein Stein werde auf dem anderen bleiben.</x:v>
      </x:c>
      <x:c r="M117" s="36" t="str">
        <x:v>Matthäus 24,1–2</x:v>
      </x:c>
      <x:c r="N117" s="36" t="str">
        <x:v>Jesus kündigt die Zerstörung der Tempelanlage an.</x:v>
      </x:c>
      <x:c r="O117" s="36" t="str">
        <x:v>FREIGEGEBEN</x:v>
      </x:c>
      <x:c r="P117" s="36" t="str">
        <x:v>FREIGEGEBEN</x:v>
      </x:c>
      <x:c r="Q117" s="36" t="str">
        <x:v>JA</x:v>
      </x:c>
    </x:row>
    <x:row r="118">
      <x:c r="A118" s="36" t="str">
        <x:v>FP-0377</x:v>
      </x:c>
      <x:c r="B118" s="36" t="str">
        <x:v>MAT</x:v>
      </x:c>
      <x:c r="C118" s="36" t="str">
        <x:v>Matthäus</x:v>
      </x:c>
      <x:c r="D118" s="36" t="n">
        <x:v>24</x:v>
      </x:c>
      <x:c r="E118" s="36" t="n">
        <x:v>2</x:v>
      </x:c>
      <x:c r="F118" s="36" t="str">
        <x:v>Wie sollen die Jünger Kriege, Hungersnöte und Erdbeben einordnen?</x:v>
      </x:c>
      <x:c r="G118" s="36" t="str">
        <x:v>Als Anfang der Wehen; das Ende ist damit noch nicht da.</x:v>
      </x:c>
      <x:c r="H118" s="36" t="str">
        <x:v>Als sicheren Beweis, dass das Ende noch am selben Tag kommt.</x:v>
      </x:c>
      <x:c r="I118" s="36" t="str">
        <x:v>Als Grund, jede Verkündigung einzustellen.</x:v>
      </x:c>
      <x:c r="J118" s="36" t="str">
        <x:v>Als Zeichen, nach Rom zu ziehen.</x:v>
      </x:c>
      <x:c r="K118" s="36" t="n">
        <x:v>0</x:v>
      </x:c>
      <x:c r="L118" s="36" t="str">
        <x:v>Als Anfang der Wehen; das Ende ist damit noch nicht da.</x:v>
      </x:c>
      <x:c r="M118" s="36" t="str">
        <x:v>Matthäus 24,4–8</x:v>
      </x:c>
      <x:c r="N118" s="36" t="str">
        <x:v>Jesus warnt vor Täuschung und sagt, dass solche Ereignisse geschehen müssen, aber noch nicht das Ende sind.</x:v>
      </x:c>
      <x:c r="O118" s="36" t="str">
        <x:v>FREIGEGEBEN</x:v>
      </x:c>
      <x:c r="P118" s="36" t="str">
        <x:v>FREIGEGEBEN</x:v>
      </x:c>
      <x:c r="Q118" s="36" t="str">
        <x:v>JA</x:v>
      </x:c>
    </x:row>
    <x:row r="119">
      <x:c r="A119" s="36" t="str">
        <x:v>FP-0378</x:v>
      </x:c>
      <x:c r="B119" s="36" t="str">
        <x:v>MAT</x:v>
      </x:c>
      <x:c r="C119" s="36" t="str">
        <x:v>Matthäus</x:v>
      </x:c>
      <x:c r="D119" s="36" t="n">
        <x:v>24</x:v>
      </x:c>
      <x:c r="E119" s="36" t="n">
        <x:v>3</x:v>
      </x:c>
      <x:c r="F119" s="36" t="str">
        <x:v>Was soll nach Jesus geschehen, bevor das Ende kommt?</x:v>
      </x:c>
      <x:c r="G119" s="36" t="str">
        <x:v>Alle Menschen müssen nach Jerusalem ziehen.</x:v>
      </x:c>
      <x:c r="H119" s="36" t="str">
        <x:v>Das Evangelium vom Reich soll in der ganzen Welt zum Zeugnis für alle Völker verkündet werden.</x:v>
      </x:c>
      <x:c r="I119" s="36" t="str">
        <x:v>Der Tempel muss neu gebaut werden.</x:v>
      </x:c>
      <x:c r="J119" s="36" t="str">
        <x:v>Jeder muss dieselbe Sprache sprechen.</x:v>
      </x:c>
      <x:c r="K119" s="36" t="n">
        <x:v>1</x:v>
      </x:c>
      <x:c r="L119" s="36" t="str">
        <x:v>Das Evangelium vom Reich soll in der ganzen Welt zum Zeugnis für alle Völker verkündet werden.</x:v>
      </x:c>
      <x:c r="M119" s="36" t="str">
        <x:v>Matthäus 24,14</x:v>
      </x:c>
      <x:c r="N119" s="36" t="str">
        <x:v>Jesus verbindet die weltweite Verkündigung des Evangeliums vom Reich mit dem kommenden Ende.</x:v>
      </x:c>
      <x:c r="O119" s="36" t="str">
        <x:v>FREIGEGEBEN</x:v>
      </x:c>
      <x:c r="P119" s="36" t="str">
        <x:v>FREIGEGEBEN</x:v>
      </x:c>
      <x:c r="Q119" s="36" t="str">
        <x:v>JA</x:v>
      </x:c>
    </x:row>
    <x:row r="120">
      <x:c r="A120" s="36" t="str">
        <x:v>FP-0379</x:v>
      </x:c>
      <x:c r="B120" s="36" t="str">
        <x:v>MAT</x:v>
      </x:c>
      <x:c r="C120" s="36" t="str">
        <x:v>Matthäus</x:v>
      </x:c>
      <x:c r="D120" s="36" t="n">
        <x:v>24</x:v>
      </x:c>
      <x:c r="E120" s="36" t="n">
        <x:v>4</x:v>
      </x:c>
      <x:c r="F120" s="36" t="str">
        <x:v>Wer kennt nach Jesu Aussage Tag und Stunde?</x:v>
      </x:c>
      <x:c r="G120" s="36" t="str">
        <x:v>Die Engel im Himmel.</x:v>
      </x:c>
      <x:c r="H120" s="36" t="str">
        <x:v>Die zwölf Apostel gemeinsam.</x:v>
      </x:c>
      <x:c r="I120" s="36" t="str">
        <x:v>Der Vater allein.</x:v>
      </x:c>
      <x:c r="J120" s="36" t="str">
        <x:v>Jeder, der die Zeichen beobachtet.</x:v>
      </x:c>
      <x:c r="K120" s="36" t="n">
        <x:v>2</x:v>
      </x:c>
      <x:c r="L120" s="36" t="str">
        <x:v>Der Vater allein.</x:v>
      </x:c>
      <x:c r="M120" s="36" t="str">
        <x:v>Matthäus 24,36</x:v>
      </x:c>
      <x:c r="N120" s="36" t="str">
        <x:v>Jesus sagt, dass weder Menschen noch Engel den Zeitpunkt kennen, sondern der Vater allein.</x:v>
      </x:c>
      <x:c r="O120" s="36" t="str">
        <x:v>FREIGEGEBEN</x:v>
      </x:c>
      <x:c r="P120" s="36" t="str">
        <x:v>FREIGEGEBEN</x:v>
      </x:c>
      <x:c r="Q120" s="36" t="str">
        <x:v>JA</x:v>
      </x:c>
    </x:row>
    <x:row r="121">
      <x:c r="A121" s="36" t="str">
        <x:v>FP-0380</x:v>
      </x:c>
      <x:c r="B121" s="36" t="str">
        <x:v>MAT</x:v>
      </x:c>
      <x:c r="C121" s="36" t="str">
        <x:v>Matthäus</x:v>
      </x:c>
      <x:c r="D121" s="36" t="n">
        <x:v>24</x:v>
      </x:c>
      <x:c r="E121" s="36" t="n">
        <x:v>5</x:v>
      </x:c>
      <x:c r="F121" s="36" t="str">
        <x:v>Welche Haltung fordert Jesus deshalb von seinen Jüngern?</x:v>
      </x:c>
      <x:c r="G121" s="36" t="str">
        <x:v>Ein genaues Datum zu berechnen.</x:v>
      </x:c>
      <x:c r="H121" s="36" t="str">
        <x:v>Alle Arbeit einzustellen.</x:v>
      </x:c>
      <x:c r="I121" s="36" t="str">
        <x:v>Sich dauerhaft im Tempel einzuschließen.</x:v>
      </x:c>
      <x:c r="J121" s="36" t="str">
        <x:v>Wachsam und bereit zu sein, weil der Menschensohn zu einer unerwarteten Stunde kommt.</x:v>
      </x:c>
      <x:c r="K121" s="36" t="n">
        <x:v>3</x:v>
      </x:c>
      <x:c r="L121" s="36" t="str">
        <x:v>Wachsam und bereit zu sein, weil der Menschensohn zu einer unerwarteten Stunde kommt.</x:v>
      </x:c>
      <x:c r="M121" s="36" t="str">
        <x:v>Matthäus 24,42–44</x:v>
      </x:c>
      <x:c r="N121" s="36" t="str">
        <x:v>Weil der Zeitpunkt nicht bekannt ist, ruft Jesus zu Wachsamkeit und Bereitschaft auf.</x:v>
      </x:c>
      <x:c r="O121" s="36" t="str">
        <x:v>FREIGEGEBEN</x:v>
      </x:c>
      <x:c r="P121" s="36" t="str">
        <x:v>FREIGEGEBEN</x:v>
      </x:c>
      <x:c r="Q121" s="36" t="str">
        <x:v>JA</x:v>
      </x:c>
    </x:row>
    <x:row r="122">
      <x:c r="A122" s="36" t="str">
        <x:v>FP-0381</x:v>
      </x:c>
      <x:c r="B122" s="36" t="str">
        <x:v>MAT</x:v>
      </x:c>
      <x:c r="C122" s="36" t="str">
        <x:v>Matthäus</x:v>
      </x:c>
      <x:c r="D122" s="36" t="n">
        <x:v>25</x:v>
      </x:c>
      <x:c r="E122" s="36" t="n">
        <x:v>1</x:v>
      </x:c>
      <x:c r="F122" s="36" t="str">
        <x:v>Was unterscheidet im Gleichnis die klugen von den törichten Jungfrauen?</x:v>
      </x:c>
      <x:c r="G122" s="36" t="str">
        <x:v>Die klugen nehmen zusätzlich Öl für ihre Lampen mit.</x:v>
      </x:c>
      <x:c r="H122" s="36" t="str">
        <x:v>Die klugen haben größere Lampen.</x:v>
      </x:c>
      <x:c r="I122" s="36" t="str">
        <x:v>Die törichten kommen zuerst an.</x:v>
      </x:c>
      <x:c r="J122" s="36" t="str">
        <x:v>Die törichten kennen den Bräutigam persönlich.</x:v>
      </x:c>
      <x:c r="K122" s="36" t="n">
        <x:v>0</x:v>
      </x:c>
      <x:c r="L122" s="36" t="str">
        <x:v>Die klugen nehmen zusätzlich Öl für ihre Lampen mit.</x:v>
      </x:c>
      <x:c r="M122" s="36" t="str">
        <x:v>Matthäus 25,1–10</x:v>
      </x:c>
      <x:c r="N122" s="36" t="str">
        <x:v>Die klugen Jungfrauen sind vorbereitet und nehmen Öl mit; die törichten haben keinen ausreichenden Vorrat.</x:v>
      </x:c>
      <x:c r="O122" s="36" t="str">
        <x:v>FREIGEGEBEN</x:v>
      </x:c>
      <x:c r="P122" s="36" t="str">
        <x:v>FREIGEGEBEN</x:v>
      </x:c>
      <x:c r="Q122" s="36" t="str">
        <x:v>JA</x:v>
      </x:c>
    </x:row>
    <x:row r="123">
      <x:c r="A123" s="36" t="str">
        <x:v>FP-0382</x:v>
      </x:c>
      <x:c r="B123" s="36" t="str">
        <x:v>MAT</x:v>
      </x:c>
      <x:c r="C123" s="36" t="str">
        <x:v>Matthäus</x:v>
      </x:c>
      <x:c r="D123" s="36" t="n">
        <x:v>25</x:v>
      </x:c>
      <x:c r="E123" s="36" t="n">
        <x:v>2</x:v>
      </x:c>
      <x:c r="F123" s="36" t="str">
        <x:v>Welche Schlussfolgerung zieht Jesus aus dem Gleichnis von den zehn Jungfrauen?</x:v>
      </x:c>
      <x:c r="G123" s="36" t="str">
        <x:v>Berechnet den genauen Tag.</x:v>
      </x:c>
      <x:c r="H123" s="36" t="str">
        <x:v>Wacht, denn ihr kennt weder Tag noch Stunde.</x:v>
      </x:c>
      <x:c r="I123" s="36" t="str">
        <x:v>Verlasst eure Lampen.</x:v>
      </x:c>
      <x:c r="J123" s="36" t="str">
        <x:v>Wartet nur tagsüber.</x:v>
      </x:c>
      <x:c r="K123" s="36" t="n">
        <x:v>1</x:v>
      </x:c>
      <x:c r="L123" s="36" t="str">
        <x:v>Wacht, denn ihr kennt weder Tag noch Stunde.</x:v>
      </x:c>
      <x:c r="M123" s="36" t="str">
        <x:v>Matthäus 25,13</x:v>
      </x:c>
      <x:c r="N123" s="36" t="str">
        <x:v>Jesus schließt das Gleichnis mit dem Aufruf zur Wachsamkeit.</x:v>
      </x:c>
      <x:c r="O123" s="36" t="str">
        <x:v>FREIGEGEBEN</x:v>
      </x:c>
      <x:c r="P123" s="36" t="str">
        <x:v>FREIGEGEBEN</x:v>
      </x:c>
      <x:c r="Q123" s="36" t="str">
        <x:v>JA</x:v>
      </x:c>
    </x:row>
    <x:row r="124">
      <x:c r="A124" s="36" t="str">
        <x:v>FP-0383</x:v>
      </x:c>
      <x:c r="B124" s="36" t="str">
        <x:v>MAT</x:v>
      </x:c>
      <x:c r="C124" s="36" t="str">
        <x:v>Matthäus</x:v>
      </x:c>
      <x:c r="D124" s="36" t="n">
        <x:v>25</x:v>
      </x:c>
      <x:c r="E124" s="36" t="n">
        <x:v>3</x:v>
      </x:c>
      <x:c r="F124" s="36" t="str">
        <x:v>Was macht der Knecht mit dem einen Talent aus Angst vor seinem Herrn?</x:v>
      </x:c>
      <x:c r="G124" s="36" t="str">
        <x:v>Er verdoppelt es im Handel.</x:v>
      </x:c>
      <x:c r="H124" s="36" t="str">
        <x:v>Er verschenkt es an die Armen.</x:v>
      </x:c>
      <x:c r="I124" s="36" t="str">
        <x:v>Er vergräbt es in der Erde.</x:v>
      </x:c>
      <x:c r="J124" s="36" t="str">
        <x:v>Er gibt es einem anderen Knecht.</x:v>
      </x:c>
      <x:c r="K124" s="36" t="n">
        <x:v>2</x:v>
      </x:c>
      <x:c r="L124" s="36" t="str">
        <x:v>Er vergräbt es in der Erde.</x:v>
      </x:c>
      <x:c r="M124" s="36" t="str">
        <x:v>Matthäus 25,18; 24–27</x:v>
      </x:c>
      <x:c r="N124" s="36" t="str">
        <x:v>Der Knecht versteckt das anvertraute Talent und begründet dies später mit seiner Furcht vor dem Herrn.</x:v>
      </x:c>
      <x:c r="O124" s="36" t="str">
        <x:v>FREIGEGEBEN</x:v>
      </x:c>
      <x:c r="P124" s="36" t="str">
        <x:v>FREIGEGEBEN</x:v>
      </x:c>
      <x:c r="Q124" s="36" t="str">
        <x:v>JA</x:v>
      </x:c>
    </x:row>
    <x:row r="125">
      <x:c r="A125" s="36" t="str">
        <x:v>FP-0384</x:v>
      </x:c>
      <x:c r="B125" s="36" t="str">
        <x:v>MAT</x:v>
      </x:c>
      <x:c r="C125" s="36" t="str">
        <x:v>Matthäus</x:v>
      </x:c>
      <x:c r="D125" s="36" t="n">
        <x:v>25</x:v>
      </x:c>
      <x:c r="E125" s="36" t="n">
        <x:v>4</x:v>
      </x:c>
      <x:c r="F125" s="36" t="str">
        <x:v>Wie verbindet Jesus im Bild vom Weltgericht Hilfe für Bedürftige mit seiner eigenen Person?</x:v>
      </x:c>
      <x:c r="G125" s="36" t="str">
        <x:v>Nur Hilfe für Könige zählt.</x:v>
      </x:c>
      <x:c r="H125" s="36" t="str">
        <x:v>Hilfe für andere hat nichts mit ihm zu tun.</x:v>
      </x:c>
      <x:c r="I125" s="36" t="str">
        <x:v>Nur Geldspenden werden berücksichtigt.</x:v>
      </x:c>
      <x:c r="J125" s="36" t="str">
        <x:v>Was man einem der geringsten seiner Brüder getan hat, hat man ihm getan.</x:v>
      </x:c>
      <x:c r="K125" s="36" t="n">
        <x:v>3</x:v>
      </x:c>
      <x:c r="L125" s="36" t="str">
        <x:v>Was man einem der geringsten seiner Brüder getan hat, hat man ihm getan.</x:v>
      </x:c>
      <x:c r="M125" s="36" t="str">
        <x:v>Matthäus 25,34–40</x:v>
      </x:c>
      <x:c r="N125" s="36" t="str">
        <x:v>Jesus identifiziert sich in der Gerichtsszene mit den Bedürftigen: Hilfe an ihnen gilt als Hilfe an ihm.</x:v>
      </x:c>
      <x:c r="O125" s="36" t="str">
        <x:v>FREIGEGEBEN</x:v>
      </x:c>
      <x:c r="P125" s="36" t="str">
        <x:v>FREIGEGEBEN</x:v>
      </x:c>
      <x:c r="Q125" s="36" t="str">
        <x:v>JA</x:v>
      </x:c>
    </x:row>
    <x:row r="126">
      <x:c r="A126" s="36" t="str">
        <x:v>FP-0385</x:v>
      </x:c>
      <x:c r="B126" s="36" t="str">
        <x:v>MAT</x:v>
      </x:c>
      <x:c r="C126" s="36" t="str">
        <x:v>Matthäus</x:v>
      </x:c>
      <x:c r="D126" s="36" t="n">
        <x:v>25</x:v>
      </x:c>
      <x:c r="E126" s="36" t="n">
        <x:v>5</x:v>
      </x:c>
      <x:c r="F126" s="36" t="str">
        <x:v>Welche beiden Ausgänge nennt Matthäus 25 am Ende der Gerichtsszene?</x:v>
      </x:c>
      <x:c r="G126" s="36" t="str">
        <x:v>Ewige Strafe und ewiges Leben.</x:v>
      </x:c>
      <x:c r="H126" s="36" t="str">
        <x:v>Reichtum und Armut.</x:v>
      </x:c>
      <x:c r="I126" s="36" t="str">
        <x:v>Jerusalem und Galiläa.</x:v>
      </x:c>
      <x:c r="J126" s="36" t="str">
        <x:v>Schlaf und Erwachen.</x:v>
      </x:c>
      <x:c r="K126" s="36" t="n">
        <x:v>0</x:v>
      </x:c>
      <x:c r="L126" s="36" t="str">
        <x:v>Ewige Strafe und ewiges Leben.</x:v>
      </x:c>
      <x:c r="M126" s="36" t="str">
        <x:v>Matthäus 25,46</x:v>
      </x:c>
      <x:c r="N126" s="36" t="str">
        <x:v>Der Abschnitt endet mit dem Gegensatz zwischen ewiger Strafe und ewigem Leben.</x:v>
      </x:c>
      <x:c r="O126" s="36" t="str">
        <x:v>FREIGEGEBEN</x:v>
      </x:c>
      <x:c r="P126" s="36" t="str">
        <x:v>FREIGEGEBEN</x:v>
      </x:c>
      <x:c r="Q126" s="36" t="str">
        <x:v>JA</x:v>
      </x:c>
    </x:row>
    <x:row r="127">
      <x:c r="A127" s="36" t="str">
        <x:v>FP-0386</x:v>
      </x:c>
      <x:c r="B127" s="36" t="str">
        <x:v>MAT</x:v>
      </x:c>
      <x:c r="C127" s="36" t="str">
        <x:v>Matthäus</x:v>
      </x:c>
      <x:c r="D127" s="36" t="n">
        <x:v>26</x:v>
      </x:c>
      <x:c r="E127" s="36" t="n">
        <x:v>1</x:v>
      </x:c>
      <x:c r="F127" s="36" t="str">
        <x:v>Wie deutet Jesus die Salbung in Bethanien, gegen die einige Jünger protestieren?</x:v>
      </x:c>
      <x:c r="G127" s="36" t="str">
        <x:v>Als Zeichen seiner Krönung zum irdischen König.</x:v>
      </x:c>
      <x:c r="H127" s="36" t="str">
        <x:v>Als Vorbereitung auf sein Begräbnis.</x:v>
      </x:c>
      <x:c r="I127" s="36" t="str">
        <x:v>Als Bezahlung für das Passahmahl.</x:v>
      </x:c>
      <x:c r="J127" s="36" t="str">
        <x:v>Als Auftrag, Bethanien zu verlassen.</x:v>
      </x:c>
      <x:c r="K127" s="36" t="n">
        <x:v>1</x:v>
      </x:c>
      <x:c r="L127" s="36" t="str">
        <x:v>Als Vorbereitung auf sein Begräbnis.</x:v>
      </x:c>
      <x:c r="M127" s="36" t="str">
        <x:v>Matthäus 26,6–13</x:v>
      </x:c>
      <x:c r="N127" s="36" t="str">
        <x:v>Jesus verteidigt die Frau und deutet ihre Handlung im Blick auf sein Begräbnis.</x:v>
      </x:c>
      <x:c r="O127" s="36" t="str">
        <x:v>FREIGEGEBEN</x:v>
      </x:c>
      <x:c r="P127" s="36" t="str">
        <x:v>FREIGEGEBEN</x:v>
      </x:c>
      <x:c r="Q127" s="36" t="str">
        <x:v>JA</x:v>
      </x:c>
    </x:row>
    <x:row r="128">
      <x:c r="A128" s="36" t="str">
        <x:v>FP-0387</x:v>
      </x:c>
      <x:c r="B128" s="36" t="str">
        <x:v>MAT</x:v>
      </x:c>
      <x:c r="C128" s="36" t="str">
        <x:v>Matthäus</x:v>
      </x:c>
      <x:c r="D128" s="36" t="n">
        <x:v>26</x:v>
      </x:c>
      <x:c r="E128" s="36" t="n">
        <x:v>2</x:v>
      </x:c>
      <x:c r="F128" s="36" t="str">
        <x:v>Für welchen Betrag vereinbart Judas, Jesus auszuliefern?</x:v>
      </x:c>
      <x:c r="G128" s="36" t="str">
        <x:v>Zwölf Silberstücke.</x:v>
      </x:c>
      <x:c r="H128" s="36" t="str">
        <x:v>Fünfzig Goldstücke.</x:v>
      </x:c>
      <x:c r="I128" s="36" t="str">
        <x:v>Dreißig Silberstücke.</x:v>
      </x:c>
      <x:c r="J128" s="36" t="str">
        <x:v>Sieben Denare.</x:v>
      </x:c>
      <x:c r="K128" s="36" t="n">
        <x:v>2</x:v>
      </x:c>
      <x:c r="L128" s="36" t="str">
        <x:v>Dreißig Silberstücke.</x:v>
      </x:c>
      <x:c r="M128" s="36" t="str">
        <x:v>Matthäus 26,14–16</x:v>
      </x:c>
      <x:c r="N128" s="36" t="str">
        <x:v>Judas verhandelt mit den Hohenpriestern und erhält dreißig Silberstücke.</x:v>
      </x:c>
      <x:c r="O128" s="36" t="str">
        <x:v>FREIGEGEBEN</x:v>
      </x:c>
      <x:c r="P128" s="36" t="str">
        <x:v>FREIGEGEBEN</x:v>
      </x:c>
      <x:c r="Q128" s="36" t="str">
        <x:v>JA</x:v>
      </x:c>
    </x:row>
    <x:row r="129">
      <x:c r="A129" s="36" t="str">
        <x:v>FP-0388</x:v>
      </x:c>
      <x:c r="B129" s="36" t="str">
        <x:v>MAT</x:v>
      </x:c>
      <x:c r="C129" s="36" t="str">
        <x:v>Matthäus</x:v>
      </x:c>
      <x:c r="D129" s="36" t="n">
        <x:v>26</x:v>
      </x:c>
      <x:c r="E129" s="36" t="n">
        <x:v>3</x:v>
      </x:c>
      <x:c r="F129" s="36" t="str">
        <x:v>Wofür steht der Kelch beim letzten Mahl nach Jesu Worten?</x:v>
      </x:c>
      <x:c r="G129" s="36" t="str">
        <x:v>Für die Tempelsteuer.</x:v>
      </x:c>
      <x:c r="H129" s="36" t="str">
        <x:v>Für den Sieg über Rom.</x:v>
      </x:c>
      <x:c r="I129" s="36" t="str">
        <x:v>Für das Wasser der Taufe des Johannes.</x:v>
      </x:c>
      <x:c r="J129" s="36" t="str">
        <x:v>Für sein Blut des Bundes, das für viele zur Vergebung der Sünden vergossen wird.</x:v>
      </x:c>
      <x:c r="K129" s="36" t="n">
        <x:v>3</x:v>
      </x:c>
      <x:c r="L129" s="36" t="str">
        <x:v>Für sein Blut des Bundes, das für viele zur Vergebung der Sünden vergossen wird.</x:v>
      </x:c>
      <x:c r="M129" s="36" t="str">
        <x:v>Matthäus 26,26–28</x:v>
      </x:c>
      <x:c r="N129" s="36" t="str">
        <x:v>Jesus deutet den Kelch als sein Bundesblut, das für viele zur Vergebung der Sünden vergossen wird.</x:v>
      </x:c>
      <x:c r="O129" s="36" t="str">
        <x:v>FREIGEGEBEN</x:v>
      </x:c>
      <x:c r="P129" s="36" t="str">
        <x:v>FREIGEGEBEN</x:v>
      </x:c>
      <x:c r="Q129" s="36" t="str">
        <x:v>JA</x:v>
      </x:c>
    </x:row>
    <x:row r="130">
      <x:c r="A130" s="36" t="str">
        <x:v>FP-0389</x:v>
      </x:c>
      <x:c r="B130" s="36" t="str">
        <x:v>MAT</x:v>
      </x:c>
      <x:c r="C130" s="36" t="str">
        <x:v>Matthäus</x:v>
      </x:c>
      <x:c r="D130" s="36" t="n">
        <x:v>26</x:v>
      </x:c>
      <x:c r="E130" s="36" t="n">
        <x:v>4</x:v>
      </x:c>
      <x:c r="F130" s="36" t="str">
        <x:v>Wie betet Jesus in Gethsemane angesichts des bevorstehenden Leidens?</x:v>
      </x:c>
      <x:c r="G130" s="36" t="str">
        <x:v>Nicht wie ich will, sondern wie du willst.</x:v>
      </x:c>
      <x:c r="H130" s="36" t="str">
        <x:v>Lass meine Jünger für mich entscheiden.</x:v>
      </x:c>
      <x:c r="I130" s="36" t="str">
        <x:v>Gib mir ein Zeichen vom Himmel.</x:v>
      </x:c>
      <x:c r="J130" s="36" t="str">
        <x:v>Führe mich sofort zurück nach Galiläa.</x:v>
      </x:c>
      <x:c r="K130" s="36" t="n">
        <x:v>0</x:v>
      </x:c>
      <x:c r="L130" s="36" t="str">
        <x:v>Nicht wie ich will, sondern wie du willst.</x:v>
      </x:c>
      <x:c r="M130" s="36" t="str">
        <x:v>Matthäus 26,36–42</x:v>
      </x:c>
      <x:c r="N130" s="36" t="str">
        <x:v>Jesus bringt seine Angst vor den Vater, ordnet seinen eigenen Wunsch aber dem Willen des Vaters unter.</x:v>
      </x:c>
      <x:c r="O130" s="36" t="str">
        <x:v>FREIGEGEBEN</x:v>
      </x:c>
      <x:c r="P130" s="36" t="str">
        <x:v>FREIGEGEBEN</x:v>
      </x:c>
      <x:c r="Q130" s="36" t="str">
        <x:v>JA</x:v>
      </x:c>
    </x:row>
    <x:row r="131">
      <x:c r="A131" s="36" t="str">
        <x:v>FP-0390</x:v>
      </x:c>
      <x:c r="B131" s="36" t="str">
        <x:v>MAT</x:v>
      </x:c>
      <x:c r="C131" s="36" t="str">
        <x:v>Matthäus</x:v>
      </x:c>
      <x:c r="D131" s="36" t="n">
        <x:v>26</x:v>
      </x:c>
      <x:c r="E131" s="36" t="n">
        <x:v>5</x:v>
      </x:c>
      <x:c r="F131" s="36" t="str">
        <x:v>Was geschieht mit Petrus nach seiner dritten Verleugnung Jesu?</x:v>
      </x:c>
      <x:c r="G131" s="36" t="str">
        <x:v>Petrus wird sofort verhaftet.</x:v>
      </x:c>
      <x:c r="H131" s="36" t="str">
        <x:v>Der Hahn kräht; Petrus erinnert sich an Jesu Wort und weint bitterlich.</x:v>
      </x:c>
      <x:c r="I131" s="36" t="str">
        <x:v>Jesus erscheint ihm noch in derselben Nacht allein.</x:v>
      </x:c>
      <x:c r="J131" s="36" t="str">
        <x:v>Petrus verlässt Jerusalem und kehrt nicht zurück.</x:v>
      </x:c>
      <x:c r="K131" s="36" t="n">
        <x:v>1</x:v>
      </x:c>
      <x:c r="L131" s="36" t="str">
        <x:v>Der Hahn kräht; Petrus erinnert sich an Jesu Wort und weint bitterlich.</x:v>
      </x:c>
      <x:c r="M131" s="36" t="str">
        <x:v>Matthäus 26,69–75</x:v>
      </x:c>
      <x:c r="N131" s="36" t="str">
        <x:v>Nach der dritten Verleugnung erfüllt sich Jesu Ankündigung; Petrus erinnert sich daran und weint bitterlich.</x:v>
      </x:c>
      <x:c r="O131" s="36" t="str">
        <x:v>FREIGEGEBEN</x:v>
      </x:c>
      <x:c r="P131" s="36" t="str">
        <x:v>FREIGEGEBEN</x:v>
      </x:c>
      <x:c r="Q131" s="36" t="str">
        <x:v>JA</x:v>
      </x:c>
    </x:row>
    <x:row r="132">
      <x:c r="A132" s="36" t="str">
        <x:v>FP-0391</x:v>
      </x:c>
      <x:c r="B132" s="36" t="str">
        <x:v>MAT</x:v>
      </x:c>
      <x:c r="C132" s="36" t="str">
        <x:v>Matthäus</x:v>
      </x:c>
      <x:c r="D132" s="36" t="n">
        <x:v>27</x:v>
      </x:c>
      <x:c r="E132" s="36" t="n">
        <x:v>1</x:v>
      </x:c>
      <x:c r="F132" s="36" t="str">
        <x:v>Was tut Judas, nachdem er erkennt, dass Jesus verurteilt worden ist?</x:v>
      </x:c>
      <x:c r="G132" s="36" t="str">
        <x:v>Er flieht mit dem Geld nach Galiläa.</x:v>
      </x:c>
      <x:c r="H132" s="36" t="str">
        <x:v>Er bittet Pilatus um ein Amt.</x:v>
      </x:c>
      <x:c r="I132" s="36" t="str">
        <x:v>Er bringt die dreißig Silberstücke zurück und erhängt sich.</x:v>
      </x:c>
      <x:c r="J132" s="36" t="str">
        <x:v>Er schließt sich den Jüngern wieder an.</x:v>
      </x:c>
      <x:c r="K132" s="36" t="n">
        <x:v>2</x:v>
      </x:c>
      <x:c r="L132" s="36" t="str">
        <x:v>Er bringt die dreißig Silberstücke zurück und erhängt sich.</x:v>
      </x:c>
      <x:c r="M132" s="36" t="str">
        <x:v>Matthäus 27,3–5</x:v>
      </x:c>
      <x:c r="N132" s="36" t="str">
        <x:v>Judas bereut seine Tat, bringt das Geld zurück, wirft es in den Tempel und erhängt sich.</x:v>
      </x:c>
      <x:c r="O132" s="36" t="str">
        <x:v>FREIGEGEBEN</x:v>
      </x:c>
      <x:c r="P132" s="36" t="str">
        <x:v>FREIGEGEBEN</x:v>
      </x:c>
      <x:c r="Q132" s="36" t="str">
        <x:v>JA</x:v>
      </x:c>
    </x:row>
    <x:row r="133">
      <x:c r="A133" s="36" t="str">
        <x:v>FP-0392</x:v>
      </x:c>
      <x:c r="B133" s="36" t="str">
        <x:v>MAT</x:v>
      </x:c>
      <x:c r="C133" s="36" t="str">
        <x:v>Matthäus</x:v>
      </x:c>
      <x:c r="D133" s="36" t="n">
        <x:v>27</x:v>
      </x:c>
      <x:c r="E133" s="36" t="n">
        <x:v>2</x:v>
      </x:c>
      <x:c r="F133" s="36" t="str">
        <x:v>Wen fordert die Menge bei Pilatus zur Freilassung?</x:v>
      </x:c>
      <x:c r="G133" s="36" t="str">
        <x:v>Jesus.</x:v>
      </x:c>
      <x:c r="H133" s="36" t="str">
        <x:v>Johannes den Täufer.</x:v>
      </x:c>
      <x:c r="I133" s="36" t="str">
        <x:v>Josef von Arimathäa.</x:v>
      </x:c>
      <x:c r="J133" s="36" t="str">
        <x:v>Barabbas.</x:v>
      </x:c>
      <x:c r="K133" s="36" t="n">
        <x:v>3</x:v>
      </x:c>
      <x:c r="L133" s="36" t="str">
        <x:v>Barabbas.</x:v>
      </x:c>
      <x:c r="M133" s="36" t="str">
        <x:v>Matthäus 27,15–26</x:v>
      </x:c>
      <x:c r="N133" s="36" t="str">
        <x:v>Im Rahmen der Passah-Amnestie verlangt die Menge die Freilassung des Barabbas und die Kreuzigung Jesu.</x:v>
      </x:c>
      <x:c r="O133" s="36" t="str">
        <x:v>FREIGEGEBEN</x:v>
      </x:c>
      <x:c r="P133" s="36" t="str">
        <x:v>FREIGEGEBEN</x:v>
      </x:c>
      <x:c r="Q133" s="36" t="str">
        <x:v>JA</x:v>
      </x:c>
    </x:row>
    <x:row r="134">
      <x:c r="A134" s="36" t="str">
        <x:v>FP-0393</x:v>
      </x:c>
      <x:c r="B134" s="36" t="str">
        <x:v>MAT</x:v>
      </x:c>
      <x:c r="C134" s="36" t="str">
        <x:v>Matthäus</x:v>
      </x:c>
      <x:c r="D134" s="36" t="n">
        <x:v>27</x:v>
      </x:c>
      <x:c r="E134" s="36" t="n">
        <x:v>3</x:v>
      </x:c>
      <x:c r="F134" s="36" t="str">
        <x:v>Welche Aufschrift wird über Jesu Kreuz angebracht?</x:v>
      </x:c>
      <x:c r="G134" s="36" t="str">
        <x:v>Dies ist Jesus, der König der Juden.</x:v>
      </x:c>
      <x:c r="H134" s="36" t="str">
        <x:v>Dies ist Jesus, der König von Rom.</x:v>
      </x:c>
      <x:c r="I134" s="36" t="str">
        <x:v>Dies ist der Täufer Johannes.</x:v>
      </x:c>
      <x:c r="J134" s="36" t="str">
        <x:v>Dies ist der Hohepriester.</x:v>
      </x:c>
      <x:c r="K134" s="36" t="n">
        <x:v>0</x:v>
      </x:c>
      <x:c r="L134" s="36" t="str">
        <x:v>Dies ist Jesus, der König der Juden.</x:v>
      </x:c>
      <x:c r="M134" s="36" t="str">
        <x:v>Matthäus 27,37</x:v>
      </x:c>
      <x:c r="N134" s="36" t="str">
        <x:v>Über Jesu Kopf wird die Anklageschrift angebracht, die ihn als „König der Juden“ bezeichnet.</x:v>
      </x:c>
      <x:c r="O134" s="36" t="str">
        <x:v>FREIGEGEBEN</x:v>
      </x:c>
      <x:c r="P134" s="36" t="str">
        <x:v>FREIGEGEBEN</x:v>
      </x:c>
      <x:c r="Q134" s="36" t="str">
        <x:v>JA</x:v>
      </x:c>
    </x:row>
    <x:row r="135">
      <x:c r="A135" s="36" t="str">
        <x:v>FP-0394</x:v>
      </x:c>
      <x:c r="B135" s="36" t="str">
        <x:v>MAT</x:v>
      </x:c>
      <x:c r="C135" s="36" t="str">
        <x:v>Matthäus</x:v>
      </x:c>
      <x:c r="D135" s="36" t="n">
        <x:v>27</x:v>
      </x:c>
      <x:c r="E135" s="36" t="n">
        <x:v>4</x:v>
      </x:c>
      <x:c r="F135" s="36" t="str">
        <x:v>Was bekennt der Hauptmann nach Jesu Tod und den begleitenden Ereignissen?</x:v>
      </x:c>
      <x:c r="G135" s="36" t="str">
        <x:v>Wahrhaftig, dieser war Johannes der Täufer.</x:v>
      </x:c>
      <x:c r="H135" s="36" t="str">
        <x:v>Wahrhaftig, dieser war Gottes Sohn.</x:v>
      </x:c>
      <x:c r="I135" s="36" t="str">
        <x:v>Wahrhaftig, dieser war ein römischer Bürger.</x:v>
      </x:c>
      <x:c r="J135" s="36" t="str">
        <x:v>Wahrhaftig, dieser war der Hohepriester.</x:v>
      </x:c>
      <x:c r="K135" s="36" t="n">
        <x:v>1</x:v>
      </x:c>
      <x:c r="L135" s="36" t="str">
        <x:v>Wahrhaftig, dieser war Gottes Sohn.</x:v>
      </x:c>
      <x:c r="M135" s="36" t="str">
        <x:v>Matthäus 27,50–54</x:v>
      </x:c>
      <x:c r="N135" s="36" t="str">
        <x:v>Nach Jesu Tod, dem Zerreißen des Tempelvorhangs und dem Erdbeben bekennen der Hauptmann und seine Leute Jesus als Gottes Sohn.</x:v>
      </x:c>
      <x:c r="O135" s="36" t="str">
        <x:v>FREIGEGEBEN</x:v>
      </x:c>
      <x:c r="P135" s="36" t="str">
        <x:v>FREIGEGEBEN</x:v>
      </x:c>
      <x:c r="Q135" s="36" t="str">
        <x:v>JA</x:v>
      </x:c>
    </x:row>
    <x:row r="136">
      <x:c r="A136" s="36" t="str">
        <x:v>FP-0395</x:v>
      </x:c>
      <x:c r="B136" s="36" t="str">
        <x:v>MAT</x:v>
      </x:c>
      <x:c r="C136" s="36" t="str">
        <x:v>Matthäus</x:v>
      </x:c>
      <x:c r="D136" s="36" t="n">
        <x:v>27</x:v>
      </x:c>
      <x:c r="E136" s="36" t="n">
        <x:v>5</x:v>
      </x:c>
      <x:c r="F136" s="36" t="str">
        <x:v>Wie sichern die Hohenpriester und Pharisäer das Grab Jesu?</x:v>
      </x:c>
      <x:c r="G136" s="36" t="str">
        <x:v>Sie lassen das Grab offen.</x:v>
      </x:c>
      <x:c r="H136" s="36" t="str">
        <x:v>Sie bringen den Leichnam in den Tempel.</x:v>
      </x:c>
      <x:c r="I136" s="36" t="str">
        <x:v>Sie lassen den Stein versiegeln und eine Wache aufstellen.</x:v>
      </x:c>
      <x:c r="J136" s="36" t="str">
        <x:v>Sie bewachen es nur selbst ohne Siegel.</x:v>
      </x:c>
      <x:c r="K136" s="36" t="n">
        <x:v>2</x:v>
      </x:c>
      <x:c r="L136" s="36" t="str">
        <x:v>Sie lassen den Stein versiegeln und eine Wache aufstellen.</x:v>
      </x:c>
      <x:c r="M136" s="36" t="str">
        <x:v>Matthäus 27,62–66</x:v>
      </x:c>
      <x:c r="N136" s="36" t="str">
        <x:v>Aus Sorge vor einer behaupteten Auferstehung wird das Grab mit einem Siegel und Wachen gesichert.</x:v>
      </x:c>
      <x:c r="O136" s="36" t="str">
        <x:v>FREIGEGEBEN</x:v>
      </x:c>
      <x:c r="P136" s="36" t="str">
        <x:v>FREIGEGEBEN</x:v>
      </x:c>
      <x:c r="Q136" s="36" t="str">
        <x:v>JA</x:v>
      </x:c>
    </x:row>
    <x:row r="137">
      <x:c r="A137" s="36" t="str">
        <x:v>FP-0396</x:v>
      </x:c>
      <x:c r="B137" s="36" t="str">
        <x:v>MAT</x:v>
      </x:c>
      <x:c r="C137" s="36" t="str">
        <x:v>Matthäus</x:v>
      </x:c>
      <x:c r="D137" s="36" t="n">
        <x:v>28</x:v>
      </x:c>
      <x:c r="E137" s="36" t="n">
        <x:v>1</x:v>
      </x:c>
      <x:c r="F137" s="36" t="str">
        <x:v>Wer kommt am ersten Tag der Woche zum Grab Jesu?</x:v>
      </x:c>
      <x:c r="G137" s="36" t="str">
        <x:v>Petrus und Johannes allein.</x:v>
      </x:c>
      <x:c r="H137" s="36" t="str">
        <x:v>Pilatus und der Hauptmann.</x:v>
      </x:c>
      <x:c r="I137" s="36" t="str">
        <x:v>Josef von Arimathäa und Nikodemus.</x:v>
      </x:c>
      <x:c r="J137" s="36" t="str">
        <x:v>Maria Magdalena und die andere Maria.</x:v>
      </x:c>
      <x:c r="K137" s="36" t="n">
        <x:v>3</x:v>
      </x:c>
      <x:c r="L137" s="36" t="str">
        <x:v>Maria Magdalena und die andere Maria.</x:v>
      </x:c>
      <x:c r="M137" s="36" t="str">
        <x:v>Matthäus 28,1</x:v>
      </x:c>
      <x:c r="N137" s="36" t="str">
        <x:v>Matthäus nennt Maria Magdalena und die andere Maria als die Frauen, die zum Grab kommen.</x:v>
      </x:c>
      <x:c r="O137" s="36" t="str">
        <x:v>FREIGEGEBEN</x:v>
      </x:c>
      <x:c r="P137" s="36" t="str">
        <x:v>FREIGEGEBEN</x:v>
      </x:c>
      <x:c r="Q137" s="36" t="str">
        <x:v>JA</x:v>
      </x:c>
    </x:row>
    <x:row r="138">
      <x:c r="A138" s="36" t="str">
        <x:v>FP-0397</x:v>
      </x:c>
      <x:c r="B138" s="36" t="str">
        <x:v>MAT</x:v>
      </x:c>
      <x:c r="C138" s="36" t="str">
        <x:v>Matthäus</x:v>
      </x:c>
      <x:c r="D138" s="36" t="n">
        <x:v>28</x:v>
      </x:c>
      <x:c r="E138" s="36" t="n">
        <x:v>2</x:v>
      </x:c>
      <x:c r="F138" s="36" t="str">
        <x:v>Welche Botschaft gibt der Engel den Frauen über Jesus?</x:v>
      </x:c>
      <x:c r="G138" s="36" t="str">
        <x:v>Er ist auferstanden; sie sollen es den Jüngern sagen und sie nach Galiläa weisen.</x:v>
      </x:c>
      <x:c r="H138" s="36" t="str">
        <x:v>Jesus sei noch im Grab.</x:v>
      </x:c>
      <x:c r="I138" s="36" t="str">
        <x:v>Die Jünger sollten Jerusalem für immer verlassen.</x:v>
      </x:c>
      <x:c r="J138" s="36" t="str">
        <x:v>Sie sollten niemandem davon erzählen.</x:v>
      </x:c>
      <x:c r="K138" s="36" t="n">
        <x:v>0</x:v>
      </x:c>
      <x:c r="L138" s="36" t="str">
        <x:v>Er ist auferstanden; sie sollen es den Jüngern sagen und sie nach Galiläa weisen.</x:v>
      </x:c>
      <x:c r="M138" s="36" t="str">
        <x:v>Matthäus 28,5–7</x:v>
      </x:c>
      <x:c r="N138" s="36" t="str">
        <x:v>Der Engel verkündet die Auferstehung und sendet die Frauen mit der Nachricht zu den Jüngern.</x:v>
      </x:c>
      <x:c r="O138" s="36" t="str">
        <x:v>FREIGEGEBEN</x:v>
      </x:c>
      <x:c r="P138" s="36" t="str">
        <x:v>FREIGEGEBEN</x:v>
      </x:c>
      <x:c r="Q138" s="36" t="str">
        <x:v>JA</x:v>
      </x:c>
    </x:row>
    <x:row r="139">
      <x:c r="A139" s="36" t="str">
        <x:v>FP-0398</x:v>
      </x:c>
      <x:c r="B139" s="36" t="str">
        <x:v>MAT</x:v>
      </x:c>
      <x:c r="C139" s="36" t="str">
        <x:v>Matthäus</x:v>
      </x:c>
      <x:c r="D139" s="36" t="n">
        <x:v>28</x:v>
      </x:c>
      <x:c r="E139" s="36" t="n">
        <x:v>3</x:v>
      </x:c>
      <x:c r="F139" s="36" t="str">
        <x:v>Welche Erklärung sollen die Wächter nach der Absprache mit den Hohenpriestern verbreiten?</x:v>
      </x:c>
      <x:c r="G139" s="36" t="str">
        <x:v>Jesus sei nie gekreuzigt worden.</x:v>
      </x:c>
      <x:c r="H139" s="36" t="str">
        <x:v>Die Jünger hätten Jesu Leichnam nachts gestohlen, während die Wächter schliefen.</x:v>
      </x:c>
      <x:c r="I139" s="36" t="str">
        <x:v>Josef von Arimathäa habe das Grab verlegt.</x:v>
      </x:c>
      <x:c r="J139" s="36" t="str">
        <x:v>Ein Erdbeben habe den Leichnam fortgespült.</x:v>
      </x:c>
      <x:c r="K139" s="36" t="n">
        <x:v>1</x:v>
      </x:c>
      <x:c r="L139" s="36" t="str">
        <x:v>Die Jünger hätten Jesu Leichnam nachts gestohlen, während die Wächter schliefen.</x:v>
      </x:c>
      <x:c r="M139" s="36" t="str">
        <x:v>Matthäus 28,11–15</x:v>
      </x:c>
      <x:c r="N139" s="36" t="str">
        <x:v>Die Wächter erhalten Geld und sollen die Geschichte verbreiten, die Jünger hätten den Leichnam nachts gestohlen.</x:v>
      </x:c>
      <x:c r="O139" s="36" t="str">
        <x:v>FREIGEGEBEN</x:v>
      </x:c>
      <x:c r="P139" s="36" t="str">
        <x:v>FREIGEGEBEN</x:v>
      </x:c>
      <x:c r="Q139" s="36" t="str">
        <x:v>JA</x:v>
      </x:c>
    </x:row>
    <x:row r="140">
      <x:c r="A140" s="36" t="str">
        <x:v>FP-0399</x:v>
      </x:c>
      <x:c r="B140" s="36" t="str">
        <x:v>MAT</x:v>
      </x:c>
      <x:c r="C140" s="36" t="str">
        <x:v>Matthäus</x:v>
      </x:c>
      <x:c r="D140" s="36" t="n">
        <x:v>28</x:v>
      </x:c>
      <x:c r="E140" s="36" t="n">
        <x:v>4</x:v>
      </x:c>
      <x:c r="F140" s="36" t="str">
        <x:v>Welchen Auftrag gibt Jesus seinen Jüngern im sogenannten Missionsbefehl?</x:v>
      </x:c>
      <x:c r="G140" s="36" t="str">
        <x:v>Nur in Galiläa zu bleiben.</x:v>
      </x:c>
      <x:c r="H140" s="36" t="str">
        <x:v>Nur Judäer zu lehren.</x:v>
      </x:c>
      <x:c r="I140" s="36" t="str">
        <x:v>Alle Völker zu Jüngern zu machen und sie im Namen des Vaters, des Sohnes und des Heiligen Geistes zu taufen.</x:v>
      </x:c>
      <x:c r="J140" s="36" t="str">
        <x:v>Den Tempel neu zu bauen.</x:v>
      </x:c>
      <x:c r="K140" s="36" t="n">
        <x:v>2</x:v>
      </x:c>
      <x:c r="L140" s="36" t="str">
        <x:v>Alle Völker zu Jüngern zu machen und sie im Namen des Vaters, des Sohnes und des Heiligen Geistes zu taufen.</x:v>
      </x:c>
      <x:c r="M140" s="36" t="str">
        <x:v>Matthäus 28,18–19</x:v>
      </x:c>
      <x:c r="N140" s="36" t="str">
        <x:v>Jesus sendet seine Jünger zu allen Völkern und verbindet Jüngermachen mit Taufe.</x:v>
      </x:c>
      <x:c r="O140" s="36" t="str">
        <x:v>FREIGEGEBEN</x:v>
      </x:c>
      <x:c r="P140" s="36" t="str">
        <x:v>FREIGEGEBEN</x:v>
      </x:c>
      <x:c r="Q140" s="36" t="str">
        <x:v>JA</x:v>
      </x:c>
    </x:row>
    <x:row r="141">
      <x:c r="A141" s="36" t="str">
        <x:v>FP-0400</x:v>
      </x:c>
      <x:c r="B141" s="36" t="str">
        <x:v>MAT</x:v>
      </x:c>
      <x:c r="C141" s="36" t="str">
        <x:v>Matthäus</x:v>
      </x:c>
      <x:c r="D141" s="36" t="n">
        <x:v>28</x:v>
      </x:c>
      <x:c r="E141" s="36" t="n">
        <x:v>5</x:v>
      </x:c>
      <x:c r="F141" s="36" t="str">
        <x:v>Welche Zusage gibt Jesus seinen Jüngern am Ende des Matthäusevangeliums?</x:v>
      </x:c>
      <x:c r="G141" s="36" t="str">
        <x:v>Sie werden niemals Schwierigkeiten erleben.</x:v>
      </x:c>
      <x:c r="H141" s="36" t="str">
        <x:v>Sie werden sofort über alle Völker herrschen.</x:v>
      </x:c>
      <x:c r="I141" s="36" t="str">
        <x:v>Sie müssen nie wieder lehren.</x:v>
      </x:c>
      <x:c r="J141" s="36" t="str">
        <x:v>Er ist bei ihnen alle Tage bis zum Ende der Weltzeit.</x:v>
      </x:c>
      <x:c r="K141" s="36" t="n">
        <x:v>3</x:v>
      </x:c>
      <x:c r="L141" s="36" t="str">
        <x:v>Er ist bei ihnen alle Tage bis zum Ende der Weltzeit.</x:v>
      </x:c>
      <x:c r="M141" s="36" t="str">
        <x:v>Matthäus 28,20</x:v>
      </x:c>
      <x:c r="N141" s="36" t="str">
        <x:v>Jesus verbindet den Auftrag zu lehren mit der Zusage seiner bleibenden Gegenwart.</x:v>
      </x:c>
      <x:c r="O141" s="36" t="str">
        <x:v>FREIGEGEBEN</x:v>
      </x:c>
      <x:c r="P141" s="36" t="str">
        <x:v>FREIGEGEBEN</x:v>
      </x:c>
      <x:c r="Q141" s="36" t="str">
        <x:v>JA</x:v>
      </x:c>
    </x:row>
    <x:row r="142">
      <x:c r="A142" s="36" t="str">
        <x:v>FP-0401</x:v>
      </x:c>
      <x:c r="B142" s="36" t="str">
        <x:v>MRK</x:v>
      </x:c>
      <x:c r="C142" s="36" t="str">
        <x:v>Markus</x:v>
      </x:c>
      <x:c r="D142" s="36" t="n">
        <x:v>1</x:v>
      </x:c>
      <x:c r="E142" s="36" t="n">
        <x:v>1</x:v>
      </x:c>
      <x:c r="F142" s="36" t="str">
        <x:v>Was predigte Johannes der Täufer in der Wüste?</x:v>
      </x:c>
      <x:c r="G142" s="36" t="str">
        <x:v>Eine Taufe der Umkehr zur Vergebung der Sünden.</x:v>
      </x:c>
      <x:c r="H142" s="36" t="str">
        <x:v>Dass Jerusalem sofort zerstört werde.</x:v>
      </x:c>
      <x:c r="I142" s="36" t="str">
        <x:v>Dass niemand mehr getauft werden solle.</x:v>
      </x:c>
      <x:c r="J142" s="36" t="str">
        <x:v>Dass das Reich Gottes schon sichtbar vollendet sei.</x:v>
      </x:c>
      <x:c r="K142" s="36" t="n">
        <x:v>0</x:v>
      </x:c>
      <x:c r="L142" s="36" t="str">
        <x:v>Eine Taufe der Umkehr zur Vergebung der Sünden.</x:v>
      </x:c>
      <x:c r="M142" s="36" t="str">
        <x:v>Markus 1,4–5</x:v>
      </x:c>
      <x:c r="N142" s="36" t="str">
        <x:v>Johannes predigt eine Taufe der Umkehr zur Vergebung der Sünden und die Menschen bekennen dabei ihre Sünden.</x:v>
      </x:c>
      <x:c r="O142" s="36" t="str">
        <x:v>FREIGEGEBEN</x:v>
      </x:c>
      <x:c r="P142" s="36" t="str">
        <x:v>FREIGEGEBEN</x:v>
      </x:c>
      <x:c r="Q142" s="36" t="str">
        <x:v>JA</x:v>
      </x:c>
    </x:row>
    <x:row r="143">
      <x:c r="A143" s="36" t="str">
        <x:v>FP-0402</x:v>
      </x:c>
      <x:c r="B143" s="36" t="str">
        <x:v>MRK</x:v>
      </x:c>
      <x:c r="C143" s="36" t="str">
        <x:v>Markus</x:v>
      </x:c>
      <x:c r="D143" s="36" t="n">
        <x:v>1</x:v>
      </x:c>
      <x:c r="E143" s="36" t="n">
        <x:v>2</x:v>
      </x:c>
      <x:c r="F143" s="36" t="str">
        <x:v>Was sagt die Stimme aus dem Himmel bei Jesu Taufe?</x:v>
      </x:c>
      <x:c r="G143" s="36" t="str">
        <x:v>Dies ist Mose, auf den ihr hören sollt.</x:v>
      </x:c>
      <x:c r="H143" s="36" t="str">
        <x:v>Du bist mein geliebter Sohn; an dir habe ich Wohlgefallen.</x:v>
      </x:c>
      <x:c r="I143" s="36" t="str">
        <x:v>Du wirst heute König in Jerusalem.</x:v>
      </x:c>
      <x:c r="J143" s="36" t="str">
        <x:v>Alle Menschen werden dir sofort folgen.</x:v>
      </x:c>
      <x:c r="K143" s="36" t="n">
        <x:v>1</x:v>
      </x:c>
      <x:c r="L143" s="36" t="str">
        <x:v>Du bist mein geliebter Sohn; an dir habe ich Wohlgefallen.</x:v>
      </x:c>
      <x:c r="M143" s="36" t="str">
        <x:v>Markus 1,9–11</x:v>
      </x:c>
      <x:c r="N143" s="36" t="str">
        <x:v>Bei Jesu Taufe bezeichnet die Stimme aus dem Himmel ihn als den geliebten Sohn, an dem Gott Wohlgefallen hat.</x:v>
      </x:c>
      <x:c r="O143" s="36" t="str">
        <x:v>FREIGEGEBEN</x:v>
      </x:c>
      <x:c r="P143" s="36" t="str">
        <x:v>FREIGEGEBEN</x:v>
      </x:c>
      <x:c r="Q143" s="36" t="str">
        <x:v>JA</x:v>
      </x:c>
    </x:row>
    <x:row r="144">
      <x:c r="A144" s="36" t="str">
        <x:v>FP-0403</x:v>
      </x:c>
      <x:c r="B144" s="36" t="str">
        <x:v>MRK</x:v>
      </x:c>
      <x:c r="C144" s="36" t="str">
        <x:v>Markus</x:v>
      </x:c>
      <x:c r="D144" s="36" t="n">
        <x:v>1</x:v>
      </x:c>
      <x:c r="E144" s="36" t="n">
        <x:v>3</x:v>
      </x:c>
      <x:c r="F144" s="36" t="str">
        <x:v>Wie reagieren Simon und Andreas auf Jesu Ruf, ihm nachzufolgen?</x:v>
      </x:c>
      <x:c r="G144" s="36" t="str">
        <x:v>Sie bitten um drei Tage Bedenkzeit.</x:v>
      </x:c>
      <x:c r="H144" s="36" t="str">
        <x:v>Sie gehen zuerst nach Jerusalem.</x:v>
      </x:c>
      <x:c r="I144" s="36" t="str">
        <x:v>Sie verlassen sofort ihre Netze und folgen ihm.</x:v>
      </x:c>
      <x:c r="J144" s="36" t="str">
        <x:v>Sie schicken andere Fischer an ihrer Stelle.</x:v>
      </x:c>
      <x:c r="K144" s="36" t="n">
        <x:v>2</x:v>
      </x:c>
      <x:c r="L144" s="36" t="str">
        <x:v>Sie verlassen sofort ihre Netze und folgen ihm.</x:v>
      </x:c>
      <x:c r="M144" s="36" t="str">
        <x:v>Markus 1,16–18</x:v>
      </x:c>
      <x:c r="N144" s="36" t="str">
        <x:v>Simon und Andreas lassen ihre Netze ohne Zögern zurück und folgen Jesus.</x:v>
      </x:c>
      <x:c r="O144" s="36" t="str">
        <x:v>FREIGEGEBEN</x:v>
      </x:c>
      <x:c r="P144" s="36" t="str">
        <x:v>FREIGEGEBEN</x:v>
      </x:c>
      <x:c r="Q144" s="36" t="str">
        <x:v>JA</x:v>
      </x:c>
    </x:row>
    <x:row r="145">
      <x:c r="A145" s="36" t="str">
        <x:v>FP-0404</x:v>
      </x:c>
      <x:c r="B145" s="36" t="str">
        <x:v>MRK</x:v>
      </x:c>
      <x:c r="C145" s="36" t="str">
        <x:v>Markus</x:v>
      </x:c>
      <x:c r="D145" s="36" t="n">
        <x:v>1</x:v>
      </x:c>
      <x:c r="E145" s="36" t="n">
        <x:v>4</x:v>
      </x:c>
      <x:c r="F145" s="36" t="str">
        <x:v>Warum staunen die Menschen in der Synagoge über Jesus?</x:v>
      </x:c>
      <x:c r="G145" s="36" t="str">
        <x:v>Weil er eine neue Synagoge bauen lässt.</x:v>
      </x:c>
      <x:c r="H145" s="36" t="str">
        <x:v>Weil er nur in Gleichnissen schweigt.</x:v>
      </x:c>
      <x:c r="I145" s="36" t="str">
        <x:v>Weil er den Gottesdienst vorzeitig beendet.</x:v>
      </x:c>
      <x:c r="J145" s="36" t="str">
        <x:v>Weil er mit Vollmacht lehrt und sogar unreine Geister ihm gehorchen.</x:v>
      </x:c>
      <x:c r="K145" s="36" t="n">
        <x:v>3</x:v>
      </x:c>
      <x:c r="L145" s="36" t="str">
        <x:v>Weil er mit Vollmacht lehrt und sogar unreine Geister ihm gehorchen.</x:v>
      </x:c>
      <x:c r="M145" s="36" t="str">
        <x:v>Markus 1,23–27</x:v>
      </x:c>
      <x:c r="N145" s="36" t="str">
        <x:v>Die Menschen verbinden Jesu Lehre mit sichtbarer Vollmacht: Selbst ein unreiner Geist gehorcht seinem Befehl.</x:v>
      </x:c>
      <x:c r="O145" s="36" t="str">
        <x:v>FREIGEGEBEN</x:v>
      </x:c>
      <x:c r="P145" s="36" t="str">
        <x:v>FREIGEGEBEN</x:v>
      </x:c>
      <x:c r="Q145" s="36" t="str">
        <x:v>JA</x:v>
      </x:c>
    </x:row>
    <x:row r="146">
      <x:c r="A146" s="36" t="str">
        <x:v>FP-0405</x:v>
      </x:c>
      <x:c r="B146" s="36" t="str">
        <x:v>MRK</x:v>
      </x:c>
      <x:c r="C146" s="36" t="str">
        <x:v>Markus</x:v>
      </x:c>
      <x:c r="D146" s="36" t="n">
        <x:v>1</x:v>
      </x:c>
      <x:c r="E146" s="36" t="n">
        <x:v>5</x:v>
      </x:c>
      <x:c r="F146" s="36" t="str">
        <x:v>Welche Folge hat es, dass der geheilte Aussätzige die Nachricht weit verbreitet?</x:v>
      </x:c>
      <x:c r="G146" s="36" t="str">
        <x:v>Jesus kann nicht mehr offen in die Städte gehen und bleibt an abgelegenen Orten.</x:v>
      </x:c>
      <x:c r="H146" s="36" t="str">
        <x:v>Jesus wird zum Hohenpriester ernannt.</x:v>
      </x:c>
      <x:c r="I146" s="36" t="str">
        <x:v>Die Synagogen werden geschlossen.</x:v>
      </x:c>
      <x:c r="J146" s="36" t="str">
        <x:v>Johannes der Täufer folgt Jesus nach.</x:v>
      </x:c>
      <x:c r="K146" s="36" t="n">
        <x:v>0</x:v>
      </x:c>
      <x:c r="L146" s="36" t="str">
        <x:v>Jesus kann nicht mehr offen in die Städte gehen und bleibt an abgelegenen Orten.</x:v>
      </x:c>
      <x:c r="M146" s="36" t="str">
        <x:v>Markus 1,40–45</x:v>
      </x:c>
      <x:c r="N146" s="36" t="str">
        <x:v>Weil der Geheilte die Sache weithin bekannt macht, kann Jesus nicht mehr offen in eine Stadt gehen; die Menschen kommen dennoch zu ihm.</x:v>
      </x:c>
      <x:c r="O146" s="36" t="str">
        <x:v>FREIGEGEBEN</x:v>
      </x:c>
      <x:c r="P146" s="36" t="str">
        <x:v>FREIGEGEBEN</x:v>
      </x:c>
      <x:c r="Q146" s="36" t="str">
        <x:v>JA</x:v>
      </x:c>
    </x:row>
    <x:row r="147">
      <x:c r="A147" s="36" t="str">
        <x:v>FP-0406</x:v>
      </x:c>
      <x:c r="B147" s="36" t="str">
        <x:v>MRK</x:v>
      </x:c>
      <x:c r="C147" s="36" t="str">
        <x:v>Markus</x:v>
      </x:c>
      <x:c r="D147" s="36" t="n">
        <x:v>2</x:v>
      </x:c>
      <x:c r="E147" s="36" t="n">
        <x:v>1</x:v>
      </x:c>
      <x:c r="F147" s="36" t="str">
        <x:v>Wie bringen die vier Männer den Gelähmten zu Jesus, obwohl das Haus überfüllt ist?</x:v>
      </x:c>
      <x:c r="G147" s="36" t="str">
        <x:v>Sie warten bis zur Nacht.</x:v>
      </x:c>
      <x:c r="H147" s="36" t="str">
        <x:v>Sie öffnen das Dach und lassen ihn auf seiner Matte hinab.</x:v>
      </x:c>
      <x:c r="I147" s="36" t="str">
        <x:v>Sie tragen ihn durch ein Fenster.</x:v>
      </x:c>
      <x:c r="J147" s="36" t="str">
        <x:v>Sie bitten die Menge, das Haus zu verlassen.</x:v>
      </x:c>
      <x:c r="K147" s="36" t="n">
        <x:v>1</x:v>
      </x:c>
      <x:c r="L147" s="36" t="str">
        <x:v>Sie öffnen das Dach und lassen ihn auf seiner Matte hinab.</x:v>
      </x:c>
      <x:c r="M147" s="36" t="str">
        <x:v>Markus 2,3–12</x:v>
      </x:c>
      <x:c r="N147" s="36" t="str">
        <x:v>Die Männer öffnen wegen der dichten Menge das Dach über Jesus und lassen den Gelähmten auf seiner Matte hinunter.</x:v>
      </x:c>
      <x:c r="O147" s="36" t="str">
        <x:v>FREIGEGEBEN</x:v>
      </x:c>
      <x:c r="P147" s="36" t="str">
        <x:v>FREIGEGEBEN</x:v>
      </x:c>
      <x:c r="Q147" s="36" t="str">
        <x:v>JA</x:v>
      </x:c>
    </x:row>
    <x:row r="148">
      <x:c r="A148" s="36" t="str">
        <x:v>FP-0407</x:v>
      </x:c>
      <x:c r="B148" s="36" t="str">
        <x:v>MRK</x:v>
      </x:c>
      <x:c r="C148" s="36" t="str">
        <x:v>Markus</x:v>
      </x:c>
      <x:c r="D148" s="36" t="n">
        <x:v>2</x:v>
      </x:c>
      <x:c r="E148" s="36" t="n">
        <x:v>2</x:v>
      </x:c>
      <x:c r="F148" s="36" t="str">
        <x:v>Was soll die Heilung des Gelähmten nach Jesu Worten zeigen?</x:v>
      </x:c>
      <x:c r="G148" s="36" t="str">
        <x:v>Dass nur Priester heilen dürfen.</x:v>
      </x:c>
      <x:c r="H148" s="36" t="str">
        <x:v>Dass Krankheit immer eine persönliche Strafe ist.</x:v>
      </x:c>
      <x:c r="I148" s="36" t="str">
        <x:v>Dass der Menschensohn auf Erden Vollmacht hat, Sünden zu vergeben.</x:v>
      </x:c>
      <x:c r="J148" s="36" t="str">
        <x:v>Dass man nur im Tempel Vergebung empfangen kann.</x:v>
      </x:c>
      <x:c r="K148" s="36" t="n">
        <x:v>2</x:v>
      </x:c>
      <x:c r="L148" s="36" t="str">
        <x:v>Dass der Menschensohn auf Erden Vollmacht hat, Sünden zu vergeben.</x:v>
      </x:c>
      <x:c r="M148" s="36" t="str">
        <x:v>Markus 2,10–12</x:v>
      </x:c>
      <x:c r="N148" s="36" t="str">
        <x:v>Jesus verbindet die Heilung ausdrücklich damit, dass die Anwesenden erkennen sollen, dass der Menschensohn Vollmacht hat, Sünden zu vergeben.</x:v>
      </x:c>
      <x:c r="O148" s="36" t="str">
        <x:v>FREIGEGEBEN</x:v>
      </x:c>
      <x:c r="P148" s="36" t="str">
        <x:v>FREIGEGEBEN</x:v>
      </x:c>
      <x:c r="Q148" s="36" t="str">
        <x:v>JA</x:v>
      </x:c>
    </x:row>
    <x:row r="149">
      <x:c r="A149" s="36" t="str">
        <x:v>FP-0408</x:v>
      </x:c>
      <x:c r="B149" s="36" t="str">
        <x:v>MRK</x:v>
      </x:c>
      <x:c r="C149" s="36" t="str">
        <x:v>Markus</x:v>
      </x:c>
      <x:c r="D149" s="36" t="n">
        <x:v>2</x:v>
      </x:c>
      <x:c r="E149" s="36" t="n">
        <x:v>3</x:v>
      </x:c>
      <x:c r="F149" s="36" t="str">
        <x:v>Wie reagiert Levi, als Jesus zu ihm sagt: „Folge mir nach“?</x:v>
      </x:c>
      <x:c r="G149" s="36" t="str">
        <x:v>Er lehnt wegen seiner Arbeit ab.</x:v>
      </x:c>
      <x:c r="H149" s="36" t="str">
        <x:v>Er bittet Jesus, später wiederzukommen.</x:v>
      </x:c>
      <x:c r="I149" s="36" t="str">
        <x:v>Er schickt einen Diener mit.</x:v>
      </x:c>
      <x:c r="J149" s="36" t="str">
        <x:v>Er steht auf und folgt ihm.</x:v>
      </x:c>
      <x:c r="K149" s="36" t="n">
        <x:v>3</x:v>
      </x:c>
      <x:c r="L149" s="36" t="str">
        <x:v>Er steht auf und folgt ihm.</x:v>
      </x:c>
      <x:c r="M149" s="36" t="str">
        <x:v>Markus 2,14</x:v>
      </x:c>
      <x:c r="N149" s="36" t="str">
        <x:v>Levi steht vom Zoll auf und folgt Jesus.</x:v>
      </x:c>
      <x:c r="O149" s="36" t="str">
        <x:v>FREIGEGEBEN</x:v>
      </x:c>
      <x:c r="P149" s="36" t="str">
        <x:v>FREIGEGEBEN</x:v>
      </x:c>
      <x:c r="Q149" s="36" t="str">
        <x:v>JA</x:v>
      </x:c>
    </x:row>
    <x:row r="150">
      <x:c r="A150" s="36" t="str">
        <x:v>FP-0409</x:v>
      </x:c>
      <x:c r="B150" s="36" t="str">
        <x:v>MRK</x:v>
      </x:c>
      <x:c r="C150" s="36" t="str">
        <x:v>Markus</x:v>
      </x:c>
      <x:c r="D150" s="36" t="n">
        <x:v>2</x:v>
      </x:c>
      <x:c r="E150" s="36" t="n">
        <x:v>4</x:v>
      </x:c>
      <x:c r="F150" s="36" t="str">
        <x:v>Wie begründet Jesus, dass er mit Zöllnern und Sündern isst?</x:v>
      </x:c>
      <x:c r="G150" s="36" t="str">
        <x:v>Gesunde brauchen keinen Arzt, sondern Kranke; er ist gekommen, Sünder zu rufen.</x:v>
      </x:c>
      <x:c r="H150" s="36" t="str">
        <x:v>Nur Reiche dürften seine Gäste sein.</x:v>
      </x:c>
      <x:c r="I150" s="36" t="str">
        <x:v>Er wolle die Pharisäer provozieren.</x:v>
      </x:c>
      <x:c r="J150" s="36" t="str">
        <x:v>Zöllner seien grundsätzlich gerechter als alle anderen.</x:v>
      </x:c>
      <x:c r="K150" s="36" t="n">
        <x:v>0</x:v>
      </x:c>
      <x:c r="L150" s="36" t="str">
        <x:v>Gesunde brauchen keinen Arzt, sondern Kranke; er ist gekommen, Sünder zu rufen.</x:v>
      </x:c>
      <x:c r="M150" s="36" t="str">
        <x:v>Markus 2,15–17</x:v>
      </x:c>
      <x:c r="N150" s="36" t="str">
        <x:v>Jesus vergleicht seinen Auftrag mit dem eines Arztes: Nicht die Gesunden brauchen ihn, sondern die Kranken; er ist gekommen, Sünder zu rufen.</x:v>
      </x:c>
      <x:c r="O150" s="36" t="str">
        <x:v>FREIGEGEBEN</x:v>
      </x:c>
      <x:c r="P150" s="36" t="str">
        <x:v>FREIGEGEBEN</x:v>
      </x:c>
      <x:c r="Q150" s="36" t="str">
        <x:v>JA</x:v>
      </x:c>
    </x:row>
    <x:row r="151">
      <x:c r="A151" s="36" t="str">
        <x:v>FP-0410</x:v>
      </x:c>
      <x:c r="B151" s="36" t="str">
        <x:v>MRK</x:v>
      </x:c>
      <x:c r="C151" s="36" t="str">
        <x:v>Markus</x:v>
      </x:c>
      <x:c r="D151" s="36" t="n">
        <x:v>2</x:v>
      </x:c>
      <x:c r="E151" s="36" t="n">
        <x:v>5</x:v>
      </x:c>
      <x:c r="F151" s="36" t="str">
        <x:v>Welche Aussage macht Jesus über den Sabbat?</x:v>
      </x:c>
      <x:c r="G151" s="36" t="str">
        <x:v>Der Mensch wurde für den Sabbat geschaffen.</x:v>
      </x:c>
      <x:c r="H151" s="36" t="str">
        <x:v>Der Sabbat ist für den Menschen gemacht, und der Menschensohn ist Herr auch des Sabbats.</x:v>
      </x:c>
      <x:c r="I151" s="36" t="str">
        <x:v>Am Sabbat darf niemand essen.</x:v>
      </x:c>
      <x:c r="J151" s="36" t="str">
        <x:v>Nur Schriftgelehrte dürfen über den Sabbat sprechen.</x:v>
      </x:c>
      <x:c r="K151" s="36" t="n">
        <x:v>1</x:v>
      </x:c>
      <x:c r="L151" s="36" t="str">
        <x:v>Der Sabbat ist für den Menschen gemacht, und der Menschensohn ist Herr auch des Sabbats.</x:v>
      </x:c>
      <x:c r="M151" s="36" t="str">
        <x:v>Markus 2,27–28</x:v>
      </x:c>
      <x:c r="N151" s="36" t="str">
        <x:v>Jesus stellt den Sabbat in den Dienst des Menschen und bezeichnet den Menschensohn als Herrn des Sabbats.</x:v>
      </x:c>
      <x:c r="O151" s="36" t="str">
        <x:v>FREIGEGEBEN</x:v>
      </x:c>
      <x:c r="P151" s="36" t="str">
        <x:v>FREIGEGEBEN</x:v>
      </x:c>
      <x:c r="Q151" s="36" t="str">
        <x:v>JA</x:v>
      </x:c>
    </x:row>
    <x:row r="152">
      <x:c r="A152" s="36" t="str">
        <x:v>FP-0411</x:v>
      </x:c>
      <x:c r="B152" s="36" t="str">
        <x:v>MRK</x:v>
      </x:c>
      <x:c r="C152" s="36" t="str">
        <x:v>Markus</x:v>
      </x:c>
      <x:c r="D152" s="36" t="n">
        <x:v>3</x:v>
      </x:c>
      <x:c r="E152" s="36" t="n">
        <x:v>1</x:v>
      </x:c>
      <x:c r="F152" s="36" t="str">
        <x:v>Welche Frage stellt Jesus vor der Heilung des Mannes mit der verdorrten Hand?</x:v>
      </x:c>
      <x:c r="G152" s="36" t="str">
        <x:v>Ob der Mann genug Geld für die Heilung hat.</x:v>
      </x:c>
      <x:c r="H152" s="36" t="str">
        <x:v>Ob die Synagoge groß genug ist.</x:v>
      </x:c>
      <x:c r="I152" s="36" t="str">
        <x:v>Ob man am Sabbat Gutes oder Böses tun und Leben retten oder töten soll.</x:v>
      </x:c>
      <x:c r="J152" s="36" t="str">
        <x:v>Ob Mose am Sabbat gearbeitet hat.</x:v>
      </x:c>
      <x:c r="K152" s="36" t="n">
        <x:v>2</x:v>
      </x:c>
      <x:c r="L152" s="36" t="str">
        <x:v>Ob man am Sabbat Gutes oder Böses tun und Leben retten oder töten soll.</x:v>
      </x:c>
      <x:c r="M152" s="36" t="str">
        <x:v>Markus 3,1–5</x:v>
      </x:c>
      <x:c r="N152" s="36" t="str">
        <x:v>Jesus stellt die moralische Frage, ob am Sabbat Gutes oder Böses getan und Leben gerettet oder zerstört werden soll.</x:v>
      </x:c>
      <x:c r="O152" s="36" t="str">
        <x:v>FREIGEGEBEN</x:v>
      </x:c>
      <x:c r="P152" s="36" t="str">
        <x:v>FREIGEGEBEN</x:v>
      </x:c>
      <x:c r="Q152" s="36" t="str">
        <x:v>JA</x:v>
      </x:c>
    </x:row>
    <x:row r="153">
      <x:c r="A153" s="36" t="str">
        <x:v>FP-0412</x:v>
      </x:c>
      <x:c r="B153" s="36" t="str">
        <x:v>MRK</x:v>
      </x:c>
      <x:c r="C153" s="36" t="str">
        <x:v>Markus</x:v>
      </x:c>
      <x:c r="D153" s="36" t="n">
        <x:v>3</x:v>
      </x:c>
      <x:c r="E153" s="36" t="n">
        <x:v>2</x:v>
      </x:c>
      <x:c r="F153" s="36" t="str">
        <x:v>Was tun die Pharisäer nach der Heilung am Sabbat?</x:v>
      </x:c>
      <x:c r="G153" s="36" t="str">
        <x:v>Sie loben Jesus öffentlich.</x:v>
      </x:c>
      <x:c r="H153" s="36" t="str">
        <x:v>Sie bitten um eine zweite Heilung.</x:v>
      </x:c>
      <x:c r="I153" s="36" t="str">
        <x:v>Sie verlassen Galiläa dauerhaft.</x:v>
      </x:c>
      <x:c r="J153" s="36" t="str">
        <x:v>Sie beraten mit den Herodianern, wie sie Jesus beseitigen könnten.</x:v>
      </x:c>
      <x:c r="K153" s="36" t="n">
        <x:v>3</x:v>
      </x:c>
      <x:c r="L153" s="36" t="str">
        <x:v>Sie beraten mit den Herodianern, wie sie Jesus beseitigen könnten.</x:v>
      </x:c>
      <x:c r="M153" s="36" t="str">
        <x:v>Markus 3,6</x:v>
      </x:c>
      <x:c r="N153" s="36" t="str">
        <x:v>Unmittelbar danach beraten die Pharisäer mit den Herodianern darüber, wie sie Jesus vernichten könnten.</x:v>
      </x:c>
      <x:c r="O153" s="36" t="str">
        <x:v>FREIGEGEBEN</x:v>
      </x:c>
      <x:c r="P153" s="36" t="str">
        <x:v>FREIGEGEBEN</x:v>
      </x:c>
      <x:c r="Q153" s="36" t="str">
        <x:v>JA</x:v>
      </x:c>
    </x:row>
    <x:row r="154">
      <x:c r="A154" s="36" t="str">
        <x:v>FP-0413</x:v>
      </x:c>
      <x:c r="B154" s="36" t="str">
        <x:v>MRK</x:v>
      </x:c>
      <x:c r="C154" s="36" t="str">
        <x:v>Markus</x:v>
      </x:c>
      <x:c r="D154" s="36" t="n">
        <x:v>3</x:v>
      </x:c>
      <x:c r="E154" s="36" t="n">
        <x:v>3</x:v>
      </x:c>
      <x:c r="F154" s="36" t="str">
        <x:v>Warum setzt Jesus die Zwölf ein?</x:v>
      </x:c>
      <x:c r="G154" s="36" t="str">
        <x:v>Damit sie bei ihm seien, ausgesandt werden und Vollmacht über Dämonen haben.</x:v>
      </x:c>
      <x:c r="H154" s="36" t="str">
        <x:v>Damit sie Steuern eintreiben.</x:v>
      </x:c>
      <x:c r="I154" s="36" t="str">
        <x:v>Damit sie den Tempel bewachen.</x:v>
      </x:c>
      <x:c r="J154" s="36" t="str">
        <x:v>Damit sie nur schriftlich lehren.</x:v>
      </x:c>
      <x:c r="K154" s="36" t="n">
        <x:v>0</x:v>
      </x:c>
      <x:c r="L154" s="36" t="str">
        <x:v>Damit sie bei ihm seien, ausgesandt werden und Vollmacht über Dämonen haben.</x:v>
      </x:c>
      <x:c r="M154" s="36" t="str">
        <x:v>Markus 3,13–15</x:v>
      </x:c>
      <x:c r="N154" s="36" t="str">
        <x:v>Die Zwölf sollen bei Jesus sein, von ihm ausgesandt werden und Vollmacht haben, Dämonen auszutreiben.</x:v>
      </x:c>
      <x:c r="O154" s="36" t="str">
        <x:v>FREIGEGEBEN</x:v>
      </x:c>
      <x:c r="P154" s="36" t="str">
        <x:v>FREIGEGEBEN</x:v>
      </x:c>
      <x:c r="Q154" s="36" t="str">
        <x:v>JA</x:v>
      </x:c>
    </x:row>
    <x:row r="155">
      <x:c r="A155" s="36" t="str">
        <x:v>FP-0414</x:v>
      </x:c>
      <x:c r="B155" s="36" t="str">
        <x:v>MRK</x:v>
      </x:c>
      <x:c r="C155" s="36" t="str">
        <x:v>Markus</x:v>
      </x:c>
      <x:c r="D155" s="36" t="n">
        <x:v>3</x:v>
      </x:c>
      <x:c r="E155" s="36" t="n">
        <x:v>4</x:v>
      </x:c>
      <x:c r="F155" s="36" t="str">
        <x:v>Wie antwortet Jesus auf den Vorwurf, er treibe Dämonen durch Satan aus?</x:v>
      </x:c>
      <x:c r="G155" s="36" t="str">
        <x:v>Satan sei mächtiger als Gott.</x:v>
      </x:c>
      <x:c r="H155" s="36" t="str">
        <x:v>Ein in sich gespaltenes Reich kann nicht bestehen.</x:v>
      </x:c>
      <x:c r="I155" s="36" t="str">
        <x:v>Dämonen seien nur Einbildung.</x:v>
      </x:c>
      <x:c r="J155" s="36" t="str">
        <x:v>Er werde nie wieder Dämonen austreiben.</x:v>
      </x:c>
      <x:c r="K155" s="36" t="n">
        <x:v>1</x:v>
      </x:c>
      <x:c r="L155" s="36" t="str">
        <x:v>Ein in sich gespaltenes Reich kann nicht bestehen.</x:v>
      </x:c>
      <x:c r="M155" s="36" t="str">
        <x:v>Markus 3,23–26</x:v>
      </x:c>
      <x:c r="N155" s="36" t="str">
        <x:v>Jesus zeigt die innere Widersprüchlichkeit des Vorwurfs: Wenn Satan gegen sich selbst steht, kann sein Reich nicht bestehen.</x:v>
      </x:c>
      <x:c r="O155" s="36" t="str">
        <x:v>FREIGEGEBEN</x:v>
      </x:c>
      <x:c r="P155" s="36" t="str">
        <x:v>FREIGEGEBEN</x:v>
      </x:c>
      <x:c r="Q155" s="36" t="str">
        <x:v>JA</x:v>
      </x:c>
    </x:row>
    <x:row r="156">
      <x:c r="A156" s="36" t="str">
        <x:v>FP-0415</x:v>
      </x:c>
      <x:c r="B156" s="36" t="str">
        <x:v>MRK</x:v>
      </x:c>
      <x:c r="C156" s="36" t="str">
        <x:v>Markus</x:v>
      </x:c>
      <x:c r="D156" s="36" t="n">
        <x:v>3</x:v>
      </x:c>
      <x:c r="E156" s="36" t="n">
        <x:v>5</x:v>
      </x:c>
      <x:c r="F156" s="36" t="str">
        <x:v>Wen bezeichnet Jesus als seine Brüder, Schwestern und Mutter?</x:v>
      </x:c>
      <x:c r="G156" s="36" t="str">
        <x:v>Nur seine leiblichen Verwandten.</x:v>
      </x:c>
      <x:c r="H156" s="36" t="str">
        <x:v>Alle Einwohner Nazareths.</x:v>
      </x:c>
      <x:c r="I156" s="36" t="str">
        <x:v>Diejenigen, die Gottes Willen tun.</x:v>
      </x:c>
      <x:c r="J156" s="36" t="str">
        <x:v>Nur die zwölf Apostel.</x:v>
      </x:c>
      <x:c r="K156" s="36" t="n">
        <x:v>2</x:v>
      </x:c>
      <x:c r="L156" s="36" t="str">
        <x:v>Diejenigen, die Gottes Willen tun.</x:v>
      </x:c>
      <x:c r="M156" s="36" t="str">
        <x:v>Markus 3,31–35</x:v>
      </x:c>
      <x:c r="N156" s="36" t="str">
        <x:v>Jesus weitet den Familienbegriff aus: Wer den Willen Gottes tut, gehört in diesem Sinn zu seiner Familie.</x:v>
      </x:c>
      <x:c r="O156" s="36" t="str">
        <x:v>FREIGEGEBEN</x:v>
      </x:c>
      <x:c r="P156" s="36" t="str">
        <x:v>FREIGEGEBEN</x:v>
      </x:c>
      <x:c r="Q156" s="36" t="str">
        <x:v>JA</x:v>
      </x:c>
    </x:row>
    <x:row r="157">
      <x:c r="A157" s="36" t="str">
        <x:v>FP-0416</x:v>
      </x:c>
      <x:c r="B157" s="36" t="str">
        <x:v>MRK</x:v>
      </x:c>
      <x:c r="C157" s="36" t="str">
        <x:v>Markus</x:v>
      </x:c>
      <x:c r="D157" s="36" t="n">
        <x:v>4</x:v>
      </x:c>
      <x:c r="E157" s="36" t="n">
        <x:v>1</x:v>
      </x:c>
      <x:c r="F157" s="36" t="str">
        <x:v>Wofür steht im Gleichnis vom Sämann der gute Boden?</x:v>
      </x:c>
      <x:c r="G157" s="36" t="str">
        <x:v>Für Menschen, die das Wort sofort vergessen.</x:v>
      </x:c>
      <x:c r="H157" s="36" t="str">
        <x:v>Für die Sorgen und den Reichtum der Welt.</x:v>
      </x:c>
      <x:c r="I157" s="36" t="str">
        <x:v>Für Verfolgung und Bedrängnis.</x:v>
      </x:c>
      <x:c r="J157" s="36" t="str">
        <x:v>Für Menschen, die das Wort hören, annehmen und Frucht bringen.</x:v>
      </x:c>
      <x:c r="K157" s="36" t="n">
        <x:v>3</x:v>
      </x:c>
      <x:c r="L157" s="36" t="str">
        <x:v>Für Menschen, die das Wort hören, annehmen und Frucht bringen.</x:v>
      </x:c>
      <x:c r="M157" s="36" t="str">
        <x:v>Markus 4,14–20</x:v>
      </x:c>
      <x:c r="N157" s="36" t="str">
        <x:v>Der gute Boden steht für Menschen, die das Wort hören, annehmen und Frucht bringen.</x:v>
      </x:c>
      <x:c r="O157" s="36" t="str">
        <x:v>FREIGEGEBEN</x:v>
      </x:c>
      <x:c r="P157" s="36" t="str">
        <x:v>FREIGEGEBEN</x:v>
      </x:c>
      <x:c r="Q157" s="36" t="str">
        <x:v>JA</x:v>
      </x:c>
    </x:row>
    <x:row r="158">
      <x:c r="A158" s="36" t="str">
        <x:v>FP-0417</x:v>
      </x:c>
      <x:c r="B158" s="36" t="str">
        <x:v>MRK</x:v>
      </x:c>
      <x:c r="C158" s="36" t="str">
        <x:v>Markus</x:v>
      </x:c>
      <x:c r="D158" s="36" t="n">
        <x:v>4</x:v>
      </x:c>
      <x:c r="E158" s="36" t="n">
        <x:v>2</x:v>
      </x:c>
      <x:c r="F158" s="36" t="str">
        <x:v>Wohin stellt man nach Jesu Bild ein Licht?</x:v>
      </x:c>
      <x:c r="G158" s="36" t="str">
        <x:v>Auf einen Leuchter.</x:v>
      </x:c>
      <x:c r="H158" s="36" t="str">
        <x:v>Unter ein Bett.</x:v>
      </x:c>
      <x:c r="I158" s="36" t="str">
        <x:v>Unter einen Scheffel.</x:v>
      </x:c>
      <x:c r="J158" s="36" t="str">
        <x:v>In einen verschlossenen Raum.</x:v>
      </x:c>
      <x:c r="K158" s="36" t="n">
        <x:v>0</x:v>
      </x:c>
      <x:c r="L158" s="36" t="str">
        <x:v>Auf einen Leuchter.</x:v>
      </x:c>
      <x:c r="M158" s="36" t="str">
        <x:v>Markus 4,21–22</x:v>
      </x:c>
      <x:c r="N158" s="36" t="str">
        <x:v>Jesus verwendet das Bild, dass ein Licht sichtbar auf einen Leuchter gehört und nicht verborgen werden soll.</x:v>
      </x:c>
      <x:c r="O158" s="36" t="str">
        <x:v>FREIGEGEBEN</x:v>
      </x:c>
      <x:c r="P158" s="36" t="str">
        <x:v>FREIGEGEBEN</x:v>
      </x:c>
      <x:c r="Q158" s="36" t="str">
        <x:v>JA</x:v>
      </x:c>
    </x:row>
    <x:row r="159">
      <x:c r="A159" s="36" t="str">
        <x:v>FP-0418</x:v>
      </x:c>
      <x:c r="B159" s="36" t="str">
        <x:v>MRK</x:v>
      </x:c>
      <x:c r="C159" s="36" t="str">
        <x:v>Markus</x:v>
      </x:c>
      <x:c r="D159" s="36" t="n">
        <x:v>4</x:v>
      </x:c>
      <x:c r="E159" s="36" t="n">
        <x:v>3</x:v>
      </x:c>
      <x:c r="F159" s="36" t="str">
        <x:v>Was betont das Gleichnis von der selbstwachsenden Saat?</x:v>
      </x:c>
      <x:c r="G159" s="36" t="str">
        <x:v>Der Mensch lässt die Saat wachsen, ohne Tag und Nacht zu schlafen.</x:v>
      </x:c>
      <x:c r="H159" s="36" t="str">
        <x:v>Die Saat wächst, obwohl der Mensch nicht weiß, wie; die Erde bringt Frucht hervor.</x:v>
      </x:c>
      <x:c r="I159" s="36" t="str">
        <x:v>Nur der Sämann darf die Ernte sehen.</x:v>
      </x:c>
      <x:c r="J159" s="36" t="str">
        <x:v>Saat kann nur im Tempel wachsen.</x:v>
      </x:c>
      <x:c r="K159" s="36" t="n">
        <x:v>1</x:v>
      </x:c>
      <x:c r="L159" s="36" t="str">
        <x:v>Die Saat wächst, obwohl der Mensch nicht weiß, wie; die Erde bringt Frucht hervor.</x:v>
      </x:c>
      <x:c r="M159" s="36" t="str">
        <x:v>Markus 4,26–29</x:v>
      </x:c>
      <x:c r="N159" s="36" t="str">
        <x:v>Das Gleichnis betont, dass die Saat wächst und die Erde Frucht hervorbringt, ohne dass der Sämann den Vorgang vollständig versteht.</x:v>
      </x:c>
      <x:c r="O159" s="36" t="str">
        <x:v>FREIGEGEBEN</x:v>
      </x:c>
      <x:c r="P159" s="36" t="str">
        <x:v>FREIGEGEBEN</x:v>
      </x:c>
      <x:c r="Q159" s="36" t="str">
        <x:v>JA</x:v>
      </x:c>
    </x:row>
    <x:row r="160">
      <x:c r="A160" s="36" t="str">
        <x:v>FP-0419</x:v>
      </x:c>
      <x:c r="B160" s="36" t="str">
        <x:v>MRK</x:v>
      </x:c>
      <x:c r="C160" s="36" t="str">
        <x:v>Markus</x:v>
      </x:c>
      <x:c r="D160" s="36" t="n">
        <x:v>4</x:v>
      </x:c>
      <x:c r="E160" s="36" t="n">
        <x:v>4</x:v>
      </x:c>
      <x:c r="F160" s="36" t="str">
        <x:v>Wie beschreibt Jesus das Senfkorn im Vergleich zu seinem späteren Wachstum?</x:v>
      </x:c>
      <x:c r="G160" s="36" t="str">
        <x:v>Es bleibt immer unsichtbar.</x:v>
      </x:c>
      <x:c r="H160" s="36" t="str">
        <x:v>Es wächst nur im Winter.</x:v>
      </x:c>
      <x:c r="I160" s="36" t="str">
        <x:v>Es ist klein, wächst aber zu einer großen Pflanze mit großen Zweigen heran.</x:v>
      </x:c>
      <x:c r="J160" s="36" t="str">
        <x:v>Es wird zu einem Weinstock.</x:v>
      </x:c>
      <x:c r="K160" s="36" t="n">
        <x:v>2</x:v>
      </x:c>
      <x:c r="L160" s="36" t="str">
        <x:v>Es ist klein, wächst aber zu einer großen Pflanze mit großen Zweigen heran.</x:v>
      </x:c>
      <x:c r="M160" s="36" t="str">
        <x:v>Markus 4,30–32</x:v>
      </x:c>
      <x:c r="N160" s="36" t="str">
        <x:v>Jesus stellt den kleinen Anfang des Senfkorns seinem auffälligen späteren Wachstum gegenüber.</x:v>
      </x:c>
      <x:c r="O160" s="36" t="str">
        <x:v>FREIGEGEBEN</x:v>
      </x:c>
      <x:c r="P160" s="36" t="str">
        <x:v>FREIGEGEBEN</x:v>
      </x:c>
      <x:c r="Q160" s="36" t="str">
        <x:v>JA</x:v>
      </x:c>
    </x:row>
    <x:row r="161">
      <x:c r="A161" s="36" t="str">
        <x:v>FP-0420</x:v>
      </x:c>
      <x:c r="B161" s="36" t="str">
        <x:v>MRK</x:v>
      </x:c>
      <x:c r="C161" s="36" t="str">
        <x:v>Markus</x:v>
      </x:c>
      <x:c r="D161" s="36" t="n">
        <x:v>4</x:v>
      </x:c>
      <x:c r="E161" s="36" t="n">
        <x:v>5</x:v>
      </x:c>
      <x:c r="F161" s="36" t="str">
        <x:v>Was geschieht, nachdem Jesus Wind und Meer bedroht hat?</x:v>
      </x:c>
      <x:c r="G161" s="36" t="str">
        <x:v>Der Sturm wird stärker.</x:v>
      </x:c>
      <x:c r="H161" s="36" t="str">
        <x:v>Das Boot sinkt.</x:v>
      </x:c>
      <x:c r="I161" s="36" t="str">
        <x:v>Die Jünger schwimmen ans Ufer.</x:v>
      </x:c>
      <x:c r="J161" s="36" t="str">
        <x:v>Es entsteht eine große Stille, und die Jünger fragen sich, wer er ist.</x:v>
      </x:c>
      <x:c r="K161" s="36" t="n">
        <x:v>3</x:v>
      </x:c>
      <x:c r="L161" s="36" t="str">
        <x:v>Es entsteht eine große Stille, und die Jünger fragen sich, wer er ist.</x:v>
      </x:c>
      <x:c r="M161" s="36" t="str">
        <x:v>Markus 4,35–41</x:v>
      </x:c>
      <x:c r="N161" s="36" t="str">
        <x:v>Nach Jesu Befehl legt sich der Sturm. Die Jünger reagieren mit Furcht und fragen, wer dieser ist, dem sogar Wind und Meer gehorchen.</x:v>
      </x:c>
      <x:c r="O161" s="36" t="str">
        <x:v>FREIGEGEBEN</x:v>
      </x:c>
      <x:c r="P161" s="36" t="str">
        <x:v>FREIGEGEBEN</x:v>
      </x:c>
      <x:c r="Q161" s="36" t="str">
        <x:v>JA</x:v>
      </x:c>
    </x:row>
    <x:row r="162">
      <x:c r="A162" s="36" t="str">
        <x:v>FP-0421</x:v>
      </x:c>
      <x:c r="B162" s="36" t="str">
        <x:v>MRK</x:v>
      </x:c>
      <x:c r="C162" s="36" t="str">
        <x:v>Markus</x:v>
      </x:c>
      <x:c r="D162" s="36" t="n">
        <x:v>5</x:v>
      </x:c>
      <x:c r="E162" s="36" t="n">
        <x:v>1</x:v>
      </x:c>
      <x:c r="F162" s="36" t="str">
        <x:v>Welchen Namen nennt der unreine Geist, als Jesus ihn fragt?</x:v>
      </x:c>
      <x:c r="G162" s="36" t="str">
        <x:v>Legion, weil es viele sind.</x:v>
      </x:c>
      <x:c r="H162" s="36" t="str">
        <x:v>Belial.</x:v>
      </x:c>
      <x:c r="I162" s="36" t="str">
        <x:v>Abaddon.</x:v>
      </x:c>
      <x:c r="J162" s="36" t="str">
        <x:v>Beelzebul.</x:v>
      </x:c>
      <x:c r="K162" s="36" t="n">
        <x:v>0</x:v>
      </x:c>
      <x:c r="L162" s="36" t="str">
        <x:v>Legion, weil es viele sind.</x:v>
      </x:c>
      <x:c r="M162" s="36" t="str">
        <x:v>Markus 5,1–9</x:v>
      </x:c>
      <x:c r="N162" s="36" t="str">
        <x:v>Der Geist nennt den Namen „Legion“ und erklärt dies damit, dass sie viele sind.</x:v>
      </x:c>
      <x:c r="O162" s="36" t="str">
        <x:v>FREIGEGEBEN</x:v>
      </x:c>
      <x:c r="P162" s="36" t="str">
        <x:v>FREIGEGEBEN</x:v>
      </x:c>
      <x:c r="Q162" s="36" t="str">
        <x:v>JA</x:v>
      </x:c>
    </x:row>
    <x:row r="163">
      <x:c r="A163" s="36" t="str">
        <x:v>FP-0422</x:v>
      </x:c>
      <x:c r="B163" s="36" t="str">
        <x:v>MRK</x:v>
      </x:c>
      <x:c r="C163" s="36" t="str">
        <x:v>Markus</x:v>
      </x:c>
      <x:c r="D163" s="36" t="n">
        <x:v>5</x:v>
      </x:c>
      <x:c r="E163" s="36" t="n">
        <x:v>2</x:v>
      </x:c>
      <x:c r="F163" s="36" t="str">
        <x:v>Was geschieht mit der Schweineherde, nachdem die unreinen Geister in sie fahren?</x:v>
      </x:c>
      <x:c r="G163" s="36" t="str">
        <x:v>Sie wird ruhig und bleibt auf der Weide.</x:v>
      </x:c>
      <x:c r="H163" s="36" t="str">
        <x:v>Sie stürzt den Abhang hinunter in den See.</x:v>
      </x:c>
      <x:c r="I163" s="36" t="str">
        <x:v>Sie läuft nach Jerusalem.</x:v>
      </x:c>
      <x:c r="J163" s="36" t="str">
        <x:v>Sie wird von den Jüngern eingefangen.</x:v>
      </x:c>
      <x:c r="K163" s="36" t="n">
        <x:v>1</x:v>
      </x:c>
      <x:c r="L163" s="36" t="str">
        <x:v>Sie stürzt den Abhang hinunter in den See.</x:v>
      </x:c>
      <x:c r="M163" s="36" t="str">
        <x:v>Markus 5,11–13</x:v>
      </x:c>
      <x:c r="N163" s="36" t="str">
        <x:v>Die Herde stürzt den Abhang hinunter in den See.</x:v>
      </x:c>
      <x:c r="O163" s="36" t="str">
        <x:v>FREIGEGEBEN</x:v>
      </x:c>
      <x:c r="P163" s="36" t="str">
        <x:v>FREIGEGEBEN</x:v>
      </x:c>
      <x:c r="Q163" s="36" t="str">
        <x:v>JA</x:v>
      </x:c>
    </x:row>
    <x:row r="164">
      <x:c r="A164" s="36" t="str">
        <x:v>FP-0423</x:v>
      </x:c>
      <x:c r="B164" s="36" t="str">
        <x:v>MRK</x:v>
      </x:c>
      <x:c r="C164" s="36" t="str">
        <x:v>Markus</x:v>
      </x:c>
      <x:c r="D164" s="36" t="n">
        <x:v>5</x:v>
      </x:c>
      <x:c r="E164" s="36" t="n">
        <x:v>3</x:v>
      </x:c>
      <x:c r="F164" s="36" t="str">
        <x:v>Warum bittet Jairus Jesus dringend, mit ihm zu kommen?</x:v>
      </x:c>
      <x:c r="G164" s="36" t="str">
        <x:v>Sein Haus wurde zerstört.</x:v>
      </x:c>
      <x:c r="H164" s="36" t="str">
        <x:v>Sein Sohn ist verschwunden.</x:v>
      </x:c>
      <x:c r="I164" s="36" t="str">
        <x:v>Seine Tochter liegt im Sterben.</x:v>
      </x:c>
      <x:c r="J164" s="36" t="str">
        <x:v>Er möchte Jesus zum Essen einladen.</x:v>
      </x:c>
      <x:c r="K164" s="36" t="n">
        <x:v>2</x:v>
      </x:c>
      <x:c r="L164" s="36" t="str">
        <x:v>Seine Tochter liegt im Sterben.</x:v>
      </x:c>
      <x:c r="M164" s="36" t="str">
        <x:v>Markus 5,21–24</x:v>
      </x:c>
      <x:c r="N164" s="36" t="str">
        <x:v>Jairus bittet Jesus, weil seine kleine Tochter im Sterben liegt.</x:v>
      </x:c>
      <x:c r="O164" s="36" t="str">
        <x:v>FREIGEGEBEN</x:v>
      </x:c>
      <x:c r="P164" s="36" t="str">
        <x:v>FREIGEGEBEN</x:v>
      </x:c>
      <x:c r="Q164" s="36" t="str">
        <x:v>JA</x:v>
      </x:c>
    </x:row>
    <x:row r="165">
      <x:c r="A165" s="36" t="str">
        <x:v>FP-0424</x:v>
      </x:c>
      <x:c r="B165" s="36" t="str">
        <x:v>MRK</x:v>
      </x:c>
      <x:c r="C165" s="36" t="str">
        <x:v>Markus</x:v>
      </x:c>
      <x:c r="D165" s="36" t="n">
        <x:v>5</x:v>
      </x:c>
      <x:c r="E165" s="36" t="n">
        <x:v>4</x:v>
      </x:c>
      <x:c r="F165" s="36" t="str">
        <x:v>Warum berührt die seit zwölf Jahren kranke Frau Jesu Gewand?</x:v>
      </x:c>
      <x:c r="G165" s="36" t="str">
        <x:v>Sie will Jesus heimlich festhalten.</x:v>
      </x:c>
      <x:c r="H165" s="36" t="str">
        <x:v>Sie sucht einen Gegenstand als Andenken.</x:v>
      </x:c>
      <x:c r="I165" s="36" t="str">
        <x:v>Sie möchte prüfen, ob das Gewand echt ist.</x:v>
      </x:c>
      <x:c r="J165" s="36" t="str">
        <x:v>Sie glaubt, schon durch die Berührung geheilt zu werden.</x:v>
      </x:c>
      <x:c r="K165" s="36" t="n">
        <x:v>3</x:v>
      </x:c>
      <x:c r="L165" s="36" t="str">
        <x:v>Sie glaubt, schon durch die Berührung geheilt zu werden.</x:v>
      </x:c>
      <x:c r="M165" s="36" t="str">
        <x:v>Markus 5,25–34</x:v>
      </x:c>
      <x:c r="N165" s="36" t="str">
        <x:v>Die Frau ist überzeugt, dass selbst die Berührung seines Gewandes zu ihrer Heilung führen kann; Jesus spricht anschließend von ihrem Glauben.</x:v>
      </x:c>
      <x:c r="O165" s="36" t="str">
        <x:v>FREIGEGEBEN</x:v>
      </x:c>
      <x:c r="P165" s="36" t="str">
        <x:v>FREIGEGEBEN</x:v>
      </x:c>
      <x:c r="Q165" s="36" t="str">
        <x:v>JA</x:v>
      </x:c>
    </x:row>
    <x:row r="166">
      <x:c r="A166" s="36" t="str">
        <x:v>FP-0425</x:v>
      </x:c>
      <x:c r="B166" s="36" t="str">
        <x:v>MRK</x:v>
      </x:c>
      <x:c r="C166" s="36" t="str">
        <x:v>Markus</x:v>
      </x:c>
      <x:c r="D166" s="36" t="n">
        <x:v>5</x:v>
      </x:c>
      <x:c r="E166" s="36" t="n">
        <x:v>5</x:v>
      </x:c>
      <x:c r="F166" s="36" t="str">
        <x:v>Was sagt Jesus zu Jairus, nachdem die Nachricht vom Tod seiner Tochter kommt?</x:v>
      </x:c>
      <x:c r="G166" s="36" t="str">
        <x:v>Fürchte dich nicht; glaube nur.</x:v>
      </x:c>
      <x:c r="H166" s="36" t="str">
        <x:v>Kehre nach Hause zurück und vergiss sie.</x:v>
      </x:c>
      <x:c r="I166" s="36" t="str">
        <x:v>Suche einen Arzt.</x:v>
      </x:c>
      <x:c r="J166" s="36" t="str">
        <x:v>Warte sieben Tage.</x:v>
      </x:c>
      <x:c r="K166" s="36" t="n">
        <x:v>0</x:v>
      </x:c>
      <x:c r="L166" s="36" t="str">
        <x:v>Fürchte dich nicht; glaube nur.</x:v>
      </x:c>
      <x:c r="M166" s="36" t="str">
        <x:v>Markus 5,35–43</x:v>
      </x:c>
      <x:c r="N166" s="36" t="str">
        <x:v>Jesus fordert Jairus auf, sich nicht zu fürchten, sondern zu glauben, bevor er das Mädchen wieder aufrichtet.</x:v>
      </x:c>
      <x:c r="O166" s="36" t="str">
        <x:v>FREIGEGEBEN</x:v>
      </x:c>
      <x:c r="P166" s="36" t="str">
        <x:v>FREIGEGEBEN</x:v>
      </x:c>
      <x:c r="Q166" s="36" t="str">
        <x:v>JA</x:v>
      </x:c>
    </x:row>
    <x:row r="167">
      <x:c r="A167" s="36" t="str">
        <x:v>FP-0426</x:v>
      </x:c>
      <x:c r="B167" s="36" t="str">
        <x:v>MRK</x:v>
      </x:c>
      <x:c r="C167" s="36" t="str">
        <x:v>Markus</x:v>
      </x:c>
      <x:c r="D167" s="36" t="n">
        <x:v>6</x:v>
      </x:c>
      <x:c r="E167" s="36" t="n">
        <x:v>1</x:v>
      </x:c>
      <x:c r="F167" s="36" t="str">
        <x:v>Was fällt Jesus in seiner Heimat besonders auf?</x:v>
      </x:c>
      <x:c r="G167" s="36" t="str">
        <x:v>Der außergewöhnliche Reichtum der Stadt.</x:v>
      </x:c>
      <x:c r="H167" s="36" t="str">
        <x:v>Der Unglaube der Menschen.</x:v>
      </x:c>
      <x:c r="I167" s="36" t="str">
        <x:v>Die große Zahl der Priester.</x:v>
      </x:c>
      <x:c r="J167" s="36" t="str">
        <x:v>Dass niemand ihn kennt.</x:v>
      </x:c>
      <x:c r="K167" s="36" t="n">
        <x:v>1</x:v>
      </x:c>
      <x:c r="L167" s="36" t="str">
        <x:v>Der Unglaube der Menschen.</x:v>
      </x:c>
      <x:c r="M167" s="36" t="str">
        <x:v>Markus 6,1–6</x:v>
      </x:c>
      <x:c r="N167" s="36" t="str">
        <x:v>In seiner Heimat stößt Jesus auf Ablehnung und wundert sich über den Unglauben der Menschen.</x:v>
      </x:c>
      <x:c r="O167" s="36" t="str">
        <x:v>FREIGEGEBEN</x:v>
      </x:c>
      <x:c r="P167" s="36" t="str">
        <x:v>FREIGEGEBEN</x:v>
      </x:c>
      <x:c r="Q167" s="36" t="str">
        <x:v>JA</x:v>
      </x:c>
    </x:row>
    <x:row r="168">
      <x:c r="A168" s="36" t="str">
        <x:v>FP-0427</x:v>
      </x:c>
      <x:c r="B168" s="36" t="str">
        <x:v>MRK</x:v>
      </x:c>
      <x:c r="C168" s="36" t="str">
        <x:v>Markus</x:v>
      </x:c>
      <x:c r="D168" s="36" t="n">
        <x:v>6</x:v>
      </x:c>
      <x:c r="E168" s="36" t="n">
        <x:v>2</x:v>
      </x:c>
      <x:c r="F168" s="36" t="str">
        <x:v>Wie sendet Jesus die Zwölf aus?</x:v>
      </x:c>
      <x:c r="G168" s="36" t="str">
        <x:v>Einzeln und ohne Auftrag.</x:v>
      </x:c>
      <x:c r="H168" s="36" t="str">
        <x:v>Nur nach Jerusalem.</x:v>
      </x:c>
      <x:c r="I168" s="36" t="str">
        <x:v>Je zwei zusammen und mit Vollmacht über unreine Geister.</x:v>
      </x:c>
      <x:c r="J168" s="36" t="str">
        <x:v>Mit einer großen Reiseausrüstung.</x:v>
      </x:c>
      <x:c r="K168" s="36" t="n">
        <x:v>2</x:v>
      </x:c>
      <x:c r="L168" s="36" t="str">
        <x:v>Je zwei zusammen und mit Vollmacht über unreine Geister.</x:v>
      </x:c>
      <x:c r="M168" s="36" t="str">
        <x:v>Markus 6,7–13</x:v>
      </x:c>
      <x:c r="N168" s="36" t="str">
        <x:v>Jesus sendet die Zwölf jeweils zu zweit aus und gibt ihnen Vollmacht über unreine Geister.</x:v>
      </x:c>
      <x:c r="O168" s="36" t="str">
        <x:v>FREIGEGEBEN</x:v>
      </x:c>
      <x:c r="P168" s="36" t="str">
        <x:v>FREIGEGEBEN</x:v>
      </x:c>
      <x:c r="Q168" s="36" t="str">
        <x:v>JA</x:v>
      </x:c>
    </x:row>
    <x:row r="169">
      <x:c r="A169" s="36" t="str">
        <x:v>FP-0428</x:v>
      </x:c>
      <x:c r="B169" s="36" t="str">
        <x:v>MRK</x:v>
      </x:c>
      <x:c r="C169" s="36" t="str">
        <x:v>Markus</x:v>
      </x:c>
      <x:c r="D169" s="36" t="n">
        <x:v>6</x:v>
      </x:c>
      <x:c r="E169" s="36" t="n">
        <x:v>3</x:v>
      </x:c>
      <x:c r="F169" s="36" t="str">
        <x:v>Wie kommt es zur Enthauptung Johannes des Täufers?</x:v>
      </x:c>
      <x:c r="G169" s="36" t="str">
        <x:v>Johannes stirbt auf einer Reise.</x:v>
      </x:c>
      <x:c r="H169" s="36" t="str">
        <x:v>Die Jünger töten ihn versehentlich.</x:v>
      </x:c>
      <x:c r="I169" s="36" t="str">
        <x:v>Pilatus verurteilt ihn in Jerusalem.</x:v>
      </x:c>
      <x:c r="J169" s="36" t="str">
        <x:v>Herodes lässt ihn nach einer Bitte im Rahmen seines Festes enthaupten.</x:v>
      </x:c>
      <x:c r="K169" s="36" t="n">
        <x:v>3</x:v>
      </x:c>
      <x:c r="L169" s="36" t="str">
        <x:v>Herodes lässt ihn nach einer Bitte im Rahmen seines Festes enthaupten.</x:v>
      </x:c>
      <x:c r="M169" s="36" t="str">
        <x:v>Markus 6,17–29</x:v>
      </x:c>
      <x:c r="N169" s="36" t="str">
        <x:v>Auf Herodes' Fest führt die Bitte der Tochter, angestiftet von ihrer Mutter, dazu, dass Johannes im Gefängnis enthauptet wird.</x:v>
      </x:c>
      <x:c r="O169" s="36" t="str">
        <x:v>FREIGEGEBEN</x:v>
      </x:c>
      <x:c r="P169" s="36" t="str">
        <x:v>FREIGEGEBEN</x:v>
      </x:c>
      <x:c r="Q169" s="36" t="str">
        <x:v>JA</x:v>
      </x:c>
    </x:row>
    <x:row r="170">
      <x:c r="A170" s="36" t="str">
        <x:v>FP-0429</x:v>
      </x:c>
      <x:c r="B170" s="36" t="str">
        <x:v>MRK</x:v>
      </x:c>
      <x:c r="C170" s="36" t="str">
        <x:v>Markus</x:v>
      </x:c>
      <x:c r="D170" s="36" t="n">
        <x:v>6</x:v>
      </x:c>
      <x:c r="E170" s="36" t="n">
        <x:v>4</x:v>
      </x:c>
      <x:c r="F170" s="36" t="str">
        <x:v>Womit speist Jesus die große Menge, und wie viele Körbe bleiben übrig?</x:v>
      </x:c>
      <x:c r="G170" s="36" t="str">
        <x:v>Mit fünf Broten und zwei Fischen; zwölf Körbe bleiben.</x:v>
      </x:c>
      <x:c r="H170" s="36" t="str">
        <x:v>Mit sieben Broten; fünf Körbe bleiben.</x:v>
      </x:c>
      <x:c r="I170" s="36" t="str">
        <x:v>Mit zwölf Broten; zwei Körbe bleiben.</x:v>
      </x:c>
      <x:c r="J170" s="36" t="str">
        <x:v>Mit zwei Broten und fünf Fischen; sieben Körbe bleiben.</x:v>
      </x:c>
      <x:c r="K170" s="36" t="n">
        <x:v>0</x:v>
      </x:c>
      <x:c r="L170" s="36" t="str">
        <x:v>Mit fünf Broten und zwei Fischen; zwölf Körbe bleiben.</x:v>
      </x:c>
      <x:c r="M170" s="36" t="str">
        <x:v>Markus 6,35–44</x:v>
      </x:c>
      <x:c r="N170" s="36" t="str">
        <x:v>Jesus verwendet fünf Brote und zwei Fische; anschließend werden zwölf Körbe mit Resten gesammelt.</x:v>
      </x:c>
      <x:c r="O170" s="36" t="str">
        <x:v>FREIGEGEBEN</x:v>
      </x:c>
      <x:c r="P170" s="36" t="str">
        <x:v>FREIGEGEBEN</x:v>
      </x:c>
      <x:c r="Q170" s="36" t="str">
        <x:v>JA</x:v>
      </x:c>
    </x:row>
    <x:row r="171">
      <x:c r="A171" s="36" t="str">
        <x:v>FP-0430</x:v>
      </x:c>
      <x:c r="B171" s="36" t="str">
        <x:v>MRK</x:v>
      </x:c>
      <x:c r="C171" s="36" t="str">
        <x:v>Markus</x:v>
      </x:c>
      <x:c r="D171" s="36" t="n">
        <x:v>6</x:v>
      </x:c>
      <x:c r="E171" s="36" t="n">
        <x:v>5</x:v>
      </x:c>
      <x:c r="F171" s="36" t="str">
        <x:v>Wie reagiert Jesus, als die Jünger ihn auf dem Wasser sehen und erschrecken?</x:v>
      </x:c>
      <x:c r="G171" s="36" t="str">
        <x:v>Er kehrt sofort um.</x:v>
      </x:c>
      <x:c r="H171" s="36" t="str">
        <x:v>Er sagt ihnen, sie sollen Mut haben und sich nicht fürchten.</x:v>
      </x:c>
      <x:c r="I171" s="36" t="str">
        <x:v>Er fordert sie auf, das Boot zu verlassen.</x:v>
      </x:c>
      <x:c r="J171" s="36" t="str">
        <x:v>Er schweigt bis zum Morgen.</x:v>
      </x:c>
      <x:c r="K171" s="36" t="n">
        <x:v>1</x:v>
      </x:c>
      <x:c r="L171" s="36" t="str">
        <x:v>Er sagt ihnen, sie sollen Mut haben und sich nicht fürchten.</x:v>
      </x:c>
      <x:c r="M171" s="36" t="str">
        <x:v>Markus 6,45–52</x:v>
      </x:c>
      <x:c r="N171" s="36" t="str">
        <x:v>Die Jünger halten ihn zunächst für ein Gespenst. Jesus spricht ihnen Mut zu und sagt, sie sollen sich nicht fürchten.</x:v>
      </x:c>
      <x:c r="O171" s="36" t="str">
        <x:v>FREIGEGEBEN</x:v>
      </x:c>
      <x:c r="P171" s="36" t="str">
        <x:v>FREIGEGEBEN</x:v>
      </x:c>
      <x:c r="Q171" s="36" t="str">
        <x:v>JA</x:v>
      </x:c>
    </x:row>
    <x:row r="172">
      <x:c r="A172" s="36" t="str">
        <x:v>FP-0431</x:v>
      </x:c>
      <x:c r="B172" s="36" t="str">
        <x:v>MRK</x:v>
      </x:c>
      <x:c r="C172" s="36" t="str">
        <x:v>Markus</x:v>
      </x:c>
      <x:c r="D172" s="36" t="n">
        <x:v>7</x:v>
      </x:c>
      <x:c r="E172" s="36" t="n">
        <x:v>1</x:v>
      </x:c>
      <x:c r="F172" s="36" t="str">
        <x:v>Weshalb kritisieren Pharisäer und Schriftgelehrte einige Jünger Jesu?</x:v>
      </x:c>
      <x:c r="G172" s="36" t="str">
        <x:v>Weil sie am Sabbat reisen.</x:v>
      </x:c>
      <x:c r="H172" s="36" t="str">
        <x:v>Weil sie keine Opfer bringen.</x:v>
      </x:c>
      <x:c r="I172" s="36" t="str">
        <x:v>Weil sie mit ungewaschenen Händen essen.</x:v>
      </x:c>
      <x:c r="J172" s="36" t="str">
        <x:v>Weil sie keine Gleichnisse erzählen.</x:v>
      </x:c>
      <x:c r="K172" s="36" t="n">
        <x:v>2</x:v>
      </x:c>
      <x:c r="L172" s="36" t="str">
        <x:v>Weil sie mit ungewaschenen Händen essen.</x:v>
      </x:c>
      <x:c r="M172" s="36" t="str">
        <x:v>Markus 7,1–5</x:v>
      </x:c>
      <x:c r="N172" s="36" t="str">
        <x:v>Der Streit beginnt damit, dass einige Jünger mit rituell ungewaschenen Händen essen.</x:v>
      </x:c>
      <x:c r="O172" s="36" t="str">
        <x:v>FREIGEGEBEN</x:v>
      </x:c>
      <x:c r="P172" s="36" t="str">
        <x:v>FREIGEGEBEN</x:v>
      </x:c>
      <x:c r="Q172" s="36" t="str">
        <x:v>JA</x:v>
      </x:c>
    </x:row>
    <x:row r="173">
      <x:c r="A173" s="36" t="str">
        <x:v>FP-0432</x:v>
      </x:c>
      <x:c r="B173" s="36" t="str">
        <x:v>MRK</x:v>
      </x:c>
      <x:c r="C173" s="36" t="str">
        <x:v>Markus</x:v>
      </x:c>
      <x:c r="D173" s="36" t="n">
        <x:v>7</x:v>
      </x:c>
      <x:c r="E173" s="36" t="n">
        <x:v>2</x:v>
      </x:c>
      <x:c r="F173" s="36" t="str">
        <x:v>Was kritisiert Jesus am Umgang mit der Korban-Tradition?</x:v>
      </x:c>
      <x:c r="G173" s="36" t="str">
        <x:v>Sie verlange zu viel Fasten.</x:v>
      </x:c>
      <x:c r="H173" s="36" t="str">
        <x:v>Sie verbiete jede Gabe für den Tempel.</x:v>
      </x:c>
      <x:c r="I173" s="36" t="str">
        <x:v>Sie erlaube den Jüngern, am Sabbat zu arbeiten.</x:v>
      </x:c>
      <x:c r="J173" s="36" t="str">
        <x:v>Sie mache das Gebot Gottes unwirksam, wenn dadurch die Pflicht gegenüber den Eltern umgangen wird.</x:v>
      </x:c>
      <x:c r="K173" s="36" t="n">
        <x:v>3</x:v>
      </x:c>
      <x:c r="L173" s="36" t="str">
        <x:v>Sie mache das Gebot Gottes unwirksam, wenn dadurch die Pflicht gegenüber den Eltern umgangen wird.</x:v>
      </x:c>
      <x:c r="M173" s="36" t="str">
        <x:v>Markus 7,9–13</x:v>
      </x:c>
      <x:c r="N173" s="36" t="str">
        <x:v>Jesus kritisiert, dass menschliche Tradition so eingesetzt wird, dass Gottes Gebot gegenüber Vater und Mutter umgangen wird.</x:v>
      </x:c>
      <x:c r="O173" s="36" t="str">
        <x:v>FREIGEGEBEN</x:v>
      </x:c>
      <x:c r="P173" s="36" t="str">
        <x:v>FREIGEGEBEN</x:v>
      </x:c>
      <x:c r="Q173" s="36" t="str">
        <x:v>JA</x:v>
      </x:c>
    </x:row>
    <x:row r="174">
      <x:c r="A174" s="36" t="str">
        <x:v>FP-0433</x:v>
      </x:c>
      <x:c r="B174" s="36" t="str">
        <x:v>MRK</x:v>
      </x:c>
      <x:c r="C174" s="36" t="str">
        <x:v>Markus</x:v>
      </x:c>
      <x:c r="D174" s="36" t="n">
        <x:v>7</x:v>
      </x:c>
      <x:c r="E174" s="36" t="n">
        <x:v>3</x:v>
      </x:c>
      <x:c r="F174" s="36" t="str">
        <x:v>Was verunreinigt den Menschen nach Jesu Erklärung?</x:v>
      </x:c>
      <x:c r="G174" s="36" t="str">
        <x:v>Vor allem das, was aus dem Inneren des Menschen hervorgeht.</x:v>
      </x:c>
      <x:c r="H174" s="36" t="str">
        <x:v>Nur bestimmte Speisen von außen.</x:v>
      </x:c>
      <x:c r="I174" s="36" t="str">
        <x:v>Jede Berührung mit Nichtjuden.</x:v>
      </x:c>
      <x:c r="J174" s="36" t="str">
        <x:v>Das Essen ohne vorheriges Fasten.</x:v>
      </x:c>
      <x:c r="K174" s="36" t="n">
        <x:v>0</x:v>
      </x:c>
      <x:c r="L174" s="36" t="str">
        <x:v>Vor allem das, was aus dem Inneren des Menschen hervorgeht.</x:v>
      </x:c>
      <x:c r="M174" s="36" t="str">
        <x:v>Markus 7,14–23</x:v>
      </x:c>
      <x:c r="N174" s="36" t="str">
        <x:v>Jesus verlagert den Schwerpunkt von äußerer Nahrung auf das, was aus dem Herzen des Menschen hervorgeht.</x:v>
      </x:c>
      <x:c r="O174" s="36" t="str">
        <x:v>FREIGEGEBEN</x:v>
      </x:c>
      <x:c r="P174" s="36" t="str">
        <x:v>FREIGEGEBEN</x:v>
      </x:c>
      <x:c r="Q174" s="36" t="str">
        <x:v>JA</x:v>
      </x:c>
    </x:row>
    <x:row r="175">
      <x:c r="A175" s="36" t="str">
        <x:v>FP-0434</x:v>
      </x:c>
      <x:c r="B175" s="36" t="str">
        <x:v>MRK</x:v>
      </x:c>
      <x:c r="C175" s="36" t="str">
        <x:v>Markus</x:v>
      </x:c>
      <x:c r="D175" s="36" t="n">
        <x:v>7</x:v>
      </x:c>
      <x:c r="E175" s="36" t="n">
        <x:v>4</x:v>
      </x:c>
      <x:c r="F175" s="36" t="str">
        <x:v>Was geschieht nach der Antwort der syrophönizischen Frau?</x:v>
      </x:c>
      <x:c r="G175" s="36" t="str">
        <x:v>Jesus weist sie endgültig fort.</x:v>
      </x:c>
      <x:c r="H175" s="36" t="str">
        <x:v>Jesus sagt ihr, sie könne gehen; der Dämon habe ihre Tochter verlassen.</x:v>
      </x:c>
      <x:c r="I175" s="36" t="str">
        <x:v>Die Jünger begleiten sie nach Hause.</x:v>
      </x:c>
      <x:c r="J175" s="36" t="str">
        <x:v>Sie muss sieben Tage warten.</x:v>
      </x:c>
      <x:c r="K175" s="36" t="n">
        <x:v>1</x:v>
      </x:c>
      <x:c r="L175" s="36" t="str">
        <x:v>Jesus sagt ihr, sie könne gehen; der Dämon habe ihre Tochter verlassen.</x:v>
      </x:c>
      <x:c r="M175" s="36" t="str">
        <x:v>Markus 7,24–30</x:v>
      </x:c>
      <x:c r="N175" s="36" t="str">
        <x:v>Nach ihrer Antwort sagt Jesus der Frau, dass der Dämon ihre Tochter verlassen hat; zu Hause findet sie das Kind befreit vor.</x:v>
      </x:c>
      <x:c r="O175" s="36" t="str">
        <x:v>FREIGEGEBEN</x:v>
      </x:c>
      <x:c r="P175" s="36" t="str">
        <x:v>FREIGEGEBEN</x:v>
      </x:c>
      <x:c r="Q175" s="36" t="str">
        <x:v>JA</x:v>
      </x:c>
    </x:row>
    <x:row r="176">
      <x:c r="A176" s="36" t="str">
        <x:v>FP-0435</x:v>
      </x:c>
      <x:c r="B176" s="36" t="str">
        <x:v>MRK</x:v>
      </x:c>
      <x:c r="C176" s="36" t="str">
        <x:v>Markus</x:v>
      </x:c>
      <x:c r="D176" s="36" t="n">
        <x:v>7</x:v>
      </x:c>
      <x:c r="E176" s="36" t="n">
        <x:v>5</x:v>
      </x:c>
      <x:c r="F176" s="36" t="str">
        <x:v>Was geschieht bei der Heilung des tauben Mannes mit Sprachstörung?</x:v>
      </x:c>
      <x:c r="G176" s="36" t="str">
        <x:v>Jesus schickt ihn zum Jordan.</x:v>
      </x:c>
      <x:c r="H176" s="36" t="str">
        <x:v>Petrus legt ihm die Hände auf.</x:v>
      </x:c>
      <x:c r="I176" s="36" t="str">
        <x:v>Jesus sagt „Ephatha“, und seine Ohren öffnen sich und seine Zunge wird gelöst.</x:v>
      </x:c>
      <x:c r="J176" s="36" t="str">
        <x:v>Er wird erst nach drei Tagen geheilt.</x:v>
      </x:c>
      <x:c r="K176" s="36" t="n">
        <x:v>2</x:v>
      </x:c>
      <x:c r="L176" s="36" t="str">
        <x:v>Jesus sagt „Ephatha“, und seine Ohren öffnen sich und seine Zunge wird gelöst.</x:v>
      </x:c>
      <x:c r="M176" s="36" t="str">
        <x:v>Markus 7,31–37</x:v>
      </x:c>
      <x:c r="N176" s="36" t="str">
        <x:v>Jesus spricht „Ephatha“ – „Tu dich auf“ – und der Mann kann hören und deutlich sprechen.</x:v>
      </x:c>
      <x:c r="O176" s="36" t="str">
        <x:v>FREIGEGEBEN</x:v>
      </x:c>
      <x:c r="P176" s="36" t="str">
        <x:v>FREIGEGEBEN</x:v>
      </x:c>
      <x:c r="Q176" s="36" t="str">
        <x:v>JA</x:v>
      </x:c>
    </x:row>
    <x:row r="177">
      <x:c r="A177" s="36" t="str">
        <x:v>FP-0436</x:v>
      </x:c>
      <x:c r="B177" s="36" t="str">
        <x:v>MRK</x:v>
      </x:c>
      <x:c r="C177" s="36" t="str">
        <x:v>Markus</x:v>
      </x:c>
      <x:c r="D177" s="36" t="n">
        <x:v>8</x:v>
      </x:c>
      <x:c r="E177" s="36" t="n">
        <x:v>1</x:v>
      </x:c>
      <x:c r="F177" s="36" t="str">
        <x:v>Wie viele Brote stehen bei der Speisung der etwa viertausend Menschen zur Verfügung?</x:v>
      </x:c>
      <x:c r="G177" s="36" t="str">
        <x:v>Fünf.</x:v>
      </x:c>
      <x:c r="H177" s="36" t="str">
        <x:v>Zwölf.</x:v>
      </x:c>
      <x:c r="I177" s="36" t="str">
        <x:v>Drei.</x:v>
      </x:c>
      <x:c r="J177" s="36" t="str">
        <x:v>Sieben.</x:v>
      </x:c>
      <x:c r="K177" s="36" t="n">
        <x:v>3</x:v>
      </x:c>
      <x:c r="L177" s="36" t="str">
        <x:v>Sieben.</x:v>
      </x:c>
      <x:c r="M177" s="36" t="str">
        <x:v>Markus 8,1–9</x:v>
      </x:c>
      <x:c r="N177" s="36" t="str">
        <x:v>Bei dieser Speisung stehen sieben Brote zur Verfügung; am Ende werden sieben Körbe mit Resten gesammelt.</x:v>
      </x:c>
      <x:c r="O177" s="36" t="str">
        <x:v>FREIGEGEBEN</x:v>
      </x:c>
      <x:c r="P177" s="36" t="str">
        <x:v>FREIGEGEBEN</x:v>
      </x:c>
      <x:c r="Q177" s="36" t="str">
        <x:v>JA</x:v>
      </x:c>
    </x:row>
    <x:row r="178">
      <x:c r="A178" s="36" t="str">
        <x:v>FP-0437</x:v>
      </x:c>
      <x:c r="B178" s="36" t="str">
        <x:v>MRK</x:v>
      </x:c>
      <x:c r="C178" s="36" t="str">
        <x:v>Markus</x:v>
      </x:c>
      <x:c r="D178" s="36" t="n">
        <x:v>8</x:v>
      </x:c>
      <x:c r="E178" s="36" t="n">
        <x:v>2</x:v>
      </x:c>
      <x:c r="F178" s="36" t="str">
        <x:v>Was missverstehen die Jünger, als Jesus vor dem Sauerteig der Pharisäer und des Herodes warnt?</x:v>
      </x:c>
      <x:c r="G178" s="36" t="str">
        <x:v>Sie denken, Jesus spreche darüber, dass sie kein Brot dabeihaben.</x:v>
      </x:c>
      <x:c r="H178" s="36" t="str">
        <x:v>Sie meinen, er verbiete jedes Brot.</x:v>
      </x:c>
      <x:c r="I178" s="36" t="str">
        <x:v>Sie glauben, Herodes werde Bäcker.</x:v>
      </x:c>
      <x:c r="J178" s="36" t="str">
        <x:v>Sie halten es für ein Gleichnis über die Ernte.</x:v>
      </x:c>
      <x:c r="K178" s="36" t="n">
        <x:v>0</x:v>
      </x:c>
      <x:c r="L178" s="36" t="str">
        <x:v>Sie denken, Jesus spreche darüber, dass sie kein Brot dabeihaben.</x:v>
      </x:c>
      <x:c r="M178" s="36" t="str">
        <x:v>Markus 8,14–21</x:v>
      </x:c>
      <x:c r="N178" s="36" t="str">
        <x:v>Die Jünger beziehen Jesu Warnung zunächst auf ihren Brotbestand, obwohl Jesus sie auf etwas anderes aufmerksam machen will.</x:v>
      </x:c>
      <x:c r="O178" s="36" t="str">
        <x:v>FREIGEGEBEN</x:v>
      </x:c>
      <x:c r="P178" s="36" t="str">
        <x:v>FREIGEGEBEN</x:v>
      </x:c>
      <x:c r="Q178" s="36" t="str">
        <x:v>JA</x:v>
      </x:c>
    </x:row>
    <x:row r="179">
      <x:c r="A179" s="36" t="str">
        <x:v>FP-0438</x:v>
      </x:c>
      <x:c r="B179" s="36" t="str">
        <x:v>MRK</x:v>
      </x:c>
      <x:c r="C179" s="36" t="str">
        <x:v>Markus</x:v>
      </x:c>
      <x:c r="D179" s="36" t="n">
        <x:v>8</x:v>
      </x:c>
      <x:c r="E179" s="36" t="n">
        <x:v>3</x:v>
      </x:c>
      <x:c r="F179" s="36" t="str">
        <x:v>Was ist bei der Heilung des Blinden in Bethsaida besonders?</x:v>
      </x:c>
      <x:c r="G179" s="36" t="str">
        <x:v>Er wird nur nachts geheilt.</x:v>
      </x:c>
      <x:c r="H179" s="36" t="str">
        <x:v>Er wird in zwei Schritten geheilt; zunächst sieht er Menschen wie umhergehende Bäume.</x:v>
      </x:c>
      <x:c r="I179" s="36" t="str">
        <x:v>Er muss zuerst zum Tempel gehen.</x:v>
      </x:c>
      <x:c r="J179" s="36" t="str">
        <x:v>Er bleibt blind, kann aber hören.</x:v>
      </x:c>
      <x:c r="K179" s="36" t="n">
        <x:v>1</x:v>
      </x:c>
      <x:c r="L179" s="36" t="str">
        <x:v>Er wird in zwei Schritten geheilt; zunächst sieht er Menschen wie umhergehende Bäume.</x:v>
      </x:c>
      <x:c r="M179" s="36" t="str">
        <x:v>Markus 8,22–26</x:v>
      </x:c>
      <x:c r="N179" s="36" t="str">
        <x:v>Die Heilung verläuft stufenweise: Zuerst sieht der Mann undeutlich, danach klar.</x:v>
      </x:c>
      <x:c r="O179" s="36" t="str">
        <x:v>FREIGEGEBEN</x:v>
      </x:c>
      <x:c r="P179" s="36" t="str">
        <x:v>FREIGEGEBEN</x:v>
      </x:c>
      <x:c r="Q179" s="36" t="str">
        <x:v>JA</x:v>
      </x:c>
    </x:row>
    <x:row r="180">
      <x:c r="A180" s="36" t="str">
        <x:v>FP-0439</x:v>
      </x:c>
      <x:c r="B180" s="36" t="str">
        <x:v>MRK</x:v>
      </x:c>
      <x:c r="C180" s="36" t="str">
        <x:v>Markus</x:v>
      </x:c>
      <x:c r="D180" s="36" t="n">
        <x:v>8</x:v>
      </x:c>
      <x:c r="E180" s="36" t="n">
        <x:v>4</x:v>
      </x:c>
      <x:c r="F180" s="36" t="str">
        <x:v>Wie beantwortet Petrus Jesu Frage: „Wer sagt ihr, dass ich sei?“</x:v>
      </x:c>
      <x:c r="G180" s="36" t="str">
        <x:v>Du bist Elia.</x:v>
      </x:c>
      <x:c r="H180" s="36" t="str">
        <x:v>Du bist Johannes der Täufer.</x:v>
      </x:c>
      <x:c r="I180" s="36" t="str">
        <x:v>Du bist der Christus.</x:v>
      </x:c>
      <x:c r="J180" s="36" t="str">
        <x:v>Du bist ein Schriftgelehrter.</x:v>
      </x:c>
      <x:c r="K180" s="36" t="n">
        <x:v>2</x:v>
      </x:c>
      <x:c r="L180" s="36" t="str">
        <x:v>Du bist der Christus.</x:v>
      </x:c>
      <x:c r="M180" s="36" t="str">
        <x:v>Markus 8,27–30</x:v>
      </x:c>
      <x:c r="N180" s="36" t="str">
        <x:v>Petrus bekennt Jesus als den Christus.</x:v>
      </x:c>
      <x:c r="O180" s="36" t="str">
        <x:v>FREIGEGEBEN</x:v>
      </x:c>
      <x:c r="P180" s="36" t="str">
        <x:v>FREIGEGEBEN</x:v>
      </x:c>
      <x:c r="Q180" s="36" t="str">
        <x:v>JA</x:v>
      </x:c>
    </x:row>
    <x:row r="181">
      <x:c r="A181" s="36" t="str">
        <x:v>FP-0440</x:v>
      </x:c>
      <x:c r="B181" s="36" t="str">
        <x:v>MRK</x:v>
      </x:c>
      <x:c r="C181" s="36" t="str">
        <x:v>Markus</x:v>
      </x:c>
      <x:c r="D181" s="36" t="n">
        <x:v>8</x:v>
      </x:c>
      <x:c r="E181" s="36" t="n">
        <x:v>5</x:v>
      </x:c>
      <x:c r="F181" s="36" t="str">
        <x:v>Was sagt Jesus über Nachfolge und das eigene Leben?</x:v>
      </x:c>
      <x:c r="G181" s="36" t="str">
        <x:v>Wer ihm folgt, wird niemals leiden.</x:v>
      </x:c>
      <x:c r="H181" s="36" t="str">
        <x:v>Nachfolge betrifft nur die Zwölf.</x:v>
      </x:c>
      <x:c r="I181" s="36" t="str">
        <x:v>Wer sein Leben bewahrt, kann es niemals verlieren.</x:v>
      </x:c>
      <x:c r="J181" s="36" t="str">
        <x:v>Wer ihm nachfolgen will, soll sich selbst verleugnen, sein Kreuz aufnehmen und ihm folgen.</x:v>
      </x:c>
      <x:c r="K181" s="36" t="n">
        <x:v>3</x:v>
      </x:c>
      <x:c r="L181" s="36" t="str">
        <x:v>Wer ihm nachfolgen will, soll sich selbst verleugnen, sein Kreuz aufnehmen und ihm folgen.</x:v>
      </x:c>
      <x:c r="M181" s="36" t="str">
        <x:v>Markus 8,34–35</x:v>
      </x:c>
      <x:c r="N181" s="36" t="str">
        <x:v>Jesus verbindet Nachfolge mit Selbstverleugnung, Kreuztragen und der Bereitschaft, das eigene Leben um seinetwillen und um des Evangeliums willen loszulassen.</x:v>
      </x:c>
      <x:c r="O181" s="36" t="str">
        <x:v>FREIGEGEBEN</x:v>
      </x:c>
      <x:c r="P181" s="36" t="str">
        <x:v>FREIGEGEBEN</x:v>
      </x:c>
      <x:c r="Q181" s="36" t="str">
        <x:v>JA</x:v>
      </x:c>
    </x:row>
    <x:row r="182">
      <x:c r="A182" s="36" t="str">
        <x:v>FP-0441</x:v>
      </x:c>
      <x:c r="B182" s="36" t="str">
        <x:v>MRK</x:v>
      </x:c>
      <x:c r="C182" s="36" t="str">
        <x:v>Markus</x:v>
      </x:c>
      <x:c r="D182" s="36" t="n">
        <x:v>9</x:v>
      </x:c>
      <x:c r="E182" s="36" t="n">
        <x:v>1</x:v>
      </x:c>
      <x:c r="F182" s="36" t="str">
        <x:v>Wer erscheint bei Jesu Verklärung zusammen mit ihm?</x:v>
      </x:c>
      <x:c r="G182" s="36" t="str">
        <x:v>Mose und Elia.</x:v>
      </x:c>
      <x:c r="H182" s="36" t="str">
        <x:v>Abraham und David.</x:v>
      </x:c>
      <x:c r="I182" s="36" t="str">
        <x:v>Johannes der Täufer und Petrus.</x:v>
      </x:c>
      <x:c r="J182" s="36" t="str">
        <x:v>Jesaja und Jeremia.</x:v>
      </x:c>
      <x:c r="K182" s="36" t="n">
        <x:v>0</x:v>
      </x:c>
      <x:c r="L182" s="36" t="str">
        <x:v>Mose und Elia.</x:v>
      </x:c>
      <x:c r="M182" s="36" t="str">
        <x:v>Markus 9,2–8</x:v>
      </x:c>
      <x:c r="N182" s="36" t="str">
        <x:v>Bei der Verklärung erscheinen Mose und Elia und reden mit Jesus.</x:v>
      </x:c>
      <x:c r="O182" s="36" t="str">
        <x:v>FREIGEGEBEN</x:v>
      </x:c>
      <x:c r="P182" s="36" t="str">
        <x:v>FREIGEGEBEN</x:v>
      </x:c>
      <x:c r="Q182" s="36" t="str">
        <x:v>JA</x:v>
      </x:c>
    </x:row>
    <x:row r="183">
      <x:c r="A183" s="36" t="str">
        <x:v>FP-0442</x:v>
      </x:c>
      <x:c r="B183" s="36" t="str">
        <x:v>MRK</x:v>
      </x:c>
      <x:c r="C183" s="36" t="str">
        <x:v>Markus</x:v>
      </x:c>
      <x:c r="D183" s="36" t="n">
        <x:v>9</x:v>
      </x:c>
      <x:c r="E183" s="36" t="n">
        <x:v>2</x:v>
      </x:c>
      <x:c r="F183" s="36" t="str">
        <x:v>Was sagt die Stimme aus der Wolke bei der Verklärung?</x:v>
      </x:c>
      <x:c r="G183" s="36" t="str">
        <x:v>Baut hier drei Hütten.</x:v>
      </x:c>
      <x:c r="H183" s="36" t="str">
        <x:v>Dies ist mein geliebter Sohn; auf ihn sollt ihr hören.</x:v>
      </x:c>
      <x:c r="I183" s="36" t="str">
        <x:v>Kehrt sofort nach Jerusalem zurück.</x:v>
      </x:c>
      <x:c r="J183" s="36" t="str">
        <x:v>Petrus soll die Leitung übernehmen.</x:v>
      </x:c>
      <x:c r="K183" s="36" t="n">
        <x:v>1</x:v>
      </x:c>
      <x:c r="L183" s="36" t="str">
        <x:v>Dies ist mein geliebter Sohn; auf ihn sollt ihr hören.</x:v>
      </x:c>
      <x:c r="M183" s="36" t="str">
        <x:v>Markus 9,2–8</x:v>
      </x:c>
      <x:c r="N183" s="36" t="str">
        <x:v>Die Stimme bezeichnet Jesus als den geliebten Sohn und fordert die Jünger auf, auf ihn zu hören.</x:v>
      </x:c>
      <x:c r="O183" s="36" t="str">
        <x:v>FREIGEGEBEN</x:v>
      </x:c>
      <x:c r="P183" s="36" t="str">
        <x:v>FREIGEGEBEN</x:v>
      </x:c>
      <x:c r="Q183" s="36" t="str">
        <x:v>JA</x:v>
      </x:c>
    </x:row>
    <x:row r="184">
      <x:c r="A184" s="36" t="str">
        <x:v>FP-0443</x:v>
      </x:c>
      <x:c r="B184" s="36" t="str">
        <x:v>MRK</x:v>
      </x:c>
      <x:c r="C184" s="36" t="str">
        <x:v>Markus</x:v>
      </x:c>
      <x:c r="D184" s="36" t="n">
        <x:v>9</x:v>
      </x:c>
      <x:c r="E184" s="36" t="n">
        <x:v>3</x:v>
      </x:c>
      <x:c r="F184" s="36" t="str">
        <x:v>Was ruft der Vater des besessenen Jungen Jesus zu?</x:v>
      </x:c>
      <x:c r="G184" s="36" t="str">
        <x:v>Ich werde erst morgen glauben.</x:v>
      </x:c>
      <x:c r="H184" s="36" t="str">
        <x:v>Die Jünger haben alles richtig gemacht.</x:v>
      </x:c>
      <x:c r="I184" s="36" t="str">
        <x:v>Ich glaube; hilf meinem Unglauben.</x:v>
      </x:c>
      <x:c r="J184" s="36" t="str">
        <x:v>Lass meinen Sohn allein.</x:v>
      </x:c>
      <x:c r="K184" s="36" t="n">
        <x:v>2</x:v>
      </x:c>
      <x:c r="L184" s="36" t="str">
        <x:v>Ich glaube; hilf meinem Unglauben.</x:v>
      </x:c>
      <x:c r="M184" s="36" t="str">
        <x:v>Markus 9,24</x:v>
      </x:c>
      <x:c r="N184" s="36" t="str">
        <x:v>Der Vater verbindet sein Bekenntnis zum Glauben mit der Bitte um Hilfe für seinen Unglauben.</x:v>
      </x:c>
      <x:c r="O184" s="36" t="str">
        <x:v>FREIGEGEBEN</x:v>
      </x:c>
      <x:c r="P184" s="36" t="str">
        <x:v>FREIGEGEBEN</x:v>
      </x:c>
      <x:c r="Q184" s="36" t="str">
        <x:v>JA</x:v>
      </x:c>
    </x:row>
    <x:row r="185">
      <x:c r="A185" s="36" t="str">
        <x:v>FP-0444</x:v>
      </x:c>
      <x:c r="B185" s="36" t="str">
        <x:v>MRK</x:v>
      </x:c>
      <x:c r="C185" s="36" t="str">
        <x:v>Markus</x:v>
      </x:c>
      <x:c r="D185" s="36" t="n">
        <x:v>9</x:v>
      </x:c>
      <x:c r="E185" s="36" t="n">
        <x:v>4</x:v>
      </x:c>
      <x:c r="F185" s="36" t="str">
        <x:v>Wie beantwortet Jesus den Streit der Jünger darüber, wer der Größte sei?</x:v>
      </x:c>
      <x:c r="G185" s="36" t="str">
        <x:v>Der Älteste ist automatisch der Größte.</x:v>
      </x:c>
      <x:c r="H185" s="36" t="str">
        <x:v>Nur Petrus darf groß sein.</x:v>
      </x:c>
      <x:c r="I185" s="36" t="str">
        <x:v>Größe zeigt sich durch Besitz.</x:v>
      </x:c>
      <x:c r="J185" s="36" t="str">
        <x:v>Der Erste soll der Letzte von allen und Diener aller sein.</x:v>
      </x:c>
      <x:c r="K185" s="36" t="n">
        <x:v>3</x:v>
      </x:c>
      <x:c r="L185" s="36" t="str">
        <x:v>Der Erste soll der Letzte von allen und Diener aller sein.</x:v>
      </x:c>
      <x:c r="M185" s="36" t="str">
        <x:v>Markus 9,33–37</x:v>
      </x:c>
      <x:c r="N185" s="36" t="str">
        <x:v>Jesus kehrt die übliche Rangordnung um: Wer der Erste sein will, soll Diener aller sein.</x:v>
      </x:c>
      <x:c r="O185" s="36" t="str">
        <x:v>FREIGEGEBEN</x:v>
      </x:c>
      <x:c r="P185" s="36" t="str">
        <x:v>FREIGEGEBEN</x:v>
      </x:c>
      <x:c r="Q185" s="36" t="str">
        <x:v>JA</x:v>
      </x:c>
    </x:row>
    <x:row r="186">
      <x:c r="A186" s="36" t="str">
        <x:v>FP-0445</x:v>
      </x:c>
      <x:c r="B186" s="36" t="str">
        <x:v>MRK</x:v>
      </x:c>
      <x:c r="C186" s="36" t="str">
        <x:v>Markus</x:v>
      </x:c>
      <x:c r="D186" s="36" t="n">
        <x:v>9</x:v>
      </x:c>
      <x:c r="E186" s="36" t="n">
        <x:v>5</x:v>
      </x:c>
      <x:c r="F186" s="36" t="str">
        <x:v>Wie reagiert Jesus darauf, dass jemand in seinem Namen Dämonen austreibt, obwohl er nicht zur Jüngergruppe gehört?</x:v>
      </x:c>
      <x:c r="G186" s="36" t="str">
        <x:v>Jesus sagt: Hindert ihn nicht.</x:v>
      </x:c>
      <x:c r="H186" s="36" t="str">
        <x:v>Er soll sofort daran gehindert werden.</x:v>
      </x:c>
      <x:c r="I186" s="36" t="str">
        <x:v>Er muss zuerst einer der Zwölf werden.</x:v>
      </x:c>
      <x:c r="J186" s="36" t="str">
        <x:v>Er darf nur in Jerusalem wirken.</x:v>
      </x:c>
      <x:c r="K186" s="36" t="n">
        <x:v>0</x:v>
      </x:c>
      <x:c r="L186" s="36" t="str">
        <x:v>Jesus sagt: Hindert ihn nicht.</x:v>
      </x:c>
      <x:c r="M186" s="36" t="str">
        <x:v>Markus 9,38–40</x:v>
      </x:c>
      <x:c r="N186" s="36" t="str">
        <x:v>Jesus weist die Jünger an, den Mann nicht zu hindern, und begründet dies mit seiner Haltung zu ihnen.</x:v>
      </x:c>
      <x:c r="O186" s="36" t="str">
        <x:v>FREIGEGEBEN</x:v>
      </x:c>
      <x:c r="P186" s="36" t="str">
        <x:v>FREIGEGEBEN</x:v>
      </x:c>
      <x:c r="Q186" s="36" t="str">
        <x:v>JA</x:v>
      </x:c>
    </x:row>
    <x:row r="187">
      <x:c r="A187" s="36" t="str">
        <x:v>FP-0446</x:v>
      </x:c>
      <x:c r="B187" s="36" t="str">
        <x:v>MRK</x:v>
      </x:c>
      <x:c r="C187" s="36" t="str">
        <x:v>Markus</x:v>
      </x:c>
      <x:c r="D187" s="36" t="n">
        <x:v>10</x:v>
      </x:c>
      <x:c r="E187" s="36" t="n">
        <x:v>1</x:v>
      </x:c>
      <x:c r="F187" s="36" t="str">
        <x:v>Welche Schlussfolgerung zieht Jesus aus der Schöpfungsaussage über Mann und Frau?</x:v>
      </x:c>
      <x:c r="G187" s="36" t="str">
        <x:v>Jede Ehe endet nach sieben Jahren.</x:v>
      </x:c>
      <x:c r="H187" s="36" t="str">
        <x:v>Was Gott zusammengefügt hat, soll der Mensch nicht scheiden.</x:v>
      </x:c>
      <x:c r="I187" s="36" t="str">
        <x:v>Mose habe jede Scheidung befohlen.</x:v>
      </x:c>
      <x:c r="J187" s="36" t="str">
        <x:v>Nur Priester dürfen heiraten.</x:v>
      </x:c>
      <x:c r="K187" s="36" t="n">
        <x:v>1</x:v>
      </x:c>
      <x:c r="L187" s="36" t="str">
        <x:v>Was Gott zusammengefügt hat, soll der Mensch nicht scheiden.</x:v>
      </x:c>
      <x:c r="M187" s="36" t="str">
        <x:v>Markus 10,2–9</x:v>
      </x:c>
      <x:c r="N187" s="36" t="str">
        <x:v>Jesus verweist auf Gottes ursprüngliche Verbindung von Mann und Frau und sagt, der Mensch solle nicht trennen, was Gott zusammengefügt hat.</x:v>
      </x:c>
      <x:c r="O187" s="36" t="str">
        <x:v>FREIGEGEBEN</x:v>
      </x:c>
      <x:c r="P187" s="36" t="str">
        <x:v>FREIGEGEBEN</x:v>
      </x:c>
      <x:c r="Q187" s="36" t="str">
        <x:v>JA</x:v>
      </x:c>
    </x:row>
    <x:row r="188">
      <x:c r="A188" s="36" t="str">
        <x:v>FP-0447</x:v>
      </x:c>
      <x:c r="B188" s="36" t="str">
        <x:v>MRK</x:v>
      </x:c>
      <x:c r="C188" s="36" t="str">
        <x:v>Markus</x:v>
      </x:c>
      <x:c r="D188" s="36" t="n">
        <x:v>10</x:v>
      </x:c>
      <x:c r="E188" s="36" t="n">
        <x:v>2</x:v>
      </x:c>
      <x:c r="F188" s="36" t="str">
        <x:v>Wie begegnet Jesus den Kindern, die zu ihm gebracht werden?</x:v>
      </x:c>
      <x:c r="G188" s="36" t="str">
        <x:v>Er schickt sie fort.</x:v>
      </x:c>
      <x:c r="H188" s="36" t="str">
        <x:v>Er lässt nur ihre Eltern zu sich.</x:v>
      </x:c>
      <x:c r="I188" s="36" t="str">
        <x:v>Er nimmt sie in die Arme, legt ihnen die Hände auf und segnet sie.</x:v>
      </x:c>
      <x:c r="J188" s="36" t="str">
        <x:v>Er fordert zuerst eine Prüfung.</x:v>
      </x:c>
      <x:c r="K188" s="36" t="n">
        <x:v>2</x:v>
      </x:c>
      <x:c r="L188" s="36" t="str">
        <x:v>Er nimmt sie in die Arme, legt ihnen die Hände auf und segnet sie.</x:v>
      </x:c>
      <x:c r="M188" s="36" t="str">
        <x:v>Markus 10,13–16</x:v>
      </x:c>
      <x:c r="N188" s="36" t="str">
        <x:v>Jesus weist die Abweisung der Kinder zurück, nimmt sie in die Arme und segnet sie.</x:v>
      </x:c>
      <x:c r="O188" s="36" t="str">
        <x:v>FREIGEGEBEN</x:v>
      </x:c>
      <x:c r="P188" s="36" t="str">
        <x:v>FREIGEGEBEN</x:v>
      </x:c>
      <x:c r="Q188" s="36" t="str">
        <x:v>JA</x:v>
      </x:c>
    </x:row>
    <x:row r="189">
      <x:c r="A189" s="36" t="str">
        <x:v>FP-0448</x:v>
      </x:c>
      <x:c r="B189" s="36" t="str">
        <x:v>MRK</x:v>
      </x:c>
      <x:c r="C189" s="36" t="str">
        <x:v>Markus</x:v>
      </x:c>
      <x:c r="D189" s="36" t="n">
        <x:v>10</x:v>
      </x:c>
      <x:c r="E189" s="36" t="n">
        <x:v>3</x:v>
      </x:c>
      <x:c r="F189" s="36" t="str">
        <x:v>Warum geht der reiche Mann traurig weg?</x:v>
      </x:c>
      <x:c r="G189" s="36" t="str">
        <x:v>Weil Jesus ihn nicht anhört.</x:v>
      </x:c>
      <x:c r="H189" s="36" t="str">
        <x:v>Weil Petrus ihn fortschickt.</x:v>
      </x:c>
      <x:c r="I189" s="36" t="str">
        <x:v>Weil er den Weg nach Jerusalem nicht kennt.</x:v>
      </x:c>
      <x:c r="J189" s="36" t="str">
        <x:v>Weil er viele Besitztümer hat und Jesu Aufforderung, alles zu verkaufen und ihm zu folgen, ihn trifft.</x:v>
      </x:c>
      <x:c r="K189" s="36" t="n">
        <x:v>3</x:v>
      </x:c>
      <x:c r="L189" s="36" t="str">
        <x:v>Weil er viele Besitztümer hat und Jesu Aufforderung, alles zu verkaufen und ihm zu folgen, ihn trifft.</x:v>
      </x:c>
      <x:c r="M189" s="36" t="str">
        <x:v>Markus 10,17–22</x:v>
      </x:c>
      <x:c r="N189" s="36" t="str">
        <x:v>Der Mann wird traurig, weil er sehr vermögend ist und Jesus ihn auffordert, seinen Besitz loszulassen und ihm zu folgen.</x:v>
      </x:c>
      <x:c r="O189" s="36" t="str">
        <x:v>FREIGEGEBEN</x:v>
      </x:c>
      <x:c r="P189" s="36" t="str">
        <x:v>FREIGEGEBEN</x:v>
      </x:c>
      <x:c r="Q189" s="36" t="str">
        <x:v>JA</x:v>
      </x:c>
    </x:row>
    <x:row r="190">
      <x:c r="A190" s="36" t="str">
        <x:v>FP-0449</x:v>
      </x:c>
      <x:c r="B190" s="36" t="str">
        <x:v>MRK</x:v>
      </x:c>
      <x:c r="C190" s="36" t="str">
        <x:v>Markus</x:v>
      </x:c>
      <x:c r="D190" s="36" t="n">
        <x:v>10</x:v>
      </x:c>
      <x:c r="E190" s="36" t="n">
        <x:v>4</x:v>
      </x:c>
      <x:c r="F190" s="36" t="str">
        <x:v>Wie beschreibt Jesus wahre Größe unter seinen Jüngern?</x:v>
      </x:c>
      <x:c r="G190" s="36" t="str">
        <x:v>Wer groß sein will, soll Diener sein; der Menschensohn kam, um zu dienen und sein Leben zu geben.</x:v>
      </x:c>
      <x:c r="H190" s="36" t="str">
        <x:v>Wer groß sein will, soll über andere herrschen.</x:v>
      </x:c>
      <x:c r="I190" s="36" t="str">
        <x:v>Nur Reiche können dienen.</x:v>
      </x:c>
      <x:c r="J190" s="36" t="str">
        <x:v>Größe hängt vom Alter ab.</x:v>
      </x:c>
      <x:c r="K190" s="36" t="n">
        <x:v>0</x:v>
      </x:c>
      <x:c r="L190" s="36" t="str">
        <x:v>Wer groß sein will, soll Diener sein; der Menschensohn kam, um zu dienen und sein Leben zu geben.</x:v>
      </x:c>
      <x:c r="M190" s="36" t="str">
        <x:v>Markus 10,42–45</x:v>
      </x:c>
      <x:c r="N190" s="36" t="str">
        <x:v>Jesus stellt dienende Hingabe an die Stelle von Herrschaft und verbindet dies mit seinem eigenen Auftrag.</x:v>
      </x:c>
      <x:c r="O190" s="36" t="str">
        <x:v>FREIGEGEBEN</x:v>
      </x:c>
      <x:c r="P190" s="36" t="str">
        <x:v>FREIGEGEBEN</x:v>
      </x:c>
      <x:c r="Q190" s="36" t="str">
        <x:v>JA</x:v>
      </x:c>
    </x:row>
    <x:row r="191">
      <x:c r="A191" s="36" t="str">
        <x:v>FP-0450</x:v>
      </x:c>
      <x:c r="B191" s="36" t="str">
        <x:v>MRK</x:v>
      </x:c>
      <x:c r="C191" s="36" t="str">
        <x:v>Markus</x:v>
      </x:c>
      <x:c r="D191" s="36" t="n">
        <x:v>10</x:v>
      </x:c>
      <x:c r="E191" s="36" t="n">
        <x:v>5</x:v>
      </x:c>
      <x:c r="F191" s="36" t="str">
        <x:v>Was tut Bartimäus, nachdem Jesus ihm das Augenlicht wiedergegeben hat?</x:v>
      </x:c>
      <x:c r="G191" s="36" t="str">
        <x:v>Er kehrt nach Jericho zurück.</x:v>
      </x:c>
      <x:c r="H191" s="36" t="str">
        <x:v>Er folgt Jesus auf dem Weg.</x:v>
      </x:c>
      <x:c r="I191" s="36" t="str">
        <x:v>Er wird Priester.</x:v>
      </x:c>
      <x:c r="J191" s="36" t="str">
        <x:v>Er zieht nach Bethsaida.</x:v>
      </x:c>
      <x:c r="K191" s="36" t="n">
        <x:v>1</x:v>
      </x:c>
      <x:c r="L191" s="36" t="str">
        <x:v>Er folgt Jesus auf dem Weg.</x:v>
      </x:c>
      <x:c r="M191" s="36" t="str">
        <x:v>Markus 10,46–52</x:v>
      </x:c>
      <x:c r="N191" s="36" t="str">
        <x:v>Nach seiner Heilung folgt Bartimäus Jesus auf dem Weg.</x:v>
      </x:c>
      <x:c r="O191" s="36" t="str">
        <x:v>FREIGEGEBEN</x:v>
      </x:c>
      <x:c r="P191" s="36" t="str">
        <x:v>FREIGEGEBEN</x:v>
      </x:c>
      <x:c r="Q191" s="36" t="str">
        <x:v>JA</x:v>
      </x:c>
    </x:row>
    <x:row r="192">
      <x:c r="A192" s="36" t="str">
        <x:v>FP-0451</x:v>
      </x:c>
      <x:c r="B192" s="36" t="str">
        <x:v>MRK</x:v>
      </x:c>
      <x:c r="C192" s="36" t="str">
        <x:v>Markus</x:v>
      </x:c>
      <x:c r="D192" s="36" t="n">
        <x:v>11</x:v>
      </x:c>
      <x:c r="E192" s="36" t="n">
        <x:v>1</x:v>
      </x:c>
      <x:c r="F192" s="36" t="str">
        <x:v>Wie zieht Jesus in Jerusalem ein?</x:v>
      </x:c>
      <x:c r="G192" s="36" t="str">
        <x:v>In einem Streitwagen mit Soldaten.</x:v>
      </x:c>
      <x:c r="H192" s="36" t="str">
        <x:v>Zu Fuß und völlig unbemerkt.</x:v>
      </x:c>
      <x:c r="I192" s="36" t="str">
        <x:v>Auf einem jungen Tier, während Menschen Kleider und Zweige auf den Weg legen und „Hosanna“ rufen.</x:v>
      </x:c>
      <x:c r="J192" s="36" t="str">
        <x:v>Auf einem Schiff über den Jordan.</x:v>
      </x:c>
      <x:c r="K192" s="36" t="n">
        <x:v>2</x:v>
      </x:c>
      <x:c r="L192" s="36" t="str">
        <x:v>Auf einem jungen Tier, während Menschen Kleider und Zweige auf den Weg legen und „Hosanna“ rufen.</x:v>
      </x:c>
      <x:c r="M192" s="36" t="str">
        <x:v>Markus 11,1–10</x:v>
      </x:c>
      <x:c r="N192" s="36" t="str">
        <x:v>Jesus zieht auf dem jungen Tier ein; Menschen breiten Kleider und Zweige aus und rufen „Hosanna“.</x:v>
      </x:c>
      <x:c r="O192" s="36" t="str">
        <x:v>FREIGEGEBEN</x:v>
      </x:c>
      <x:c r="P192" s="36" t="str">
        <x:v>FREIGEGEBEN</x:v>
      </x:c>
      <x:c r="Q192" s="36" t="str">
        <x:v>JA</x:v>
      </x:c>
    </x:row>
    <x:row r="193">
      <x:c r="A193" s="36" t="str">
        <x:v>FP-0452</x:v>
      </x:c>
      <x:c r="B193" s="36" t="str">
        <x:v>MRK</x:v>
      </x:c>
      <x:c r="C193" s="36" t="str">
        <x:v>Markus</x:v>
      </x:c>
      <x:c r="D193" s="36" t="n">
        <x:v>11</x:v>
      </x:c>
      <x:c r="E193" s="36" t="n">
        <x:v>2</x:v>
      </x:c>
      <x:c r="F193" s="36" t="str">
        <x:v>Was geschieht mit dem Feigenbaum, nachdem Jesus keine Frucht an ihm findet?</x:v>
      </x:c>
      <x:c r="G193" s="36" t="str">
        <x:v>Er trägt sofort Früchte.</x:v>
      </x:c>
      <x:c r="H193" s="36" t="str">
        <x:v>Die Jünger pflanzen ihn um.</x:v>
      </x:c>
      <x:c r="I193" s="36" t="str">
        <x:v>Er wird gefällt.</x:v>
      </x:c>
      <x:c r="J193" s="36" t="str">
        <x:v>Jesus spricht ein Gerichtswort über ihn.</x:v>
      </x:c>
      <x:c r="K193" s="36" t="n">
        <x:v>3</x:v>
      </x:c>
      <x:c r="L193" s="36" t="str">
        <x:v>Jesus spricht ein Gerichtswort über ihn.</x:v>
      </x:c>
      <x:c r="M193" s="36" t="str">
        <x:v>Markus 11,12–14</x:v>
      </x:c>
      <x:c r="N193" s="36" t="str">
        <x:v>Jesus spricht über den unfruchtbaren Feigenbaum, dass niemand mehr von ihm Frucht essen solle.</x:v>
      </x:c>
      <x:c r="O193" s="36" t="str">
        <x:v>FREIGEGEBEN</x:v>
      </x:c>
      <x:c r="P193" s="36" t="str">
        <x:v>FREIGEGEBEN</x:v>
      </x:c>
      <x:c r="Q193" s="36" t="str">
        <x:v>JA</x:v>
      </x:c>
    </x:row>
    <x:row r="194">
      <x:c r="A194" s="36" t="str">
        <x:v>FP-0453</x:v>
      </x:c>
      <x:c r="B194" s="36" t="str">
        <x:v>MRK</x:v>
      </x:c>
      <x:c r="C194" s="36" t="str">
        <x:v>Markus</x:v>
      </x:c>
      <x:c r="D194" s="36" t="n">
        <x:v>11</x:v>
      </x:c>
      <x:c r="E194" s="36" t="n">
        <x:v>3</x:v>
      </x:c>
      <x:c r="F194" s="36" t="str">
        <x:v>Wie beschreibt Jesus die Bestimmung des Tempels, als er Verkäufer und Käufer hinaustreibt?</x:v>
      </x:c>
      <x:c r="G194" s="36" t="str">
        <x:v>Als Haus des Gebets für alle Völker.</x:v>
      </x:c>
      <x:c r="H194" s="36" t="str">
        <x:v>Als königlichen Palast.</x:v>
      </x:c>
      <x:c r="I194" s="36" t="str">
        <x:v>Als Markt für Pilger.</x:v>
      </x:c>
      <x:c r="J194" s="36" t="str">
        <x:v>Als Schule nur für Priester.</x:v>
      </x:c>
      <x:c r="K194" s="36" t="n">
        <x:v>0</x:v>
      </x:c>
      <x:c r="L194" s="36" t="str">
        <x:v>Als Haus des Gebets für alle Völker.</x:v>
      </x:c>
      <x:c r="M194" s="36" t="str">
        <x:v>Markus 11,15–17</x:v>
      </x:c>
      <x:c r="N194" s="36" t="str">
        <x:v>Jesus zitiert die Bestimmung des Tempels als Haus des Gebets für alle Völker und kritisiert, dass er zu einer Räuberhöhle gemacht werde.</x:v>
      </x:c>
      <x:c r="O194" s="36" t="str">
        <x:v>FREIGEGEBEN</x:v>
      </x:c>
      <x:c r="P194" s="36" t="str">
        <x:v>FREIGEGEBEN</x:v>
      </x:c>
      <x:c r="Q194" s="36" t="str">
        <x:v>JA</x:v>
      </x:c>
    </x:row>
    <x:row r="195">
      <x:c r="A195" s="36" t="str">
        <x:v>FP-0454</x:v>
      </x:c>
      <x:c r="B195" s="36" t="str">
        <x:v>MRK</x:v>
      </x:c>
      <x:c r="C195" s="36" t="str">
        <x:v>Markus</x:v>
      </x:c>
      <x:c r="D195" s="36" t="n">
        <x:v>11</x:v>
      </x:c>
      <x:c r="E195" s="36" t="n">
        <x:v>4</x:v>
      </x:c>
      <x:c r="F195" s="36" t="str">
        <x:v>Was sollen die Jünger tun, wenn sie beten und etwas gegen jemanden haben?</x:v>
      </x:c>
      <x:c r="G195" s="36" t="str">
        <x:v>Die Sache vergessen, ohne etwas zu tun.</x:v>
      </x:c>
      <x:c r="H195" s="36" t="str">
        <x:v>Vergeben.</x:v>
      </x:c>
      <x:c r="I195" s="36" t="str">
        <x:v>Den anderen öffentlich anklagen.</x:v>
      </x:c>
      <x:c r="J195" s="36" t="str">
        <x:v>Das Gebet abbrechen und nie wieder beten.</x:v>
      </x:c>
      <x:c r="K195" s="36" t="n">
        <x:v>1</x:v>
      </x:c>
      <x:c r="L195" s="36" t="str">
        <x:v>Vergeben.</x:v>
      </x:c>
      <x:c r="M195" s="36" t="str">
        <x:v>Markus 11,24–25</x:v>
      </x:c>
      <x:c r="N195" s="36" t="str">
        <x:v>Jesus verbindet Gebet mit der Bereitschaft zu vergeben.</x:v>
      </x:c>
      <x:c r="O195" s="36" t="str">
        <x:v>FREIGEGEBEN</x:v>
      </x:c>
      <x:c r="P195" s="36" t="str">
        <x:v>FREIGEGEBEN</x:v>
      </x:c>
      <x:c r="Q195" s="36" t="str">
        <x:v>JA</x:v>
      </x:c>
    </x:row>
    <x:row r="196">
      <x:c r="A196" s="36" t="str">
        <x:v>FP-0455</x:v>
      </x:c>
      <x:c r="B196" s="36" t="str">
        <x:v>MRK</x:v>
      </x:c>
      <x:c r="C196" s="36" t="str">
        <x:v>Markus</x:v>
      </x:c>
      <x:c r="D196" s="36" t="n">
        <x:v>11</x:v>
      </x:c>
      <x:c r="E196" s="36" t="n">
        <x:v>5</x:v>
      </x:c>
      <x:c r="F196" s="36" t="str">
        <x:v>Wie reagiert Jesus auf die Frage der religiösen Führer, mit welcher Vollmacht er handelt?</x:v>
      </x:c>
      <x:c r="G196" s="36" t="str">
        <x:v>Er beantwortet sie sofort mit einem Titel.</x:v>
      </x:c>
      <x:c r="H196" s="36" t="str">
        <x:v>Er verlässt Jerusalem ohne ein Wort.</x:v>
      </x:c>
      <x:c r="I196" s="36" t="str">
        <x:v>Er fragt sie nach der Herkunft der Taufe des Johannes; weil sie nicht antworten, nennt auch er ihnen seine Vollmacht nicht.</x:v>
      </x:c>
      <x:c r="J196" s="36" t="str">
        <x:v>Er bittet Pilatus um eine Entscheidung.</x:v>
      </x:c>
      <x:c r="K196" s="36" t="n">
        <x:v>2</x:v>
      </x:c>
      <x:c r="L196" s="36" t="str">
        <x:v>Er fragt sie nach der Herkunft der Taufe des Johannes; weil sie nicht antworten, nennt auch er ihnen seine Vollmacht nicht.</x:v>
      </x:c>
      <x:c r="M196" s="36" t="str">
        <x:v>Markus 11,27–33</x:v>
      </x:c>
      <x:c r="N196" s="36" t="str">
        <x:v>Jesus stellt eine Gegenfrage zur Taufe des Johannes. Da die Führer keine Antwort geben, beantwortet auch Jesus ihre Vollmachtsfrage nicht.</x:v>
      </x:c>
      <x:c r="O196" s="36" t="str">
        <x:v>FREIGEGEBEN</x:v>
      </x:c>
      <x:c r="P196" s="36" t="str">
        <x:v>FREIGEGEBEN</x:v>
      </x:c>
      <x:c r="Q196" s="36" t="str">
        <x:v>JA</x:v>
      </x:c>
    </x:row>
    <x:row r="197">
      <x:c r="A197" s="36" t="str">
        <x:v>FP-0456</x:v>
      </x:c>
      <x:c r="B197" s="36" t="str">
        <x:v>MRK</x:v>
      </x:c>
      <x:c r="C197" s="36" t="str">
        <x:v>Markus</x:v>
      </x:c>
      <x:c r="D197" s="36" t="n">
        <x:v>12</x:v>
      </x:c>
      <x:c r="E197" s="36" t="n">
        <x:v>1</x:v>
      </x:c>
      <x:c r="F197" s="36" t="str">
        <x:v>Was tun die bösen Weingärtner schließlich mit dem geliebten Sohn des Besitzers?</x:v>
      </x:c>
      <x:c r="G197" s="36" t="str">
        <x:v>Sie setzen ihn als Verwalter ein.</x:v>
      </x:c>
      <x:c r="H197" s="36" t="str">
        <x:v>Sie bezahlen ihm den Lohn.</x:v>
      </x:c>
      <x:c r="I197" s="36" t="str">
        <x:v>Sie schicken ihn unverletzt zurück.</x:v>
      </x:c>
      <x:c r="J197" s="36" t="str">
        <x:v>Sie töten ihn und werfen ihn aus dem Weinberg.</x:v>
      </x:c>
      <x:c r="K197" s="36" t="n">
        <x:v>3</x:v>
      </x:c>
      <x:c r="L197" s="36" t="str">
        <x:v>Sie töten ihn und werfen ihn aus dem Weinberg.</x:v>
      </x:c>
      <x:c r="M197" s="36" t="str">
        <x:v>Markus 12,1–12</x:v>
      </x:c>
      <x:c r="N197" s="36" t="str">
        <x:v>Im Gleichnis verwerfen und töten die Weingärtner zuletzt den geliebten Sohn des Besitzers.</x:v>
      </x:c>
      <x:c r="O197" s="36" t="str">
        <x:v>FREIGEGEBEN</x:v>
      </x:c>
      <x:c r="P197" s="36" t="str">
        <x:v>FREIGEGEBEN</x:v>
      </x:c>
      <x:c r="Q197" s="36" t="str">
        <x:v>JA</x:v>
      </x:c>
    </x:row>
    <x:row r="198">
      <x:c r="A198" s="36" t="str">
        <x:v>FP-0457</x:v>
      </x:c>
      <x:c r="B198" s="36" t="str">
        <x:v>MRK</x:v>
      </x:c>
      <x:c r="C198" s="36" t="str">
        <x:v>Markus</x:v>
      </x:c>
      <x:c r="D198" s="36" t="n">
        <x:v>12</x:v>
      </x:c>
      <x:c r="E198" s="36" t="n">
        <x:v>2</x:v>
      </x:c>
      <x:c r="F198" s="36" t="str">
        <x:v>Wie beantwortet Jesus die Frage nach der Steuer für den Kaiser?</x:v>
      </x:c>
      <x:c r="G198" s="36" t="str">
        <x:v>Gebt dem Kaiser, was des Kaisers ist, und Gott, was Gottes ist.</x:v>
      </x:c>
      <x:c r="H198" s="36" t="str">
        <x:v>Zahlt niemals Steuern.</x:v>
      </x:c>
      <x:c r="I198" s="36" t="str">
        <x:v>Gebt alles dem Kaiser.</x:v>
      </x:c>
      <x:c r="J198" s="36" t="str">
        <x:v>Nur Priester dürfen Steuern zahlen.</x:v>
      </x:c>
      <x:c r="K198" s="36" t="n">
        <x:v>0</x:v>
      </x:c>
      <x:c r="L198" s="36" t="str">
        <x:v>Gebt dem Kaiser, was des Kaisers ist, und Gott, was Gottes ist.</x:v>
      </x:c>
      <x:c r="M198" s="36" t="str">
        <x:v>Markus 12,13–17</x:v>
      </x:c>
      <x:c r="N198" s="36" t="str">
        <x:v>Jesus unterscheidet die Verpflichtung gegenüber dem Kaiser von dem, was Gott zukommt.</x:v>
      </x:c>
      <x:c r="O198" s="36" t="str">
        <x:v>FREIGEGEBEN</x:v>
      </x:c>
      <x:c r="P198" s="36" t="str">
        <x:v>FREIGEGEBEN</x:v>
      </x:c>
      <x:c r="Q198" s="36" t="str">
        <x:v>JA</x:v>
      </x:c>
    </x:row>
    <x:row r="199">
      <x:c r="A199" s="36" t="str">
        <x:v>FP-0458</x:v>
      </x:c>
      <x:c r="B199" s="36" t="str">
        <x:v>MRK</x:v>
      </x:c>
      <x:c r="C199" s="36" t="str">
        <x:v>Markus</x:v>
      </x:c>
      <x:c r="D199" s="36" t="n">
        <x:v>12</x:v>
      </x:c>
      <x:c r="E199" s="36" t="n">
        <x:v>3</x:v>
      </x:c>
      <x:c r="F199" s="36" t="str">
        <x:v>Welchen Fehler weist Jesus den Sadduzäern in ihrer Frage zur Auferstehung vor?</x:v>
      </x:c>
      <x:c r="G199" s="36" t="str">
        <x:v>Sie haben zu wenig Geld gespendet.</x:v>
      </x:c>
      <x:c r="H199" s="36" t="str">
        <x:v>Sie kennen weder die Schrift noch Gottes Kraft und verstehen die Auferstehung falsch.</x:v>
      </x:c>
      <x:c r="I199" s="36" t="str">
        <x:v>Sie halten den Sabbat zu streng.</x:v>
      </x:c>
      <x:c r="J199" s="36" t="str">
        <x:v>Sie kennen Mose nicht namentlich.</x:v>
      </x:c>
      <x:c r="K199" s="36" t="n">
        <x:v>1</x:v>
      </x:c>
      <x:c r="L199" s="36" t="str">
        <x:v>Sie kennen weder die Schrift noch Gottes Kraft und verstehen die Auferstehung falsch.</x:v>
      </x:c>
      <x:c r="M199" s="36" t="str">
        <x:v>Markus 12,18–27</x:v>
      </x:c>
      <x:c r="N199" s="36" t="str">
        <x:v>Jesus sagt, sie irren, weil sie weder die Schriften noch die Kraft Gottes kennen; Gott ist ein Gott der Lebenden.</x:v>
      </x:c>
      <x:c r="O199" s="36" t="str">
        <x:v>FREIGEGEBEN</x:v>
      </x:c>
      <x:c r="P199" s="36" t="str">
        <x:v>FREIGEGEBEN</x:v>
      </x:c>
      <x:c r="Q199" s="36" t="str">
        <x:v>JA</x:v>
      </x:c>
    </x:row>
    <x:row r="200">
      <x:c r="A200" s="36" t="str">
        <x:v>FP-0459</x:v>
      </x:c>
      <x:c r="B200" s="36" t="str">
        <x:v>MRK</x:v>
      </x:c>
      <x:c r="C200" s="36" t="str">
        <x:v>Markus</x:v>
      </x:c>
      <x:c r="D200" s="36" t="n">
        <x:v>12</x:v>
      </x:c>
      <x:c r="E200" s="36" t="n">
        <x:v>4</x:v>
      </x:c>
      <x:c r="F200" s="36" t="str">
        <x:v>Welche beiden Gebote nennt Jesus als die wichtigsten?</x:v>
      </x:c>
      <x:c r="G200" s="36" t="str">
        <x:v>Fasten und Opfer bringen.</x:v>
      </x:c>
      <x:c r="H200" s="36" t="str">
        <x:v>Den Tempel bauen und Steuern zahlen.</x:v>
      </x:c>
      <x:c r="I200" s="36" t="str">
        <x:v>Gott mit ganzem Herzen lieben und den Nächsten wie sich selbst lieben.</x:v>
      </x:c>
      <x:c r="J200" s="36" t="str">
        <x:v>Schweigen und Reisen.</x:v>
      </x:c>
      <x:c r="K200" s="36" t="n">
        <x:v>2</x:v>
      </x:c>
      <x:c r="L200" s="36" t="str">
        <x:v>Gott mit ganzem Herzen lieben und den Nächsten wie sich selbst lieben.</x:v>
      </x:c>
      <x:c r="M200" s="36" t="str">
        <x:v>Markus 12,28–34</x:v>
      </x:c>
      <x:c r="N200" s="36" t="str">
        <x:v>Jesus verbindet die Liebe zu Gott mit der Liebe zum Nächsten als die beiden grundlegenden Gebote.</x:v>
      </x:c>
      <x:c r="O200" s="36" t="str">
        <x:v>FREIGEGEBEN</x:v>
      </x:c>
      <x:c r="P200" s="36" t="str">
        <x:v>FREIGEGEBEN</x:v>
      </x:c>
      <x:c r="Q200" s="36" t="str">
        <x:v>JA</x:v>
      </x:c>
    </x:row>
    <x:row r="201">
      <x:c r="A201" s="36" t="str">
        <x:v>FP-0460</x:v>
      </x:c>
      <x:c r="B201" s="36" t="str">
        <x:v>MRK</x:v>
      </x:c>
      <x:c r="C201" s="36" t="str">
        <x:v>Markus</x:v>
      </x:c>
      <x:c r="D201" s="36" t="n">
        <x:v>12</x:v>
      </x:c>
      <x:c r="E201" s="36" t="n">
        <x:v>5</x:v>
      </x:c>
      <x:c r="F201" s="36" t="str">
        <x:v>Warum sagt Jesus, die arme Witwe habe mehr eingelegt als alle anderen?</x:v>
      </x:c>
      <x:c r="G201" s="36" t="str">
        <x:v>Weil ihre zwei Münzen aus Gold waren.</x:v>
      </x:c>
      <x:c r="H201" s="36" t="str">
        <x:v>Weil sie als Erste spendete.</x:v>
      </x:c>
      <x:c r="I201" s="36" t="str">
        <x:v>Weil die Priester ihre Gabe verdoppelten.</x:v>
      </x:c>
      <x:c r="J201" s="36" t="str">
        <x:v>Weil sie aus ihrer Armut alles gab, was sie zum Leben hatte.</x:v>
      </x:c>
      <x:c r="K201" s="36" t="n">
        <x:v>3</x:v>
      </x:c>
      <x:c r="L201" s="36" t="str">
        <x:v>Weil sie aus ihrer Armut alles gab, was sie zum Leben hatte.</x:v>
      </x:c>
      <x:c r="M201" s="36" t="str">
        <x:v>Markus 12,41–44</x:v>
      </x:c>
      <x:c r="N201" s="36" t="str">
        <x:v>Jesus bewertet nicht nur den Betrag: Die Witwe gibt aus ihrer Armut ihren ganzen Lebensunterhalt.</x:v>
      </x:c>
      <x:c r="O201" s="36" t="str">
        <x:v>FREIGEGEBEN</x:v>
      </x:c>
      <x:c r="P201" s="36" t="str">
        <x:v>FREIGEGEBEN</x:v>
      </x:c>
      <x:c r="Q201" s="36" t="str">
        <x:v>JA</x:v>
      </x:c>
    </x:row>
    <x:row r="202">
      <x:c r="A202" s="36" t="str">
        <x:v>FP-0461</x:v>
      </x:c>
      <x:c r="B202" s="36" t="str">
        <x:v>MRK</x:v>
      </x:c>
      <x:c r="C202" s="36" t="str">
        <x:v>Markus</x:v>
      </x:c>
      <x:c r="D202" s="36" t="n">
        <x:v>13</x:v>
      </x:c>
      <x:c r="E202" s="36" t="n">
        <x:v>1</x:v>
      </x:c>
      <x:c r="F202" s="36" t="str">
        <x:v>Was sagt Jesus über die großen Steine des Tempels?</x:v>
      </x:c>
      <x:c r="G202" s="36" t="str">
        <x:v>Kein Stein werde auf dem anderen bleiben.</x:v>
      </x:c>
      <x:c r="H202" s="36" t="str">
        <x:v>Sie würden für immer unverändert bleiben.</x:v>
      </x:c>
      <x:c r="I202" s="36" t="str">
        <x:v>Die Jünger sollten sie zählen.</x:v>
      </x:c>
      <x:c r="J202" s="36" t="str">
        <x:v>Sie müssten vergoldet werden.</x:v>
      </x:c>
      <x:c r="K202" s="36" t="n">
        <x:v>0</x:v>
      </x:c>
      <x:c r="L202" s="36" t="str">
        <x:v>Kein Stein werde auf dem anderen bleiben.</x:v>
      </x:c>
      <x:c r="M202" s="36" t="str">
        <x:v>Markus 13,1–2</x:v>
      </x:c>
      <x:c r="N202" s="36" t="str">
        <x:v>Jesus kündigt die Zerstörung des Tempels so umfassend an, dass kein Stein auf dem anderen bleiben werde.</x:v>
      </x:c>
      <x:c r="O202" s="36" t="str">
        <x:v>FREIGEGEBEN</x:v>
      </x:c>
      <x:c r="P202" s="36" t="str">
        <x:v>FREIGEGEBEN</x:v>
      </x:c>
      <x:c r="Q202" s="36" t="str">
        <x:v>JA</x:v>
      </x:c>
    </x:row>
    <x:row r="203">
      <x:c r="A203" s="36" t="str">
        <x:v>FP-0462</x:v>
      </x:c>
      <x:c r="B203" s="36" t="str">
        <x:v>MRK</x:v>
      </x:c>
      <x:c r="C203" s="36" t="str">
        <x:v>Markus</x:v>
      </x:c>
      <x:c r="D203" s="36" t="n">
        <x:v>13</x:v>
      </x:c>
      <x:c r="E203" s="36" t="n">
        <x:v>2</x:v>
      </x:c>
      <x:c r="F203" s="36" t="str">
        <x:v>Wie sollen die Jünger auf Kriege und Kriegsgerüchte reagieren?</x:v>
      </x:c>
      <x:c r="G203" s="36" t="str">
        <x:v>Sie sollen sofort einen Aufstand beginnen.</x:v>
      </x:c>
      <x:c r="H203" s="36" t="str">
        <x:v>Sie sollen sich nicht erschrecken; solche Dinge müssen geschehen, aber das Ende ist noch nicht da.</x:v>
      </x:c>
      <x:c r="I203" s="36" t="str">
        <x:v>Sie sollen jede Stadt verlassen.</x:v>
      </x:c>
      <x:c r="J203" s="36" t="str">
        <x:v>Sie sollen den Tempel schließen.</x:v>
      </x:c>
      <x:c r="K203" s="36" t="n">
        <x:v>1</x:v>
      </x:c>
      <x:c r="L203" s="36" t="str">
        <x:v>Sie sollen sich nicht erschrecken; solche Dinge müssen geschehen, aber das Ende ist noch nicht da.</x:v>
      </x:c>
      <x:c r="M203" s="36" t="str">
        <x:v>Markus 13,5–8</x:v>
      </x:c>
      <x:c r="N203" s="36" t="str">
        <x:v>Jesus warnt vor Verführung und sagt, Kriege und Erschütterungen seien noch nicht das Ende, sondern der Anfang von Wehen.</x:v>
      </x:c>
      <x:c r="O203" s="36" t="str">
        <x:v>FREIGEGEBEN</x:v>
      </x:c>
      <x:c r="P203" s="36" t="str">
        <x:v>FREIGEGEBEN</x:v>
      </x:c>
      <x:c r="Q203" s="36" t="str">
        <x:v>JA</x:v>
      </x:c>
    </x:row>
    <x:row r="204">
      <x:c r="A204" s="36" t="str">
        <x:v>FP-0463</x:v>
      </x:c>
      <x:c r="B204" s="36" t="str">
        <x:v>MRK</x:v>
      </x:c>
      <x:c r="C204" s="36" t="str">
        <x:v>Markus</x:v>
      </x:c>
      <x:c r="D204" s="36" t="n">
        <x:v>13</x:v>
      </x:c>
      <x:c r="E204" s="36" t="n">
        <x:v>3</x:v>
      </x:c>
      <x:c r="F204" s="36" t="str">
        <x:v>Was sagt Jesus über die Verkündigung des Evangeliums vor dem Ende?</x:v>
      </x:c>
      <x:c r="G204" s="36" t="str">
        <x:v>Es soll nur in Galiläa verkündigt werden.</x:v>
      </x:c>
      <x:c r="H204" s="36" t="str">
        <x:v>Es soll geheim bleiben.</x:v>
      </x:c>
      <x:c r="I204" s="36" t="str">
        <x:v>Es muss allen Völkern verkündigt werden.</x:v>
      </x:c>
      <x:c r="J204" s="36" t="str">
        <x:v>Es endet mit dem Tempeldienst.</x:v>
      </x:c>
      <x:c r="K204" s="36" t="n">
        <x:v>2</x:v>
      </x:c>
      <x:c r="L204" s="36" t="str">
        <x:v>Es muss allen Völkern verkündigt werden.</x:v>
      </x:c>
      <x:c r="M204" s="36" t="str">
        <x:v>Markus 13,9–13</x:v>
      </x:c>
      <x:c r="N204" s="36" t="str">
        <x:v>Jesus sagt, dass das Evangelium zuvor allen Völkern verkündigt werden muss.</x:v>
      </x:c>
      <x:c r="O204" s="36" t="str">
        <x:v>FREIGEGEBEN</x:v>
      </x:c>
      <x:c r="P204" s="36" t="str">
        <x:v>FREIGEGEBEN</x:v>
      </x:c>
      <x:c r="Q204" s="36" t="str">
        <x:v>JA</x:v>
      </x:c>
    </x:row>
    <x:row r="205">
      <x:c r="A205" s="36" t="str">
        <x:v>FP-0464</x:v>
      </x:c>
      <x:c r="B205" s="36" t="str">
        <x:v>MRK</x:v>
      </x:c>
      <x:c r="C205" s="36" t="str">
        <x:v>Markus</x:v>
      </x:c>
      <x:c r="D205" s="36" t="n">
        <x:v>13</x:v>
      </x:c>
      <x:c r="E205" s="36" t="n">
        <x:v>4</x:v>
      </x:c>
      <x:c r="F205" s="36" t="str">
        <x:v>Wer kennt nach Jesu Aussage den Tag oder die Stunde?</x:v>
      </x:c>
      <x:c r="G205" s="36" t="str">
        <x:v>Die Engel im Himmel.</x:v>
      </x:c>
      <x:c r="H205" s="36" t="str">
        <x:v>Der Sohn allein.</x:v>
      </x:c>
      <x:c r="I205" s="36" t="str">
        <x:v>Petrus und Johannes.</x:v>
      </x:c>
      <x:c r="J205" s="36" t="str">
        <x:v>Nur der Vater.</x:v>
      </x:c>
      <x:c r="K205" s="36" t="n">
        <x:v>3</x:v>
      </x:c>
      <x:c r="L205" s="36" t="str">
        <x:v>Nur der Vater.</x:v>
      </x:c>
      <x:c r="M205" s="36" t="str">
        <x:v>Markus 13,32</x:v>
      </x:c>
      <x:c r="N205" s="36" t="str">
        <x:v>Jesus sagt, dass niemand den Zeitpunkt kennt – auch nicht die Engel oder der Sohn –, sondern nur der Vater.</x:v>
      </x:c>
      <x:c r="O205" s="36" t="str">
        <x:v>FREIGEGEBEN</x:v>
      </x:c>
      <x:c r="P205" s="36" t="str">
        <x:v>FREIGEGEBEN</x:v>
      </x:c>
      <x:c r="Q205" s="36" t="str">
        <x:v>JA</x:v>
      </x:c>
    </x:row>
    <x:row r="206">
      <x:c r="A206" s="36" t="str">
        <x:v>FP-0465</x:v>
      </x:c>
      <x:c r="B206" s="36" t="str">
        <x:v>MRK</x:v>
      </x:c>
      <x:c r="C206" s="36" t="str">
        <x:v>Markus</x:v>
      </x:c>
      <x:c r="D206" s="36" t="n">
        <x:v>13</x:v>
      </x:c>
      <x:c r="E206" s="36" t="n">
        <x:v>5</x:v>
      </x:c>
      <x:c r="F206" s="36" t="str">
        <x:v>Welche Haltung fordert Jesus am Ende der Rede?</x:v>
      </x:c>
      <x:c r="G206" s="36" t="str">
        <x:v>Wacht, weil ihr nicht wisst, wann der Herr des Hauses kommt.</x:v>
      </x:c>
      <x:c r="H206" s="36" t="str">
        <x:v>Berechnet den genauen Tag.</x:v>
      </x:c>
      <x:c r="I206" s="36" t="str">
        <x:v>Schlaft, bis ein Zeichen erscheint.</x:v>
      </x:c>
      <x:c r="J206" s="36" t="str">
        <x:v>Verlasst alle Häuser.</x:v>
      </x:c>
      <x:c r="K206" s="36" t="n">
        <x:v>0</x:v>
      </x:c>
      <x:c r="L206" s="36" t="str">
        <x:v>Wacht, weil ihr nicht wisst, wann der Herr des Hauses kommt.</x:v>
      </x:c>
      <x:c r="M206" s="36" t="str">
        <x:v>Markus 13,33–37</x:v>
      </x:c>
      <x:c r="N206" s="36" t="str">
        <x:v>Die Schlussaufforderung lautet, wachsam zu bleiben, weil der Zeitpunkt der Rückkehr unbekannt ist.</x:v>
      </x:c>
      <x:c r="O206" s="36" t="str">
        <x:v>FREIGEGEBEN</x:v>
      </x:c>
      <x:c r="P206" s="36" t="str">
        <x:v>FREIGEGEBEN</x:v>
      </x:c>
      <x:c r="Q206" s="36" t="str">
        <x:v>JA</x:v>
      </x:c>
    </x:row>
    <x:row r="207">
      <x:c r="A207" s="36" t="str">
        <x:v>FP-0466</x:v>
      </x:c>
      <x:c r="B207" s="36" t="str">
        <x:v>MRK</x:v>
      </x:c>
      <x:c r="C207" s="36" t="str">
        <x:v>Markus</x:v>
      </x:c>
      <x:c r="D207" s="36" t="n">
        <x:v>14</x:v>
      </x:c>
      <x:c r="E207" s="36" t="n">
        <x:v>1</x:v>
      </x:c>
      <x:c r="F207" s="36" t="str">
        <x:v>Wie deutet Jesus die Salbung mit dem kostbaren Öl in Bethanien?</x:v>
      </x:c>
      <x:c r="G207" s="36" t="str">
        <x:v>Als Zeichen für seine Königskrönung durch Rom.</x:v>
      </x:c>
      <x:c r="H207" s="36" t="str">
        <x:v>Als Vorbereitung auf sein Begräbnis.</x:v>
      </x:c>
      <x:c r="I207" s="36" t="str">
        <x:v>Als Bezahlung der Jünger.</x:v>
      </x:c>
      <x:c r="J207" s="36" t="str">
        <x:v>Als Beginn eines neuen Tempelrituals.</x:v>
      </x:c>
      <x:c r="K207" s="36" t="n">
        <x:v>1</x:v>
      </x:c>
      <x:c r="L207" s="36" t="str">
        <x:v>Als Vorbereitung auf sein Begräbnis.</x:v>
      </x:c>
      <x:c r="M207" s="36" t="str">
        <x:v>Markus 14,3–9</x:v>
      </x:c>
      <x:c r="N207" s="36" t="str">
        <x:v>Jesus verteidigt die Frau und deutet ihre Handlung als vorweggenommene Salbung für sein Begräbnis.</x:v>
      </x:c>
      <x:c r="O207" s="36" t="str">
        <x:v>FREIGEGEBEN</x:v>
      </x:c>
      <x:c r="P207" s="36" t="str">
        <x:v>FREIGEGEBEN</x:v>
      </x:c>
      <x:c r="Q207" s="36" t="str">
        <x:v>JA</x:v>
      </x:c>
    </x:row>
    <x:row r="208">
      <x:c r="A208" s="36" t="str">
        <x:v>FP-0467</x:v>
      </x:c>
      <x:c r="B208" s="36" t="str">
        <x:v>MRK</x:v>
      </x:c>
      <x:c r="C208" s="36" t="str">
        <x:v>Markus</x:v>
      </x:c>
      <x:c r="D208" s="36" t="n">
        <x:v>14</x:v>
      </x:c>
      <x:c r="E208" s="36" t="n">
        <x:v>2</x:v>
      </x:c>
      <x:c r="F208" s="36" t="str">
        <x:v>Was tut Judas Iskariot nach der Salbung in Bethanien?</x:v>
      </x:c>
      <x:c r="G208" s="36" t="str">
        <x:v>Er verlässt Jerusalem dauerhaft.</x:v>
      </x:c>
      <x:c r="H208" s="36" t="str">
        <x:v>Er warnt Jesus vor der Gefangennahme.</x:v>
      </x:c>
      <x:c r="I208" s="36" t="str">
        <x:v>Er geht zu den Hohenpriestern, um Jesus zu verraten.</x:v>
      </x:c>
      <x:c r="J208" s="36" t="str">
        <x:v>Er gibt sein Geld den Armen.</x:v>
      </x:c>
      <x:c r="K208" s="36" t="n">
        <x:v>2</x:v>
      </x:c>
      <x:c r="L208" s="36" t="str">
        <x:v>Er geht zu den Hohenpriestern, um Jesus zu verraten.</x:v>
      </x:c>
      <x:c r="M208" s="36" t="str">
        <x:v>Markus 14,10–11</x:v>
      </x:c>
      <x:c r="N208" s="36" t="str">
        <x:v>Judas sucht die Hohenpriester auf, um Jesus auszuliefern; sie freuen sich und versprechen ihm Geld.</x:v>
      </x:c>
      <x:c r="O208" s="36" t="str">
        <x:v>FREIGEGEBEN</x:v>
      </x:c>
      <x:c r="P208" s="36" t="str">
        <x:v>FREIGEGEBEN</x:v>
      </x:c>
      <x:c r="Q208" s="36" t="str">
        <x:v>JA</x:v>
      </x:c>
    </x:row>
    <x:row r="209">
      <x:c r="A209" s="36" t="str">
        <x:v>FP-0468</x:v>
      </x:c>
      <x:c r="B209" s="36" t="str">
        <x:v>MRK</x:v>
      </x:c>
      <x:c r="C209" s="36" t="str">
        <x:v>Markus</x:v>
      </x:c>
      <x:c r="D209" s="36" t="n">
        <x:v>14</x:v>
      </x:c>
      <x:c r="E209" s="36" t="n">
        <x:v>3</x:v>
      </x:c>
      <x:c r="F209" s="36" t="str">
        <x:v>Wie deutet Jesus Brot und Kelch beim Mahl mit den Jüngern?</x:v>
      </x:c>
      <x:c r="G209" s="36" t="str">
        <x:v>Beides nur als Erinnerung an Mose.</x:v>
      </x:c>
      <x:c r="H209" s="36" t="str">
        <x:v>Das Brot als Tempel und den Kelch als Jordan.</x:v>
      </x:c>
      <x:c r="I209" s="36" t="str">
        <x:v>Beides als Zeichen für politischen Sieg.</x:v>
      </x:c>
      <x:c r="J209" s="36" t="str">
        <x:v>Das Brot als seinen Leib und den Kelch als sein Bundesblut, das für viele vergossen wird.</x:v>
      </x:c>
      <x:c r="K209" s="36" t="n">
        <x:v>3</x:v>
      </x:c>
      <x:c r="L209" s="36" t="str">
        <x:v>Das Brot als seinen Leib und den Kelch als sein Bundesblut, das für viele vergossen wird.</x:v>
      </x:c>
      <x:c r="M209" s="36" t="str">
        <x:v>Markus 14,22–25</x:v>
      </x:c>
      <x:c r="N209" s="36" t="str">
        <x:v>Jesus verbindet Brot und Kelch mit seinem Leib und seinem für viele vergossenen Bundesblut.</x:v>
      </x:c>
      <x:c r="O209" s="36" t="str">
        <x:v>FREIGEGEBEN</x:v>
      </x:c>
      <x:c r="P209" s="36" t="str">
        <x:v>FREIGEGEBEN</x:v>
      </x:c>
      <x:c r="Q209" s="36" t="str">
        <x:v>JA</x:v>
      </x:c>
    </x:row>
    <x:row r="210">
      <x:c r="A210" s="36" t="str">
        <x:v>FP-0469</x:v>
      </x:c>
      <x:c r="B210" s="36" t="str">
        <x:v>MRK</x:v>
      </x:c>
      <x:c r="C210" s="36" t="str">
        <x:v>Markus</x:v>
      </x:c>
      <x:c r="D210" s="36" t="n">
        <x:v>14</x:v>
      </x:c>
      <x:c r="E210" s="36" t="n">
        <x:v>4</x:v>
      </x:c>
      <x:c r="F210" s="36" t="str">
        <x:v>Wie endet Jesu Bitte im Gebet in Gethsemane?</x:v>
      </x:c>
      <x:c r="G210" s="36" t="str">
        <x:v>Nicht was ich will, sondern was du willst.</x:v>
      </x:c>
      <x:c r="H210" s="36" t="str">
        <x:v>Ich werde Jerusalem verlassen.</x:v>
      </x:c>
      <x:c r="I210" s="36" t="str">
        <x:v>Die Jünger sollen für mich entscheiden.</x:v>
      </x:c>
      <x:c r="J210" s="36" t="str">
        <x:v>Es soll nur mein Wille geschehen.</x:v>
      </x:c>
      <x:c r="K210" s="36" t="n">
        <x:v>0</x:v>
      </x:c>
      <x:c r="L210" s="36" t="str">
        <x:v>Nicht was ich will, sondern was du willst.</x:v>
      </x:c>
      <x:c r="M210" s="36" t="str">
        <x:v>Markus 14,32–36</x:v>
      </x:c>
      <x:c r="N210" s="36" t="str">
        <x:v>Jesus bringt seinen Wunsch vor den Vater, ordnet ihn aber dem Willen des Vaters unter.</x:v>
      </x:c>
      <x:c r="O210" s="36" t="str">
        <x:v>FREIGEGEBEN</x:v>
      </x:c>
      <x:c r="P210" s="36" t="str">
        <x:v>FREIGEGEBEN</x:v>
      </x:c>
      <x:c r="Q210" s="36" t="str">
        <x:v>JA</x:v>
      </x:c>
    </x:row>
    <x:row r="211">
      <x:c r="A211" s="36" t="str">
        <x:v>FP-0470</x:v>
      </x:c>
      <x:c r="B211" s="36" t="str">
        <x:v>MRK</x:v>
      </x:c>
      <x:c r="C211" s="36" t="str">
        <x:v>Markus</x:v>
      </x:c>
      <x:c r="D211" s="36" t="n">
        <x:v>14</x:v>
      </x:c>
      <x:c r="E211" s="36" t="n">
        <x:v>5</x:v>
      </x:c>
      <x:c r="F211" s="36" t="str">
        <x:v>Was geschieht, nachdem Petrus Jesus zum dritten Mal verleugnet hat?</x:v>
      </x:c>
      <x:c r="G211" s="36" t="str">
        <x:v>Petrus wird sofort verhaftet.</x:v>
      </x:c>
      <x:c r="H211" s="36" t="str">
        <x:v>Der Hahn kräht zum zweiten Mal, Petrus erinnert sich an Jesu Wort und weint.</x:v>
      </x:c>
      <x:c r="I211" s="36" t="str">
        <x:v>Jesus erscheint ihm allein.</x:v>
      </x:c>
      <x:c r="J211" s="36" t="str">
        <x:v>Petrus verlässt das Land.</x:v>
      </x:c>
      <x:c r="K211" s="36" t="n">
        <x:v>1</x:v>
      </x:c>
      <x:c r="L211" s="36" t="str">
        <x:v>Der Hahn kräht zum zweiten Mal, Petrus erinnert sich an Jesu Wort und weint.</x:v>
      </x:c>
      <x:c r="M211" s="36" t="str">
        <x:v>Markus 14,66–72</x:v>
      </x:c>
      <x:c r="N211" s="36" t="str">
        <x:v>Nach der dritten Verleugnung kräht der Hahn zum zweiten Mal. Petrus erinnert sich an Jesu Ankündigung und bricht in Tränen aus.</x:v>
      </x:c>
      <x:c r="O211" s="36" t="str">
        <x:v>FREIGEGEBEN</x:v>
      </x:c>
      <x:c r="P211" s="36" t="str">
        <x:v>FREIGEGEBEN</x:v>
      </x:c>
      <x:c r="Q211" s="36" t="str">
        <x:v>JA</x:v>
      </x:c>
    </x:row>
    <x:row r="212">
      <x:c r="A212" s="36" t="str">
        <x:v>FP-0471</x:v>
      </x:c>
      <x:c r="B212" s="36" t="str">
        <x:v>MRK</x:v>
      </x:c>
      <x:c r="C212" s="36" t="str">
        <x:v>Markus</x:v>
      </x:c>
      <x:c r="D212" s="36" t="n">
        <x:v>15</x:v>
      </x:c>
      <x:c r="E212" s="36" t="n">
        <x:v>1</x:v>
      </x:c>
      <x:c r="F212" s="36" t="str">
        <x:v>Wen lässt Pilatus frei, während Jesus zur Kreuzigung übergeben wird?</x:v>
      </x:c>
      <x:c r="G212" s="36" t="str">
        <x:v>Simon von Kyrene.</x:v>
      </x:c>
      <x:c r="H212" s="36" t="str">
        <x:v>Josef von Arimathäa.</x:v>
      </x:c>
      <x:c r="I212" s="36" t="str">
        <x:v>Barabbas.</x:v>
      </x:c>
      <x:c r="J212" s="36" t="str">
        <x:v>Bartimäus.</x:v>
      </x:c>
      <x:c r="K212" s="36" t="n">
        <x:v>2</x:v>
      </x:c>
      <x:c r="L212" s="36" t="str">
        <x:v>Barabbas.</x:v>
      </x:c>
      <x:c r="M212" s="36" t="str">
        <x:v>Markus 15,6–15</x:v>
      </x:c>
      <x:c r="N212" s="36" t="str">
        <x:v>Pilatus lässt Barabbas frei und übergibt Jesus nach der Geißelung zur Kreuzigung.</x:v>
      </x:c>
      <x:c r="O212" s="36" t="str">
        <x:v>FREIGEGEBEN</x:v>
      </x:c>
      <x:c r="P212" s="36" t="str">
        <x:v>FREIGEGEBEN</x:v>
      </x:c>
      <x:c r="Q212" s="36" t="str">
        <x:v>JA</x:v>
      </x:c>
    </x:row>
    <x:row r="213">
      <x:c r="A213" s="36" t="str">
        <x:v>FP-0472</x:v>
      </x:c>
      <x:c r="B213" s="36" t="str">
        <x:v>MRK</x:v>
      </x:c>
      <x:c r="C213" s="36" t="str">
        <x:v>Markus</x:v>
      </x:c>
      <x:c r="D213" s="36" t="n">
        <x:v>15</x:v>
      </x:c>
      <x:c r="E213" s="36" t="n">
        <x:v>2</x:v>
      </x:c>
      <x:c r="F213" s="36" t="str">
        <x:v>Wie verspotten die Soldaten Jesus als „König der Juden“?</x:v>
      </x:c>
      <x:c r="G213" s="36" t="str">
        <x:v>Sie schenken ihm einen goldenen Thron.</x:v>
      </x:c>
      <x:c r="H213" s="36" t="str">
        <x:v>Sie führen ihn in den Tempel.</x:v>
      </x:c>
      <x:c r="I213" s="36" t="str">
        <x:v>Sie geben ihm eine Krone aus Olivenzweigen.</x:v>
      </x:c>
      <x:c r="J213" s="36" t="str">
        <x:v>Sie kleiden ihn in Purpur, setzen ihm eine Dornenkrone auf und huldigen ihm spöttisch.</x:v>
      </x:c>
      <x:c r="K213" s="36" t="n">
        <x:v>3</x:v>
      </x:c>
      <x:c r="L213" s="36" t="str">
        <x:v>Sie kleiden ihn in Purpur, setzen ihm eine Dornenkrone auf und huldigen ihm spöttisch.</x:v>
      </x:c>
      <x:c r="M213" s="36" t="str">
        <x:v>Markus 15,16–20</x:v>
      </x:c>
      <x:c r="N213" s="36" t="str">
        <x:v>Die Soldaten inszenieren eine spöttische Königshuldigung mit Purpur, Dornenkrone und Schlägen.</x:v>
      </x:c>
      <x:c r="O213" s="36" t="str">
        <x:v>FREIGEGEBEN</x:v>
      </x:c>
      <x:c r="P213" s="36" t="str">
        <x:v>FREIGEGEBEN</x:v>
      </x:c>
      <x:c r="Q213" s="36" t="str">
        <x:v>JA</x:v>
      </x:c>
    </x:row>
    <x:row r="214">
      <x:c r="A214" s="36" t="str">
        <x:v>FP-0473</x:v>
      </x:c>
      <x:c r="B214" s="36" t="str">
        <x:v>MRK</x:v>
      </x:c>
      <x:c r="C214" s="36" t="str">
        <x:v>Markus</x:v>
      </x:c>
      <x:c r="D214" s="36" t="n">
        <x:v>15</x:v>
      </x:c>
      <x:c r="E214" s="36" t="n">
        <x:v>3</x:v>
      </x:c>
      <x:c r="F214" s="36" t="str">
        <x:v>Wer wird gezwungen, Jesu Kreuz zu tragen?</x:v>
      </x:c>
      <x:c r="G214" s="36" t="str">
        <x:v>Simon von Kyrene.</x:v>
      </x:c>
      <x:c r="H214" s="36" t="str">
        <x:v>Petrus.</x:v>
      </x:c>
      <x:c r="I214" s="36" t="str">
        <x:v>Judas Iskariot.</x:v>
      </x:c>
      <x:c r="J214" s="36" t="str">
        <x:v>Josef von Arimathäa.</x:v>
      </x:c>
      <x:c r="K214" s="36" t="n">
        <x:v>0</x:v>
      </x:c>
      <x:c r="L214" s="36" t="str">
        <x:v>Simon von Kyrene.</x:v>
      </x:c>
      <x:c r="M214" s="36" t="str">
        <x:v>Markus 15,21</x:v>
      </x:c>
      <x:c r="N214" s="36" t="str">
        <x:v>Simon von Kyrene wird von den Soldaten gezwungen, das Kreuz zu tragen.</x:v>
      </x:c>
      <x:c r="O214" s="36" t="str">
        <x:v>FREIGEGEBEN</x:v>
      </x:c>
      <x:c r="P214" s="36" t="str">
        <x:v>FREIGEGEBEN</x:v>
      </x:c>
      <x:c r="Q214" s="36" t="str">
        <x:v>JA</x:v>
      </x:c>
    </x:row>
    <x:row r="215">
      <x:c r="A215" s="36" t="str">
        <x:v>FP-0474</x:v>
      </x:c>
      <x:c r="B215" s="36" t="str">
        <x:v>MRK</x:v>
      </x:c>
      <x:c r="C215" s="36" t="str">
        <x:v>Markus</x:v>
      </x:c>
      <x:c r="D215" s="36" t="n">
        <x:v>15</x:v>
      </x:c>
      <x:c r="E215" s="36" t="n">
        <x:v>4</x:v>
      </x:c>
      <x:c r="F215" s="36" t="str">
        <x:v>Was sagt der Hauptmann, nachdem Jesus gestorben ist?</x:v>
      </x:c>
      <x:c r="G215" s="36" t="str">
        <x:v>Dieser Mann war ein römischer Bürger.</x:v>
      </x:c>
      <x:c r="H215" s="36" t="str">
        <x:v>Wahrlich, dieser Mensch war Gottes Sohn.</x:v>
      </x:c>
      <x:c r="I215" s="36" t="str">
        <x:v>Er war nur ein gewöhnlicher Lehrer.</x:v>
      </x:c>
      <x:c r="J215" s="36" t="str">
        <x:v>Elia ist gekommen.</x:v>
      </x:c>
      <x:c r="K215" s="36" t="n">
        <x:v>1</x:v>
      </x:c>
      <x:c r="L215" s="36" t="str">
        <x:v>Wahrlich, dieser Mensch war Gottes Sohn.</x:v>
      </x:c>
      <x:c r="M215" s="36" t="str">
        <x:v>Markus 15,33–39</x:v>
      </x:c>
      <x:c r="N215" s="36" t="str">
        <x:v>Der Hauptmann reagiert auf Jesu Tod mit dem Bekenntnis, dass dieser Mensch Gottes Sohn war.</x:v>
      </x:c>
      <x:c r="O215" s="36" t="str">
        <x:v>FREIGEGEBEN</x:v>
      </x:c>
      <x:c r="P215" s="36" t="str">
        <x:v>FREIGEGEBEN</x:v>
      </x:c>
      <x:c r="Q215" s="36" t="str">
        <x:v>JA</x:v>
      </x:c>
    </x:row>
    <x:row r="216">
      <x:c r="A216" s="36" t="str">
        <x:v>FP-0475</x:v>
      </x:c>
      <x:c r="B216" s="36" t="str">
        <x:v>MRK</x:v>
      </x:c>
      <x:c r="C216" s="36" t="str">
        <x:v>Markus</x:v>
      </x:c>
      <x:c r="D216" s="36" t="n">
        <x:v>15</x:v>
      </x:c>
      <x:c r="E216" s="36" t="n">
        <x:v>5</x:v>
      </x:c>
      <x:c r="F216" s="36" t="str">
        <x:v>Wer bittet Pilatus um den Leichnam Jesu und legt ihn in ein Felsengrab?</x:v>
      </x:c>
      <x:c r="G216" s="36" t="str">
        <x:v>Nikodemus.</x:v>
      </x:c>
      <x:c r="H216" s="36" t="str">
        <x:v>Petrus.</x:v>
      </x:c>
      <x:c r="I216" s="36" t="str">
        <x:v>Josef von Arimathäa.</x:v>
      </x:c>
      <x:c r="J216" s="36" t="str">
        <x:v>Simon von Kyrene.</x:v>
      </x:c>
      <x:c r="K216" s="36" t="n">
        <x:v>2</x:v>
      </x:c>
      <x:c r="L216" s="36" t="str">
        <x:v>Josef von Arimathäa.</x:v>
      </x:c>
      <x:c r="M216" s="36" t="str">
        <x:v>Markus 15,42–47</x:v>
      </x:c>
      <x:c r="N216" s="36" t="str">
        <x:v>Josef von Arimathäa bittet mutig um Jesu Leichnam, wickelt ihn in Leinen und legt ihn in ein Felsengrab.</x:v>
      </x:c>
      <x:c r="O216" s="36" t="str">
        <x:v>FREIGEGEBEN</x:v>
      </x:c>
      <x:c r="P216" s="36" t="str">
        <x:v>FREIGEGEBEN</x:v>
      </x:c>
      <x:c r="Q216" s="36" t="str">
        <x:v>JA</x:v>
      </x:c>
    </x:row>
    <x:row r="217">
      <x:c r="A217" s="36" t="str">
        <x:v>FP-0476</x:v>
      </x:c>
      <x:c r="B217" s="36" t="str">
        <x:v>MRK</x:v>
      </x:c>
      <x:c r="C217" s="36" t="str">
        <x:v>Markus</x:v>
      </x:c>
      <x:c r="D217" s="36" t="n">
        <x:v>16</x:v>
      </x:c>
      <x:c r="E217" s="36" t="n">
        <x:v>1</x:v>
      </x:c>
      <x:c r="F217" s="36" t="str">
        <x:v>Welche Frauen kommen sehr früh am ersten Tag der Woche zum Grab?</x:v>
      </x:c>
      <x:c r="G217" s="36" t="str">
        <x:v>Martha, Maria und Elisabeth.</x:v>
      </x:c>
      <x:c r="H217" s="36" t="str">
        <x:v>Nur Maria Magdalena.</x:v>
      </x:c>
      <x:c r="I217" s="36" t="str">
        <x:v>Die Frau des Pilatus und Salome.</x:v>
      </x:c>
      <x:c r="J217" s="36" t="str">
        <x:v>Maria Magdalena, Maria die Mutter des Jakobus und Salome.</x:v>
      </x:c>
      <x:c r="K217" s="36" t="n">
        <x:v>3</x:v>
      </x:c>
      <x:c r="L217" s="36" t="str">
        <x:v>Maria Magdalena, Maria die Mutter des Jakobus und Salome.</x:v>
      </x:c>
      <x:c r="M217" s="36" t="str">
        <x:v>Markus 16,1–2</x:v>
      </x:c>
      <x:c r="N217" s="36" t="str">
        <x:v>Markus nennt Maria Magdalena, Maria die Mutter des Jakobus und Salome.</x:v>
      </x:c>
      <x:c r="O217" s="36" t="str">
        <x:v>FREIGEGEBEN</x:v>
      </x:c>
      <x:c r="P217" s="36" t="str">
        <x:v>FREIGEGEBEN</x:v>
      </x:c>
      <x:c r="Q217" s="36" t="str">
        <x:v>JA</x:v>
      </x:c>
    </x:row>
    <x:row r="218">
      <x:c r="A218" s="36" t="str">
        <x:v>FP-0477</x:v>
      </x:c>
      <x:c r="B218" s="36" t="str">
        <x:v>MRK</x:v>
      </x:c>
      <x:c r="C218" s="36" t="str">
        <x:v>Markus</x:v>
      </x:c>
      <x:c r="D218" s="36" t="n">
        <x:v>16</x:v>
      </x:c>
      <x:c r="E218" s="36" t="n">
        <x:v>2</x:v>
      </x:c>
      <x:c r="F218" s="36" t="str">
        <x:v>Welche praktische Sorge haben die Frauen auf dem Weg zum Grab?</x:v>
      </x:c>
      <x:c r="G218" s="36" t="str">
        <x:v>Wer ihnen den großen Stein vom Eingang wegrollen wird.</x:v>
      </x:c>
      <x:c r="H218" s="36" t="str">
        <x:v>Ob der Tempel geöffnet ist.</x:v>
      </x:c>
      <x:c r="I218" s="36" t="str">
        <x:v>Ob Petrus schon dort wartet.</x:v>
      </x:c>
      <x:c r="J218" s="36" t="str">
        <x:v>Wo sie Wasser finden.</x:v>
      </x:c>
      <x:c r="K218" s="36" t="n">
        <x:v>0</x:v>
      </x:c>
      <x:c r="L218" s="36" t="str">
        <x:v>Wer ihnen den großen Stein vom Eingang wegrollen wird.</x:v>
      </x:c>
      <x:c r="M218" s="36" t="str">
        <x:v>Markus 16,3–4</x:v>
      </x:c>
      <x:c r="N218" s="36" t="str">
        <x:v>Die Frauen fragen sich, wer den großen Stein wegrollen wird; beim Ankommen sehen sie, dass er bereits weggerollt ist.</x:v>
      </x:c>
      <x:c r="O218" s="36" t="str">
        <x:v>FREIGEGEBEN</x:v>
      </x:c>
      <x:c r="P218" s="36" t="str">
        <x:v>FREIGEGEBEN</x:v>
      </x:c>
      <x:c r="Q218" s="36" t="str">
        <x:v>JA</x:v>
      </x:c>
    </x:row>
    <x:row r="219">
      <x:c r="A219" s="36" t="str">
        <x:v>FP-0478</x:v>
      </x:c>
      <x:c r="B219" s="36" t="str">
        <x:v>MRK</x:v>
      </x:c>
      <x:c r="C219" s="36" t="str">
        <x:v>Markus</x:v>
      </x:c>
      <x:c r="D219" s="36" t="n">
        <x:v>16</x:v>
      </x:c>
      <x:c r="E219" s="36" t="n">
        <x:v>3</x:v>
      </x:c>
      <x:c r="F219" s="36" t="str">
        <x:v>Welche Botschaft gibt der junge Mann im Grab über Jesus?</x:v>
      </x:c>
      <x:c r="G219" s="36" t="str">
        <x:v>Er wurde nach Jerusalem gebracht.</x:v>
      </x:c>
      <x:c r="H219" s="36" t="str">
        <x:v>Er ist auferstanden; er ist nicht hier.</x:v>
      </x:c>
      <x:c r="I219" s="36" t="str">
        <x:v>Er ruht noch im Grab.</x:v>
      </x:c>
      <x:c r="J219" s="36" t="str">
        <x:v>Die Jünger sollen ihn suchen.</x:v>
      </x:c>
      <x:c r="K219" s="36" t="n">
        <x:v>1</x:v>
      </x:c>
      <x:c r="L219" s="36" t="str">
        <x:v>Er ist auferstanden; er ist nicht hier.</x:v>
      </x:c>
      <x:c r="M219" s="36" t="str">
        <x:v>Markus 16,5–6</x:v>
      </x:c>
      <x:c r="N219" s="36" t="str">
        <x:v>Der junge Mann sagt den Frauen, dass Jesus, der Gekreuzigte, auferstanden und nicht mehr im Grab ist.</x:v>
      </x:c>
      <x:c r="O219" s="36" t="str">
        <x:v>FREIGEGEBEN</x:v>
      </x:c>
      <x:c r="P219" s="36" t="str">
        <x:v>FREIGEGEBEN</x:v>
      </x:c>
      <x:c r="Q219" s="36" t="str">
        <x:v>JA</x:v>
      </x:c>
    </x:row>
    <x:row r="220">
      <x:c r="A220" s="36" t="str">
        <x:v>FP-0479</x:v>
      </x:c>
      <x:c r="B220" s="36" t="str">
        <x:v>MRK</x:v>
      </x:c>
      <x:c r="C220" s="36" t="str">
        <x:v>Markus</x:v>
      </x:c>
      <x:c r="D220" s="36" t="n">
        <x:v>16</x:v>
      </x:c>
      <x:c r="E220" s="36" t="n">
        <x:v>4</x:v>
      </x:c>
      <x:c r="F220" s="36" t="str">
        <x:v>Was sollen die Frauen den Jüngern und besonders Petrus ausrichten?</x:v>
      </x:c>
      <x:c r="G220" s="36" t="str">
        <x:v>Sie sollten im Tempel warten.</x:v>
      </x:c>
      <x:c r="H220" s="36" t="str">
        <x:v>Sie müssten sofort nach Ägypten fliehen.</x:v>
      </x:c>
      <x:c r="I220" s="36" t="str">
        <x:v>Jesus gehe ihnen nach Galiläa voraus; dort würden sie ihn sehen.</x:v>
      </x:c>
      <x:c r="J220" s="36" t="str">
        <x:v>Jesus werde nur in Jerusalem erscheinen.</x:v>
      </x:c>
      <x:c r="K220" s="36" t="n">
        <x:v>2</x:v>
      </x:c>
      <x:c r="L220" s="36" t="str">
        <x:v>Jesus gehe ihnen nach Galiläa voraus; dort würden sie ihn sehen.</x:v>
      </x:c>
      <x:c r="M220" s="36" t="str">
        <x:v>Markus 16,7</x:v>
      </x:c>
      <x:c r="N220" s="36" t="str">
        <x:v>Die Frauen sollen den Jüngern und Petrus sagen, dass Jesus ihnen nach Galiläa vorausgeht.</x:v>
      </x:c>
      <x:c r="O220" s="36" t="str">
        <x:v>FREIGEGEBEN</x:v>
      </x:c>
      <x:c r="P220" s="36" t="str">
        <x:v>FREIGEGEBEN</x:v>
      </x:c>
      <x:c r="Q220" s="36" t="str">
        <x:v>JA</x:v>
      </x:c>
    </x:row>
    <x:row r="221">
      <x:c r="A221" s="36" t="str">
        <x:v>FP-0480</x:v>
      </x:c>
      <x:c r="B221" s="36" t="str">
        <x:v>MRK</x:v>
      </x:c>
      <x:c r="C221" s="36" t="str">
        <x:v>Markus</x:v>
      </x:c>
      <x:c r="D221" s="36" t="n">
        <x:v>16</x:v>
      </x:c>
      <x:c r="E221" s="36" t="n">
        <x:v>5</x:v>
      </x:c>
      <x:c r="F221" s="36" t="str">
        <x:v>Wie reagieren die Frauen unmittelbar, nachdem sie das Grab verlassen?</x:v>
      </x:c>
      <x:c r="G221" s="36" t="str">
        <x:v>Sie beginnen sofort auf dem Marktplatz zu predigen.</x:v>
      </x:c>
      <x:c r="H221" s="36" t="str">
        <x:v>Sie bleiben den ganzen Tag im Grab.</x:v>
      </x:c>
      <x:c r="I221" s="36" t="str">
        <x:v>Sie gehen direkt zu Pilatus.</x:v>
      </x:c>
      <x:c r="J221" s="36" t="str">
        <x:v>Sie fliehen zitternd und erschrocken und sagen aus Furcht zunächst niemandem etwas.</x:v>
      </x:c>
      <x:c r="K221" s="36" t="n">
        <x:v>3</x:v>
      </x:c>
      <x:c r="L221" s="36" t="str">
        <x:v>Sie fliehen zitternd und erschrocken und sagen aus Furcht zunächst niemandem etwas.</x:v>
      </x:c>
      <x:c r="M221" s="36" t="str">
        <x:v>Markus 16,8</x:v>
      </x:c>
      <x:c r="N221" s="36" t="str">
        <x:v>Markus beschreibt ihre unmittelbare Reaktion mit Zittern, Entsetzen und Furcht; sie sagen zunächst niemandem etwas.</x:v>
      </x:c>
      <x:c r="O221" s="36" t="str">
        <x:v>FREIGEGEBEN</x:v>
      </x:c>
      <x:c r="P221" s="36" t="str">
        <x:v>FREIGEGEBEN</x:v>
      </x:c>
      <x:c r="Q221" s="36" t="str">
        <x:v>JA</x:v>
      </x:c>
    </x:row>
    <x:row r="222">
      <x:c r="A222" s="36" t="str">
        <x:v>FP-0481</x:v>
      </x:c>
      <x:c r="B222" s="36" t="str">
        <x:v>LUK</x:v>
      </x:c>
      <x:c r="C222" s="36" t="str">
        <x:v>Lukas</x:v>
      </x:c>
      <x:c r="D222" s="36" t="n">
        <x:v>1</x:v>
      </x:c>
      <x:c r="E222" s="36" t="n">
        <x:v>1</x:v>
      </x:c>
      <x:c r="F222" s="36" t="str">
        <x:v>Welche Aufgabe kündigt der Engel für Johannes an?</x:v>
      </x:c>
      <x:c r="G222" s="36" t="str">
        <x:v>Er soll König über Israel werden.</x:v>
      </x:c>
      <x:c r="H222" s="36" t="str">
        <x:v>Er soll viele Menschen in Israel zu Gott zurückführen und dem Herrn ein vorbereitetes Volk bereiten.</x:v>
      </x:c>
      <x:c r="I222" s="36" t="str">
        <x:v>Er soll den Tempel in Jerusalem neu bauen.</x:v>
      </x:c>
      <x:c r="J222" s="36" t="str">
        <x:v>Er soll als römischer Statthalter Frieden sichern.</x:v>
      </x:c>
      <x:c r="K222" s="36" t="n">
        <x:v>1</x:v>
      </x:c>
      <x:c r="L222" s="36" t="str">
        <x:v>Er soll viele Menschen in Israel zu Gott zurückführen und dem Herrn ein vorbereitetes Volk bereiten.</x:v>
      </x:c>
      <x:c r="M222" s="36" t="str">
        <x:v>Lukas 1,13–17</x:v>
      </x:c>
      <x:c r="N222" s="36" t="str">
        <x:v>Der Engel beschreibt Johannes als Wegbereiter: Er soll viele zu Gott zurückführen und ein vorbereitetes Volk für den Herrn schaffen.</x:v>
      </x:c>
      <x:c r="O222" s="36" t="str">
        <x:v>FREIGEGEBEN</x:v>
      </x:c>
      <x:c r="P222" s="36" t="str">
        <x:v>FREIGEGEBEN</x:v>
      </x:c>
      <x:c r="Q222" s="36" t="str">
        <x:v>JA</x:v>
      </x:c>
    </x:row>
    <x:row r="223">
      <x:c r="A223" s="36" t="str">
        <x:v>FP-0482</x:v>
      </x:c>
      <x:c r="B223" s="36" t="str">
        <x:v>LUK</x:v>
      </x:c>
      <x:c r="C223" s="36" t="str">
        <x:v>Lukas</x:v>
      </x:c>
      <x:c r="D223" s="36" t="n">
        <x:v>1</x:v>
      </x:c>
      <x:c r="E223" s="36" t="n">
        <x:v>2</x:v>
      </x:c>
      <x:c r="F223" s="36" t="str">
        <x:v>Was kündigt Gabriel Maria über Jesus an?</x:v>
      </x:c>
      <x:c r="G223" s="36" t="str">
        <x:v>Er wird nur als Prophet in Nazareth wirken.</x:v>
      </x:c>
      <x:c r="H223" s="36" t="str">
        <x:v>Er wird als Priester im Tempel dienen.</x:v>
      </x:c>
      <x:c r="I223" s="36" t="str">
        <x:v>Er wird Sohn des Höchsten genannt werden und sein Reich wird kein Ende haben.</x:v>
      </x:c>
      <x:c r="J223" s="36" t="str">
        <x:v>Er wird nach seiner Geburt verborgen bleiben.</x:v>
      </x:c>
      <x:c r="K223" s="36" t="n">
        <x:v>2</x:v>
      </x:c>
      <x:c r="L223" s="36" t="str">
        <x:v>Er wird Sohn des Höchsten genannt werden und sein Reich wird kein Ende haben.</x:v>
      </x:c>
      <x:c r="M223" s="36" t="str">
        <x:v>Lukas 1,31–33</x:v>
      </x:c>
      <x:c r="N223" s="36" t="str">
        <x:v>Gabriel verbindet Jesu Geburt mit seiner königlichen Identität: Sohn des Höchsten, Davids Thron und ein Reich ohne Ende.</x:v>
      </x:c>
      <x:c r="O223" s="36" t="str">
        <x:v>FREIGEGEBEN</x:v>
      </x:c>
      <x:c r="P223" s="36" t="str">
        <x:v>FREIGEGEBEN</x:v>
      </x:c>
      <x:c r="Q223" s="36" t="str">
        <x:v>JA</x:v>
      </x:c>
    </x:row>
    <x:row r="224">
      <x:c r="A224" s="36" t="str">
        <x:v>FP-0483</x:v>
      </x:c>
      <x:c r="B224" s="36" t="str">
        <x:v>LUK</x:v>
      </x:c>
      <x:c r="C224" s="36" t="str">
        <x:v>Lukas</x:v>
      </x:c>
      <x:c r="D224" s="36" t="n">
        <x:v>1</x:v>
      </x:c>
      <x:c r="E224" s="36" t="n">
        <x:v>3</x:v>
      </x:c>
      <x:c r="F224" s="36" t="str">
        <x:v>Wie antwortet Maria auf die Botschaft des Engels?</x:v>
      </x:c>
      <x:c r="G224" s="36" t="str">
        <x:v>„Ich werde erst zustimmen, wenn Elisabeth es bestätigt.“</x:v>
      </x:c>
      <x:c r="H224" s="36" t="str">
        <x:v>„Ich muss zuerst mit Zacharias sprechen.“</x:v>
      </x:c>
      <x:c r="I224" s="36" t="str">
        <x:v>„Ich möchte nach Jerusalem fliehen.“</x:v>
      </x:c>
      <x:c r="J224" s="36" t="str">
        <x:v>„Ich bin die Magd des Herrn; mir geschehe nach deinem Wort.“</x:v>
      </x:c>
      <x:c r="K224" s="36" t="n">
        <x:v>3</x:v>
      </x:c>
      <x:c r="L224" s="36" t="str">
        <x:v>„Ich bin die Magd des Herrn; mir geschehe nach deinem Wort.“</x:v>
      </x:c>
      <x:c r="M224" s="36" t="str">
        <x:v>Lukas 1,38</x:v>
      </x:c>
      <x:c r="N224" s="36" t="str">
        <x:v>Maria nimmt die Botschaft im Vertrauen an und bezeichnet sich als Magd des Herrn.</x:v>
      </x:c>
      <x:c r="O224" s="36" t="str">
        <x:v>FREIGEGEBEN</x:v>
      </x:c>
      <x:c r="P224" s="36" t="str">
        <x:v>FREIGEGEBEN</x:v>
      </x:c>
      <x:c r="Q224" s="36" t="str">
        <x:v>JA</x:v>
      </x:c>
    </x:row>
    <x:row r="225">
      <x:c r="A225" s="36" t="str">
        <x:v>FP-0484</x:v>
      </x:c>
      <x:c r="B225" s="36" t="str">
        <x:v>LUK</x:v>
      </x:c>
      <x:c r="C225" s="36" t="str">
        <x:v>Lukas</x:v>
      </x:c>
      <x:c r="D225" s="36" t="n">
        <x:v>1</x:v>
      </x:c>
      <x:c r="E225" s="36" t="n">
        <x:v>4</x:v>
      </x:c>
      <x:c r="F225" s="36" t="str">
        <x:v>Wofür lobt Maria Gott zu Beginn ihres Lobgesangs besonders?</x:v>
      </x:c>
      <x:c r="G225" s="36" t="str">
        <x:v>Dass er ihre Niedrigkeit angesehen und große Dinge an ihr getan hat.</x:v>
      </x:c>
      <x:c r="H225" s="36" t="str">
        <x:v>Dass er ihr großen Reichtum gegeben hat.</x:v>
      </x:c>
      <x:c r="I225" s="36" t="str">
        <x:v>Dass er Rom besiegt hat.</x:v>
      </x:c>
      <x:c r="J225" s="36" t="str">
        <x:v>Dass er Zacharias zum König gemacht hat.</x:v>
      </x:c>
      <x:c r="K225" s="36" t="n">
        <x:v>0</x:v>
      </x:c>
      <x:c r="L225" s="36" t="str">
        <x:v>Dass er ihre Niedrigkeit angesehen und große Dinge an ihr getan hat.</x:v>
      </x:c>
      <x:c r="M225" s="36" t="str">
        <x:v>Lukas 1,46–49</x:v>
      </x:c>
      <x:c r="N225" s="36" t="str">
        <x:v>Maria erhebt Gott, weil er ihre Niedrigkeit angesehen und als der Mächtige große Dinge an ihr getan hat.</x:v>
      </x:c>
      <x:c r="O225" s="36" t="str">
        <x:v>FREIGEGEBEN</x:v>
      </x:c>
      <x:c r="P225" s="36" t="str">
        <x:v>FREIGEGEBEN</x:v>
      </x:c>
      <x:c r="Q225" s="36" t="str">
        <x:v>JA</x:v>
      </x:c>
    </x:row>
    <x:row r="226">
      <x:c r="A226" s="36" t="str">
        <x:v>FP-0485</x:v>
      </x:c>
      <x:c r="B226" s="36" t="str">
        <x:v>LUK</x:v>
      </x:c>
      <x:c r="C226" s="36" t="str">
        <x:v>Lukas</x:v>
      </x:c>
      <x:c r="D226" s="36" t="n">
        <x:v>1</x:v>
      </x:c>
      <x:c r="E226" s="36" t="n">
        <x:v>5</x:v>
      </x:c>
      <x:c r="F226" s="36" t="str">
        <x:v>Was geschieht, nachdem Zacharias auf die Tafel schreibt: „Sein Name ist Johannes“?</x:v>
      </x:c>
      <x:c r="G226" s="36" t="str">
        <x:v>Er verliert endgültig seine Stimme.</x:v>
      </x:c>
      <x:c r="H226" s="36" t="str">
        <x:v>Sein Mund wird geöffnet, und er beginnt Gott zu loben.</x:v>
      </x:c>
      <x:c r="I226" s="36" t="str">
        <x:v>Elisabeth verlässt das Haus.</x:v>
      </x:c>
      <x:c r="J226" s="36" t="str">
        <x:v>Johannes wird sofort in den Tempel gebracht.</x:v>
      </x:c>
      <x:c r="K226" s="36" t="n">
        <x:v>1</x:v>
      </x:c>
      <x:c r="L226" s="36" t="str">
        <x:v>Sein Mund wird geöffnet, und er beginnt Gott zu loben.</x:v>
      </x:c>
      <x:c r="M226" s="36" t="str">
        <x:v>Lukas 1,63–64</x:v>
      </x:c>
      <x:c r="N226" s="36" t="str">
        <x:v>Nachdem Zacharias den Namen Johannes bestätigt, kann er wieder sprechen und lobt Gott.</x:v>
      </x:c>
      <x:c r="O226" s="36" t="str">
        <x:v>FREIGEGEBEN</x:v>
      </x:c>
      <x:c r="P226" s="36" t="str">
        <x:v>FREIGEGEBEN</x:v>
      </x:c>
      <x:c r="Q226" s="36" t="str">
        <x:v>JA</x:v>
      </x:c>
    </x:row>
    <x:row r="227">
      <x:c r="A227" s="36" t="str">
        <x:v>FP-0486</x:v>
      </x:c>
      <x:c r="B227" s="36" t="str">
        <x:v>LUK</x:v>
      </x:c>
      <x:c r="C227" s="36" t="str">
        <x:v>Lukas</x:v>
      </x:c>
      <x:c r="D227" s="36" t="n">
        <x:v>2</x:v>
      </x:c>
      <x:c r="E227" s="36" t="n">
        <x:v>1</x:v>
      </x:c>
      <x:c r="F227" s="36" t="str">
        <x:v>Warum reisen Josef und Maria nach Bethlehem?</x:v>
      </x:c>
      <x:c r="G227" s="36" t="str">
        <x:v>Sie wollen dort Verwandte besuchen.</x:v>
      </x:c>
      <x:c r="H227" s="36" t="str">
        <x:v>Herodes befiehlt ihnen persönlich dorthin.</x:v>
      </x:c>
      <x:c r="I227" s="36" t="str">
        <x:v>Josef stammt aus dem Haus und Geschlecht Davids und soll sich dort eintragen lassen.</x:v>
      </x:c>
      <x:c r="J227" s="36" t="str">
        <x:v>Maria soll dort im Tempel dienen.</x:v>
      </x:c>
      <x:c r="K227" s="36" t="n">
        <x:v>2</x:v>
      </x:c>
      <x:c r="L227" s="36" t="str">
        <x:v>Josef stammt aus dem Haus und Geschlecht Davids und soll sich dort eintragen lassen.</x:v>
      </x:c>
      <x:c r="M227" s="36" t="str">
        <x:v>Lukas 2,4–7</x:v>
      </x:c>
      <x:c r="N227" s="36" t="str">
        <x:v>Josef zieht wegen der Eintragung nach Bethlehem, weil er aus dem Haus und Geschlecht Davids stammt; dort wird Jesus geboren.</x:v>
      </x:c>
      <x:c r="O227" s="36" t="str">
        <x:v>FREIGEGEBEN</x:v>
      </x:c>
      <x:c r="P227" s="36" t="str">
        <x:v>FREIGEGEBEN</x:v>
      </x:c>
      <x:c r="Q227" s="36" t="str">
        <x:v>JA</x:v>
      </x:c>
    </x:row>
    <x:row r="228">
      <x:c r="A228" s="36" t="str">
        <x:v>FP-0487</x:v>
      </x:c>
      <x:c r="B228" s="36" t="str">
        <x:v>LUK</x:v>
      </x:c>
      <x:c r="C228" s="36" t="str">
        <x:v>Lukas</x:v>
      </x:c>
      <x:c r="D228" s="36" t="n">
        <x:v>2</x:v>
      </x:c>
      <x:c r="E228" s="36" t="n">
        <x:v>2</x:v>
      </x:c>
      <x:c r="F228" s="36" t="str">
        <x:v>Welches Zeichen nennt der Engel den Hirten für den neugeborenen Retter?</x:v>
      </x:c>
      <x:c r="G228" s="36" t="str">
        <x:v>Ein Stern direkt über dem Tempel.</x:v>
      </x:c>
      <x:c r="H228" s="36" t="str">
        <x:v>Ein Kind mit einer goldenen Krone.</x:v>
      </x:c>
      <x:c r="I228" s="36" t="str">
        <x:v>Ein Priester, der im Tempel singt.</x:v>
      </x:c>
      <x:c r="J228" s="36" t="str">
        <x:v>Ein Kind, in Windeln gewickelt und in einer Krippe liegend.</x:v>
      </x:c>
      <x:c r="K228" s="36" t="n">
        <x:v>3</x:v>
      </x:c>
      <x:c r="L228" s="36" t="str">
        <x:v>Ein Kind, in Windeln gewickelt und in einer Krippe liegend.</x:v>
      </x:c>
      <x:c r="M228" s="36" t="str">
        <x:v>Lukas 2,10–14</x:v>
      </x:c>
      <x:c r="N228" s="36" t="str">
        <x:v>Der Engel nennt als Zeichen ein in Windeln gewickeltes Kind, das in einer Krippe liegt.</x:v>
      </x:c>
      <x:c r="O228" s="36" t="str">
        <x:v>FREIGEGEBEN</x:v>
      </x:c>
      <x:c r="P228" s="36" t="str">
        <x:v>FREIGEGEBEN</x:v>
      </x:c>
      <x:c r="Q228" s="36" t="str">
        <x:v>JA</x:v>
      </x:c>
    </x:row>
    <x:row r="229">
      <x:c r="A229" s="36" t="str">
        <x:v>FP-0488</x:v>
      </x:c>
      <x:c r="B229" s="36" t="str">
        <x:v>LUK</x:v>
      </x:c>
      <x:c r="C229" s="36" t="str">
        <x:v>Lukas</x:v>
      </x:c>
      <x:c r="D229" s="36" t="n">
        <x:v>2</x:v>
      </x:c>
      <x:c r="E229" s="36" t="n">
        <x:v>3</x:v>
      </x:c>
      <x:c r="F229" s="36" t="str">
        <x:v>Wie reagieren die Hirten, nachdem sie das Kind gesehen haben?</x:v>
      </x:c>
      <x:c r="G229" s="36" t="str">
        <x:v>Sie erzählen weiter, was ihnen über das Kind gesagt worden ist, und kehren lobend zu Gott zurück.</x:v>
      </x:c>
      <x:c r="H229" s="36" t="str">
        <x:v>Sie schweigen vollständig und kehren sofort zur Arbeit zurück.</x:v>
      </x:c>
      <x:c r="I229" s="36" t="str">
        <x:v>Sie bringen Jesus nach Jerusalem.</x:v>
      </x:c>
      <x:c r="J229" s="36" t="str">
        <x:v>Sie suchen den Kaiser auf.</x:v>
      </x:c>
      <x:c r="K229" s="36" t="n">
        <x:v>0</x:v>
      </x:c>
      <x:c r="L229" s="36" t="str">
        <x:v>Sie erzählen weiter, was ihnen über das Kind gesagt worden ist, und kehren lobend zu Gott zurück.</x:v>
      </x:c>
      <x:c r="M229" s="36" t="str">
        <x:v>Lukas 2,16–20</x:v>
      </x:c>
      <x:c r="N229" s="36" t="str">
        <x:v>Die Hirten verbreiten die Botschaft und kehren zurück, während sie Gott für das Gehörte und Gesehene preisen.</x:v>
      </x:c>
      <x:c r="O229" s="36" t="str">
        <x:v>FREIGEGEBEN</x:v>
      </x:c>
      <x:c r="P229" s="36" t="str">
        <x:v>FREIGEGEBEN</x:v>
      </x:c>
      <x:c r="Q229" s="36" t="str">
        <x:v>JA</x:v>
      </x:c>
    </x:row>
    <x:row r="230">
      <x:c r="A230" s="36" t="str">
        <x:v>FP-0489</x:v>
      </x:c>
      <x:c r="B230" s="36" t="str">
        <x:v>LUK</x:v>
      </x:c>
      <x:c r="C230" s="36" t="str">
        <x:v>Lukas</x:v>
      </x:c>
      <x:c r="D230" s="36" t="n">
        <x:v>2</x:v>
      </x:c>
      <x:c r="E230" s="36" t="n">
        <x:v>4</x:v>
      </x:c>
      <x:c r="F230" s="36" t="str">
        <x:v>Wie beschreibt Simeon das Heil, das er in Jesus sieht?</x:v>
      </x:c>
      <x:c r="G230" s="36" t="str">
        <x:v>Als politische Macht nur für Jerusalem.</x:v>
      </x:c>
      <x:c r="H230" s="36" t="str">
        <x:v>Als Licht für die Völker und Herrlichkeit für Israel.</x:v>
      </x:c>
      <x:c r="I230" s="36" t="str">
        <x:v>Als Geheimnis, das niemand erfahren darf.</x:v>
      </x:c>
      <x:c r="J230" s="36" t="str">
        <x:v>Als Zeichen ausschließlich für die Priester.</x:v>
      </x:c>
      <x:c r="K230" s="36" t="n">
        <x:v>1</x:v>
      </x:c>
      <x:c r="L230" s="36" t="str">
        <x:v>Als Licht für die Völker und Herrlichkeit für Israel.</x:v>
      </x:c>
      <x:c r="M230" s="36" t="str">
        <x:v>Lukas 2,25–32</x:v>
      </x:c>
      <x:c r="N230" s="36" t="str">
        <x:v>Simeon nennt Gottes Heil ein Licht zur Erleuchtung der Völker und zur Herrlichkeit Israels.</x:v>
      </x:c>
      <x:c r="O230" s="36" t="str">
        <x:v>FREIGEGEBEN</x:v>
      </x:c>
      <x:c r="P230" s="36" t="str">
        <x:v>FREIGEGEBEN</x:v>
      </x:c>
      <x:c r="Q230" s="36" t="str">
        <x:v>JA</x:v>
      </x:c>
    </x:row>
    <x:row r="231">
      <x:c r="A231" s="36" t="str">
        <x:v>FP-0490</x:v>
      </x:c>
      <x:c r="B231" s="36" t="str">
        <x:v>LUK</x:v>
      </x:c>
      <x:c r="C231" s="36" t="str">
        <x:v>Lukas</x:v>
      </x:c>
      <x:c r="D231" s="36" t="n">
        <x:v>2</x:v>
      </x:c>
      <x:c r="E231" s="36" t="n">
        <x:v>5</x:v>
      </x:c>
      <x:c r="F231" s="36" t="str">
        <x:v>Was antwortet der zwölfjährige Jesus seinen Eltern im Tempel?</x:v>
      </x:c>
      <x:c r="G231" s="36" t="str">
        <x:v>Dass er sich verirrt habe.</x:v>
      </x:c>
      <x:c r="H231" s="36" t="str">
        <x:v>Dass die Lehrer ihn festgehalten hätten.</x:v>
      </x:c>
      <x:c r="I231" s="36" t="str">
        <x:v>Dass er in dem sein müsse, was seines Vaters ist.</x:v>
      </x:c>
      <x:c r="J231" s="36" t="str">
        <x:v>Dass er sofort nach Nazareth zurückkehren wolle.</x:v>
      </x:c>
      <x:c r="K231" s="36" t="n">
        <x:v>2</x:v>
      </x:c>
      <x:c r="L231" s="36" t="str">
        <x:v>Dass er in dem sein müsse, was seines Vaters ist.</x:v>
      </x:c>
      <x:c r="M231" s="36" t="str">
        <x:v>Lukas 2,46–49</x:v>
      </x:c>
      <x:c r="N231" s="36" t="str">
        <x:v>Jesus verweist auf seine besondere Beziehung zum Vater und darauf, dass er in dessen Angelegenheiten sein müsse.</x:v>
      </x:c>
      <x:c r="O231" s="36" t="str">
        <x:v>FREIGEGEBEN</x:v>
      </x:c>
      <x:c r="P231" s="36" t="str">
        <x:v>FREIGEGEBEN</x:v>
      </x:c>
      <x:c r="Q231" s="36" t="str">
        <x:v>JA</x:v>
      </x:c>
    </x:row>
    <x:row r="232">
      <x:c r="A232" s="36" t="str">
        <x:v>FP-0491</x:v>
      </x:c>
      <x:c r="B232" s="36" t="str">
        <x:v>LUK</x:v>
      </x:c>
      <x:c r="C232" s="36" t="str">
        <x:v>Lukas</x:v>
      </x:c>
      <x:c r="D232" s="36" t="n">
        <x:v>3</x:v>
      </x:c>
      <x:c r="E232" s="36" t="n">
        <x:v>1</x:v>
      </x:c>
      <x:c r="F232" s="36" t="str">
        <x:v>Wie soll sich Umkehr nach Johannes' Antwort praktisch zeigen?</x:v>
      </x:c>
      <x:c r="G232" s="36" t="str">
        <x:v>Jeder soll seinen Beruf aufgeben.</x:v>
      </x:c>
      <x:c r="H232" s="36" t="str">
        <x:v>Nur Priester müssen ihr Verhalten ändern.</x:v>
      </x:c>
      <x:c r="I232" s="36" t="str">
        <x:v>Man soll sich aus allen Städten zurückziehen.</x:v>
      </x:c>
      <x:c r="J232" s="36" t="str">
        <x:v>Wer genug Kleidung und Nahrung hat, soll teilen; Zöllner und Soldaten sollen gerecht handeln.</x:v>
      </x:c>
      <x:c r="K232" s="36" t="n">
        <x:v>3</x:v>
      </x:c>
      <x:c r="L232" s="36" t="str">
        <x:v>Wer genug Kleidung und Nahrung hat, soll teilen; Zöllner und Soldaten sollen gerecht handeln.</x:v>
      </x:c>
      <x:c r="M232" s="36" t="str">
        <x:v>Lukas 3,10–14</x:v>
      </x:c>
      <x:c r="N232" s="36" t="str">
        <x:v>Johannes nennt konkrete Früchte der Umkehr: teilen, nicht mehr fordern als erlaubt, niemanden erpressen und mit dem Sold zufrieden sein.</x:v>
      </x:c>
      <x:c r="O232" s="36" t="str">
        <x:v>FREIGEGEBEN</x:v>
      </x:c>
      <x:c r="P232" s="36" t="str">
        <x:v>FREIGEGEBEN</x:v>
      </x:c>
      <x:c r="Q232" s="36" t="str">
        <x:v>JA</x:v>
      </x:c>
    </x:row>
    <x:row r="233">
      <x:c r="A233" s="36" t="str">
        <x:v>FP-0492</x:v>
      </x:c>
      <x:c r="B233" s="36" t="str">
        <x:v>LUK</x:v>
      </x:c>
      <x:c r="C233" s="36" t="str">
        <x:v>Lukas</x:v>
      </x:c>
      <x:c r="D233" s="36" t="n">
        <x:v>3</x:v>
      </x:c>
      <x:c r="E233" s="36" t="n">
        <x:v>2</x:v>
      </x:c>
      <x:c r="F233" s="36" t="str">
        <x:v>Wie beschreibt Johannes den, der nach ihm kommt?</x:v>
      </x:c>
      <x:c r="G233" s="36" t="str">
        <x:v>Er ist stärker als Johannes und wird mit Heiligem Geist und Feuer taufen.</x:v>
      </x:c>
      <x:c r="H233" s="36" t="str">
        <x:v>Er wird nur mit Wasser taufen.</x:v>
      </x:c>
      <x:c r="I233" s="36" t="str">
        <x:v>Er wird Johannes als Schüler nachfolgen.</x:v>
      </x:c>
      <x:c r="J233" s="36" t="str">
        <x:v>Er wird als römischer Heerführer auftreten.</x:v>
      </x:c>
      <x:c r="K233" s="36" t="n">
        <x:v>0</x:v>
      </x:c>
      <x:c r="L233" s="36" t="str">
        <x:v>Er ist stärker als Johannes und wird mit Heiligem Geist und Feuer taufen.</x:v>
      </x:c>
      <x:c r="M233" s="36" t="str">
        <x:v>Lukas 3,15–17</x:v>
      </x:c>
      <x:c r="N233" s="36" t="str">
        <x:v>Johannes weist von sich weg auf den Stärkeren, der mit Heiligem Geist und Feuer taufen wird.</x:v>
      </x:c>
      <x:c r="O233" s="36" t="str">
        <x:v>FREIGEGEBEN</x:v>
      </x:c>
      <x:c r="P233" s="36" t="str">
        <x:v>FREIGEGEBEN</x:v>
      </x:c>
      <x:c r="Q233" s="36" t="str">
        <x:v>JA</x:v>
      </x:c>
    </x:row>
    <x:row r="234">
      <x:c r="A234" s="36" t="str">
        <x:v>FP-0493</x:v>
      </x:c>
      <x:c r="B234" s="36" t="str">
        <x:v>LUK</x:v>
      </x:c>
      <x:c r="C234" s="36" t="str">
        <x:v>Lukas</x:v>
      </x:c>
      <x:c r="D234" s="36" t="n">
        <x:v>3</x:v>
      </x:c>
      <x:c r="E234" s="36" t="n">
        <x:v>3</x:v>
      </x:c>
      <x:c r="F234" s="36" t="str">
        <x:v>Was geschieht bei Jesu Taufe, während er betet?</x:v>
      </x:c>
      <x:c r="G234" s="36" t="str">
        <x:v>Der Tempelvorhang zerreißt.</x:v>
      </x:c>
      <x:c r="H234" s="36" t="str">
        <x:v>Der Heilige Geist kommt wie eine Taube auf ihn, und eine Stimme nennt ihn den geliebten Sohn.</x:v>
      </x:c>
      <x:c r="I234" s="36" t="str">
        <x:v>Johannes wird unsichtbar.</x:v>
      </x:c>
      <x:c r="J234" s="36" t="str">
        <x:v>Die Menge verlässt den Jordan.</x:v>
      </x:c>
      <x:c r="K234" s="36" t="n">
        <x:v>1</x:v>
      </x:c>
      <x:c r="L234" s="36" t="str">
        <x:v>Der Heilige Geist kommt wie eine Taube auf ihn, und eine Stimme nennt ihn den geliebten Sohn.</x:v>
      </x:c>
      <x:c r="M234" s="36" t="str">
        <x:v>Lukas 3,21–22</x:v>
      </x:c>
      <x:c r="N234" s="36" t="str">
        <x:v>Bei Jesu Taufe öffnet sich der Himmel, der Geist kommt in leiblicher Gestalt wie eine Taube herab, und die Stimme aus dem Himmel spricht.</x:v>
      </x:c>
      <x:c r="O234" s="36" t="str">
        <x:v>FREIGEGEBEN</x:v>
      </x:c>
      <x:c r="P234" s="36" t="str">
        <x:v>FREIGEGEBEN</x:v>
      </x:c>
      <x:c r="Q234" s="36" t="str">
        <x:v>JA</x:v>
      </x:c>
    </x:row>
    <x:row r="235">
      <x:c r="A235" s="36" t="str">
        <x:v>FP-0494</x:v>
      </x:c>
      <x:c r="B235" s="36" t="str">
        <x:v>LUK</x:v>
      </x:c>
      <x:c r="C235" s="36" t="str">
        <x:v>Lukas</x:v>
      </x:c>
      <x:c r="D235" s="36" t="n">
        <x:v>3</x:v>
      </x:c>
      <x:c r="E235" s="36" t="n">
        <x:v>4</x:v>
      </x:c>
      <x:c r="F235" s="36" t="str">
        <x:v>Wie alt ist Jesus ungefähr, als er seinen Dienst beginnt?</x:v>
      </x:c>
      <x:c r="G235" s="36" t="str">
        <x:v>Etwa zwölf Jahre.</x:v>
      </x:c>
      <x:c r="H235" s="36" t="str">
        <x:v>Etwa vierzig Jahre.</x:v>
      </x:c>
      <x:c r="I235" s="36" t="str">
        <x:v>Etwa dreißig Jahre.</x:v>
      </x:c>
      <x:c r="J235" s="36" t="str">
        <x:v>Etwa fünfzig Jahre.</x:v>
      </x:c>
      <x:c r="K235" s="36" t="n">
        <x:v>2</x:v>
      </x:c>
      <x:c r="L235" s="36" t="str">
        <x:v>Etwa dreißig Jahre.</x:v>
      </x:c>
      <x:c r="M235" s="36" t="str">
        <x:v>Lukas 3,23</x:v>
      </x:c>
      <x:c r="N235" s="36" t="str">
        <x:v>Lukas nennt Jesus zu Beginn seines Wirkens ungefähr dreißig Jahre alt.</x:v>
      </x:c>
      <x:c r="O235" s="36" t="str">
        <x:v>FREIGEGEBEN</x:v>
      </x:c>
      <x:c r="P235" s="36" t="str">
        <x:v>FREIGEGEBEN</x:v>
      </x:c>
      <x:c r="Q235" s="36" t="str">
        <x:v>JA</x:v>
      </x:c>
    </x:row>
    <x:row r="236">
      <x:c r="A236" s="36" t="str">
        <x:v>FP-0495</x:v>
      </x:c>
      <x:c r="B236" s="36" t="str">
        <x:v>LUK</x:v>
      </x:c>
      <x:c r="C236" s="36" t="str">
        <x:v>Lukas</x:v>
      </x:c>
      <x:c r="D236" s="36" t="n">
        <x:v>3</x:v>
      </x:c>
      <x:c r="E236" s="36" t="n">
        <x:v>5</x:v>
      </x:c>
      <x:c r="F236" s="36" t="str">
        <x:v>Bei wem endet die Genealogie Jesu in Lukas 3?</x:v>
      </x:c>
      <x:c r="G236" s="36" t="str">
        <x:v>Bei Mose.</x:v>
      </x:c>
      <x:c r="H236" s="36" t="str">
        <x:v>Bei David.</x:v>
      </x:c>
      <x:c r="I236" s="36" t="str">
        <x:v>Bei Abraham.</x:v>
      </x:c>
      <x:c r="J236" s="36" t="str">
        <x:v>Bei Adam, der als Sohn Gottes bezeichnet wird.</x:v>
      </x:c>
      <x:c r="K236" s="36" t="n">
        <x:v>3</x:v>
      </x:c>
      <x:c r="L236" s="36" t="str">
        <x:v>Bei Adam, der als Sohn Gottes bezeichnet wird.</x:v>
      </x:c>
      <x:c r="M236" s="36" t="str">
        <x:v>Lukas 3,38</x:v>
      </x:c>
      <x:c r="N236" s="36" t="str">
        <x:v>Die lukanische Genealogie führt bis zu Adam zurück und nennt ihn „Sohn Gottes“.</x:v>
      </x:c>
      <x:c r="O236" s="36" t="str">
        <x:v>FREIGEGEBEN</x:v>
      </x:c>
      <x:c r="P236" s="36" t="str">
        <x:v>FREIGEGEBEN</x:v>
      </x:c>
      <x:c r="Q236" s="36" t="str">
        <x:v>JA</x:v>
      </x:c>
    </x:row>
    <x:row r="237">
      <x:c r="A237" s="36" t="str">
        <x:v>FP-0496</x:v>
      </x:c>
      <x:c r="B237" s="36" t="str">
        <x:v>LUK</x:v>
      </x:c>
      <x:c r="C237" s="36" t="str">
        <x:v>Lukas</x:v>
      </x:c>
      <x:c r="D237" s="36" t="n">
        <x:v>4</x:v>
      </x:c>
      <x:c r="E237" s="36" t="n">
        <x:v>1</x:v>
      </x:c>
      <x:c r="F237" s="36" t="str">
        <x:v>Wie antwortet Jesus auf die Aufforderung, einen Stein zu Brot zu machen?</x:v>
      </x:c>
      <x:c r="G237" s="36" t="str">
        <x:v>Der Mensch lebt nicht vom Brot allein.</x:v>
      </x:c>
      <x:c r="H237" s="36" t="str">
        <x:v>Jeder Stein soll zu Brot werden.</x:v>
      </x:c>
      <x:c r="I237" s="36" t="str">
        <x:v>Nur Priester dürfen Brot machen.</x:v>
      </x:c>
      <x:c r="J237" s="36" t="str">
        <x:v>Fasten ist immer verboten.</x:v>
      </x:c>
      <x:c r="K237" s="36" t="n">
        <x:v>0</x:v>
      </x:c>
      <x:c r="L237" s="36" t="str">
        <x:v>Der Mensch lebt nicht vom Brot allein.</x:v>
      </x:c>
      <x:c r="M237" s="36" t="str">
        <x:v>Lukas 4,3–4</x:v>
      </x:c>
      <x:c r="N237" s="36" t="str">
        <x:v>Jesus weist die Versuchung mit dem Schriftwort zurück, dass der Mensch nicht vom Brot allein lebt.</x:v>
      </x:c>
      <x:c r="O237" s="36" t="str">
        <x:v>FREIGEGEBEN</x:v>
      </x:c>
      <x:c r="P237" s="36" t="str">
        <x:v>FREIGEGEBEN</x:v>
      </x:c>
      <x:c r="Q237" s="36" t="str">
        <x:v>JA</x:v>
      </x:c>
    </x:row>
    <x:row r="238">
      <x:c r="A238" s="36" t="str">
        <x:v>FP-0497</x:v>
      </x:c>
      <x:c r="B238" s="36" t="str">
        <x:v>LUK</x:v>
      </x:c>
      <x:c r="C238" s="36" t="str">
        <x:v>Lukas</x:v>
      </x:c>
      <x:c r="D238" s="36" t="n">
        <x:v>4</x:v>
      </x:c>
      <x:c r="E238" s="36" t="n">
        <x:v>2</x:v>
      </x:c>
      <x:c r="F238" s="36" t="str">
        <x:v>Was sagt Jesus nach dem Lesen aus Jesaja in der Synagoge von Nazareth?</x:v>
      </x:c>
      <x:c r="G238" s="36" t="str">
        <x:v>Diese Schrift gilt erst in ferner Zukunft.</x:v>
      </x:c>
      <x:c r="H238" s="36" t="str">
        <x:v>Heute ist dieses Schriftwort erfüllt, während ihr zuhört.</x:v>
      </x:c>
      <x:c r="I238" s="36" t="str">
        <x:v>Jesaja habe sich geirrt.</x:v>
      </x:c>
      <x:c r="J238" s="36" t="str">
        <x:v>Nur die Priester dürften diese Stelle erklären.</x:v>
      </x:c>
      <x:c r="K238" s="36" t="n">
        <x:v>1</x:v>
      </x:c>
      <x:c r="L238" s="36" t="str">
        <x:v>Heute ist dieses Schriftwort erfüllt, während ihr zuhört.</x:v>
      </x:c>
      <x:c r="M238" s="36" t="str">
        <x:v>Lukas 4,16–21</x:v>
      </x:c>
      <x:c r="N238" s="36" t="str">
        <x:v>Jesus bezieht die gelesene Verheißung ausdrücklich auf die Gegenwart: Heute ist sie erfüllt.</x:v>
      </x:c>
      <x:c r="O238" s="36" t="str">
        <x:v>FREIGEGEBEN</x:v>
      </x:c>
      <x:c r="P238" s="36" t="str">
        <x:v>FREIGEGEBEN</x:v>
      </x:c>
      <x:c r="Q238" s="36" t="str">
        <x:v>JA</x:v>
      </x:c>
    </x:row>
    <x:row r="239">
      <x:c r="A239" s="36" t="str">
        <x:v>FP-0498</x:v>
      </x:c>
      <x:c r="B239" s="36" t="str">
        <x:v>LUK</x:v>
      </x:c>
      <x:c r="C239" s="36" t="str">
        <x:v>Lukas</x:v>
      </x:c>
      <x:c r="D239" s="36" t="n">
        <x:v>4</x:v>
      </x:c>
      <x:c r="E239" s="36" t="n">
        <x:v>3</x:v>
      </x:c>
      <x:c r="F239" s="36" t="str">
        <x:v>Warum werden die Menschen in der Synagoge schließlich wütend auf Jesus?</x:v>
      </x:c>
      <x:c r="G239" s="36" t="str">
        <x:v>Er weigert sich, aus Jesaja zu lesen.</x:v>
      </x:c>
      <x:c r="H239" s="36" t="str">
        <x:v>Er kündigt eine Steuererhöhung an.</x:v>
      </x:c>
      <x:c r="I239" s="36" t="str">
        <x:v>Er erinnert daran, dass Elia und Elisa Gottes Hilfe auch zu Menschen außerhalb Israels brachten.</x:v>
      </x:c>
      <x:c r="J239" s="36" t="str">
        <x:v>Er erklärt Nazareth zur neuen Hauptstadt.</x:v>
      </x:c>
      <x:c r="K239" s="36" t="n">
        <x:v>2</x:v>
      </x:c>
      <x:c r="L239" s="36" t="str">
        <x:v>Er erinnert daran, dass Elia und Elisa Gottes Hilfe auch zu Menschen außerhalb Israels brachten.</x:v>
      </x:c>
      <x:c r="M239" s="36" t="str">
        <x:v>Lukas 4,24–30</x:v>
      </x:c>
      <x:c r="N239" s="36" t="str">
        <x:v>Jesu Beispiele von der Witwe in Sarepta und Naaman zeigen Gottes Handeln über Israel hinaus und führen zum Zorn der Zuhörer.</x:v>
      </x:c>
      <x:c r="O239" s="36" t="str">
        <x:v>FREIGEGEBEN</x:v>
      </x:c>
      <x:c r="P239" s="36" t="str">
        <x:v>FREIGEGEBEN</x:v>
      </x:c>
      <x:c r="Q239" s="36" t="str">
        <x:v>JA</x:v>
      </x:c>
    </x:row>
    <x:row r="240">
      <x:c r="A240" s="36" t="str">
        <x:v>FP-0499</x:v>
      </x:c>
      <x:c r="B240" s="36" t="str">
        <x:v>LUK</x:v>
      </x:c>
      <x:c r="C240" s="36" t="str">
        <x:v>Lukas</x:v>
      </x:c>
      <x:c r="D240" s="36" t="n">
        <x:v>4</x:v>
      </x:c>
      <x:c r="E240" s="36" t="n">
        <x:v>4</x:v>
      </x:c>
      <x:c r="F240" s="36" t="str">
        <x:v>Was zeigt die Begegnung mit dem unreinen Geist in Kapernaum?</x:v>
      </x:c>
      <x:c r="G240" s="36" t="str">
        <x:v>Der Geist vertreibt Jesus aus der Synagoge.</x:v>
      </x:c>
      <x:c r="H240" s="36" t="str">
        <x:v>Die Jünger müssen den Mann heilen.</x:v>
      </x:c>
      <x:c r="I240" s="36" t="str">
        <x:v>Der Mann bleibt unverändert.</x:v>
      </x:c>
      <x:c r="J240" s="36" t="str">
        <x:v>Jesus gebietet ihm mit Vollmacht, und der Geist fährt aus, ohne dem Mann zu schaden.</x:v>
      </x:c>
      <x:c r="K240" s="36" t="n">
        <x:v>3</x:v>
      </x:c>
      <x:c r="L240" s="36" t="str">
        <x:v>Jesus gebietet ihm mit Vollmacht, und der Geist fährt aus, ohne dem Mann zu schaden.</x:v>
      </x:c>
      <x:c r="M240" s="36" t="str">
        <x:v>Lukas 4,31–36</x:v>
      </x:c>
      <x:c r="N240" s="36" t="str">
        <x:v>Die Menschen staunen darüber, dass Jesus unreinen Geistern mit Vollmacht befiehlt und sie gehorchen.</x:v>
      </x:c>
      <x:c r="O240" s="36" t="str">
        <x:v>FREIGEGEBEN</x:v>
      </x:c>
      <x:c r="P240" s="36" t="str">
        <x:v>FREIGEGEBEN</x:v>
      </x:c>
      <x:c r="Q240" s="36" t="str">
        <x:v>JA</x:v>
      </x:c>
    </x:row>
    <x:row r="241">
      <x:c r="A241" s="36" t="str">
        <x:v>FP-0500</x:v>
      </x:c>
      <x:c r="B241" s="36" t="str">
        <x:v>LUK</x:v>
      </x:c>
      <x:c r="C241" s="36" t="str">
        <x:v>Lukas</x:v>
      </x:c>
      <x:c r="D241" s="36" t="n">
        <x:v>4</x:v>
      </x:c>
      <x:c r="E241" s="36" t="n">
        <x:v>5</x:v>
      </x:c>
      <x:c r="F241" s="36" t="str">
        <x:v>Was tut Simons Schwiegermutter unmittelbar nach ihrer Heilung?</x:v>
      </x:c>
      <x:c r="G241" s="36" t="str">
        <x:v>Sie steht auf und dient ihnen.</x:v>
      </x:c>
      <x:c r="H241" s="36" t="str">
        <x:v>Sie reist nach Jerusalem.</x:v>
      </x:c>
      <x:c r="I241" s="36" t="str">
        <x:v>Sie bleibt mehrere Tage im Bett.</x:v>
      </x:c>
      <x:c r="J241" s="36" t="str">
        <x:v>Sie geht in die Synagoge, um zu predigen.</x:v>
      </x:c>
      <x:c r="K241" s="36" t="n">
        <x:v>0</x:v>
      </x:c>
      <x:c r="L241" s="36" t="str">
        <x:v>Sie steht auf und dient ihnen.</x:v>
      </x:c>
      <x:c r="M241" s="36" t="str">
        <x:v>Lukas 4,38–39</x:v>
      </x:c>
      <x:c r="N241" s="36" t="str">
        <x:v>Nachdem Jesus das Fieber zurechtgewiesen hat, steht sie sofort auf und dient den Anwesenden.</x:v>
      </x:c>
      <x:c r="O241" s="36" t="str">
        <x:v>FREIGEGEBEN</x:v>
      </x:c>
      <x:c r="P241" s="36" t="str">
        <x:v>FREIGEGEBEN</x:v>
      </x:c>
      <x:c r="Q241" s="36" t="str">
        <x:v>JA</x:v>
      </x:c>
    </x:row>
    <x:row r="242">
      <x:c r="A242" s="36" t="str">
        <x:v>FP-0501</x:v>
      </x:c>
      <x:c r="B242" s="36" t="str">
        <x:v>LUK</x:v>
      </x:c>
      <x:c r="C242" s="36" t="str">
        <x:v>Lukas</x:v>
      </x:c>
      <x:c r="D242" s="36" t="n">
        <x:v>5</x:v>
      </x:c>
      <x:c r="E242" s="36" t="n">
        <x:v>1</x:v>
      </x:c>
      <x:c r="F242" s="36" t="str">
        <x:v>Wie reagiert Simon Petrus auf den außergewöhnlichen Fischfang?</x:v>
      </x:c>
      <x:c r="G242" s="36" t="str">
        <x:v>Er verkauft sofort alle Fische und geht nach Hause.</x:v>
      </x:c>
      <x:c r="H242" s="36" t="str">
        <x:v>Er erkennt seine Sündhaftigkeit, während Jesus ihn zum Menschenfischer beruft.</x:v>
      </x:c>
      <x:c r="I242" s="36" t="str">
        <x:v>Er fordert von Jesus eine Bezahlung.</x:v>
      </x:c>
      <x:c r="J242" s="36" t="str">
        <x:v>Er weigert sich, noch einmal zu fischen.</x:v>
      </x:c>
      <x:c r="K242" s="36" t="n">
        <x:v>1</x:v>
      </x:c>
      <x:c r="L242" s="36" t="str">
        <x:v>Er erkennt seine Sündhaftigkeit, während Jesus ihn zum Menschenfischer beruft.</x:v>
      </x:c>
      <x:c r="M242" s="36" t="str">
        <x:v>Lukas 5,1–11</x:v>
      </x:c>
      <x:c r="N242" s="36" t="str">
        <x:v>Petrus fällt vor Jesus nieder und bekennt sich als sündigen Menschen; Jesus nimmt ihm die Furcht und beruft ihn.</x:v>
      </x:c>
      <x:c r="O242" s="36" t="str">
        <x:v>FREIGEGEBEN</x:v>
      </x:c>
      <x:c r="P242" s="36" t="str">
        <x:v>FREIGEGEBEN</x:v>
      </x:c>
      <x:c r="Q242" s="36" t="str">
        <x:v>JA</x:v>
      </x:c>
    </x:row>
    <x:row r="243">
      <x:c r="A243" s="36" t="str">
        <x:v>FP-0502</x:v>
      </x:c>
      <x:c r="B243" s="36" t="str">
        <x:v>LUK</x:v>
      </x:c>
      <x:c r="C243" s="36" t="str">
        <x:v>Lukas</x:v>
      </x:c>
      <x:c r="D243" s="36" t="n">
        <x:v>5</x:v>
      </x:c>
      <x:c r="E243" s="36" t="n">
        <x:v>2</x:v>
      </x:c>
      <x:c r="F243" s="36" t="str">
        <x:v>Wie reagiert Jesus auf die Bitte des Aussätzigen: „Wenn du willst, kannst du mich reinigen“?</x:v>
      </x:c>
      <x:c r="G243" s="36" t="str">
        <x:v>Er weist ihn fort.</x:v>
      </x:c>
      <x:c r="H243" s="36" t="str">
        <x:v>Er verlangt zuerst Geld.</x:v>
      </x:c>
      <x:c r="I243" s="36" t="str">
        <x:v>Er berührt ihn, sagt „Ich will; sei rein“ und schickt ihn anschließend zum Priester.</x:v>
      </x:c>
      <x:c r="J243" s="36" t="str">
        <x:v>Er sagt, Heilung sei am selben Tag unmöglich.</x:v>
      </x:c>
      <x:c r="K243" s="36" t="n">
        <x:v>2</x:v>
      </x:c>
      <x:c r="L243" s="36" t="str">
        <x:v>Er berührt ihn, sagt „Ich will; sei rein“ und schickt ihn anschließend zum Priester.</x:v>
      </x:c>
      <x:c r="M243" s="36" t="str">
        <x:v>Lukas 5,12–14</x:v>
      </x:c>
      <x:c r="N243" s="36" t="str">
        <x:v>Jesus berührt den Mann, reinigt ihn und weist ihn an, sich dem Priester zu zeigen.</x:v>
      </x:c>
      <x:c r="O243" s="36" t="str">
        <x:v>FREIGEGEBEN</x:v>
      </x:c>
      <x:c r="P243" s="36" t="str">
        <x:v>FREIGEGEBEN</x:v>
      </x:c>
      <x:c r="Q243" s="36" t="str">
        <x:v>JA</x:v>
      </x:c>
    </x:row>
    <x:row r="244">
      <x:c r="A244" s="36" t="str">
        <x:v>FP-0503</x:v>
      </x:c>
      <x:c r="B244" s="36" t="str">
        <x:v>LUK</x:v>
      </x:c>
      <x:c r="C244" s="36" t="str">
        <x:v>Lukas</x:v>
      </x:c>
      <x:c r="D244" s="36" t="n">
        <x:v>5</x:v>
      </x:c>
      <x:c r="E244" s="36" t="n">
        <x:v>3</x:v>
      </x:c>
      <x:c r="F244" s="36" t="str">
        <x:v>Was soll die Heilung des Gelähmten deutlich machen?</x:v>
      </x:c>
      <x:c r="G244" s="36" t="str">
        <x:v>Dass nur Freunde heilen können.</x:v>
      </x:c>
      <x:c r="H244" s="36" t="str">
        <x:v>Dass Dächer heilig sind.</x:v>
      </x:c>
      <x:c r="I244" s="36" t="str">
        <x:v>Dass Krankheit immer aus persönlicher Schuld entsteht.</x:v>
      </x:c>
      <x:c r="J244" s="36" t="str">
        <x:v>Dass der Menschensohn Vollmacht hat, auf Erden Sünden zu vergeben.</x:v>
      </x:c>
      <x:c r="K244" s="36" t="n">
        <x:v>3</x:v>
      </x:c>
      <x:c r="L244" s="36" t="str">
        <x:v>Dass der Menschensohn Vollmacht hat, auf Erden Sünden zu vergeben.</x:v>
      </x:c>
      <x:c r="M244" s="36" t="str">
        <x:v>Lukas 5,18–26</x:v>
      </x:c>
      <x:c r="N244" s="36" t="str">
        <x:v>Jesus verbindet die sichtbare Heilung mit seiner Vollmacht, Sünden zu vergeben.</x:v>
      </x:c>
      <x:c r="O244" s="36" t="str">
        <x:v>FREIGEGEBEN</x:v>
      </x:c>
      <x:c r="P244" s="36" t="str">
        <x:v>FREIGEGEBEN</x:v>
      </x:c>
      <x:c r="Q244" s="36" t="str">
        <x:v>JA</x:v>
      </x:c>
    </x:row>
    <x:row r="245">
      <x:c r="A245" s="36" t="str">
        <x:v>FP-0504</x:v>
      </x:c>
      <x:c r="B245" s="36" t="str">
        <x:v>LUK</x:v>
      </x:c>
      <x:c r="C245" s="36" t="str">
        <x:v>Lukas</x:v>
      </x:c>
      <x:c r="D245" s="36" t="n">
        <x:v>5</x:v>
      </x:c>
      <x:c r="E245" s="36" t="n">
        <x:v>4</x:v>
      </x:c>
      <x:c r="F245" s="36" t="str">
        <x:v>Wie begründet Jesus sein Essen mit Zöllnern und Sündern?</x:v>
      </x:c>
      <x:c r="G245" s="36" t="str">
        <x:v>Nicht die Gesunden brauchen einen Arzt, sondern die Kranken; er ist gekommen, Sünder zur Umkehr zu rufen.</x:v>
      </x:c>
      <x:c r="H245" s="36" t="str">
        <x:v>Zöllner seien grundsätzlich gerechter.</x:v>
      </x:c>
      <x:c r="I245" s="36" t="str">
        <x:v>Er wolle nur große Feste besuchen.</x:v>
      </x:c>
      <x:c r="J245" s="36" t="str">
        <x:v>Die Pharisäer hätten ihn darum gebeten.</x:v>
      </x:c>
      <x:c r="K245" s="36" t="n">
        <x:v>0</x:v>
      </x:c>
      <x:c r="L245" s="36" t="str">
        <x:v>Nicht die Gesunden brauchen einen Arzt, sondern die Kranken; er ist gekommen, Sünder zur Umkehr zu rufen.</x:v>
      </x:c>
      <x:c r="M245" s="36" t="str">
        <x:v>Lukas 5,27–32</x:v>
      </x:c>
      <x:c r="N245" s="36" t="str">
        <x:v>Jesus beschreibt seinen Auftrag mit dem Bild des Arztes und richtet seinen Ruf ausdrücklich an Sünder.</x:v>
      </x:c>
      <x:c r="O245" s="36" t="str">
        <x:v>FREIGEGEBEN</x:v>
      </x:c>
      <x:c r="P245" s="36" t="str">
        <x:v>FREIGEGEBEN</x:v>
      </x:c>
      <x:c r="Q245" s="36" t="str">
        <x:v>JA</x:v>
      </x:c>
    </x:row>
    <x:row r="246">
      <x:c r="A246" s="36" t="str">
        <x:v>FP-0505</x:v>
      </x:c>
      <x:c r="B246" s="36" t="str">
        <x:v>LUK</x:v>
      </x:c>
      <x:c r="C246" s="36" t="str">
        <x:v>Lukas</x:v>
      </x:c>
      <x:c r="D246" s="36" t="n">
        <x:v>5</x:v>
      </x:c>
      <x:c r="E246" s="36" t="n">
        <x:v>5</x:v>
      </x:c>
      <x:c r="F246" s="36" t="str">
        <x:v>Welches Bild verwendet Jesus für die Unvereinbarkeit von Neuem und Altem?</x:v>
      </x:c>
      <x:c r="G246" s="36" t="str">
        <x:v>Neues Brot gehört in alte Körbe.</x:v>
      </x:c>
      <x:c r="H246" s="36" t="str">
        <x:v>Neuer Wein gehört in neue Schläuche.</x:v>
      </x:c>
      <x:c r="I246" s="36" t="str">
        <x:v>Neue Lampen brauchen alte Dochte.</x:v>
      </x:c>
      <x:c r="J246" s="36" t="str">
        <x:v>Neue Saat gehört auf steinigen Boden.</x:v>
      </x:c>
      <x:c r="K246" s="36" t="n">
        <x:v>1</x:v>
      </x:c>
      <x:c r="L246" s="36" t="str">
        <x:v>Neuer Wein gehört in neue Schläuche.</x:v>
      </x:c>
      <x:c r="M246" s="36" t="str">
        <x:v>Lukas 5,33–39</x:v>
      </x:c>
      <x:c r="N246" s="36" t="str">
        <x:v>Jesus nutzt unter anderem das Bild vom neuen Wein, der in frische Schläuche gehört.</x:v>
      </x:c>
      <x:c r="O246" s="36" t="str">
        <x:v>FREIGEGEBEN</x:v>
      </x:c>
      <x:c r="P246" s="36" t="str">
        <x:v>FREIGEGEBEN</x:v>
      </x:c>
      <x:c r="Q246" s="36" t="str">
        <x:v>JA</x:v>
      </x:c>
    </x:row>
    <x:row r="247">
      <x:c r="A247" s="36" t="str">
        <x:v>FP-0506</x:v>
      </x:c>
      <x:c r="B247" s="36" t="str">
        <x:v>LUK</x:v>
      </x:c>
      <x:c r="C247" s="36" t="str">
        <x:v>Lukas</x:v>
      </x:c>
      <x:c r="D247" s="36" t="n">
        <x:v>6</x:v>
      </x:c>
      <x:c r="E247" s="36" t="n">
        <x:v>1</x:v>
      </x:c>
      <x:c r="F247" s="36" t="str">
        <x:v>Welche Aussage macht Jesus im Streit über das Ährenpflücken am Sabbat?</x:v>
      </x:c>
      <x:c r="G247" s="36" t="str">
        <x:v>Am Sabbat darf niemand essen.</x:v>
      </x:c>
      <x:c r="H247" s="36" t="str">
        <x:v>David habe gegen Gottes Wort verstoßen.</x:v>
      </x:c>
      <x:c r="I247" s="36" t="str">
        <x:v>Der Menschensohn ist Herr über den Sabbat.</x:v>
      </x:c>
      <x:c r="J247" s="36" t="str">
        <x:v>Nur Priester dürfen durch Felder gehen.</x:v>
      </x:c>
      <x:c r="K247" s="36" t="n">
        <x:v>2</x:v>
      </x:c>
      <x:c r="L247" s="36" t="str">
        <x:v>Der Menschensohn ist Herr über den Sabbat.</x:v>
      </x:c>
      <x:c r="M247" s="36" t="str">
        <x:v>Lukas 6,1–5</x:v>
      </x:c>
      <x:c r="N247" s="36" t="str">
        <x:v>Jesus verweist auf David und schließt mit der Aussage, dass der Menschensohn Herr über den Sabbat ist.</x:v>
      </x:c>
      <x:c r="O247" s="36" t="str">
        <x:v>FREIGEGEBEN</x:v>
      </x:c>
      <x:c r="P247" s="36" t="str">
        <x:v>FREIGEGEBEN</x:v>
      </x:c>
      <x:c r="Q247" s="36" t="str">
        <x:v>JA</x:v>
      </x:c>
    </x:row>
    <x:row r="248">
      <x:c r="A248" s="36" t="str">
        <x:v>FP-0507</x:v>
      </x:c>
      <x:c r="B248" s="36" t="str">
        <x:v>LUK</x:v>
      </x:c>
      <x:c r="C248" s="36" t="str">
        <x:v>Lukas</x:v>
      </x:c>
      <x:c r="D248" s="36" t="n">
        <x:v>6</x:v>
      </x:c>
      <x:c r="E248" s="36" t="n">
        <x:v>2</x:v>
      </x:c>
      <x:c r="F248" s="36" t="str">
        <x:v>Welche Frage stellt Jesus vor der Heilung der verdorrten Hand?</x:v>
      </x:c>
      <x:c r="G248" s="36" t="str">
        <x:v>Ob der Mann genug Glauben hat.</x:v>
      </x:c>
      <x:c r="H248" s="36" t="str">
        <x:v>Ob die Synagoge geöffnet bleiben soll.</x:v>
      </x:c>
      <x:c r="I248" s="36" t="str">
        <x:v>Ob man am Sabbat sprechen darf.</x:v>
      </x:c>
      <x:c r="J248" s="36" t="str">
        <x:v>Ob es am Sabbat erlaubt ist, Gutes zu tun oder Böses zu tun, Leben zu retten oder zu zerstören.</x:v>
      </x:c>
      <x:c r="K248" s="36" t="n">
        <x:v>3</x:v>
      </x:c>
      <x:c r="L248" s="36" t="str">
        <x:v>Ob es am Sabbat erlaubt ist, Gutes zu tun oder Böses zu tun, Leben zu retten oder zu zerstören.</x:v>
      </x:c>
      <x:c r="M248" s="36" t="str">
        <x:v>Lukas 6,6–11</x:v>
      </x:c>
      <x:c r="N248" s="36" t="str">
        <x:v>Jesus stellt die Frage nach Gutem und Bösem sowie Retten und Zerstören in den Mittelpunkt.</x:v>
      </x:c>
      <x:c r="O248" s="36" t="str">
        <x:v>FREIGEGEBEN</x:v>
      </x:c>
      <x:c r="P248" s="36" t="str">
        <x:v>FREIGEGEBEN</x:v>
      </x:c>
      <x:c r="Q248" s="36" t="str">
        <x:v>JA</x:v>
      </x:c>
    </x:row>
    <x:row r="249">
      <x:c r="A249" s="36" t="str">
        <x:v>FP-0508</x:v>
      </x:c>
      <x:c r="B249" s="36" t="str">
        <x:v>LUK</x:v>
      </x:c>
      <x:c r="C249" s="36" t="str">
        <x:v>Lukas</x:v>
      </x:c>
      <x:c r="D249" s="36" t="n">
        <x:v>6</x:v>
      </x:c>
      <x:c r="E249" s="36" t="n">
        <x:v>3</x:v>
      </x:c>
      <x:c r="F249" s="36" t="str">
        <x:v>Welche Zusage gibt Jesus den Armen in den Seligpreisungen?</x:v>
      </x:c>
      <x:c r="G249" s="36" t="str">
        <x:v>Euch gehört das Reich Gottes.</x:v>
      </x:c>
      <x:c r="H249" s="36" t="str">
        <x:v>Ihr werdet alle reich werden.</x:v>
      </x:c>
      <x:c r="I249" s="36" t="str">
        <x:v>Ihr müsst Jerusalem verlassen.</x:v>
      </x:c>
      <x:c r="J249" s="36" t="str">
        <x:v>Ihr werdet nie wieder leiden.</x:v>
      </x:c>
      <x:c r="K249" s="36" t="n">
        <x:v>0</x:v>
      </x:c>
      <x:c r="L249" s="36" t="str">
        <x:v>Euch gehört das Reich Gottes.</x:v>
      </x:c>
      <x:c r="M249" s="36" t="str">
        <x:v>Lukas 6,20–23</x:v>
      </x:c>
      <x:c r="N249" s="36" t="str">
        <x:v>Jesus spricht den Armen das Reich Gottes zu.</x:v>
      </x:c>
      <x:c r="O249" s="36" t="str">
        <x:v>FREIGEGEBEN</x:v>
      </x:c>
      <x:c r="P249" s="36" t="str">
        <x:v>FREIGEGEBEN</x:v>
      </x:c>
      <x:c r="Q249" s="36" t="str">
        <x:v>JA</x:v>
      </x:c>
    </x:row>
    <x:row r="250">
      <x:c r="A250" s="36" t="str">
        <x:v>FP-0509</x:v>
      </x:c>
      <x:c r="B250" s="36" t="str">
        <x:v>LUK</x:v>
      </x:c>
      <x:c r="C250" s="36" t="str">
        <x:v>Lukas</x:v>
      </x:c>
      <x:c r="D250" s="36" t="n">
        <x:v>6</x:v>
      </x:c>
      <x:c r="E250" s="36" t="n">
        <x:v>4</x:v>
      </x:c>
      <x:c r="F250" s="36" t="str">
        <x:v>Wie sollen Jesu Jünger mit ihren Feinden umgehen?</x:v>
      </x:c>
      <x:c r="G250" s="36" t="str">
        <x:v>Sie vollständig ignorieren.</x:v>
      </x:c>
      <x:c r="H250" s="36" t="str">
        <x:v>Sie lieben, ihnen Gutes tun, für sie beten und barmherzig sein.</x:v>
      </x:c>
      <x:c r="I250" s="36" t="str">
        <x:v>Sie öffentlich beschämen.</x:v>
      </x:c>
      <x:c r="J250" s="36" t="str">
        <x:v>Sie nur lieben, wenn sie sich zuerst entschuldigen.</x:v>
      </x:c>
      <x:c r="K250" s="36" t="n">
        <x:v>1</x:v>
      </x:c>
      <x:c r="L250" s="36" t="str">
        <x:v>Sie lieben, ihnen Gutes tun, für sie beten und barmherzig sein.</x:v>
      </x:c>
      <x:c r="M250" s="36" t="str">
        <x:v>Lukas 6,27–36</x:v>
      </x:c>
      <x:c r="N250" s="36" t="str">
        <x:v>Jesus fordert Feindesliebe, Gebet für Misshandelnde und Barmherzigkeit nach dem Vorbild des Vaters.</x:v>
      </x:c>
      <x:c r="O250" s="36" t="str">
        <x:v>FREIGEGEBEN</x:v>
      </x:c>
      <x:c r="P250" s="36" t="str">
        <x:v>FREIGEGEBEN</x:v>
      </x:c>
      <x:c r="Q250" s="36" t="str">
        <x:v>JA</x:v>
      </x:c>
    </x:row>
    <x:row r="251">
      <x:c r="A251" s="36" t="str">
        <x:v>FP-0510</x:v>
      </x:c>
      <x:c r="B251" s="36" t="str">
        <x:v>LUK</x:v>
      </x:c>
      <x:c r="C251" s="36" t="str">
        <x:v>Lukas</x:v>
      </x:c>
      <x:c r="D251" s="36" t="n">
        <x:v>6</x:v>
      </x:c>
      <x:c r="E251" s="36" t="n">
        <x:v>5</x:v>
      </x:c>
      <x:c r="F251" s="36" t="str">
        <x:v>Womit vergleicht Jesus einen Menschen, der seine Worte hört und danach handelt?</x:v>
      </x:c>
      <x:c r="G251" s="36" t="str">
        <x:v>Mit einem Baum ohne Wurzeln.</x:v>
      </x:c>
      <x:c r="H251" s="36" t="str">
        <x:v>Mit einem Schiff ohne Segel.</x:v>
      </x:c>
      <x:c r="I251" s="36" t="str">
        <x:v>Mit einem Haus, dessen Fundament tief auf Fels gelegt ist.</x:v>
      </x:c>
      <x:c r="J251" s="36" t="str">
        <x:v>Mit einem Haus auf Sand ohne Fundament.</x:v>
      </x:c>
      <x:c r="K251" s="36" t="n">
        <x:v>2</x:v>
      </x:c>
      <x:c r="L251" s="36" t="str">
        <x:v>Mit einem Haus, dessen Fundament tief auf Fels gelegt ist.</x:v>
      </x:c>
      <x:c r="M251" s="36" t="str">
        <x:v>Lukas 6,43–49</x:v>
      </x:c>
      <x:c r="N251" s="36" t="str">
        <x:v>Wer Jesu Worte hört und tut, gleicht einem stabil gebauten Haus mit Fundament auf Fels.</x:v>
      </x:c>
      <x:c r="O251" s="36" t="str">
        <x:v>FREIGEGEBEN</x:v>
      </x:c>
      <x:c r="P251" s="36" t="str">
        <x:v>FREIGEGEBEN</x:v>
      </x:c>
      <x:c r="Q251" s="36" t="str">
        <x:v>JA</x:v>
      </x:c>
    </x:row>
    <x:row r="252">
      <x:c r="A252" s="36" t="str">
        <x:v>FP-0511</x:v>
      </x:c>
      <x:c r="B252" s="36" t="str">
        <x:v>LUK</x:v>
      </x:c>
      <x:c r="C252" s="36" t="str">
        <x:v>Lukas</x:v>
      </x:c>
      <x:c r="D252" s="36" t="n">
        <x:v>7</x:v>
      </x:c>
      <x:c r="E252" s="36" t="n">
        <x:v>1</x:v>
      </x:c>
      <x:c r="F252" s="36" t="str">
        <x:v>Warum staunt Jesus über den Glauben des Hauptmanns?</x:v>
      </x:c>
      <x:c r="G252" s="36" t="str">
        <x:v>Der Hauptmann verspricht eine große Geldsumme.</x:v>
      </x:c>
      <x:c r="H252" s="36" t="str">
        <x:v>Der Hauptmann ist selbst Priester.</x:v>
      </x:c>
      <x:c r="I252" s="36" t="str">
        <x:v>Der Hauptmann hat Jesus schon jahrelang begleitet.</x:v>
      </x:c>
      <x:c r="J252" s="36" t="str">
        <x:v>Der Hauptmann vertraut darauf, dass Jesu Wort genügt, obwohl Jesus nicht in sein Haus kommen muss.</x:v>
      </x:c>
      <x:c r="K252" s="36" t="n">
        <x:v>3</x:v>
      </x:c>
      <x:c r="L252" s="36" t="str">
        <x:v>Der Hauptmann vertraut darauf, dass Jesu Wort genügt, obwohl Jesus nicht in sein Haus kommen muss.</x:v>
      </x:c>
      <x:c r="M252" s="36" t="str">
        <x:v>Lukas 7,1–10</x:v>
      </x:c>
      <x:c r="N252" s="36" t="str">
        <x:v>Der Hauptmann hält sich nicht für würdig, Jesus zu empfangen, vertraut aber vollständig auf die Wirksamkeit seines Wortes.</x:v>
      </x:c>
      <x:c r="O252" s="36" t="str">
        <x:v>FREIGEGEBEN</x:v>
      </x:c>
      <x:c r="P252" s="36" t="str">
        <x:v>FREIGEGEBEN</x:v>
      </x:c>
      <x:c r="Q252" s="36" t="str">
        <x:v>JA</x:v>
      </x:c>
    </x:row>
    <x:row r="253">
      <x:c r="A253" s="36" t="str">
        <x:v>FP-0512</x:v>
      </x:c>
      <x:c r="B253" s="36" t="str">
        <x:v>LUK</x:v>
      </x:c>
      <x:c r="C253" s="36" t="str">
        <x:v>Lukas</x:v>
      </x:c>
      <x:c r="D253" s="36" t="n">
        <x:v>7</x:v>
      </x:c>
      <x:c r="E253" s="36" t="n">
        <x:v>2</x:v>
      </x:c>
      <x:c r="F253" s="36" t="str">
        <x:v>Was tut Jesus mit dem einzigen Sohn der Witwe von Nain?</x:v>
      </x:c>
      <x:c r="G253" s="36" t="str">
        <x:v>Er ruft den jungen Mann ins Leben zurück und gibt ihn seiner Mutter.</x:v>
      </x:c>
      <x:c r="H253" s="36" t="str">
        <x:v>Er schickt ihn in den Tempel.</x:v>
      </x:c>
      <x:c r="I253" s="36" t="str">
        <x:v>Er bittet die Jünger, ihn zu begraben.</x:v>
      </x:c>
      <x:c r="J253" s="36" t="str">
        <x:v>Er bringt die Witwe nach Kapernaum.</x:v>
      </x:c>
      <x:c r="K253" s="36" t="n">
        <x:v>0</x:v>
      </x:c>
      <x:c r="L253" s="36" t="str">
        <x:v>Er ruft den jungen Mann ins Leben zurück und gibt ihn seiner Mutter.</x:v>
      </x:c>
      <x:c r="M253" s="36" t="str">
        <x:v>Lukas 7,11–17</x:v>
      </x:c>
      <x:c r="N253" s="36" t="str">
        <x:v>Jesus hat Mitleid mit der Witwe, spricht den Toten an, und der junge Mann richtet sich auf.</x:v>
      </x:c>
      <x:c r="O253" s="36" t="str">
        <x:v>FREIGEGEBEN</x:v>
      </x:c>
      <x:c r="P253" s="36" t="str">
        <x:v>FREIGEGEBEN</x:v>
      </x:c>
      <x:c r="Q253" s="36" t="str">
        <x:v>JA</x:v>
      </x:c>
    </x:row>
    <x:row r="254">
      <x:c r="A254" s="36" t="str">
        <x:v>FP-0513</x:v>
      </x:c>
      <x:c r="B254" s="36" t="str">
        <x:v>LUK</x:v>
      </x:c>
      <x:c r="C254" s="36" t="str">
        <x:v>Lukas</x:v>
      </x:c>
      <x:c r="D254" s="36" t="n">
        <x:v>7</x:v>
      </x:c>
      <x:c r="E254" s="36" t="n">
        <x:v>3</x:v>
      </x:c>
      <x:c r="F254" s="36" t="str">
        <x:v>Wie beantwortet Jesus die Frage Johannes' des Täufers, ob er der Kommende sei?</x:v>
      </x:c>
      <x:c r="G254" s="36" t="str">
        <x:v>Er nennt nur seinen Stammbaum.</x:v>
      </x:c>
      <x:c r="H254" s="36" t="str">
        <x:v>Er verweist auf das, was seine Boten sehen und hören: Heilungen, Auferweckung und Evangelium für die Armen.</x:v>
      </x:c>
      <x:c r="I254" s="36" t="str">
        <x:v>Er gibt ihnen ein geheimes Zeichen.</x:v>
      </x:c>
      <x:c r="J254" s="36" t="str">
        <x:v>Er schickt sie ohne Antwort zurück.</x:v>
      </x:c>
      <x:c r="K254" s="36" t="n">
        <x:v>1</x:v>
      </x:c>
      <x:c r="L254" s="36" t="str">
        <x:v>Er verweist auf das, was seine Boten sehen und hören: Heilungen, Auferweckung und Evangelium für die Armen.</x:v>
      </x:c>
      <x:c r="M254" s="36" t="str">
        <x:v>Lukas 7,18–23</x:v>
      </x:c>
      <x:c r="N254" s="36" t="str">
        <x:v>Jesus verweist auf konkrete Zeichen seines Wirkens, die die Boten Johannes berichten sollen.</x:v>
      </x:c>
      <x:c r="O254" s="36" t="str">
        <x:v>FREIGEGEBEN</x:v>
      </x:c>
      <x:c r="P254" s="36" t="str">
        <x:v>FREIGEGEBEN</x:v>
      </x:c>
      <x:c r="Q254" s="36" t="str">
        <x:v>JA</x:v>
      </x:c>
    </x:row>
    <x:row r="255">
      <x:c r="A255" s="36" t="str">
        <x:v>FP-0514</x:v>
      </x:c>
      <x:c r="B255" s="36" t="str">
        <x:v>LUK</x:v>
      </x:c>
      <x:c r="C255" s="36" t="str">
        <x:v>Lukas</x:v>
      </x:c>
      <x:c r="D255" s="36" t="n">
        <x:v>7</x:v>
      </x:c>
      <x:c r="E255" s="36" t="n">
        <x:v>4</x:v>
      </x:c>
      <x:c r="F255" s="36" t="str">
        <x:v>Wie beschreibt Jesus Johannes den Täufer?</x:v>
      </x:c>
      <x:c r="G255" s="36" t="str">
        <x:v>Als einen König von Israel.</x:v>
      </x:c>
      <x:c r="H255" s="36" t="str">
        <x:v>Als den letzten Hohepriester.</x:v>
      </x:c>
      <x:c r="I255" s="36" t="str">
        <x:v>Als mehr als einen Propheten und als den angekündigten Boten, der den Weg bereitet.</x:v>
      </x:c>
      <x:c r="J255" s="36" t="str">
        <x:v>Als einen seiner zwölf Apostel.</x:v>
      </x:c>
      <x:c r="K255" s="36" t="n">
        <x:v>2</x:v>
      </x:c>
      <x:c r="L255" s="36" t="str">
        <x:v>Als mehr als einen Propheten und als den angekündigten Boten, der den Weg bereitet.</x:v>
      </x:c>
      <x:c r="M255" s="36" t="str">
        <x:v>Lukas 7,24–28</x:v>
      </x:c>
      <x:c r="N255" s="36" t="str">
        <x:v>Jesus bezeichnet Johannes als mehr als einen Propheten und verbindet ihn mit dem angekündigten Wegbereiter.</x:v>
      </x:c>
      <x:c r="O255" s="36" t="str">
        <x:v>FREIGEGEBEN</x:v>
      </x:c>
      <x:c r="P255" s="36" t="str">
        <x:v>FREIGEGEBEN</x:v>
      </x:c>
      <x:c r="Q255" s="36" t="str">
        <x:v>JA</x:v>
      </x:c>
    </x:row>
    <x:row r="256">
      <x:c r="A256" s="36" t="str">
        <x:v>FP-0515</x:v>
      </x:c>
      <x:c r="B256" s="36" t="str">
        <x:v>LUK</x:v>
      </x:c>
      <x:c r="C256" s="36" t="str">
        <x:v>Lukas</x:v>
      </x:c>
      <x:c r="D256" s="36" t="n">
        <x:v>7</x:v>
      </x:c>
      <x:c r="E256" s="36" t="n">
        <x:v>5</x:v>
      </x:c>
      <x:c r="F256" s="36" t="str">
        <x:v>Welche Verbindung stellt Jesus im Haus des Pharisäers zwischen Vergebung und Liebe her?</x:v>
      </x:c>
      <x:c r="G256" s="36" t="str">
        <x:v>Liebe macht Vergebung unnötig.</x:v>
      </x:c>
      <x:c r="H256" s="36" t="str">
        <x:v>Nur der Gastgeber kann vergeben.</x:v>
      </x:c>
      <x:c r="I256" s="36" t="str">
        <x:v>Vergebung hängt von Reichtum ab.</x:v>
      </x:c>
      <x:c r="J256" s="36" t="str">
        <x:v>Wem viel vergeben ist, dessen große Liebe wird sichtbar; der Frau sagt er, ihr Glaube habe sie gerettet.</x:v>
      </x:c>
      <x:c r="K256" s="36" t="n">
        <x:v>3</x:v>
      </x:c>
      <x:c r="L256" s="36" t="str">
        <x:v>Wem viel vergeben ist, dessen große Liebe wird sichtbar; der Frau sagt er, ihr Glaube habe sie gerettet.</x:v>
      </x:c>
      <x:c r="M256" s="36" t="str">
        <x:v>Lukas 7,36–50</x:v>
      </x:c>
      <x:c r="N256" s="36" t="str">
        <x:v>Jesu Gleichnis von zwei Schuldnern erklärt, warum die große Liebe der Frau mit erfahrene Vergebung zusammenhängt.</x:v>
      </x:c>
      <x:c r="O256" s="36" t="str">
        <x:v>FREIGEGEBEN</x:v>
      </x:c>
      <x:c r="P256" s="36" t="str">
        <x:v>FREIGEGEBEN</x:v>
      </x:c>
      <x:c r="Q256" s="36" t="str">
        <x:v>JA</x:v>
      </x:c>
    </x:row>
    <x:row r="257">
      <x:c r="A257" s="36" t="str">
        <x:v>FP-0516</x:v>
      </x:c>
      <x:c r="B257" s="36" t="str">
        <x:v>LUK</x:v>
      </x:c>
      <x:c r="C257" s="36" t="str">
        <x:v>Lukas</x:v>
      </x:c>
      <x:c r="D257" s="36" t="n">
        <x:v>8</x:v>
      </x:c>
      <x:c r="E257" s="36" t="n">
        <x:v>1</x:v>
      </x:c>
      <x:c r="F257" s="36" t="str">
        <x:v>Wie unterstützen einige Frauen Jesus und die Zwölf auf ihren Reisen?</x:v>
      </x:c>
      <x:c r="G257" s="36" t="str">
        <x:v>Sie dienen ihnen aus ihrem eigenen Besitz.</x:v>
      </x:c>
      <x:c r="H257" s="36" t="str">
        <x:v>Sie führen römische Soldaten mit.</x:v>
      </x:c>
      <x:c r="I257" s="36" t="str">
        <x:v>Sie bauen Synagogen für sie.</x:v>
      </x:c>
      <x:c r="J257" s="36" t="str">
        <x:v>Sie schreiben alle Gleichnisse auf.</x:v>
      </x:c>
      <x:c r="K257" s="36" t="n">
        <x:v>0</x:v>
      </x:c>
      <x:c r="L257" s="36" t="str">
        <x:v>Sie dienen ihnen aus ihrem eigenen Besitz.</x:v>
      </x:c>
      <x:c r="M257" s="36" t="str">
        <x:v>Lukas 8,1–3</x:v>
      </x:c>
      <x:c r="N257" s="36" t="str">
        <x:v>Lukas nennt mehrere Frauen, die Jesus begleiten und die Gruppe aus ihren eigenen Mitteln unterstützen.</x:v>
      </x:c>
      <x:c r="O257" s="36" t="str">
        <x:v>FREIGEGEBEN</x:v>
      </x:c>
      <x:c r="P257" s="36" t="str">
        <x:v>FREIGEGEBEN</x:v>
      </x:c>
      <x:c r="Q257" s="36" t="str">
        <x:v>JA</x:v>
      </x:c>
    </x:row>
    <x:row r="258">
      <x:c r="A258" s="36" t="str">
        <x:v>FP-0517</x:v>
      </x:c>
      <x:c r="B258" s="36" t="str">
        <x:v>LUK</x:v>
      </x:c>
      <x:c r="C258" s="36" t="str">
        <x:v>Lukas</x:v>
      </x:c>
      <x:c r="D258" s="36" t="n">
        <x:v>8</x:v>
      </x:c>
      <x:c r="E258" s="36" t="n">
        <x:v>2</x:v>
      </x:c>
      <x:c r="F258" s="36" t="str">
        <x:v>Wofür steht der gute Boden im Gleichnis vom Sämann?</x:v>
      </x:c>
      <x:c r="G258" s="36" t="str">
        <x:v>Für Menschen, die das Wort sofort vergessen.</x:v>
      </x:c>
      <x:c r="H258" s="36" t="str">
        <x:v>Für Menschen, die das Wort hören, bewahren und mit Ausdauer Frucht bringen.</x:v>
      </x:c>
      <x:c r="I258" s="36" t="str">
        <x:v>Für Menschen, die nur Reichtum suchen.</x:v>
      </x:c>
      <x:c r="J258" s="36" t="str">
        <x:v>Für Menschen, die nie Prüfungen erleben.</x:v>
      </x:c>
      <x:c r="K258" s="36" t="n">
        <x:v>1</x:v>
      </x:c>
      <x:c r="L258" s="36" t="str">
        <x:v>Für Menschen, die das Wort hören, bewahren und mit Ausdauer Frucht bringen.</x:v>
      </x:c>
      <x:c r="M258" s="36" t="str">
        <x:v>Lukas 8,4–15</x:v>
      </x:c>
      <x:c r="N258" s="36" t="str">
        <x:v>Der gute Boden steht für ein gutes Herz, das das Wort hört, festhält und geduldig Frucht bringt.</x:v>
      </x:c>
      <x:c r="O258" s="36" t="str">
        <x:v>FREIGEGEBEN</x:v>
      </x:c>
      <x:c r="P258" s="36" t="str">
        <x:v>FREIGEGEBEN</x:v>
      </x:c>
      <x:c r="Q258" s="36" t="str">
        <x:v>JA</x:v>
      </x:c>
    </x:row>
    <x:row r="259">
      <x:c r="A259" s="36" t="str">
        <x:v>FP-0518</x:v>
      </x:c>
      <x:c r="B259" s="36" t="str">
        <x:v>LUK</x:v>
      </x:c>
      <x:c r="C259" s="36" t="str">
        <x:v>Lukas</x:v>
      </x:c>
      <x:c r="D259" s="36" t="n">
        <x:v>8</x:v>
      </x:c>
      <x:c r="E259" s="36" t="n">
        <x:v>3</x:v>
      </x:c>
      <x:c r="F259" s="36" t="str">
        <x:v>Was sagt Jesus über eine angezündete Lampe?</x:v>
      </x:c>
      <x:c r="G259" s="36" t="str">
        <x:v>Man verbirgt sie unter einem Gefäß.</x:v>
      </x:c>
      <x:c r="H259" s="36" t="str">
        <x:v>Man löscht sie sofort wieder.</x:v>
      </x:c>
      <x:c r="I259" s="36" t="str">
        <x:v>Man stellt sie auf einen Leuchter, damit die Hereinkommenden das Licht sehen.</x:v>
      </x:c>
      <x:c r="J259" s="36" t="str">
        <x:v>Man darf sie nur im Tempel anzünden.</x:v>
      </x:c>
      <x:c r="K259" s="36" t="n">
        <x:v>2</x:v>
      </x:c>
      <x:c r="L259" s="36" t="str">
        <x:v>Man stellt sie auf einen Leuchter, damit die Hereinkommenden das Licht sehen.</x:v>
      </x:c>
      <x:c r="M259" s="36" t="str">
        <x:v>Lukas 8,16–18</x:v>
      </x:c>
      <x:c r="N259" s="36" t="str">
        <x:v>Das Licht soll sichtbar sein; Jesus verbindet das Bild mit der Aufforderung, darauf zu achten, wie man hört.</x:v>
      </x:c>
      <x:c r="O259" s="36" t="str">
        <x:v>FREIGEGEBEN</x:v>
      </x:c>
      <x:c r="P259" s="36" t="str">
        <x:v>FREIGEGEBEN</x:v>
      </x:c>
      <x:c r="Q259" s="36" t="str">
        <x:v>JA</x:v>
      </x:c>
    </x:row>
    <x:row r="260">
      <x:c r="A260" s="36" t="str">
        <x:v>FP-0519</x:v>
      </x:c>
      <x:c r="B260" s="36" t="str">
        <x:v>LUK</x:v>
      </x:c>
      <x:c r="C260" s="36" t="str">
        <x:v>Lukas</x:v>
      </x:c>
      <x:c r="D260" s="36" t="n">
        <x:v>8</x:v>
      </x:c>
      <x:c r="E260" s="36" t="n">
        <x:v>4</x:v>
      </x:c>
      <x:c r="F260" s="36" t="str">
        <x:v>Wie reagieren Wind und Wellen, als Jesus sie auf dem See bedroht?</x:v>
      </x:c>
      <x:c r="G260" s="36" t="str">
        <x:v>Der Sturm wird stärker.</x:v>
      </x:c>
      <x:c r="H260" s="36" t="str">
        <x:v>Das Boot kentert.</x:v>
      </x:c>
      <x:c r="I260" s="36" t="str">
        <x:v>Nur der Wind hört auf, die Wellen bleiben.</x:v>
      </x:c>
      <x:c r="J260" s="36" t="str">
        <x:v>Sie legen sich, und es wird still.</x:v>
      </x:c>
      <x:c r="K260" s="36" t="n">
        <x:v>3</x:v>
      </x:c>
      <x:c r="L260" s="36" t="str">
        <x:v>Sie legen sich, und es wird still.</x:v>
      </x:c>
      <x:c r="M260" s="36" t="str">
        <x:v>Lukas 8,22–25</x:v>
      </x:c>
      <x:c r="N260" s="36" t="str">
        <x:v>Jesus stillt Wind und Wellen; die Jünger staunen darüber, dass selbst Naturgewalten ihm gehorchen.</x:v>
      </x:c>
      <x:c r="O260" s="36" t="str">
        <x:v>FREIGEGEBEN</x:v>
      </x:c>
      <x:c r="P260" s="36" t="str">
        <x:v>FREIGEGEBEN</x:v>
      </x:c>
      <x:c r="Q260" s="36" t="str">
        <x:v>JA</x:v>
      </x:c>
    </x:row>
    <x:row r="261">
      <x:c r="A261" s="36" t="str">
        <x:v>FP-0520</x:v>
      </x:c>
      <x:c r="B261" s="36" t="str">
        <x:v>LUK</x:v>
      </x:c>
      <x:c r="C261" s="36" t="str">
        <x:v>Lukas</x:v>
      </x:c>
      <x:c r="D261" s="36" t="n">
        <x:v>8</x:v>
      </x:c>
      <x:c r="E261" s="36" t="n">
        <x:v>5</x:v>
      </x:c>
      <x:c r="F261" s="36" t="str">
        <x:v>Was sagt Jesus zu Jairus, als die Nachricht vom Tod seiner Tochter kommt?</x:v>
      </x:c>
      <x:c r="G261" s="36" t="str">
        <x:v>Fürchte dich nicht; glaube nur, und sie wird gerettet werden.</x:v>
      </x:c>
      <x:c r="H261" s="36" t="str">
        <x:v>Es ist zu spät.</x:v>
      </x:c>
      <x:c r="I261" s="36" t="str">
        <x:v>Geh allein nach Hause.</x:v>
      </x:c>
      <x:c r="J261" s="36" t="str">
        <x:v>Suche zuerst einen Arzt.</x:v>
      </x:c>
      <x:c r="K261" s="36" t="n">
        <x:v>0</x:v>
      </x:c>
      <x:c r="L261" s="36" t="str">
        <x:v>Fürchte dich nicht; glaube nur, und sie wird gerettet werden.</x:v>
      </x:c>
      <x:c r="M261" s="36" t="str">
        <x:v>Lukas 8,40–56</x:v>
      </x:c>
      <x:c r="N261" s="36" t="str">
        <x:v>Jesus fordert Jairus auf, nicht zu fürchten, sondern zu glauben; anschließend richtet er das Mädchen auf.</x:v>
      </x:c>
      <x:c r="O261" s="36" t="str">
        <x:v>FREIGEGEBEN</x:v>
      </x:c>
      <x:c r="P261" s="36" t="str">
        <x:v>FREIGEGEBEN</x:v>
      </x:c>
      <x:c r="Q261" s="36" t="str">
        <x:v>JA</x:v>
      </x:c>
    </x:row>
    <x:row r="262">
      <x:c r="A262" s="36" t="str">
        <x:v>FP-0521</x:v>
      </x:c>
      <x:c r="B262" s="36" t="str">
        <x:v>LUK</x:v>
      </x:c>
      <x:c r="C262" s="36" t="str">
        <x:v>Lukas</x:v>
      </x:c>
      <x:c r="D262" s="36" t="n">
        <x:v>9</x:v>
      </x:c>
      <x:c r="E262" s="36" t="n">
        <x:v>1</x:v>
      </x:c>
      <x:c r="F262" s="36" t="str">
        <x:v>Mit welchem Auftrag sendet Jesus die Zwölf aus?</x:v>
      </x:c>
      <x:c r="G262" s="36" t="str">
        <x:v>Steuern für den Tempel zu sammeln.</x:v>
      </x:c>
      <x:c r="H262" s="36" t="str">
        <x:v>Das Reich Gottes zu verkünden und Kranke zu heilen, mit Vollmacht über Dämonen.</x:v>
      </x:c>
      <x:c r="I262" s="36" t="str">
        <x:v>Neue Häuser zu bauen.</x:v>
      </x:c>
      <x:c r="J262" s="36" t="str">
        <x:v>Nur in Jerusalem zu bleiben.</x:v>
      </x:c>
      <x:c r="K262" s="36" t="n">
        <x:v>1</x:v>
      </x:c>
      <x:c r="L262" s="36" t="str">
        <x:v>Das Reich Gottes zu verkünden und Kranke zu heilen, mit Vollmacht über Dämonen.</x:v>
      </x:c>
      <x:c r="M262" s="36" t="str">
        <x:v>Lukas 9,1–6</x:v>
      </x:c>
      <x:c r="N262" s="36" t="str">
        <x:v>Jesus gibt den Zwölf Kraft und Vollmacht, sendet sie zur Verkündigung des Reiches und zur Heilung.</x:v>
      </x:c>
      <x:c r="O262" s="36" t="str">
        <x:v>FREIGEGEBEN</x:v>
      </x:c>
      <x:c r="P262" s="36" t="str">
        <x:v>FREIGEGEBEN</x:v>
      </x:c>
      <x:c r="Q262" s="36" t="str">
        <x:v>JA</x:v>
      </x:c>
    </x:row>
    <x:row r="263">
      <x:c r="A263" s="36" t="str">
        <x:v>FP-0522</x:v>
      </x:c>
      <x:c r="B263" s="36" t="str">
        <x:v>LUK</x:v>
      </x:c>
      <x:c r="C263" s="36" t="str">
        <x:v>Lukas</x:v>
      </x:c>
      <x:c r="D263" s="36" t="n">
        <x:v>9</x:v>
      </x:c>
      <x:c r="E263" s="36" t="n">
        <x:v>2</x:v>
      </x:c>
      <x:c r="F263" s="36" t="str">
        <x:v>Womit werden die etwa fünftausend Menschen gespeist, und wie viel bleibt übrig?</x:v>
      </x:c>
      <x:c r="G263" s="36" t="str">
        <x:v>Mit sieben Broten; sieben Körbe bleiben.</x:v>
      </x:c>
      <x:c r="H263" s="36" t="str">
        <x:v>Mit zwölf Broten; zwei Körbe bleiben.</x:v>
      </x:c>
      <x:c r="I263" s="36" t="str">
        <x:v>Mit fünf Broten und zwei Fischen; zwölf Körbe bleiben übrig.</x:v>
      </x:c>
      <x:c r="J263" s="36" t="str">
        <x:v>Mit drei Broten und einem Fisch; fünf Körbe bleiben.</x:v>
      </x:c>
      <x:c r="K263" s="36" t="n">
        <x:v>2</x:v>
      </x:c>
      <x:c r="L263" s="36" t="str">
        <x:v>Mit fünf Broten und zwei Fischen; zwölf Körbe bleiben übrig.</x:v>
      </x:c>
      <x:c r="M263" s="36" t="str">
        <x:v>Lukas 9,10–17</x:v>
      </x:c>
      <x:c r="N263" s="36" t="str">
        <x:v>Jesus nimmt fünf Brote und zwei Fische; nach der Speisung werden zwölf Körbe mit Resten gesammelt.</x:v>
      </x:c>
      <x:c r="O263" s="36" t="str">
        <x:v>FREIGEGEBEN</x:v>
      </x:c>
      <x:c r="P263" s="36" t="str">
        <x:v>FREIGEGEBEN</x:v>
      </x:c>
      <x:c r="Q263" s="36" t="str">
        <x:v>JA</x:v>
      </x:c>
    </x:row>
    <x:row r="264">
      <x:c r="A264" s="36" t="str">
        <x:v>FP-0523</x:v>
      </x:c>
      <x:c r="B264" s="36" t="str">
        <x:v>LUK</x:v>
      </x:c>
      <x:c r="C264" s="36" t="str">
        <x:v>Lukas</x:v>
      </x:c>
      <x:c r="D264" s="36" t="n">
        <x:v>9</x:v>
      </x:c>
      <x:c r="E264" s="36" t="n">
        <x:v>3</x:v>
      </x:c>
      <x:c r="F264" s="36" t="str">
        <x:v>Wie beantwortet Petrus Jesu Frage, wer er sei?</x:v>
      </x:c>
      <x:c r="G264" s="36" t="str">
        <x:v>Elia allein.</x:v>
      </x:c>
      <x:c r="H264" s="36" t="str">
        <x:v>Johannes der Täufer.</x:v>
      </x:c>
      <x:c r="I264" s="36" t="str">
        <x:v>Ein Schriftgelehrter aus Nazareth.</x:v>
      </x:c>
      <x:c r="J264" s="36" t="str">
        <x:v>Der Christus Gottes.</x:v>
      </x:c>
      <x:c r="K264" s="36" t="n">
        <x:v>3</x:v>
      </x:c>
      <x:c r="L264" s="36" t="str">
        <x:v>Der Christus Gottes.</x:v>
      </x:c>
      <x:c r="M264" s="36" t="str">
        <x:v>Lukas 9,18–20</x:v>
      </x:c>
      <x:c r="N264" s="36" t="str">
        <x:v>Petrus bekennt Jesus als den Christus Gottes.</x:v>
      </x:c>
      <x:c r="O264" s="36" t="str">
        <x:v>FREIGEGEBEN</x:v>
      </x:c>
      <x:c r="P264" s="36" t="str">
        <x:v>FREIGEGEBEN</x:v>
      </x:c>
      <x:c r="Q264" s="36" t="str">
        <x:v>JA</x:v>
      </x:c>
    </x:row>
    <x:row r="265">
      <x:c r="A265" s="36" t="str">
        <x:v>FP-0524</x:v>
      </x:c>
      <x:c r="B265" s="36" t="str">
        <x:v>LUK</x:v>
      </x:c>
      <x:c r="C265" s="36" t="str">
        <x:v>Lukas</x:v>
      </x:c>
      <x:c r="D265" s="36" t="n">
        <x:v>9</x:v>
      </x:c>
      <x:c r="E265" s="36" t="n">
        <x:v>4</x:v>
      </x:c>
      <x:c r="F265" s="36" t="str">
        <x:v>Wer erscheint bei Jesu Verklärung, und was sagt die Stimme aus der Wolke?</x:v>
      </x:c>
      <x:c r="G265" s="36" t="str">
        <x:v>Mose und Elia; die Stimme nennt Jesus den erwählten Sohn und fordert auf, auf ihn zu hören.</x:v>
      </x:c>
      <x:c r="H265" s="36" t="str">
        <x:v>Abraham und David; die Stimme nennt Petrus zum Leiter.</x:v>
      </x:c>
      <x:c r="I265" s="36" t="str">
        <x:v>Jesaja und Jeremia; die Stimme befiehlt den Tempelbau.</x:v>
      </x:c>
      <x:c r="J265" s="36" t="str">
        <x:v>Johannes und Andreas; die Stimme fordert zur Rückkehr auf.</x:v>
      </x:c>
      <x:c r="K265" s="36" t="n">
        <x:v>0</x:v>
      </x:c>
      <x:c r="L265" s="36" t="str">
        <x:v>Mose und Elia; die Stimme nennt Jesus den erwählten Sohn und fordert auf, auf ihn zu hören.</x:v>
      </x:c>
      <x:c r="M265" s="36" t="str">
        <x:v>Lukas 9,28–36</x:v>
      </x:c>
      <x:c r="N265" s="36" t="str">
        <x:v>Mose und Elia erscheinen; die Stimme aus der Wolke richtet die Aufmerksamkeit auf Jesus und fordert die Jünger auf, auf ihn zu hören.</x:v>
      </x:c>
      <x:c r="O265" s="36" t="str">
        <x:v>FREIGEGEBEN</x:v>
      </x:c>
      <x:c r="P265" s="36" t="str">
        <x:v>FREIGEGEBEN</x:v>
      </x:c>
      <x:c r="Q265" s="36" t="str">
        <x:v>JA</x:v>
      </x:c>
    </x:row>
    <x:row r="266">
      <x:c r="A266" s="36" t="str">
        <x:v>FP-0525</x:v>
      </x:c>
      <x:c r="B266" s="36" t="str">
        <x:v>LUK</x:v>
      </x:c>
      <x:c r="C266" s="36" t="str">
        <x:v>Lukas</x:v>
      </x:c>
      <x:c r="D266" s="36" t="n">
        <x:v>9</x:v>
      </x:c>
      <x:c r="E266" s="36" t="n">
        <x:v>5</x:v>
      </x:c>
      <x:c r="F266" s="36" t="str">
        <x:v>Was macht Jesus in den kurzen Begegnungen am Ende von Lukas 9 über Nachfolge deutlich?</x:v>
      </x:c>
      <x:c r="G266" s="36" t="str">
        <x:v>Nachfolge ist nur für Menschen ohne Familie möglich.</x:v>
      </x:c>
      <x:c r="H266" s="36" t="str">
        <x:v>Nachfolge hat Vorrang und verlangt entschlossene Hingabe ohne ständiges Zurückblicken.</x:v>
      </x:c>
      <x:c r="I266" s="36" t="str">
        <x:v>Jeder Jünger muss zuerst ein Haus besitzen.</x:v>
      </x:c>
      <x:c r="J266" s="36" t="str">
        <x:v>Nachfolge darf nur in Galiläa beginnen.</x:v>
      </x:c>
      <x:c r="K266" s="36" t="n">
        <x:v>1</x:v>
      </x:c>
      <x:c r="L266" s="36" t="str">
        <x:v>Nachfolge hat Vorrang und verlangt entschlossene Hingabe ohne ständiges Zurückblicken.</x:v>
      </x:c>
      <x:c r="M266" s="36" t="str">
        <x:v>Lukas 9,57–62</x:v>
      </x:c>
      <x:c r="N266" s="36" t="str">
        <x:v>Jesus macht in mehreren Antworten deutlich, dass Nachfolge entschlossene Priorität und Bereitschaft zum Loslassen verlangt.</x:v>
      </x:c>
      <x:c r="O266" s="36" t="str">
        <x:v>FREIGEGEBEN</x:v>
      </x:c>
      <x:c r="P266" s="36" t="str">
        <x:v>FREIGEGEBEN</x:v>
      </x:c>
      <x:c r="Q266" s="36" t="str">
        <x:v>JA</x:v>
      </x:c>
    </x:row>
    <x:row r="267">
      <x:c r="A267" s="36" t="str">
        <x:v>FP-0526</x:v>
      </x:c>
      <x:c r="B267" s="36" t="str">
        <x:v>LUK</x:v>
      </x:c>
      <x:c r="C267" s="36" t="str">
        <x:v>Lukas</x:v>
      </x:c>
      <x:c r="D267" s="36" t="n">
        <x:v>10</x:v>
      </x:c>
      <x:c r="E267" s="36" t="n">
        <x:v>1</x:v>
      </x:c>
      <x:c r="F267" s="36" t="str">
        <x:v>Wie sendet Jesus die weiteren Jünger vor sich her?</x:v>
      </x:c>
      <x:c r="G267" s="36" t="str">
        <x:v>Immer allein.</x:v>
      </x:c>
      <x:c r="H267" s="36" t="str">
        <x:v>Nur nach Jerusalem.</x:v>
      </x:c>
      <x:c r="I267" s="36" t="str">
        <x:v>Je zwei zusammen in die Orte, in die er selbst kommen will.</x:v>
      </x:c>
      <x:c r="J267" s="36" t="str">
        <x:v>In Gruppen von zwölf mit Soldaten.</x:v>
      </x:c>
      <x:c r="K267" s="36" t="n">
        <x:v>2</x:v>
      </x:c>
      <x:c r="L267" s="36" t="str">
        <x:v>Je zwei zusammen in die Orte, in die er selbst kommen will.</x:v>
      </x:c>
      <x:c r="M267" s="36" t="str">
        <x:v>Lukas 10,1–12</x:v>
      </x:c>
      <x:c r="N267" s="36" t="str">
        <x:v>Jesus sendet die weiteren Jünger jeweils zu zweit voraus und verbindet den Auftrag mit der Verkündigung des nahen Reiches Gottes.</x:v>
      </x:c>
      <x:c r="O267" s="36" t="str">
        <x:v>FREIGEGEBEN</x:v>
      </x:c>
      <x:c r="P267" s="36" t="str">
        <x:v>FREIGEGEBEN</x:v>
      </x:c>
      <x:c r="Q267" s="36" t="str">
        <x:v>JA</x:v>
      </x:c>
    </x:row>
    <x:row r="268">
      <x:c r="A268" s="36" t="str">
        <x:v>FP-0527</x:v>
      </x:c>
      <x:c r="B268" s="36" t="str">
        <x:v>LUK</x:v>
      </x:c>
      <x:c r="C268" s="36" t="str">
        <x:v>Lukas</x:v>
      </x:c>
      <x:c r="D268" s="36" t="n">
        <x:v>10</x:v>
      </x:c>
      <x:c r="E268" s="36" t="n">
        <x:v>2</x:v>
      </x:c>
      <x:c r="F268" s="36" t="str">
        <x:v>Worüber sollen sich die zurückkehrenden Jünger nach Jesu Worten vor allem freuen?</x:v>
      </x:c>
      <x:c r="G268" s="36" t="str">
        <x:v>Dass sie überall bekannt geworden sind.</x:v>
      </x:c>
      <x:c r="H268" s="36" t="str">
        <x:v>Dass sie Geld verdient haben.</x:v>
      </x:c>
      <x:c r="I268" s="36" t="str">
        <x:v>Dass sie niemals Widerspruch erleben.</x:v>
      </x:c>
      <x:c r="J268" s="36" t="str">
        <x:v>Dass ihre Namen im Himmel geschrieben sind.</x:v>
      </x:c>
      <x:c r="K268" s="36" t="n">
        <x:v>3</x:v>
      </x:c>
      <x:c r="L268" s="36" t="str">
        <x:v>Dass ihre Namen im Himmel geschrieben sind.</x:v>
      </x:c>
      <x:c r="M268" s="36" t="str">
        <x:v>Lukas 10,17–20</x:v>
      </x:c>
      <x:c r="N268" s="36" t="str">
        <x:v>Obwohl die Jünger sich über die Unterordnung der Geister freuen, richtet Jesus ihre Freude auf ihre Zugehörigkeit zu Gott.</x:v>
      </x:c>
      <x:c r="O268" s="36" t="str">
        <x:v>FREIGEGEBEN</x:v>
      </x:c>
      <x:c r="P268" s="36" t="str">
        <x:v>FREIGEGEBEN</x:v>
      </x:c>
      <x:c r="Q268" s="36" t="str">
        <x:v>JA</x:v>
      </x:c>
    </x:row>
    <x:row r="269">
      <x:c r="A269" s="36" t="str">
        <x:v>FP-0528</x:v>
      </x:c>
      <x:c r="B269" s="36" t="str">
        <x:v>LUK</x:v>
      </x:c>
      <x:c r="C269" s="36" t="str">
        <x:v>Lukas</x:v>
      </x:c>
      <x:c r="D269" s="36" t="n">
        <x:v>10</x:v>
      </x:c>
      <x:c r="E269" s="36" t="n">
        <x:v>3</x:v>
      </x:c>
      <x:c r="F269" s="36" t="str">
        <x:v>Wie fasst der Gesetzesgelehrte das Gebot zusammen, das zum Leben führt?</x:v>
      </x:c>
      <x:c r="G269" s="36" t="str">
        <x:v>Gott mit ganzem Herzen lieben und den Nächsten wie sich selbst.</x:v>
      </x:c>
      <x:c r="H269" s="36" t="str">
        <x:v>Nur Opfer im Tempel bringen.</x:v>
      </x:c>
      <x:c r="I269" s="36" t="str">
        <x:v>Jeden Sabbat nach Jerusalem reisen.</x:v>
      </x:c>
      <x:c r="J269" s="36" t="str">
        <x:v>Sich von allen Fremden fernhalten.</x:v>
      </x:c>
      <x:c r="K269" s="36" t="n">
        <x:v>0</x:v>
      </x:c>
      <x:c r="L269" s="36" t="str">
        <x:v>Gott mit ganzem Herzen lieben und den Nächsten wie sich selbst.</x:v>
      </x:c>
      <x:c r="M269" s="36" t="str">
        <x:v>Lukas 10,25–28</x:v>
      </x:c>
      <x:c r="N269" s="36" t="str">
        <x:v>Jesus bestätigt die Zusammenfassung aus Gottesliebe und Nächstenliebe.</x:v>
      </x:c>
      <x:c r="O269" s="36" t="str">
        <x:v>FREIGEGEBEN</x:v>
      </x:c>
      <x:c r="P269" s="36" t="str">
        <x:v>FREIGEGEBEN</x:v>
      </x:c>
      <x:c r="Q269" s="36" t="str">
        <x:v>JA</x:v>
      </x:c>
    </x:row>
    <x:row r="270">
      <x:c r="A270" s="36" t="str">
        <x:v>FP-0529</x:v>
      </x:c>
      <x:c r="B270" s="36" t="str">
        <x:v>LUK</x:v>
      </x:c>
      <x:c r="C270" s="36" t="str">
        <x:v>Lukas</x:v>
      </x:c>
      <x:c r="D270" s="36" t="n">
        <x:v>10</x:v>
      </x:c>
      <x:c r="E270" s="36" t="n">
        <x:v>4</x:v>
      </x:c>
      <x:c r="F270" s="36" t="str">
        <x:v>Wer erweist sich im Gleichnis vom barmherzigen Samariter als Nächster des Überfallenen?</x:v>
      </x:c>
      <x:c r="G270" s="36" t="str">
        <x:v>Der Priester, weil er zuerst vorbeikommt.</x:v>
      </x:c>
      <x:c r="H270" s="36" t="str">
        <x:v>Derjenige, der Barmherzigkeit an ihm übt.</x:v>
      </x:c>
      <x:c r="I270" s="36" t="str">
        <x:v>Der Levit, weil er den Tempel kennt.</x:v>
      </x:c>
      <x:c r="J270" s="36" t="str">
        <x:v>Der Wirt, weil er Geld erhält.</x:v>
      </x:c>
      <x:c r="K270" s="36" t="n">
        <x:v>1</x:v>
      </x:c>
      <x:c r="L270" s="36" t="str">
        <x:v>Derjenige, der Barmherzigkeit an ihm übt.</x:v>
      </x:c>
      <x:c r="M270" s="36" t="str">
        <x:v>Lukas 10,30–37</x:v>
      </x:c>
      <x:c r="N270" s="36" t="str">
        <x:v>Jesus lenkt die Frage darauf, selbst zum Nächsten zu werden; der Samariter handelt barmherzig und wird zum Vorbild.</x:v>
      </x:c>
      <x:c r="O270" s="36" t="str">
        <x:v>FREIGEGEBEN</x:v>
      </x:c>
      <x:c r="P270" s="36" t="str">
        <x:v>FREIGEGEBEN</x:v>
      </x:c>
      <x:c r="Q270" s="36" t="str">
        <x:v>JA</x:v>
      </x:c>
    </x:row>
    <x:row r="271">
      <x:c r="A271" s="36" t="str">
        <x:v>FP-0530</x:v>
      </x:c>
      <x:c r="B271" s="36" t="str">
        <x:v>LUK</x:v>
      </x:c>
      <x:c r="C271" s="36" t="str">
        <x:v>Lukas</x:v>
      </x:c>
      <x:c r="D271" s="36" t="n">
        <x:v>10</x:v>
      </x:c>
      <x:c r="E271" s="36" t="n">
        <x:v>5</x:v>
      </x:c>
      <x:c r="F271" s="36" t="str">
        <x:v>Warum sagt Jesus, Maria habe das bessere Teil gewählt?</x:v>
      </x:c>
      <x:c r="G271" s="36" t="str">
        <x:v>Sie hat das Essen besser vorbereitet.</x:v>
      </x:c>
      <x:c r="H271" s="36" t="str">
        <x:v>Sie besitzt mehr als Martha.</x:v>
      </x:c>
      <x:c r="I271" s="36" t="str">
        <x:v>Sie sitzt zu seinen Füßen und hört seinem Wort zu, während Martha von vielen Aufgaben beansprucht ist.</x:v>
      </x:c>
      <x:c r="J271" s="36" t="str">
        <x:v>Sie reist mit den Zwölf.</x:v>
      </x:c>
      <x:c r="K271" s="36" t="n">
        <x:v>2</x:v>
      </x:c>
      <x:c r="L271" s="36" t="str">
        <x:v>Sie sitzt zu seinen Füßen und hört seinem Wort zu, während Martha von vielen Aufgaben beansprucht ist.</x:v>
      </x:c>
      <x:c r="M271" s="36" t="str">
        <x:v>Lukas 10,38–42</x:v>
      </x:c>
      <x:c r="N271" s="36" t="str">
        <x:v>Jesus würdigt Marias Entscheidung, seinem Wort zuzuhören, während Martha durch viele Aufgaben beunruhigt ist.</x:v>
      </x:c>
      <x:c r="O271" s="36" t="str">
        <x:v>FREIGEGEBEN</x:v>
      </x:c>
      <x:c r="P271" s="36" t="str">
        <x:v>FREIGEGEBEN</x:v>
      </x:c>
      <x:c r="Q271" s="36" t="str">
        <x:v>JA</x:v>
      </x:c>
    </x:row>
    <x:row r="272">
      <x:c r="A272" s="36" t="str">
        <x:v>FP-0531</x:v>
      </x:c>
      <x:c r="B272" s="36" t="str">
        <x:v>LUK</x:v>
      </x:c>
      <x:c r="C272" s="36" t="str">
        <x:v>Lukas</x:v>
      </x:c>
      <x:c r="D272" s="36" t="n">
        <x:v>11</x:v>
      </x:c>
      <x:c r="E272" s="36" t="n">
        <x:v>1</x:v>
      </x:c>
      <x:c r="F272" s="36" t="str">
        <x:v>Welche Bitte gehört zu dem Gebet, das Jesus seine Jünger lehrt?</x:v>
      </x:c>
      <x:c r="G272" s="36" t="str">
        <x:v>Gib uns großen Reichtum.</x:v>
      </x:c>
      <x:c r="H272" s="36" t="str">
        <x:v>Lass uns über alle Völker herrschen.</x:v>
      </x:c>
      <x:c r="I272" s="36" t="str">
        <x:v>Bewahre uns vor jeder Arbeit.</x:v>
      </x:c>
      <x:c r="J272" s="36" t="str">
        <x:v>Vergib uns unsere Sünden, denn auch wir vergeben denen, die gegen uns sündigen.</x:v>
      </x:c>
      <x:c r="K272" s="36" t="n">
        <x:v>3</x:v>
      </x:c>
      <x:c r="L272" s="36" t="str">
        <x:v>Vergib uns unsere Sünden, denn auch wir vergeben denen, die gegen uns sündigen.</x:v>
      </x:c>
      <x:c r="M272" s="36" t="str">
        <x:v>Lukas 11,1–4</x:v>
      </x:c>
      <x:c r="N272" s="36" t="str">
        <x:v>Jesu Gebet verbindet die Bitte um Vergebung mit der eigenen Bereitschaft zu vergeben.</x:v>
      </x:c>
      <x:c r="O272" s="36" t="str">
        <x:v>FREIGEGEBEN</x:v>
      </x:c>
      <x:c r="P272" s="36" t="str">
        <x:v>FREIGEGEBEN</x:v>
      </x:c>
      <x:c r="Q272" s="36" t="str">
        <x:v>JA</x:v>
      </x:c>
    </x:row>
    <x:row r="273">
      <x:c r="A273" s="36" t="str">
        <x:v>FP-0532</x:v>
      </x:c>
      <x:c r="B273" s="36" t="str">
        <x:v>LUK</x:v>
      </x:c>
      <x:c r="C273" s="36" t="str">
        <x:v>Lukas</x:v>
      </x:c>
      <x:c r="D273" s="36" t="n">
        <x:v>11</x:v>
      </x:c>
      <x:c r="E273" s="36" t="n">
        <x:v>2</x:v>
      </x:c>
      <x:c r="F273" s="36" t="str">
        <x:v>Welche Zusage verbindet Jesus mit Bitten, Suchen und Anklopfen?</x:v>
      </x:c>
      <x:c r="G273" s="36" t="str">
        <x:v>Der Vater gibt denen, die ihn bitten, den Heiligen Geist.</x:v>
      </x:c>
      <x:c r="H273" s="36" t="str">
        <x:v>Jede Bitte wird genau so erfüllt, wie man sie formuliert.</x:v>
      </x:c>
      <x:c r="I273" s="36" t="str">
        <x:v>Nur Priester dürfen bitten.</x:v>
      </x:c>
      <x:c r="J273" s="36" t="str">
        <x:v>Man soll nur einmal bitten.</x:v>
      </x:c>
      <x:c r="K273" s="36" t="n">
        <x:v>0</x:v>
      </x:c>
      <x:c r="L273" s="36" t="str">
        <x:v>Der Vater gibt denen, die ihn bitten, den Heiligen Geist.</x:v>
      </x:c>
      <x:c r="M273" s="36" t="str">
        <x:v>Lukas 11,5–13</x:v>
      </x:c>
      <x:c r="N273" s="36" t="str">
        <x:v>Jesus ermutigt zu beharrlichem Bitten und schließt mit der Zusage, dass der himmlische Vater den Heiligen Geist gibt.</x:v>
      </x:c>
      <x:c r="O273" s="36" t="str">
        <x:v>FREIGEGEBEN</x:v>
      </x:c>
      <x:c r="P273" s="36" t="str">
        <x:v>FREIGEGEBEN</x:v>
      </x:c>
      <x:c r="Q273" s="36" t="str">
        <x:v>JA</x:v>
      </x:c>
    </x:row>
    <x:row r="274">
      <x:c r="A274" s="36" t="str">
        <x:v>FP-0533</x:v>
      </x:c>
      <x:c r="B274" s="36" t="str">
        <x:v>LUK</x:v>
      </x:c>
      <x:c r="C274" s="36" t="str">
        <x:v>Lukas</x:v>
      </x:c>
      <x:c r="D274" s="36" t="n">
        <x:v>11</x:v>
      </x:c>
      <x:c r="E274" s="36" t="n">
        <x:v>3</x:v>
      </x:c>
      <x:c r="F274" s="36" t="str">
        <x:v>Wie widerlegt Jesus den Vorwurf, er treibe Dämonen durch Beelzebul aus?</x:v>
      </x:c>
      <x:c r="G274" s="36" t="str">
        <x:v>Er bestreitet, jemals Dämonen auszutreiben.</x:v>
      </x:c>
      <x:c r="H274" s="36" t="str">
        <x:v>Ein gegen sich selbst gespaltenes Reich kann nicht bestehen; treibt er Dämonen durch Gottes Macht aus, ist Gottes Reich gekommen.</x:v>
      </x:c>
      <x:c r="I274" s="36" t="str">
        <x:v>Er verweist auf den Kaiser.</x:v>
      </x:c>
      <x:c r="J274" s="36" t="str">
        <x:v>Er sagt, Beelzebul sei sein Helfer.</x:v>
      </x:c>
      <x:c r="K274" s="36" t="n">
        <x:v>1</x:v>
      </x:c>
      <x:c r="L274" s="36" t="str">
        <x:v>Ein gegen sich selbst gespaltenes Reich kann nicht bestehen; treibt er Dämonen durch Gottes Macht aus, ist Gottes Reich gekommen.</x:v>
      </x:c>
      <x:c r="M274" s="36" t="str">
        <x:v>Lukas 11,14–23</x:v>
      </x:c>
      <x:c r="N274" s="36" t="str">
        <x:v>Jesus zeigt den Widerspruch des Vorwurfs und deutet seine Befreiungen als Zeichen des gekommenen Reiches Gottes.</x:v>
      </x:c>
      <x:c r="O274" s="36" t="str">
        <x:v>FREIGEGEBEN</x:v>
      </x:c>
      <x:c r="P274" s="36" t="str">
        <x:v>FREIGEGEBEN</x:v>
      </x:c>
      <x:c r="Q274" s="36" t="str">
        <x:v>JA</x:v>
      </x:c>
    </x:row>
    <x:row r="275">
      <x:c r="A275" s="36" t="str">
        <x:v>FP-0534</x:v>
      </x:c>
      <x:c r="B275" s="36" t="str">
        <x:v>LUK</x:v>
      </x:c>
      <x:c r="C275" s="36" t="str">
        <x:v>Lukas</x:v>
      </x:c>
      <x:c r="D275" s="36" t="n">
        <x:v>11</x:v>
      </x:c>
      <x:c r="E275" s="36" t="n">
        <x:v>4</x:v>
      </x:c>
      <x:c r="F275" s="36" t="str">
        <x:v>Welches Zeichen nennt Jesus einer Generation, die ein Zeichen fordert?</x:v>
      </x:c>
      <x:c r="G275" s="36" t="str">
        <x:v>Das Zeichen des Mose am Sinai.</x:v>
      </x:c>
      <x:c r="H275" s="36" t="str">
        <x:v>Ein neues Zeichen im Tempel.</x:v>
      </x:c>
      <x:c r="I275" s="36" t="str">
        <x:v>Das Zeichen des Jona.</x:v>
      </x:c>
      <x:c r="J275" s="36" t="str">
        <x:v>Das Zeichen eines Sterns über Rom.</x:v>
      </x:c>
      <x:c r="K275" s="36" t="n">
        <x:v>2</x:v>
      </x:c>
      <x:c r="L275" s="36" t="str">
        <x:v>Das Zeichen des Jona.</x:v>
      </x:c>
      <x:c r="M275" s="36" t="str">
        <x:v>Lukas 11,29–32</x:v>
      </x:c>
      <x:c r="N275" s="36" t="str">
        <x:v>Jesus nennt das Zeichen des Jona und verweist auf Ninive und die Königin des Südens als Zeugen gegen die unbußfertige Generation.</x:v>
      </x:c>
      <x:c r="O275" s="36" t="str">
        <x:v>FREIGEGEBEN</x:v>
      </x:c>
      <x:c r="P275" s="36" t="str">
        <x:v>FREIGEGEBEN</x:v>
      </x:c>
      <x:c r="Q275" s="36" t="str">
        <x:v>JA</x:v>
      </x:c>
    </x:row>
    <x:row r="276">
      <x:c r="A276" s="36" t="str">
        <x:v>FP-0535</x:v>
      </x:c>
      <x:c r="B276" s="36" t="str">
        <x:v>LUK</x:v>
      </x:c>
      <x:c r="C276" s="36" t="str">
        <x:v>Lukas</x:v>
      </x:c>
      <x:c r="D276" s="36" t="n">
        <x:v>11</x:v>
      </x:c>
      <x:c r="E276" s="36" t="n">
        <x:v>5</x:v>
      </x:c>
      <x:c r="F276" s="36" t="str">
        <x:v>Was wirft Jesus den Pharisäern trotz ihrer genauen Zehntabgaben vor?</x:v>
      </x:c>
      <x:c r="G276" s="36" t="str">
        <x:v>Sie geben überhaupt keinen Zehnten.</x:v>
      </x:c>
      <x:c r="H276" s="36" t="str">
        <x:v>Sie fasten zu selten.</x:v>
      </x:c>
      <x:c r="I276" s="36" t="str">
        <x:v>Sie lesen die Propheten nicht.</x:v>
      </x:c>
      <x:c r="J276" s="36" t="str">
        <x:v>Sie vernachlässigen Recht und die Liebe Gottes.</x:v>
      </x:c>
      <x:c r="K276" s="36" t="n">
        <x:v>3</x:v>
      </x:c>
      <x:c r="L276" s="36" t="str">
        <x:v>Sie vernachlässigen Recht und die Liebe Gottes.</x:v>
      </x:c>
      <x:c r="M276" s="36" t="str">
        <x:v>Lukas 11,37–42</x:v>
      </x:c>
      <x:c r="N276" s="36" t="str">
        <x:v>Jesus kritisiert die Konzentration auf äußere Genauigkeit, während Recht und Liebe Gottes vernachlässigt werden.</x:v>
      </x:c>
      <x:c r="O276" s="36" t="str">
        <x:v>FREIGEGEBEN</x:v>
      </x:c>
      <x:c r="P276" s="36" t="str">
        <x:v>FREIGEGEBEN</x:v>
      </x:c>
      <x:c r="Q276" s="36" t="str">
        <x:v>JA</x:v>
      </x:c>
    </x:row>
    <x:row r="277">
      <x:c r="A277" s="36" t="str">
        <x:v>FP-0536</x:v>
      </x:c>
      <x:c r="B277" s="36" t="str">
        <x:v>LUK</x:v>
      </x:c>
      <x:c r="C277" s="36" t="str">
        <x:v>Lukas</x:v>
      </x:c>
      <x:c r="D277" s="36" t="n">
        <x:v>12</x:v>
      </x:c>
      <x:c r="E277" s="36" t="n">
        <x:v>1</x:v>
      </x:c>
      <x:c r="F277" s="36" t="str">
        <x:v>Was nennt Jesus den „Sauerteig der Pharisäer“?</x:v>
      </x:c>
      <x:c r="G277" s="36" t="str">
        <x:v>Heuchelei.</x:v>
      </x:c>
      <x:c r="H277" s="36" t="str">
        <x:v>Ungeduld.</x:v>
      </x:c>
      <x:c r="I277" s="36" t="str">
        <x:v>Armut.</x:v>
      </x:c>
      <x:c r="J277" s="36" t="str">
        <x:v>Unwissenheit.</x:v>
      </x:c>
      <x:c r="K277" s="36" t="n">
        <x:v>0</x:v>
      </x:c>
      <x:c r="L277" s="36" t="str">
        <x:v>Heuchelei.</x:v>
      </x:c>
      <x:c r="M277" s="36" t="str">
        <x:v>Lukas 12,1–3</x:v>
      </x:c>
      <x:c r="N277" s="36" t="str">
        <x:v>Jesus bezeichnet den Sauerteig der Pharisäer ausdrücklich als Heuchelei.</x:v>
      </x:c>
      <x:c r="O277" s="36" t="str">
        <x:v>FREIGEGEBEN</x:v>
      </x:c>
      <x:c r="P277" s="36" t="str">
        <x:v>FREIGEGEBEN</x:v>
      </x:c>
      <x:c r="Q277" s="36" t="str">
        <x:v>JA</x:v>
      </x:c>
    </x:row>
    <x:row r="278">
      <x:c r="A278" s="36" t="str">
        <x:v>FP-0537</x:v>
      </x:c>
      <x:c r="B278" s="36" t="str">
        <x:v>LUK</x:v>
      </x:c>
      <x:c r="C278" s="36" t="str">
        <x:v>Lukas</x:v>
      </x:c>
      <x:c r="D278" s="36" t="n">
        <x:v>12</x:v>
      </x:c>
      <x:c r="E278" s="36" t="n">
        <x:v>2</x:v>
      </x:c>
      <x:c r="F278" s="36" t="str">
        <x:v>Warum wird der reiche Mann im Gleichnis als töricht bezeichnet?</x:v>
      </x:c>
      <x:c r="G278" s="36" t="str">
        <x:v>Er baut zu kleine Scheunen.</x:v>
      </x:c>
      <x:c r="H278" s="36" t="str">
        <x:v>Er sammelt Schätze für sich, aber ist nicht reich im Blick auf Gott, und sein Leben wird noch in derselben Nacht gefordert.</x:v>
      </x:c>
      <x:c r="I278" s="36" t="str">
        <x:v>Er verschenkt seine Ernte.</x:v>
      </x:c>
      <x:c r="J278" s="36" t="str">
        <x:v>Er lehnt jede Arbeit ab.</x:v>
      </x:c>
      <x:c r="K278" s="36" t="n">
        <x:v>1</x:v>
      </x:c>
      <x:c r="L278" s="36" t="str">
        <x:v>Er sammelt Schätze für sich, aber ist nicht reich im Blick auf Gott, und sein Leben wird noch in derselben Nacht gefordert.</x:v>
      </x:c>
      <x:c r="M278" s="36" t="str">
        <x:v>Lukas 12,13–21</x:v>
      </x:c>
      <x:c r="N278" s="36" t="str">
        <x:v>Das Gleichnis stellt die Sicherheit durch Besitz der Unsicherheit des Lebens gegenüber und endet mit der Frage nach Reichtum vor Gott.</x:v>
      </x:c>
      <x:c r="O278" s="36" t="str">
        <x:v>FREIGEGEBEN</x:v>
      </x:c>
      <x:c r="P278" s="36" t="str">
        <x:v>FREIGEGEBEN</x:v>
      </x:c>
      <x:c r="Q278" s="36" t="str">
        <x:v>JA</x:v>
      </x:c>
    </x:row>
    <x:row r="279">
      <x:c r="A279" s="36" t="str">
        <x:v>FP-0538</x:v>
      </x:c>
      <x:c r="B279" s="36" t="str">
        <x:v>LUK</x:v>
      </x:c>
      <x:c r="C279" s="36" t="str">
        <x:v>Lukas</x:v>
      </x:c>
      <x:c r="D279" s="36" t="n">
        <x:v>12</x:v>
      </x:c>
      <x:c r="E279" s="36" t="n">
        <x:v>3</x:v>
      </x:c>
      <x:c r="F279" s="36" t="str">
        <x:v>Worauf sollen Jesu Jünger statt auf Sorgen um Essen und Kleidung ihr Streben richten?</x:v>
      </x:c>
      <x:c r="G279" s="36" t="str">
        <x:v>Auf größere Vorräte.</x:v>
      </x:c>
      <x:c r="H279" s="36" t="str">
        <x:v>Auf politische Macht.</x:v>
      </x:c>
      <x:c r="I279" s="36" t="str">
        <x:v>Auf Gottes Reich.</x:v>
      </x:c>
      <x:c r="J279" s="36" t="str">
        <x:v>Auf tägliche Reisen.</x:v>
      </x:c>
      <x:c r="K279" s="36" t="n">
        <x:v>2</x:v>
      </x:c>
      <x:c r="L279" s="36" t="str">
        <x:v>Auf Gottes Reich.</x:v>
      </x:c>
      <x:c r="M279" s="36" t="str">
        <x:v>Lukas 12,22–31</x:v>
      </x:c>
      <x:c r="N279" s="36" t="str">
        <x:v>Jesus verweist auf Gottes Fürsorge und fordert dazu auf, zuerst nach seinem Reich zu streben.</x:v>
      </x:c>
      <x:c r="O279" s="36" t="str">
        <x:v>FREIGEGEBEN</x:v>
      </x:c>
      <x:c r="P279" s="36" t="str">
        <x:v>FREIGEGEBEN</x:v>
      </x:c>
      <x:c r="Q279" s="36" t="str">
        <x:v>JA</x:v>
      </x:c>
    </x:row>
    <x:row r="280">
      <x:c r="A280" s="36" t="str">
        <x:v>FP-0539</x:v>
      </x:c>
      <x:c r="B280" s="36" t="str">
        <x:v>LUK</x:v>
      </x:c>
      <x:c r="C280" s="36" t="str">
        <x:v>Lukas</x:v>
      </x:c>
      <x:c r="D280" s="36" t="n">
        <x:v>12</x:v>
      </x:c>
      <x:c r="E280" s="36" t="n">
        <x:v>4</x:v>
      </x:c>
      <x:c r="F280" s="36" t="str">
        <x:v>Welche Haltung beschreibt Jesus mit brennenden Lampen und wartenden Dienern?</x:v>
      </x:c>
      <x:c r="G280" s="36" t="str">
        <x:v>Angst vor jedem Besucher.</x:v>
      </x:c>
      <x:c r="H280" s="36" t="str">
        <x:v>Rückzug aus der Welt.</x:v>
      </x:c>
      <x:c r="I280" s="36" t="str">
        <x:v>Berechnung des genauen Tages.</x:v>
      </x:c>
      <x:c r="J280" s="36" t="str">
        <x:v>Bereitschaft und Wachsamkeit für das unerwartete Kommen des Menschensohnes.</x:v>
      </x:c>
      <x:c r="K280" s="36" t="n">
        <x:v>3</x:v>
      </x:c>
      <x:c r="L280" s="36" t="str">
        <x:v>Bereitschaft und Wachsamkeit für das unerwartete Kommen des Menschensohnes.</x:v>
      </x:c>
      <x:c r="M280" s="36" t="str">
        <x:v>Lukas 12,35–40</x:v>
      </x:c>
      <x:c r="N280" s="36" t="str">
        <x:v>Die Bilder von bereiten Dienern und dem unerwarteten Dieb unterstreichen Wachsamkeit.</x:v>
      </x:c>
      <x:c r="O280" s="36" t="str">
        <x:v>FREIGEGEBEN</x:v>
      </x:c>
      <x:c r="P280" s="36" t="str">
        <x:v>FREIGEGEBEN</x:v>
      </x:c>
      <x:c r="Q280" s="36" t="str">
        <x:v>JA</x:v>
      </x:c>
    </x:row>
    <x:row r="281">
      <x:c r="A281" s="36" t="str">
        <x:v>FP-0540</x:v>
      </x:c>
      <x:c r="B281" s="36" t="str">
        <x:v>LUK</x:v>
      </x:c>
      <x:c r="C281" s="36" t="str">
        <x:v>Lukas</x:v>
      </x:c>
      <x:c r="D281" s="36" t="n">
        <x:v>12</x:v>
      </x:c>
      <x:c r="E281" s="36" t="n">
        <x:v>5</x:v>
      </x:c>
      <x:c r="F281" s="36" t="str">
        <x:v>Was sagt Jesus über die Wirkung seiner Sendung auf menschliche Beziehungen?</x:v>
      </x:c>
      <x:c r="G281" s="36" t="str">
        <x:v>Sie kann zu Spaltung selbst innerhalb von Familien führen.</x:v>
      </x:c>
      <x:c r="H281" s="36" t="str">
        <x:v>Sie beendet sofort jeden Konflikt.</x:v>
      </x:c>
      <x:c r="I281" s="36" t="str">
        <x:v>Sie betrifft nur politische Herrscher.</x:v>
      </x:c>
      <x:c r="J281" s="36" t="str">
        <x:v>Sie verhindert jede Entscheidung.</x:v>
      </x:c>
      <x:c r="K281" s="36" t="n">
        <x:v>0</x:v>
      </x:c>
      <x:c r="L281" s="36" t="str">
        <x:v>Sie kann zu Spaltung selbst innerhalb von Familien führen.</x:v>
      </x:c>
      <x:c r="M281" s="36" t="str">
        <x:v>Lukas 12,49–53</x:v>
      </x:c>
      <x:c r="N281" s="36" t="str">
        <x:v>Jesus macht deutlich, dass die Entscheidung an ihm auch schmerzhafte Trennungen hervorrufen kann.</x:v>
      </x:c>
      <x:c r="O281" s="36" t="str">
        <x:v>FREIGEGEBEN</x:v>
      </x:c>
      <x:c r="P281" s="36" t="str">
        <x:v>FREIGEGEBEN</x:v>
      </x:c>
      <x:c r="Q281" s="36" t="str">
        <x:v>JA</x:v>
      </x:c>
    </x:row>
    <x:row r="282">
      <x:c r="A282" s="36" t="str">
        <x:v>FP-0541</x:v>
      </x:c>
      <x:c r="B282" s="36" t="str">
        <x:v>LUK</x:v>
      </x:c>
      <x:c r="C282" s="36" t="str">
        <x:v>Lukas</x:v>
      </x:c>
      <x:c r="D282" s="36" t="n">
        <x:v>13</x:v>
      </x:c>
      <x:c r="E282" s="36" t="n">
        <x:v>1</x:v>
      </x:c>
      <x:c r="F282" s="36" t="str">
        <x:v>Welche Schlussfolgerung zieht Jesus aus den Berichten über getötete Galiläer und den Turm von Siloah?</x:v>
      </x:c>
      <x:c r="G282" s="36" t="str">
        <x:v>Jedes Unglück beweist besondere Schuld.</x:v>
      </x:c>
      <x:c r="H282" s="36" t="str">
        <x:v>Die Betroffenen waren nicht größere Sünder; alle sind zur Umkehr gerufen.</x:v>
      </x:c>
      <x:c r="I282" s="36" t="str">
        <x:v>Nur Menschen in Jerusalem müssen umkehren.</x:v>
      </x:c>
      <x:c r="J282" s="36" t="str">
        <x:v>Pilatus war für jede Katastrophe verantwortlich.</x:v>
      </x:c>
      <x:c r="K282" s="36" t="n">
        <x:v>1</x:v>
      </x:c>
      <x:c r="L282" s="36" t="str">
        <x:v>Die Betroffenen waren nicht größere Sünder; alle sind zur Umkehr gerufen.</x:v>
      </x:c>
      <x:c r="M282" s="36" t="str">
        <x:v>Lukas 13,1–5</x:v>
      </x:c>
      <x:c r="N282" s="36" t="str">
        <x:v>Jesus weist die Deutung zurück, die Opfer seien schuldiger gewesen, und richtet den Ruf zur Umkehr an alle.</x:v>
      </x:c>
      <x:c r="O282" s="36" t="str">
        <x:v>FREIGEGEBEN</x:v>
      </x:c>
      <x:c r="P282" s="36" t="str">
        <x:v>FREIGEGEBEN</x:v>
      </x:c>
      <x:c r="Q282" s="36" t="str">
        <x:v>JA</x:v>
      </x:c>
    </x:row>
    <x:row r="283">
      <x:c r="A283" s="36" t="str">
        <x:v>FP-0542</x:v>
      </x:c>
      <x:c r="B283" s="36" t="str">
        <x:v>LUK</x:v>
      </x:c>
      <x:c r="C283" s="36" t="str">
        <x:v>Lukas</x:v>
      </x:c>
      <x:c r="D283" s="36" t="n">
        <x:v>13</x:v>
      </x:c>
      <x:c r="E283" s="36" t="n">
        <x:v>2</x:v>
      </x:c>
      <x:c r="F283" s="36" t="str">
        <x:v>Was bittet der Weingärtner für den unfruchtbaren Feigenbaum?</x:v>
      </x:c>
      <x:c r="G283" s="36" t="str">
        <x:v>Sofortige Fällung ohne weitere Chance.</x:v>
      </x:c>
      <x:c r="H283" s="36" t="str">
        <x:v>Den Baum in den Tempel zu bringen.</x:v>
      </x:c>
      <x:c r="I283" s="36" t="str">
        <x:v>Noch ein Jahr Zeit, damit er den Boden bearbeiten und düngen kann.</x:v>
      </x:c>
      <x:c r="J283" s="36" t="str">
        <x:v>Den Weinberg zu verkaufen.</x:v>
      </x:c>
      <x:c r="K283" s="36" t="n">
        <x:v>2</x:v>
      </x:c>
      <x:c r="L283" s="36" t="str">
        <x:v>Noch ein Jahr Zeit, damit er den Boden bearbeiten und düngen kann.</x:v>
      </x:c>
      <x:c r="M283" s="36" t="str">
        <x:v>Lukas 13,6–9</x:v>
      </x:c>
      <x:c r="N283" s="36" t="str">
        <x:v>Der Weingärtner bittet um zusätzliche Zeit und Pflege, bevor über das endgültige Fällen entschieden wird.</x:v>
      </x:c>
      <x:c r="O283" s="36" t="str">
        <x:v>FREIGEGEBEN</x:v>
      </x:c>
      <x:c r="P283" s="36" t="str">
        <x:v>FREIGEGEBEN</x:v>
      </x:c>
      <x:c r="Q283" s="36" t="str">
        <x:v>JA</x:v>
      </x:c>
    </x:row>
    <x:row r="284">
      <x:c r="A284" s="36" t="str">
        <x:v>FP-0543</x:v>
      </x:c>
      <x:c r="B284" s="36" t="str">
        <x:v>LUK</x:v>
      </x:c>
      <x:c r="C284" s="36" t="str">
        <x:v>Lukas</x:v>
      </x:c>
      <x:c r="D284" s="36" t="n">
        <x:v>13</x:v>
      </x:c>
      <x:c r="E284" s="36" t="n">
        <x:v>3</x:v>
      </x:c>
      <x:c r="F284" s="36" t="str">
        <x:v>Warum verteidigt Jesus die Heilung der seit achtzehn Jahren gekrümmten Frau am Sabbat?</x:v>
      </x:c>
      <x:c r="G284" s="36" t="str">
        <x:v>Am Sabbat gelten keine Gebote.</x:v>
      </x:c>
      <x:c r="H284" s="36" t="str">
        <x:v>Die Frau ist selbst Synagogenvorsteherin.</x:v>
      </x:c>
      <x:c r="I284" s="36" t="str">
        <x:v>Die Heilung sei schon am Vortag geschehen.</x:v>
      </x:c>
      <x:c r="J284" s="36" t="str">
        <x:v>Wenn Tiere am Sabbat losgebunden werden, soll auch diese Tochter Abrahams von ihrer Bindung befreit werden.</x:v>
      </x:c>
      <x:c r="K284" s="36" t="n">
        <x:v>3</x:v>
      </x:c>
      <x:c r="L284" s="36" t="str">
        <x:v>Wenn Tiere am Sabbat losgebunden werden, soll auch diese Tochter Abrahams von ihrer Bindung befreit werden.</x:v>
      </x:c>
      <x:c r="M284" s="36" t="str">
        <x:v>Lukas 13,10–17</x:v>
      </x:c>
      <x:c r="N284" s="36" t="str">
        <x:v>Jesus argumentiert vom alltäglichen Lösen eines Tieres zur Befreiung der Frau aus langjähriger Bindung.</x:v>
      </x:c>
      <x:c r="O284" s="36" t="str">
        <x:v>FREIGEGEBEN</x:v>
      </x:c>
      <x:c r="P284" s="36" t="str">
        <x:v>FREIGEGEBEN</x:v>
      </x:c>
      <x:c r="Q284" s="36" t="str">
        <x:v>JA</x:v>
      </x:c>
    </x:row>
    <x:row r="285">
      <x:c r="A285" s="36" t="str">
        <x:v>FP-0544</x:v>
      </x:c>
      <x:c r="B285" s="36" t="str">
        <x:v>LUK</x:v>
      </x:c>
      <x:c r="C285" s="36" t="str">
        <x:v>Lukas</x:v>
      </x:c>
      <x:c r="D285" s="36" t="n">
        <x:v>13</x:v>
      </x:c>
      <x:c r="E285" s="36" t="n">
        <x:v>4</x:v>
      </x:c>
      <x:c r="F285" s="36" t="str">
        <x:v>Mit welchen zwei Bildern beschreibt Jesus das Reich Gottes in Lukas 13?</x:v>
      </x:c>
      <x:c r="G285" s="36" t="str">
        <x:v>Mit einem Senfkorn und mit Sauerteig.</x:v>
      </x:c>
      <x:c r="H285" s="36" t="str">
        <x:v>Mit einem Schiff und einem Netz.</x:v>
      </x:c>
      <x:c r="I285" s="36" t="str">
        <x:v>Mit einem Weinberg und einem Tempel.</x:v>
      </x:c>
      <x:c r="J285" s="36" t="str">
        <x:v>Mit Salz und einem Brunnen.</x:v>
      </x:c>
      <x:c r="K285" s="36" t="n">
        <x:v>0</x:v>
      </x:c>
      <x:c r="L285" s="36" t="str">
        <x:v>Mit einem Senfkorn und mit Sauerteig.</x:v>
      </x:c>
      <x:c r="M285" s="36" t="str">
        <x:v>Lukas 13,18–21</x:v>
      </x:c>
      <x:c r="N285" s="36" t="str">
        <x:v>Jesus vergleicht Gottes Reich mit dem kleinen Senfkorn, das wächst, und mit Sauerteig, der den Teig durchdringt.</x:v>
      </x:c>
      <x:c r="O285" s="36" t="str">
        <x:v>FREIGEGEBEN</x:v>
      </x:c>
      <x:c r="P285" s="36" t="str">
        <x:v>FREIGEGEBEN</x:v>
      </x:c>
      <x:c r="Q285" s="36" t="str">
        <x:v>JA</x:v>
      </x:c>
    </x:row>
    <x:row r="286">
      <x:c r="A286" s="36" t="str">
        <x:v>FP-0545</x:v>
      </x:c>
      <x:c r="B286" s="36" t="str">
        <x:v>LUK</x:v>
      </x:c>
      <x:c r="C286" s="36" t="str">
        <x:v>Lukas</x:v>
      </x:c>
      <x:c r="D286" s="36" t="n">
        <x:v>13</x:v>
      </x:c>
      <x:c r="E286" s="36" t="n">
        <x:v>5</x:v>
      </x:c>
      <x:c r="F286" s="36" t="str">
        <x:v>Welche Aufforderung gibt Jesus auf die Frage, ob nur wenige gerettet werden?</x:v>
      </x:c>
      <x:c r="G286" s="36" t="str">
        <x:v>Sucht nach einer breiten Straße.</x:v>
      </x:c>
      <x:c r="H286" s="36" t="str">
        <x:v>Bemüht euch, durch die enge Tür einzutreten.</x:v>
      </x:c>
      <x:c r="I286" s="36" t="str">
        <x:v>Verlasst Jerusalem sofort.</x:v>
      </x:c>
      <x:c r="J286" s="36" t="str">
        <x:v>Wartet einfach, ohne etwas zu tun.</x:v>
      </x:c>
      <x:c r="K286" s="36" t="n">
        <x:v>1</x:v>
      </x:c>
      <x:c r="L286" s="36" t="str">
        <x:v>Bemüht euch, durch die enge Tür einzutreten.</x:v>
      </x:c>
      <x:c r="M286" s="36" t="str">
        <x:v>Lukas 13,22–30</x:v>
      </x:c>
      <x:c r="N286" s="36" t="str">
        <x:v>Jesus antwortet nicht mit einer Zahl, sondern mit der persönlichen Aufforderung, durch die enge Tür einzutreten.</x:v>
      </x:c>
      <x:c r="O286" s="36" t="str">
        <x:v>FREIGEGEBEN</x:v>
      </x:c>
      <x:c r="P286" s="36" t="str">
        <x:v>FREIGEGEBEN</x:v>
      </x:c>
      <x:c r="Q286" s="36" t="str">
        <x:v>JA</x:v>
      </x:c>
    </x:row>
    <x:row r="287">
      <x:c r="A287" s="36" t="str">
        <x:v>FP-0546</x:v>
      </x:c>
      <x:c r="B287" s="36" t="str">
        <x:v>LUK</x:v>
      </x:c>
      <x:c r="C287" s="36" t="str">
        <x:v>Lukas</x:v>
      </x:c>
      <x:c r="D287" s="36" t="n">
        <x:v>14</x:v>
      </x:c>
      <x:c r="E287" s="36" t="n">
        <x:v>1</x:v>
      </x:c>
      <x:c r="F287" s="36" t="str">
        <x:v>Wie begründet Jesus die Heilung eines kranken Mannes am Sabbat?</x:v>
      </x:c>
      <x:c r="G287" s="36" t="str">
        <x:v>Am Sabbat gebe es grundsätzlich keine Regeln.</x:v>
      </x:c>
      <x:c r="H287" s="36" t="str">
        <x:v>Der Mann sei ein Priester.</x:v>
      </x:c>
      <x:c r="I287" s="36" t="str">
        <x:v>Man würde auch am Sabbat einen Sohn oder ein Tier aus einem Brunnen ziehen.</x:v>
      </x:c>
      <x:c r="J287" s="36" t="str">
        <x:v>Der Sabbat sei schon vorbei.</x:v>
      </x:c>
      <x:c r="K287" s="36" t="n">
        <x:v>2</x:v>
      </x:c>
      <x:c r="L287" s="36" t="str">
        <x:v>Man würde auch am Sabbat einen Sohn oder ein Tier aus einem Brunnen ziehen.</x:v>
      </x:c>
      <x:c r="M287" s="36" t="str">
        <x:v>Lukas 14,1–6</x:v>
      </x:c>
      <x:c r="N287" s="36" t="str">
        <x:v>Jesus verweist auf selbstverständliche Hilfe in einer Notlage und zeigt damit die Angemessenheit der Heilung.</x:v>
      </x:c>
      <x:c r="O287" s="36" t="str">
        <x:v>FREIGEGEBEN</x:v>
      </x:c>
      <x:c r="P287" s="36" t="str">
        <x:v>FREIGEGEBEN</x:v>
      </x:c>
      <x:c r="Q287" s="36" t="str">
        <x:v>JA</x:v>
      </x:c>
    </x:row>
    <x:row r="288">
      <x:c r="A288" s="36" t="str">
        <x:v>FP-0547</x:v>
      </x:c>
      <x:c r="B288" s="36" t="str">
        <x:v>LUK</x:v>
      </x:c>
      <x:c r="C288" s="36" t="str">
        <x:v>Lukas</x:v>
      </x:c>
      <x:c r="D288" s="36" t="n">
        <x:v>14</x:v>
      </x:c>
      <x:c r="E288" s="36" t="n">
        <x:v>2</x:v>
      </x:c>
      <x:c r="F288" s="36" t="str">
        <x:v>Welche Lehre verbindet Jesus mit der Wahl der Plätze bei einem Fest?</x:v>
      </x:c>
      <x:c r="G288" s="36" t="str">
        <x:v>Der reichste Gast soll immer vorn sitzen.</x:v>
      </x:c>
      <x:c r="H288" s="36" t="str">
        <x:v>Jeder soll um den besten Platz kämpfen.</x:v>
      </x:c>
      <x:c r="I288" s="36" t="str">
        <x:v>Nur Familienmitglieder dürfen sitzen.</x:v>
      </x:c>
      <x:c r="J288" s="36" t="str">
        <x:v>Wer sich selbst erhöht, wird erniedrigt; wer sich selbst erniedrigt, wird erhöht.</x:v>
      </x:c>
      <x:c r="K288" s="36" t="n">
        <x:v>3</x:v>
      </x:c>
      <x:c r="L288" s="36" t="str">
        <x:v>Wer sich selbst erhöht, wird erniedrigt; wer sich selbst erniedrigt, wird erhöht.</x:v>
      </x:c>
      <x:c r="M288" s="36" t="str">
        <x:v>Lukas 14,7–11</x:v>
      </x:c>
      <x:c r="N288" s="36" t="str">
        <x:v>Das Gleichnis über Sitzplätze führt zu Jesu Grundsatz über Selbsterniedrigung und Erhöhung.</x:v>
      </x:c>
      <x:c r="O288" s="36" t="str">
        <x:v>FREIGEGEBEN</x:v>
      </x:c>
      <x:c r="P288" s="36" t="str">
        <x:v>FREIGEGEBEN</x:v>
      </x:c>
      <x:c r="Q288" s="36" t="str">
        <x:v>JA</x:v>
      </x:c>
    </x:row>
    <x:row r="289">
      <x:c r="A289" s="36" t="str">
        <x:v>FP-0548</x:v>
      </x:c>
      <x:c r="B289" s="36" t="str">
        <x:v>LUK</x:v>
      </x:c>
      <x:c r="C289" s="36" t="str">
        <x:v>Lukas</x:v>
      </x:c>
      <x:c r="D289" s="36" t="n">
        <x:v>14</x:v>
      </x:c>
      <x:c r="E289" s="36" t="n">
        <x:v>3</x:v>
      </x:c>
      <x:c r="F289" s="36" t="str">
        <x:v>Wen soll man nach Jesu Worten besonders zu einem Fest einladen, ohne Rückzahlung zu erwarten?</x:v>
      </x:c>
      <x:c r="G289" s="36" t="str">
        <x:v>Arme, Bedürftige, Lahme und Blinde.</x:v>
      </x:c>
      <x:c r="H289" s="36" t="str">
        <x:v>Nur reiche Nachbarn.</x:v>
      </x:c>
      <x:c r="I289" s="36" t="str">
        <x:v>Nur enge Freunde.</x:v>
      </x:c>
      <x:c r="J289" s="36" t="str">
        <x:v>Ausschließlich Priester.</x:v>
      </x:c>
      <x:c r="K289" s="36" t="n">
        <x:v>0</x:v>
      </x:c>
      <x:c r="L289" s="36" t="str">
        <x:v>Arme, Bedürftige, Lahme und Blinde.</x:v>
      </x:c>
      <x:c r="M289" s="36" t="str">
        <x:v>Lukas 14,12–14</x:v>
      </x:c>
      <x:c r="N289" s="36" t="str">
        <x:v>Jesus lenkt Gastfreundschaft zu denen, die nicht zurückzahlen können, und verweist auf Gottes zukünftige Vergeltung.</x:v>
      </x:c>
      <x:c r="O289" s="36" t="str">
        <x:v>FREIGEGEBEN</x:v>
      </x:c>
      <x:c r="P289" s="36" t="str">
        <x:v>FREIGEGEBEN</x:v>
      </x:c>
      <x:c r="Q289" s="36" t="str">
        <x:v>JA</x:v>
      </x:c>
    </x:row>
    <x:row r="290">
      <x:c r="A290" s="36" t="str">
        <x:v>FP-0549</x:v>
      </x:c>
      <x:c r="B290" s="36" t="str">
        <x:v>LUK</x:v>
      </x:c>
      <x:c r="C290" s="36" t="str">
        <x:v>Lukas</x:v>
      </x:c>
      <x:c r="D290" s="36" t="n">
        <x:v>14</x:v>
      </x:c>
      <x:c r="E290" s="36" t="n">
        <x:v>4</x:v>
      </x:c>
      <x:c r="F290" s="36" t="str">
        <x:v>Was geschieht im Gleichnis vom großen Fest, nachdem die zuerst Eingeladenen sich entschuldigen?</x:v>
      </x:c>
      <x:c r="G290" s="36" t="str">
        <x:v>Das Fest wird abgesagt.</x:v>
      </x:c>
      <x:c r="H290" s="36" t="str">
        <x:v>Der Gastgeber lässt Arme, Bedürftige, Blinde und Lahme hereinbringen und sucht weitere Gäste.</x:v>
      </x:c>
      <x:c r="I290" s="36" t="str">
        <x:v>Nur die Diener dürfen essen.</x:v>
      </x:c>
      <x:c r="J290" s="36" t="str">
        <x:v>Der Gastgeber verkauft sein Haus.</x:v>
      </x:c>
      <x:c r="K290" s="36" t="n">
        <x:v>1</x:v>
      </x:c>
      <x:c r="L290" s="36" t="str">
        <x:v>Der Gastgeber lässt Arme, Bedürftige, Blinde und Lahme hereinbringen und sucht weitere Gäste.</x:v>
      </x:c>
      <x:c r="M290" s="36" t="str">
        <x:v>Lukas 14,15–24</x:v>
      </x:c>
      <x:c r="N290" s="36" t="str">
        <x:v>Weil die ersten Gäste absagen, öffnet der Gastgeber sein Fest für andere, bis das Haus gefüllt wird.</x:v>
      </x:c>
      <x:c r="O290" s="36" t="str">
        <x:v>FREIGEGEBEN</x:v>
      </x:c>
      <x:c r="P290" s="36" t="str">
        <x:v>FREIGEGEBEN</x:v>
      </x:c>
      <x:c r="Q290" s="36" t="str">
        <x:v>JA</x:v>
      </x:c>
    </x:row>
    <x:row r="291">
      <x:c r="A291" s="36" t="str">
        <x:v>FP-0550</x:v>
      </x:c>
      <x:c r="B291" s="36" t="str">
        <x:v>LUK</x:v>
      </x:c>
      <x:c r="C291" s="36" t="str">
        <x:v>Lukas</x:v>
      </x:c>
      <x:c r="D291" s="36" t="n">
        <x:v>14</x:v>
      </x:c>
      <x:c r="E291" s="36" t="n">
        <x:v>5</x:v>
      </x:c>
      <x:c r="F291" s="36" t="str">
        <x:v>Welche Bilder verwendet Jesus, um die Kosten der Nachfolge zu erklären?</x:v>
      </x:c>
      <x:c r="G291" s="36" t="str">
        <x:v>Eine Ernte und einen Fischfang.</x:v>
      </x:c>
      <x:c r="H291" s="36" t="str">
        <x:v>Ein verlorenes Schaf und eine Münze.</x:v>
      </x:c>
      <x:c r="I291" s="36" t="str">
        <x:v>Einen Turmbau und einen König, der vor einem Krieg seine Möglichkeiten prüft.</x:v>
      </x:c>
      <x:c r="J291" s="36" t="str">
        <x:v>Eine Hochzeit und einen Weinberg.</x:v>
      </x:c>
      <x:c r="K291" s="36" t="n">
        <x:v>2</x:v>
      </x:c>
      <x:c r="L291" s="36" t="str">
        <x:v>Einen Turmbau und einen König, der vor einem Krieg seine Möglichkeiten prüft.</x:v>
      </x:c>
      <x:c r="M291" s="36" t="str">
        <x:v>Lukas 14,25–33</x:v>
      </x:c>
      <x:c r="N291" s="36" t="str">
        <x:v>Jesus fordert dazu auf, die Konsequenzen der Nachfolge bewusst zu bedenken und alles andere ihr unterzuordnen.</x:v>
      </x:c>
      <x:c r="O291" s="36" t="str">
        <x:v>FREIGEGEBEN</x:v>
      </x:c>
      <x:c r="P291" s="36" t="str">
        <x:v>FREIGEGEBEN</x:v>
      </x:c>
      <x:c r="Q291" s="36" t="str">
        <x:v>JA</x:v>
      </x:c>
    </x:row>
    <x:row r="292">
      <x:c r="A292" s="36" t="str">
        <x:v>FP-0551</x:v>
      </x:c>
      <x:c r="B292" s="36" t="str">
        <x:v>LUK</x:v>
      </x:c>
      <x:c r="C292" s="36" t="str">
        <x:v>Lukas</x:v>
      </x:c>
      <x:c r="D292" s="36" t="n">
        <x:v>15</x:v>
      </x:c>
      <x:c r="E292" s="36" t="n">
        <x:v>1</x:v>
      </x:c>
      <x:c r="F292" s="36" t="str">
        <x:v>Womit endet das Gleichnis vom verlorenen Schaf?</x:v>
      </x:c>
      <x:c r="G292" s="36" t="str">
        <x:v>Mit einer Strafe für die neunundneunzig Schafe.</x:v>
      </x:c>
      <x:c r="H292" s="36" t="str">
        <x:v>Mit dem Verkauf der Herde.</x:v>
      </x:c>
      <x:c r="I292" s="36" t="str">
        <x:v>Mit der Suche nach einem neuen Hirten.</x:v>
      </x:c>
      <x:c r="J292" s="36" t="str">
        <x:v>Mit Freude über einen Sünder, der umkehrt.</x:v>
      </x:c>
      <x:c r="K292" s="36" t="n">
        <x:v>3</x:v>
      </x:c>
      <x:c r="L292" s="36" t="str">
        <x:v>Mit Freude über einen Sünder, der umkehrt.</x:v>
      </x:c>
      <x:c r="M292" s="36" t="str">
        <x:v>Lukas 15,3–7</x:v>
      </x:c>
      <x:c r="N292" s="36" t="str">
        <x:v>Jesus deutet die Freude über das gefundene Schaf als Bild für die Freude im Himmel über einen umkehrenden Sünder.</x:v>
      </x:c>
      <x:c r="O292" s="36" t="str">
        <x:v>FREIGEGEBEN</x:v>
      </x:c>
      <x:c r="P292" s="36" t="str">
        <x:v>FREIGEGEBEN</x:v>
      </x:c>
      <x:c r="Q292" s="36" t="str">
        <x:v>JA</x:v>
      </x:c>
    </x:row>
    <x:row r="293">
      <x:c r="A293" s="36" t="str">
        <x:v>FP-0552</x:v>
      </x:c>
      <x:c r="B293" s="36" t="str">
        <x:v>LUK</x:v>
      </x:c>
      <x:c r="C293" s="36" t="str">
        <x:v>Lukas</x:v>
      </x:c>
      <x:c r="D293" s="36" t="n">
        <x:v>15</x:v>
      </x:c>
      <x:c r="E293" s="36" t="n">
        <x:v>2</x:v>
      </x:c>
      <x:c r="F293" s="36" t="str">
        <x:v>Was bedeutet die Freude über die wiedergefundene Münze?</x:v>
      </x:c>
      <x:c r="G293" s="36" t="str">
        <x:v>Es gibt Freude vor den Engeln Gottes über einen Sünder, der umkehrt.</x:v>
      </x:c>
      <x:c r="H293" s="36" t="str">
        <x:v>Geld ist wichtiger als Menschen.</x:v>
      </x:c>
      <x:c r="I293" s="36" t="str">
        <x:v>Nur reiche Menschen können umkehren.</x:v>
      </x:c>
      <x:c r="J293" s="36" t="str">
        <x:v>Verlorenes soll nicht gesucht werden.</x:v>
      </x:c>
      <x:c r="K293" s="36" t="n">
        <x:v>0</x:v>
      </x:c>
      <x:c r="L293" s="36" t="str">
        <x:v>Es gibt Freude vor den Engeln Gottes über einen Sünder, der umkehrt.</x:v>
      </x:c>
      <x:c r="M293" s="36" t="str">
        <x:v>Lukas 15,8–10</x:v>
      </x:c>
      <x:c r="N293" s="36" t="str">
        <x:v>Auch die gefundene Münze wird als Bild für Gottes Freude über Umkehr gedeutet.</x:v>
      </x:c>
      <x:c r="O293" s="36" t="str">
        <x:v>FREIGEGEBEN</x:v>
      </x:c>
      <x:c r="P293" s="36" t="str">
        <x:v>FREIGEGEBEN</x:v>
      </x:c>
      <x:c r="Q293" s="36" t="str">
        <x:v>JA</x:v>
      </x:c>
    </x:row>
    <x:row r="294">
      <x:c r="A294" s="36" t="str">
        <x:v>FP-0553</x:v>
      </x:c>
      <x:c r="B294" s="36" t="str">
        <x:v>LUK</x:v>
      </x:c>
      <x:c r="C294" s="36" t="str">
        <x:v>Lukas</x:v>
      </x:c>
      <x:c r="D294" s="36" t="n">
        <x:v>15</x:v>
      </x:c>
      <x:c r="E294" s="36" t="n">
        <x:v>3</x:v>
      </x:c>
      <x:c r="F294" s="36" t="str">
        <x:v>Wie reagiert der Vater, als der jüngere Sohn zurückkehrt?</x:v>
      </x:c>
      <x:c r="G294" s="36" t="str">
        <x:v>Er lässt ihn vor dem Haus warten.</x:v>
      </x:c>
      <x:c r="H294" s="36" t="str">
        <x:v>Er läuft ihm entgegen, umarmt ihn und lässt ein Fest feiern.</x:v>
      </x:c>
      <x:c r="I294" s="36" t="str">
        <x:v>Er schickt ihn wieder fort.</x:v>
      </x:c>
      <x:c r="J294" s="36" t="str">
        <x:v>Er fordert zuerst die vollständige Rückzahlung.</x:v>
      </x:c>
      <x:c r="K294" s="36" t="n">
        <x:v>1</x:v>
      </x:c>
      <x:c r="L294" s="36" t="str">
        <x:v>Er läuft ihm entgegen, umarmt ihn und lässt ein Fest feiern.</x:v>
      </x:c>
      <x:c r="M294" s="36" t="str">
        <x:v>Lukas 15,11–24</x:v>
      </x:c>
      <x:c r="N294" s="36" t="str">
        <x:v>Der Vater begegnet dem heimkehrenden Sohn mit Mitleid, Annahme und einem Fest.</x:v>
      </x:c>
      <x:c r="O294" s="36" t="str">
        <x:v>FREIGEGEBEN</x:v>
      </x:c>
      <x:c r="P294" s="36" t="str">
        <x:v>FREIGEGEBEN</x:v>
      </x:c>
      <x:c r="Q294" s="36" t="str">
        <x:v>JA</x:v>
      </x:c>
    </x:row>
    <x:row r="295">
      <x:c r="A295" s="36" t="str">
        <x:v>FP-0554</x:v>
      </x:c>
      <x:c r="B295" s="36" t="str">
        <x:v>LUK</x:v>
      </x:c>
      <x:c r="C295" s="36" t="str">
        <x:v>Lukas</x:v>
      </x:c>
      <x:c r="D295" s="36" t="n">
        <x:v>15</x:v>
      </x:c>
      <x:c r="E295" s="36" t="n">
        <x:v>4</x:v>
      </x:c>
      <x:c r="F295" s="36" t="str">
        <x:v>Warum wird der ältere Sohn zornig?</x:v>
      </x:c>
      <x:c r="G295" s="36" t="str">
        <x:v>Weil er das Haus erben soll.</x:v>
      </x:c>
      <x:c r="H295" s="36" t="str">
        <x:v>Weil der Vater ihn auf eine Reise schickt.</x:v>
      </x:c>
      <x:c r="I295" s="36" t="str">
        <x:v>Weil der Vater die Rückkehr seines Bruders mit einem Fest feiert, obwohl dieser das Vermögen vergeudet hat.</x:v>
      </x:c>
      <x:c r="J295" s="36" t="str">
        <x:v>Weil er selbst fortgehen möchte.</x:v>
      </x:c>
      <x:c r="K295" s="36" t="n">
        <x:v>2</x:v>
      </x:c>
      <x:c r="L295" s="36" t="str">
        <x:v>Weil der Vater die Rückkehr seines Bruders mit einem Fest feiert, obwohl dieser das Vermögen vergeudet hat.</x:v>
      </x:c>
      <x:c r="M295" s="36" t="str">
        <x:v>Lukas 15,25–30</x:v>
      </x:c>
      <x:c r="N295" s="36" t="str">
        <x:v>Der ältere Sohn empfindet die festliche Aufnahme des zurückgekehrten Bruders als ungerecht.</x:v>
      </x:c>
      <x:c r="O295" s="36" t="str">
        <x:v>FREIGEGEBEN</x:v>
      </x:c>
      <x:c r="P295" s="36" t="str">
        <x:v>FREIGEGEBEN</x:v>
      </x:c>
      <x:c r="Q295" s="36" t="str">
        <x:v>JA</x:v>
      </x:c>
    </x:row>
    <x:row r="296">
      <x:c r="A296" s="36" t="str">
        <x:v>FP-0555</x:v>
      </x:c>
      <x:c r="B296" s="36" t="str">
        <x:v>LUK</x:v>
      </x:c>
      <x:c r="C296" s="36" t="str">
        <x:v>Lukas</x:v>
      </x:c>
      <x:c r="D296" s="36" t="n">
        <x:v>15</x:v>
      </x:c>
      <x:c r="E296" s="36" t="n">
        <x:v>5</x:v>
      </x:c>
      <x:c r="F296" s="36" t="str">
        <x:v>Wie erklärt der Vater dem älteren Sohn, warum gefeiert werden musste?</x:v>
      </x:c>
      <x:c r="G296" s="36" t="str">
        <x:v>Der jüngere Sohn sei nun reicher als er.</x:v>
      </x:c>
      <x:c r="H296" s="36" t="str">
        <x:v>Das Fest sei nur für die Nachbarn.</x:v>
      </x:c>
      <x:c r="I296" s="36" t="str">
        <x:v>Der ältere Sohn müsse das Haus verlassen.</x:v>
      </x:c>
      <x:c r="J296" s="36" t="str">
        <x:v>Der Bruder war wie tot und lebt wieder; er war verloren und ist gefunden.</x:v>
      </x:c>
      <x:c r="K296" s="36" t="n">
        <x:v>3</x:v>
      </x:c>
      <x:c r="L296" s="36" t="str">
        <x:v>Der Bruder war wie tot und lebt wieder; er war verloren und ist gefunden.</x:v>
      </x:c>
      <x:c r="M296" s="36" t="str">
        <x:v>Lukas 15,31–32</x:v>
      </x:c>
      <x:c r="N296" s="36" t="str">
        <x:v>Der Vater begründet die Freude mit Wiedergewinnung: verloren und gefunden, tot und wieder lebendig.</x:v>
      </x:c>
      <x:c r="O296" s="36" t="str">
        <x:v>FREIGEGEBEN</x:v>
      </x:c>
      <x:c r="P296" s="36" t="str">
        <x:v>FREIGEGEBEN</x:v>
      </x:c>
      <x:c r="Q296" s="36" t="str">
        <x:v>JA</x:v>
      </x:c>
    </x:row>
    <x:row r="297">
      <x:c r="A297" s="36" t="str">
        <x:v>FP-0556</x:v>
      </x:c>
      <x:c r="B297" s="36" t="str">
        <x:v>LUK</x:v>
      </x:c>
      <x:c r="C297" s="36" t="str">
        <x:v>Lukas</x:v>
      </x:c>
      <x:c r="D297" s="36" t="n">
        <x:v>16</x:v>
      </x:c>
      <x:c r="E297" s="36" t="n">
        <x:v>1</x:v>
      </x:c>
      <x:c r="F297" s="36" t="str">
        <x:v>Welche Lehre zieht Jesus aus dem Gleichnis vom ungerechten Verwalter?</x:v>
      </x:c>
      <x:c r="G297" s="36" t="str">
        <x:v>Mit vergänglichem Besitz soll man so umgehen, dass er im Blick auf bleibende Beziehungen und Gottes Zukunft sinnvoll eingesetzt wird.</x:v>
      </x:c>
      <x:c r="H297" s="36" t="str">
        <x:v>Unehrlichkeit ist immer vorbildlich.</x:v>
      </x:c>
      <x:c r="I297" s="36" t="str">
        <x:v>Geld soll niemals verwendet werden.</x:v>
      </x:c>
      <x:c r="J297" s="36" t="str">
        <x:v>Nur Verwalter dürfen Besitz haben.</x:v>
      </x:c>
      <x:c r="K297" s="36" t="n">
        <x:v>0</x:v>
      </x:c>
      <x:c r="L297" s="36" t="str">
        <x:v>Mit vergänglichem Besitz soll man so umgehen, dass er im Blick auf bleibende Beziehungen und Gottes Zukunft sinnvoll eingesetzt wird.</x:v>
      </x:c>
      <x:c r="M297" s="36" t="str">
        <x:v>Lukas 16,1–9</x:v>
      </x:c>
      <x:c r="N297" s="36" t="str">
        <x:v>Jesus lobt nicht die Unehrlichkeit, sondern die vorausschauende Klugheit und fordert einen verantwortlichen Umgang mit vergänglichem Besitz.</x:v>
      </x:c>
      <x:c r="O297" s="36" t="str">
        <x:v>FREIGEGEBEN</x:v>
      </x:c>
      <x:c r="P297" s="36" t="str">
        <x:v>FREIGEGEBEN</x:v>
      </x:c>
      <x:c r="Q297" s="36" t="str">
        <x:v>JA</x:v>
      </x:c>
    </x:row>
    <x:row r="298">
      <x:c r="A298" s="36" t="str">
        <x:v>FP-0557</x:v>
      </x:c>
      <x:c r="B298" s="36" t="str">
        <x:v>LUK</x:v>
      </x:c>
      <x:c r="C298" s="36" t="str">
        <x:v>Lukas</x:v>
      </x:c>
      <x:c r="D298" s="36" t="n">
        <x:v>16</x:v>
      </x:c>
      <x:c r="E298" s="36" t="n">
        <x:v>2</x:v>
      </x:c>
      <x:c r="F298" s="36" t="str">
        <x:v>Was sagt Jesus über Treue und zwei Herren?</x:v>
      </x:c>
      <x:c r="G298" s="36" t="str">
        <x:v>Treue zählt nur bei großen Aufgaben.</x:v>
      </x:c>
      <x:c r="H298" s="36" t="str">
        <x:v>Wer im Kleinen treu ist, ist auch im Großen treu; man kann nicht Gott und dem Mammon dienen.</x:v>
      </x:c>
      <x:c r="I298" s="36" t="str">
        <x:v>Man kann problemlos zwei Herren dienen.</x:v>
      </x:c>
      <x:c r="J298" s="36" t="str">
        <x:v>Geld ist immer wichtiger als Treue.</x:v>
      </x:c>
      <x:c r="K298" s="36" t="n">
        <x:v>1</x:v>
      </x:c>
      <x:c r="L298" s="36" t="str">
        <x:v>Wer im Kleinen treu ist, ist auch im Großen treu; man kann nicht Gott und dem Mammon dienen.</x:v>
      </x:c>
      <x:c r="M298" s="36" t="str">
        <x:v>Lukas 16,10–13</x:v>
      </x:c>
      <x:c r="N298" s="36" t="str">
        <x:v>Jesus verbindet Verlässlichkeit im Kleinen mit größerer Verantwortung und stellt den Dienst an Gott dem Dienst am Mammon gegenüber.</x:v>
      </x:c>
      <x:c r="O298" s="36" t="str">
        <x:v>FREIGEGEBEN</x:v>
      </x:c>
      <x:c r="P298" s="36" t="str">
        <x:v>FREIGEGEBEN</x:v>
      </x:c>
      <x:c r="Q298" s="36" t="str">
        <x:v>JA</x:v>
      </x:c>
    </x:row>
    <x:row r="299">
      <x:c r="A299" s="36" t="str">
        <x:v>FP-0558</x:v>
      </x:c>
      <x:c r="B299" s="36" t="str">
        <x:v>LUK</x:v>
      </x:c>
      <x:c r="C299" s="36" t="str">
        <x:v>Lukas</x:v>
      </x:c>
      <x:c r="D299" s="36" t="n">
        <x:v>16</x:v>
      </x:c>
      <x:c r="E299" s="36" t="n">
        <x:v>3</x:v>
      </x:c>
      <x:c r="F299" s="36" t="str">
        <x:v>Warum kritisiert Jesus die geldliebenden Pharisäer?</x:v>
      </x:c>
      <x:c r="G299" s="36" t="str">
        <x:v>Sie besitzen überhaupt kein Geld.</x:v>
      </x:c>
      <x:c r="H299" s="36" t="str">
        <x:v>Sie zahlen keine Steuern.</x:v>
      </x:c>
      <x:c r="I299" s="36" t="str">
        <x:v>Sie rechtfertigen sich vor Menschen, aber Gott kennt ihre Herzen.</x:v>
      </x:c>
      <x:c r="J299" s="36" t="str">
        <x:v>Sie lesen nie im Gesetz.</x:v>
      </x:c>
      <x:c r="K299" s="36" t="n">
        <x:v>2</x:v>
      </x:c>
      <x:c r="L299" s="36" t="str">
        <x:v>Sie rechtfertigen sich vor Menschen, aber Gott kennt ihre Herzen.</x:v>
      </x:c>
      <x:c r="M299" s="36" t="str">
        <x:v>Lukas 16,14–15</x:v>
      </x:c>
      <x:c r="N299" s="36" t="str">
        <x:v>Jesus stellt menschliche Selbstdarstellung Gottes Kenntnis des Herzens gegenüber.</x:v>
      </x:c>
      <x:c r="O299" s="36" t="str">
        <x:v>FREIGEGEBEN</x:v>
      </x:c>
      <x:c r="P299" s="36" t="str">
        <x:v>FREIGEGEBEN</x:v>
      </x:c>
      <x:c r="Q299" s="36" t="str">
        <x:v>JA</x:v>
      </x:c>
    </x:row>
    <x:row r="300">
      <x:c r="A300" s="36" t="str">
        <x:v>FP-0559</x:v>
      </x:c>
      <x:c r="B300" s="36" t="str">
        <x:v>LUK</x:v>
      </x:c>
      <x:c r="C300" s="36" t="str">
        <x:v>Lukas</x:v>
      </x:c>
      <x:c r="D300" s="36" t="n">
        <x:v>16</x:v>
      </x:c>
      <x:c r="E300" s="36" t="n">
        <x:v>4</x:v>
      </x:c>
      <x:c r="F300" s="36" t="str">
        <x:v>Was verändert sich nach dem Tod des reichen Mannes und des armen Lazarus?</x:v>
      </x:c>
      <x:c r="G300" s="36" t="str">
        <x:v>Beide kehren sofort in ihr früheres Leben zurück.</x:v>
      </x:c>
      <x:c r="H300" s="36" t="str">
        <x:v>Der reiche Mann wird König.</x:v>
      </x:c>
      <x:c r="I300" s="36" t="str">
        <x:v>Lazarus wird erneut vor das Tor gelegt.</x:v>
      </x:c>
      <x:c r="J300" s="36" t="str">
        <x:v>Lazarus wird getröstet, während der reiche Mann Qual leidet, und zwischen beiden Seiten besteht eine unüberwindbare Kluft.</x:v>
      </x:c>
      <x:c r="K300" s="36" t="n">
        <x:v>3</x:v>
      </x:c>
      <x:c r="L300" s="36" t="str">
        <x:v>Lazarus wird getröstet, während der reiche Mann Qual leidet, und zwischen beiden Seiten besteht eine unüberwindbare Kluft.</x:v>
      </x:c>
      <x:c r="M300" s="36" t="str">
        <x:v>Lukas 16,19–26</x:v>
      </x:c>
      <x:c r="N300" s="36" t="str">
        <x:v>Die Geschichte schildert eine Umkehr der Lebenslagen und eine feste Trennung, die nicht überschritten werden kann.</x:v>
      </x:c>
      <x:c r="O300" s="36" t="str">
        <x:v>FREIGEGEBEN</x:v>
      </x:c>
      <x:c r="P300" s="36" t="str">
        <x:v>FREIGEGEBEN</x:v>
      </x:c>
      <x:c r="Q300" s="36" t="str">
        <x:v>JA</x:v>
      </x:c>
    </x:row>
    <x:row r="301">
      <x:c r="A301" s="36" t="str">
        <x:v>FP-0560</x:v>
      </x:c>
      <x:c r="B301" s="36" t="str">
        <x:v>LUK</x:v>
      </x:c>
      <x:c r="C301" s="36" t="str">
        <x:v>Lukas</x:v>
      </x:c>
      <x:c r="D301" s="36" t="n">
        <x:v>16</x:v>
      </x:c>
      <x:c r="E301" s="36" t="n">
        <x:v>5</x:v>
      </x:c>
      <x:c r="F301" s="36" t="str">
        <x:v>Was antwortet Abraham auf die Bitte, Lazarus solle die Brüder des reichen Mannes warnen?</x:v>
      </x:c>
      <x:c r="G301" s="36" t="str">
        <x:v>Sie haben Mose und die Propheten; wenn sie darauf nicht hören, überzeugt sie auch eine Auferstehung nicht.</x:v>
      </x:c>
      <x:c r="H301" s="36" t="str">
        <x:v>Ein Engel wird sofort gesandt.</x:v>
      </x:c>
      <x:c r="I301" s="36" t="str">
        <x:v>Die Brüder brauchen keine Warnung.</x:v>
      </x:c>
      <x:c r="J301" s="36" t="str">
        <x:v>Nur ein Wunder im Tempel könne helfen.</x:v>
      </x:c>
      <x:c r="K301" s="36" t="n">
        <x:v>0</x:v>
      </x:c>
      <x:c r="L301" s="36" t="str">
        <x:v>Sie haben Mose und die Propheten; wenn sie darauf nicht hören, überzeugt sie auch eine Auferstehung nicht.</x:v>
      </x:c>
      <x:c r="M301" s="36" t="str">
        <x:v>Lukas 16,27–31</x:v>
      </x:c>
      <x:c r="N301" s="36" t="str">
        <x:v>Abraham verweist auf das bereits gegebene Zeugnis der Schrift und betont die Verantwortung, darauf zu hören.</x:v>
      </x:c>
      <x:c r="O301" s="36" t="str">
        <x:v>FREIGEGEBEN</x:v>
      </x:c>
      <x:c r="P301" s="36" t="str">
        <x:v>FREIGEGEBEN</x:v>
      </x:c>
      <x:c r="Q301" s="36" t="str">
        <x:v>JA</x:v>
      </x:c>
    </x:row>
    <x:row r="302">
      <x:c r="A302" s="36" t="str">
        <x:v>FP-0561</x:v>
      </x:c>
      <x:c r="B302" s="36" t="str">
        <x:v>LUK</x:v>
      </x:c>
      <x:c r="C302" s="36" t="str">
        <x:v>Lukas</x:v>
      </x:c>
      <x:c r="D302" s="36" t="n">
        <x:v>17</x:v>
      </x:c>
      <x:c r="E302" s="36" t="n">
        <x:v>1</x:v>
      </x:c>
      <x:c r="F302" s="36" t="str">
        <x:v>Wie oft soll ein Bruder vergeben werden, wenn er wiederholt sündigt und umkehrt?</x:v>
      </x:c>
      <x:c r="G302" s="36" t="str">
        <x:v>Nur einmal im Jahr.</x:v>
      </x:c>
      <x:c r="H302" s="36" t="str">
        <x:v>Auch wenn es siebenmal am Tag geschieht, soll ihm vergeben werden.</x:v>
      </x:c>
      <x:c r="I302" s="36" t="str">
        <x:v>Nach dem dritten Mal nicht mehr.</x:v>
      </x:c>
      <x:c r="J302" s="36" t="str">
        <x:v>Nur wenn Zeugen anwesend sind.</x:v>
      </x:c>
      <x:c r="K302" s="36" t="n">
        <x:v>1</x:v>
      </x:c>
      <x:c r="L302" s="36" t="str">
        <x:v>Auch wenn es siebenmal am Tag geschieht, soll ihm vergeben werden.</x:v>
      </x:c>
      <x:c r="M302" s="36" t="str">
        <x:v>Lukas 17,1–4</x:v>
      </x:c>
      <x:c r="N302" s="36" t="str">
        <x:v>Jesus fordert wiederholte Vergebungsbereitschaft, wenn der andere umkehrt.</x:v>
      </x:c>
      <x:c r="O302" s="36" t="str">
        <x:v>FREIGEGEBEN</x:v>
      </x:c>
      <x:c r="P302" s="36" t="str">
        <x:v>FREIGEGEBEN</x:v>
      </x:c>
      <x:c r="Q302" s="36" t="str">
        <x:v>JA</x:v>
      </x:c>
    </x:row>
    <x:row r="303">
      <x:c r="A303" s="36" t="str">
        <x:v>FP-0562</x:v>
      </x:c>
      <x:c r="B303" s="36" t="str">
        <x:v>LUK</x:v>
      </x:c>
      <x:c r="C303" s="36" t="str">
        <x:v>Lukas</x:v>
      </x:c>
      <x:c r="D303" s="36" t="n">
        <x:v>17</x:v>
      </x:c>
      <x:c r="E303" s="36" t="n">
        <x:v>2</x:v>
      </x:c>
      <x:c r="F303" s="36" t="str">
        <x:v>Mit welchem Bild antwortet Jesus auf die Bitte der Apostel: „Stärke unseren Glauben“?</x:v>
      </x:c>
      <x:c r="G303" s="36" t="str">
        <x:v>Mit einem großen Tempel.</x:v>
      </x:c>
      <x:c r="H303" s="36" t="str">
        <x:v>Mit zehn Talenten Gold.</x:v>
      </x:c>
      <x:c r="I303" s="36" t="str">
        <x:v>Mit Glauben wie einem Senfkorn, der sogar einen Maulbeerbaum versetzen könnte.</x:v>
      </x:c>
      <x:c r="J303" s="36" t="str">
        <x:v>Mit einem Schiff ohne Anker.</x:v>
      </x:c>
      <x:c r="K303" s="36" t="n">
        <x:v>2</x:v>
      </x:c>
      <x:c r="L303" s="36" t="str">
        <x:v>Mit Glauben wie einem Senfkorn, der sogar einen Maulbeerbaum versetzen könnte.</x:v>
      </x:c>
      <x:c r="M303" s="36" t="str">
        <x:v>Lukas 17,5–6</x:v>
      </x:c>
      <x:c r="N303" s="36" t="str">
        <x:v>Jesus verwendet das Senfkorn als Bild dafür, dass selbst kleiner echter Glaube wirksam sein kann.</x:v>
      </x:c>
      <x:c r="O303" s="36" t="str">
        <x:v>FREIGEGEBEN</x:v>
      </x:c>
      <x:c r="P303" s="36" t="str">
        <x:v>FREIGEGEBEN</x:v>
      </x:c>
      <x:c r="Q303" s="36" t="str">
        <x:v>JA</x:v>
      </x:c>
    </x:row>
    <x:row r="304">
      <x:c r="A304" s="36" t="str">
        <x:v>FP-0563</x:v>
      </x:c>
      <x:c r="B304" s="36" t="str">
        <x:v>LUK</x:v>
      </x:c>
      <x:c r="C304" s="36" t="str">
        <x:v>Lukas</x:v>
      </x:c>
      <x:c r="D304" s="36" t="n">
        <x:v>17</x:v>
      </x:c>
      <x:c r="E304" s="36" t="n">
        <x:v>3</x:v>
      </x:c>
      <x:c r="F304" s="36" t="str">
        <x:v>Welche Haltung sollen Jünger nach erfüllter Pflicht einnehmen?</x:v>
      </x:c>
      <x:c r="G304" s="36" t="str">
        <x:v>Eine besondere Belohnung fordern.</x:v>
      </x:c>
      <x:c r="H304" s="36" t="str">
        <x:v>Sich über andere erheben.</x:v>
      </x:c>
      <x:c r="I304" s="36" t="str">
        <x:v>Ihre Aufgaben geheim halten.</x:v>
      </x:c>
      <x:c r="J304" s="36" t="str">
        <x:v>Demütig sagen, dass sie nur getan haben, was ihnen aufgetragen war.</x:v>
      </x:c>
      <x:c r="K304" s="36" t="n">
        <x:v>3</x:v>
      </x:c>
      <x:c r="L304" s="36" t="str">
        <x:v>Demütig sagen, dass sie nur getan haben, was ihnen aufgetragen war.</x:v>
      </x:c>
      <x:c r="M304" s="36" t="str">
        <x:v>Lukas 17,7–10</x:v>
      </x:c>
      <x:c r="N304" s="36" t="str">
        <x:v>Das Gleichnis zielt auf eine nüchterne, demütige Haltung im Dienst.</x:v>
      </x:c>
      <x:c r="O304" s="36" t="str">
        <x:v>FREIGEGEBEN</x:v>
      </x:c>
      <x:c r="P304" s="36" t="str">
        <x:v>FREIGEGEBEN</x:v>
      </x:c>
      <x:c r="Q304" s="36" t="str">
        <x:v>JA</x:v>
      </x:c>
    </x:row>
    <x:row r="305">
      <x:c r="A305" s="36" t="str">
        <x:v>FP-0564</x:v>
      </x:c>
      <x:c r="B305" s="36" t="str">
        <x:v>LUK</x:v>
      </x:c>
      <x:c r="C305" s="36" t="str">
        <x:v>Lukas</x:v>
      </x:c>
      <x:c r="D305" s="36" t="n">
        <x:v>17</x:v>
      </x:c>
      <x:c r="E305" s="36" t="n">
        <x:v>4</x:v>
      </x:c>
      <x:c r="F305" s="36" t="str">
        <x:v>Was unterscheidet den einen geheilten Aussätzigen von den anderen neun?</x:v>
      </x:c>
      <x:c r="G305" s="36" t="str">
        <x:v>Er kehrt zurück, lobt Gott und dankt Jesus; er ist ein Samariter.</x:v>
      </x:c>
      <x:c r="H305" s="36" t="str">
        <x:v>Er war der einzige, der zu den Priestern ging.</x:v>
      </x:c>
      <x:c r="I305" s="36" t="str">
        <x:v>Er wird nicht geheilt.</x:v>
      </x:c>
      <x:c r="J305" s="36" t="str">
        <x:v>Er verlangt anschließend Geld.</x:v>
      </x:c>
      <x:c r="K305" s="36" t="n">
        <x:v>0</x:v>
      </x:c>
      <x:c r="L305" s="36" t="str">
        <x:v>Er kehrt zurück, lobt Gott und dankt Jesus; er ist ein Samariter.</x:v>
      </x:c>
      <x:c r="M305" s="36" t="str">
        <x:v>Lukas 17,11–19</x:v>
      </x:c>
      <x:c r="N305" s="36" t="str">
        <x:v>Alle zehn werden gereinigt, doch nur einer kehrt dankbar zurück; Lukas betont, dass er Samariter ist.</x:v>
      </x:c>
      <x:c r="O305" s="36" t="str">
        <x:v>FREIGEGEBEN</x:v>
      </x:c>
      <x:c r="P305" s="36" t="str">
        <x:v>FREIGEGEBEN</x:v>
      </x:c>
      <x:c r="Q305" s="36" t="str">
        <x:v>JA</x:v>
      </x:c>
    </x:row>
    <x:row r="306">
      <x:c r="A306" s="36" t="str">
        <x:v>FP-0565</x:v>
      </x:c>
      <x:c r="B306" s="36" t="str">
        <x:v>LUK</x:v>
      </x:c>
      <x:c r="C306" s="36" t="str">
        <x:v>Lukas</x:v>
      </x:c>
      <x:c r="D306" s="36" t="n">
        <x:v>17</x:v>
      </x:c>
      <x:c r="E306" s="36" t="n">
        <x:v>5</x:v>
      </x:c>
      <x:c r="F306" s="36" t="str">
        <x:v>Was sagt Jesus über das Kommen des Reiches Gottes und den Menschensohn?</x:v>
      </x:c>
      <x:c r="G306" s="36" t="str">
        <x:v>Das Reich beginnt mit einem politischen Aufstand.</x:v>
      </x:c>
      <x:c r="H306" s="36" t="str">
        <x:v>Das Reich kommt nicht so, dass man einfach auf äußere Zeichen zeigen kann; der Menschensohn wird offenbar sein, muss aber zuvor leiden.</x:v>
      </x:c>
      <x:c r="I306" s="36" t="str">
        <x:v>Der Menschensohn wird nie leiden.</x:v>
      </x:c>
      <x:c r="J306" s="36" t="str">
        <x:v>Das Reich ist nur an einem Ort zu finden.</x:v>
      </x:c>
      <x:c r="K306" s="36" t="n">
        <x:v>1</x:v>
      </x:c>
      <x:c r="L306" s="36" t="str">
        <x:v>Das Reich kommt nicht so, dass man einfach auf äußere Zeichen zeigen kann; der Menschensohn wird offenbar sein, muss aber zuvor leiden.</x:v>
      </x:c>
      <x:c r="M306" s="36" t="str">
        <x:v>Lukas 17,20–25</x:v>
      </x:c>
      <x:c r="N306" s="36" t="str">
        <x:v>Jesus warnt vor einfachen Ortsangaben zum Reich und beschreibt den Tag des Menschensohnes als unübersehbar, nach vorausgehendem Leiden.</x:v>
      </x:c>
      <x:c r="O306" s="36" t="str">
        <x:v>FREIGEGEBEN</x:v>
      </x:c>
      <x:c r="P306" s="36" t="str">
        <x:v>FREIGEGEBEN</x:v>
      </x:c>
      <x:c r="Q306" s="36" t="str">
        <x:v>JA</x:v>
      </x:c>
    </x:row>
    <x:row r="307">
      <x:c r="A307" s="36" t="str">
        <x:v>FP-0566</x:v>
      </x:c>
      <x:c r="B307" s="36" t="str">
        <x:v>LUK</x:v>
      </x:c>
      <x:c r="C307" s="36" t="str">
        <x:v>Lukas</x:v>
      </x:c>
      <x:c r="D307" s="36" t="n">
        <x:v>18</x:v>
      </x:c>
      <x:c r="E307" s="36" t="n">
        <x:v>1</x:v>
      </x:c>
      <x:c r="F307" s="36" t="str">
        <x:v>Warum erzählt Jesus das Gleichnis von der hartnäckigen Witwe?</x:v>
      </x:c>
      <x:c r="G307" s="36" t="str">
        <x:v>Damit sie Richter meiden.</x:v>
      </x:c>
      <x:c r="H307" s="36" t="str">
        <x:v>Damit Witwen keine Bitten mehr stellen.</x:v>
      </x:c>
      <x:c r="I307" s="36" t="str">
        <x:v>Damit die Jünger immer beten und nicht den Mut verlieren.</x:v>
      </x:c>
      <x:c r="J307" s="36" t="str">
        <x:v>Damit sie nur nachts beten.</x:v>
      </x:c>
      <x:c r="K307" s="36" t="n">
        <x:v>2</x:v>
      </x:c>
      <x:c r="L307" s="36" t="str">
        <x:v>Damit die Jünger immer beten und nicht den Mut verlieren.</x:v>
      </x:c>
      <x:c r="M307" s="36" t="str">
        <x:v>Lukas 18,1–8</x:v>
      </x:c>
      <x:c r="N307" s="36" t="str">
        <x:v>Lukas nennt den Zweck ausdrücklich: beharrlich beten und nicht aufgeben.</x:v>
      </x:c>
      <x:c r="O307" s="36" t="str">
        <x:v>FREIGEGEBEN</x:v>
      </x:c>
      <x:c r="P307" s="36" t="str">
        <x:v>FREIGEGEBEN</x:v>
      </x:c>
      <x:c r="Q307" s="36" t="str">
        <x:v>JA</x:v>
      </x:c>
    </x:row>
    <x:row r="308">
      <x:c r="A308" s="36" t="str">
        <x:v>FP-0567</x:v>
      </x:c>
      <x:c r="B308" s="36" t="str">
        <x:v>LUK</x:v>
      </x:c>
      <x:c r="C308" s="36" t="str">
        <x:v>Lukas</x:v>
      </x:c>
      <x:c r="D308" s="36" t="n">
        <x:v>18</x:v>
      </x:c>
      <x:c r="E308" s="36" t="n">
        <x:v>2</x:v>
      </x:c>
      <x:c r="F308" s="36" t="str">
        <x:v>Warum geht der Zöllner im Gleichnis gerechtfertigt nach Hause?</x:v>
      </x:c>
      <x:c r="G308" s="36" t="str">
        <x:v>Er fastet häufiger.</x:v>
      </x:c>
      <x:c r="H308" s="36" t="str">
        <x:v>Er spendet mehr Geld.</x:v>
      </x:c>
      <x:c r="I308" s="36" t="str">
        <x:v>Er kennt den Hohepriester persönlich.</x:v>
      </x:c>
      <x:c r="J308" s="36" t="str">
        <x:v>Er bittet demütig um Gottes Gnade, während der Pharisäer sich selbst erhöht.</x:v>
      </x:c>
      <x:c r="K308" s="36" t="n">
        <x:v>3</x:v>
      </x:c>
      <x:c r="L308" s="36" t="str">
        <x:v>Er bittet demütig um Gottes Gnade, während der Pharisäer sich selbst erhöht.</x:v>
      </x:c>
      <x:c r="M308" s="36" t="str">
        <x:v>Lukas 18,9–14</x:v>
      </x:c>
      <x:c r="N308" s="36" t="str">
        <x:v>Der Zöllner vertraut nicht auf eigene Leistung, sondern bittet um Erbarmen; Jesus verbindet dies mit Demut.</x:v>
      </x:c>
      <x:c r="O308" s="36" t="str">
        <x:v>FREIGEGEBEN</x:v>
      </x:c>
      <x:c r="P308" s="36" t="str">
        <x:v>FREIGEGEBEN</x:v>
      </x:c>
      <x:c r="Q308" s="36" t="str">
        <x:v>JA</x:v>
      </x:c>
    </x:row>
    <x:row r="309">
      <x:c r="A309" s="36" t="str">
        <x:v>FP-0568</x:v>
      </x:c>
      <x:c r="B309" s="36" t="str">
        <x:v>LUK</x:v>
      </x:c>
      <x:c r="C309" s="36" t="str">
        <x:v>Lukas</x:v>
      </x:c>
      <x:c r="D309" s="36" t="n">
        <x:v>18</x:v>
      </x:c>
      <x:c r="E309" s="36" t="n">
        <x:v>3</x:v>
      </x:c>
      <x:c r="F309" s="36" t="str">
        <x:v>Wie soll das Reich Gottes nach Jesu Worten angenommen werden?</x:v>
      </x:c>
      <x:c r="G309" s="36" t="str">
        <x:v>Wie ein Kind.</x:v>
      </x:c>
      <x:c r="H309" s="36" t="str">
        <x:v>Wie ein politisches Amt.</x:v>
      </x:c>
      <x:c r="I309" s="36" t="str">
        <x:v>Wie ein Besitz, den man kaufen kann.</x:v>
      </x:c>
      <x:c r="J309" s="36" t="str">
        <x:v>Wie eine Belohnung für Alter.</x:v>
      </x:c>
      <x:c r="K309" s="36" t="n">
        <x:v>0</x:v>
      </x:c>
      <x:c r="L309" s="36" t="str">
        <x:v>Wie ein Kind.</x:v>
      </x:c>
      <x:c r="M309" s="36" t="str">
        <x:v>Lukas 18,15–17</x:v>
      </x:c>
      <x:c r="N309" s="36" t="str">
        <x:v>Jesus stellt die kindliche Annahme des Reiches als notwendig heraus.</x:v>
      </x:c>
      <x:c r="O309" s="36" t="str">
        <x:v>FREIGEGEBEN</x:v>
      </x:c>
      <x:c r="P309" s="36" t="str">
        <x:v>FREIGEGEBEN</x:v>
      </x:c>
      <x:c r="Q309" s="36" t="str">
        <x:v>JA</x:v>
      </x:c>
    </x:row>
    <x:row r="310">
      <x:c r="A310" s="36" t="str">
        <x:v>FP-0569</x:v>
      </x:c>
      <x:c r="B310" s="36" t="str">
        <x:v>LUK</x:v>
      </x:c>
      <x:c r="C310" s="36" t="str">
        <x:v>Lukas</x:v>
      </x:c>
      <x:c r="D310" s="36" t="n">
        <x:v>18</x:v>
      </x:c>
      <x:c r="E310" s="36" t="n">
        <x:v>4</x:v>
      </x:c>
      <x:c r="F310" s="36" t="str">
        <x:v>Warum wird der reiche Oberste traurig, und was sagt Jesus anschließend über Rettung?</x:v>
      </x:c>
      <x:c r="G310" s="36" t="str">
        <x:v>Er hat die Gebote nie gehört; Rettung ist unmöglich.</x:v>
      </x:c>
      <x:c r="H310" s="36" t="str">
        <x:v>Er hängt an seinem großen Besitz; was bei Menschen unmöglich ist, ist bei Gott möglich.</x:v>
      </x:c>
      <x:c r="I310" s="36" t="str">
        <x:v>Er möchte Priester werden; nur Reiche können gerettet werden.</x:v>
      </x:c>
      <x:c r="J310" s="36" t="str">
        <x:v>Er darf nicht nach Jerusalem reisen; Rettung hängt von Herkunft ab.</x:v>
      </x:c>
      <x:c r="K310" s="36" t="n">
        <x:v>1</x:v>
      </x:c>
      <x:c r="L310" s="36" t="str">
        <x:v>Er hängt an seinem großen Besitz; was bei Menschen unmöglich ist, ist bei Gott möglich.</x:v>
      </x:c>
      <x:c r="M310" s="36" t="str">
        <x:v>Lukas 18,18–27</x:v>
      </x:c>
      <x:c r="N310" s="36" t="str">
        <x:v>Die Forderung, den Besitz loszulassen und Jesus zu folgen, trifft den reichen Mann; Jesus richtet den Blick anschließend auf Gottes Möglichkeit.</x:v>
      </x:c>
      <x:c r="O310" s="36" t="str">
        <x:v>FREIGEGEBEN</x:v>
      </x:c>
      <x:c r="P310" s="36" t="str">
        <x:v>FREIGEGEBEN</x:v>
      </x:c>
      <x:c r="Q310" s="36" t="str">
        <x:v>JA</x:v>
      </x:c>
    </x:row>
    <x:row r="311">
      <x:c r="A311" s="36" t="str">
        <x:v>FP-0570</x:v>
      </x:c>
      <x:c r="B311" s="36" t="str">
        <x:v>LUK</x:v>
      </x:c>
      <x:c r="C311" s="36" t="str">
        <x:v>Lukas</x:v>
      </x:c>
      <x:c r="D311" s="36" t="n">
        <x:v>18</x:v>
      </x:c>
      <x:c r="E311" s="36" t="n">
        <x:v>5</x:v>
      </x:c>
      <x:c r="F311" s="36" t="str">
        <x:v>Wie reagiert der blinde Mann bei Jericho nach seiner Heilung?</x:v>
      </x:c>
      <x:c r="G311" s="36" t="str">
        <x:v>Er geht schweigend nach Hause.</x:v>
      </x:c>
      <x:c r="H311" s="36" t="str">
        <x:v>Er wird Zöllner.</x:v>
      </x:c>
      <x:c r="I311" s="36" t="str">
        <x:v>Er folgt Jesus und verherrlicht Gott.</x:v>
      </x:c>
      <x:c r="J311" s="36" t="str">
        <x:v>Er zieht nach Nazareth.</x:v>
      </x:c>
      <x:c r="K311" s="36" t="n">
        <x:v>2</x:v>
      </x:c>
      <x:c r="L311" s="36" t="str">
        <x:v>Er folgt Jesus und verherrlicht Gott.</x:v>
      </x:c>
      <x:c r="M311" s="36" t="str">
        <x:v>Lukas 18,35–43</x:v>
      </x:c>
      <x:c r="N311" s="36" t="str">
        <x:v>Nachdem Jesus ihm das Augenlicht gibt, folgt der Mann ihm und preist Gott.</x:v>
      </x:c>
      <x:c r="O311" s="36" t="str">
        <x:v>FREIGEGEBEN</x:v>
      </x:c>
      <x:c r="P311" s="36" t="str">
        <x:v>FREIGEGEBEN</x:v>
      </x:c>
      <x:c r="Q311" s="36" t="str">
        <x:v>JA</x:v>
      </x:c>
    </x:row>
    <x:row r="312">
      <x:c r="A312" s="36" t="str">
        <x:v>FP-0571</x:v>
      </x:c>
      <x:c r="B312" s="36" t="str">
        <x:v>LUK</x:v>
      </x:c>
      <x:c r="C312" s="36" t="str">
        <x:v>Lukas</x:v>
      </x:c>
      <x:c r="D312" s="36" t="n">
        <x:v>19</x:v>
      </x:c>
      <x:c r="E312" s="36" t="n">
        <x:v>1</x:v>
      </x:c>
      <x:c r="F312" s="36" t="str">
        <x:v>Wie zeigt Zachäus seine veränderte Haltung nach der Begegnung mit Jesus?</x:v>
      </x:c>
      <x:c r="G312" s="36" t="str">
        <x:v>Er verlässt Jericho ohne etwas zu sagen.</x:v>
      </x:c>
      <x:c r="H312" s="36" t="str">
        <x:v>Er schenkt nur Jesus Geld.</x:v>
      </x:c>
      <x:c r="I312" s="36" t="str">
        <x:v>Er fordert höhere Zölle.</x:v>
      </x:c>
      <x:c r="J312" s="36" t="str">
        <x:v>Er gibt die Hälfte seines Besitzes den Armen und will Betrug vierfach erstatten.</x:v>
      </x:c>
      <x:c r="K312" s="36" t="n">
        <x:v>3</x:v>
      </x:c>
      <x:c r="L312" s="36" t="str">
        <x:v>Er gibt die Hälfte seines Besitzes den Armen und will Betrug vierfach erstatten.</x:v>
      </x:c>
      <x:c r="M312" s="36" t="str">
        <x:v>Lukas 19,1–10</x:v>
      </x:c>
      <x:c r="N312" s="36" t="str">
        <x:v>Zachäus verbindet die Begegnung mit konkreter Großzügigkeit und Wiedergutmachung; Jesus spricht von Heil für sein Haus.</x:v>
      </x:c>
      <x:c r="O312" s="36" t="str">
        <x:v>FREIGEGEBEN</x:v>
      </x:c>
      <x:c r="P312" s="36" t="str">
        <x:v>FREIGEGEBEN</x:v>
      </x:c>
      <x:c r="Q312" s="36" t="str">
        <x:v>JA</x:v>
      </x:c>
    </x:row>
    <x:row r="313">
      <x:c r="A313" s="36" t="str">
        <x:v>FP-0572</x:v>
      </x:c>
      <x:c r="B313" s="36" t="str">
        <x:v>LUK</x:v>
      </x:c>
      <x:c r="C313" s="36" t="str">
        <x:v>Lukas</x:v>
      </x:c>
      <x:c r="D313" s="36" t="n">
        <x:v>19</x:v>
      </x:c>
      <x:c r="E313" s="36" t="n">
        <x:v>2</x:v>
      </x:c>
      <x:c r="F313" s="36" t="str">
        <x:v>Warum erzählt Jesus das Gleichnis von den anvertrauten Minen?</x:v>
      </x:c>
      <x:c r="G313" s="36" t="str">
        <x:v>Weil die Menschen nahe Jerusalem meinten, das Reich Gottes werde sofort sichtbar erscheinen.</x:v>
      </x:c>
      <x:c r="H313" s="36" t="str">
        <x:v>Weil seine Jünger kein Geld besaßen.</x:v>
      </x:c>
      <x:c r="I313" s="36" t="str">
        <x:v>Weil ein Bankier ihn darum bat.</x:v>
      </x:c>
      <x:c r="J313" s="36" t="str">
        <x:v>Weil Pilatus eine Steuer plante.</x:v>
      </x:c>
      <x:c r="K313" s="36" t="n">
        <x:v>0</x:v>
      </x:c>
      <x:c r="L313" s="36" t="str">
        <x:v>Weil die Menschen nahe Jerusalem meinten, das Reich Gottes werde sofort sichtbar erscheinen.</x:v>
      </x:c>
      <x:c r="M313" s="36" t="str">
        <x:v>Lukas 19,11–27</x:v>
      </x:c>
      <x:c r="N313" s="36" t="str">
        <x:v>Lukas nennt ausdrücklich die Erwartung eines unmittelbar sichtbaren Reiches als Anlass für das Gleichnis.</x:v>
      </x:c>
      <x:c r="O313" s="36" t="str">
        <x:v>FREIGEGEBEN</x:v>
      </x:c>
      <x:c r="P313" s="36" t="str">
        <x:v>FREIGEGEBEN</x:v>
      </x:c>
      <x:c r="Q313" s="36" t="str">
        <x:v>JA</x:v>
      </x:c>
    </x:row>
    <x:row r="314">
      <x:c r="A314" s="36" t="str">
        <x:v>FP-0573</x:v>
      </x:c>
      <x:c r="B314" s="36" t="str">
        <x:v>LUK</x:v>
      </x:c>
      <x:c r="C314" s="36" t="str">
        <x:v>Lukas</x:v>
      </x:c>
      <x:c r="D314" s="36" t="n">
        <x:v>19</x:v>
      </x:c>
      <x:c r="E314" s="36" t="n">
        <x:v>3</x:v>
      </x:c>
      <x:c r="F314" s="36" t="str">
        <x:v>Wie reagieren die Jünger beim Einzug Jesu in Jerusalem?</x:v>
      </x:c>
      <x:c r="G314" s="36" t="str">
        <x:v>Sie schweigen aus Angst.</x:v>
      </x:c>
      <x:c r="H314" s="36" t="str">
        <x:v>Sie loben Gott laut und rufen den kommenden König im Namen des Herrn willkommen.</x:v>
      </x:c>
      <x:c r="I314" s="36" t="str">
        <x:v>Sie verlassen Jesus.</x:v>
      </x:c>
      <x:c r="J314" s="36" t="str">
        <x:v>Sie gehen in den Tempel und schließen die Türen.</x:v>
      </x:c>
      <x:c r="K314" s="36" t="n">
        <x:v>1</x:v>
      </x:c>
      <x:c r="L314" s="36" t="str">
        <x:v>Sie loben Gott laut und rufen den kommenden König im Namen des Herrn willkommen.</x:v>
      </x:c>
      <x:c r="M314" s="36" t="str">
        <x:v>Lukas 19,28–40</x:v>
      </x:c>
      <x:c r="N314" s="36" t="str">
        <x:v>Die Jüngerschar lobt Gott für die gesehenen Machttaten und begrüßt Jesus als kommenden König.</x:v>
      </x:c>
      <x:c r="O314" s="36" t="str">
        <x:v>FREIGEGEBEN</x:v>
      </x:c>
      <x:c r="P314" s="36" t="str">
        <x:v>FREIGEGEBEN</x:v>
      </x:c>
      <x:c r="Q314" s="36" t="str">
        <x:v>JA</x:v>
      </x:c>
    </x:row>
    <x:row r="315">
      <x:c r="A315" s="36" t="str">
        <x:v>FP-0574</x:v>
      </x:c>
      <x:c r="B315" s="36" t="str">
        <x:v>LUK</x:v>
      </x:c>
      <x:c r="C315" s="36" t="str">
        <x:v>Lukas</x:v>
      </x:c>
      <x:c r="D315" s="36" t="n">
        <x:v>19</x:v>
      </x:c>
      <x:c r="E315" s="36" t="n">
        <x:v>4</x:v>
      </x:c>
      <x:c r="F315" s="36" t="str">
        <x:v>Warum weint Jesus über Jerusalem?</x:v>
      </x:c>
      <x:c r="G315" s="36" t="str">
        <x:v>Weil kein Platz im Tempel ist.</x:v>
      </x:c>
      <x:c r="H315" s="36" t="str">
        <x:v>Weil die Jünger ihn verlassen haben.</x:v>
      </x:c>
      <x:c r="I315" s="36" t="str">
        <x:v>Weil die Stadt nicht erkannt hat, was ihrem Frieden dient und die Zeit ihrer Heimsuchung verkannt hat.</x:v>
      </x:c>
      <x:c r="J315" s="36" t="str">
        <x:v>Weil er nach Galiläa zurückkehren möchte.</x:v>
      </x:c>
      <x:c r="K315" s="36" t="n">
        <x:v>2</x:v>
      </x:c>
      <x:c r="L315" s="36" t="str">
        <x:v>Weil die Stadt nicht erkannt hat, was ihrem Frieden dient und die Zeit ihrer Heimsuchung verkannt hat.</x:v>
      </x:c>
      <x:c r="M315" s="36" t="str">
        <x:v>Lukas 19,41–44</x:v>
      </x:c>
      <x:c r="N315" s="36" t="str">
        <x:v>Jesu Klage verbindet den verpassten Weg zum Frieden mit dem Nicht-Erkennen der göttlichen Heimsuchung.</x:v>
      </x:c>
      <x:c r="O315" s="36" t="str">
        <x:v>FREIGEGEBEN</x:v>
      </x:c>
      <x:c r="P315" s="36" t="str">
        <x:v>FREIGEGEBEN</x:v>
      </x:c>
      <x:c r="Q315" s="36" t="str">
        <x:v>JA</x:v>
      </x:c>
    </x:row>
    <x:row r="316">
      <x:c r="A316" s="36" t="str">
        <x:v>FP-0575</x:v>
      </x:c>
      <x:c r="B316" s="36" t="str">
        <x:v>LUK</x:v>
      </x:c>
      <x:c r="C316" s="36" t="str">
        <x:v>Lukas</x:v>
      </x:c>
      <x:c r="D316" s="36" t="n">
        <x:v>19</x:v>
      </x:c>
      <x:c r="E316" s="36" t="n">
        <x:v>5</x:v>
      </x:c>
      <x:c r="F316" s="36" t="str">
        <x:v>Wie begründet Jesus sein Handeln im Tempel?</x:v>
      </x:c>
      <x:c r="G316" s="36" t="str">
        <x:v>Der Tempel soll geschlossen werden.</x:v>
      </x:c>
      <x:c r="H316" s="36" t="str">
        <x:v>Nur die Jünger dürfen dort handeln.</x:v>
      </x:c>
      <x:c r="I316" s="36" t="str">
        <x:v>Opfer seien grundsätzlich verboten.</x:v>
      </x:c>
      <x:c r="J316" s="36" t="str">
        <x:v>Gottes Haus soll ein Haus des Gebets sein, nicht eine Räuberhöhle.</x:v>
      </x:c>
      <x:c r="K316" s="36" t="n">
        <x:v>3</x:v>
      </x:c>
      <x:c r="L316" s="36" t="str">
        <x:v>Gottes Haus soll ein Haus des Gebets sein, nicht eine Räuberhöhle.</x:v>
      </x:c>
      <x:c r="M316" s="36" t="str">
        <x:v>Lukas 19,45–48</x:v>
      </x:c>
      <x:c r="N316" s="36" t="str">
        <x:v>Jesus beruft sich auf die Bestimmung des Tempels als Haus des Gebets und kritisiert dessen Missbrauch.</x:v>
      </x:c>
      <x:c r="O316" s="36" t="str">
        <x:v>FREIGEGEBEN</x:v>
      </x:c>
      <x:c r="P316" s="36" t="str">
        <x:v>FREIGEGEBEN</x:v>
      </x:c>
      <x:c r="Q316" s="36" t="str">
        <x:v>JA</x:v>
      </x:c>
    </x:row>
    <x:row r="317">
      <x:c r="A317" s="36" t="str">
        <x:v>FP-0576</x:v>
      </x:c>
      <x:c r="B317" s="36" t="str">
        <x:v>LUK</x:v>
      </x:c>
      <x:c r="C317" s="36" t="str">
        <x:v>Lukas</x:v>
      </x:c>
      <x:c r="D317" s="36" t="n">
        <x:v>20</x:v>
      </x:c>
      <x:c r="E317" s="36" t="n">
        <x:v>1</x:v>
      </x:c>
      <x:c r="F317" s="36" t="str">
        <x:v>Wie reagiert Jesus auf die Frage nach seiner Vollmacht?</x:v>
      </x:c>
      <x:c r="G317" s="36" t="str">
        <x:v>Er fragt nach der Herkunft der Taufe des Johannes; weil seine Gegner nicht antworten, beantwortet auch er ihre Frage nicht.</x:v>
      </x:c>
      <x:c r="H317" s="36" t="str">
        <x:v>Er nennt sofort einen römischen Titel.</x:v>
      </x:c>
      <x:c r="I317" s="36" t="str">
        <x:v>Er verlässt den Tempel.</x:v>
      </x:c>
      <x:c r="J317" s="36" t="str">
        <x:v>Er bittet das Volk abzustimmen.</x:v>
      </x:c>
      <x:c r="K317" s="36" t="n">
        <x:v>0</x:v>
      </x:c>
      <x:c r="L317" s="36" t="str">
        <x:v>Er fragt nach der Herkunft der Taufe des Johannes; weil seine Gegner nicht antworten, beantwortet auch er ihre Frage nicht.</x:v>
      </x:c>
      <x:c r="M317" s="36" t="str">
        <x:v>Lukas 20,1–8</x:v>
      </x:c>
      <x:c r="N317" s="36" t="str">
        <x:v>Jesu Gegenfrage legt die Unehrlichkeit seiner Gegner offen; ihre Nicht-Antwort führt dazu, dass er seine Vollmacht nicht erklärt.</x:v>
      </x:c>
      <x:c r="O317" s="36" t="str">
        <x:v>FREIGEGEBEN</x:v>
      </x:c>
      <x:c r="P317" s="36" t="str">
        <x:v>FREIGEGEBEN</x:v>
      </x:c>
      <x:c r="Q317" s="36" t="str">
        <x:v>JA</x:v>
      </x:c>
    </x:row>
    <x:row r="318">
      <x:c r="A318" s="36" t="str">
        <x:v>FP-0577</x:v>
      </x:c>
      <x:c r="B318" s="36" t="str">
        <x:v>LUK</x:v>
      </x:c>
      <x:c r="C318" s="36" t="str">
        <x:v>Lukas</x:v>
      </x:c>
      <x:c r="D318" s="36" t="n">
        <x:v>20</x:v>
      </x:c>
      <x:c r="E318" s="36" t="n">
        <x:v>2</x:v>
      </x:c>
      <x:c r="F318" s="36" t="str">
        <x:v>Was geschieht im Gleichnis von den Weingärtnern mit dem geliebten Sohn des Besitzers?</x:v>
      </x:c>
      <x:c r="G318" s="36" t="str">
        <x:v>Die Pächter machen ihn zum Verwalter.</x:v>
      </x:c>
      <x:c r="H318" s="36" t="str">
        <x:v>Die Pächter töten ihn, und Jesus verbindet das Gleichnis mit dem verworfenen Stein, der zum Eckstein wird.</x:v>
      </x:c>
      <x:c r="I318" s="36" t="str">
        <x:v>Er verkauft den Weinberg.</x:v>
      </x:c>
      <x:c r="J318" s="36" t="str">
        <x:v>Er schließt Frieden mit den Pächtern.</x:v>
      </x:c>
      <x:c r="K318" s="36" t="n">
        <x:v>1</x:v>
      </x:c>
      <x:c r="L318" s="36" t="str">
        <x:v>Die Pächter töten ihn, und Jesus verbindet das Gleichnis mit dem verworfenen Stein, der zum Eckstein wird.</x:v>
      </x:c>
      <x:c r="M318" s="36" t="str">
        <x:v>Lukas 20,9–19</x:v>
      </x:c>
      <x:c r="N318" s="36" t="str">
        <x:v>Die Tötung des Sohnes bildet den Höhepunkt des Gleichnisses; Jesus deutet die Verwerfung mit dem Bild vom Eckstein.</x:v>
      </x:c>
      <x:c r="O318" s="36" t="str">
        <x:v>FREIGEGEBEN</x:v>
      </x:c>
      <x:c r="P318" s="36" t="str">
        <x:v>FREIGEGEBEN</x:v>
      </x:c>
      <x:c r="Q318" s="36" t="str">
        <x:v>JA</x:v>
      </x:c>
    </x:row>
    <x:row r="319">
      <x:c r="A319" s="36" t="str">
        <x:v>FP-0578</x:v>
      </x:c>
      <x:c r="B319" s="36" t="str">
        <x:v>LUK</x:v>
      </x:c>
      <x:c r="C319" s="36" t="str">
        <x:v>Lukas</x:v>
      </x:c>
      <x:c r="D319" s="36" t="n">
        <x:v>20</x:v>
      </x:c>
      <x:c r="E319" s="36" t="n">
        <x:v>3</x:v>
      </x:c>
      <x:c r="F319" s="36" t="str">
        <x:v>Wie beantwortet Jesus die Frage nach der Steuer für den Kaiser?</x:v>
      </x:c>
      <x:c r="G319" s="36" t="str">
        <x:v>Zahlt überhaupt keine Steuern.</x:v>
      </x:c>
      <x:c r="H319" s="36" t="str">
        <x:v>Gebt alles dem Kaiser.</x:v>
      </x:c>
      <x:c r="I319" s="36" t="str">
        <x:v>Gebt dem Kaiser, was des Kaisers ist, und Gott, was Gottes ist.</x:v>
      </x:c>
      <x:c r="J319" s="36" t="str">
        <x:v>Nur Priester müssen Steuern zahlen.</x:v>
      </x:c>
      <x:c r="K319" s="36" t="n">
        <x:v>2</x:v>
      </x:c>
      <x:c r="L319" s="36" t="str">
        <x:v>Gebt dem Kaiser, was des Kaisers ist, und Gott, was Gottes ist.</x:v>
      </x:c>
      <x:c r="M319" s="36" t="str">
        <x:v>Lukas 20,20–26</x:v>
      </x:c>
      <x:c r="N319" s="36" t="str">
        <x:v>Jesus unterscheidet die Ansprüche des Kaisers von dem, was Gott zukommt.</x:v>
      </x:c>
      <x:c r="O319" s="36" t="str">
        <x:v>FREIGEGEBEN</x:v>
      </x:c>
      <x:c r="P319" s="36" t="str">
        <x:v>FREIGEGEBEN</x:v>
      </x:c>
      <x:c r="Q319" s="36" t="str">
        <x:v>JA</x:v>
      </x:c>
    </x:row>
    <x:row r="320">
      <x:c r="A320" s="36" t="str">
        <x:v>FP-0579</x:v>
      </x:c>
      <x:c r="B320" s="36" t="str">
        <x:v>LUK</x:v>
      </x:c>
      <x:c r="C320" s="36" t="str">
        <x:v>Lukas</x:v>
      </x:c>
      <x:c r="D320" s="36" t="n">
        <x:v>20</x:v>
      </x:c>
      <x:c r="E320" s="36" t="n">
        <x:v>4</x:v>
      </x:c>
      <x:c r="F320" s="36" t="str">
        <x:v>Wie begründet Jesus gegenüber den Sadduzäern die Auferstehung?</x:v>
      </x:c>
      <x:c r="G320" s="36" t="str">
        <x:v>Die Auferstehung sei nur ein Gleichnis.</x:v>
      </x:c>
      <x:c r="H320" s="36" t="str">
        <x:v>Nur Engel würden auferstehen.</x:v>
      </x:c>
      <x:c r="I320" s="36" t="str">
        <x:v>Mose habe nie über Gott gesprochen.</x:v>
      </x:c>
      <x:c r="J320" s="36" t="str">
        <x:v>Gott ist nicht Gott der Toten, sondern der Lebenden; Mose nennt ihn den Gott Abrahams, Isaaks und Jakobs.</x:v>
      </x:c>
      <x:c r="K320" s="36" t="n">
        <x:v>3</x:v>
      </x:c>
      <x:c r="L320" s="36" t="str">
        <x:v>Gott ist nicht Gott der Toten, sondern der Lebenden; Mose nennt ihn den Gott Abrahams, Isaaks und Jakobs.</x:v>
      </x:c>
      <x:c r="M320" s="36" t="str">
        <x:v>Lukas 20,27–40</x:v>
      </x:c>
      <x:c r="N320" s="36" t="str">
        <x:v>Jesus verweist auf Mose und darauf, dass Gott der Gott der Lebenden ist.</x:v>
      </x:c>
      <x:c r="O320" s="36" t="str">
        <x:v>FREIGEGEBEN</x:v>
      </x:c>
      <x:c r="P320" s="36" t="str">
        <x:v>FREIGEGEBEN</x:v>
      </x:c>
      <x:c r="Q320" s="36" t="str">
        <x:v>JA</x:v>
      </x:c>
    </x:row>
    <x:row r="321">
      <x:c r="A321" s="36" t="str">
        <x:v>FP-0580</x:v>
      </x:c>
      <x:c r="B321" s="36" t="str">
        <x:v>LUK</x:v>
      </x:c>
      <x:c r="C321" s="36" t="str">
        <x:v>Lukas</x:v>
      </x:c>
      <x:c r="D321" s="36" t="n">
        <x:v>20</x:v>
      </x:c>
      <x:c r="E321" s="36" t="n">
        <x:v>5</x:v>
      </x:c>
      <x:c r="F321" s="36" t="str">
        <x:v>Wovor warnt Jesus am Ende von Lukas 20 bei den Schriftgelehrten?</x:v>
      </x:c>
      <x:c r="G321" s="36" t="str">
        <x:v>Vor ihrem Streben nach Ansehen und davor, dass sie die Häuser der Witwen verschlingen.</x:v>
      </x:c>
      <x:c r="H321" s="36" t="str">
        <x:v>Vor zu wenig Bildung.</x:v>
      </x:c>
      <x:c r="I321" s="36" t="str">
        <x:v>Vor Reisen nach Jerusalem.</x:v>
      </x:c>
      <x:c r="J321" s="36" t="str">
        <x:v>Vor ihrer Weigerung, Steuern zu zahlen.</x:v>
      </x:c>
      <x:c r="K321" s="36" t="n">
        <x:v>0</x:v>
      </x:c>
      <x:c r="L321" s="36" t="str">
        <x:v>Vor ihrem Streben nach Ansehen und davor, dass sie die Häuser der Witwen verschlingen.</x:v>
      </x:c>
      <x:c r="M321" s="36" t="str">
        <x:v>Lukas 20,41–47</x:v>
      </x:c>
      <x:c r="N321" s="36" t="str">
        <x:v>Jesus kritisiert ihre Liebe zu öffentlichem Ansehen und ihre Ausbeutung Schutzbedürftiger.</x:v>
      </x:c>
      <x:c r="O321" s="36" t="str">
        <x:v>FREIGEGEBEN</x:v>
      </x:c>
      <x:c r="P321" s="36" t="str">
        <x:v>FREIGEGEBEN</x:v>
      </x:c>
      <x:c r="Q321" s="36" t="str">
        <x:v>JA</x:v>
      </x:c>
    </x:row>
    <x:row r="322">
      <x:c r="A322" s="36" t="str">
        <x:v>FP-0581</x:v>
      </x:c>
      <x:c r="B322" s="36" t="str">
        <x:v>LUK</x:v>
      </x:c>
      <x:c r="C322" s="36" t="str">
        <x:v>Lukas</x:v>
      </x:c>
      <x:c r="D322" s="36" t="n">
        <x:v>21</x:v>
      </x:c>
      <x:c r="E322" s="36" t="n">
        <x:v>1</x:v>
      </x:c>
      <x:c r="F322" s="36" t="str">
        <x:v>Warum sagt Jesus, die arme Witwe habe mehr eingelegt als alle anderen?</x:v>
      </x:c>
      <x:c r="G322" s="36" t="str">
        <x:v>Ihre Münzen waren aus Gold.</x:v>
      </x:c>
      <x:c r="H322" s="36" t="str">
        <x:v>Sie gab aus ihrer Armut ihren ganzen Lebensunterhalt.</x:v>
      </x:c>
      <x:c r="I322" s="36" t="str">
        <x:v>Sie war die erste Spenderin.</x:v>
      </x:c>
      <x:c r="J322" s="36" t="str">
        <x:v>Die Reichen gaben gar nichts.</x:v>
      </x:c>
      <x:c r="K322" s="36" t="n">
        <x:v>1</x:v>
      </x:c>
      <x:c r="L322" s="36" t="str">
        <x:v>Sie gab aus ihrer Armut ihren ganzen Lebensunterhalt.</x:v>
      </x:c>
      <x:c r="M322" s="36" t="str">
        <x:v>Lukas 21,1–4</x:v>
      </x:c>
      <x:c r="N322" s="36" t="str">
        <x:v>Jesus bewertet die Gabe im Verhältnis zu den Möglichkeiten: Die Witwe gibt aus ihrer Armut alles, was sie hat.</x:v>
      </x:c>
      <x:c r="O322" s="36" t="str">
        <x:v>FREIGEGEBEN</x:v>
      </x:c>
      <x:c r="P322" s="36" t="str">
        <x:v>FREIGEGEBEN</x:v>
      </x:c>
      <x:c r="Q322" s="36" t="str">
        <x:v>JA</x:v>
      </x:c>
    </x:row>
    <x:row r="323">
      <x:c r="A323" s="36" t="str">
        <x:v>FP-0582</x:v>
      </x:c>
      <x:c r="B323" s="36" t="str">
        <x:v>LUK</x:v>
      </x:c>
      <x:c r="C323" s="36" t="str">
        <x:v>Lukas</x:v>
      </x:c>
      <x:c r="D323" s="36" t="n">
        <x:v>21</x:v>
      </x:c>
      <x:c r="E323" s="36" t="n">
        <x:v>2</x:v>
      </x:c>
      <x:c r="F323" s="36" t="str">
        <x:v>Was sagt Jesus über die prächtigen Steine des Tempels?</x:v>
      </x:c>
      <x:c r="G323" s="36" t="str">
        <x:v>Sie werden für immer unverändert bleiben.</x:v>
      </x:c>
      <x:c r="H323" s="36" t="str">
        <x:v>Die Jünger sollen sie mit Gold überziehen.</x:v>
      </x:c>
      <x:c r="I323" s="36" t="str">
        <x:v>Es wird eine Zeit kommen, in der kein Stein auf dem anderen bleibt.</x:v>
      </x:c>
      <x:c r="J323" s="36" t="str">
        <x:v>Nur ein Stein wird entfernt.</x:v>
      </x:c>
      <x:c r="K323" s="36" t="n">
        <x:v>2</x:v>
      </x:c>
      <x:c r="L323" s="36" t="str">
        <x:v>Es wird eine Zeit kommen, in der kein Stein auf dem anderen bleibt.</x:v>
      </x:c>
      <x:c r="M323" s="36" t="str">
        <x:v>Lukas 21,5–6</x:v>
      </x:c>
      <x:c r="N323" s="36" t="str">
        <x:v>Jesus kündigt die vollständige Zerstörung der sichtbaren Tempelpracht an.</x:v>
      </x:c>
      <x:c r="O323" s="36" t="str">
        <x:v>FREIGEGEBEN</x:v>
      </x:c>
      <x:c r="P323" s="36" t="str">
        <x:v>FREIGEGEBEN</x:v>
      </x:c>
      <x:c r="Q323" s="36" t="str">
        <x:v>JA</x:v>
      </x:c>
    </x:row>
    <x:row r="324">
      <x:c r="A324" s="36" t="str">
        <x:v>FP-0583</x:v>
      </x:c>
      <x:c r="B324" s="36" t="str">
        <x:v>LUK</x:v>
      </x:c>
      <x:c r="C324" s="36" t="str">
        <x:v>Lukas</x:v>
      </x:c>
      <x:c r="D324" s="36" t="n">
        <x:v>21</x:v>
      </x:c>
      <x:c r="E324" s="36" t="n">
        <x:v>3</x:v>
      </x:c>
      <x:c r="F324" s="36" t="str">
        <x:v>Wie sollen die Jünger mit Verfolgung umgehen?</x:v>
      </x:c>
      <x:c r="G324" s="36" t="str">
        <x:v>Sie sollen sich immer im Voraus perfekte Reden auswendig lernen.</x:v>
      </x:c>
      <x:c r="H324" s="36" t="str">
        <x:v>Sie sollen niemals vor Behörden sprechen.</x:v>
      </x:c>
      <x:c r="I324" s="36" t="str">
        <x:v>Sie sollen jeden Gegner angreifen.</x:v>
      </x:c>
      <x:c r="J324" s="36" t="str">
        <x:v>Sie soll ihnen Gelegenheit zum Zeugnis geben; Jesus verheißt Weisheit und Worte für ihre Verteidigung.</x:v>
      </x:c>
      <x:c r="K324" s="36" t="n">
        <x:v>3</x:v>
      </x:c>
      <x:c r="L324" s="36" t="str">
        <x:v>Sie soll ihnen Gelegenheit zum Zeugnis geben; Jesus verheißt Weisheit und Worte für ihre Verteidigung.</x:v>
      </x:c>
      <x:c r="M324" s="36" t="str">
        <x:v>Lukas 21,10–19</x:v>
      </x:c>
      <x:c r="N324" s="36" t="str">
        <x:v>Jesus deutet Verfolgung als Zeugnisgelegenheit und verspricht seinen Jüngern Hilfe beim Reden.</x:v>
      </x:c>
      <x:c r="O324" s="36" t="str">
        <x:v>FREIGEGEBEN</x:v>
      </x:c>
      <x:c r="P324" s="36" t="str">
        <x:v>FREIGEGEBEN</x:v>
      </x:c>
      <x:c r="Q324" s="36" t="str">
        <x:v>JA</x:v>
      </x:c>
    </x:row>
    <x:row r="325">
      <x:c r="A325" s="36" t="str">
        <x:v>FP-0584</x:v>
      </x:c>
      <x:c r="B325" s="36" t="str">
        <x:v>LUK</x:v>
      </x:c>
      <x:c r="C325" s="36" t="str">
        <x:v>Lukas</x:v>
      </x:c>
      <x:c r="D325" s="36" t="n">
        <x:v>21</x:v>
      </x:c>
      <x:c r="E325" s="36" t="n">
        <x:v>4</x:v>
      </x:c>
      <x:c r="F325" s="36" t="str">
        <x:v>Was sollen Jesu Jünger aus dem Bild des Feigenbaums lernen?</x:v>
      </x:c>
      <x:c r="G325" s="36" t="str">
        <x:v>Wenn die angekündigten Dinge geschehen, sollen sie erkennen, dass Gottes Reich nahe ist.</x:v>
      </x:c>
      <x:c r="H325" s="36" t="str">
        <x:v>Sie sollen genaue Jahreszahlen berechnen.</x:v>
      </x:c>
      <x:c r="I325" s="36" t="str">
        <x:v>Sie sollen Feigenbäume meiden.</x:v>
      </x:c>
      <x:c r="J325" s="36" t="str">
        <x:v>Das Reich Gottes sei bereits vollständig sichtbar.</x:v>
      </x:c>
      <x:c r="K325" s="36" t="n">
        <x:v>0</x:v>
      </x:c>
      <x:c r="L325" s="36" t="str">
        <x:v>Wenn die angekündigten Dinge geschehen, sollen sie erkennen, dass Gottes Reich nahe ist.</x:v>
      </x:c>
      <x:c r="M325" s="36" t="str">
        <x:v>Lukas 21,29–33</x:v>
      </x:c>
      <x:c r="N325" s="36" t="str">
        <x:v>Wie das Austreiben der Bäume eine Jahreszeit ankündigt, sollen die Zeichen auf die Nähe von Gottes Reich hinweisen.</x:v>
      </x:c>
      <x:c r="O325" s="36" t="str">
        <x:v>FREIGEGEBEN</x:v>
      </x:c>
      <x:c r="P325" s="36" t="str">
        <x:v>FREIGEGEBEN</x:v>
      </x:c>
      <x:c r="Q325" s="36" t="str">
        <x:v>JA</x:v>
      </x:c>
    </x:row>
    <x:row r="326">
      <x:c r="A326" s="36" t="str">
        <x:v>FP-0585</x:v>
      </x:c>
      <x:c r="B326" s="36" t="str">
        <x:v>LUK</x:v>
      </x:c>
      <x:c r="C326" s="36" t="str">
        <x:v>Lukas</x:v>
      </x:c>
      <x:c r="D326" s="36" t="n">
        <x:v>21</x:v>
      </x:c>
      <x:c r="E326" s="36" t="n">
        <x:v>5</x:v>
      </x:c>
      <x:c r="F326" s="36" t="str">
        <x:v>Welche Haltung fordert Jesus am Ende der Rede?</x:v>
      </x:c>
      <x:c r="G326" s="36" t="str">
        <x:v>Ignoriert alle kommenden Ereignisse.</x:v>
      </x:c>
      <x:c r="H326" s="36" t="str">
        <x:v>Wacht und betet, damit eure Herzen nicht durch Rausch, Sorgen und Unachtsamkeit beschwert werden.</x:v>
      </x:c>
      <x:c r="I326" s="36" t="str">
        <x:v>Berechnet den Tag exakt.</x:v>
      </x:c>
      <x:c r="J326" s="36" t="str">
        <x:v>Zieht euch völlig aus dem Alltag zurück.</x:v>
      </x:c>
      <x:c r="K326" s="36" t="n">
        <x:v>1</x:v>
      </x:c>
      <x:c r="L326" s="36" t="str">
        <x:v>Wacht und betet, damit eure Herzen nicht durch Rausch, Sorgen und Unachtsamkeit beschwert werden.</x:v>
      </x:c>
      <x:c r="M326" s="36" t="str">
        <x:v>Lukas 21,34–36</x:v>
      </x:c>
      <x:c r="N326" s="36" t="str">
        <x:v>Jesus warnt vor einem beschwerten Herzen und fordert Wachsamkeit und Gebet.</x:v>
      </x:c>
      <x:c r="O326" s="36" t="str">
        <x:v>FREIGEGEBEN</x:v>
      </x:c>
      <x:c r="P326" s="36" t="str">
        <x:v>FREIGEGEBEN</x:v>
      </x:c>
      <x:c r="Q326" s="36" t="str">
        <x:v>JA</x:v>
      </x:c>
    </x:row>
    <x:row r="327">
      <x:c r="A327" s="36" t="str">
        <x:v>FP-0586</x:v>
      </x:c>
      <x:c r="B327" s="36" t="str">
        <x:v>LUK</x:v>
      </x:c>
      <x:c r="C327" s="36" t="str">
        <x:v>Lukas</x:v>
      </x:c>
      <x:c r="D327" s="36" t="n">
        <x:v>22</x:v>
      </x:c>
      <x:c r="E327" s="36" t="n">
        <x:v>1</x:v>
      </x:c>
      <x:c r="F327" s="36" t="str">
        <x:v>Was vereinbart Judas mit den Hohenpriestern und Hauptleuten?</x:v>
      </x:c>
      <x:c r="G327" s="36" t="str">
        <x:v>Er verspricht, Jesus zu verteidigen.</x:v>
      </x:c>
      <x:c r="H327" s="36" t="str">
        <x:v>Er will das Passahmahl vorbereiten.</x:v>
      </x:c>
      <x:c r="I327" s="36" t="str">
        <x:v>Er sucht eine Gelegenheit, Jesus gegen Geld auszuliefern.</x:v>
      </x:c>
      <x:c r="J327" s="36" t="str">
        <x:v>Er bittet sie, Jesus zum König zu machen.</x:v>
      </x:c>
      <x:c r="K327" s="36" t="n">
        <x:v>2</x:v>
      </x:c>
      <x:c r="L327" s="36" t="str">
        <x:v>Er sucht eine Gelegenheit, Jesus gegen Geld auszuliefern.</x:v>
      </x:c>
      <x:c r="M327" s="36" t="str">
        <x:v>Lukas 22,1–6</x:v>
      </x:c>
      <x:c r="N327" s="36" t="str">
        <x:v>Judas stimmt zu, Jesus auszuliefern, und sucht nach einer passenden Gelegenheit.</x:v>
      </x:c>
      <x:c r="O327" s="36" t="str">
        <x:v>FREIGEGEBEN</x:v>
      </x:c>
      <x:c r="P327" s="36" t="str">
        <x:v>FREIGEGEBEN</x:v>
      </x:c>
      <x:c r="Q327" s="36" t="str">
        <x:v>JA</x:v>
      </x:c>
    </x:row>
    <x:row r="328">
      <x:c r="A328" s="36" t="str">
        <x:v>FP-0587</x:v>
      </x:c>
      <x:c r="B328" s="36" t="str">
        <x:v>LUK</x:v>
      </x:c>
      <x:c r="C328" s="36" t="str">
        <x:v>Lukas</x:v>
      </x:c>
      <x:c r="D328" s="36" t="n">
        <x:v>22</x:v>
      </x:c>
      <x:c r="E328" s="36" t="n">
        <x:v>2</x:v>
      </x:c>
      <x:c r="F328" s="36" t="str">
        <x:v>Wie deutet Jesus Brot und Kelch beim Passahmahl?</x:v>
      </x:c>
      <x:c r="G328" s="36" t="str">
        <x:v>Das Brot als Symbol für Mose und den Kelch für Elia.</x:v>
      </x:c>
      <x:c r="H328" s="36" t="str">
        <x:v>Beides nur als Erinnerung an Ägypten.</x:v>
      </x:c>
      <x:c r="I328" s="36" t="str">
        <x:v>Den Kelch als Zeichen römischer Herrschaft.</x:v>
      </x:c>
      <x:c r="J328" s="36" t="str">
        <x:v>Das Brot als seinen Leib und den Kelch als den neuen Bund in seinem Blut.</x:v>
      </x:c>
      <x:c r="K328" s="36" t="n">
        <x:v>3</x:v>
      </x:c>
      <x:c r="L328" s="36" t="str">
        <x:v>Das Brot als seinen Leib und den Kelch als den neuen Bund in seinem Blut.</x:v>
      </x:c>
      <x:c r="M328" s="36" t="str">
        <x:v>Lukas 22,14–20</x:v>
      </x:c>
      <x:c r="N328" s="36" t="str">
        <x:v>Jesus verbindet Brot und Kelch mit seiner Hingabe und dem neuen Bund.</x:v>
      </x:c>
      <x:c r="O328" s="36" t="str">
        <x:v>FREIGEGEBEN</x:v>
      </x:c>
      <x:c r="P328" s="36" t="str">
        <x:v>FREIGEGEBEN</x:v>
      </x:c>
      <x:c r="Q328" s="36" t="str">
        <x:v>JA</x:v>
      </x:c>
    </x:row>
    <x:row r="329">
      <x:c r="A329" s="36" t="str">
        <x:v>FP-0588</x:v>
      </x:c>
      <x:c r="B329" s="36" t="str">
        <x:v>LUK</x:v>
      </x:c>
      <x:c r="C329" s="36" t="str">
        <x:v>Lukas</x:v>
      </x:c>
      <x:c r="D329" s="36" t="n">
        <x:v>22</x:v>
      </x:c>
      <x:c r="E329" s="36" t="n">
        <x:v>3</x:v>
      </x:c>
      <x:c r="F329" s="36" t="str">
        <x:v>Wie beschreibt Jesus wahre Größe unter seinen Jüngern?</x:v>
      </x:c>
      <x:c r="G329" s="36" t="str">
        <x:v>Der Größte soll wie der Jüngste und der Führende wie ein Dienender sein; Jesus selbst ist unter ihnen wie ein Diener.</x:v>
      </x:c>
      <x:c r="H329" s="36" t="str">
        <x:v>Der Größte soll über die anderen herrschen.</x:v>
      </x:c>
      <x:c r="I329" s="36" t="str">
        <x:v>Der Älteste ist automatisch der Größte.</x:v>
      </x:c>
      <x:c r="J329" s="36" t="str">
        <x:v>Größe zeigt sich an Besitz.</x:v>
      </x:c>
      <x:c r="K329" s="36" t="n">
        <x:v>0</x:v>
      </x:c>
      <x:c r="L329" s="36" t="str">
        <x:v>Der Größte soll wie der Jüngste und der Führende wie ein Dienender sein; Jesus selbst ist unter ihnen wie ein Diener.</x:v>
      </x:c>
      <x:c r="M329" s="36" t="str">
        <x:v>Lukas 22,24–27</x:v>
      </x:c>
      <x:c r="N329" s="36" t="str">
        <x:v>Jesus stellt den Herrschaftsstil der Völker seinem eigenen Dienst gegenüber.</x:v>
      </x:c>
      <x:c r="O329" s="36" t="str">
        <x:v>FREIGEGEBEN</x:v>
      </x:c>
      <x:c r="P329" s="36" t="str">
        <x:v>FREIGEGEBEN</x:v>
      </x:c>
      <x:c r="Q329" s="36" t="str">
        <x:v>JA</x:v>
      </x:c>
    </x:row>
    <x:row r="330">
      <x:c r="A330" s="36" t="str">
        <x:v>FP-0589</x:v>
      </x:c>
      <x:c r="B330" s="36" t="str">
        <x:v>LUK</x:v>
      </x:c>
      <x:c r="C330" s="36" t="str">
        <x:v>Lukas</x:v>
      </x:c>
      <x:c r="D330" s="36" t="n">
        <x:v>22</x:v>
      </x:c>
      <x:c r="E330" s="36" t="n">
        <x:v>4</x:v>
      </x:c>
      <x:c r="F330" s="36" t="str">
        <x:v>Was kündigt Jesus Petrus trotz dessen Selbstsicherheit an?</x:v>
      </x:c>
      <x:c r="G330" s="36" t="str">
        <x:v>Petrus werde Jesus nie verlassen.</x:v>
      </x:c>
      <x:c r="H330" s="36" t="str">
        <x:v>Bevor der Hahn kräht, wird Petrus dreimal leugnen, Jesus zu kennen; Jesus hat aber für seinen Glauben gebetet.</x:v>
      </x:c>
      <x:c r="I330" s="36" t="str">
        <x:v>Petrus werde sofort König.</x:v>
      </x:c>
      <x:c r="J330" s="36" t="str">
        <x:v>Petrus müsse Jerusalem verlassen.</x:v>
      </x:c>
      <x:c r="K330" s="36" t="n">
        <x:v>1</x:v>
      </x:c>
      <x:c r="L330" s="36" t="str">
        <x:v>Bevor der Hahn kräht, wird Petrus dreimal leugnen, Jesus zu kennen; Jesus hat aber für seinen Glauben gebetet.</x:v>
      </x:c>
      <x:c r="M330" s="36" t="str">
        <x:v>Lukas 22,31–34</x:v>
      </x:c>
      <x:c r="N330" s="36" t="str">
        <x:v>Jesus warnt Petrus vor der bevorstehenden Verleugnung und sagt zugleich, dass er für seinen Glauben gebetet hat.</x:v>
      </x:c>
      <x:c r="O330" s="36" t="str">
        <x:v>FREIGEGEBEN</x:v>
      </x:c>
      <x:c r="P330" s="36" t="str">
        <x:v>FREIGEGEBEN</x:v>
      </x:c>
      <x:c r="Q330" s="36" t="str">
        <x:v>JA</x:v>
      </x:c>
    </x:row>
    <x:row r="331">
      <x:c r="A331" s="36" t="str">
        <x:v>FP-0590</x:v>
      </x:c>
      <x:c r="B331" s="36" t="str">
        <x:v>LUK</x:v>
      </x:c>
      <x:c r="C331" s="36" t="str">
        <x:v>Lukas</x:v>
      </x:c>
      <x:c r="D331" s="36" t="n">
        <x:v>22</x:v>
      </x:c>
      <x:c r="E331" s="36" t="n">
        <x:v>5</x:v>
      </x:c>
      <x:c r="F331" s="36" t="str">
        <x:v>Wie formuliert Jesus im Gebet am Ölberg seine Hingabe an den Vater?</x:v>
      </x:c>
      <x:c r="G331" s="36" t="str">
        <x:v>Ich werde meinen eigenen Weg wählen.</x:v>
      </x:c>
      <x:c r="H331" s="36" t="str">
        <x:v>Die Jünger sollen entscheiden.</x:v>
      </x:c>
      <x:c r="I331" s="36" t="str">
        <x:v>Nicht mein Wille, sondern dein Wille geschehe.</x:v>
      </x:c>
      <x:c r="J331" s="36" t="str">
        <x:v>Ich möchte nicht mehr beten.</x:v>
      </x:c>
      <x:c r="K331" s="36" t="n">
        <x:v>2</x:v>
      </x:c>
      <x:c r="L331" s="36" t="str">
        <x:v>Nicht mein Wille, sondern dein Wille geschehe.</x:v>
      </x:c>
      <x:c r="M331" s="36" t="str">
        <x:v>Lukas 22,39–46</x:v>
      </x:c>
      <x:c r="N331" s="36" t="str">
        <x:v>Jesus bringt seine Bitte vor den Vater, unterstellt sie aber ausdrücklich dem Willen des Vaters.</x:v>
      </x:c>
      <x:c r="O331" s="36" t="str">
        <x:v>FREIGEGEBEN</x:v>
      </x:c>
      <x:c r="P331" s="36" t="str">
        <x:v>FREIGEGEBEN</x:v>
      </x:c>
      <x:c r="Q331" s="36" t="str">
        <x:v>JA</x:v>
      </x:c>
    </x:row>
    <x:row r="332">
      <x:c r="A332" s="36" t="str">
        <x:v>FP-0591</x:v>
      </x:c>
      <x:c r="B332" s="36" t="str">
        <x:v>LUK</x:v>
      </x:c>
      <x:c r="C332" s="36" t="str">
        <x:v>Lukas</x:v>
      </x:c>
      <x:c r="D332" s="36" t="n">
        <x:v>23</x:v>
      </x:c>
      <x:c r="E332" s="36" t="n">
        <x:v>1</x:v>
      </x:c>
      <x:c r="F332" s="36" t="str">
        <x:v>Zu welchem Ergebnis kommt Pilatus nach der ersten Anklage gegen Jesus?</x:v>
      </x:c>
      <x:c r="G332" s="36" t="str">
        <x:v>Er verurteilt ihn sofort zum Tod.</x:v>
      </x:c>
      <x:c r="H332" s="36" t="str">
        <x:v>Er erklärt ihn zum römischen Bürger.</x:v>
      </x:c>
      <x:c r="I332" s="36" t="str">
        <x:v>Er schickt ihn direkt zur Kreuzigung ohne Verhör.</x:v>
      </x:c>
      <x:c r="J332" s="36" t="str">
        <x:v>Er findet keinen Grund für eine Anklage gegen ihn.</x:v>
      </x:c>
      <x:c r="K332" s="36" t="n">
        <x:v>3</x:v>
      </x:c>
      <x:c r="L332" s="36" t="str">
        <x:v>Er findet keinen Grund für eine Anklage gegen ihn.</x:v>
      </x:c>
      <x:c r="M332" s="36" t="str">
        <x:v>Lukas 23,1–5</x:v>
      </x:c>
      <x:c r="N332" s="36" t="str">
        <x:v>Pilatus sagt nach seiner Befragung, er finde keine Schuld, die eine Anklage begründet.</x:v>
      </x:c>
      <x:c r="O332" s="36" t="str">
        <x:v>FREIGEGEBEN</x:v>
      </x:c>
      <x:c r="P332" s="36" t="str">
        <x:v>FREIGEGEBEN</x:v>
      </x:c>
      <x:c r="Q332" s="36" t="str">
        <x:v>JA</x:v>
      </x:c>
    </x:row>
    <x:row r="333">
      <x:c r="A333" s="36" t="str">
        <x:v>FP-0592</x:v>
      </x:c>
      <x:c r="B333" s="36" t="str">
        <x:v>LUK</x:v>
      </x:c>
      <x:c r="C333" s="36" t="str">
        <x:v>Lukas</x:v>
      </x:c>
      <x:c r="D333" s="36" t="n">
        <x:v>23</x:v>
      </x:c>
      <x:c r="E333" s="36" t="n">
        <x:v>2</x:v>
      </x:c>
      <x:c r="F333" s="36" t="str">
        <x:v>Wen fordert die Menge freizulassen, während sie für Jesus die Kreuzigung verlangt?</x:v>
      </x:c>
      <x:c r="G333" s="36" t="str">
        <x:v>Barabbas.</x:v>
      </x:c>
      <x:c r="H333" s="36" t="str">
        <x:v>Simon Petrus.</x:v>
      </x:c>
      <x:c r="I333" s="36" t="str">
        <x:v>Josef von Arimathäa.</x:v>
      </x:c>
      <x:c r="J333" s="36" t="str">
        <x:v>Herodes.</x:v>
      </x:c>
      <x:c r="K333" s="36" t="n">
        <x:v>0</x:v>
      </x:c>
      <x:c r="L333" s="36" t="str">
        <x:v>Barabbas.</x:v>
      </x:c>
      <x:c r="M333" s="36" t="str">
        <x:v>Lukas 23,13–25</x:v>
      </x:c>
      <x:c r="N333" s="36" t="str">
        <x:v>Obwohl Pilatus wiederholt keine Todesschuld findet, setzt sich die Forderung der Menge durch; Barabbas wird freigelassen.</x:v>
      </x:c>
      <x:c r="O333" s="36" t="str">
        <x:v>FREIGEGEBEN</x:v>
      </x:c>
      <x:c r="P333" s="36" t="str">
        <x:v>FREIGEGEBEN</x:v>
      </x:c>
      <x:c r="Q333" s="36" t="str">
        <x:v>JA</x:v>
      </x:c>
    </x:row>
    <x:row r="334">
      <x:c r="A334" s="36" t="str">
        <x:v>FP-0593</x:v>
      </x:c>
      <x:c r="B334" s="36" t="str">
        <x:v>LUK</x:v>
      </x:c>
      <x:c r="C334" s="36" t="str">
        <x:v>Lukas</x:v>
      </x:c>
      <x:c r="D334" s="36" t="n">
        <x:v>23</x:v>
      </x:c>
      <x:c r="E334" s="36" t="n">
        <x:v>3</x:v>
      </x:c>
      <x:c r="F334" s="36" t="str">
        <x:v>Welche Zusage gibt Jesus dem Verbrecher, der ihn bittet, an ihn zu denken?</x:v>
      </x:c>
      <x:c r="G334" s="36" t="str">
        <x:v>Du wirst morgen freigelassen.</x:v>
      </x:c>
      <x:c r="H334" s="36" t="str">
        <x:v>Heute wirst du mit mir im Paradies sein.</x:v>
      </x:c>
      <x:c r="I334" s="36" t="str">
        <x:v>Du wirst nach Galiläa zurückkehren.</x:v>
      </x:c>
      <x:c r="J334" s="36" t="str">
        <x:v>Du wirst Hohepriester werden.</x:v>
      </x:c>
      <x:c r="K334" s="36" t="n">
        <x:v>1</x:v>
      </x:c>
      <x:c r="L334" s="36" t="str">
        <x:v>Heute wirst du mit mir im Paradies sein.</x:v>
      </x:c>
      <x:c r="M334" s="36" t="str">
        <x:v>Lukas 23,32–43</x:v>
      </x:c>
      <x:c r="N334" s="36" t="str">
        <x:v>Jesus antwortet dem Mann mit der unmittelbaren Zusage, noch am selben Tag mit ihm im Paradies zu sein.</x:v>
      </x:c>
      <x:c r="O334" s="36" t="str">
        <x:v>FREIGEGEBEN</x:v>
      </x:c>
      <x:c r="P334" s="36" t="str">
        <x:v>FREIGEGEBEN</x:v>
      </x:c>
      <x:c r="Q334" s="36" t="str">
        <x:v>JA</x:v>
      </x:c>
    </x:row>
    <x:row r="335">
      <x:c r="A335" s="36" t="str">
        <x:v>FP-0594</x:v>
      </x:c>
      <x:c r="B335" s="36" t="str">
        <x:v>LUK</x:v>
      </x:c>
      <x:c r="C335" s="36" t="str">
        <x:v>Lukas</x:v>
      </x:c>
      <x:c r="D335" s="36" t="n">
        <x:v>23</x:v>
      </x:c>
      <x:c r="E335" s="36" t="n">
        <x:v>4</x:v>
      </x:c>
      <x:c r="F335" s="36" t="str">
        <x:v>Welche Ereignisse begleiten Jesu Tod nach Lukas 23?</x:v>
      </x:c>
      <x:c r="G335" s="36" t="str">
        <x:v>Der Tempel wird sofort vollständig zerstört.</x:v>
      </x:c>
      <x:c r="H335" s="36" t="str">
        <x:v>Die Sonne bleibt sieben Tage dunkel.</x:v>
      </x:c>
      <x:c r="I335" s="36" t="str">
        <x:v>Finsternis liegt über dem Land, der Tempelvorhang zerreißt, und der Hauptmann nennt Jesus gerecht.</x:v>
      </x:c>
      <x:c r="J335" s="36" t="str">
        <x:v>Pilatus bekennt Jesus öffentlich als König.</x:v>
      </x:c>
      <x:c r="K335" s="36" t="n">
        <x:v>2</x:v>
      </x:c>
      <x:c r="L335" s="36" t="str">
        <x:v>Finsternis liegt über dem Land, der Tempelvorhang zerreißt, und der Hauptmann nennt Jesus gerecht.</x:v>
      </x:c>
      <x:c r="M335" s="36" t="str">
        <x:v>Lukas 23,44–49</x:v>
      </x:c>
      <x:c r="N335" s="36" t="str">
        <x:v>Lukas verbindet Jesu Tod mit Finsternis, dem zerrissenen Vorhang und der Reaktion des Hauptmanns.</x:v>
      </x:c>
      <x:c r="O335" s="36" t="str">
        <x:v>FREIGEGEBEN</x:v>
      </x:c>
      <x:c r="P335" s="36" t="str">
        <x:v>FREIGEGEBEN</x:v>
      </x:c>
      <x:c r="Q335" s="36" t="str">
        <x:v>JA</x:v>
      </x:c>
    </x:row>
    <x:row r="336">
      <x:c r="A336" s="36" t="str">
        <x:v>FP-0595</x:v>
      </x:c>
      <x:c r="B336" s="36" t="str">
        <x:v>LUK</x:v>
      </x:c>
      <x:c r="C336" s="36" t="str">
        <x:v>Lukas</x:v>
      </x:c>
      <x:c r="D336" s="36" t="n">
        <x:v>23</x:v>
      </x:c>
      <x:c r="E336" s="36" t="n">
        <x:v>5</x:v>
      </x:c>
      <x:c r="F336" s="36" t="str">
        <x:v>Was tut Josef von Arimathäa nach Jesu Tod?</x:v>
      </x:c>
      <x:c r="G336" s="36" t="str">
        <x:v>Er bringt Jesus nach Nazareth.</x:v>
      </x:c>
      <x:c r="H336" s="36" t="str">
        <x:v>Er verbrennt den Leichnam.</x:v>
      </x:c>
      <x:c r="I336" s="36" t="str">
        <x:v>Er verlässt Jerusalem, ohne etwas zu tun.</x:v>
      </x:c>
      <x:c r="J336" s="36" t="str">
        <x:v>Er bittet Pilatus um den Leichnam, legt Jesus in ein unbenutztes Felsengrab, während die Frauen den Ort beobachten.</x:v>
      </x:c>
      <x:c r="K336" s="36" t="n">
        <x:v>3</x:v>
      </x:c>
      <x:c r="L336" s="36" t="str">
        <x:v>Er bittet Pilatus um den Leichnam, legt Jesus in ein unbenutztes Felsengrab, während die Frauen den Ort beobachten.</x:v>
      </x:c>
      <x:c r="M336" s="36" t="str">
        <x:v>Lukas 23,50–56</x:v>
      </x:c>
      <x:c r="N336" s="36" t="str">
        <x:v>Josef sorgt für die Bestattung; die Frauen sehen das Grab, bereiten Gewürze vor und ruhen am Sabbat.</x:v>
      </x:c>
      <x:c r="O336" s="36" t="str">
        <x:v>FREIGEGEBEN</x:v>
      </x:c>
      <x:c r="P336" s="36" t="str">
        <x:v>FREIGEGEBEN</x:v>
      </x:c>
      <x:c r="Q336" s="36" t="str">
        <x:v>JA</x:v>
      </x:c>
    </x:row>
    <x:row r="337">
      <x:c r="A337" s="36" t="str">
        <x:v>FP-0596</x:v>
      </x:c>
      <x:c r="B337" s="36" t="str">
        <x:v>LUK</x:v>
      </x:c>
      <x:c r="C337" s="36" t="str">
        <x:v>Lukas</x:v>
      </x:c>
      <x:c r="D337" s="36" t="n">
        <x:v>24</x:v>
      </x:c>
      <x:c r="E337" s="36" t="n">
        <x:v>1</x:v>
      </x:c>
      <x:c r="F337" s="36" t="str">
        <x:v>Welche Botschaft erhalten die Frauen am leeren Grab?</x:v>
      </x:c>
      <x:c r="G337" s="36" t="str">
        <x:v>Warum sucht ihr den Lebenden bei den Toten? Er ist auferstanden.</x:v>
      </x:c>
      <x:c r="H337" s="36" t="str">
        <x:v>Jesus wurde an einen anderen Ort gebracht.</x:v>
      </x:c>
      <x:c r="I337" s="36" t="str">
        <x:v>Sie sollen drei Tage warten.</x:v>
      </x:c>
      <x:c r="J337" s="36" t="str">
        <x:v>Die Jünger hätten den Leib genommen.</x:v>
      </x:c>
      <x:c r="K337" s="36" t="n">
        <x:v>0</x:v>
      </x:c>
      <x:c r="L337" s="36" t="str">
        <x:v>Warum sucht ihr den Lebenden bei den Toten? Er ist auferstanden.</x:v>
      </x:c>
      <x:c r="M337" s="36" t="str">
        <x:v>Lukas 24,1–8</x:v>
      </x:c>
      <x:c r="N337" s="36" t="str">
        <x:v>Die beiden Männer erinnern die Frauen an Jesu eigene Ankündigung von Leiden, Kreuzigung und Auferstehung am dritten Tag.</x:v>
      </x:c>
      <x:c r="O337" s="36" t="str">
        <x:v>FREIGEGEBEN</x:v>
      </x:c>
      <x:c r="P337" s="36" t="str">
        <x:v>FREIGEGEBEN</x:v>
      </x:c>
      <x:c r="Q337" s="36" t="str">
        <x:v>JA</x:v>
      </x:c>
    </x:row>
    <x:row r="338">
      <x:c r="A338" s="36" t="str">
        <x:v>FP-0597</x:v>
      </x:c>
      <x:c r="B338" s="36" t="str">
        <x:v>LUK</x:v>
      </x:c>
      <x:c r="C338" s="36" t="str">
        <x:v>Lukas</x:v>
      </x:c>
      <x:c r="D338" s="36" t="n">
        <x:v>24</x:v>
      </x:c>
      <x:c r="E338" s="36" t="n">
        <x:v>2</x:v>
      </x:c>
      <x:c r="F338" s="36" t="str">
        <x:v>Wie erklärt Jesus den beiden Jüngern auf dem Weg nach Emmaus die Ereignisse um den Christus?</x:v>
      </x:c>
      <x:c r="G338" s="36" t="str">
        <x:v>Er erklärt, die Schriften hätten nichts damit zu tun.</x:v>
      </x:c>
      <x:c r="H338" s="36" t="str">
        <x:v>Er beginnt bei Mose und den Propheten und zeigt, dass der Christus leiden und in seine Herrlichkeit eingehen musste.</x:v>
      </x:c>
      <x:c r="I338" s="36" t="str">
        <x:v>Er spricht nur über römische Politik.</x:v>
      </x:c>
      <x:c r="J338" s="36" t="str">
        <x:v>Er sagt, Leiden sei ein Zufall gewesen.</x:v>
      </x:c>
      <x:c r="K338" s="36" t="n">
        <x:v>1</x:v>
      </x:c>
      <x:c r="L338" s="36" t="str">
        <x:v>Er beginnt bei Mose und den Propheten und zeigt, dass der Christus leiden und in seine Herrlichkeit eingehen musste.</x:v>
      </x:c>
      <x:c r="M338" s="36" t="str">
        <x:v>Lukas 24,13–27</x:v>
      </x:c>
      <x:c r="N338" s="36" t="str">
        <x:v>Jesus legt ihnen aus den Schriften dar, wie Leiden und Herrlichkeit des Christus zusammengehören.</x:v>
      </x:c>
      <x:c r="O338" s="36" t="str">
        <x:v>FREIGEGEBEN</x:v>
      </x:c>
      <x:c r="P338" s="36" t="str">
        <x:v>FREIGEGEBEN</x:v>
      </x:c>
      <x:c r="Q338" s="36" t="str">
        <x:v>JA</x:v>
      </x:c>
    </x:row>
    <x:row r="339">
      <x:c r="A339" s="36" t="str">
        <x:v>FP-0598</x:v>
      </x:c>
      <x:c r="B339" s="36" t="str">
        <x:v>LUK</x:v>
      </x:c>
      <x:c r="C339" s="36" t="str">
        <x:v>Lukas</x:v>
      </x:c>
      <x:c r="D339" s="36" t="n">
        <x:v>24</x:v>
      </x:c>
      <x:c r="E339" s="36" t="n">
        <x:v>3</x:v>
      </x:c>
      <x:c r="F339" s="36" t="str">
        <x:v>Woran erkennen die Emmausjünger Jesus?</x:v>
      </x:c>
      <x:c r="G339" s="36" t="str">
        <x:v>An seiner Kleidung.</x:v>
      </x:c>
      <x:c r="H339" s="36" t="str">
        <x:v>An einem besonderen Ring.</x:v>
      </x:c>
      <x:c r="I339" s="36" t="str">
        <x:v>Beim Brechen des Brotes.</x:v>
      </x:c>
      <x:c r="J339" s="36" t="str">
        <x:v>Erst nachdem Petrus ihn nennt.</x:v>
      </x:c>
      <x:c r="K339" s="36" t="n">
        <x:v>2</x:v>
      </x:c>
      <x:c r="L339" s="36" t="str">
        <x:v>Beim Brechen des Brotes.</x:v>
      </x:c>
      <x:c r="M339" s="36" t="str">
        <x:v>Lukas 24,28–35</x:v>
      </x:c>
      <x:c r="N339" s="36" t="str">
        <x:v>Beim gemeinsamen Essen werden ihre Augen geöffnet; anschließend erinnern sie sich daran, wie ihr Herz beim Öffnen der Schrift brannte.</x:v>
      </x:c>
      <x:c r="O339" s="36" t="str">
        <x:v>FREIGEGEBEN</x:v>
      </x:c>
      <x:c r="P339" s="36" t="str">
        <x:v>FREIGEGEBEN</x:v>
      </x:c>
      <x:c r="Q339" s="36" t="str">
        <x:v>JA</x:v>
      </x:c>
    </x:row>
    <x:row r="340">
      <x:c r="A340" s="36" t="str">
        <x:v>FP-0599</x:v>
      </x:c>
      <x:c r="B340" s="36" t="str">
        <x:v>LUK</x:v>
      </x:c>
      <x:c r="C340" s="36" t="str">
        <x:v>Lukas</x:v>
      </x:c>
      <x:c r="D340" s="36" t="n">
        <x:v>24</x:v>
      </x:c>
      <x:c r="E340" s="36" t="n">
        <x:v>4</x:v>
      </x:c>
      <x:c r="F340" s="36" t="str">
        <x:v>Welche Aufgabe verbindet der auferstandene Jesus mit der Öffnung der Schriften?</x:v>
      </x:c>
      <x:c r="G340" s="36" t="str">
        <x:v>Die Jünger sollen sofort Rom erobern.</x:v>
      </x:c>
      <x:c r="H340" s="36" t="str">
        <x:v>Nur Israel soll die Botschaft hören.</x:v>
      </x:c>
      <x:c r="I340" s="36" t="str">
        <x:v>Die Jünger sollen Jerusalem nie wieder betreten.</x:v>
      </x:c>
      <x:c r="J340" s="36" t="str">
        <x:v>In seinem Namen sollen Umkehr und Vergebung der Sünden unter allen Völkern verkündet werden, beginnend in Jerusalem.</x:v>
      </x:c>
      <x:c r="K340" s="36" t="n">
        <x:v>3</x:v>
      </x:c>
      <x:c r="L340" s="36" t="str">
        <x:v>In seinem Namen sollen Umkehr und Vergebung der Sünden unter allen Völkern verkündet werden, beginnend in Jerusalem.</x:v>
      </x:c>
      <x:c r="M340" s="36" t="str">
        <x:v>Lukas 24,36–49</x:v>
      </x:c>
      <x:c r="N340" s="36" t="str">
        <x:v>Jesus verbindet Schriftverständnis mit Zeugenschaft und dem weltweiten Ruf zu Umkehr und Vergebung.</x:v>
      </x:c>
      <x:c r="O340" s="36" t="str">
        <x:v>FREIGEGEBEN</x:v>
      </x:c>
      <x:c r="P340" s="36" t="str">
        <x:v>FREIGEGEBEN</x:v>
      </x:c>
      <x:c r="Q340" s="36" t="str">
        <x:v>JA</x:v>
      </x:c>
    </x:row>
    <x:row r="341">
      <x:c r="A341" s="36" t="str">
        <x:v>FP-0600</x:v>
      </x:c>
      <x:c r="B341" s="36" t="str">
        <x:v>LUK</x:v>
      </x:c>
      <x:c r="C341" s="36" t="str">
        <x:v>Lukas</x:v>
      </x:c>
      <x:c r="D341" s="36" t="n">
        <x:v>24</x:v>
      </x:c>
      <x:c r="E341" s="36" t="n">
        <x:v>5</x:v>
      </x:c>
      <x:c r="F341" s="36" t="str">
        <x:v>Wie reagieren die Jünger nach Jesu Aufnahme in den Himmel?</x:v>
      </x:c>
      <x:c r="G341" s="36" t="str">
        <x:v>Sie kehren mit großer Freude nach Jerusalem zurück und loben Gott im Tempel.</x:v>
      </x:c>
      <x:c r="H341" s="36" t="str">
        <x:v>Sie zerstreuen sich traurig.</x:v>
      </x:c>
      <x:c r="I341" s="36" t="str">
        <x:v>Sie ziehen sofort nach Rom.</x:v>
      </x:c>
      <x:c r="J341" s="36" t="str">
        <x:v>Sie verstecken sich dauerhaft.</x:v>
      </x:c>
      <x:c r="K341" s="36" t="n">
        <x:v>0</x:v>
      </x:c>
      <x:c r="L341" s="36" t="str">
        <x:v>Sie kehren mit großer Freude nach Jerusalem zurück und loben Gott im Tempel.</x:v>
      </x:c>
      <x:c r="M341" s="36" t="str">
        <x:v>Lukas 24,50–53</x:v>
      </x:c>
      <x:c r="N341" s="36" t="str">
        <x:v>Nach der Himmelfahrt kehren die Jünger freudig nach Jerusalem zurück und bleiben im Lob Gottes.</x:v>
      </x:c>
      <x:c r="O341" s="36" t="str">
        <x:v>FREIGEGEBEN</x:v>
      </x:c>
      <x:c r="P341" s="36" t="str">
        <x:v>FREIGEGEBEN</x:v>
      </x:c>
      <x:c r="Q341" s="36" t="str">
        <x:v>JA</x:v>
      </x:c>
    </x:row>
    <x:row r="342">
      <x:c r="A342" s="36" t="str">
        <x:v>FP-0601</x:v>
      </x:c>
      <x:c r="B342" s="36" t="str">
        <x:v>JHN</x:v>
      </x:c>
      <x:c r="C342" s="36" t="str">
        <x:v>Johannes</x:v>
      </x:c>
      <x:c r="D342" s="36" t="n">
        <x:v>1</x:v>
      </x:c>
      <x:c r="E342" s="36" t="n">
        <x:v>1</x:v>
      </x:c>
      <x:c r="F342" s="36" t="str">
        <x:v>Wie beschreibt Johannes das Wort am Anfang seines Evangeliums?</x:v>
      </x:c>
      <x:c r="G342" s="36" t="str">
        <x:v>Das Wort wurde erst bei Jesu Geburt geschaffen.</x:v>
      </x:c>
      <x:c r="H342" s="36" t="str">
        <x:v>Das Wort war nur ein anderer Name für Mose.</x:v>
      </x:c>
      <x:c r="I342" s="36" t="str">
        <x:v>Das Wort war bei Gott und das Wort war Gott.</x:v>
      </x:c>
      <x:c r="J342" s="36" t="str">
        <x:v>Das Wort gehörte ausschließlich zum Tempel.</x:v>
      </x:c>
      <x:c r="K342" s="36" t="n">
        <x:v>2</x:v>
      </x:c>
      <x:c r="L342" s="36" t="str">
        <x:v>Das Wort war bei Gott und das Wort war Gott.</x:v>
      </x:c>
      <x:c r="M342" s="36" t="str">
        <x:v>Johannes 1,1–3</x:v>
      </x:c>
      <x:c r="N342" s="36" t="str">
        <x:v>Johannes stellt das Wort als von Anfang an bei Gott und zugleich göttlich vor; durch das Wort ist alles geworden.</x:v>
      </x:c>
      <x:c r="O342" s="36" t="str">
        <x:v>FREIGEGEBEN</x:v>
      </x:c>
      <x:c r="P342" s="36" t="str">
        <x:v>FREIGEGEBEN</x:v>
      </x:c>
      <x:c r="Q342" s="36" t="str">
        <x:v>JA</x:v>
      </x:c>
    </x:row>
    <x:row r="343">
      <x:c r="A343" s="36" t="str">
        <x:v>FP-0602</x:v>
      </x:c>
      <x:c r="B343" s="36" t="str">
        <x:v>JHN</x:v>
      </x:c>
      <x:c r="C343" s="36" t="str">
        <x:v>Johannes</x:v>
      </x:c>
      <x:c r="D343" s="36" t="n">
        <x:v>1</x:v>
      </x:c>
      <x:c r="E343" s="36" t="n">
        <x:v>2</x:v>
      </x:c>
      <x:c r="F343" s="36" t="str">
        <x:v>Was bedeutet Johannes' Aussage, dass das Wort Fleisch wurde?</x:v>
      </x:c>
      <x:c r="G343" s="36" t="str">
        <x:v>Das Wort wurde in eine Schriftrolle verwandelt.</x:v>
      </x:c>
      <x:c r="H343" s="36" t="str">
        <x:v>Das Wort erschien nur in einem Traum.</x:v>
      </x:c>
      <x:c r="I343" s="36" t="str">
        <x:v>Das Wort blieb für Menschen unsichtbar.</x:v>
      </x:c>
      <x:c r="J343" s="36" t="str">
        <x:v>Das Wort wurde Mensch und wohnte unter den Menschen.</x:v>
      </x:c>
      <x:c r="K343" s="36" t="n">
        <x:v>3</x:v>
      </x:c>
      <x:c r="L343" s="36" t="str">
        <x:v>Das Wort wurde Mensch und wohnte unter den Menschen.</x:v>
      </x:c>
      <x:c r="M343" s="36" t="str">
        <x:v>Johannes 1,14</x:v>
      </x:c>
      <x:c r="N343" s="36" t="str">
        <x:v>Johannes beschreibt die Menschwerdung: Das ewige Wort wurde Fleisch und wohnte unter den Menschen.</x:v>
      </x:c>
      <x:c r="O343" s="36" t="str">
        <x:v>FREIGEGEBEN</x:v>
      </x:c>
      <x:c r="P343" s="36" t="str">
        <x:v>FREIGEGEBEN</x:v>
      </x:c>
      <x:c r="Q343" s="36" t="str">
        <x:v>JA</x:v>
      </x:c>
    </x:row>
    <x:row r="344">
      <x:c r="A344" s="36" t="str">
        <x:v>FP-0603</x:v>
      </x:c>
      <x:c r="B344" s="36" t="str">
        <x:v>JHN</x:v>
      </x:c>
      <x:c r="C344" s="36" t="str">
        <x:v>Johannes</x:v>
      </x:c>
      <x:c r="D344" s="36" t="n">
        <x:v>1</x:v>
      </x:c>
      <x:c r="E344" s="36" t="n">
        <x:v>3</x:v>
      </x:c>
      <x:c r="F344" s="36" t="str">
        <x:v>Wie bezeichnet Johannes der Täufer Jesus, als er ihn kommen sieht?</x:v>
      </x:c>
      <x:c r="G344" s="36" t="str">
        <x:v>Als das Lamm Gottes, das die Sünde der Welt trägt.</x:v>
      </x:c>
      <x:c r="H344" s="36" t="str">
        <x:v>Als den neuen Hohepriester des Tempels.</x:v>
      </x:c>
      <x:c r="I344" s="36" t="str">
        <x:v>Als den König von Rom.</x:v>
      </x:c>
      <x:c r="J344" s="36" t="str">
        <x:v>Als den Nachfolger des Mose.</x:v>
      </x:c>
      <x:c r="K344" s="36" t="n">
        <x:v>0</x:v>
      </x:c>
      <x:c r="L344" s="36" t="str">
        <x:v>Als das Lamm Gottes, das die Sünde der Welt trägt.</x:v>
      </x:c>
      <x:c r="M344" s="36" t="str">
        <x:v>Johannes 1,29</x:v>
      </x:c>
      <x:c r="N344" s="36" t="str">
        <x:v>Johannes weist auf Jesus als das Lamm Gottes hin und verbindet ihn mit der Wegnahme der Sünde der Welt.</x:v>
      </x:c>
      <x:c r="O344" s="36" t="str">
        <x:v>FREIGEGEBEN</x:v>
      </x:c>
      <x:c r="P344" s="36" t="str">
        <x:v>FREIGEGEBEN</x:v>
      </x:c>
      <x:c r="Q344" s="36" t="str">
        <x:v>JA</x:v>
      </x:c>
    </x:row>
    <x:row r="345">
      <x:c r="A345" s="36" t="str">
        <x:v>FP-0604</x:v>
      </x:c>
      <x:c r="B345" s="36" t="str">
        <x:v>JHN</x:v>
      </x:c>
      <x:c r="C345" s="36" t="str">
        <x:v>Johannes</x:v>
      </x:c>
      <x:c r="D345" s="36" t="n">
        <x:v>1</x:v>
      </x:c>
      <x:c r="E345" s="36" t="n">
        <x:v>4</x:v>
      </x:c>
      <x:c r="F345" s="36" t="str">
        <x:v>Was geschieht, nachdem Andreas Jesus begegnet ist?</x:v>
      </x:c>
      <x:c r="G345" s="36" t="str">
        <x:v>Er kehrt allein nach Galiläa zurück.</x:v>
      </x:c>
      <x:c r="H345" s="36" t="str">
        <x:v>Er sucht seinen Bruder Simon und sagt ihm, sie hätten den Messias gefunden.</x:v>
      </x:c>
      <x:c r="I345" s="36" t="str">
        <x:v>Er wird sofort nach Jerusalem geschickt.</x:v>
      </x:c>
      <x:c r="J345" s="36" t="str">
        <x:v>Er verlässt Johannes und spricht mit niemandem darüber.</x:v>
      </x:c>
      <x:c r="K345" s="36" t="n">
        <x:v>1</x:v>
      </x:c>
      <x:c r="L345" s="36" t="str">
        <x:v>Er sucht seinen Bruder Simon und sagt ihm, sie hätten den Messias gefunden.</x:v>
      </x:c>
      <x:c r="M345" s="36" t="str">
        <x:v>Johannes 1,40–42</x:v>
      </x:c>
      <x:c r="N345" s="36" t="str">
        <x:v>Andreas bringt die Begegnung direkt zu seinem Bruder Simon und führt ihn zu Jesus.</x:v>
      </x:c>
      <x:c r="O345" s="36" t="str">
        <x:v>FREIGEGEBEN</x:v>
      </x:c>
      <x:c r="P345" s="36" t="str">
        <x:v>FREIGEGEBEN</x:v>
      </x:c>
      <x:c r="Q345" s="36" t="str">
        <x:v>JA</x:v>
      </x:c>
    </x:row>
    <x:row r="346">
      <x:c r="A346" s="36" t="str">
        <x:v>FP-0605</x:v>
      </x:c>
      <x:c r="B346" s="36" t="str">
        <x:v>JHN</x:v>
      </x:c>
      <x:c r="C346" s="36" t="str">
        <x:v>Johannes</x:v>
      </x:c>
      <x:c r="D346" s="36" t="n">
        <x:v>1</x:v>
      </x:c>
      <x:c r="E346" s="36" t="n">
        <x:v>5</x:v>
      </x:c>
      <x:c r="F346" s="36" t="str">
        <x:v>Wie reagiert Nathanael, als Jesus zeigt, dass er ihn schon vor ihrer Begegnung kennt?</x:v>
      </x:c>
      <x:c r="G346" s="36" t="str">
        <x:v>Er fordert ein Zeichen im Tempel.</x:v>
      </x:c>
      <x:c r="H346" s="36" t="str">
        <x:v>Er geht zu Johannes dem Täufer zurück.</x:v>
      </x:c>
      <x:c r="I346" s="36" t="str">
        <x:v>Er bekennt Jesus als Sohn Gottes und König Israels.</x:v>
      </x:c>
      <x:c r="J346" s="36" t="str">
        <x:v>Er erklärt Jesus zum Priester.</x:v>
      </x:c>
      <x:c r="K346" s="36" t="n">
        <x:v>2</x:v>
      </x:c>
      <x:c r="L346" s="36" t="str">
        <x:v>Er bekennt Jesus als Sohn Gottes und König Israels.</x:v>
      </x:c>
      <x:c r="M346" s="36" t="str">
        <x:v>Johannes 1,47–49</x:v>
      </x:c>
      <x:c r="N346" s="36" t="str">
        <x:v>Jesu Wissen über Nathanael führt bei ihm zu einem ausdrücklichen Bekenntnis zu Jesus.</x:v>
      </x:c>
      <x:c r="O346" s="36" t="str">
        <x:v>FREIGEGEBEN</x:v>
      </x:c>
      <x:c r="P346" s="36" t="str">
        <x:v>FREIGEGEBEN</x:v>
      </x:c>
      <x:c r="Q346" s="36" t="str">
        <x:v>JA</x:v>
      </x:c>
    </x:row>
    <x:row r="347">
      <x:c r="A347" s="36" t="str">
        <x:v>FP-0606</x:v>
      </x:c>
      <x:c r="B347" s="36" t="str">
        <x:v>JHN</x:v>
      </x:c>
      <x:c r="C347" s="36" t="str">
        <x:v>Johannes</x:v>
      </x:c>
      <x:c r="D347" s="36" t="n">
        <x:v>2</x:v>
      </x:c>
      <x:c r="E347" s="36" t="n">
        <x:v>1</x:v>
      </x:c>
      <x:c r="F347" s="36" t="str">
        <x:v>Was ist bei der Hochzeit zu Kana das Problem, auf das Maria Jesus aufmerksam macht?</x:v>
      </x:c>
      <x:c r="G347" s="36" t="str">
        <x:v>Das Brot ist verbrannt.</x:v>
      </x:c>
      <x:c r="H347" s="36" t="str">
        <x:v>Der Bräutigam ist verschwunden.</x:v>
      </x:c>
      <x:c r="I347" s="36" t="str">
        <x:v>Die Gäste finden keinen Platz.</x:v>
      </x:c>
      <x:c r="J347" s="36" t="str">
        <x:v>Der Wein ist ausgegangen.</x:v>
      </x:c>
      <x:c r="K347" s="36" t="n">
        <x:v>3</x:v>
      </x:c>
      <x:c r="L347" s="36" t="str">
        <x:v>Der Wein ist ausgegangen.</x:v>
      </x:c>
      <x:c r="M347" s="36" t="str">
        <x:v>Johannes 2,1–3</x:v>
      </x:c>
      <x:c r="N347" s="36" t="str">
        <x:v>Maria teilt Jesus mit, dass der Wein ausgegangen ist.</x:v>
      </x:c>
      <x:c r="O347" s="36" t="str">
        <x:v>FREIGEGEBEN</x:v>
      </x:c>
      <x:c r="P347" s="36" t="str">
        <x:v>FREIGEGEBEN</x:v>
      </x:c>
      <x:c r="Q347" s="36" t="str">
        <x:v>JA</x:v>
      </x:c>
    </x:row>
    <x:row r="348">
      <x:c r="A348" s="36" t="str">
        <x:v>FP-0607</x:v>
      </x:c>
      <x:c r="B348" s="36" t="str">
        <x:v>JHN</x:v>
      </x:c>
      <x:c r="C348" s="36" t="str">
        <x:v>Johannes</x:v>
      </x:c>
      <x:c r="D348" s="36" t="n">
        <x:v>2</x:v>
      </x:c>
      <x:c r="E348" s="36" t="n">
        <x:v>2</x:v>
      </x:c>
      <x:c r="F348" s="36" t="str">
        <x:v>Was geschieht bei Jesu erstem Zeichen in Kana?</x:v>
      </x:c>
      <x:c r="G348" s="36" t="str">
        <x:v>Wasser wird zu Wein.</x:v>
      </x:c>
      <x:c r="H348" s="36" t="str">
        <x:v>Brot wird vermehrt.</x:v>
      </x:c>
      <x:c r="I348" s="36" t="str">
        <x:v>Ein Sturm wird gestillt.</x:v>
      </x:c>
      <x:c r="J348" s="36" t="str">
        <x:v>Ein Blinder wird geheilt.</x:v>
      </x:c>
      <x:c r="K348" s="36" t="n">
        <x:v>0</x:v>
      </x:c>
      <x:c r="L348" s="36" t="str">
        <x:v>Wasser wird zu Wein.</x:v>
      </x:c>
      <x:c r="M348" s="36" t="str">
        <x:v>Johannes 2,6–11</x:v>
      </x:c>
      <x:c r="N348" s="36" t="str">
        <x:v>Jesus lässt Wasserkrüge füllen, und das Wasser wird zu Wein; Johannes nennt dies den Anfang seiner Zeichen.</x:v>
      </x:c>
      <x:c r="O348" s="36" t="str">
        <x:v>FREIGEGEBEN</x:v>
      </x:c>
      <x:c r="P348" s="36" t="str">
        <x:v>FREIGEGEBEN</x:v>
      </x:c>
      <x:c r="Q348" s="36" t="str">
        <x:v>JA</x:v>
      </x:c>
    </x:row>
    <x:row r="349">
      <x:c r="A349" s="36" t="str">
        <x:v>FP-0608</x:v>
      </x:c>
      <x:c r="B349" s="36" t="str">
        <x:v>JHN</x:v>
      </x:c>
      <x:c r="C349" s="36" t="str">
        <x:v>Johannes</x:v>
      </x:c>
      <x:c r="D349" s="36" t="n">
        <x:v>2</x:v>
      </x:c>
      <x:c r="E349" s="36" t="n">
        <x:v>3</x:v>
      </x:c>
      <x:c r="F349" s="36" t="str">
        <x:v>Welche Wirkung hat das Zeichen zu Kana auf Jesu Jünger?</x:v>
      </x:c>
      <x:c r="G349" s="36" t="str">
        <x:v>Sie verlassen ihn aus Angst.</x:v>
      </x:c>
      <x:c r="H349" s="36" t="str">
        <x:v>Seine Herrlichkeit wird sichtbar, und seine Jünger glauben an ihn.</x:v>
      </x:c>
      <x:c r="I349" s="36" t="str">
        <x:v>Sie verstehen ihn als politischen König.</x:v>
      </x:c>
      <x:c r="J349" s="36" t="str">
        <x:v>Sie kehren zu Johannes dem Täufer zurück.</x:v>
      </x:c>
      <x:c r="K349" s="36" t="n">
        <x:v>1</x:v>
      </x:c>
      <x:c r="L349" s="36" t="str">
        <x:v>Seine Herrlichkeit wird sichtbar, und seine Jünger glauben an ihn.</x:v>
      </x:c>
      <x:c r="M349" s="36" t="str">
        <x:v>Johannes 2,11</x:v>
      </x:c>
      <x:c r="N349" s="36" t="str">
        <x:v>Johannes verbindet das Zeichen ausdrücklich mit der Offenbarung von Jesu Herrlichkeit und dem Glauben seiner Jünger.</x:v>
      </x:c>
      <x:c r="O349" s="36" t="str">
        <x:v>FREIGEGEBEN</x:v>
      </x:c>
      <x:c r="P349" s="36" t="str">
        <x:v>FREIGEGEBEN</x:v>
      </x:c>
      <x:c r="Q349" s="36" t="str">
        <x:v>JA</x:v>
      </x:c>
    </x:row>
    <x:row r="350">
      <x:c r="A350" s="36" t="str">
        <x:v>FP-0609</x:v>
      </x:c>
      <x:c r="B350" s="36" t="str">
        <x:v>JHN</x:v>
      </x:c>
      <x:c r="C350" s="36" t="str">
        <x:v>Johannes</x:v>
      </x:c>
      <x:c r="D350" s="36" t="n">
        <x:v>2</x:v>
      </x:c>
      <x:c r="E350" s="36" t="n">
        <x:v>4</x:v>
      </x:c>
      <x:c r="F350" s="36" t="str">
        <x:v>Was tut Jesus im Tempel in Jerusalem?</x:v>
      </x:c>
      <x:c r="G350" s="36" t="str">
        <x:v>Er beginnt dort einen Fischmarkt.</x:v>
      </x:c>
      <x:c r="H350" s="36" t="str">
        <x:v>Er lässt den Tempel schließen.</x:v>
      </x:c>
      <x:c r="I350" s="36" t="str">
        <x:v>Er vertreibt Händler und Geldwechsler aus dem Tempelbereich.</x:v>
      </x:c>
      <x:c r="J350" s="36" t="str">
        <x:v>Er übergibt den Tempel den Römern.</x:v>
      </x:c>
      <x:c r="K350" s="36" t="n">
        <x:v>2</x:v>
      </x:c>
      <x:c r="L350" s="36" t="str">
        <x:v>Er vertreibt Händler und Geldwechsler aus dem Tempelbereich.</x:v>
      </x:c>
      <x:c r="M350" s="36" t="str">
        <x:v>Johannes 2,13–17</x:v>
      </x:c>
      <x:c r="N350" s="36" t="str">
        <x:v>Jesus geht gegen den Handel im Tempel vor und erinnert an den Eifer für das Haus seines Vaters.</x:v>
      </x:c>
      <x:c r="O350" s="36" t="str">
        <x:v>FREIGEGEBEN</x:v>
      </x:c>
      <x:c r="P350" s="36" t="str">
        <x:v>FREIGEGEBEN</x:v>
      </x:c>
      <x:c r="Q350" s="36" t="str">
        <x:v>JA</x:v>
      </x:c>
    </x:row>
    <x:row r="351">
      <x:c r="A351" s="36" t="str">
        <x:v>FP-0610</x:v>
      </x:c>
      <x:c r="B351" s="36" t="str">
        <x:v>JHN</x:v>
      </x:c>
      <x:c r="C351" s="36" t="str">
        <x:v>Johannes</x:v>
      </x:c>
      <x:c r="D351" s="36" t="n">
        <x:v>2</x:v>
      </x:c>
      <x:c r="E351" s="36" t="n">
        <x:v>5</x:v>
      </x:c>
      <x:c r="F351" s="36" t="str">
        <x:v>Worauf bezieht Johannes Jesu Wort: „Brecht diesen Tempel ab, und in drei Tagen will ich ihn aufrichten“?</x:v>
      </x:c>
      <x:c r="G351" s="36" t="str">
        <x:v>Auf einen Neubau des Jerusalemer Tempels.</x:v>
      </x:c>
      <x:c r="H351" s="36" t="str">
        <x:v>Auf die Synagoge in Kapernaum.</x:v>
      </x:c>
      <x:c r="I351" s="36" t="str">
        <x:v>Auf den Palast des Herodes.</x:v>
      </x:c>
      <x:c r="J351" s="36" t="str">
        <x:v>Auf den Tempel seines Leibes.</x:v>
      </x:c>
      <x:c r="K351" s="36" t="n">
        <x:v>3</x:v>
      </x:c>
      <x:c r="L351" s="36" t="str">
        <x:v>Auf den Tempel seines Leibes.</x:v>
      </x:c>
      <x:c r="M351" s="36" t="str">
        <x:v>Johannes 2,19–22</x:v>
      </x:c>
      <x:c r="N351" s="36" t="str">
        <x:v>Johannes erklärt, dass Jesus vom Tempel seines Leibes sprach; nach seiner Auferstehung erinnern sich die Jünger daran.</x:v>
      </x:c>
      <x:c r="O351" s="36" t="str">
        <x:v>FREIGEGEBEN</x:v>
      </x:c>
      <x:c r="P351" s="36" t="str">
        <x:v>FREIGEGEBEN</x:v>
      </x:c>
      <x:c r="Q351" s="36" t="str">
        <x:v>JA</x:v>
      </x:c>
    </x:row>
    <x:row r="352">
      <x:c r="A352" s="36" t="str">
        <x:v>FP-0611</x:v>
      </x:c>
      <x:c r="B352" s="36" t="str">
        <x:v>JHN</x:v>
      </x:c>
      <x:c r="C352" s="36" t="str">
        <x:v>Johannes</x:v>
      </x:c>
      <x:c r="D352" s="36" t="n">
        <x:v>3</x:v>
      </x:c>
      <x:c r="E352" s="36" t="n">
        <x:v>1</x:v>
      </x:c>
      <x:c r="F352" s="36" t="str">
        <x:v>Warum ist Nikodemus überzeugt, dass Jesus von Gott als Lehrer gekommen ist?</x:v>
      </x:c>
      <x:c r="G352" s="36" t="str">
        <x:v>Weil niemand die Zeichen tun könne, die Jesus tut, wenn Gott nicht mit ihm ist.</x:v>
      </x:c>
      <x:c r="H352" s="36" t="str">
        <x:v>Weil Jesus aus Jerusalem stammt.</x:v>
      </x:c>
      <x:c r="I352" s="36" t="str">
        <x:v>Weil Jesus Priester im Tempel ist.</x:v>
      </x:c>
      <x:c r="J352" s="36" t="str">
        <x:v>Weil Johannes der Täufer ihn zum König ernannt hat.</x:v>
      </x:c>
      <x:c r="K352" s="36" t="n">
        <x:v>0</x:v>
      </x:c>
      <x:c r="L352" s="36" t="str">
        <x:v>Weil niemand die Zeichen tun könne, die Jesus tut, wenn Gott nicht mit ihm ist.</x:v>
      </x:c>
      <x:c r="M352" s="36" t="str">
        <x:v>Johannes 3,1–2</x:v>
      </x:c>
      <x:c r="N352" s="36" t="str">
        <x:v>Nikodemus begründet seine Einschätzung mit Jesu Zeichen und Gottes Beistand.</x:v>
      </x:c>
      <x:c r="O352" s="36" t="str">
        <x:v>FREIGEGEBEN</x:v>
      </x:c>
      <x:c r="P352" s="36" t="str">
        <x:v>FREIGEGEBEN</x:v>
      </x:c>
      <x:c r="Q352" s="36" t="str">
        <x:v>JA</x:v>
      </x:c>
    </x:row>
    <x:row r="353">
      <x:c r="A353" s="36" t="str">
        <x:v>FP-0612</x:v>
      </x:c>
      <x:c r="B353" s="36" t="str">
        <x:v>JHN</x:v>
      </x:c>
      <x:c r="C353" s="36" t="str">
        <x:v>Johannes</x:v>
      </x:c>
      <x:c r="D353" s="36" t="n">
        <x:v>3</x:v>
      </x:c>
      <x:c r="E353" s="36" t="n">
        <x:v>2</x:v>
      </x:c>
      <x:c r="F353" s="36" t="str">
        <x:v>Was sagt Jesus zu Nikodemus über den Eintritt in Gottes Reich?</x:v>
      </x:c>
      <x:c r="G353" s="36" t="str">
        <x:v>Man muss zuerst nach Jerusalem ziehen.</x:v>
      </x:c>
      <x:c r="H353" s="36" t="str">
        <x:v>Man muss von neuem beziehungsweise aus Wasser und Geist geboren werden.</x:v>
      </x:c>
      <x:c r="I353" s="36" t="str">
        <x:v>Man muss aus einer Priesterfamilie stammen.</x:v>
      </x:c>
      <x:c r="J353" s="36" t="str">
        <x:v>Man muss alle Zeichen Jesu gesehen haben.</x:v>
      </x:c>
      <x:c r="K353" s="36" t="n">
        <x:v>1</x:v>
      </x:c>
      <x:c r="L353" s="36" t="str">
        <x:v>Man muss von neuem beziehungsweise aus Wasser und Geist geboren werden.</x:v>
      </x:c>
      <x:c r="M353" s="36" t="str">
        <x:v>Johannes 3,3–5</x:v>
      </x:c>
      <x:c r="N353" s="36" t="str">
        <x:v>Jesus macht die neue Geburt beziehungsweise Geburt aus Wasser und Geist zur Voraussetzung für das Reich Gottes.</x:v>
      </x:c>
      <x:c r="O353" s="36" t="str">
        <x:v>FREIGEGEBEN</x:v>
      </x:c>
      <x:c r="P353" s="36" t="str">
        <x:v>FREIGEGEBEN</x:v>
      </x:c>
      <x:c r="Q353" s="36" t="str">
        <x:v>JA</x:v>
      </x:c>
    </x:row>
    <x:row r="354">
      <x:c r="A354" s="36" t="str">
        <x:v>FP-0613</x:v>
      </x:c>
      <x:c r="B354" s="36" t="str">
        <x:v>JHN</x:v>
      </x:c>
      <x:c r="C354" s="36" t="str">
        <x:v>Johannes</x:v>
      </x:c>
      <x:c r="D354" s="36" t="n">
        <x:v>3</x:v>
      </x:c>
      <x:c r="E354" s="36" t="n">
        <x:v>3</x:v>
      </x:c>
      <x:c r="F354" s="36" t="str">
        <x:v>Warum hat Gott nach Johannes 3,16 seinen Sohn gegeben?</x:v>
      </x:c>
      <x:c r="G354" s="36" t="str">
        <x:v>Damit Israel einen militärischen König erhält.</x:v>
      </x:c>
      <x:c r="H354" s="36" t="str">
        <x:v>Damit nur Schriftgelehrte gerettet werden.</x:v>
      </x:c>
      <x:c r="I354" s="36" t="str">
        <x:v>Weil er die Welt geliebt hat, damit Glaubende nicht verloren gehen, sondern ewiges Leben haben.</x:v>
      </x:c>
      <x:c r="J354" s="36" t="str">
        <x:v>Damit der Tempel größer gebaut wird.</x:v>
      </x:c>
      <x:c r="K354" s="36" t="n">
        <x:v>2</x:v>
      </x:c>
      <x:c r="L354" s="36" t="str">
        <x:v>Weil er die Welt geliebt hat, damit Glaubende nicht verloren gehen, sondern ewiges Leben haben.</x:v>
      </x:c>
      <x:c r="M354" s="36" t="str">
        <x:v>Johannes 3,16</x:v>
      </x:c>
      <x:c r="N354" s="36" t="str">
        <x:v>Johannes 3,16 verbindet Gottes Liebe mit der Gabe des Sohnes und dem ewigen Leben für Glaubende.</x:v>
      </x:c>
      <x:c r="O354" s="36" t="str">
        <x:v>FREIGEGEBEN</x:v>
      </x:c>
      <x:c r="P354" s="36" t="str">
        <x:v>FREIGEGEBEN</x:v>
      </x:c>
      <x:c r="Q354" s="36" t="str">
        <x:v>JA</x:v>
      </x:c>
    </x:row>
    <x:row r="355">
      <x:c r="A355" s="36" t="str">
        <x:v>FP-0614</x:v>
      </x:c>
      <x:c r="B355" s="36" t="str">
        <x:v>JHN</x:v>
      </x:c>
      <x:c r="C355" s="36" t="str">
        <x:v>Johannes</x:v>
      </x:c>
      <x:c r="D355" s="36" t="n">
        <x:v>3</x:v>
      </x:c>
      <x:c r="E355" s="36" t="n">
        <x:v>4</x:v>
      </x:c>
      <x:c r="F355" s="36" t="str">
        <x:v>Was sagt Johannes der Täufer über sein Verhältnis zu Jesus?</x:v>
      </x:c>
      <x:c r="G355" s="36" t="str">
        <x:v>Beide sollen gleich bekannt bleiben.</x:v>
      </x:c>
      <x:c r="H355" s="36" t="str">
        <x:v>Johannes muss Jesus ablösen.</x:v>
      </x:c>
      <x:c r="I355" s="36" t="str">
        <x:v>Jesus soll Johannes folgen.</x:v>
      </x:c>
      <x:c r="J355" s="36" t="str">
        <x:v>Jesus muss wachsen, Johannes aber abnehmen.</x:v>
      </x:c>
      <x:c r="K355" s="36" t="n">
        <x:v>3</x:v>
      </x:c>
      <x:c r="L355" s="36" t="str">
        <x:v>Jesus muss wachsen, Johannes aber abnehmen.</x:v>
      </x:c>
      <x:c r="M355" s="36" t="str">
        <x:v>Johannes 3,27–30</x:v>
      </x:c>
      <x:c r="N355" s="36" t="str">
        <x:v>Johannes versteht seine Rolle als Wegbereiter und ordnet sich der wachsenden Bedeutung Jesu unter.</x:v>
      </x:c>
      <x:c r="O355" s="36" t="str">
        <x:v>FREIGEGEBEN</x:v>
      </x:c>
      <x:c r="P355" s="36" t="str">
        <x:v>FREIGEGEBEN</x:v>
      </x:c>
      <x:c r="Q355" s="36" t="str">
        <x:v>JA</x:v>
      </x:c>
    </x:row>
    <x:row r="356">
      <x:c r="A356" s="36" t="str">
        <x:v>FP-0615</x:v>
      </x:c>
      <x:c r="B356" s="36" t="str">
        <x:v>JHN</x:v>
      </x:c>
      <x:c r="C356" s="36" t="str">
        <x:v>Johannes</x:v>
      </x:c>
      <x:c r="D356" s="36" t="n">
        <x:v>3</x:v>
      </x:c>
      <x:c r="E356" s="36" t="n">
        <x:v>5</x:v>
      </x:c>
      <x:c r="F356" s="36" t="str">
        <x:v>Welche Verbindung stellt Johannes 3 zwischen Glauben an den Sohn und ewigem Leben her?</x:v>
      </x:c>
      <x:c r="G356" s="36" t="str">
        <x:v>Wer an den Sohn glaubt, hat ewiges Leben.</x:v>
      </x:c>
      <x:c r="H356" s="36" t="str">
        <x:v>Ewiges Leben hängt nur von Abstammung ab.</x:v>
      </x:c>
      <x:c r="I356" s="36" t="str">
        <x:v>Nur wer Zeichen sieht, hat ewiges Leben.</x:v>
      </x:c>
      <x:c r="J356" s="36" t="str">
        <x:v>Ewiges Leben wird durch Reichtum erworben.</x:v>
      </x:c>
      <x:c r="K356" s="36" t="n">
        <x:v>0</x:v>
      </x:c>
      <x:c r="L356" s="36" t="str">
        <x:v>Wer an den Sohn glaubt, hat ewiges Leben.</x:v>
      </x:c>
      <x:c r="M356" s="36" t="str">
        <x:v>Johannes 3,36</x:v>
      </x:c>
      <x:c r="N356" s="36" t="str">
        <x:v>Der Schluss des Kapitels verbindet den Glauben an den Sohn unmittelbar mit ewigem Leben.</x:v>
      </x:c>
      <x:c r="O356" s="36" t="str">
        <x:v>FREIGEGEBEN</x:v>
      </x:c>
      <x:c r="P356" s="36" t="str">
        <x:v>FREIGEGEBEN</x:v>
      </x:c>
      <x:c r="Q356" s="36" t="str">
        <x:v>JA</x:v>
      </x:c>
    </x:row>
    <x:row r="357">
      <x:c r="A357" s="36" t="str">
        <x:v>FP-0616</x:v>
      </x:c>
      <x:c r="B357" s="36" t="str">
        <x:v>JHN</x:v>
      </x:c>
      <x:c r="C357" s="36" t="str">
        <x:v>Johannes</x:v>
      </x:c>
      <x:c r="D357" s="36" t="n">
        <x:v>4</x:v>
      </x:c>
      <x:c r="E357" s="36" t="n">
        <x:v>1</x:v>
      </x:c>
      <x:c r="F357" s="36" t="str">
        <x:v>Worum bittet Jesus die samaritanische Frau am Brunnen zunächst?</x:v>
      </x:c>
      <x:c r="G357" s="36" t="str">
        <x:v>Um Brot.</x:v>
      </x:c>
      <x:c r="H357" s="36" t="str">
        <x:v>Um Wasser zum Trinken.</x:v>
      </x:c>
      <x:c r="I357" s="36" t="str">
        <x:v>Um eine Unterkunft.</x:v>
      </x:c>
      <x:c r="J357" s="36" t="str">
        <x:v>Um Geld für die Reise.</x:v>
      </x:c>
      <x:c r="K357" s="36" t="n">
        <x:v>1</x:v>
      </x:c>
      <x:c r="L357" s="36" t="str">
        <x:v>Um Wasser zum Trinken.</x:v>
      </x:c>
      <x:c r="M357" s="36" t="str">
        <x:v>Johannes 4,7</x:v>
      </x:c>
      <x:c r="N357" s="36" t="str">
        <x:v>Das Gespräch beginnt mit Jesu einfacher Bitte an die Frau, ihm zu trinken zu geben.</x:v>
      </x:c>
      <x:c r="O357" s="36" t="str">
        <x:v>FREIGEGEBEN</x:v>
      </x:c>
      <x:c r="P357" s="36" t="str">
        <x:v>FREIGEGEBEN</x:v>
      </x:c>
      <x:c r="Q357" s="36" t="str">
        <x:v>JA</x:v>
      </x:c>
    </x:row>
    <x:row r="358">
      <x:c r="A358" s="36" t="str">
        <x:v>FP-0617</x:v>
      </x:c>
      <x:c r="B358" s="36" t="str">
        <x:v>JHN</x:v>
      </x:c>
      <x:c r="C358" s="36" t="str">
        <x:v>Johannes</x:v>
      </x:c>
      <x:c r="D358" s="36" t="n">
        <x:v>4</x:v>
      </x:c>
      <x:c r="E358" s="36" t="n">
        <x:v>2</x:v>
      </x:c>
      <x:c r="F358" s="36" t="str">
        <x:v>Was verspricht Jesus mit dem Bild des „lebendigen Wassers“?</x:v>
      </x:c>
      <x:c r="G358" s="36" t="str">
        <x:v>Ein neues Bewässerungssystem für Samaria.</x:v>
      </x:c>
      <x:c r="H358" s="36" t="str">
        <x:v>Wasser nur für den Tempel.</x:v>
      </x:c>
      <x:c r="I358" s="36" t="str">
        <x:v>Eine Gabe, die im Menschen zur Quelle wird und ins ewige Leben quillt.</x:v>
      </x:c>
      <x:c r="J358" s="36" t="str">
        <x:v>Eine Reise zum Jordan.</x:v>
      </x:c>
      <x:c r="K358" s="36" t="n">
        <x:v>2</x:v>
      </x:c>
      <x:c r="L358" s="36" t="str">
        <x:v>Eine Gabe, die im Menschen zur Quelle wird und ins ewige Leben quillt.</x:v>
      </x:c>
      <x:c r="M358" s="36" t="str">
        <x:v>Johannes 4,10–14</x:v>
      </x:c>
      <x:c r="N358" s="36" t="str">
        <x:v>Jesus verwendet das lebendige Wasser als Bild für eine bleibende Gabe, die zum ewigen Leben führt.</x:v>
      </x:c>
      <x:c r="O358" s="36" t="str">
        <x:v>FREIGEGEBEN</x:v>
      </x:c>
      <x:c r="P358" s="36" t="str">
        <x:v>FREIGEGEBEN</x:v>
      </x:c>
      <x:c r="Q358" s="36" t="str">
        <x:v>JA</x:v>
      </x:c>
    </x:row>
    <x:row r="359">
      <x:c r="A359" s="36" t="str">
        <x:v>FP-0618</x:v>
      </x:c>
      <x:c r="B359" s="36" t="str">
        <x:v>JHN</x:v>
      </x:c>
      <x:c r="C359" s="36" t="str">
        <x:v>Johannes</x:v>
      </x:c>
      <x:c r="D359" s="36" t="n">
        <x:v>4</x:v>
      </x:c>
      <x:c r="E359" s="36" t="n">
        <x:v>3</x:v>
      </x:c>
      <x:c r="F359" s="36" t="str">
        <x:v>Wie beschreibt Jesus wahre Anbetung?</x:v>
      </x:c>
      <x:c r="G359" s="36" t="str">
        <x:v>Anbetung ist nur auf einem bestimmten Berg möglich.</x:v>
      </x:c>
      <x:c r="H359" s="36" t="str">
        <x:v>Anbetung ist nur im Tempel gültig.</x:v>
      </x:c>
      <x:c r="I359" s="36" t="str">
        <x:v>Anbetung hängt von der Volkszugehörigkeit ab.</x:v>
      </x:c>
      <x:c r="J359" s="36" t="str">
        <x:v>Die wahren Anbeter werden den Vater im Geist und in der Wahrheit anbeten.</x:v>
      </x:c>
      <x:c r="K359" s="36" t="n">
        <x:v>3</x:v>
      </x:c>
      <x:c r="L359" s="36" t="str">
        <x:v>Die wahren Anbeter werden den Vater im Geist und in der Wahrheit anbeten.</x:v>
      </x:c>
      <x:c r="M359" s="36" t="str">
        <x:v>Johannes 4,21–24</x:v>
      </x:c>
      <x:c r="N359" s="36" t="str">
        <x:v>Jesus löst wahre Anbetung von einem einzelnen Ort und beschreibt sie als Anbetung im Geist und in der Wahrheit.</x:v>
      </x:c>
      <x:c r="O359" s="36" t="str">
        <x:v>FREIGEGEBEN</x:v>
      </x:c>
      <x:c r="P359" s="36" t="str">
        <x:v>FREIGEGEBEN</x:v>
      </x:c>
      <x:c r="Q359" s="36" t="str">
        <x:v>JA</x:v>
      </x:c>
    </x:row>
    <x:row r="360">
      <x:c r="A360" s="36" t="str">
        <x:v>FP-0619</x:v>
      </x:c>
      <x:c r="B360" s="36" t="str">
        <x:v>JHN</x:v>
      </x:c>
      <x:c r="C360" s="36" t="str">
        <x:v>Johannes</x:v>
      </x:c>
      <x:c r="D360" s="36" t="n">
        <x:v>4</x:v>
      </x:c>
      <x:c r="E360" s="36" t="n">
        <x:v>4</x:v>
      </x:c>
      <x:c r="F360" s="36" t="str">
        <x:v>Warum glauben viele Samariter zunächst an Jesus?</x:v>
      </x:c>
      <x:c r="G360" s="36" t="str">
        <x:v>Wegen des Zeugnisses der Frau; später hören sie Jesus selbst.</x:v>
      </x:c>
      <x:c r="H360" s="36" t="str">
        <x:v>Weil die Jünger ihnen Geld geben.</x:v>
      </x:c>
      <x:c r="I360" s="36" t="str">
        <x:v>Weil der römische Beamte sie überzeugt.</x:v>
      </x:c>
      <x:c r="J360" s="36" t="str">
        <x:v>Weil sie ein Wunder im Tempel sehen.</x:v>
      </x:c>
      <x:c r="K360" s="36" t="n">
        <x:v>0</x:v>
      </x:c>
      <x:c r="L360" s="36" t="str">
        <x:v>Wegen des Zeugnisses der Frau; später hören sie Jesus selbst.</x:v>
      </x:c>
      <x:c r="M360" s="36" t="str">
        <x:v>Johannes 4,39–42</x:v>
      </x:c>
      <x:c r="N360" s="36" t="str">
        <x:v>Das Zeugnis der Frau führt viele zu Jesus; nach eigener Begegnung vertieft sich ihr Glaube.</x:v>
      </x:c>
      <x:c r="O360" s="36" t="str">
        <x:v>FREIGEGEBEN</x:v>
      </x:c>
      <x:c r="P360" s="36" t="str">
        <x:v>FREIGEGEBEN</x:v>
      </x:c>
      <x:c r="Q360" s="36" t="str">
        <x:v>JA</x:v>
      </x:c>
    </x:row>
    <x:row r="361">
      <x:c r="A361" s="36" t="str">
        <x:v>FP-0620</x:v>
      </x:c>
      <x:c r="B361" s="36" t="str">
        <x:v>JHN</x:v>
      </x:c>
      <x:c r="C361" s="36" t="str">
        <x:v>Johannes</x:v>
      </x:c>
      <x:c r="D361" s="36" t="n">
        <x:v>4</x:v>
      </x:c>
      <x:c r="E361" s="36" t="n">
        <x:v>5</x:v>
      </x:c>
      <x:c r="F361" s="36" t="str">
        <x:v>Wie wird der Sohn des königlichen Beamten geheilt?</x:v>
      </x:c>
      <x:c r="G361" s="36" t="str">
        <x:v>Jesus reist sofort mit dem Beamten nach Hause.</x:v>
      </x:c>
      <x:c r="H361" s="36" t="str">
        <x:v>Jesus spricht aus der Ferne ein Wort, und der Sohn wird in dieser Stunde gesund.</x:v>
      </x:c>
      <x:c r="I361" s="36" t="str">
        <x:v>Die Jünger behandeln den Jungen.</x:v>
      </x:c>
      <x:c r="J361" s="36" t="str">
        <x:v>Der Junge wird erst Tage später gesund.</x:v>
      </x:c>
      <x:c r="K361" s="36" t="n">
        <x:v>1</x:v>
      </x:c>
      <x:c r="L361" s="36" t="str">
        <x:v>Jesus spricht aus der Ferne ein Wort, und der Sohn wird in dieser Stunde gesund.</x:v>
      </x:c>
      <x:c r="M361" s="36" t="str">
        <x:v>Johannes 4,46–53</x:v>
      </x:c>
      <x:c r="N361" s="36" t="str">
        <x:v>Der Beamte vertraut Jesu Wort und erfährt später, dass sein Sohn genau zu dieser Stunde gesund geworden ist.</x:v>
      </x:c>
      <x:c r="O361" s="36" t="str">
        <x:v>FREIGEGEBEN</x:v>
      </x:c>
      <x:c r="P361" s="36" t="str">
        <x:v>FREIGEGEBEN</x:v>
      </x:c>
      <x:c r="Q361" s="36" t="str">
        <x:v>JA</x:v>
      </x:c>
    </x:row>
    <x:row r="362">
      <x:c r="A362" s="36" t="str">
        <x:v>FP-0621</x:v>
      </x:c>
      <x:c r="B362" s="36" t="str">
        <x:v>JHN</x:v>
      </x:c>
      <x:c r="C362" s="36" t="str">
        <x:v>Johannes</x:v>
      </x:c>
      <x:c r="D362" s="36" t="n">
        <x:v>5</x:v>
      </x:c>
      <x:c r="E362" s="36" t="n">
        <x:v>1</x:v>
      </x:c>
      <x:c r="F362" s="36" t="str">
        <x:v>Was befiehlt Jesus dem Kranken am Teich Bethesda?</x:v>
      </x:c>
      <x:c r="G362" s="36" t="str">
        <x:v>Bleib am Teich liegen.</x:v>
      </x:c>
      <x:c r="H362" s="36" t="str">
        <x:v>Warte auf einen Priester.</x:v>
      </x:c>
      <x:c r="I362" s="36" t="str">
        <x:v>Steh auf, nimm dein Bett und geh.</x:v>
      </x:c>
      <x:c r="J362" s="36" t="str">
        <x:v>Geh zuerst nach Galiläa.</x:v>
      </x:c>
      <x:c r="K362" s="36" t="n">
        <x:v>2</x:v>
      </x:c>
      <x:c r="L362" s="36" t="str">
        <x:v>Steh auf, nimm dein Bett und geh.</x:v>
      </x:c>
      <x:c r="M362" s="36" t="str">
        <x:v>Johannes 5,5–9</x:v>
      </x:c>
      <x:c r="N362" s="36" t="str">
        <x:v>Jesus heilt den Mann durch sein Wort und fordert ihn auf, aufzustehen, sein Bett zu nehmen und zu gehen.</x:v>
      </x:c>
      <x:c r="O362" s="36" t="str">
        <x:v>FREIGEGEBEN</x:v>
      </x:c>
      <x:c r="P362" s="36" t="str">
        <x:v>FREIGEGEBEN</x:v>
      </x:c>
      <x:c r="Q362" s="36" t="str">
        <x:v>JA</x:v>
      </x:c>
    </x:row>
    <x:row r="363">
      <x:c r="A363" s="36" t="str">
        <x:v>FP-0622</x:v>
      </x:c>
      <x:c r="B363" s="36" t="str">
        <x:v>JHN</x:v>
      </x:c>
      <x:c r="C363" s="36" t="str">
        <x:v>Johannes</x:v>
      </x:c>
      <x:c r="D363" s="36" t="n">
        <x:v>5</x:v>
      </x:c>
      <x:c r="E363" s="36" t="n">
        <x:v>2</x:v>
      </x:c>
      <x:c r="F363" s="36" t="str">
        <x:v>Warum geraten die jüdischen Gegner wegen dieser Heilung mit Jesus in Konflikt?</x:v>
      </x:c>
      <x:c r="G363" s="36" t="str">
        <x:v>Weil der Mann kein Jude ist.</x:v>
      </x:c>
      <x:c r="H363" s="36" t="str">
        <x:v>Weil Jesus Geld verlangt.</x:v>
      </x:c>
      <x:c r="I363" s="36" t="str">
        <x:v>Weil die Jünger den Tempel verlassen.</x:v>
      </x:c>
      <x:c r="J363" s="36" t="str">
        <x:v>Weil die Heilung am Sabbat geschieht und Jesus zugleich von Gott als seinem Vater spricht.</x:v>
      </x:c>
      <x:c r="K363" s="36" t="n">
        <x:v>3</x:v>
      </x:c>
      <x:c r="L363" s="36" t="str">
        <x:v>Weil die Heilung am Sabbat geschieht und Jesus zugleich von Gott als seinem Vater spricht.</x:v>
      </x:c>
      <x:c r="M363" s="36" t="str">
        <x:v>Johannes 5,9–18</x:v>
      </x:c>
      <x:c r="N363" s="36" t="str">
        <x:v>Der Konflikt verschärft sich wegen des Sabbats und Jesu besonderer Aussage über seine Beziehung zum Vater.</x:v>
      </x:c>
      <x:c r="O363" s="36" t="str">
        <x:v>FREIGEGEBEN</x:v>
      </x:c>
      <x:c r="P363" s="36" t="str">
        <x:v>FREIGEGEBEN</x:v>
      </x:c>
      <x:c r="Q363" s="36" t="str">
        <x:v>JA</x:v>
      </x:c>
    </x:row>
    <x:row r="364">
      <x:c r="A364" s="36" t="str">
        <x:v>FP-0623</x:v>
      </x:c>
      <x:c r="B364" s="36" t="str">
        <x:v>JHN</x:v>
      </x:c>
      <x:c r="C364" s="36" t="str">
        <x:v>Johannes</x:v>
      </x:c>
      <x:c r="D364" s="36" t="n">
        <x:v>5</x:v>
      </x:c>
      <x:c r="E364" s="36" t="n">
        <x:v>3</x:v>
      </x:c>
      <x:c r="F364" s="36" t="str">
        <x:v>Was sagt Jesus über das Verhältnis seines Handelns zum Vater?</x:v>
      </x:c>
      <x:c r="G364" s="36" t="str">
        <x:v>Der Sohn tut, was er den Vater tun sieht.</x:v>
      </x:c>
      <x:c r="H364" s="36" t="str">
        <x:v>Der Sohn handelt unabhängig vom Vater.</x:v>
      </x:c>
      <x:c r="I364" s="36" t="str">
        <x:v>Der Vater kennt den Sohn nicht.</x:v>
      </x:c>
      <x:c r="J364" s="36" t="str">
        <x:v>Der Sohn darf nur am Sabbat handeln.</x:v>
      </x:c>
      <x:c r="K364" s="36" t="n">
        <x:v>0</x:v>
      </x:c>
      <x:c r="L364" s="36" t="str">
        <x:v>Der Sohn tut, was er den Vater tun sieht.</x:v>
      </x:c>
      <x:c r="M364" s="36" t="str">
        <x:v>Johannes 5,19–20</x:v>
      </x:c>
      <x:c r="N364" s="36" t="str">
        <x:v>Jesus beschreibt sein Handeln als vollkommen am Handeln des Vaters orientiert.</x:v>
      </x:c>
      <x:c r="O364" s="36" t="str">
        <x:v>FREIGEGEBEN</x:v>
      </x:c>
      <x:c r="P364" s="36" t="str">
        <x:v>FREIGEGEBEN</x:v>
      </x:c>
      <x:c r="Q364" s="36" t="str">
        <x:v>JA</x:v>
      </x:c>
    </x:row>
    <x:row r="365">
      <x:c r="A365" s="36" t="str">
        <x:v>FP-0624</x:v>
      </x:c>
      <x:c r="B365" s="36" t="str">
        <x:v>JHN</x:v>
      </x:c>
      <x:c r="C365" s="36" t="str">
        <x:v>Johannes</x:v>
      </x:c>
      <x:c r="D365" s="36" t="n">
        <x:v>5</x:v>
      </x:c>
      <x:c r="E365" s="36" t="n">
        <x:v>4</x:v>
      </x:c>
      <x:c r="F365" s="36" t="str">
        <x:v>Welche Zusage gibt Jesus dem, der sein Wort hört und dem glaubt, der ihn gesandt hat?</x:v>
      </x:c>
      <x:c r="G365" s="36" t="str">
        <x:v>Er wird nie körperlich sterben.</x:v>
      </x:c>
      <x:c r="H365" s="36" t="str">
        <x:v>Er hat ewiges Leben und kommt nicht ins Gericht, sondern ist vom Tod zum Leben hindurchgedrungen.</x:v>
      </x:c>
      <x:c r="I365" s="36" t="str">
        <x:v>Er erhält sofort großen Besitz.</x:v>
      </x:c>
      <x:c r="J365" s="36" t="str">
        <x:v>Er muss nicht mehr auf Gottes Wort hören.</x:v>
      </x:c>
      <x:c r="K365" s="36" t="n">
        <x:v>1</x:v>
      </x:c>
      <x:c r="L365" s="36" t="str">
        <x:v>Er hat ewiges Leben und kommt nicht ins Gericht, sondern ist vom Tod zum Leben hindurchgedrungen.</x:v>
      </x:c>
      <x:c r="M365" s="36" t="str">
        <x:v>Johannes 5,24</x:v>
      </x:c>
      <x:c r="N365" s="36" t="str">
        <x:v>Jesus verbindet Hören und Glauben mit gegenwärtigem ewigen Leben und dem Übergang vom Tod zum Leben.</x:v>
      </x:c>
      <x:c r="O365" s="36" t="str">
        <x:v>FREIGEGEBEN</x:v>
      </x:c>
      <x:c r="P365" s="36" t="str">
        <x:v>FREIGEGEBEN</x:v>
      </x:c>
      <x:c r="Q365" s="36" t="str">
        <x:v>JA</x:v>
      </x:c>
    </x:row>
    <x:row r="366">
      <x:c r="A366" s="36" t="str">
        <x:v>FP-0625</x:v>
      </x:c>
      <x:c r="B366" s="36" t="str">
        <x:v>JHN</x:v>
      </x:c>
      <x:c r="C366" s="36" t="str">
        <x:v>Johannes</x:v>
      </x:c>
      <x:c r="D366" s="36" t="n">
        <x:v>5</x:v>
      </x:c>
      <x:c r="E366" s="36" t="n">
        <x:v>5</x:v>
      </x:c>
      <x:c r="F366" s="36" t="str">
        <x:v>Welche Zeugen nennt Jesus für seine Sendung?</x:v>
      </x:c>
      <x:c r="G366" s="36" t="str">
        <x:v>Nur Petrus und Andreas.</x:v>
      </x:c>
      <x:c r="H366" s="36" t="str">
        <x:v>Nur die römischen Behörden.</x:v>
      </x:c>
      <x:c r="I366" s="36" t="str">
        <x:v>Unter anderem Johannes, seine Werke, den Vater und die Schriften.</x:v>
      </x:c>
      <x:c r="J366" s="36" t="str">
        <x:v>Ausschließlich seine Mutter.</x:v>
      </x:c>
      <x:c r="K366" s="36" t="n">
        <x:v>2</x:v>
      </x:c>
      <x:c r="L366" s="36" t="str">
        <x:v>Unter anderem Johannes, seine Werke, den Vater und die Schriften.</x:v>
      </x:c>
      <x:c r="M366" s="36" t="str">
        <x:v>Johannes 5,31–39</x:v>
      </x:c>
      <x:c r="N366" s="36" t="str">
        <x:v>Jesus verweist auf mehrere Zeugnisse, die seine Sendung bestätigen, besonders seine Werke, den Vater und die Schriften.</x:v>
      </x:c>
      <x:c r="O366" s="36" t="str">
        <x:v>FREIGEGEBEN</x:v>
      </x:c>
      <x:c r="P366" s="36" t="str">
        <x:v>FREIGEGEBEN</x:v>
      </x:c>
      <x:c r="Q366" s="36" t="str">
        <x:v>JA</x:v>
      </x:c>
    </x:row>
    <x:row r="367">
      <x:c r="A367" s="36" t="str">
        <x:v>FP-0626</x:v>
      </x:c>
      <x:c r="B367" s="36" t="str">
        <x:v>JHN</x:v>
      </x:c>
      <x:c r="C367" s="36" t="str">
        <x:v>Johannes</x:v>
      </x:c>
      <x:c r="D367" s="36" t="n">
        <x:v>6</x:v>
      </x:c>
      <x:c r="E367" s="36" t="n">
        <x:v>1</x:v>
      </x:c>
      <x:c r="F367" s="36" t="str">
        <x:v>Mit welcher vorhandenen Nahrung beginnt die Speisung der großen Menge?</x:v>
      </x:c>
      <x:c r="G367" s="36" t="str">
        <x:v>Mit sieben Broten und einem Fisch.</x:v>
      </x:c>
      <x:c r="H367" s="36" t="str">
        <x:v>Mit zwölf Broten.</x:v>
      </x:c>
      <x:c r="I367" s="36" t="str">
        <x:v>Mit drei Broten und fünf Fischen.</x:v>
      </x:c>
      <x:c r="J367" s="36" t="str">
        <x:v>Mit fünf Gerstenbroten und zwei Fischen.</x:v>
      </x:c>
      <x:c r="K367" s="36" t="n">
        <x:v>3</x:v>
      </x:c>
      <x:c r="L367" s="36" t="str">
        <x:v>Mit fünf Gerstenbroten und zwei Fischen.</x:v>
      </x:c>
      <x:c r="M367" s="36" t="str">
        <x:v>Johannes 6,5–13</x:v>
      </x:c>
      <x:c r="N367" s="36" t="str">
        <x:v>Ein Junge hat fünf Gerstenbrote und zwei Fische; Jesus speist damit die Menge, und zwölf Körbe bleiben übrig.</x:v>
      </x:c>
      <x:c r="O367" s="36" t="str">
        <x:v>FREIGEGEBEN</x:v>
      </x:c>
      <x:c r="P367" s="36" t="str">
        <x:v>FREIGEGEBEN</x:v>
      </x:c>
      <x:c r="Q367" s="36" t="str">
        <x:v>JA</x:v>
      </x:c>
    </x:row>
    <x:row r="368">
      <x:c r="A368" s="36" t="str">
        <x:v>FP-0627</x:v>
      </x:c>
      <x:c r="B368" s="36" t="str">
        <x:v>JHN</x:v>
      </x:c>
      <x:c r="C368" s="36" t="str">
        <x:v>Johannes</x:v>
      </x:c>
      <x:c r="D368" s="36" t="n">
        <x:v>6</x:v>
      </x:c>
      <x:c r="E368" s="36" t="n">
        <x:v>2</x:v>
      </x:c>
      <x:c r="F368" s="36" t="str">
        <x:v>Was geschieht auf dem See, als die Jünger Jesus auf dem Wasser sehen?</x:v>
      </x:c>
      <x:c r="G368" s="36" t="str">
        <x:v>Jesus sagt ihnen, sie sollen sich nicht fürchten, und sie nehmen ihn ins Boot.</x:v>
      </x:c>
      <x:c r="H368" s="36" t="str">
        <x:v>Jesus sinkt ins Wasser.</x:v>
      </x:c>
      <x:c r="I368" s="36" t="str">
        <x:v>Die Jünger springen alle ins Meer.</x:v>
      </x:c>
      <x:c r="J368" s="36" t="str">
        <x:v>Das Boot kehrt ohne Jesus zurück.</x:v>
      </x:c>
      <x:c r="K368" s="36" t="n">
        <x:v>0</x:v>
      </x:c>
      <x:c r="L368" s="36" t="str">
        <x:v>Jesus sagt ihnen, sie sollen sich nicht fürchten, und sie nehmen ihn ins Boot.</x:v>
      </x:c>
      <x:c r="M368" s="36" t="str">
        <x:v>Johannes 6,16–21</x:v>
      </x:c>
      <x:c r="N368" s="36" t="str">
        <x:v>Jesus kommt auf dem Wasser zu den Jüngern und spricht ihnen Mut zu.</x:v>
      </x:c>
      <x:c r="O368" s="36" t="str">
        <x:v>FREIGEGEBEN</x:v>
      </x:c>
      <x:c r="P368" s="36" t="str">
        <x:v>FREIGEGEBEN</x:v>
      </x:c>
      <x:c r="Q368" s="36" t="str">
        <x:v>JA</x:v>
      </x:c>
    </x:row>
    <x:row r="369">
      <x:c r="A369" s="36" t="str">
        <x:v>FP-0628</x:v>
      </x:c>
      <x:c r="B369" s="36" t="str">
        <x:v>JHN</x:v>
      </x:c>
      <x:c r="C369" s="36" t="str">
        <x:v>Johannes</x:v>
      </x:c>
      <x:c r="D369" s="36" t="n">
        <x:v>6</x:v>
      </x:c>
      <x:c r="E369" s="36" t="n">
        <x:v>3</x:v>
      </x:c>
      <x:c r="F369" s="36" t="str">
        <x:v>Was sagt Jesus über das „Brot Gottes“?</x:v>
      </x:c>
      <x:c r="G369" s="36" t="str">
        <x:v>Es wird nur im Tempel gebacken.</x:v>
      </x:c>
      <x:c r="H369" s="36" t="str">
        <x:v>Es kommt vom Himmel herab und gibt der Welt Leben.</x:v>
      </x:c>
      <x:c r="I369" s="36" t="str">
        <x:v>Es ist ausschließlich für die Zwölf bestimmt.</x:v>
      </x:c>
      <x:c r="J369" s="36" t="str">
        <x:v>Es besteht aus dem Manna der Wüste.</x:v>
      </x:c>
      <x:c r="K369" s="36" t="n">
        <x:v>1</x:v>
      </x:c>
      <x:c r="L369" s="36" t="str">
        <x:v>Es kommt vom Himmel herab und gibt der Welt Leben.</x:v>
      </x:c>
      <x:c r="M369" s="36" t="str">
        <x:v>Johannes 6,32–35</x:v>
      </x:c>
      <x:c r="N369" s="36" t="str">
        <x:v>Jesus erklärt das wahre Brot aus dem Himmel als Gottes Gabe, die der Welt Leben gibt, und bezeichnet sich als Brot des Lebens.</x:v>
      </x:c>
      <x:c r="O369" s="36" t="str">
        <x:v>FREIGEGEBEN</x:v>
      </x:c>
      <x:c r="P369" s="36" t="str">
        <x:v>FREIGEGEBEN</x:v>
      </x:c>
      <x:c r="Q369" s="36" t="str">
        <x:v>JA</x:v>
      </x:c>
    </x:row>
    <x:row r="370">
      <x:c r="A370" s="36" t="str">
        <x:v>FP-0629</x:v>
      </x:c>
      <x:c r="B370" s="36" t="str">
        <x:v>JHN</x:v>
      </x:c>
      <x:c r="C370" s="36" t="str">
        <x:v>Johannes</x:v>
      </x:c>
      <x:c r="D370" s="36" t="n">
        <x:v>6</x:v>
      </x:c>
      <x:c r="E370" s="36" t="n">
        <x:v>4</x:v>
      </x:c>
      <x:c r="F370" s="36" t="str">
        <x:v>Welche Verheißung verbindet Jesus mit dem, der zu ihm kommt und an ihn glaubt?</x:v>
      </x:c>
      <x:c r="G370" s="36" t="str">
        <x:v>Er wird sofort reich.</x:v>
      </x:c>
      <x:c r="H370" s="36" t="str">
        <x:v>Er muss nie wieder essen.</x:v>
      </x:c>
      <x:c r="I370" s="36" t="str">
        <x:v>Er wird nicht hungern beziehungsweise dürsten und soll nicht hinausgestoßen werden.</x:v>
      </x:c>
      <x:c r="J370" s="36" t="str">
        <x:v>Er wird König in Israel.</x:v>
      </x:c>
      <x:c r="K370" s="36" t="n">
        <x:v>2</x:v>
      </x:c>
      <x:c r="L370" s="36" t="str">
        <x:v>Er wird nicht hungern beziehungsweise dürsten und soll nicht hinausgestoßen werden.</x:v>
      </x:c>
      <x:c r="M370" s="36" t="str">
        <x:v>Johannes 6,35–40</x:v>
      </x:c>
      <x:c r="N370" s="36" t="str">
        <x:v>Jesus spricht vom Stillen des tiefsten Hungers und davon, die zu ihm Kommenden nicht hinauszustoßen.</x:v>
      </x:c>
      <x:c r="O370" s="36" t="str">
        <x:v>FREIGEGEBEN</x:v>
      </x:c>
      <x:c r="P370" s="36" t="str">
        <x:v>FREIGEGEBEN</x:v>
      </x:c>
      <x:c r="Q370" s="36" t="str">
        <x:v>JA</x:v>
      </x:c>
    </x:row>
    <x:row r="371">
      <x:c r="A371" s="36" t="str">
        <x:v>FP-0630</x:v>
      </x:c>
      <x:c r="B371" s="36" t="str">
        <x:v>JHN</x:v>
      </x:c>
      <x:c r="C371" s="36" t="str">
        <x:v>Johannes</x:v>
      </x:c>
      <x:c r="D371" s="36" t="n">
        <x:v>6</x:v>
      </x:c>
      <x:c r="E371" s="36" t="n">
        <x:v>5</x:v>
      </x:c>
      <x:c r="F371" s="36" t="str">
        <x:v>Was antwortet Petrus, als viele Jesus verlassen und er die Zwölf fragt, ob sie auch gehen wollen?</x:v>
      </x:c>
      <x:c r="G371" s="36" t="str">
        <x:v>Wir gehen zurück zu Johannes.</x:v>
      </x:c>
      <x:c r="H371" s="36" t="str">
        <x:v>Wir brauchen noch ein Zeichen.</x:v>
      </x:c>
      <x:c r="I371" s="36" t="str">
        <x:v>Wir verstehen dich nicht und verlassen dich.</x:v>
      </x:c>
      <x:c r="J371" s="36" t="str">
        <x:v>Herr, zu wem sollen wir gehen? Du hast Worte des ewigen Lebens.</x:v>
      </x:c>
      <x:c r="K371" s="36" t="n">
        <x:v>3</x:v>
      </x:c>
      <x:c r="L371" s="36" t="str">
        <x:v>Herr, zu wem sollen wir gehen? Du hast Worte des ewigen Lebens.</x:v>
      </x:c>
      <x:c r="M371" s="36" t="str">
        <x:v>Johannes 6,66–69</x:v>
      </x:c>
      <x:c r="N371" s="36" t="str">
        <x:v>Petrus bekennt, dass Jesus Worte des ewigen Lebens hat und dass die Jünger an ihn glauben.</x:v>
      </x:c>
      <x:c r="O371" s="36" t="str">
        <x:v>FREIGEGEBEN</x:v>
      </x:c>
      <x:c r="P371" s="36" t="str">
        <x:v>FREIGEGEBEN</x:v>
      </x:c>
      <x:c r="Q371" s="36" t="str">
        <x:v>JA</x:v>
      </x:c>
    </x:row>
    <x:row r="372">
      <x:c r="A372" s="36" t="str">
        <x:v>FP-0631</x:v>
      </x:c>
      <x:c r="B372" s="36" t="str">
        <x:v>JHN</x:v>
      </x:c>
      <x:c r="C372" s="36" t="str">
        <x:v>Johannes</x:v>
      </x:c>
      <x:c r="D372" s="36" t="n">
        <x:v>7</x:v>
      </x:c>
      <x:c r="E372" s="36" t="n">
        <x:v>1</x:v>
      </x:c>
      <x:c r="F372" s="36" t="str">
        <x:v>Warum gehen Jesu Brüder zunächst nicht im Glauben mit ihm um?</x:v>
      </x:c>
      <x:c r="G372" s="36" t="str">
        <x:v>Sie glauben zu diesem Zeitpunkt selbst nicht an ihn.</x:v>
      </x:c>
      <x:c r="H372" s="36" t="str">
        <x:v>Sie sind bereits seine Apostel.</x:v>
      </x:c>
      <x:c r="I372" s="36" t="str">
        <x:v>Sie leben nicht in Galiläa.</x:v>
      </x:c>
      <x:c r="J372" s="36" t="str">
        <x:v>Sie sind Priester im Tempel.</x:v>
      </x:c>
      <x:c r="K372" s="36" t="n">
        <x:v>0</x:v>
      </x:c>
      <x:c r="L372" s="36" t="str">
        <x:v>Sie glauben zu diesem Zeitpunkt selbst nicht an ihn.</x:v>
      </x:c>
      <x:c r="M372" s="36" t="str">
        <x:v>Johannes 7,3–5</x:v>
      </x:c>
      <x:c r="N372" s="36" t="str">
        <x:v>Johannes sagt ausdrücklich, dass auch Jesu Brüder damals nicht an ihn glaubten.</x:v>
      </x:c>
      <x:c r="O372" s="36" t="str">
        <x:v>FREIGEGEBEN</x:v>
      </x:c>
      <x:c r="P372" s="36" t="str">
        <x:v>FREIGEGEBEN</x:v>
      </x:c>
      <x:c r="Q372" s="36" t="str">
        <x:v>JA</x:v>
      </x:c>
    </x:row>
    <x:row r="373">
      <x:c r="A373" s="36" t="str">
        <x:v>FP-0632</x:v>
      </x:c>
      <x:c r="B373" s="36" t="str">
        <x:v>JHN</x:v>
      </x:c>
      <x:c r="C373" s="36" t="str">
        <x:v>Johannes</x:v>
      </x:c>
      <x:c r="D373" s="36" t="n">
        <x:v>7</x:v>
      </x:c>
      <x:c r="E373" s="36" t="n">
        <x:v>2</x:v>
      </x:c>
      <x:c r="F373" s="36" t="str">
        <x:v>Wie erklärt Jesus, woran man die Herkunft seiner Lehre erkennen kann?</x:v>
      </x:c>
      <x:c r="G373" s="36" t="str">
        <x:v>Nur Schriftgelehrte können das prüfen.</x:v>
      </x:c>
      <x:c r="H373" s="36" t="str">
        <x:v>Wer Gottes Willen tun will, wird erkennen, ob die Lehre von Gott ist.</x:v>
      </x:c>
      <x:c r="I373" s="36" t="str">
        <x:v>Die Herkunft spielt keine Rolle.</x:v>
      </x:c>
      <x:c r="J373" s="36" t="str">
        <x:v>Man erkennt es allein an Wundern.</x:v>
      </x:c>
      <x:c r="K373" s="36" t="n">
        <x:v>1</x:v>
      </x:c>
      <x:c r="L373" s="36" t="str">
        <x:v>Wer Gottes Willen tun will, wird erkennen, ob die Lehre von Gott ist.</x:v>
      </x:c>
      <x:c r="M373" s="36" t="str">
        <x:v>Johannes 7,16–18</x:v>
      </x:c>
      <x:c r="N373" s="36" t="str">
        <x:v>Jesus verbindet das Erkennen seiner Lehre mit der Bereitschaft, Gottes Willen zu tun, und grenzt Selbstverherrlichung davon ab.</x:v>
      </x:c>
      <x:c r="O373" s="36" t="str">
        <x:v>FREIGEGEBEN</x:v>
      </x:c>
      <x:c r="P373" s="36" t="str">
        <x:v>FREIGEGEBEN</x:v>
      </x:c>
      <x:c r="Q373" s="36" t="str">
        <x:v>JA</x:v>
      </x:c>
    </x:row>
    <x:row r="374">
      <x:c r="A374" s="36" t="str">
        <x:v>FP-0633</x:v>
      </x:c>
      <x:c r="B374" s="36" t="str">
        <x:v>JHN</x:v>
      </x:c>
      <x:c r="C374" s="36" t="str">
        <x:v>Johannes</x:v>
      </x:c>
      <x:c r="D374" s="36" t="n">
        <x:v>7</x:v>
      </x:c>
      <x:c r="E374" s="36" t="n">
        <x:v>3</x:v>
      </x:c>
      <x:c r="F374" s="36" t="str">
        <x:v>Warum entsteht während des Festes Streit über Jesus?</x:v>
      </x:c>
      <x:c r="G374" s="36" t="str">
        <x:v>Alle halten ihn sofort für den Christus.</x:v>
      </x:c>
      <x:c r="H374" s="36" t="str">
        <x:v>Niemand interessiert sich für ihn.</x:v>
      </x:c>
      <x:c r="I374" s="36" t="str">
        <x:v>Die Menschen urteilen unterschiedlich über seine Identität und Herkunft.</x:v>
      </x:c>
      <x:c r="J374" s="36" t="str">
        <x:v>Er weigert sich, im Tempel zu sprechen.</x:v>
      </x:c>
      <x:c r="K374" s="36" t="n">
        <x:v>2</x:v>
      </x:c>
      <x:c r="L374" s="36" t="str">
        <x:v>Die Menschen urteilen unterschiedlich über seine Identität und Herkunft.</x:v>
      </x:c>
      <x:c r="M374" s="36" t="str">
        <x:v>Johannes 7,25–31</x:v>
      </x:c>
      <x:c r="N374" s="36" t="str">
        <x:v>Im Volk gibt es verschiedene Deutungen darüber, wer Jesus ist und woher er kommt.</x:v>
      </x:c>
      <x:c r="O374" s="36" t="str">
        <x:v>FREIGEGEBEN</x:v>
      </x:c>
      <x:c r="P374" s="36" t="str">
        <x:v>FREIGEGEBEN</x:v>
      </x:c>
      <x:c r="Q374" s="36" t="str">
        <x:v>JA</x:v>
      </x:c>
    </x:row>
    <x:row r="375">
      <x:c r="A375" s="36" t="str">
        <x:v>FP-0634</x:v>
      </x:c>
      <x:c r="B375" s="36" t="str">
        <x:v>JHN</x:v>
      </x:c>
      <x:c r="C375" s="36" t="str">
        <x:v>Johannes</x:v>
      </x:c>
      <x:c r="D375" s="36" t="n">
        <x:v>7</x:v>
      </x:c>
      <x:c r="E375" s="36" t="n">
        <x:v>4</x:v>
      </x:c>
      <x:c r="F375" s="36" t="str">
        <x:v>Welche Einladung spricht Jesus am letzten Tag des Festes aus?</x:v>
      </x:c>
      <x:c r="G375" s="36" t="str">
        <x:v>Wer müde ist, soll Jerusalem verlassen.</x:v>
      </x:c>
      <x:c r="H375" s="36" t="str">
        <x:v>Wer reich ist, soll den Tempel bauen.</x:v>
      </x:c>
      <x:c r="I375" s="36" t="str">
        <x:v>Wer glaubt, soll aufhören zu beten.</x:v>
      </x:c>
      <x:c r="J375" s="36" t="str">
        <x:v>Wer dürstet, soll zu ihm kommen und trinken.</x:v>
      </x:c>
      <x:c r="K375" s="36" t="n">
        <x:v>3</x:v>
      </x:c>
      <x:c r="L375" s="36" t="str">
        <x:v>Wer dürstet, soll zu ihm kommen und trinken.</x:v>
      </x:c>
      <x:c r="M375" s="36" t="str">
        <x:v>Johannes 7,37–39</x:v>
      </x:c>
      <x:c r="N375" s="36" t="str">
        <x:v>Jesus ruft Dürstende zu sich; Johannes bezieht seine Worte auf den Geist, den Glaubende empfangen sollen.</x:v>
      </x:c>
      <x:c r="O375" s="36" t="str">
        <x:v>FREIGEGEBEN</x:v>
      </x:c>
      <x:c r="P375" s="36" t="str">
        <x:v>FREIGEGEBEN</x:v>
      </x:c>
      <x:c r="Q375" s="36" t="str">
        <x:v>JA</x:v>
      </x:c>
    </x:row>
    <x:row r="376">
      <x:c r="A376" s="36" t="str">
        <x:v>FP-0635</x:v>
      </x:c>
      <x:c r="B376" s="36" t="str">
        <x:v>JHN</x:v>
      </x:c>
      <x:c r="C376" s="36" t="str">
        <x:v>Johannes</x:v>
      </x:c>
      <x:c r="D376" s="36" t="n">
        <x:v>7</x:v>
      </x:c>
      <x:c r="E376" s="36" t="n">
        <x:v>5</x:v>
      </x:c>
      <x:c r="F376" s="36" t="str">
        <x:v>Wie reagiert Nikodemus, als die Führer Jesus verurteilen wollen?</x:v>
      </x:c>
      <x:c r="G376" s="36" t="str">
        <x:v>Er erinnert daran, dass das Gesetz niemanden verurteilt, ohne ihn zuvor anzuhören.</x:v>
      </x:c>
      <x:c r="H376" s="36" t="str">
        <x:v>Er fordert sofort Jesu Hinrichtung.</x:v>
      </x:c>
      <x:c r="I376" s="36" t="str">
        <x:v>Er verlässt den Rat schweigend.</x:v>
      </x:c>
      <x:c r="J376" s="36" t="str">
        <x:v>Er behauptet, Jesus komme aus Rom.</x:v>
      </x:c>
      <x:c r="K376" s="36" t="n">
        <x:v>0</x:v>
      </x:c>
      <x:c r="L376" s="36" t="str">
        <x:v>Er erinnert daran, dass das Gesetz niemanden verurteilt, ohne ihn zuvor anzuhören.</x:v>
      </x:c>
      <x:c r="M376" s="36" t="str">
        <x:v>Johannes 7,50–52</x:v>
      </x:c>
      <x:c r="N376" s="36" t="str">
        <x:v>Nikodemus fordert ein gerechtes Verfahren und fragt, ob das Gesetz einen Menschen richtet, bevor man ihn hört.</x:v>
      </x:c>
      <x:c r="O376" s="36" t="str">
        <x:v>FREIGEGEBEN</x:v>
      </x:c>
      <x:c r="P376" s="36" t="str">
        <x:v>FREIGEGEBEN</x:v>
      </x:c>
      <x:c r="Q376" s="36" t="str">
        <x:v>JA</x:v>
      </x:c>
    </x:row>
    <x:row r="377">
      <x:c r="A377" s="36" t="str">
        <x:v>FP-0636</x:v>
      </x:c>
      <x:c r="B377" s="36" t="str">
        <x:v>JHN</x:v>
      </x:c>
      <x:c r="C377" s="36" t="str">
        <x:v>Johannes</x:v>
      </x:c>
      <x:c r="D377" s="36" t="n">
        <x:v>8</x:v>
      </x:c>
      <x:c r="E377" s="36" t="n">
        <x:v>1</x:v>
      </x:c>
      <x:c r="F377" s="36" t="str">
        <x:v>Wie bezeichnet Jesus sich selbst in Johannes 8?</x:v>
      </x:c>
      <x:c r="G377" s="36" t="str">
        <x:v>Als Brot vom Himmel.</x:v>
      </x:c>
      <x:c r="H377" s="36" t="str">
        <x:v>Als Licht der Welt.</x:v>
      </x:c>
      <x:c r="I377" s="36" t="str">
        <x:v>Als guten Hirten.</x:v>
      </x:c>
      <x:c r="J377" s="36" t="str">
        <x:v>Als wahren Weinstock.</x:v>
      </x:c>
      <x:c r="K377" s="36" t="n">
        <x:v>1</x:v>
      </x:c>
      <x:c r="L377" s="36" t="str">
        <x:v>Als Licht der Welt.</x:v>
      </x:c>
      <x:c r="M377" s="36" t="str">
        <x:v>Johannes 8,12</x:v>
      </x:c>
      <x:c r="N377" s="36" t="str">
        <x:v>Jesus sagt, wer ihm folgt, werde nicht in der Finsternis wandeln, sondern das Licht des Lebens haben.</x:v>
      </x:c>
      <x:c r="O377" s="36" t="str">
        <x:v>FREIGEGEBEN</x:v>
      </x:c>
      <x:c r="P377" s="36" t="str">
        <x:v>FREIGEGEBEN</x:v>
      </x:c>
      <x:c r="Q377" s="36" t="str">
        <x:v>JA</x:v>
      </x:c>
    </x:row>
    <x:row r="378">
      <x:c r="A378" s="36" t="str">
        <x:v>FP-0637</x:v>
      </x:c>
      <x:c r="B378" s="36" t="str">
        <x:v>JHN</x:v>
      </x:c>
      <x:c r="C378" s="36" t="str">
        <x:v>Johannes</x:v>
      </x:c>
      <x:c r="D378" s="36" t="n">
        <x:v>8</x:v>
      </x:c>
      <x:c r="E378" s="36" t="n">
        <x:v>2</x:v>
      </x:c>
      <x:c r="F378" s="36" t="str">
        <x:v>Was macht nach Jesu Worten wirklich frei?</x:v>
      </x:c>
      <x:c r="G378" s="36" t="str">
        <x:v>Politische Unabhängigkeit.</x:v>
      </x:c>
      <x:c r="H378" s="36" t="str">
        <x:v>Reichtum.</x:v>
      </x:c>
      <x:c r="I378" s="36" t="str">
        <x:v>Die Wahrheit, wenn Menschen in seinem Wort bleiben und sie erkennen.</x:v>
      </x:c>
      <x:c r="J378" s="36" t="str">
        <x:v>Abstammung allein.</x:v>
      </x:c>
      <x:c r="K378" s="36" t="n">
        <x:v>2</x:v>
      </x:c>
      <x:c r="L378" s="36" t="str">
        <x:v>Die Wahrheit, wenn Menschen in seinem Wort bleiben und sie erkennen.</x:v>
      </x:c>
      <x:c r="M378" s="36" t="str">
        <x:v>Johannes 8,31–32</x:v>
      </x:c>
      <x:c r="N378" s="36" t="str">
        <x:v>Jesus verbindet Jüngerschaft mit dem Bleiben in seinem Wort, Erkenntnis der Wahrheit und Freiheit.</x:v>
      </x:c>
      <x:c r="O378" s="36" t="str">
        <x:v>FREIGEGEBEN</x:v>
      </x:c>
      <x:c r="P378" s="36" t="str">
        <x:v>FREIGEGEBEN</x:v>
      </x:c>
      <x:c r="Q378" s="36" t="str">
        <x:v>JA</x:v>
      </x:c>
    </x:row>
    <x:row r="379">
      <x:c r="A379" s="36" t="str">
        <x:v>FP-0638</x:v>
      </x:c>
      <x:c r="B379" s="36" t="str">
        <x:v>JHN</x:v>
      </x:c>
      <x:c r="C379" s="36" t="str">
        <x:v>Johannes</x:v>
      </x:c>
      <x:c r="D379" s="36" t="n">
        <x:v>8</x:v>
      </x:c>
      <x:c r="E379" s="36" t="n">
        <x:v>3</x:v>
      </x:c>
      <x:c r="F379" s="36" t="str">
        <x:v>Warum sagt Jesus, dass Abstammung von Abraham allein nicht genügt?</x:v>
      </x:c>
      <x:c r="G379" s="36" t="str">
        <x:v>Weil Abraham kein Israelit war.</x:v>
      </x:c>
      <x:c r="H379" s="36" t="str">
        <x:v>Weil Abraham nie geglaubt hat.</x:v>
      </x:c>
      <x:c r="I379" s="36" t="str">
        <x:v>Weil nur Mose wichtig ist.</x:v>
      </x:c>
      <x:c r="J379" s="36" t="str">
        <x:v>Weil echtes Handeln entsprechend Abraham fehlt und sie Jesus zu töten suchen.</x:v>
      </x:c>
      <x:c r="K379" s="36" t="n">
        <x:v>3</x:v>
      </x:c>
      <x:c r="L379" s="36" t="str">
        <x:v>Weil echtes Handeln entsprechend Abraham fehlt und sie Jesus zu töten suchen.</x:v>
      </x:c>
      <x:c r="M379" s="36" t="str">
        <x:v>Johannes 8,37–40</x:v>
      </x:c>
      <x:c r="N379" s="36" t="str">
        <x:v>Jesus stellt biologische Abstammung dem Verhalten gegenüber: Wer wirklich zu Abraham gehört, sollte anders handeln.</x:v>
      </x:c>
      <x:c r="O379" s="36" t="str">
        <x:v>FREIGEGEBEN</x:v>
      </x:c>
      <x:c r="P379" s="36" t="str">
        <x:v>FREIGEGEBEN</x:v>
      </x:c>
      <x:c r="Q379" s="36" t="str">
        <x:v>JA</x:v>
      </x:c>
    </x:row>
    <x:row r="380">
      <x:c r="A380" s="36" t="str">
        <x:v>FP-0639</x:v>
      </x:c>
      <x:c r="B380" s="36" t="str">
        <x:v>JHN</x:v>
      </x:c>
      <x:c r="C380" s="36" t="str">
        <x:v>Johannes</x:v>
      </x:c>
      <x:c r="D380" s="36" t="n">
        <x:v>8</x:v>
      </x:c>
      <x:c r="E380" s="36" t="n">
        <x:v>4</x:v>
      </x:c>
      <x:c r="F380" s="36" t="str">
        <x:v>Wie beschreibt Jesus die Menschen, die Gottes Wort nicht hören können?</x:v>
      </x:c>
      <x:c r="G380" s="36" t="str">
        <x:v>Sie hören nicht, weil sie nicht aus Gott sind.</x:v>
      </x:c>
      <x:c r="H380" s="36" t="str">
        <x:v>Sie haben zu wenig Bildung.</x:v>
      </x:c>
      <x:c r="I380" s="36" t="str">
        <x:v>Sie sprechen die falsche Sprache.</x:v>
      </x:c>
      <x:c r="J380" s="36" t="str">
        <x:v>Sie wohnen außerhalb Jerusalems.</x:v>
      </x:c>
      <x:c r="K380" s="36" t="n">
        <x:v>0</x:v>
      </x:c>
      <x:c r="L380" s="36" t="str">
        <x:v>Sie hören nicht, weil sie nicht aus Gott sind.</x:v>
      </x:c>
      <x:c r="M380" s="36" t="str">
        <x:v>Johannes 8,43–47</x:v>
      </x:c>
      <x:c r="N380" s="36" t="str">
        <x:v>Jesus führt die Ablehnung seiner Worte auf die tiefere geistliche Zugehörigkeit seiner Gegner zurück.</x:v>
      </x:c>
      <x:c r="O380" s="36" t="str">
        <x:v>FREIGEGEBEN</x:v>
      </x:c>
      <x:c r="P380" s="36" t="str">
        <x:v>FREIGEGEBEN</x:v>
      </x:c>
      <x:c r="Q380" s="36" t="str">
        <x:v>JA</x:v>
      </x:c>
    </x:row>
    <x:row r="381">
      <x:c r="A381" s="36" t="str">
        <x:v>FP-0640</x:v>
      </x:c>
      <x:c r="B381" s="36" t="str">
        <x:v>JHN</x:v>
      </x:c>
      <x:c r="C381" s="36" t="str">
        <x:v>Johannes</x:v>
      </x:c>
      <x:c r="D381" s="36" t="n">
        <x:v>8</x:v>
      </x:c>
      <x:c r="E381" s="36" t="n">
        <x:v>5</x:v>
      </x:c>
      <x:c r="F381" s="36" t="str">
        <x:v>Was sagt Jesus über sein Verhältnis zu Abraham?</x:v>
      </x:c>
      <x:c r="G381" s="36" t="str">
        <x:v>Abraham war Jesu Lehrer.</x:v>
      </x:c>
      <x:c r="H381" s="36" t="str">
        <x:v>Bevor Abraham wurde, bin ich.</x:v>
      </x:c>
      <x:c r="I381" s="36" t="str">
        <x:v>Jesus habe Abraham nie gekannt.</x:v>
      </x:c>
      <x:c r="J381" s="36" t="str">
        <x:v>Abraham sei größer als alles, was Jesus sagt.</x:v>
      </x:c>
      <x:c r="K381" s="36" t="n">
        <x:v>1</x:v>
      </x:c>
      <x:c r="L381" s="36" t="str">
        <x:v>Bevor Abraham wurde, bin ich.</x:v>
      </x:c>
      <x:c r="M381" s="36" t="str">
        <x:v>Johannes 8,56–58</x:v>
      </x:c>
      <x:c r="N381" s="36" t="str">
        <x:v>Jesu Aussage „ehe Abraham wurde, bin ich“ bildet den Höhepunkt der Auseinandersetzung über seine Identität.</x:v>
      </x:c>
      <x:c r="O381" s="36" t="str">
        <x:v>FREIGEGEBEN</x:v>
      </x:c>
      <x:c r="P381" s="36" t="str">
        <x:v>FREIGEGEBEN</x:v>
      </x:c>
      <x:c r="Q381" s="36" t="str">
        <x:v>JA</x:v>
      </x:c>
    </x:row>
    <x:row r="382">
      <x:c r="A382" s="36" t="str">
        <x:v>FP-0641</x:v>
      </x:c>
      <x:c r="B382" s="36" t="str">
        <x:v>JHN</x:v>
      </x:c>
      <x:c r="C382" s="36" t="str">
        <x:v>Johannes</x:v>
      </x:c>
      <x:c r="D382" s="36" t="n">
        <x:v>9</x:v>
      </x:c>
      <x:c r="E382" s="36" t="n">
        <x:v>1</x:v>
      </x:c>
      <x:c r="F382" s="36" t="str">
        <x:v>Wie beantwortet Jesus die Frage, ob der blind Geborene oder seine Eltern gesündigt hätten?</x:v>
      </x:c>
      <x:c r="G382" s="36" t="str">
        <x:v>Seine Eltern allein sind schuld.</x:v>
      </x:c>
      <x:c r="H382" s="36" t="str">
        <x:v>Der Mann selbst ist für seine Blindheit verantwortlich.</x:v>
      </x:c>
      <x:c r="I382" s="36" t="str">
        <x:v>Weder er noch seine Eltern werden als Ursache genannt; an ihm sollen Gottes Werke offenbar werden.</x:v>
      </x:c>
      <x:c r="J382" s="36" t="str">
        <x:v>Blindheit habe immer dieselbe geistliche Ursache.</x:v>
      </x:c>
      <x:c r="K382" s="36" t="n">
        <x:v>2</x:v>
      </x:c>
      <x:c r="L382" s="36" t="str">
        <x:v>Weder er noch seine Eltern werden als Ursache genannt; an ihm sollen Gottes Werke offenbar werden.</x:v>
      </x:c>
      <x:c r="M382" s="36" t="str">
        <x:v>Johannes 9,1–3</x:v>
      </x:c>
      <x:c r="N382" s="36" t="str">
        <x:v>Jesus weist die direkte Schuldzuweisung zurück und richtet den Blick auf das offenbar werdende Wirken Gottes.</x:v>
      </x:c>
      <x:c r="O382" s="36" t="str">
        <x:v>FREIGEGEBEN</x:v>
      </x:c>
      <x:c r="P382" s="36" t="str">
        <x:v>FREIGEGEBEN</x:v>
      </x:c>
      <x:c r="Q382" s="36" t="str">
        <x:v>JA</x:v>
      </x:c>
    </x:row>
    <x:row r="383">
      <x:c r="A383" s="36" t="str">
        <x:v>FP-0642</x:v>
      </x:c>
      <x:c r="B383" s="36" t="str">
        <x:v>JHN</x:v>
      </x:c>
      <x:c r="C383" s="36" t="str">
        <x:v>Johannes</x:v>
      </x:c>
      <x:c r="D383" s="36" t="n">
        <x:v>9</x:v>
      </x:c>
      <x:c r="E383" s="36" t="n">
        <x:v>2</x:v>
      </x:c>
      <x:c r="F383" s="36" t="str">
        <x:v>Wie vollzieht Jesus die Heilung des blind Geborenen?</x:v>
      </x:c>
      <x:c r="G383" s="36" t="str">
        <x:v>Er heilt ihn nur durch eine Berührung im Tempel.</x:v>
      </x:c>
      <x:c r="H383" s="36" t="str">
        <x:v>Er schickt ihn zu einem Priester.</x:v>
      </x:c>
      <x:c r="I383" s="36" t="str">
        <x:v>Er lässt Johannes ihn taufen.</x:v>
      </x:c>
      <x:c r="J383" s="36" t="str">
        <x:v>Er macht einen Brei, streicht ihn auf die Augen und schickt den Mann zum Teich Siloah.</x:v>
      </x:c>
      <x:c r="K383" s="36" t="n">
        <x:v>3</x:v>
      </x:c>
      <x:c r="L383" s="36" t="str">
        <x:v>Er macht einen Brei, streicht ihn auf die Augen und schickt den Mann zum Teich Siloah.</x:v>
      </x:c>
      <x:c r="M383" s="36" t="str">
        <x:v>Johannes 9,6–7</x:v>
      </x:c>
      <x:c r="N383" s="36" t="str">
        <x:v>Jesus bestreicht die Augen des Mannes und schickt ihn zum Teich Siloah; der Mann kommt sehend zurück.</x:v>
      </x:c>
      <x:c r="O383" s="36" t="str">
        <x:v>FREIGEGEBEN</x:v>
      </x:c>
      <x:c r="P383" s="36" t="str">
        <x:v>FREIGEGEBEN</x:v>
      </x:c>
      <x:c r="Q383" s="36" t="str">
        <x:v>JA</x:v>
      </x:c>
    </x:row>
    <x:row r="384">
      <x:c r="A384" s="36" t="str">
        <x:v>FP-0643</x:v>
      </x:c>
      <x:c r="B384" s="36" t="str">
        <x:v>JHN</x:v>
      </x:c>
      <x:c r="C384" s="36" t="str">
        <x:v>Johannes</x:v>
      </x:c>
      <x:c r="D384" s="36" t="n">
        <x:v>9</x:v>
      </x:c>
      <x:c r="E384" s="36" t="n">
        <x:v>3</x:v>
      </x:c>
      <x:c r="F384" s="36" t="str">
        <x:v>Warum entsteht Streit über die Heilung?</x:v>
      </x:c>
      <x:c r="G384" s="36" t="str">
        <x:v>Sie geschieht am Sabbat, und die Pharisäer streiten darüber, was das über Jesus bedeutet.</x:v>
      </x:c>
      <x:c r="H384" s="36" t="str">
        <x:v>Der Mann weigert sich zu erzählen, was geschah.</x:v>
      </x:c>
      <x:c r="I384" s="36" t="str">
        <x:v>Jesus verlangt Geld.</x:v>
      </x:c>
      <x:c r="J384" s="36" t="str">
        <x:v>Der Teich Siloah wird geschlossen.</x:v>
      </x:c>
      <x:c r="K384" s="36" t="n">
        <x:v>0</x:v>
      </x:c>
      <x:c r="L384" s="36" t="str">
        <x:v>Sie geschieht am Sabbat, und die Pharisäer streiten darüber, was das über Jesus bedeutet.</x:v>
      </x:c>
      <x:c r="M384" s="36" t="str">
        <x:v>Johannes 9,13–16</x:v>
      </x:c>
      <x:c r="N384" s="36" t="str">
        <x:v>Ein Teil der Pharisäer kritisiert den Sabbat, andere fragen, wie ein Sünder solche Zeichen tun könne.</x:v>
      </x:c>
      <x:c r="O384" s="36" t="str">
        <x:v>FREIGEGEBEN</x:v>
      </x:c>
      <x:c r="P384" s="36" t="str">
        <x:v>FREIGEGEBEN</x:v>
      </x:c>
      <x:c r="Q384" s="36" t="str">
        <x:v>JA</x:v>
      </x:c>
    </x:row>
    <x:row r="385">
      <x:c r="A385" s="36" t="str">
        <x:v>FP-0644</x:v>
      </x:c>
      <x:c r="B385" s="36" t="str">
        <x:v>JHN</x:v>
      </x:c>
      <x:c r="C385" s="36" t="str">
        <x:v>Johannes</x:v>
      </x:c>
      <x:c r="D385" s="36" t="n">
        <x:v>9</x:v>
      </x:c>
      <x:c r="E385" s="36" t="n">
        <x:v>4</x:v>
      </x:c>
      <x:c r="F385" s="36" t="str">
        <x:v>Wie antwortet der geheilte Mann auf die Behauptung, Jesus sei ein Sünder?</x:v>
      </x:c>
      <x:c r="G385" s="36" t="str">
        <x:v>Ich habe Jesus nie gesehen.</x:v>
      </x:c>
      <x:c r="H385" s="36" t="str">
        <x:v>Ob er ein Sünder ist, weiß ich nicht; eines weiß ich: Ich war blind und sehe jetzt.</x:v>
      </x:c>
      <x:c r="I385" s="36" t="str">
        <x:v>Die Heilung ist nicht wirklich geschehen.</x:v>
      </x:c>
      <x:c r="J385" s="36" t="str">
        <x:v>Meine Eltern haben mich geheilt.</x:v>
      </x:c>
      <x:c r="K385" s="36" t="n">
        <x:v>1</x:v>
      </x:c>
      <x:c r="L385" s="36" t="str">
        <x:v>Ob er ein Sünder ist, weiß ich nicht; eines weiß ich: Ich war blind und sehe jetzt.</x:v>
      </x:c>
      <x:c r="M385" s="36" t="str">
        <x:v>Johannes 9,24–25</x:v>
      </x:c>
      <x:c r="N385" s="36" t="str">
        <x:v>Der Mann hält sich an das, was er sicher weiß: Seine Blindheit ist überwunden.</x:v>
      </x:c>
      <x:c r="O385" s="36" t="str">
        <x:v>FREIGEGEBEN</x:v>
      </x:c>
      <x:c r="P385" s="36" t="str">
        <x:v>FREIGEGEBEN</x:v>
      </x:c>
      <x:c r="Q385" s="36" t="str">
        <x:v>JA</x:v>
      </x:c>
    </x:row>
    <x:row r="386">
      <x:c r="A386" s="36" t="str">
        <x:v>FP-0645</x:v>
      </x:c>
      <x:c r="B386" s="36" t="str">
        <x:v>JHN</x:v>
      </x:c>
      <x:c r="C386" s="36" t="str">
        <x:v>Johannes</x:v>
      </x:c>
      <x:c r="D386" s="36" t="n">
        <x:v>9</x:v>
      </x:c>
      <x:c r="E386" s="36" t="n">
        <x:v>5</x:v>
      </x:c>
      <x:c r="F386" s="36" t="str">
        <x:v>Wie endet die Begegnung zwischen Jesus und dem geheilten Mann?</x:v>
      </x:c>
      <x:c r="G386" s="36" t="str">
        <x:v>Der Mann lehnt Jesus ab.</x:v>
      </x:c>
      <x:c r="H386" s="36" t="str">
        <x:v>Der Mann wird wieder blind.</x:v>
      </x:c>
      <x:c r="I386" s="36" t="str">
        <x:v>Der Mann glaubt an den Menschensohn und betet Jesus an.</x:v>
      </x:c>
      <x:c r="J386" s="36" t="str">
        <x:v>Jesus schickt ihn aus Jerusalem fort.</x:v>
      </x:c>
      <x:c r="K386" s="36" t="n">
        <x:v>2</x:v>
      </x:c>
      <x:c r="L386" s="36" t="str">
        <x:v>Der Mann glaubt an den Menschensohn und betet Jesus an.</x:v>
      </x:c>
      <x:c r="M386" s="36" t="str">
        <x:v>Johannes 9,35–38</x:v>
      </x:c>
      <x:c r="N386" s="36" t="str">
        <x:v>Nach Jesu Selbstoffenbarung bekennt der Mann seinen Glauben und betet ihn an.</x:v>
      </x:c>
      <x:c r="O386" s="36" t="str">
        <x:v>FREIGEGEBEN</x:v>
      </x:c>
      <x:c r="P386" s="36" t="str">
        <x:v>FREIGEGEBEN</x:v>
      </x:c>
      <x:c r="Q386" s="36" t="str">
        <x:v>JA</x:v>
      </x:c>
    </x:row>
    <x:row r="387">
      <x:c r="A387" s="36" t="str">
        <x:v>FP-0646</x:v>
      </x:c>
      <x:c r="B387" s="36" t="str">
        <x:v>JHN</x:v>
      </x:c>
      <x:c r="C387" s="36" t="str">
        <x:v>Johannes</x:v>
      </x:c>
      <x:c r="D387" s="36" t="n">
        <x:v>10</x:v>
      </x:c>
      <x:c r="E387" s="36" t="n">
        <x:v>1</x:v>
      </x:c>
      <x:c r="F387" s="36" t="str">
        <x:v>Wie beschreibt Jesus die Beziehung zwischen dem guten Hirten und den Schafen?</x:v>
      </x:c>
      <x:c r="G387" s="36" t="str">
        <x:v>Der Hirte kennt seine Schafe nicht.</x:v>
      </x:c>
      <x:c r="H387" s="36" t="str">
        <x:v>Der Hirte verlässt die Schafe bei jeder Gefahr.</x:v>
      </x:c>
      <x:c r="I387" s="36" t="str">
        <x:v>Der Hirte führt nur fremde Schafe.</x:v>
      </x:c>
      <x:c r="J387" s="36" t="str">
        <x:v>Der gute Hirte kennt die Seinen und gibt sein Leben für die Schafe.</x:v>
      </x:c>
      <x:c r="K387" s="36" t="n">
        <x:v>3</x:v>
      </x:c>
      <x:c r="L387" s="36" t="str">
        <x:v>Der gute Hirte kennt die Seinen und gibt sein Leben für die Schafe.</x:v>
      </x:c>
      <x:c r="M387" s="36" t="str">
        <x:v>Johannes 10,11–15</x:v>
      </x:c>
      <x:c r="N387" s="36" t="str">
        <x:v>Jesus beschreibt sich als guten Hirten, der seine Schafe kennt und sein Leben für sie lässt.</x:v>
      </x:c>
      <x:c r="O387" s="36" t="str">
        <x:v>FREIGEGEBEN</x:v>
      </x:c>
      <x:c r="P387" s="36" t="str">
        <x:v>FREIGEGEBEN</x:v>
      </x:c>
      <x:c r="Q387" s="36" t="str">
        <x:v>JA</x:v>
      </x:c>
    </x:row>
    <x:row r="388">
      <x:c r="A388" s="36" t="str">
        <x:v>FP-0647</x:v>
      </x:c>
      <x:c r="B388" s="36" t="str">
        <x:v>JHN</x:v>
      </x:c>
      <x:c r="C388" s="36" t="str">
        <x:v>Johannes</x:v>
      </x:c>
      <x:c r="D388" s="36" t="n">
        <x:v>10</x:v>
      </x:c>
      <x:c r="E388" s="36" t="n">
        <x:v>2</x:v>
      </x:c>
      <x:c r="F388" s="36" t="str">
        <x:v>Was sagt Jesus über die „anderen Schafe“, die nicht aus diesem Hof sind?</x:v>
      </x:c>
      <x:c r="G388" s="36" t="str">
        <x:v>Auch sie muss er führen, sodass eine Herde und ein Hirte sein werden.</x:v>
      </x:c>
      <x:c r="H388" s="36" t="str">
        <x:v>Sie sollen getrennt bleiben.</x:v>
      </x:c>
      <x:c r="I388" s="36" t="str">
        <x:v>Sie gehören niemals zu ihm.</x:v>
      </x:c>
      <x:c r="J388" s="36" t="str">
        <x:v>Sie werden von den Jüngern abgewiesen.</x:v>
      </x:c>
      <x:c r="K388" s="36" t="n">
        <x:v>0</x:v>
      </x:c>
      <x:c r="L388" s="36" t="str">
        <x:v>Auch sie muss er führen, sodass eine Herde und ein Hirte sein werden.</x:v>
      </x:c>
      <x:c r="M388" s="36" t="str">
        <x:v>Johannes 10,16</x:v>
      </x:c>
      <x:c r="N388" s="36" t="str">
        <x:v>Jesus spricht von weiteren Schafen, die er ebenfalls führen wird, mit dem Ziel einer Herde unter einem Hirten.</x:v>
      </x:c>
      <x:c r="O388" s="36" t="str">
        <x:v>FREIGEGEBEN</x:v>
      </x:c>
      <x:c r="P388" s="36" t="str">
        <x:v>FREIGEGEBEN</x:v>
      </x:c>
      <x:c r="Q388" s="36" t="str">
        <x:v>JA</x:v>
      </x:c>
    </x:row>
    <x:row r="389">
      <x:c r="A389" s="36" t="str">
        <x:v>FP-0648</x:v>
      </x:c>
      <x:c r="B389" s="36" t="str">
        <x:v>JHN</x:v>
      </x:c>
      <x:c r="C389" s="36" t="str">
        <x:v>Johannes</x:v>
      </x:c>
      <x:c r="D389" s="36" t="n">
        <x:v>10</x:v>
      </x:c>
      <x:c r="E389" s="36" t="n">
        <x:v>3</x:v>
      </x:c>
      <x:c r="F389" s="36" t="str">
        <x:v>Warum liebt der Vater den Sohn nach Jesu Aussage in diesem Abschnitt?</x:v>
      </x:c>
      <x:c r="G389" s="36" t="str">
        <x:v>Weil Jesus niemals leidet.</x:v>
      </x:c>
      <x:c r="H389" s="36" t="str">
        <x:v>Weil Jesus sein Leben lässt, um es wiederzunehmen.</x:v>
      </x:c>
      <x:c r="I389" s="36" t="str">
        <x:v>Weil Jesus den Tempel verwaltet.</x:v>
      </x:c>
      <x:c r="J389" s="36" t="str">
        <x:v>Weil Jesus nur zu Israel spricht.</x:v>
      </x:c>
      <x:c r="K389" s="36" t="n">
        <x:v>1</x:v>
      </x:c>
      <x:c r="L389" s="36" t="str">
        <x:v>Weil Jesus sein Leben lässt, um es wiederzunehmen.</x:v>
      </x:c>
      <x:c r="M389" s="36" t="str">
        <x:v>Johannes 10,17–18</x:v>
      </x:c>
      <x:c r="N389" s="36" t="str">
        <x:v>Jesus verbindet die Liebe des Vaters mit seiner freiwilligen Hingabe und seiner Vollmacht, das Leben wiederzunehmen.</x:v>
      </x:c>
      <x:c r="O389" s="36" t="str">
        <x:v>FREIGEGEBEN</x:v>
      </x:c>
      <x:c r="P389" s="36" t="str">
        <x:v>FREIGEGEBEN</x:v>
      </x:c>
      <x:c r="Q389" s="36" t="str">
        <x:v>JA</x:v>
      </x:c>
    </x:row>
    <x:row r="390">
      <x:c r="A390" s="36" t="str">
        <x:v>FP-0649</x:v>
      </x:c>
      <x:c r="B390" s="36" t="str">
        <x:v>JHN</x:v>
      </x:c>
      <x:c r="C390" s="36" t="str">
        <x:v>Johannes</x:v>
      </x:c>
      <x:c r="D390" s="36" t="n">
        <x:v>10</x:v>
      </x:c>
      <x:c r="E390" s="36" t="n">
        <x:v>4</x:v>
      </x:c>
      <x:c r="F390" s="36" t="str">
        <x:v>Welche Sicherheit gibt Jesus über seine Schafe?</x:v>
      </x:c>
      <x:c r="G390" s="36" t="str">
        <x:v>Sie werden niemals Schwierigkeiten erleben.</x:v>
      </x:c>
      <x:c r="H390" s="36" t="str">
        <x:v>Sie müssen nicht auf seine Stimme hören.</x:v>
      </x:c>
      <x:c r="I390" s="36" t="str">
        <x:v>Niemand wird sie aus seiner Hand reißen.</x:v>
      </x:c>
      <x:c r="J390" s="36" t="str">
        <x:v>Sie können ihn nicht kennen.</x:v>
      </x:c>
      <x:c r="K390" s="36" t="n">
        <x:v>2</x:v>
      </x:c>
      <x:c r="L390" s="36" t="str">
        <x:v>Niemand wird sie aus seiner Hand reißen.</x:v>
      </x:c>
      <x:c r="M390" s="36" t="str">
        <x:v>Johannes 10,27–29</x:v>
      </x:c>
      <x:c r="N390" s="36" t="str">
        <x:v>Jesu Schafe hören seine Stimme, folgen ihm, erhalten ewiges Leben und stehen unter seinem Schutz.</x:v>
      </x:c>
      <x:c r="O390" s="36" t="str">
        <x:v>FREIGEGEBEN</x:v>
      </x:c>
      <x:c r="P390" s="36" t="str">
        <x:v>FREIGEGEBEN</x:v>
      </x:c>
      <x:c r="Q390" s="36" t="str">
        <x:v>JA</x:v>
      </x:c>
    </x:row>
    <x:row r="391">
      <x:c r="A391" s="36" t="str">
        <x:v>FP-0650</x:v>
      </x:c>
      <x:c r="B391" s="36" t="str">
        <x:v>JHN</x:v>
      </x:c>
      <x:c r="C391" s="36" t="str">
        <x:v>Johannes</x:v>
      </x:c>
      <x:c r="D391" s="36" t="n">
        <x:v>10</x:v>
      </x:c>
      <x:c r="E391" s="36" t="n">
        <x:v>5</x:v>
      </x:c>
      <x:c r="F391" s="36" t="str">
        <x:v>Welche Aussage Jesu führt erneut zu heftigem Widerstand?</x:v>
      </x:c>
      <x:c r="G391" s="36" t="str">
        <x:v>Ich bin das Brot des Lebens.</x:v>
      </x:c>
      <x:c r="H391" s="36" t="str">
        <x:v>Ich bin der Weg.</x:v>
      </x:c>
      <x:c r="I391" s="36" t="str">
        <x:v>Ich bin der Weinstock.</x:v>
      </x:c>
      <x:c r="J391" s="36" t="str">
        <x:v>Ich und der Vater sind eins.</x:v>
      </x:c>
      <x:c r="K391" s="36" t="n">
        <x:v>3</x:v>
      </x:c>
      <x:c r="L391" s="36" t="str">
        <x:v>Ich und der Vater sind eins.</x:v>
      </x:c>
      <x:c r="M391" s="36" t="str">
        <x:v>Johannes 10,30–33</x:v>
      </x:c>
      <x:c r="N391" s="36" t="str">
        <x:v>Die Aussage über die Einheit mit dem Vater führt dazu, dass seine Gegner erneut Steine aufnehmen.</x:v>
      </x:c>
      <x:c r="O391" s="36" t="str">
        <x:v>FREIGEGEBEN</x:v>
      </x:c>
      <x:c r="P391" s="36" t="str">
        <x:v>FREIGEGEBEN</x:v>
      </x:c>
      <x:c r="Q391" s="36" t="str">
        <x:v>JA</x:v>
      </x:c>
    </x:row>
    <x:row r="392">
      <x:c r="A392" s="36" t="str">
        <x:v>FP-0651</x:v>
      </x:c>
      <x:c r="B392" s="36" t="str">
        <x:v>JHN</x:v>
      </x:c>
      <x:c r="C392" s="36" t="str">
        <x:v>Johannes</x:v>
      </x:c>
      <x:c r="D392" s="36" t="n">
        <x:v>11</x:v>
      </x:c>
      <x:c r="E392" s="36" t="n">
        <x:v>1</x:v>
      </x:c>
      <x:c r="F392" s="36" t="str">
        <x:v>Wie reagiert Jesus zunächst auf die Nachricht, dass Lazarus krank ist?</x:v>
      </x:c>
      <x:c r="G392" s="36" t="str">
        <x:v>Er bleibt noch zwei Tage an dem Ort, an dem er ist.</x:v>
      </x:c>
      <x:c r="H392" s="36" t="str">
        <x:v>Er reist sofort in derselben Stunde ab.</x:v>
      </x:c>
      <x:c r="I392" s="36" t="str">
        <x:v>Er schickt Petrus allein.</x:v>
      </x:c>
      <x:c r="J392" s="36" t="str">
        <x:v>Er sagt, Lazarus sei nicht krank.</x:v>
      </x:c>
      <x:c r="K392" s="36" t="n">
        <x:v>0</x:v>
      </x:c>
      <x:c r="L392" s="36" t="str">
        <x:v>Er bleibt noch zwei Tage an dem Ort, an dem er ist.</x:v>
      </x:c>
      <x:c r="M392" s="36" t="str">
        <x:v>Johannes 11,1–6</x:v>
      </x:c>
      <x:c r="N392" s="36" t="str">
        <x:v>Obwohl Jesus Lazarus und seine Schwestern liebt, bleibt er zunächst noch zwei Tage, bevor er nach Judäa geht.</x:v>
      </x:c>
      <x:c r="O392" s="36" t="str">
        <x:v>FREIGEGEBEN</x:v>
      </x:c>
      <x:c r="P392" s="36" t="str">
        <x:v>FREIGEGEBEN</x:v>
      </x:c>
      <x:c r="Q392" s="36" t="str">
        <x:v>JA</x:v>
      </x:c>
    </x:row>
    <x:row r="393">
      <x:c r="A393" s="36" t="str">
        <x:v>FP-0652</x:v>
      </x:c>
      <x:c r="B393" s="36" t="str">
        <x:v>JHN</x:v>
      </x:c>
      <x:c r="C393" s="36" t="str">
        <x:v>Johannes</x:v>
      </x:c>
      <x:c r="D393" s="36" t="n">
        <x:v>11</x:v>
      </x:c>
      <x:c r="E393" s="36" t="n">
        <x:v>2</x:v>
      </x:c>
      <x:c r="F393" s="36" t="str">
        <x:v>Was sagt Jesus zu Martha über sich selbst?</x:v>
      </x:c>
      <x:c r="G393" s="36" t="str">
        <x:v>Ich bin nur ein Lehrer.</x:v>
      </x:c>
      <x:c r="H393" s="36" t="str">
        <x:v>Ich bin die Auferstehung und das Leben.</x:v>
      </x:c>
      <x:c r="I393" s="36" t="str">
        <x:v>Ich bin der neue Mose.</x:v>
      </x:c>
      <x:c r="J393" s="36" t="str">
        <x:v>Ich bin der Tempelpriester.</x:v>
      </x:c>
      <x:c r="K393" s="36" t="n">
        <x:v>1</x:v>
      </x:c>
      <x:c r="L393" s="36" t="str">
        <x:v>Ich bin die Auferstehung und das Leben.</x:v>
      </x:c>
      <x:c r="M393" s="36" t="str">
        <x:v>Johannes 11,23–27</x:v>
      </x:c>
      <x:c r="N393" s="36" t="str">
        <x:v>Jesus richtet Marthas Hoffnung nicht nur auf einen zukünftigen Tag, sondern auf seine eigene Person als Auferstehung und Leben.</x:v>
      </x:c>
      <x:c r="O393" s="36" t="str">
        <x:v>FREIGEGEBEN</x:v>
      </x:c>
      <x:c r="P393" s="36" t="str">
        <x:v>FREIGEGEBEN</x:v>
      </x:c>
      <x:c r="Q393" s="36" t="str">
        <x:v>JA</x:v>
      </x:c>
    </x:row>
    <x:row r="394">
      <x:c r="A394" s="36" t="str">
        <x:v>FP-0653</x:v>
      </x:c>
      <x:c r="B394" s="36" t="str">
        <x:v>JHN</x:v>
      </x:c>
      <x:c r="C394" s="36" t="str">
        <x:v>Johannes</x:v>
      </x:c>
      <x:c r="D394" s="36" t="n">
        <x:v>11</x:v>
      </x:c>
      <x:c r="E394" s="36" t="n">
        <x:v>3</x:v>
      </x:c>
      <x:c r="F394" s="36" t="str">
        <x:v>Wie reagiert Jesus, als er Maria weinen sieht und die Trauer der Menschen wahrnimmt?</x:v>
      </x:c>
      <x:c r="G394" s="36" t="str">
        <x:v>Er weist alle Trauer zurück.</x:v>
      </x:c>
      <x:c r="H394" s="36" t="str">
        <x:v>Er verlässt Bethanien.</x:v>
      </x:c>
      <x:c r="I394" s="36" t="str">
        <x:v>Er ist innerlich bewegt und weint.</x:v>
      </x:c>
      <x:c r="J394" s="36" t="str">
        <x:v>Er beginnt sofort eine lange Rede.</x:v>
      </x:c>
      <x:c r="K394" s="36" t="n">
        <x:v>2</x:v>
      </x:c>
      <x:c r="L394" s="36" t="str">
        <x:v>Er ist innerlich bewegt und weint.</x:v>
      </x:c>
      <x:c r="M394" s="36" t="str">
        <x:v>Johannes 11,32–35</x:v>
      </x:c>
      <x:c r="N394" s="36" t="str">
        <x:v>Johannes beschreibt Jesu tiefe Bewegung angesichts der Trauer und hält ausdrücklich fest: Jesus weinte.</x:v>
      </x:c>
      <x:c r="O394" s="36" t="str">
        <x:v>FREIGEGEBEN</x:v>
      </x:c>
      <x:c r="P394" s="36" t="str">
        <x:v>FREIGEGEBEN</x:v>
      </x:c>
      <x:c r="Q394" s="36" t="str">
        <x:v>JA</x:v>
      </x:c>
    </x:row>
    <x:row r="395">
      <x:c r="A395" s="36" t="str">
        <x:v>FP-0654</x:v>
      </x:c>
      <x:c r="B395" s="36" t="str">
        <x:v>JHN</x:v>
      </x:c>
      <x:c r="C395" s="36" t="str">
        <x:v>Johannes</x:v>
      </x:c>
      <x:c r="D395" s="36" t="n">
        <x:v>11</x:v>
      </x:c>
      <x:c r="E395" s="36" t="n">
        <x:v>4</x:v>
      </x:c>
      <x:c r="F395" s="36" t="str">
        <x:v>Was ruft Jesus vor dem Grab des Lazarus?</x:v>
      </x:c>
      <x:c r="G395" s="36" t="str">
        <x:v>Martha, öffne das Grab!</x:v>
      </x:c>
      <x:c r="H395" s="36" t="str">
        <x:v>Petrus, geh hinein!</x:v>
      </x:c>
      <x:c r="I395" s="36" t="str">
        <x:v>Alle sollen das Grab verlassen!</x:v>
      </x:c>
      <x:c r="J395" s="36" t="str">
        <x:v>Lazarus, komm heraus!</x:v>
      </x:c>
      <x:c r="K395" s="36" t="n">
        <x:v>3</x:v>
      </x:c>
      <x:c r="L395" s="36" t="str">
        <x:v>Lazarus, komm heraus!</x:v>
      </x:c>
      <x:c r="M395" s="36" t="str">
        <x:v>Johannes 11,38–44</x:v>
      </x:c>
      <x:c r="N395" s="36" t="str">
        <x:v>Jesus lässt den Stein wegnehmen und ruft Lazarus aus dem Grab; Lazarus kommt heraus.</x:v>
      </x:c>
      <x:c r="O395" s="36" t="str">
        <x:v>FREIGEGEBEN</x:v>
      </x:c>
      <x:c r="P395" s="36" t="str">
        <x:v>FREIGEGEBEN</x:v>
      </x:c>
      <x:c r="Q395" s="36" t="str">
        <x:v>JA</x:v>
      </x:c>
    </x:row>
    <x:row r="396">
      <x:c r="A396" s="36" t="str">
        <x:v>FP-0655</x:v>
      </x:c>
      <x:c r="B396" s="36" t="str">
        <x:v>JHN</x:v>
      </x:c>
      <x:c r="C396" s="36" t="str">
        <x:v>Johannes</x:v>
      </x:c>
      <x:c r="D396" s="36" t="n">
        <x:v>11</x:v>
      </x:c>
      <x:c r="E396" s="36" t="n">
        <x:v>5</x:v>
      </x:c>
      <x:c r="F396" s="36" t="str">
        <x:v>Wie reagieren die führenden Gegner nach der Auferweckung des Lazarus?</x:v>
      </x:c>
      <x:c r="G396" s="36" t="str">
        <x:v>Sie beraten im Hohen Rat und fassen schließlich den Entschluss, Jesus zu töten.</x:v>
      </x:c>
      <x:c r="H396" s="36" t="str">
        <x:v>Sie glauben alle sofort an Jesus.</x:v>
      </x:c>
      <x:c r="I396" s="36" t="str">
        <x:v>Sie verlassen Jerusalem.</x:v>
      </x:c>
      <x:c r="J396" s="36" t="str">
        <x:v>Sie ernennen Lazarus zum Priester.</x:v>
      </x:c>
      <x:c r="K396" s="36" t="n">
        <x:v>0</x:v>
      </x:c>
      <x:c r="L396" s="36" t="str">
        <x:v>Sie beraten im Hohen Rat und fassen schließlich den Entschluss, Jesus zu töten.</x:v>
      </x:c>
      <x:c r="M396" s="36" t="str">
        <x:v>Johannes 11,45–53</x:v>
      </x:c>
      <x:c r="N396" s="36" t="str">
        <x:v>Die Zeichen Jesu führen nicht nur zu Glauben, sondern auch zu verschärftem Widerstand; der Rat beschließt, Jesus zu töten.</x:v>
      </x:c>
      <x:c r="O396" s="36" t="str">
        <x:v>FREIGEGEBEN</x:v>
      </x:c>
      <x:c r="P396" s="36" t="str">
        <x:v>FREIGEGEBEN</x:v>
      </x:c>
      <x:c r="Q396" s="36" t="str">
        <x:v>JA</x:v>
      </x:c>
    </x:row>
    <x:row r="397">
      <x:c r="A397" s="36" t="str">
        <x:v>FP-0656</x:v>
      </x:c>
      <x:c r="B397" s="36" t="str">
        <x:v>JHN</x:v>
      </x:c>
      <x:c r="C397" s="36" t="str">
        <x:v>Johannes</x:v>
      </x:c>
      <x:c r="D397" s="36" t="n">
        <x:v>12</x:v>
      </x:c>
      <x:c r="E397" s="36" t="n">
        <x:v>1</x:v>
      </x:c>
      <x:c r="F397" s="36" t="str">
        <x:v>Was tut Maria in Bethanien für Jesus?</x:v>
      </x:c>
      <x:c r="G397" s="36" t="str">
        <x:v>Sie schenkt ihm einen Mantel.</x:v>
      </x:c>
      <x:c r="H397" s="36" t="str">
        <x:v>Sie salbt seine Füße mit kostbarem Öl und trocknet sie mit ihrem Haar.</x:v>
      </x:c>
      <x:c r="I397" s="36" t="str">
        <x:v>Sie wäscht die Füße der Jünger.</x:v>
      </x:c>
      <x:c r="J397" s="36" t="str">
        <x:v>Sie bringt ihn zum Tempel.</x:v>
      </x:c>
      <x:c r="K397" s="36" t="n">
        <x:v>1</x:v>
      </x:c>
      <x:c r="L397" s="36" t="str">
        <x:v>Sie salbt seine Füße mit kostbarem Öl und trocknet sie mit ihrem Haar.</x:v>
      </x:c>
      <x:c r="M397" s="36" t="str">
        <x:v>Johannes 12,1–8</x:v>
      </x:c>
      <x:c r="N397" s="36" t="str">
        <x:v>Maria salbt Jesu Füße mit kostbarer Narde; Jesus deutet dies im Blick auf sein Begräbnis.</x:v>
      </x:c>
      <x:c r="O397" s="36" t="str">
        <x:v>FREIGEGEBEN</x:v>
      </x:c>
      <x:c r="P397" s="36" t="str">
        <x:v>FREIGEGEBEN</x:v>
      </x:c>
      <x:c r="Q397" s="36" t="str">
        <x:v>JA</x:v>
      </x:c>
    </x:row>
    <x:row r="398">
      <x:c r="A398" s="36" t="str">
        <x:v>FP-0657</x:v>
      </x:c>
      <x:c r="B398" s="36" t="str">
        <x:v>JHN</x:v>
      </x:c>
      <x:c r="C398" s="36" t="str">
        <x:v>Johannes</x:v>
      </x:c>
      <x:c r="D398" s="36" t="n">
        <x:v>12</x:v>
      </x:c>
      <x:c r="E398" s="36" t="n">
        <x:v>2</x:v>
      </x:c>
      <x:c r="F398" s="36" t="str">
        <x:v>Wie wird Jesus bei seinem Einzug in Jerusalem empfangen?</x:v>
      </x:c>
      <x:c r="G398" s="36" t="str">
        <x:v>Die Stadt bleibt völlig still.</x:v>
      </x:c>
      <x:c r="H398" s="36" t="str">
        <x:v>Nur die Priester empfangen ihn.</x:v>
      </x:c>
      <x:c r="I398" s="36" t="str">
        <x:v>Die Menge nimmt Palmzweige und ruft ihm als König Israels zu.</x:v>
      </x:c>
      <x:c r="J398" s="36" t="str">
        <x:v>Römische Soldaten krönen ihn.</x:v>
      </x:c>
      <x:c r="K398" s="36" t="n">
        <x:v>2</x:v>
      </x:c>
      <x:c r="L398" s="36" t="str">
        <x:v>Die Menge nimmt Palmzweige und ruft ihm als König Israels zu.</x:v>
      </x:c>
      <x:c r="M398" s="36" t="str">
        <x:v>Johannes 12,12–15</x:v>
      </x:c>
      <x:c r="N398" s="36" t="str">
        <x:v>Die Menge begrüßt Jesus mit Palmzweigen und dem Ruf nach dem kommenden König Israels.</x:v>
      </x:c>
      <x:c r="O398" s="36" t="str">
        <x:v>FREIGEGEBEN</x:v>
      </x:c>
      <x:c r="P398" s="36" t="str">
        <x:v>FREIGEGEBEN</x:v>
      </x:c>
      <x:c r="Q398" s="36" t="str">
        <x:v>JA</x:v>
      </x:c>
    </x:row>
    <x:row r="399">
      <x:c r="A399" s="36" t="str">
        <x:v>FP-0658</x:v>
      </x:c>
      <x:c r="B399" s="36" t="str">
        <x:v>JHN</x:v>
      </x:c>
      <x:c r="C399" s="36" t="str">
        <x:v>Johannes</x:v>
      </x:c>
      <x:c r="D399" s="36" t="n">
        <x:v>12</x:v>
      </x:c>
      <x:c r="E399" s="36" t="n">
        <x:v>3</x:v>
      </x:c>
      <x:c r="F399" s="36" t="str">
        <x:v>Welches Bild verwendet Jesus für seinen bevorstehenden Tod und dessen Frucht?</x:v>
      </x:c>
      <x:c r="G399" s="36" t="str">
        <x:v>Ein Licht muss ausgelöscht werden.</x:v>
      </x:c>
      <x:c r="H399" s="36" t="str">
        <x:v>Ein Hirte muss seine Herde verkaufen.</x:v>
      </x:c>
      <x:c r="I399" s="36" t="str">
        <x:v>Ein Haus muss ohne Fundament gebaut werden.</x:v>
      </x:c>
      <x:c r="J399" s="36" t="str">
        <x:v>Das Weizenkorn muss in die Erde fallen und sterben, damit es viel Frucht bringt.</x:v>
      </x:c>
      <x:c r="K399" s="36" t="n">
        <x:v>3</x:v>
      </x:c>
      <x:c r="L399" s="36" t="str">
        <x:v>Das Weizenkorn muss in die Erde fallen und sterben, damit es viel Frucht bringt.</x:v>
      </x:c>
      <x:c r="M399" s="36" t="str">
        <x:v>Johannes 12,23–24</x:v>
      </x:c>
      <x:c r="N399" s="36" t="str">
        <x:v>Das sterbende Weizenkorn dient Jesus als Bild für den Weg durch den Tod zur Frucht.</x:v>
      </x:c>
      <x:c r="O399" s="36" t="str">
        <x:v>FREIGEGEBEN</x:v>
      </x:c>
      <x:c r="P399" s="36" t="str">
        <x:v>FREIGEGEBEN</x:v>
      </x:c>
      <x:c r="Q399" s="36" t="str">
        <x:v>JA</x:v>
      </x:c>
    </x:row>
    <x:row r="400">
      <x:c r="A400" s="36" t="str">
        <x:v>FP-0659</x:v>
      </x:c>
      <x:c r="B400" s="36" t="str">
        <x:v>JHN</x:v>
      </x:c>
      <x:c r="C400" s="36" t="str">
        <x:v>Johannes</x:v>
      </x:c>
      <x:c r="D400" s="36" t="n">
        <x:v>12</x:v>
      </x:c>
      <x:c r="E400" s="36" t="n">
        <x:v>4</x:v>
      </x:c>
      <x:c r="F400" s="36" t="str">
        <x:v>Was sagt Jesus über das Licht und die Menschen, die ihm glauben?</x:v>
      </x:c>
      <x:c r="G400" s="36" t="str">
        <x:v>Er ist als Licht in die Welt gekommen, damit Glaubende nicht in der Finsternis bleiben.</x:v>
      </x:c>
      <x:c r="H400" s="36" t="str">
        <x:v>Licht ist nur im Tempel zu finden.</x:v>
      </x:c>
      <x:c r="I400" s="36" t="str">
        <x:v>Nur die Jünger dürfen das Licht sehen.</x:v>
      </x:c>
      <x:c r="J400" s="36" t="str">
        <x:v>Finsternis sei für Glaubende bedeutungslos.</x:v>
      </x:c>
      <x:c r="K400" s="36" t="n">
        <x:v>0</x:v>
      </x:c>
      <x:c r="L400" s="36" t="str">
        <x:v>Er ist als Licht in die Welt gekommen, damit Glaubende nicht in der Finsternis bleiben.</x:v>
      </x:c>
      <x:c r="M400" s="36" t="str">
        <x:v>Johannes 12,35–36; 46</x:v>
      </x:c>
      <x:c r="N400" s="36" t="str">
        <x:v>Jesus ruft zum Glauben an das Licht auf und erklärt, dass er gekommen ist, Menschen aus der Finsternis zu führen.</x:v>
      </x:c>
      <x:c r="O400" s="36" t="str">
        <x:v>FREIGEGEBEN</x:v>
      </x:c>
      <x:c r="P400" s="36" t="str">
        <x:v>FREIGEGEBEN</x:v>
      </x:c>
      <x:c r="Q400" s="36" t="str">
        <x:v>JA</x:v>
      </x:c>
    </x:row>
    <x:row r="401">
      <x:c r="A401" s="36" t="str">
        <x:v>FP-0660</x:v>
      </x:c>
      <x:c r="B401" s="36" t="str">
        <x:v>JHN</x:v>
      </x:c>
      <x:c r="C401" s="36" t="str">
        <x:v>Johannes</x:v>
      </x:c>
      <x:c r="D401" s="36" t="n">
        <x:v>12</x:v>
      </x:c>
      <x:c r="E401" s="36" t="n">
        <x:v>5</x:v>
      </x:c>
      <x:c r="F401" s="36" t="str">
        <x:v>Warum bekennen manche führende Menschen ihren Glauben an Jesus nicht öffentlich?</x:v>
      </x:c>
      <x:c r="G401" s="36" t="str">
        <x:v>Sie kennen Jesus nicht.</x:v>
      </x:c>
      <x:c r="H401" s="36" t="str">
        <x:v>Sie fürchten, aus der Synagoge ausgeschlossen zu werden, und lieben menschliche Ehre.</x:v>
      </x:c>
      <x:c r="I401" s="36" t="str">
        <x:v>Sie wohnen nicht in Jerusalem.</x:v>
      </x:c>
      <x:c r="J401" s="36" t="str">
        <x:v>Sie warten auf Johannes den Täufer.</x:v>
      </x:c>
      <x:c r="K401" s="36" t="n">
        <x:v>1</x:v>
      </x:c>
      <x:c r="L401" s="36" t="str">
        <x:v>Sie fürchten, aus der Synagoge ausgeschlossen zu werden, und lieben menschliche Ehre.</x:v>
      </x:c>
      <x:c r="M401" s="36" t="str">
        <x:v>Johannes 12,42–43</x:v>
      </x:c>
      <x:c r="N401" s="36" t="str">
        <x:v>Johannes beschreibt heimlichen Glauben, der durch Menschenfurcht und die Liebe zu menschlicher Anerkennung zurückgehalten wird.</x:v>
      </x:c>
      <x:c r="O401" s="36" t="str">
        <x:v>FREIGEGEBEN</x:v>
      </x:c>
      <x:c r="P401" s="36" t="str">
        <x:v>FREIGEGEBEN</x:v>
      </x:c>
      <x:c r="Q401" s="36" t="str">
        <x:v>JA</x:v>
      </x:c>
    </x:row>
    <x:row r="402">
      <x:c r="A402" s="36" t="str">
        <x:v>FP-0661</x:v>
      </x:c>
      <x:c r="B402" s="36" t="str">
        <x:v>JHN</x:v>
      </x:c>
      <x:c r="C402" s="36" t="str">
        <x:v>Johannes</x:v>
      </x:c>
      <x:c r="D402" s="36" t="n">
        <x:v>13</x:v>
      </x:c>
      <x:c r="E402" s="36" t="n">
        <x:v>1</x:v>
      </x:c>
      <x:c r="F402" s="36" t="str">
        <x:v>Was tut Jesus beim letzten Mahl als Zeichen dienender Liebe?</x:v>
      </x:c>
      <x:c r="G402" s="36" t="str">
        <x:v>Er lässt die Jünger seine Füße waschen.</x:v>
      </x:c>
      <x:c r="H402" s="36" t="str">
        <x:v>Er verteilt Geld an die Menge.</x:v>
      </x:c>
      <x:c r="I402" s="36" t="str">
        <x:v>Er wäscht seinen Jüngern die Füße.</x:v>
      </x:c>
      <x:c r="J402" s="36" t="str">
        <x:v>Er verlässt das Mahl vor allen anderen.</x:v>
      </x:c>
      <x:c r="K402" s="36" t="n">
        <x:v>2</x:v>
      </x:c>
      <x:c r="L402" s="36" t="str">
        <x:v>Er wäscht seinen Jüngern die Füße.</x:v>
      </x:c>
      <x:c r="M402" s="36" t="str">
        <x:v>Johannes 13,3–5</x:v>
      </x:c>
      <x:c r="N402" s="36" t="str">
        <x:v>Jesus übernimmt die Aufgabe eines Dieners und wäscht den Jüngern die Füße.</x:v>
      </x:c>
      <x:c r="O402" s="36" t="str">
        <x:v>FREIGEGEBEN</x:v>
      </x:c>
      <x:c r="P402" s="36" t="str">
        <x:v>FREIGEGEBEN</x:v>
      </x:c>
      <x:c r="Q402" s="36" t="str">
        <x:v>JA</x:v>
      </x:c>
    </x:row>
    <x:row r="403">
      <x:c r="A403" s="36" t="str">
        <x:v>FP-0662</x:v>
      </x:c>
      <x:c r="B403" s="36" t="str">
        <x:v>JHN</x:v>
      </x:c>
      <x:c r="C403" s="36" t="str">
        <x:v>Johannes</x:v>
      </x:c>
      <x:c r="D403" s="36" t="n">
        <x:v>13</x:v>
      </x:c>
      <x:c r="E403" s="36" t="n">
        <x:v>2</x:v>
      </x:c>
      <x:c r="F403" s="36" t="str">
        <x:v>Welche Lehre zieht Jesus aus der Fußwaschung?</x:v>
      </x:c>
      <x:c r="G403" s="36" t="str">
        <x:v>Nur Petrus soll anderen dienen.</x:v>
      </x:c>
      <x:c r="H403" s="36" t="str">
        <x:v>Die Fußwaschung ersetzt jedes andere Gebot.</x:v>
      </x:c>
      <x:c r="I403" s="36" t="str">
        <x:v>Dienst ist nur für Knechte.</x:v>
      </x:c>
      <x:c r="J403" s="36" t="str">
        <x:v>Die Jünger sollen einander dienen, wie er ihnen ein Beispiel gegeben hat.</x:v>
      </x:c>
      <x:c r="K403" s="36" t="n">
        <x:v>3</x:v>
      </x:c>
      <x:c r="L403" s="36" t="str">
        <x:v>Die Jünger sollen einander dienen, wie er ihnen ein Beispiel gegeben hat.</x:v>
      </x:c>
      <x:c r="M403" s="36" t="str">
        <x:v>Johannes 13,12–17</x:v>
      </x:c>
      <x:c r="N403" s="36" t="str">
        <x:v>Jesus erklärt sein Handeln ausdrücklich als Beispiel für den gegenseitigen Dienst der Jünger.</x:v>
      </x:c>
      <x:c r="O403" s="36" t="str">
        <x:v>FREIGEGEBEN</x:v>
      </x:c>
      <x:c r="P403" s="36" t="str">
        <x:v>FREIGEGEBEN</x:v>
      </x:c>
      <x:c r="Q403" s="36" t="str">
        <x:v>JA</x:v>
      </x:c>
    </x:row>
    <x:row r="404">
      <x:c r="A404" s="36" t="str">
        <x:v>FP-0663</x:v>
      </x:c>
      <x:c r="B404" s="36" t="str">
        <x:v>JHN</x:v>
      </x:c>
      <x:c r="C404" s="36" t="str">
        <x:v>Johannes</x:v>
      </x:c>
      <x:c r="D404" s="36" t="n">
        <x:v>13</x:v>
      </x:c>
      <x:c r="E404" s="36" t="n">
        <x:v>3</x:v>
      </x:c>
      <x:c r="F404" s="36" t="str">
        <x:v>Wie kennzeichnet Jesus den, der ihn verraten wird?</x:v>
      </x:c>
      <x:c r="G404" s="36" t="str">
        <x:v>Er gibt Judas den eingetauchten Bissen.</x:v>
      </x:c>
      <x:c r="H404" s="36" t="str">
        <x:v>Er nennt ihn vor allen sofort beim Namen, ohne Zeichen.</x:v>
      </x:c>
      <x:c r="I404" s="36" t="str">
        <x:v>Er schickt Petrus hinaus.</x:v>
      </x:c>
      <x:c r="J404" s="36" t="str">
        <x:v>Er lässt einen Priester entscheiden.</x:v>
      </x:c>
      <x:c r="K404" s="36" t="n">
        <x:v>0</x:v>
      </x:c>
      <x:c r="L404" s="36" t="str">
        <x:v>Er gibt Judas den eingetauchten Bissen.</x:v>
      </x:c>
      <x:c r="M404" s="36" t="str">
        <x:v>Johannes 13,21–30</x:v>
      </x:c>
      <x:c r="N404" s="36" t="str">
        <x:v>Jesus gibt Judas den Bissen; Judas geht danach hinaus.</x:v>
      </x:c>
      <x:c r="O404" s="36" t="str">
        <x:v>FREIGEGEBEN</x:v>
      </x:c>
      <x:c r="P404" s="36" t="str">
        <x:v>FREIGEGEBEN</x:v>
      </x:c>
      <x:c r="Q404" s="36" t="str">
        <x:v>JA</x:v>
      </x:c>
    </x:row>
    <x:row r="405">
      <x:c r="A405" s="36" t="str">
        <x:v>FP-0664</x:v>
      </x:c>
      <x:c r="B405" s="36" t="str">
        <x:v>JHN</x:v>
      </x:c>
      <x:c r="C405" s="36" t="str">
        <x:v>Johannes</x:v>
      </x:c>
      <x:c r="D405" s="36" t="n">
        <x:v>13</x:v>
      </x:c>
      <x:c r="E405" s="36" t="n">
        <x:v>4</x:v>
      </x:c>
      <x:c r="F405" s="36" t="str">
        <x:v>Welches neue Gebot gibt Jesus seinen Jüngern?</x:v>
      </x:c>
      <x:c r="G405" s="36" t="str">
        <x:v>Sie sollen sich voneinander absondern.</x:v>
      </x:c>
      <x:c r="H405" s="36" t="str">
        <x:v>Sie sollen einander lieben, wie er sie geliebt hat.</x:v>
      </x:c>
      <x:c r="I405" s="36" t="str">
        <x:v>Sie sollen nur ihre Familien lieben.</x:v>
      </x:c>
      <x:c r="J405" s="36" t="str">
        <x:v>Sie sollen um Rang und Einfluss kämpfen.</x:v>
      </x:c>
      <x:c r="K405" s="36" t="n">
        <x:v>1</x:v>
      </x:c>
      <x:c r="L405" s="36" t="str">
        <x:v>Sie sollen einander lieben, wie er sie geliebt hat.</x:v>
      </x:c>
      <x:c r="M405" s="36" t="str">
        <x:v>Johannes 13,34–35</x:v>
      </x:c>
      <x:c r="N405" s="36" t="str">
        <x:v>Die gegenseitige Liebe nach Jesu Vorbild soll zum Erkennungszeichen seiner Jünger werden.</x:v>
      </x:c>
      <x:c r="O405" s="36" t="str">
        <x:v>FREIGEGEBEN</x:v>
      </x:c>
      <x:c r="P405" s="36" t="str">
        <x:v>FREIGEGEBEN</x:v>
      </x:c>
      <x:c r="Q405" s="36" t="str">
        <x:v>JA</x:v>
      </x:c>
    </x:row>
    <x:row r="406">
      <x:c r="A406" s="36" t="str">
        <x:v>FP-0665</x:v>
      </x:c>
      <x:c r="B406" s="36" t="str">
        <x:v>JHN</x:v>
      </x:c>
      <x:c r="C406" s="36" t="str">
        <x:v>Johannes</x:v>
      </x:c>
      <x:c r="D406" s="36" t="n">
        <x:v>13</x:v>
      </x:c>
      <x:c r="E406" s="36" t="n">
        <x:v>5</x:v>
      </x:c>
      <x:c r="F406" s="36" t="str">
        <x:v>Was kündigt Jesus Petrus an, nachdem dieser seine Treue beteuert?</x:v>
      </x:c>
      <x:c r="G406" s="36" t="str">
        <x:v>Petrus wird ihn nie verlassen.</x:v>
      </x:c>
      <x:c r="H406" s="36" t="str">
        <x:v>Petrus wird noch in derselben Nacht König.</x:v>
      </x:c>
      <x:c r="I406" s="36" t="str">
        <x:v>Bevor der Hahn kräht, wird Petrus ihn dreimal verleugnen.</x:v>
      </x:c>
      <x:c r="J406" s="36" t="str">
        <x:v>Petrus wird zuerst nach Galiläa geschickt.</x:v>
      </x:c>
      <x:c r="K406" s="36" t="n">
        <x:v>2</x:v>
      </x:c>
      <x:c r="L406" s="36" t="str">
        <x:v>Bevor der Hahn kräht, wird Petrus ihn dreimal verleugnen.</x:v>
      </x:c>
      <x:c r="M406" s="36" t="str">
        <x:v>Johannes 13,36–38</x:v>
      </x:c>
      <x:c r="N406" s="36" t="str">
        <x:v>Jesu Ankündigung steht im starken Gegensatz zu Petrus' Selbstsicherheit.</x:v>
      </x:c>
      <x:c r="O406" s="36" t="str">
        <x:v>FREIGEGEBEN</x:v>
      </x:c>
      <x:c r="P406" s="36" t="str">
        <x:v>FREIGEGEBEN</x:v>
      </x:c>
      <x:c r="Q406" s="36" t="str">
        <x:v>JA</x:v>
      </x:c>
    </x:row>
    <x:row r="407">
      <x:c r="A407" s="36" t="str">
        <x:v>FP-0666</x:v>
      </x:c>
      <x:c r="B407" s="36" t="str">
        <x:v>JHN</x:v>
      </x:c>
      <x:c r="C407" s="36" t="str">
        <x:v>Johannes</x:v>
      </x:c>
      <x:c r="D407" s="36" t="n">
        <x:v>14</x:v>
      </x:c>
      <x:c r="E407" s="36" t="n">
        <x:v>1</x:v>
      </x:c>
      <x:c r="F407" s="36" t="str">
        <x:v>Wie tröstet Jesus seine Jünger zu Beginn von Johannes 14?</x:v>
      </x:c>
      <x:c r="G407" s="36" t="str">
        <x:v>Sie sollen Jerusalem sofort verlassen.</x:v>
      </x:c>
      <x:c r="H407" s="36" t="str">
        <x:v>Sie sollen auf politische Hilfe warten.</x:v>
      </x:c>
      <x:c r="I407" s="36" t="str">
        <x:v>Sie sollen nie wieder Fragen stellen.</x:v>
      </x:c>
      <x:c r="J407" s="36" t="str">
        <x:v>Sie sollen an Gott und an ihn glauben; im Haus des Vaters sind viele Wohnungen.</x:v>
      </x:c>
      <x:c r="K407" s="36" t="n">
        <x:v>3</x:v>
      </x:c>
      <x:c r="L407" s="36" t="str">
        <x:v>Sie sollen an Gott und an ihn glauben; im Haus des Vaters sind viele Wohnungen.</x:v>
      </x:c>
      <x:c r="M407" s="36" t="str">
        <x:v>Johannes 14,1–3</x:v>
      </x:c>
      <x:c r="N407" s="36" t="str">
        <x:v>Jesus begegnet ihrer Unruhe mit Vertrauen und der Hoffnung auf einen Platz bei seinem Vater.</x:v>
      </x:c>
      <x:c r="O407" s="36" t="str">
        <x:v>FREIGEGEBEN</x:v>
      </x:c>
      <x:c r="P407" s="36" t="str">
        <x:v>FREIGEGEBEN</x:v>
      </x:c>
      <x:c r="Q407" s="36" t="str">
        <x:v>JA</x:v>
      </x:c>
    </x:row>
    <x:row r="408">
      <x:c r="A408" s="36" t="str">
        <x:v>FP-0667</x:v>
      </x:c>
      <x:c r="B408" s="36" t="str">
        <x:v>JHN</x:v>
      </x:c>
      <x:c r="C408" s="36" t="str">
        <x:v>Johannes</x:v>
      </x:c>
      <x:c r="D408" s="36" t="n">
        <x:v>14</x:v>
      </x:c>
      <x:c r="E408" s="36" t="n">
        <x:v>2</x:v>
      </x:c>
      <x:c r="F408" s="36" t="str">
        <x:v>Wie beantwortet Jesus Thomas' Frage nach dem Weg?</x:v>
      </x:c>
      <x:c r="G408" s="36" t="str">
        <x:v>Ich bin der Weg und die Wahrheit und das Leben.</x:v>
      </x:c>
      <x:c r="H408" s="36" t="str">
        <x:v>Der Tempel ist der einzige Weg.</x:v>
      </x:c>
      <x:c r="I408" s="36" t="str">
        <x:v>Mose ist der Weg.</x:v>
      </x:c>
      <x:c r="J408" s="36" t="str">
        <x:v>Jeder Weg führt in gleicher Weise zum Vater.</x:v>
      </x:c>
      <x:c r="K408" s="36" t="n">
        <x:v>0</x:v>
      </x:c>
      <x:c r="L408" s="36" t="str">
        <x:v>Ich bin der Weg und die Wahrheit und das Leben.</x:v>
      </x:c>
      <x:c r="M408" s="36" t="str">
        <x:v>Johannes 14,5–6</x:v>
      </x:c>
      <x:c r="N408" s="36" t="str">
        <x:v>Jesus beantwortet die Frage nicht mit einer Route, sondern mit seiner eigenen Person.</x:v>
      </x:c>
      <x:c r="O408" s="36" t="str">
        <x:v>FREIGEGEBEN</x:v>
      </x:c>
      <x:c r="P408" s="36" t="str">
        <x:v>FREIGEGEBEN</x:v>
      </x:c>
      <x:c r="Q408" s="36" t="str">
        <x:v>JA</x:v>
      </x:c>
    </x:row>
    <x:row r="409">
      <x:c r="A409" s="36" t="str">
        <x:v>FP-0668</x:v>
      </x:c>
      <x:c r="B409" s="36" t="str">
        <x:v>JHN</x:v>
      </x:c>
      <x:c r="C409" s="36" t="str">
        <x:v>Johannes</x:v>
      </x:c>
      <x:c r="D409" s="36" t="n">
        <x:v>14</x:v>
      </x:c>
      <x:c r="E409" s="36" t="n">
        <x:v>3</x:v>
      </x:c>
      <x:c r="F409" s="36" t="str">
        <x:v>Wen verspricht Jesus seinen Jüngern als weiteren Beistand?</x:v>
      </x:c>
      <x:c r="G409" s="36" t="str">
        <x:v>Johannes den Täufer.</x:v>
      </x:c>
      <x:c r="H409" s="36" t="str">
        <x:v>Den Heiligen Geist, den Geist der Wahrheit.</x:v>
      </x:c>
      <x:c r="I409" s="36" t="str">
        <x:v>Einen römischen Beschützer.</x:v>
      </x:c>
      <x:c r="J409" s="36" t="str">
        <x:v>Einen neuen Hohepriester.</x:v>
      </x:c>
      <x:c r="K409" s="36" t="n">
        <x:v>1</x:v>
      </x:c>
      <x:c r="L409" s="36" t="str">
        <x:v>Den Heiligen Geist, den Geist der Wahrheit.</x:v>
      </x:c>
      <x:c r="M409" s="36" t="str">
        <x:v>Johannes 14,15–17</x:v>
      </x:c>
      <x:c r="N409" s="36" t="str">
        <x:v>Jesus verspricht einen anderen Beistand, den Geist der Wahrheit, der bei den Jüngern bleiben wird.</x:v>
      </x:c>
      <x:c r="O409" s="36" t="str">
        <x:v>FREIGEGEBEN</x:v>
      </x:c>
      <x:c r="P409" s="36" t="str">
        <x:v>FREIGEGEBEN</x:v>
      </x:c>
      <x:c r="Q409" s="36" t="str">
        <x:v>JA</x:v>
      </x:c>
    </x:row>
    <x:row r="410">
      <x:c r="A410" s="36" t="str">
        <x:v>FP-0669</x:v>
      </x:c>
      <x:c r="B410" s="36" t="str">
        <x:v>JHN</x:v>
      </x:c>
      <x:c r="C410" s="36" t="str">
        <x:v>Johannes</x:v>
      </x:c>
      <x:c r="D410" s="36" t="n">
        <x:v>14</x:v>
      </x:c>
      <x:c r="E410" s="36" t="n">
        <x:v>4</x:v>
      </x:c>
      <x:c r="F410" s="36" t="str">
        <x:v>Welche Aufgabe nennt Jesus für den Heiligen Geist?</x:v>
      </x:c>
      <x:c r="G410" s="36" t="str">
        <x:v>Er wird alle politischen Gegner beseitigen.</x:v>
      </x:c>
      <x:c r="H410" s="36" t="str">
        <x:v>Er wird nur neue Sprachen lehren.</x:v>
      </x:c>
      <x:c r="I410" s="36" t="str">
        <x:v>Er wird die Jünger lehren und sie an Jesu Worte erinnern.</x:v>
      </x:c>
      <x:c r="J410" s="36" t="str">
        <x:v>Er wird den Tempel wiederaufbauen.</x:v>
      </x:c>
      <x:c r="K410" s="36" t="n">
        <x:v>2</x:v>
      </x:c>
      <x:c r="L410" s="36" t="str">
        <x:v>Er wird die Jünger lehren und sie an Jesu Worte erinnern.</x:v>
      </x:c>
      <x:c r="M410" s="36" t="str">
        <x:v>Johannes 14,25–26</x:v>
      </x:c>
      <x:c r="N410" s="36" t="str">
        <x:v>Der Beistand soll lehren und an das erinnern, was Jesus gesagt hat.</x:v>
      </x:c>
      <x:c r="O410" s="36" t="str">
        <x:v>FREIGEGEBEN</x:v>
      </x:c>
      <x:c r="P410" s="36" t="str">
        <x:v>FREIGEGEBEN</x:v>
      </x:c>
      <x:c r="Q410" s="36" t="str">
        <x:v>JA</x:v>
      </x:c>
    </x:row>
    <x:row r="411">
      <x:c r="A411" s="36" t="str">
        <x:v>FP-0670</x:v>
      </x:c>
      <x:c r="B411" s="36" t="str">
        <x:v>JHN</x:v>
      </x:c>
      <x:c r="C411" s="36" t="str">
        <x:v>Johannes</x:v>
      </x:c>
      <x:c r="D411" s="36" t="n">
        <x:v>14</x:v>
      </x:c>
      <x:c r="E411" s="36" t="n">
        <x:v>5</x:v>
      </x:c>
      <x:c r="F411" s="36" t="str">
        <x:v>Welche Art von Frieden gibt Jesus seinen Jüngern?</x:v>
      </x:c>
      <x:c r="G411" s="36" t="str">
        <x:v>Einen politischen Friedensvertrag.</x:v>
      </x:c>
      <x:c r="H411" s="36" t="str">
        <x:v>Frieden nur für Jerusalem.</x:v>
      </x:c>
      <x:c r="I411" s="36" t="str">
        <x:v>Frieden ohne jede kommende Bedrängnis.</x:v>
      </x:c>
      <x:c r="J411" s="36" t="str">
        <x:v>Seinen Frieden, anders als die Welt ihn gibt.</x:v>
      </x:c>
      <x:c r="K411" s="36" t="n">
        <x:v>3</x:v>
      </x:c>
      <x:c r="L411" s="36" t="str">
        <x:v>Seinen Frieden, anders als die Welt ihn gibt.</x:v>
      </x:c>
      <x:c r="M411" s="36" t="str">
        <x:v>Johannes 14,27</x:v>
      </x:c>
      <x:c r="N411" s="36" t="str">
        <x:v>Jesus unterscheidet seinen Frieden ausdrücklich von der Art, wie die Welt Frieden gibt.</x:v>
      </x:c>
      <x:c r="O411" s="36" t="str">
        <x:v>FREIGEGEBEN</x:v>
      </x:c>
      <x:c r="P411" s="36" t="str">
        <x:v>FREIGEGEBEN</x:v>
      </x:c>
      <x:c r="Q411" s="36" t="str">
        <x:v>JA</x:v>
      </x:c>
    </x:row>
    <x:row r="412">
      <x:c r="A412" s="36" t="str">
        <x:v>FP-0671</x:v>
      </x:c>
      <x:c r="B412" s="36" t="str">
        <x:v>JHN</x:v>
      </x:c>
      <x:c r="C412" s="36" t="str">
        <x:v>Johannes</x:v>
      </x:c>
      <x:c r="D412" s="36" t="n">
        <x:v>15</x:v>
      </x:c>
      <x:c r="E412" s="36" t="n">
        <x:v>1</x:v>
      </x:c>
      <x:c r="F412" s="36" t="str">
        <x:v>Mit welchem Bild beschreibt Jesus die Verbindung zwischen sich und seinen Jüngern?</x:v>
      </x:c>
      <x:c r="G412" s="36" t="str">
        <x:v>Er ist der Weinstock, sie sind die Reben.</x:v>
      </x:c>
      <x:c r="H412" s="36" t="str">
        <x:v>Er ist der Tempel, sie sind die Steine.</x:v>
      </x:c>
      <x:c r="I412" s="36" t="str">
        <x:v>Er ist der König, sie sind Soldaten.</x:v>
      </x:c>
      <x:c r="J412" s="36" t="str">
        <x:v>Er ist der Sämann, sie sind der Weg.</x:v>
      </x:c>
      <x:c r="K412" s="36" t="n">
        <x:v>0</x:v>
      </x:c>
      <x:c r="L412" s="36" t="str">
        <x:v>Er ist der Weinstock, sie sind die Reben.</x:v>
      </x:c>
      <x:c r="M412" s="36" t="str">
        <x:v>Johannes 15,1–5</x:v>
      </x:c>
      <x:c r="N412" s="36" t="str">
        <x:v>Das Bild vom Weinstock macht deutlich, dass Frucht aus dem Bleiben in Jesus hervorgeht.</x:v>
      </x:c>
      <x:c r="O412" s="36" t="str">
        <x:v>FREIGEGEBEN</x:v>
      </x:c>
      <x:c r="P412" s="36" t="str">
        <x:v>FREIGEGEBEN</x:v>
      </x:c>
      <x:c r="Q412" s="36" t="str">
        <x:v>JA</x:v>
      </x:c>
    </x:row>
    <x:row r="413">
      <x:c r="A413" s="36" t="str">
        <x:v>FP-0672</x:v>
      </x:c>
      <x:c r="B413" s="36" t="str">
        <x:v>JHN</x:v>
      </x:c>
      <x:c r="C413" s="36" t="str">
        <x:v>Johannes</x:v>
      </x:c>
      <x:c r="D413" s="36" t="n">
        <x:v>15</x:v>
      </x:c>
      <x:c r="E413" s="36" t="n">
        <x:v>2</x:v>
      </x:c>
      <x:c r="F413" s="36" t="str">
        <x:v>Was ist nach Jesus notwendig, um viel Frucht zu bringen?</x:v>
      </x:c>
      <x:c r="G413" s="36" t="str">
        <x:v>Möglichst viele Regeln zu sammeln.</x:v>
      </x:c>
      <x:c r="H413" s="36" t="str">
        <x:v>In ihm zu bleiben, weil die Rebe ohne den Weinstock nichts hervorbringen kann.</x:v>
      </x:c>
      <x:c r="I413" s="36" t="str">
        <x:v>Nur öffentlich zu wirken.</x:v>
      </x:c>
      <x:c r="J413" s="36" t="str">
        <x:v>Jerusalem niemals zu verlassen.</x:v>
      </x:c>
      <x:c r="K413" s="36" t="n">
        <x:v>1</x:v>
      </x:c>
      <x:c r="L413" s="36" t="str">
        <x:v>In ihm zu bleiben, weil die Rebe ohne den Weinstock nichts hervorbringen kann.</x:v>
      </x:c>
      <x:c r="M413" s="36" t="str">
        <x:v>Johannes 15,4–5</x:v>
      </x:c>
      <x:c r="N413" s="36" t="str">
        <x:v>Jesus macht das Bleiben in ihm zur Voraussetzung für bleibende Frucht.</x:v>
      </x:c>
      <x:c r="O413" s="36" t="str">
        <x:v>FREIGEGEBEN</x:v>
      </x:c>
      <x:c r="P413" s="36" t="str">
        <x:v>FREIGEGEBEN</x:v>
      </x:c>
      <x:c r="Q413" s="36" t="str">
        <x:v>JA</x:v>
      </x:c>
    </x:row>
    <x:row r="414">
      <x:c r="A414" s="36" t="str">
        <x:v>FP-0673</x:v>
      </x:c>
      <x:c r="B414" s="36" t="str">
        <x:v>JHN</x:v>
      </x:c>
      <x:c r="C414" s="36" t="str">
        <x:v>Johannes</x:v>
      </x:c>
      <x:c r="D414" s="36" t="n">
        <x:v>15</x:v>
      </x:c>
      <x:c r="E414" s="36" t="n">
        <x:v>3</x:v>
      </x:c>
      <x:c r="F414" s="36" t="str">
        <x:v>Was nennt Jesus als sein Gebot?</x:v>
      </x:c>
      <x:c r="G414" s="36" t="str">
        <x:v>Einander zu übertreffen.</x:v>
      </x:c>
      <x:c r="H414" s="36" t="str">
        <x:v>Nur Freunde zu lieben, die zustimmen.</x:v>
      </x:c>
      <x:c r="I414" s="36" t="str">
        <x:v>Einander zu lieben, wie er die Jünger geliebt hat.</x:v>
      </x:c>
      <x:c r="J414" s="36" t="str">
        <x:v>Nie wieder Fragen zu stellen.</x:v>
      </x:c>
      <x:c r="K414" s="36" t="n">
        <x:v>2</x:v>
      </x:c>
      <x:c r="L414" s="36" t="str">
        <x:v>Einander zu lieben, wie er die Jünger geliebt hat.</x:v>
      </x:c>
      <x:c r="M414" s="36" t="str">
        <x:v>Johannes 15,12–13</x:v>
      </x:c>
      <x:c r="N414" s="36" t="str">
        <x:v>Jesus verbindet sein Gebot der Liebe mit seiner eigenen hingebenden Liebe.</x:v>
      </x:c>
      <x:c r="O414" s="36" t="str">
        <x:v>FREIGEGEBEN</x:v>
      </x:c>
      <x:c r="P414" s="36" t="str">
        <x:v>FREIGEGEBEN</x:v>
      </x:c>
      <x:c r="Q414" s="36" t="str">
        <x:v>JA</x:v>
      </x:c>
    </x:row>
    <x:row r="415">
      <x:c r="A415" s="36" t="str">
        <x:v>FP-0674</x:v>
      </x:c>
      <x:c r="B415" s="36" t="str">
        <x:v>JHN</x:v>
      </x:c>
      <x:c r="C415" s="36" t="str">
        <x:v>Johannes</x:v>
      </x:c>
      <x:c r="D415" s="36" t="n">
        <x:v>15</x:v>
      </x:c>
      <x:c r="E415" s="36" t="n">
        <x:v>4</x:v>
      </x:c>
      <x:c r="F415" s="36" t="str">
        <x:v>Warum sollen die Jünger sich nicht wundern, wenn die Welt sie hasst?</x:v>
      </x:c>
      <x:c r="G415" s="36" t="str">
        <x:v>Weil jeder Mensch die Jünger hassen muss.</x:v>
      </x:c>
      <x:c r="H415" s="36" t="str">
        <x:v>Weil die Jünger keine Botschaft haben.</x:v>
      </x:c>
      <x:c r="I415" s="36" t="str">
        <x:v>Weil Jesus ihnen politische Macht gegeben hat.</x:v>
      </x:c>
      <x:c r="J415" s="36" t="str">
        <x:v>Weil die Welt Jesus zuerst gehasst hat und seine Jünger nicht zu ihr gehören.</x:v>
      </x:c>
      <x:c r="K415" s="36" t="n">
        <x:v>3</x:v>
      </x:c>
      <x:c r="L415" s="36" t="str">
        <x:v>Weil die Welt Jesus zuerst gehasst hat und seine Jünger nicht zu ihr gehören.</x:v>
      </x:c>
      <x:c r="M415" s="36" t="str">
        <x:v>Johannes 15,18–20</x:v>
      </x:c>
      <x:c r="N415" s="36" t="str">
        <x:v>Jesus ordnet den Widerstand gegen die Jünger in den vorherigen Widerstand gegen ihn selbst ein.</x:v>
      </x:c>
      <x:c r="O415" s="36" t="str">
        <x:v>FREIGEGEBEN</x:v>
      </x:c>
      <x:c r="P415" s="36" t="str">
        <x:v>FREIGEGEBEN</x:v>
      </x:c>
      <x:c r="Q415" s="36" t="str">
        <x:v>JA</x:v>
      </x:c>
    </x:row>
    <x:row r="416">
      <x:c r="A416" s="36" t="str">
        <x:v>FP-0675</x:v>
      </x:c>
      <x:c r="B416" s="36" t="str">
        <x:v>JHN</x:v>
      </x:c>
      <x:c r="C416" s="36" t="str">
        <x:v>Johannes</x:v>
      </x:c>
      <x:c r="D416" s="36" t="n">
        <x:v>15</x:v>
      </x:c>
      <x:c r="E416" s="36" t="n">
        <x:v>5</x:v>
      </x:c>
      <x:c r="F416" s="36" t="str">
        <x:v>Was wird der Geist der Wahrheit nach Jesu Worten tun?</x:v>
      </x:c>
      <x:c r="G416" s="36" t="str">
        <x:v>Er wird von Jesus Zeugnis geben, und auch die Jünger sollen Zeugnis geben.</x:v>
      </x:c>
      <x:c r="H416" s="36" t="str">
        <x:v>Er wird die Jünger von jeder Aufgabe entbinden.</x:v>
      </x:c>
      <x:c r="I416" s="36" t="str">
        <x:v>Er wird nur über Mose sprechen.</x:v>
      </x:c>
      <x:c r="J416" s="36" t="str">
        <x:v>Er wird die Welt sofort richten.</x:v>
      </x:c>
      <x:c r="K416" s="36" t="n">
        <x:v>0</x:v>
      </x:c>
      <x:c r="L416" s="36" t="str">
        <x:v>Er wird von Jesus Zeugnis geben, und auch die Jünger sollen Zeugnis geben.</x:v>
      </x:c>
      <x:c r="M416" s="36" t="str">
        <x:v>Johannes 15,26–27</x:v>
      </x:c>
      <x:c r="N416" s="36" t="str">
        <x:v>Der Geist bezeugt Jesus; zugleich werden die Jünger als langjährige Begleiter zu Zeugen gerufen.</x:v>
      </x:c>
      <x:c r="O416" s="36" t="str">
        <x:v>FREIGEGEBEN</x:v>
      </x:c>
      <x:c r="P416" s="36" t="str">
        <x:v>FREIGEGEBEN</x:v>
      </x:c>
      <x:c r="Q416" s="36" t="str">
        <x:v>JA</x:v>
      </x:c>
    </x:row>
    <x:row r="417">
      <x:c r="A417" s="36" t="str">
        <x:v>FP-0676</x:v>
      </x:c>
      <x:c r="B417" s="36" t="str">
        <x:v>JHN</x:v>
      </x:c>
      <x:c r="C417" s="36" t="str">
        <x:v>Johannes</x:v>
      </x:c>
      <x:c r="D417" s="36" t="n">
        <x:v>16</x:v>
      </x:c>
      <x:c r="E417" s="36" t="n">
        <x:v>1</x:v>
      </x:c>
      <x:c r="F417" s="36" t="str">
        <x:v>Warum kündigt Jesus seinen Jüngern kommende Verfolgung im Voraus an?</x:v>
      </x:c>
      <x:c r="G417" s="36" t="str">
        <x:v>Damit sie Jerusalem sofort verlassen.</x:v>
      </x:c>
      <x:c r="H417" s="36" t="str">
        <x:v>Damit sie nicht zu Fall kommen, wenn diese Dinge geschehen.</x:v>
      </x:c>
      <x:c r="I417" s="36" t="str">
        <x:v>Damit sie keine Gemeinden gründen.</x:v>
      </x:c>
      <x:c r="J417" s="36" t="str">
        <x:v>Damit sie nie mehr öffentlich sprechen.</x:v>
      </x:c>
      <x:c r="K417" s="36" t="n">
        <x:v>1</x:v>
      </x:c>
      <x:c r="L417" s="36" t="str">
        <x:v>Damit sie nicht zu Fall kommen, wenn diese Dinge geschehen.</x:v>
      </x:c>
      <x:c r="M417" s="36" t="str">
        <x:v>Johannes 16,1–4</x:v>
      </x:c>
      <x:c r="N417" s="36" t="str">
        <x:v>Jesus bereitet die Jünger auf Widerstand vor, damit sie sich später an seine Worte erinnern und nicht straucheln.</x:v>
      </x:c>
      <x:c r="O417" s="36" t="str">
        <x:v>FREIGEGEBEN</x:v>
      </x:c>
      <x:c r="P417" s="36" t="str">
        <x:v>FREIGEGEBEN</x:v>
      </x:c>
      <x:c r="Q417" s="36" t="str">
        <x:v>JA</x:v>
      </x:c>
    </x:row>
    <x:row r="418">
      <x:c r="A418" s="36" t="str">
        <x:v>FP-0677</x:v>
      </x:c>
      <x:c r="B418" s="36" t="str">
        <x:v>JHN</x:v>
      </x:c>
      <x:c r="C418" s="36" t="str">
        <x:v>Johannes</x:v>
      </x:c>
      <x:c r="D418" s="36" t="n">
        <x:v>16</x:v>
      </x:c>
      <x:c r="E418" s="36" t="n">
        <x:v>2</x:v>
      </x:c>
      <x:c r="F418" s="36" t="str">
        <x:v>Welche Wirkung schreibt Jesus dem kommenden Beistand gegenüber der Welt zu?</x:v>
      </x:c>
      <x:c r="G418" s="36" t="str">
        <x:v>Er wird nur Krankheiten heilen.</x:v>
      </x:c>
      <x:c r="H418" s="36" t="str">
        <x:v>Er wird politische Gesetze schreiben.</x:v>
      </x:c>
      <x:c r="I418" s="36" t="str">
        <x:v>Er wird die Welt von Sünde, Gerechtigkeit und Gericht überführen.</x:v>
      </x:c>
      <x:c r="J418" s="36" t="str">
        <x:v>Er wird den Tempeldienst übernehmen.</x:v>
      </x:c>
      <x:c r="K418" s="36" t="n">
        <x:v>2</x:v>
      </x:c>
      <x:c r="L418" s="36" t="str">
        <x:v>Er wird die Welt von Sünde, Gerechtigkeit und Gericht überführen.</x:v>
      </x:c>
      <x:c r="M418" s="36" t="str">
        <x:v>Johannes 16,7–11</x:v>
      </x:c>
      <x:c r="N418" s="36" t="str">
        <x:v>Jesus beschreibt das Wirken des Geistes gegenüber der Welt in den Bereichen Sünde, Gerechtigkeit und Gericht.</x:v>
      </x:c>
      <x:c r="O418" s="36" t="str">
        <x:v>FREIGEGEBEN</x:v>
      </x:c>
      <x:c r="P418" s="36" t="str">
        <x:v>FREIGEGEBEN</x:v>
      </x:c>
      <x:c r="Q418" s="36" t="str">
        <x:v>JA</x:v>
      </x:c>
    </x:row>
    <x:row r="419">
      <x:c r="A419" s="36" t="str">
        <x:v>FP-0678</x:v>
      </x:c>
      <x:c r="B419" s="36" t="str">
        <x:v>JHN</x:v>
      </x:c>
      <x:c r="C419" s="36" t="str">
        <x:v>Johannes</x:v>
      </x:c>
      <x:c r="D419" s="36" t="n">
        <x:v>16</x:v>
      </x:c>
      <x:c r="E419" s="36" t="n">
        <x:v>3</x:v>
      </x:c>
      <x:c r="F419" s="36" t="str">
        <x:v>Was wird der Geist der Wahrheit mit den Jüngern tun?</x:v>
      </x:c>
      <x:c r="G419" s="36" t="str">
        <x:v>Er wird sie von Jesu Worten wegführen.</x:v>
      </x:c>
      <x:c r="H419" s="36" t="str">
        <x:v>Er wird ihnen nur Zukunftsdaten nennen.</x:v>
      </x:c>
      <x:c r="I419" s="36" t="str">
        <x:v>Er wird alle Fragen verbieten.</x:v>
      </x:c>
      <x:c r="J419" s="36" t="str">
        <x:v>Er wird sie in alle Wahrheit leiten und Jesus verherrlichen.</x:v>
      </x:c>
      <x:c r="K419" s="36" t="n">
        <x:v>3</x:v>
      </x:c>
      <x:c r="L419" s="36" t="str">
        <x:v>Er wird sie in alle Wahrheit leiten und Jesus verherrlichen.</x:v>
      </x:c>
      <x:c r="M419" s="36" t="str">
        <x:v>Johannes 16,12–15</x:v>
      </x:c>
      <x:c r="N419" s="36" t="str">
        <x:v>Der Geist führt in die Wahrheit und verherrlicht Jesus, indem er von dem nimmt, was Jesus gehört.</x:v>
      </x:c>
      <x:c r="O419" s="36" t="str">
        <x:v>FREIGEGEBEN</x:v>
      </x:c>
      <x:c r="P419" s="36" t="str">
        <x:v>FREIGEGEBEN</x:v>
      </x:c>
      <x:c r="Q419" s="36" t="str">
        <x:v>JA</x:v>
      </x:c>
    </x:row>
    <x:row r="420">
      <x:c r="A420" s="36" t="str">
        <x:v>FP-0679</x:v>
      </x:c>
      <x:c r="B420" s="36" t="str">
        <x:v>JHN</x:v>
      </x:c>
      <x:c r="C420" s="36" t="str">
        <x:v>Johannes</x:v>
      </x:c>
      <x:c r="D420" s="36" t="n">
        <x:v>16</x:v>
      </x:c>
      <x:c r="E420" s="36" t="n">
        <x:v>4</x:v>
      </x:c>
      <x:c r="F420" s="36" t="str">
        <x:v>Mit welchem Bild erklärt Jesus den Wechsel von Trauer zu Freude?</x:v>
      </x:c>
      <x:c r="G420" s="36" t="str">
        <x:v>Mit einer Frau, die bei der Geburt Schmerzen hat und sich danach über das Kind freut.</x:v>
      </x:c>
      <x:c r="H420" s="36" t="str">
        <x:v>Mit einem Bauern, der keine Ernte erhält.</x:v>
      </x:c>
      <x:c r="I420" s="36" t="str">
        <x:v>Mit einem Soldaten nach dem Krieg.</x:v>
      </x:c>
      <x:c r="J420" s="36" t="str">
        <x:v>Mit einem Händler nach einem Verlust.</x:v>
      </x:c>
      <x:c r="K420" s="36" t="n">
        <x:v>0</x:v>
      </x:c>
      <x:c r="L420" s="36" t="str">
        <x:v>Mit einer Frau, die bei der Geburt Schmerzen hat und sich danach über das Kind freut.</x:v>
      </x:c>
      <x:c r="M420" s="36" t="str">
        <x:v>Johannes 16,20–22</x:v>
      </x:c>
      <x:c r="N420" s="36" t="str">
        <x:v>Jesu Bild von Geburtsschmerz und anschließender Freude erklärt, wie die Trauer der Jünger verwandelt werden soll.</x:v>
      </x:c>
      <x:c r="O420" s="36" t="str">
        <x:v>FREIGEGEBEN</x:v>
      </x:c>
      <x:c r="P420" s="36" t="str">
        <x:v>FREIGEGEBEN</x:v>
      </x:c>
      <x:c r="Q420" s="36" t="str">
        <x:v>JA</x:v>
      </x:c>
    </x:row>
    <x:row r="421">
      <x:c r="A421" s="36" t="str">
        <x:v>FP-0680</x:v>
      </x:c>
      <x:c r="B421" s="36" t="str">
        <x:v>JHN</x:v>
      </x:c>
      <x:c r="C421" s="36" t="str">
        <x:v>Johannes</x:v>
      </x:c>
      <x:c r="D421" s="36" t="n">
        <x:v>16</x:v>
      </x:c>
      <x:c r="E421" s="36" t="n">
        <x:v>5</x:v>
      </x:c>
      <x:c r="F421" s="36" t="str">
        <x:v>Welche Ermutigung gibt Jesus am Ende des Kapitels?</x:v>
      </x:c>
      <x:c r="G421" s="36" t="str">
        <x:v>In der Welt wird es für euch keine Schwierigkeiten geben.</x:v>
      </x:c>
      <x:c r="H421" s="36" t="str">
        <x:v>In der Welt habt ihr Bedrängnis; aber seid getrost, ich habe die Welt überwunden.</x:v>
      </x:c>
      <x:c r="I421" s="36" t="str">
        <x:v>Verlasst die Welt sofort.</x:v>
      </x:c>
      <x:c r="J421" s="36" t="str">
        <x:v>Ihr müsst die Welt selbst überwinden.</x:v>
      </x:c>
      <x:c r="K421" s="36" t="n">
        <x:v>1</x:v>
      </x:c>
      <x:c r="L421" s="36" t="str">
        <x:v>In der Welt habt ihr Bedrängnis; aber seid getrost, ich habe die Welt überwunden.</x:v>
      </x:c>
      <x:c r="M421" s="36" t="str">
        <x:v>Johannes 16,33</x:v>
      </x:c>
      <x:c r="N421" s="36" t="str">
        <x:v>Jesus verbindet realistische Erwartung von Bedrängnis mit der Ermutigung aus seinem eigenen Sieg.</x:v>
      </x:c>
      <x:c r="O421" s="36" t="str">
        <x:v>FREIGEGEBEN</x:v>
      </x:c>
      <x:c r="P421" s="36" t="str">
        <x:v>FREIGEGEBEN</x:v>
      </x:c>
      <x:c r="Q421" s="36" t="str">
        <x:v>JA</x:v>
      </x:c>
    </x:row>
    <x:row r="422">
      <x:c r="A422" s="36" t="str">
        <x:v>FP-0681</x:v>
      </x:c>
      <x:c r="B422" s="36" t="str">
        <x:v>JHN</x:v>
      </x:c>
      <x:c r="C422" s="36" t="str">
        <x:v>Johannes</x:v>
      </x:c>
      <x:c r="D422" s="36" t="n">
        <x:v>17</x:v>
      </x:c>
      <x:c r="E422" s="36" t="n">
        <x:v>1</x:v>
      </x:c>
      <x:c r="F422" s="36" t="str">
        <x:v>Wie definiert Jesus in seinem Gebet das ewige Leben?</x:v>
      </x:c>
      <x:c r="G422" s="36" t="str">
        <x:v>Möglichst lange auf der Erde zu leben.</x:v>
      </x:c>
      <x:c r="H422" s="36" t="str">
        <x:v>Viele Zeichen zu sehen.</x:v>
      </x:c>
      <x:c r="I422" s="36" t="str">
        <x:v>Den allein wahren Gott zu erkennen und Jesus Christus, den er gesandt hat.</x:v>
      </x:c>
      <x:c r="J422" s="36" t="str">
        <x:v>Den Tempel regelmäßig zu besuchen.</x:v>
      </x:c>
      <x:c r="K422" s="36" t="n">
        <x:v>2</x:v>
      </x:c>
      <x:c r="L422" s="36" t="str">
        <x:v>Den allein wahren Gott zu erkennen und Jesus Christus, den er gesandt hat.</x:v>
      </x:c>
      <x:c r="M422" s="36" t="str">
        <x:v>Johannes 17,1–3</x:v>
      </x:c>
      <x:c r="N422" s="36" t="str">
        <x:v>Jesus beschreibt ewiges Leben als Beziehungserkenntnis Gottes und des gesandten Jesus Christus.</x:v>
      </x:c>
      <x:c r="O422" s="36" t="str">
        <x:v>FREIGEGEBEN</x:v>
      </x:c>
      <x:c r="P422" s="36" t="str">
        <x:v>FREIGEGEBEN</x:v>
      </x:c>
      <x:c r="Q422" s="36" t="str">
        <x:v>JA</x:v>
      </x:c>
    </x:row>
    <x:row r="423">
      <x:c r="A423" s="36" t="str">
        <x:v>FP-0682</x:v>
      </x:c>
      <x:c r="B423" s="36" t="str">
        <x:v>JHN</x:v>
      </x:c>
      <x:c r="C423" s="36" t="str">
        <x:v>Johannes</x:v>
      </x:c>
      <x:c r="D423" s="36" t="n">
        <x:v>17</x:v>
      </x:c>
      <x:c r="E423" s="36" t="n">
        <x:v>2</x:v>
      </x:c>
      <x:c r="F423" s="36" t="str">
        <x:v>Wofür bittet Jesus im Blick auf seine Jünger, die in der Welt bleiben?</x:v>
      </x:c>
      <x:c r="G423" s="36" t="str">
        <x:v>Sie sollen sofort aus der Welt genommen werden.</x:v>
      </x:c>
      <x:c r="H423" s="36" t="str">
        <x:v>Sie sollen reich werden.</x:v>
      </x:c>
      <x:c r="I423" s="36" t="str">
        <x:v>Sie sollen niemals verfolgt werden.</x:v>
      </x:c>
      <x:c r="J423" s="36" t="str">
        <x:v>Der Vater soll sie bewahren, damit sie eins sind.</x:v>
      </x:c>
      <x:c r="K423" s="36" t="n">
        <x:v>3</x:v>
      </x:c>
      <x:c r="L423" s="36" t="str">
        <x:v>Der Vater soll sie bewahren, damit sie eins sind.</x:v>
      </x:c>
      <x:c r="M423" s="36" t="str">
        <x:v>Johannes 17,9–11</x:v>
      </x:c>
      <x:c r="N423" s="36" t="str">
        <x:v>Jesus bittet nicht um Herausnahme aus der Welt, sondern um Bewahrung und Einheit.</x:v>
      </x:c>
      <x:c r="O423" s="36" t="str">
        <x:v>FREIGEGEBEN</x:v>
      </x:c>
      <x:c r="P423" s="36" t="str">
        <x:v>FREIGEGEBEN</x:v>
      </x:c>
      <x:c r="Q423" s="36" t="str">
        <x:v>JA</x:v>
      </x:c>
    </x:row>
    <x:row r="424">
      <x:c r="A424" s="36" t="str">
        <x:v>FP-0683</x:v>
      </x:c>
      <x:c r="B424" s="36" t="str">
        <x:v>JHN</x:v>
      </x:c>
      <x:c r="C424" s="36" t="str">
        <x:v>Johannes</x:v>
      </x:c>
      <x:c r="D424" s="36" t="n">
        <x:v>17</x:v>
      </x:c>
      <x:c r="E424" s="36" t="n">
        <x:v>3</x:v>
      </x:c>
      <x:c r="F424" s="36" t="str">
        <x:v>Wie sollen die Jünger nach Jesu Gebet geheiligt werden?</x:v>
      </x:c>
      <x:c r="G424" s="36" t="str">
        <x:v>In der Wahrheit; Gottes Wort ist Wahrheit.</x:v>
      </x:c>
      <x:c r="H424" s="36" t="str">
        <x:v>Durch politische Macht.</x:v>
      </x:c>
      <x:c r="I424" s="36" t="str">
        <x:v>Durch Rückzug aus jeder Gemeinschaft.</x:v>
      </x:c>
      <x:c r="J424" s="36" t="str">
        <x:v>Durch Besitz.</x:v>
      </x:c>
      <x:c r="K424" s="36" t="n">
        <x:v>0</x:v>
      </x:c>
      <x:c r="L424" s="36" t="str">
        <x:v>In der Wahrheit; Gottes Wort ist Wahrheit.</x:v>
      </x:c>
      <x:c r="M424" s="36" t="str">
        <x:v>Johannes 17,15–19</x:v>
      </x:c>
      <x:c r="N424" s="36" t="str">
        <x:v>Jesus bittet um Bewahrung vor dem Bösen und um Heiligung in der Wahrheit, die er mit Gottes Wort verbindet.</x:v>
      </x:c>
      <x:c r="O424" s="36" t="str">
        <x:v>FREIGEGEBEN</x:v>
      </x:c>
      <x:c r="P424" s="36" t="str">
        <x:v>FREIGEGEBEN</x:v>
      </x:c>
      <x:c r="Q424" s="36" t="str">
        <x:v>JA</x:v>
      </x:c>
    </x:row>
    <x:row r="425">
      <x:c r="A425" s="36" t="str">
        <x:v>FP-0684</x:v>
      </x:c>
      <x:c r="B425" s="36" t="str">
        <x:v>JHN</x:v>
      </x:c>
      <x:c r="C425" s="36" t="str">
        <x:v>Johannes</x:v>
      </x:c>
      <x:c r="D425" s="36" t="n">
        <x:v>17</x:v>
      </x:c>
      <x:c r="E425" s="36" t="n">
        <x:v>4</x:v>
      </x:c>
      <x:c r="F425" s="36" t="str">
        <x:v>Wofür betet Jesus auch im Blick auf zukünftige Glaubende?</x:v>
      </x:c>
      <x:c r="G425" s="36" t="str">
        <x:v>Dass sie alle in Jerusalem wohnen.</x:v>
      </x:c>
      <x:c r="H425" s="36" t="str">
        <x:v>Dass sie alle eins seien.</x:v>
      </x:c>
      <x:c r="I425" s="36" t="str">
        <x:v>Dass sie niemals unterschiedlicher Meinung sind.</x:v>
      </x:c>
      <x:c r="J425" s="36" t="str">
        <x:v>Dass sie keine Verfolgung erleben.</x:v>
      </x:c>
      <x:c r="K425" s="36" t="n">
        <x:v>1</x:v>
      </x:c>
      <x:c r="L425" s="36" t="str">
        <x:v>Dass sie alle eins seien.</x:v>
      </x:c>
      <x:c r="M425" s="36" t="str">
        <x:v>Johannes 17,20–23</x:v>
      </x:c>
      <x:c r="N425" s="36" t="str">
        <x:v>Jesus schließt ausdrücklich diejenigen ein, die durch das Wort der Jünger glauben werden, und bittet um ihre Einheit.</x:v>
      </x:c>
      <x:c r="O425" s="36" t="str">
        <x:v>FREIGEGEBEN</x:v>
      </x:c>
      <x:c r="P425" s="36" t="str">
        <x:v>FREIGEGEBEN</x:v>
      </x:c>
      <x:c r="Q425" s="36" t="str">
        <x:v>JA</x:v>
      </x:c>
    </x:row>
    <x:row r="426">
      <x:c r="A426" s="36" t="str">
        <x:v>FP-0685</x:v>
      </x:c>
      <x:c r="B426" s="36" t="str">
        <x:v>JHN</x:v>
      </x:c>
      <x:c r="C426" s="36" t="str">
        <x:v>Johannes</x:v>
      </x:c>
      <x:c r="D426" s="36" t="n">
        <x:v>17</x:v>
      </x:c>
      <x:c r="E426" s="36" t="n">
        <x:v>5</x:v>
      </x:c>
      <x:c r="F426" s="36" t="str">
        <x:v>Welchen Wunsch äußert Jesus für die Menschen, die der Vater ihm gegeben hat?</x:v>
      </x:c>
      <x:c r="G426" s="36" t="str">
        <x:v>Dass sie ihn nie wieder sehen.</x:v>
      </x:c>
      <x:c r="H426" s="36" t="str">
        <x:v>Dass sie über andere herrschen.</x:v>
      </x:c>
      <x:c r="I426" s="36" t="str">
        <x:v>Dass sie bei ihm seien und seine Herrlichkeit sehen.</x:v>
      </x:c>
      <x:c r="J426" s="36" t="str">
        <x:v>Dass sie im Tempel wohnen.</x:v>
      </x:c>
      <x:c r="K426" s="36" t="n">
        <x:v>2</x:v>
      </x:c>
      <x:c r="L426" s="36" t="str">
        <x:v>Dass sie bei ihm seien und seine Herrlichkeit sehen.</x:v>
      </x:c>
      <x:c r="M426" s="36" t="str">
        <x:v>Johannes 17,24</x:v>
      </x:c>
      <x:c r="N426" s="36" t="str">
        <x:v>Jesus bittet darum, dass die Seinen bei ihm sein und seine Herrlichkeit sehen sollen.</x:v>
      </x:c>
      <x:c r="O426" s="36" t="str">
        <x:v>FREIGEGEBEN</x:v>
      </x:c>
      <x:c r="P426" s="36" t="str">
        <x:v>FREIGEGEBEN</x:v>
      </x:c>
      <x:c r="Q426" s="36" t="str">
        <x:v>JA</x:v>
      </x:c>
    </x:row>
    <x:row r="427">
      <x:c r="A427" s="36" t="str">
        <x:v>FP-0686</x:v>
      </x:c>
      <x:c r="B427" s="36" t="str">
        <x:v>JHN</x:v>
      </x:c>
      <x:c r="C427" s="36" t="str">
        <x:v>Johannes</x:v>
      </x:c>
      <x:c r="D427" s="36" t="n">
        <x:v>18</x:v>
      </x:c>
      <x:c r="E427" s="36" t="n">
        <x:v>1</x:v>
      </x:c>
      <x:c r="F427" s="36" t="str">
        <x:v>Was geschieht, als Jesus bei seiner Festnahme sagt: „Ich bin's“?</x:v>
      </x:c>
      <x:c r="G427" s="36" t="str">
        <x:v>Jesus flieht sofort.</x:v>
      </x:c>
      <x:c r="H427" s="36" t="str">
        <x:v>Petrus wird festgenommen.</x:v>
      </x:c>
      <x:c r="I427" s="36" t="str">
        <x:v>Judas zieht sein Schwert.</x:v>
      </x:c>
      <x:c r="J427" s="36" t="str">
        <x:v>Die Männer weichen zurück und fallen zu Boden.</x:v>
      </x:c>
      <x:c r="K427" s="36" t="n">
        <x:v>3</x:v>
      </x:c>
      <x:c r="L427" s="36" t="str">
        <x:v>Die Männer weichen zurück und fallen zu Boden.</x:v>
      </x:c>
      <x:c r="M427" s="36" t="str">
        <x:v>Johannes 18,4–6</x:v>
      </x:c>
      <x:c r="N427" s="36" t="str">
        <x:v>Als Jesus sich zu erkennen gibt, weichen die Festnehmenden zurück und fallen zu Boden.</x:v>
      </x:c>
      <x:c r="O427" s="36" t="str">
        <x:v>FREIGEGEBEN</x:v>
      </x:c>
      <x:c r="P427" s="36" t="str">
        <x:v>FREIGEGEBEN</x:v>
      </x:c>
      <x:c r="Q427" s="36" t="str">
        <x:v>JA</x:v>
      </x:c>
    </x:row>
    <x:row r="428">
      <x:c r="A428" s="36" t="str">
        <x:v>FP-0687</x:v>
      </x:c>
      <x:c r="B428" s="36" t="str">
        <x:v>JHN</x:v>
      </x:c>
      <x:c r="C428" s="36" t="str">
        <x:v>Johannes</x:v>
      </x:c>
      <x:c r="D428" s="36" t="n">
        <x:v>18</x:v>
      </x:c>
      <x:c r="E428" s="36" t="n">
        <x:v>2</x:v>
      </x:c>
      <x:c r="F428" s="36" t="str">
        <x:v>Was tut Petrus bei der Festnahme Jesu?</x:v>
      </x:c>
      <x:c r="G428" s="36" t="str">
        <x:v>Er zieht ein Schwert und schlägt dem Knecht des Hohenpriesters ein Ohr ab.</x:v>
      </x:c>
      <x:c r="H428" s="36" t="str">
        <x:v>Er läuft sofort nach Hause.</x:v>
      </x:c>
      <x:c r="I428" s="36" t="str">
        <x:v>Er verhaftet Judas.</x:v>
      </x:c>
      <x:c r="J428" s="36" t="str">
        <x:v>Er legt sein Schwert freiwillig vor die Soldaten.</x:v>
      </x:c>
      <x:c r="K428" s="36" t="n">
        <x:v>0</x:v>
      </x:c>
      <x:c r="L428" s="36" t="str">
        <x:v>Er zieht ein Schwert und schlägt dem Knecht des Hohenpriesters ein Ohr ab.</x:v>
      </x:c>
      <x:c r="M428" s="36" t="str">
        <x:v>Johannes 18,10–11</x:v>
      </x:c>
      <x:c r="N428" s="36" t="str">
        <x:v>Petrus greift mit dem Schwert an; Jesus weist ihn zurecht und nimmt den Weg an, der vor ihm liegt.</x:v>
      </x:c>
      <x:c r="O428" s="36" t="str">
        <x:v>FREIGEGEBEN</x:v>
      </x:c>
      <x:c r="P428" s="36" t="str">
        <x:v>FREIGEGEBEN</x:v>
      </x:c>
      <x:c r="Q428" s="36" t="str">
        <x:v>JA</x:v>
      </x:c>
    </x:row>
    <x:row r="429">
      <x:c r="A429" s="36" t="str">
        <x:v>FP-0688</x:v>
      </x:c>
      <x:c r="B429" s="36" t="str">
        <x:v>JHN</x:v>
      </x:c>
      <x:c r="C429" s="36" t="str">
        <x:v>Johannes</x:v>
      </x:c>
      <x:c r="D429" s="36" t="n">
        <x:v>18</x:v>
      </x:c>
      <x:c r="E429" s="36" t="n">
        <x:v>3</x:v>
      </x:c>
      <x:c r="F429" s="36" t="str">
        <x:v>Wie oft verleugnet Petrus, ein Jünger Jesu zu sein?</x:v>
      </x:c>
      <x:c r="G429" s="36" t="str">
        <x:v>Einmal.</x:v>
      </x:c>
      <x:c r="H429" s="36" t="str">
        <x:v>Dreimal.</x:v>
      </x:c>
      <x:c r="I429" s="36" t="str">
        <x:v>Zweimal.</x:v>
      </x:c>
      <x:c r="J429" s="36" t="str">
        <x:v>Siebenmal.</x:v>
      </x:c>
      <x:c r="K429" s="36" t="n">
        <x:v>1</x:v>
      </x:c>
      <x:c r="L429" s="36" t="str">
        <x:v>Dreimal.</x:v>
      </x:c>
      <x:c r="M429" s="36" t="str">
        <x:v>Johannes 18,15–18; 25–27</x:v>
      </x:c>
      <x:c r="N429" s="36" t="str">
        <x:v>Johannes schildert drei Verleugnungen; unmittelbar nach der dritten kräht der Hahn.</x:v>
      </x:c>
      <x:c r="O429" s="36" t="str">
        <x:v>FREIGEGEBEN</x:v>
      </x:c>
      <x:c r="P429" s="36" t="str">
        <x:v>FREIGEGEBEN</x:v>
      </x:c>
      <x:c r="Q429" s="36" t="str">
        <x:v>JA</x:v>
      </x:c>
    </x:row>
    <x:row r="430">
      <x:c r="A430" s="36" t="str">
        <x:v>FP-0689</x:v>
      </x:c>
      <x:c r="B430" s="36" t="str">
        <x:v>JHN</x:v>
      </x:c>
      <x:c r="C430" s="36" t="str">
        <x:v>Johannes</x:v>
      </x:c>
      <x:c r="D430" s="36" t="n">
        <x:v>18</x:v>
      </x:c>
      <x:c r="E430" s="36" t="n">
        <x:v>4</x:v>
      </x:c>
      <x:c r="F430" s="36" t="str">
        <x:v>Wie beschreibt Jesus vor Pilatus sein Königtum?</x:v>
      </x:c>
      <x:c r="G430" s="36" t="str">
        <x:v>Sein Reich ist identisch mit Rom.</x:v>
      </x:c>
      <x:c r="H430" s="36" t="str">
        <x:v>Sein Reich besteht nur aus Galiläa.</x:v>
      </x:c>
      <x:c r="I430" s="36" t="str">
        <x:v>Sein Reich ist nicht von dieser Welt.</x:v>
      </x:c>
      <x:c r="J430" s="36" t="str">
        <x:v>Er bestreitet, irgendein König zu sein.</x:v>
      </x:c>
      <x:c r="K430" s="36" t="n">
        <x:v>2</x:v>
      </x:c>
      <x:c r="L430" s="36" t="str">
        <x:v>Sein Reich ist nicht von dieser Welt.</x:v>
      </x:c>
      <x:c r="M430" s="36" t="str">
        <x:v>Johannes 18,33–37</x:v>
      </x:c>
      <x:c r="N430" s="36" t="str">
        <x:v>Jesus bestätigt seine königliche Sendung, grenzt sein Reich aber ausdrücklich von weltlicher Herkunft und Gewalt ab.</x:v>
      </x:c>
      <x:c r="O430" s="36" t="str">
        <x:v>FREIGEGEBEN</x:v>
      </x:c>
      <x:c r="P430" s="36" t="str">
        <x:v>FREIGEGEBEN</x:v>
      </x:c>
      <x:c r="Q430" s="36" t="str">
        <x:v>JA</x:v>
      </x:c>
    </x:row>
    <x:row r="431">
      <x:c r="A431" s="36" t="str">
        <x:v>FP-0690</x:v>
      </x:c>
      <x:c r="B431" s="36" t="str">
        <x:v>JHN</x:v>
      </x:c>
      <x:c r="C431" s="36" t="str">
        <x:v>Johannes</x:v>
      </x:c>
      <x:c r="D431" s="36" t="n">
        <x:v>18</x:v>
      </x:c>
      <x:c r="E431" s="36" t="n">
        <x:v>5</x:v>
      </x:c>
      <x:c r="F431" s="36" t="str">
        <x:v>Wen fordert die Menge anstelle Jesu freizulassen?</x:v>
      </x:c>
      <x:c r="G431" s="36" t="str">
        <x:v>Petrus.</x:v>
      </x:c>
      <x:c r="H431" s="36" t="str">
        <x:v>Lazarus.</x:v>
      </x:c>
      <x:c r="I431" s="36" t="str">
        <x:v>Nikodemus.</x:v>
      </x:c>
      <x:c r="J431" s="36" t="str">
        <x:v>Barabbas.</x:v>
      </x:c>
      <x:c r="K431" s="36" t="n">
        <x:v>3</x:v>
      </x:c>
      <x:c r="L431" s="36" t="str">
        <x:v>Barabbas.</x:v>
      </x:c>
      <x:c r="M431" s="36" t="str">
        <x:v>Johannes 18,38–40</x:v>
      </x:c>
      <x:c r="N431" s="36" t="str">
        <x:v>Pilatus bietet die Freilassung Jesu an; die Menge fordert stattdessen Barabbas.</x:v>
      </x:c>
      <x:c r="O431" s="36" t="str">
        <x:v>FREIGEGEBEN</x:v>
      </x:c>
      <x:c r="P431" s="36" t="str">
        <x:v>FREIGEGEBEN</x:v>
      </x:c>
      <x:c r="Q431" s="36" t="str">
        <x:v>JA</x:v>
      </x:c>
    </x:row>
    <x:row r="432">
      <x:c r="A432" s="36" t="str">
        <x:v>FP-0691</x:v>
      </x:c>
      <x:c r="B432" s="36" t="str">
        <x:v>JHN</x:v>
      </x:c>
      <x:c r="C432" s="36" t="str">
        <x:v>Johannes</x:v>
      </x:c>
      <x:c r="D432" s="36" t="n">
        <x:v>19</x:v>
      </x:c>
      <x:c r="E432" s="36" t="n">
        <x:v>1</x:v>
      </x:c>
      <x:c r="F432" s="36" t="str">
        <x:v>Wie verspotten die Soldaten Jesus nach der Geißelung?</x:v>
      </x:c>
      <x:c r="G432" s="36" t="str">
        <x:v>Sie setzen ihm eine Dornenkrone auf und legen ihm ein Purpurgewand an.</x:v>
      </x:c>
      <x:c r="H432" s="36" t="str">
        <x:v>Sie geben ihm eine goldene Krone.</x:v>
      </x:c>
      <x:c r="I432" s="36" t="str">
        <x:v>Sie kleiden ihn als Priester.</x:v>
      </x:c>
      <x:c r="J432" s="36" t="str">
        <x:v>Sie führen ihn direkt in den Tempel.</x:v>
      </x:c>
      <x:c r="K432" s="36" t="n">
        <x:v>0</x:v>
      </x:c>
      <x:c r="L432" s="36" t="str">
        <x:v>Sie setzen ihm eine Dornenkrone auf und legen ihm ein Purpurgewand an.</x:v>
      </x:c>
      <x:c r="M432" s="36" t="str">
        <x:v>Johannes 19,1–3</x:v>
      </x:c>
      <x:c r="N432" s="36" t="str">
        <x:v>Die Soldaten inszenieren eine spöttische Königshuldigung mit Dornenkrone und Purpur.</x:v>
      </x:c>
      <x:c r="O432" s="36" t="str">
        <x:v>FREIGEGEBEN</x:v>
      </x:c>
      <x:c r="P432" s="36" t="str">
        <x:v>FREIGEGEBEN</x:v>
      </x:c>
      <x:c r="Q432" s="36" t="str">
        <x:v>JA</x:v>
      </x:c>
    </x:row>
    <x:row r="433">
      <x:c r="A433" s="36" t="str">
        <x:v>FP-0692</x:v>
      </x:c>
      <x:c r="B433" s="36" t="str">
        <x:v>JHN</x:v>
      </x:c>
      <x:c r="C433" s="36" t="str">
        <x:v>Johannes</x:v>
      </x:c>
      <x:c r="D433" s="36" t="n">
        <x:v>19</x:v>
      </x:c>
      <x:c r="E433" s="36" t="n">
        <x:v>2</x:v>
      </x:c>
      <x:c r="F433" s="36" t="str">
        <x:v>Welche Aufschrift lässt Pilatus am Kreuz anbringen?</x:v>
      </x:c>
      <x:c r="G433" s="36" t="str">
        <x:v>Jesus, der Sohn Josefs.</x:v>
      </x:c>
      <x:c r="H433" s="36" t="str">
        <x:v>Jesus von Nazareth, der König der Juden.</x:v>
      </x:c>
      <x:c r="I433" s="36" t="str">
        <x:v>Der Prophet aus Galiläa.</x:v>
      </x:c>
      <x:c r="J433" s="36" t="str">
        <x:v>Der Lehrer der Zwölf.</x:v>
      </x:c>
      <x:c r="K433" s="36" t="n">
        <x:v>1</x:v>
      </x:c>
      <x:c r="L433" s="36" t="str">
        <x:v>Jesus von Nazareth, der König der Juden.</x:v>
      </x:c>
      <x:c r="M433" s="36" t="str">
        <x:v>Johannes 19,19–22</x:v>
      </x:c>
      <x:c r="N433" s="36" t="str">
        <x:v>Pilatus lässt die königliche Bezeichnung über Jesu Kreuz anbringen und weigert sich, sie zu ändern.</x:v>
      </x:c>
      <x:c r="O433" s="36" t="str">
        <x:v>FREIGEGEBEN</x:v>
      </x:c>
      <x:c r="P433" s="36" t="str">
        <x:v>FREIGEGEBEN</x:v>
      </x:c>
      <x:c r="Q433" s="36" t="str">
        <x:v>JA</x:v>
      </x:c>
    </x:row>
    <x:row r="434">
      <x:c r="A434" s="36" t="str">
        <x:v>FP-0693</x:v>
      </x:c>
      <x:c r="B434" s="36" t="str">
        <x:v>JHN</x:v>
      </x:c>
      <x:c r="C434" s="36" t="str">
        <x:v>Johannes</x:v>
      </x:c>
      <x:c r="D434" s="36" t="n">
        <x:v>19</x:v>
      </x:c>
      <x:c r="E434" s="36" t="n">
        <x:v>3</x:v>
      </x:c>
      <x:c r="F434" s="36" t="str">
        <x:v>Welche neue Beziehung stellt Jesus vom Kreuz aus zwischen seiner Mutter und dem geliebten Jünger her?</x:v>
      </x:c>
      <x:c r="G434" s="36" t="str">
        <x:v>Er schickt beide nach Galiläa.</x:v>
      </x:c>
      <x:c r="H434" s="36" t="str">
        <x:v>Er bittet Petrus, seine Mutter zu begleiten.</x:v>
      </x:c>
      <x:c r="I434" s="36" t="str">
        <x:v>Er sagt zu ihr: „Siehe, dein Sohn“, und zu dem Jünger: „Siehe, deine Mutter“.</x:v>
      </x:c>
      <x:c r="J434" s="36" t="str">
        <x:v>Er sagt, sie sollten den Tempel verlassen.</x:v>
      </x:c>
      <x:c r="K434" s="36" t="n">
        <x:v>2</x:v>
      </x:c>
      <x:c r="L434" s="36" t="str">
        <x:v>Er sagt zu ihr: „Siehe, dein Sohn“, und zu dem Jünger: „Siehe, deine Mutter“.</x:v>
      </x:c>
      <x:c r="M434" s="36" t="str">
        <x:v>Johannes 19,25–27</x:v>
      </x:c>
      <x:c r="N434" s="36" t="str">
        <x:v>Jesus sorgt vom Kreuz aus für seine Mutter, indem er sie dem geliebten Jünger anvertraut.</x:v>
      </x:c>
      <x:c r="O434" s="36" t="str">
        <x:v>FREIGEGEBEN</x:v>
      </x:c>
      <x:c r="P434" s="36" t="str">
        <x:v>FREIGEGEBEN</x:v>
      </x:c>
      <x:c r="Q434" s="36" t="str">
        <x:v>JA</x:v>
      </x:c>
    </x:row>
    <x:row r="435">
      <x:c r="A435" s="36" t="str">
        <x:v>FP-0694</x:v>
      </x:c>
      <x:c r="B435" s="36" t="str">
        <x:v>JHN</x:v>
      </x:c>
      <x:c r="C435" s="36" t="str">
        <x:v>Johannes</x:v>
      </x:c>
      <x:c r="D435" s="36" t="n">
        <x:v>19</x:v>
      </x:c>
      <x:c r="E435" s="36" t="n">
        <x:v>4</x:v>
      </x:c>
      <x:c r="F435" s="36" t="str">
        <x:v>Was sagt Jesus unmittelbar vor seinem Tod?</x:v>
      </x:c>
      <x:c r="G435" s="36" t="str">
        <x:v>Ich werde morgen zurückkehren.</x:v>
      </x:c>
      <x:c r="H435" s="36" t="str">
        <x:v>Petrus soll kommen.</x:v>
      </x:c>
      <x:c r="I435" s="36" t="str">
        <x:v>Jerusalem wird heute fallen.</x:v>
      </x:c>
      <x:c r="J435" s="36" t="str">
        <x:v>Es ist vollbracht.</x:v>
      </x:c>
      <x:c r="K435" s="36" t="n">
        <x:v>3</x:v>
      </x:c>
      <x:c r="L435" s="36" t="str">
        <x:v>Es ist vollbracht.</x:v>
      </x:c>
      <x:c r="M435" s="36" t="str">
        <x:v>Johannes 19,28–30</x:v>
      </x:c>
      <x:c r="N435" s="36" t="str">
        <x:v>Nach der Erfüllung dessen, was noch ausstand, sagt Jesus „Es ist vollbracht“ und gibt seinen Geist auf.</x:v>
      </x:c>
      <x:c r="O435" s="36" t="str">
        <x:v>FREIGEGEBEN</x:v>
      </x:c>
      <x:c r="P435" s="36" t="str">
        <x:v>FREIGEGEBEN</x:v>
      </x:c>
      <x:c r="Q435" s="36" t="str">
        <x:v>JA</x:v>
      </x:c>
    </x:row>
    <x:row r="436">
      <x:c r="A436" s="36" t="str">
        <x:v>FP-0695</x:v>
      </x:c>
      <x:c r="B436" s="36" t="str">
        <x:v>JHN</x:v>
      </x:c>
      <x:c r="C436" s="36" t="str">
        <x:v>Johannes</x:v>
      </x:c>
      <x:c r="D436" s="36" t="n">
        <x:v>19</x:v>
      </x:c>
      <x:c r="E436" s="36" t="n">
        <x:v>5</x:v>
      </x:c>
      <x:c r="F436" s="36" t="str">
        <x:v>Wer sorgt für Jesu Bestattung?</x:v>
      </x:c>
      <x:c r="G436" s="36" t="str">
        <x:v>Josef von Arimathäa und Nikodemus.</x:v>
      </x:c>
      <x:c r="H436" s="36" t="str">
        <x:v>Petrus und Andreas.</x:v>
      </x:c>
      <x:c r="I436" s="36" t="str">
        <x:v>Pilatus und Herodes.</x:v>
      </x:c>
      <x:c r="J436" s="36" t="str">
        <x:v>Maria Magdalena allein.</x:v>
      </x:c>
      <x:c r="K436" s="36" t="n">
        <x:v>0</x:v>
      </x:c>
      <x:c r="L436" s="36" t="str">
        <x:v>Josef von Arimathäa und Nikodemus.</x:v>
      </x:c>
      <x:c r="M436" s="36" t="str">
        <x:v>Johannes 19,38–42</x:v>
      </x:c>
      <x:c r="N436" s="36" t="str">
        <x:v>Josef erhält den Leichnam Jesu, und Nikodemus bringt Gewürze; gemeinsam legen sie ihn in ein neues Grab.</x:v>
      </x:c>
      <x:c r="O436" s="36" t="str">
        <x:v>FREIGEGEBEN</x:v>
      </x:c>
      <x:c r="P436" s="36" t="str">
        <x:v>FREIGEGEBEN</x:v>
      </x:c>
      <x:c r="Q436" s="36" t="str">
        <x:v>JA</x:v>
      </x:c>
    </x:row>
    <x:row r="437">
      <x:c r="A437" s="36" t="str">
        <x:v>FP-0696</x:v>
      </x:c>
      <x:c r="B437" s="36" t="str">
        <x:v>JHN</x:v>
      </x:c>
      <x:c r="C437" s="36" t="str">
        <x:v>Johannes</x:v>
      </x:c>
      <x:c r="D437" s="36" t="n">
        <x:v>20</x:v>
      </x:c>
      <x:c r="E437" s="36" t="n">
        <x:v>1</x:v>
      </x:c>
      <x:c r="F437" s="36" t="str">
        <x:v>Was entdeckt Maria Magdalena am ersten Tag der Woche am Grab?</x:v>
      </x:c>
      <x:c r="G437" s="36" t="str">
        <x:v>Das Grab ist noch versiegelt.</x:v>
      </x:c>
      <x:c r="H437" s="36" t="str">
        <x:v>Der Stein ist vom Grab weggenommen.</x:v>
      </x:c>
      <x:c r="I437" s="36" t="str">
        <x:v>Petrus wartet am Eingang.</x:v>
      </x:c>
      <x:c r="J437" s="36" t="str">
        <x:v>Jesus steht sofort sichtbar vor dem Grab.</x:v>
      </x:c>
      <x:c r="K437" s="36" t="n">
        <x:v>1</x:v>
      </x:c>
      <x:c r="L437" s="36" t="str">
        <x:v>Der Stein ist vom Grab weggenommen.</x:v>
      </x:c>
      <x:c r="M437" s="36" t="str">
        <x:v>Johannes 20,1–2</x:v>
      </x:c>
      <x:c r="N437" s="36" t="str">
        <x:v>Maria sieht den weggenommenen Stein und läuft zu Petrus und dem anderen Jünger.</x:v>
      </x:c>
      <x:c r="O437" s="36" t="str">
        <x:v>FREIGEGEBEN</x:v>
      </x:c>
      <x:c r="P437" s="36" t="str">
        <x:v>FREIGEGEBEN</x:v>
      </x:c>
      <x:c r="Q437" s="36" t="str">
        <x:v>JA</x:v>
      </x:c>
    </x:row>
    <x:row r="438">
      <x:c r="A438" s="36" t="str">
        <x:v>FP-0697</x:v>
      </x:c>
      <x:c r="B438" s="36" t="str">
        <x:v>JHN</x:v>
      </x:c>
      <x:c r="C438" s="36" t="str">
        <x:v>Johannes</x:v>
      </x:c>
      <x:c r="D438" s="36" t="n">
        <x:v>20</x:v>
      </x:c>
      <x:c r="E438" s="36" t="n">
        <x:v>2</x:v>
      </x:c>
      <x:c r="F438" s="36" t="str">
        <x:v>Was finden Petrus und der andere Jünger im Grab?</x:v>
      </x:c>
      <x:c r="G438" s="36" t="str">
        <x:v>Den Leib Jesu unverändert im Grab.</x:v>
      </x:c>
      <x:c r="H438" s="36" t="str">
        <x:v>Nur eine Schriftrolle.</x:v>
      </x:c>
      <x:c r="I438" s="36" t="str">
        <x:v>Die Leinentücher liegen dort, während der Leib Jesu fehlt.</x:v>
      </x:c>
      <x:c r="J438" s="36" t="str">
        <x:v>Die römischen Soldaten.</x:v>
      </x:c>
      <x:c r="K438" s="36" t="n">
        <x:v>2</x:v>
      </x:c>
      <x:c r="L438" s="36" t="str">
        <x:v>Die Leinentücher liegen dort, während der Leib Jesu fehlt.</x:v>
      </x:c>
      <x:c r="M438" s="36" t="str">
        <x:v>Johannes 20,3–10</x:v>
      </x:c>
      <x:c r="N438" s="36" t="str">
        <x:v>Die Jünger finden die Leinentücher, aber Jesu Leib ist nicht dort.</x:v>
      </x:c>
      <x:c r="O438" s="36" t="str">
        <x:v>FREIGEGEBEN</x:v>
      </x:c>
      <x:c r="P438" s="36" t="str">
        <x:v>FREIGEGEBEN</x:v>
      </x:c>
      <x:c r="Q438" s="36" t="str">
        <x:v>JA</x:v>
      </x:c>
    </x:row>
    <x:row r="439">
      <x:c r="A439" s="36" t="str">
        <x:v>FP-0698</x:v>
      </x:c>
      <x:c r="B439" s="36" t="str">
        <x:v>JHN</x:v>
      </x:c>
      <x:c r="C439" s="36" t="str">
        <x:v>Johannes</x:v>
      </x:c>
      <x:c r="D439" s="36" t="n">
        <x:v>20</x:v>
      </x:c>
      <x:c r="E439" s="36" t="n">
        <x:v>3</x:v>
      </x:c>
      <x:c r="F439" s="36" t="str">
        <x:v>Woran erkennt Maria Magdalena den auferstandenen Jesus schließlich?</x:v>
      </x:c>
      <x:c r="G439" s="36" t="str">
        <x:v>An seiner Kleidung.</x:v>
      </x:c>
      <x:c r="H439" s="36" t="str">
        <x:v>Weil Petrus ihn ihr zeigt.</x:v>
      </x:c>
      <x:c r="I439" s="36" t="str">
        <x:v>An einem Zeichen am Himmel.</x:v>
      </x:c>
      <x:c r="J439" s="36" t="str">
        <x:v>Als er sie mit ihrem Namen „Maria“ anspricht.</x:v>
      </x:c>
      <x:c r="K439" s="36" t="n">
        <x:v>3</x:v>
      </x:c>
      <x:c r="L439" s="36" t="str">
        <x:v>Als er sie mit ihrem Namen „Maria“ anspricht.</x:v>
      </x:c>
      <x:c r="M439" s="36" t="str">
        <x:v>Johannes 20,11–16</x:v>
      </x:c>
      <x:c r="N439" s="36" t="str">
        <x:v>Maria hält Jesus zunächst für den Gärtner; als er ihren Namen sagt, erkennt sie ihn.</x:v>
      </x:c>
      <x:c r="O439" s="36" t="str">
        <x:v>FREIGEGEBEN</x:v>
      </x:c>
      <x:c r="P439" s="36" t="str">
        <x:v>FREIGEGEBEN</x:v>
      </x:c>
      <x:c r="Q439" s="36" t="str">
        <x:v>JA</x:v>
      </x:c>
    </x:row>
    <x:row r="440">
      <x:c r="A440" s="36" t="str">
        <x:v>FP-0699</x:v>
      </x:c>
      <x:c r="B440" s="36" t="str">
        <x:v>JHN</x:v>
      </x:c>
      <x:c r="C440" s="36" t="str">
        <x:v>Johannes</x:v>
      </x:c>
      <x:c r="D440" s="36" t="n">
        <x:v>20</x:v>
      </x:c>
      <x:c r="E440" s="36" t="n">
        <x:v>4</x:v>
      </x:c>
      <x:c r="F440" s="36" t="str">
        <x:v>Welche Sendung verbindet Jesus bei seiner Erscheinung mit dem Heiligen Geist?</x:v>
      </x:c>
      <x:c r="G440" s="36" t="str">
        <x:v>Wie der Vater ihn gesandt hat, sendet er die Jünger und haucht sie mit dem Heiligen Geist an.</x:v>
      </x:c>
      <x:c r="H440" s="36" t="str">
        <x:v>Die Jünger sollen im Haus bleiben und schweigen.</x:v>
      </x:c>
      <x:c r="I440" s="36" t="str">
        <x:v>Nur Thomas soll gesandt werden.</x:v>
      </x:c>
      <x:c r="J440" s="36" t="str">
        <x:v>Sie sollen zuerst Priester werden.</x:v>
      </x:c>
      <x:c r="K440" s="36" t="n">
        <x:v>0</x:v>
      </x:c>
      <x:c r="L440" s="36" t="str">
        <x:v>Wie der Vater ihn gesandt hat, sendet er die Jünger und haucht sie mit dem Heiligen Geist an.</x:v>
      </x:c>
      <x:c r="M440" s="36" t="str">
        <x:v>Johannes 20,19–23</x:v>
      </x:c>
      <x:c r="N440" s="36" t="str">
        <x:v>Jesus verbindet seine eigene Sendung mit der Sendung der Jünger und dem Empfang des Heiligen Geistes.</x:v>
      </x:c>
      <x:c r="O440" s="36" t="str">
        <x:v>FREIGEGEBEN</x:v>
      </x:c>
      <x:c r="P440" s="36" t="str">
        <x:v>FREIGEGEBEN</x:v>
      </x:c>
      <x:c r="Q440" s="36" t="str">
        <x:v>JA</x:v>
      </x:c>
    </x:row>
    <x:row r="441">
      <x:c r="A441" s="36" t="str">
        <x:v>FP-0700</x:v>
      </x:c>
      <x:c r="B441" s="36" t="str">
        <x:v>JHN</x:v>
      </x:c>
      <x:c r="C441" s="36" t="str">
        <x:v>Johannes</x:v>
      </x:c>
      <x:c r="D441" s="36" t="n">
        <x:v>20</x:v>
      </x:c>
      <x:c r="E441" s="36" t="n">
        <x:v>5</x:v>
      </x:c>
      <x:c r="F441" s="36" t="str">
        <x:v>Wie reagiert Thomas, als er den auferstandenen Jesus sieht?</x:v>
      </x:c>
      <x:c r="G441" s="36" t="str">
        <x:v>Er weigert sich weiterhin zu glauben.</x:v>
      </x:c>
      <x:c r="H441" s="36" t="str">
        <x:v>Er bekennt: „Mein Herr und mein Gott!“</x:v>
      </x:c>
      <x:c r="I441" s="36" t="str">
        <x:v>Er verlässt die Jünger.</x:v>
      </x:c>
      <x:c r="J441" s="36" t="str">
        <x:v>Er bittet nur um ein weiteres Zeichen.</x:v>
      </x:c>
      <x:c r="K441" s="36" t="n">
        <x:v>1</x:v>
      </x:c>
      <x:c r="L441" s="36" t="str">
        <x:v>Er bekennt: „Mein Herr und mein Gott!“</x:v>
      </x:c>
      <x:c r="M441" s="36" t="str">
        <x:v>Johannes 20,24–29</x:v>
      </x:c>
      <x:c r="N441" s="36" t="str">
        <x:v>Thomas antwortet auf die Begegnung mit einem persönlichen Bekenntnis zu Jesus als Herr und Gott.</x:v>
      </x:c>
      <x:c r="O441" s="36" t="str">
        <x:v>FREIGEGEBEN</x:v>
      </x:c>
      <x:c r="P441" s="36" t="str">
        <x:v>FREIGEGEBEN</x:v>
      </x:c>
      <x:c r="Q441" s="36" t="str">
        <x:v>JA</x:v>
      </x:c>
    </x:row>
    <x:row r="442">
      <x:c r="A442" s="36" t="str">
        <x:v>FP-0701</x:v>
      </x:c>
      <x:c r="B442" s="36" t="str">
        <x:v>JHN</x:v>
      </x:c>
      <x:c r="C442" s="36" t="str">
        <x:v>Johannes</x:v>
      </x:c>
      <x:c r="D442" s="36" t="n">
        <x:v>21</x:v>
      </x:c>
      <x:c r="E442" s="36" t="n">
        <x:v>1</x:v>
      </x:c>
      <x:c r="F442" s="36" t="str">
        <x:v>Was geschieht, nachdem die Jünger auf Jesu Anweisung das Netz auf der rechten Seite des Bootes auswerfen?</x:v>
      </x:c>
      <x:c r="G442" s="36" t="str">
        <x:v>Sie fangen keinen einzigen Fisch.</x:v>
      </x:c>
      <x:c r="H442" s="36" t="str">
        <x:v>Das Netz reißt sofort und alle Fische entkommen.</x:v>
      </x:c>
      <x:c r="I442" s="36" t="str">
        <x:v>Sie fangen so viele Fische, dass sie das Netz kaum ziehen können.</x:v>
      </x:c>
      <x:c r="J442" s="36" t="str">
        <x:v>Das Boot fährt ans andere Ufer.</x:v>
      </x:c>
      <x:c r="K442" s="36" t="n">
        <x:v>2</x:v>
      </x:c>
      <x:c r="L442" s="36" t="str">
        <x:v>Sie fangen so viele Fische, dass sie das Netz kaum ziehen können.</x:v>
      </x:c>
      <x:c r="M442" s="36" t="str">
        <x:v>Johannes 21,4–6</x:v>
      </x:c>
      <x:c r="N442" s="36" t="str">
        <x:v>Nach einer erfolglosen Nacht führt Jesu Anweisung zu einem außergewöhnlich großen Fang.</x:v>
      </x:c>
      <x:c r="O442" s="36" t="str">
        <x:v>FREIGEGEBEN</x:v>
      </x:c>
      <x:c r="P442" s="36" t="str">
        <x:v>FREIGEGEBEN</x:v>
      </x:c>
      <x:c r="Q442" s="36" t="str">
        <x:v>JA</x:v>
      </x:c>
    </x:row>
    <x:row r="443">
      <x:c r="A443" s="36" t="str">
        <x:v>FP-0702</x:v>
      </x:c>
      <x:c r="B443" s="36" t="str">
        <x:v>JHN</x:v>
      </x:c>
      <x:c r="C443" s="36" t="str">
        <x:v>Johannes</x:v>
      </x:c>
      <x:c r="D443" s="36" t="n">
        <x:v>21</x:v>
      </x:c>
      <x:c r="E443" s="36" t="n">
        <x:v>2</x:v>
      </x:c>
      <x:c r="F443" s="36" t="str">
        <x:v>Wie viele große Fische werden nach dem Fang gezählt?</x:v>
      </x:c>
      <x:c r="G443" s="36" t="str">
        <x:v>120.</x:v>
      </x:c>
      <x:c r="H443" s="36" t="str">
        <x:v>70.</x:v>
      </x:c>
      <x:c r="I443" s="36" t="str">
        <x:v>12.</x:v>
      </x:c>
      <x:c r="J443" s="36" t="str">
        <x:v>153.</x:v>
      </x:c>
      <x:c r="K443" s="36" t="n">
        <x:v>3</x:v>
      </x:c>
      <x:c r="L443" s="36" t="str">
        <x:v>153.</x:v>
      </x:c>
      <x:c r="M443" s="36" t="str">
        <x:v>Johannes 21,11</x:v>
      </x:c>
      <x:c r="N443" s="36" t="str">
        <x:v>Johannes nennt ausdrücklich 153 große Fische und erwähnt, dass das Netz trotz der Menge nicht riss.</x:v>
      </x:c>
      <x:c r="O443" s="36" t="str">
        <x:v>FREIGEGEBEN</x:v>
      </x:c>
      <x:c r="P443" s="36" t="str">
        <x:v>FREIGEGEBEN</x:v>
      </x:c>
      <x:c r="Q443" s="36" t="str">
        <x:v>JA</x:v>
      </x:c>
    </x:row>
    <x:row r="444">
      <x:c r="A444" s="36" t="str">
        <x:v>FP-0703</x:v>
      </x:c>
      <x:c r="B444" s="36" t="str">
        <x:v>JHN</x:v>
      </x:c>
      <x:c r="C444" s="36" t="str">
        <x:v>Johannes</x:v>
      </x:c>
      <x:c r="D444" s="36" t="n">
        <x:v>21</x:v>
      </x:c>
      <x:c r="E444" s="36" t="n">
        <x:v>3</x:v>
      </x:c>
      <x:c r="F444" s="36" t="str">
        <x:v>Wie oft fragt Jesus Petrus nach seiner Liebe zu ihm?</x:v>
      </x:c>
      <x:c r="G444" s="36" t="str">
        <x:v>Dreimal.</x:v>
      </x:c>
      <x:c r="H444" s="36" t="str">
        <x:v>Einmal.</x:v>
      </x:c>
      <x:c r="I444" s="36" t="str">
        <x:v>Zweimal.</x:v>
      </x:c>
      <x:c r="J444" s="36" t="str">
        <x:v>Siebenmal.</x:v>
      </x:c>
      <x:c r="K444" s="36" t="n">
        <x:v>0</x:v>
      </x:c>
      <x:c r="L444" s="36" t="str">
        <x:v>Dreimal.</x:v>
      </x:c>
      <x:c r="M444" s="36" t="str">
        <x:v>Johannes 21,15–17</x:v>
      </x:c>
      <x:c r="N444" s="36" t="str">
        <x:v>Die dreifache Frage entspricht auffällig der dreifachen Verleugnung und wird jeweils mit einem Auftrag an Petrus verbunden.</x:v>
      </x:c>
      <x:c r="O444" s="36" t="str">
        <x:v>FREIGEGEBEN</x:v>
      </x:c>
      <x:c r="P444" s="36" t="str">
        <x:v>FREIGEGEBEN</x:v>
      </x:c>
      <x:c r="Q444" s="36" t="str">
        <x:v>JA</x:v>
      </x:c>
    </x:row>
    <x:row r="445">
      <x:c r="A445" s="36" t="str">
        <x:v>FP-0704</x:v>
      </x:c>
      <x:c r="B445" s="36" t="str">
        <x:v>JHN</x:v>
      </x:c>
      <x:c r="C445" s="36" t="str">
        <x:v>Johannes</x:v>
      </x:c>
      <x:c r="D445" s="36" t="n">
        <x:v>21</x:v>
      </x:c>
      <x:c r="E445" s="36" t="n">
        <x:v>4</x:v>
      </x:c>
      <x:c r="F445" s="36" t="str">
        <x:v>Welchen Auftrag verbindet Jesus mit Petrus' Liebesbekenntnis?</x:v>
      </x:c>
      <x:c r="G445" s="36" t="str">
        <x:v>Er soll nach Rom gehen und König werden.</x:v>
      </x:c>
      <x:c r="H445" s="36" t="str">
        <x:v>Er soll Jesu Lämmer beziehungsweise Schafe weiden.</x:v>
      </x:c>
      <x:c r="I445" s="36" t="str">
        <x:v>Er soll den Tempel verwalten.</x:v>
      </x:c>
      <x:c r="J445" s="36" t="str">
        <x:v>Er soll die anderen Jünger verlassen.</x:v>
      </x:c>
      <x:c r="K445" s="36" t="n">
        <x:v>1</x:v>
      </x:c>
      <x:c r="L445" s="36" t="str">
        <x:v>Er soll Jesu Lämmer beziehungsweise Schafe weiden.</x:v>
      </x:c>
      <x:c r="M445" s="36" t="str">
        <x:v>Johannes 21,15–17</x:v>
      </x:c>
      <x:c r="N445" s="36" t="str">
        <x:v>Jesu wiederholte Aufforderung richtet Petrus auf die Fürsorge für Jesu Herde aus.</x:v>
      </x:c>
      <x:c r="O445" s="36" t="str">
        <x:v>FREIGEGEBEN</x:v>
      </x:c>
      <x:c r="P445" s="36" t="str">
        <x:v>FREIGEGEBEN</x:v>
      </x:c>
      <x:c r="Q445" s="36" t="str">
        <x:v>JA</x:v>
      </x:c>
    </x:row>
    <x:row r="446">
      <x:c r="A446" s="36" t="str">
        <x:v>FP-0705</x:v>
      </x:c>
      <x:c r="B446" s="36" t="str">
        <x:v>JHN</x:v>
      </x:c>
      <x:c r="C446" s="36" t="str">
        <x:v>Johannes</x:v>
      </x:c>
      <x:c r="D446" s="36" t="n">
        <x:v>21</x:v>
      </x:c>
      <x:c r="E446" s="36" t="n">
        <x:v>5</x:v>
      </x:c>
      <x:c r="F446" s="36" t="str">
        <x:v>Wie reagiert Jesus auf Petrus' Frage nach dem Schicksal des anderen Jüngers?</x:v>
      </x:c>
      <x:c r="G446" s="36" t="str">
        <x:v>Petrus soll dessen Zukunft bestimmen.</x:v>
      </x:c>
      <x:c r="H446" s="36" t="str">
        <x:v>Der andere Jünger soll Petrus folgen.</x:v>
      </x:c>
      <x:c r="I446" s="36" t="str">
        <x:v>Petrus soll sich nicht auf dessen Weg fixieren, sondern Jesus selbst nachfolgen.</x:v>
      </x:c>
      <x:c r="J446" s="36" t="str">
        <x:v>Beide sollen ihre Nachfolge beenden.</x:v>
      </x:c>
      <x:c r="K446" s="36" t="n">
        <x:v>2</x:v>
      </x:c>
      <x:c r="L446" s="36" t="str">
        <x:v>Petrus soll sich nicht auf dessen Weg fixieren, sondern Jesus selbst nachfolgen.</x:v>
      </x:c>
      <x:c r="M446" s="36" t="str">
        <x:v>Johannes 21,20–22</x:v>
      </x:c>
      <x:c r="N446" s="36" t="str">
        <x:v>Jesus lenkt Petrus von Spekulationen über den anderen Jünger zurück auf den eigenen Ruf: „Folge du mir nach.“</x:v>
      </x:c>
      <x:c r="O446" s="36" t="str">
        <x:v>FREIGEGEBEN</x:v>
      </x:c>
      <x:c r="P446" s="36" t="str">
        <x:v>FREIGEGEBEN</x:v>
      </x:c>
      <x:c r="Q446" s="36" t="str">
        <x:v>JA</x:v>
      </x:c>
    </x:row>
    <x:row r="447">
      <x:c r="A447" s="36" t="str">
        <x:f>FRAGEN_MASTER!A447</x:f>
        <x:v>FP-0706</x:v>
      </x:c>
      <x:c r="B447" s="36" t="str">
        <x:f>FRAGEN_MASTER!B447</x:f>
        <x:v>ACT</x:v>
      </x:c>
      <x:c r="C447" s="36" t="str">
        <x:f>FRAGEN_MASTER!C447</x:f>
        <x:v>Apostelgeschichte</x:v>
      </x:c>
      <x:c r="D447" s="36" t="n">
        <x:f>FRAGEN_MASTER!D447</x:f>
        <x:v>1</x:v>
      </x:c>
      <x:c r="E447" s="36" t="n">
        <x:f>FRAGEN_MASTER!E447</x:f>
        <x:v>1</x:v>
      </x:c>
      <x:c r="F447" s="36" t="str">
        <x:f>FRAGEN_MASTER!Q447</x:f>
        <x:v>Worauf sollen die Jünger nach Jesu Anweisung in Jerusalem warten?</x:v>
      </x:c>
      <x:c r="G447" s="36" t="str">
        <x:f>FRAGEN_MASTER!R447</x:f>
        <x:v>Auf einen neuen König Israels.</x:v>
      </x:c>
      <x:c r="H447" s="36" t="str">
        <x:f>FRAGEN_MASTER!S447</x:f>
        <x:v>Auf die Rückkehr Johannes des Täufers.</x:v>
      </x:c>
      <x:c r="I447" s="36" t="str">
        <x:f>FRAGEN_MASTER!T447</x:f>
        <x:v>Auf eine Botschaft des Hohenpriesters.</x:v>
      </x:c>
      <x:c r="J447" s="36" t="str">
        <x:f>FRAGEN_MASTER!U447</x:f>
        <x:v>Auf die Verheißung des Vaters, die Taufe mit dem Heiligen Geist.</x:v>
      </x:c>
      <x:c r="K447" s="36" t="n">
        <x:f>FRAGEN_MASTER!V447</x:f>
        <x:v>3</x:v>
      </x:c>
      <x:c r="L447" s="36" t="str">
        <x:f>FRAGEN_MASTER!W447</x:f>
        <x:v>Auf die Verheißung des Vaters, die Taufe mit dem Heiligen Geist.</x:v>
      </x:c>
      <x:c r="M447" s="36" t="str">
        <x:f>FRAGEN_MASTER!X447</x:f>
        <x:v>Apostelgeschichte 1,4–5</x:v>
      </x:c>
      <x:c r="N447" s="36" t="str">
        <x:f>FRAGEN_MASTER!Y447</x:f>
        <x:v>Jesus weist die Jünger an, Jerusalem nicht zu verlassen, sondern auf die verheißene Gabe des Heiligen Geistes zu warten.</x:v>
      </x:c>
      <x:c r="O447" s="36" t="str">
        <x:f>FRAGEN_MASTER!AG447</x:f>
        <x:v>FREIGEGEBEN</x:v>
      </x:c>
      <x:c r="P447" s="36" t="str">
        <x:f>FRAGEN_MASTER!AI447</x:f>
        <x:v>FREIGEGEBEN</x:v>
      </x:c>
      <x:c r="Q447" s="36" t="str">
        <x:f>FRAGEN_MASTER!AL447</x:f>
        <x:v>JA</x:v>
      </x:c>
    </x:row>
    <x:row r="448">
      <x:c r="A448" s="36" t="str">
        <x:f>FRAGEN_MASTER!A448</x:f>
        <x:v>FP-0707</x:v>
      </x:c>
      <x:c r="B448" s="36" t="str">
        <x:f>FRAGEN_MASTER!B448</x:f>
        <x:v>ACT</x:v>
      </x:c>
      <x:c r="C448" s="36" t="str">
        <x:f>FRAGEN_MASTER!C448</x:f>
        <x:v>Apostelgeschichte</x:v>
      </x:c>
      <x:c r="D448" s="36" t="n">
        <x:f>FRAGEN_MASTER!D448</x:f>
        <x:v>1</x:v>
      </x:c>
      <x:c r="E448" s="36" t="n">
        <x:f>FRAGEN_MASTER!E448</x:f>
        <x:v>2</x:v>
      </x:c>
      <x:c r="F448" s="36" t="str">
        <x:f>FRAGEN_MASTER!Q448</x:f>
        <x:v>Welchen Auftrag verbindet Jesus mit dem Empfang des Heiligen Geistes?</x:v>
      </x:c>
      <x:c r="G448" s="36" t="str">
        <x:f>FRAGEN_MASTER!R448</x:f>
        <x:v>Die Jünger sollen seine Zeugen bis an das Ende der Erde sein.</x:v>
      </x:c>
      <x:c r="H448" s="36" t="str">
        <x:f>FRAGEN_MASTER!S448</x:f>
        <x:v>Sie sollen nur in Jerusalem bleiben.</x:v>
      </x:c>
      <x:c r="I448" s="36" t="str">
        <x:f>FRAGEN_MASTER!T448</x:f>
        <x:v>Sie sollen zuerst den Tempel übernehmen.</x:v>
      </x:c>
      <x:c r="J448" s="36" t="str">
        <x:f>FRAGEN_MASTER!U448</x:f>
        <x:v>Sie sollen ein politisches Reich errichten.</x:v>
      </x:c>
      <x:c r="K448" s="36" t="n">
        <x:f>FRAGEN_MASTER!V448</x:f>
        <x:v>0</x:v>
      </x:c>
      <x:c r="L448" s="36" t="str">
        <x:f>FRAGEN_MASTER!W448</x:f>
        <x:v>Die Jünger sollen seine Zeugen bis an das Ende der Erde sein.</x:v>
      </x:c>
      <x:c r="M448" s="36" t="str">
        <x:f>FRAGEN_MASTER!X448</x:f>
        <x:v>Apostelgeschichte 1,8</x:v>
      </x:c>
      <x:c r="N448" s="36" t="str">
        <x:f>FRAGEN_MASTER!Y448</x:f>
        <x:v>Die Kraft des Heiligen Geistes steht unmittelbar mit dem weltweiten Zeugnis für Jesus in Verbindung.</x:v>
      </x:c>
      <x:c r="O448" s="36" t="str">
        <x:f>FRAGEN_MASTER!AG448</x:f>
        <x:v>FREIGEGEBEN</x:v>
      </x:c>
      <x:c r="P448" s="36" t="str">
        <x:f>FRAGEN_MASTER!AI448</x:f>
        <x:v>FREIGEGEBEN</x:v>
      </x:c>
      <x:c r="Q448" s="36" t="str">
        <x:f>FRAGEN_MASTER!AL448</x:f>
        <x:v>JA</x:v>
      </x:c>
    </x:row>
    <x:row r="449">
      <x:c r="A449" s="36" t="str">
        <x:f>FRAGEN_MASTER!A449</x:f>
        <x:v>FP-0708</x:v>
      </x:c>
      <x:c r="B449" s="36" t="str">
        <x:f>FRAGEN_MASTER!B449</x:f>
        <x:v>ACT</x:v>
      </x:c>
      <x:c r="C449" s="36" t="str">
        <x:f>FRAGEN_MASTER!C449</x:f>
        <x:v>Apostelgeschichte</x:v>
      </x:c>
      <x:c r="D449" s="36" t="n">
        <x:f>FRAGEN_MASTER!D449</x:f>
        <x:v>1</x:v>
      </x:c>
      <x:c r="E449" s="36" t="n">
        <x:f>FRAGEN_MASTER!E449</x:f>
        <x:v>3</x:v>
      </x:c>
      <x:c r="F449" s="36" t="str">
        <x:f>FRAGEN_MASTER!Q449</x:f>
        <x:v>Was geschieht, nachdem Jesus vor den Augen der Jünger emporgehoben wird?</x:v>
      </x:c>
      <x:c r="G449" s="36" t="str">
        <x:f>FRAGEN_MASTER!R449</x:f>
        <x:v>Er kehrt sofort auf den Ölberg zurück.</x:v>
      </x:c>
      <x:c r="H449" s="36" t="str">
        <x:f>FRAGEN_MASTER!S449</x:f>
        <x:v>Eine Wolke nimmt ihn auf, und zwei Männer kündigen seine Wiederkunft an.</x:v>
      </x:c>
      <x:c r="I449" s="36" t="str">
        <x:f>FRAGEN_MASTER!T449</x:f>
        <x:v>Die Jünger folgen ihm in den Himmel.</x:v>
      </x:c>
      <x:c r="J449" s="36" t="str">
        <x:f>FRAGEN_MASTER!U449</x:f>
        <x:v>Der Tempelvorhang zerreißt.</x:v>
      </x:c>
      <x:c r="K449" s="36" t="n">
        <x:f>FRAGEN_MASTER!V449</x:f>
        <x:v>1</x:v>
      </x:c>
      <x:c r="L449" s="36" t="str">
        <x:f>FRAGEN_MASTER!W449</x:f>
        <x:v>Eine Wolke nimmt ihn auf, und zwei Männer kündigen seine Wiederkunft an.</x:v>
      </x:c>
      <x:c r="M449" s="36" t="str">
        <x:f>FRAGEN_MASTER!X449</x:f>
        <x:v>Apostelgeschichte 1,9–11</x:v>
      </x:c>
      <x:c r="N449" s="36" t="str">
        <x:f>FRAGEN_MASTER!Y449</x:f>
        <x:v>Jesus wird vor ihren Augen aufgenommen; zwei Männer erklären, dass er auf entsprechende Weise wiederkommen wird.</x:v>
      </x:c>
      <x:c r="O449" s="36" t="str">
        <x:f>FRAGEN_MASTER!AG449</x:f>
        <x:v>FREIGEGEBEN</x:v>
      </x:c>
      <x:c r="P449" s="36" t="str">
        <x:f>FRAGEN_MASTER!AI449</x:f>
        <x:v>FREIGEGEBEN</x:v>
      </x:c>
      <x:c r="Q449" s="36" t="str">
        <x:f>FRAGEN_MASTER!AL449</x:f>
        <x:v>JA</x:v>
      </x:c>
    </x:row>
    <x:row r="450">
      <x:c r="A450" s="36" t="str">
        <x:f>FRAGEN_MASTER!A450</x:f>
        <x:v>FP-0709</x:v>
      </x:c>
      <x:c r="B450" s="36" t="str">
        <x:f>FRAGEN_MASTER!B450</x:f>
        <x:v>ACT</x:v>
      </x:c>
      <x:c r="C450" s="36" t="str">
        <x:f>FRAGEN_MASTER!C450</x:f>
        <x:v>Apostelgeschichte</x:v>
      </x:c>
      <x:c r="D450" s="36" t="n">
        <x:f>FRAGEN_MASTER!D450</x:f>
        <x:v>1</x:v>
      </x:c>
      <x:c r="E450" s="36" t="n">
        <x:f>FRAGEN_MASTER!E450</x:f>
        <x:v>4</x:v>
      </x:c>
      <x:c r="F450" s="36" t="str">
        <x:f>FRAGEN_MASTER!Q450</x:f>
        <x:v>Warum soll nach Petrus' Rede ein anderer den Platz des Judas übernehmen?</x:v>
      </x:c>
      <x:c r="G450" s="36" t="str">
        <x:f>FRAGEN_MASTER!R450</x:f>
        <x:v>Weil Judas nach Galiläa gezogen ist.</x:v>
      </x:c>
      <x:c r="H450" s="36" t="str">
        <x:f>FRAGEN_MASTER!S450</x:f>
        <x:v>Weil Petrus die Zahl der Apostel erhöhen möchte.</x:v>
      </x:c>
      <x:c r="I450" s="36" t="str">
        <x:f>FRAGEN_MASTER!T450</x:f>
        <x:v>Weil Judas' Verrat und Ende als Erfüllung der Schrift gedeutet werden und sein Dienstamt neu besetzt werden soll.</x:v>
      </x:c>
      <x:c r="J450" s="36" t="str">
        <x:f>FRAGEN_MASTER!U450</x:f>
        <x:v>Weil die Römer dies verlangen.</x:v>
      </x:c>
      <x:c r="K450" s="36" t="n">
        <x:f>FRAGEN_MASTER!V450</x:f>
        <x:v>2</x:v>
      </x:c>
      <x:c r="L450" s="36" t="str">
        <x:f>FRAGEN_MASTER!W450</x:f>
        <x:v>Weil Judas' Verrat und Ende als Erfüllung der Schrift gedeutet werden und sein Dienstamt neu besetzt werden soll.</x:v>
      </x:c>
      <x:c r="M450" s="36" t="str">
        <x:f>FRAGEN_MASTER!X450</x:f>
        <x:v>Apostelgeschichte 1,15–20</x:v>
      </x:c>
      <x:c r="N450" s="36" t="str">
        <x:f>FRAGEN_MASTER!Y450</x:f>
        <x:v>Petrus deutet die Ereignisse um Judas mit der Schrift und leitet daraus die Neubesetzung seines Dienstes ab.</x:v>
      </x:c>
      <x:c r="O450" s="36" t="str">
        <x:f>FRAGEN_MASTER!AG450</x:f>
        <x:v>FREIGEGEBEN</x:v>
      </x:c>
      <x:c r="P450" s="36" t="str">
        <x:f>FRAGEN_MASTER!AI450</x:f>
        <x:v>FREIGEGEBEN</x:v>
      </x:c>
      <x:c r="Q450" s="36" t="str">
        <x:f>FRAGEN_MASTER!AL450</x:f>
        <x:v>JA</x:v>
      </x:c>
    </x:row>
    <x:row r="451">
      <x:c r="A451" s="36" t="str">
        <x:f>FRAGEN_MASTER!A451</x:f>
        <x:v>FP-0710</x:v>
      </x:c>
      <x:c r="B451" s="36" t="str">
        <x:f>FRAGEN_MASTER!B451</x:f>
        <x:v>ACT</x:v>
      </x:c>
      <x:c r="C451" s="36" t="str">
        <x:f>FRAGEN_MASTER!C451</x:f>
        <x:v>Apostelgeschichte</x:v>
      </x:c>
      <x:c r="D451" s="36" t="n">
        <x:f>FRAGEN_MASTER!D451</x:f>
        <x:v>1</x:v>
      </x:c>
      <x:c r="E451" s="36" t="n">
        <x:f>FRAGEN_MASTER!E451</x:f>
        <x:v>5</x:v>
      </x:c>
      <x:c r="F451" s="36" t="str">
        <x:f>FRAGEN_MASTER!Q451</x:f>
        <x:v>Wer wird als Nachfolger des Judas zu den elf Aposteln gezählt?</x:v>
      </x:c>
      <x:c r="G451" s="36" t="str">
        <x:f>FRAGEN_MASTER!R451</x:f>
        <x:v>Barnabas.</x:v>
      </x:c>
      <x:c r="H451" s="36" t="str">
        <x:f>FRAGEN_MASTER!S451</x:f>
        <x:v>Stephanus.</x:v>
      </x:c>
      <x:c r="I451" s="36" t="str">
        <x:f>FRAGEN_MASTER!T451</x:f>
        <x:v>Silas.</x:v>
      </x:c>
      <x:c r="J451" s="36" t="str">
        <x:f>FRAGEN_MASTER!U451</x:f>
        <x:v>Matthias.</x:v>
      </x:c>
      <x:c r="K451" s="36" t="n">
        <x:f>FRAGEN_MASTER!V451</x:f>
        <x:v>3</x:v>
      </x:c>
      <x:c r="L451" s="36" t="str">
        <x:f>FRAGEN_MASTER!W451</x:f>
        <x:v>Matthias.</x:v>
      </x:c>
      <x:c r="M451" s="36" t="str">
        <x:f>FRAGEN_MASTER!X451</x:f>
        <x:v>Apostelgeschichte 1,21–26</x:v>
      </x:c>
      <x:c r="N451" s="36" t="str">
        <x:f>FRAGEN_MASTER!Y451</x:f>
        <x:v>Nach Gebet und Los fällt die Wahl auf Matthias, der zu den elf Aposteln hinzugezählt wird.</x:v>
      </x:c>
      <x:c r="O451" s="36" t="str">
        <x:f>FRAGEN_MASTER!AG451</x:f>
        <x:v>FREIGEGEBEN</x:v>
      </x:c>
      <x:c r="P451" s="36" t="str">
        <x:f>FRAGEN_MASTER!AI451</x:f>
        <x:v>FREIGEGEBEN</x:v>
      </x:c>
      <x:c r="Q451" s="36" t="str">
        <x:f>FRAGEN_MASTER!AL451</x:f>
        <x:v>JA</x:v>
      </x:c>
    </x:row>
    <x:row r="452">
      <x:c r="A452" s="36" t="str">
        <x:f>FRAGEN_MASTER!A452</x:f>
        <x:v>FP-0711</x:v>
      </x:c>
      <x:c r="B452" s="36" t="str">
        <x:f>FRAGEN_MASTER!B452</x:f>
        <x:v>ACT</x:v>
      </x:c>
      <x:c r="C452" s="36" t="str">
        <x:f>FRAGEN_MASTER!C452</x:f>
        <x:v>Apostelgeschichte</x:v>
      </x:c>
      <x:c r="D452" s="36" t="n">
        <x:f>FRAGEN_MASTER!D452</x:f>
        <x:v>2</x:v>
      </x:c>
      <x:c r="E452" s="36" t="n">
        <x:f>FRAGEN_MASTER!E452</x:f>
        <x:v>1</x:v>
      </x:c>
      <x:c r="F452" s="36" t="str">
        <x:f>FRAGEN_MASTER!Q452</x:f>
        <x:v>Was geschieht am Pfingsttag mit den versammelten Jüngern?</x:v>
      </x:c>
      <x:c r="G452" s="36" t="str">
        <x:f>FRAGEN_MASTER!R452</x:f>
        <x:v>Sie werden mit dem Heiligen Geist erfüllt und beginnen in anderen Sprachen zu reden.</x:v>
      </x:c>
      <x:c r="H452" s="36" t="str">
        <x:f>FRAGEN_MASTER!S452</x:f>
        <x:v>Sie verlassen Jerusalem heimlich.</x:v>
      </x:c>
      <x:c r="I452" s="36" t="str">
        <x:f>FRAGEN_MASTER!T452</x:f>
        <x:v>Sie wählen einen neuen Apostel.</x:v>
      </x:c>
      <x:c r="J452" s="36" t="str">
        <x:f>FRAGEN_MASTER!U452</x:f>
        <x:v>Sie werden von den Römern verhaftet.</x:v>
      </x:c>
      <x:c r="K452" s="36" t="n">
        <x:f>FRAGEN_MASTER!V452</x:f>
        <x:v>0</x:v>
      </x:c>
      <x:c r="L452" s="36" t="str">
        <x:f>FRAGEN_MASTER!W452</x:f>
        <x:v>Sie werden mit dem Heiligen Geist erfüllt und beginnen in anderen Sprachen zu reden.</x:v>
      </x:c>
      <x:c r="M452" s="36" t="str">
        <x:f>FRAGEN_MASTER!X452</x:f>
        <x:v>Apostelgeschichte 2,1–4</x:v>
      </x:c>
      <x:c r="N452" s="36" t="str">
        <x:f>FRAGEN_MASTER!Y452</x:f>
        <x:v>Am Pfingsttag erfüllt der Heilige Geist die Versammelten, und sie reden in anderen Sprachen, wie der Geist es ihnen eingibt.</x:v>
      </x:c>
      <x:c r="O452" s="36" t="str">
        <x:f>FRAGEN_MASTER!AG452</x:f>
        <x:v>FREIGEGEBEN</x:v>
      </x:c>
      <x:c r="P452" s="36" t="str">
        <x:f>FRAGEN_MASTER!AI452</x:f>
        <x:v>FREIGEGEBEN</x:v>
      </x:c>
      <x:c r="Q452" s="36" t="str">
        <x:f>FRAGEN_MASTER!AL452</x:f>
        <x:v>JA</x:v>
      </x:c>
    </x:row>
    <x:row r="453">
      <x:c r="A453" s="36" t="str">
        <x:f>FRAGEN_MASTER!A453</x:f>
        <x:v>FP-0712</x:v>
      </x:c>
      <x:c r="B453" s="36" t="str">
        <x:f>FRAGEN_MASTER!B453</x:f>
        <x:v>ACT</x:v>
      </x:c>
      <x:c r="C453" s="36" t="str">
        <x:f>FRAGEN_MASTER!C453</x:f>
        <x:v>Apostelgeschichte</x:v>
      </x:c>
      <x:c r="D453" s="36" t="n">
        <x:f>FRAGEN_MASTER!D453</x:f>
        <x:v>2</x:v>
      </x:c>
      <x:c r="E453" s="36" t="n">
        <x:f>FRAGEN_MASTER!E453</x:f>
        <x:v>2</x:v>
      </x:c>
      <x:c r="F453" s="36" t="str">
        <x:f>FRAGEN_MASTER!Q453</x:f>
        <x:v>Mit welcher prophetischen Verheißung erklärt Petrus das Pfingstgeschehen?</x:v>
      </x:c>
      <x:c r="G453" s="36" t="str">
        <x:f>FRAGEN_MASTER!R453</x:f>
        <x:v>Mit der Ankündigung eines neuen Tempels.</x:v>
      </x:c>
      <x:c r="H453" s="36" t="str">
        <x:f>FRAGEN_MASTER!S453</x:f>
        <x:v>Mit der Verheißung, dass Gott seinen Geist über alles Fleisch ausgießen wird.</x:v>
      </x:c>
      <x:c r="I453" s="36" t="str">
        <x:f>FRAGEN_MASTER!T453</x:f>
        <x:v>Mit der Verheißung eines irdischen Königs aus Rom.</x:v>
      </x:c>
      <x:c r="J453" s="36" t="str">
        <x:f>FRAGEN_MASTER!U453</x:f>
        <x:v>Mit dem Gebot, nach Ägypten zurückzukehren.</x:v>
      </x:c>
      <x:c r="K453" s="36" t="n">
        <x:f>FRAGEN_MASTER!V453</x:f>
        <x:v>1</x:v>
      </x:c>
      <x:c r="L453" s="36" t="str">
        <x:f>FRAGEN_MASTER!W453</x:f>
        <x:v>Mit der Verheißung, dass Gott seinen Geist über alles Fleisch ausgießen wird.</x:v>
      </x:c>
      <x:c r="M453" s="36" t="str">
        <x:f>FRAGEN_MASTER!X453</x:f>
        <x:v>Apostelgeschichte 2,14–21</x:v>
      </x:c>
      <x:c r="N453" s="36" t="str">
        <x:f>FRAGEN_MASTER!Y453</x:f>
        <x:v>Petrus greift die Verheißung des Propheten Joel von der Ausgießung des Geistes auf.</x:v>
      </x:c>
      <x:c r="O453" s="36" t="str">
        <x:f>FRAGEN_MASTER!AG453</x:f>
        <x:v>FREIGEGEBEN</x:v>
      </x:c>
      <x:c r="P453" s="36" t="str">
        <x:f>FRAGEN_MASTER!AI453</x:f>
        <x:v>FREIGEGEBEN</x:v>
      </x:c>
      <x:c r="Q453" s="36" t="str">
        <x:f>FRAGEN_MASTER!AL453</x:f>
        <x:v>JA</x:v>
      </x:c>
    </x:row>
    <x:row r="454">
      <x:c r="A454" s="36" t="str">
        <x:f>FRAGEN_MASTER!A454</x:f>
        <x:v>FP-0713</x:v>
      </x:c>
      <x:c r="B454" s="36" t="str">
        <x:f>FRAGEN_MASTER!B454</x:f>
        <x:v>ACT</x:v>
      </x:c>
      <x:c r="C454" s="36" t="str">
        <x:f>FRAGEN_MASTER!C454</x:f>
        <x:v>Apostelgeschichte</x:v>
      </x:c>
      <x:c r="D454" s="36" t="n">
        <x:f>FRAGEN_MASTER!D454</x:f>
        <x:v>2</x:v>
      </x:c>
      <x:c r="E454" s="36" t="n">
        <x:f>FRAGEN_MASTER!E454</x:f>
        <x:v>3</x:v>
      </x:c>
      <x:c r="F454" s="36" t="str">
        <x:f>FRAGEN_MASTER!Q454</x:f>
        <x:v>Was sollen die Zuhörer tun, nachdem Petrus Jesus als Herrn und Christus verkündet hat?</x:v>
      </x:c>
      <x:c r="G454" s="36" t="str">
        <x:f>FRAGEN_MASTER!R454</x:f>
        <x:v>Jerusalem sofort verlassen.</x:v>
      </x:c>
      <x:c r="H454" s="36" t="str">
        <x:f>FRAGEN_MASTER!S454</x:f>
        <x:v>Nur ein Opfer im Tempel bringen.</x:v>
      </x:c>
      <x:c r="I454" s="36" t="str">
        <x:f>FRAGEN_MASTER!T454</x:f>
        <x:v>Umkehren und sich auf den Namen Jesu Christi taufen lassen.</x:v>
      </x:c>
      <x:c r="J454" s="36" t="str">
        <x:f>FRAGEN_MASTER!U454</x:f>
        <x:v>Eine neue Synagoge gründen.</x:v>
      </x:c>
      <x:c r="K454" s="36" t="n">
        <x:f>FRAGEN_MASTER!V454</x:f>
        <x:v>2</x:v>
      </x:c>
      <x:c r="L454" s="36" t="str">
        <x:f>FRAGEN_MASTER!W454</x:f>
        <x:v>Umkehren und sich auf den Namen Jesu Christi taufen lassen.</x:v>
      </x:c>
      <x:c r="M454" s="36" t="str">
        <x:f>FRAGEN_MASTER!X454</x:f>
        <x:v>Apostelgeschichte 2,36–41</x:v>
      </x:c>
      <x:c r="N454" s="36" t="str">
        <x:f>FRAGEN_MASTER!Y454</x:f>
        <x:v>Petrus ruft zur Umkehr und Taufe auf; etwa dreitausend Menschen nehmen die Botschaft an.</x:v>
      </x:c>
      <x:c r="O454" s="36" t="str">
        <x:f>FRAGEN_MASTER!AG454</x:f>
        <x:v>FREIGEGEBEN</x:v>
      </x:c>
      <x:c r="P454" s="36" t="str">
        <x:f>FRAGEN_MASTER!AI454</x:f>
        <x:v>FREIGEGEBEN</x:v>
      </x:c>
      <x:c r="Q454" s="36" t="str">
        <x:f>FRAGEN_MASTER!AL454</x:f>
        <x:v>JA</x:v>
      </x:c>
    </x:row>
    <x:row r="455">
      <x:c r="A455" s="36" t="str">
        <x:f>FRAGEN_MASTER!A455</x:f>
        <x:v>FP-0714</x:v>
      </x:c>
      <x:c r="B455" s="36" t="str">
        <x:f>FRAGEN_MASTER!B455</x:f>
        <x:v>ACT</x:v>
      </x:c>
      <x:c r="C455" s="36" t="str">
        <x:f>FRAGEN_MASTER!C455</x:f>
        <x:v>Apostelgeschichte</x:v>
      </x:c>
      <x:c r="D455" s="36" t="n">
        <x:f>FRAGEN_MASTER!D455</x:f>
        <x:v>2</x:v>
      </x:c>
      <x:c r="E455" s="36" t="n">
        <x:f>FRAGEN_MASTER!E455</x:f>
        <x:v>4</x:v>
      </x:c>
      <x:c r="F455" s="36" t="str">
        <x:f>FRAGEN_MASTER!Q455</x:f>
        <x:v>Worin bleibt die junge Gemeinde nach Apostelgeschichte 2,42 beständig?</x:v>
      </x:c>
      <x:c r="G455" s="36" t="str">
        <x:f>FRAGEN_MASTER!R455</x:f>
        <x:v>Nur im Fasten und Schweigen.</x:v>
      </x:c>
      <x:c r="H455" s="36" t="str">
        <x:f>FRAGEN_MASTER!S455</x:f>
        <x:v>Nur im Tempelopfer.</x:v>
      </x:c>
      <x:c r="I455" s="36" t="str">
        <x:f>FRAGEN_MASTER!T455</x:f>
        <x:v>In politischen Versammlungen.</x:v>
      </x:c>
      <x:c r="J455" s="36" t="str">
        <x:f>FRAGEN_MASTER!U455</x:f>
        <x:v>In der Lehre der Apostel, Gemeinschaft, Brotbrechen und Gebeten.</x:v>
      </x:c>
      <x:c r="K455" s="36" t="n">
        <x:f>FRAGEN_MASTER!V455</x:f>
        <x:v>3</x:v>
      </x:c>
      <x:c r="L455" s="36" t="str">
        <x:f>FRAGEN_MASTER!W455</x:f>
        <x:v>In der Lehre der Apostel, Gemeinschaft, Brotbrechen und Gebeten.</x:v>
      </x:c>
      <x:c r="M455" s="36" t="str">
        <x:f>FRAGEN_MASTER!X455</x:f>
        <x:v>Apostelgeschichte 2,42</x:v>
      </x:c>
      <x:c r="N455" s="36" t="str">
        <x:f>FRAGEN_MASTER!Y455</x:f>
        <x:v>Lukas nennt vier prägende Elemente: apostolische Lehre, Gemeinschaft, Brotbrechen und Gebet.</x:v>
      </x:c>
      <x:c r="O455" s="36" t="str">
        <x:f>FRAGEN_MASTER!AG455</x:f>
        <x:v>FREIGEGEBEN</x:v>
      </x:c>
      <x:c r="P455" s="36" t="str">
        <x:f>FRAGEN_MASTER!AI455</x:f>
        <x:v>FREIGEGEBEN</x:v>
      </x:c>
      <x:c r="Q455" s="36" t="str">
        <x:f>FRAGEN_MASTER!AL455</x:f>
        <x:v>JA</x:v>
      </x:c>
    </x:row>
    <x:row r="456">
      <x:c r="A456" s="36" t="str">
        <x:f>FRAGEN_MASTER!A456</x:f>
        <x:v>FP-0715</x:v>
      </x:c>
      <x:c r="B456" s="36" t="str">
        <x:f>FRAGEN_MASTER!B456</x:f>
        <x:v>ACT</x:v>
      </x:c>
      <x:c r="C456" s="36" t="str">
        <x:f>FRAGEN_MASTER!C456</x:f>
        <x:v>Apostelgeschichte</x:v>
      </x:c>
      <x:c r="D456" s="36" t="n">
        <x:f>FRAGEN_MASTER!D456</x:f>
        <x:v>2</x:v>
      </x:c>
      <x:c r="E456" s="36" t="n">
        <x:f>FRAGEN_MASTER!E456</x:f>
        <x:v>5</x:v>
      </x:c>
      <x:c r="F456" s="36" t="str">
        <x:f>FRAGEN_MASTER!Q456</x:f>
        <x:v>Wie wird das gemeinsame Leben der ersten Gläubigen beschrieben?</x:v>
      </x:c>
      <x:c r="G456" s="36" t="str">
        <x:f>FRAGEN_MASTER!R456</x:f>
        <x:v>Sie teilen Besitz nach Bedarf, treffen sich miteinander und loben Gott.</x:v>
      </x:c>
      <x:c r="H456" s="36" t="str">
        <x:f>FRAGEN_MASTER!S456</x:f>
        <x:v>Jeder lebt bewusst völlig isoliert.</x:v>
      </x:c>
      <x:c r="I456" s="36" t="str">
        <x:f>FRAGEN_MASTER!T456</x:f>
        <x:v>Niemand hilft Bedürftigen.</x:v>
      </x:c>
      <x:c r="J456" s="36" t="str">
        <x:f>FRAGEN_MASTER!U456</x:f>
        <x:v>Sie verlassen Jerusalem noch am selben Tag.</x:v>
      </x:c>
      <x:c r="K456" s="36" t="n">
        <x:f>FRAGEN_MASTER!V456</x:f>
        <x:v>0</x:v>
      </x:c>
      <x:c r="L456" s="36" t="str">
        <x:f>FRAGEN_MASTER!W456</x:f>
        <x:v>Sie teilen Besitz nach Bedarf, treffen sich miteinander und loben Gott.</x:v>
      </x:c>
      <x:c r="M456" s="36" t="str">
        <x:f>FRAGEN_MASTER!X456</x:f>
        <x:v>Apostelgeschichte 2,44–47</x:v>
      </x:c>
      <x:c r="N456" s="36" t="str">
        <x:f>FRAGEN_MASTER!Y456</x:f>
        <x:v>Die Gemeinde ist von Gemeinschaft, Teilen, gemeinsamen Mahlzeiten und Gotteslob geprägt.</x:v>
      </x:c>
      <x:c r="O456" s="36" t="str">
        <x:f>FRAGEN_MASTER!AG456</x:f>
        <x:v>FREIGEGEBEN</x:v>
      </x:c>
      <x:c r="P456" s="36" t="str">
        <x:f>FRAGEN_MASTER!AI456</x:f>
        <x:v>FREIGEGEBEN</x:v>
      </x:c>
      <x:c r="Q456" s="36" t="str">
        <x:f>FRAGEN_MASTER!AL456</x:f>
        <x:v>JA</x:v>
      </x:c>
    </x:row>
    <x:row r="457">
      <x:c r="A457" s="36" t="str">
        <x:f>FRAGEN_MASTER!A457</x:f>
        <x:v>FP-0716</x:v>
      </x:c>
      <x:c r="B457" s="36" t="str">
        <x:f>FRAGEN_MASTER!B457</x:f>
        <x:v>ACT</x:v>
      </x:c>
      <x:c r="C457" s="36" t="str">
        <x:f>FRAGEN_MASTER!C457</x:f>
        <x:v>Apostelgeschichte</x:v>
      </x:c>
      <x:c r="D457" s="36" t="n">
        <x:f>FRAGEN_MASTER!D457</x:f>
        <x:v>3</x:v>
      </x:c>
      <x:c r="E457" s="36" t="n">
        <x:f>FRAGEN_MASTER!E457</x:f>
        <x:v>1</x:v>
      </x:c>
      <x:c r="F457" s="36" t="str">
        <x:f>FRAGEN_MASTER!Q457</x:f>
        <x:v>Was geschieht mit dem Mann, der seit Geburt nicht gehen kann, am Tempeltor?</x:v>
      </x:c>
      <x:c r="G457" s="36" t="str">
        <x:f>FRAGEN_MASTER!R457</x:f>
        <x:v>Er erhält Geld von Petrus.</x:v>
      </x:c>
      <x:c r="H457" s="36" t="str">
        <x:f>FRAGEN_MASTER!S457</x:f>
        <x:v>Petrus spricht im Namen Jesu zu ihm, und er kann aufstehen und gehen.</x:v>
      </x:c>
      <x:c r="I457" s="36" t="str">
        <x:f>FRAGEN_MASTER!T457</x:f>
        <x:v>Er wird in den Tempel getragen, bleibt aber gelähmt.</x:v>
      </x:c>
      <x:c r="J457" s="36" t="str">
        <x:f>FRAGEN_MASTER!U457</x:f>
        <x:v>Johannes schickt ihn zu einem Arzt.</x:v>
      </x:c>
      <x:c r="K457" s="36" t="n">
        <x:f>FRAGEN_MASTER!V457</x:f>
        <x:v>1</x:v>
      </x:c>
      <x:c r="L457" s="36" t="str">
        <x:f>FRAGEN_MASTER!W457</x:f>
        <x:v>Petrus spricht im Namen Jesu zu ihm, und er kann aufstehen und gehen.</x:v>
      </x:c>
      <x:c r="M457" s="36" t="str">
        <x:f>FRAGEN_MASTER!X457</x:f>
        <x:v>Apostelgeschichte 3,1–8</x:v>
      </x:c>
      <x:c r="N457" s="36" t="str">
        <x:f>FRAGEN_MASTER!Y457</x:f>
        <x:v>Petrus hat kein Silber oder Gold, gibt ihm aber im Namen Jesu Heilung; der Mann springt auf und geht.</x:v>
      </x:c>
      <x:c r="O457" s="36" t="str">
        <x:f>FRAGEN_MASTER!AG457</x:f>
        <x:v>FREIGEGEBEN</x:v>
      </x:c>
      <x:c r="P457" s="36" t="str">
        <x:f>FRAGEN_MASTER!AI457</x:f>
        <x:v>FREIGEGEBEN</x:v>
      </x:c>
      <x:c r="Q457" s="36" t="str">
        <x:f>FRAGEN_MASTER!AL457</x:f>
        <x:v>JA</x:v>
      </x:c>
    </x:row>
    <x:row r="458">
      <x:c r="A458" s="36" t="str">
        <x:f>FRAGEN_MASTER!A458</x:f>
        <x:v>FP-0717</x:v>
      </x:c>
      <x:c r="B458" s="36" t="str">
        <x:f>FRAGEN_MASTER!B458</x:f>
        <x:v>ACT</x:v>
      </x:c>
      <x:c r="C458" s="36" t="str">
        <x:f>FRAGEN_MASTER!C458</x:f>
        <x:v>Apostelgeschichte</x:v>
      </x:c>
      <x:c r="D458" s="36" t="n">
        <x:f>FRAGEN_MASTER!D458</x:f>
        <x:v>3</x:v>
      </x:c>
      <x:c r="E458" s="36" t="n">
        <x:f>FRAGEN_MASTER!E458</x:f>
        <x:v>2</x:v>
      </x:c>
      <x:c r="F458" s="36" t="str">
        <x:f>FRAGEN_MASTER!Q458</x:f>
        <x:v>Wem schreibt Petrus die Heilung des Gelähmten zu?</x:v>
      </x:c>
      <x:c r="G458" s="36" t="str">
        <x:f>FRAGEN_MASTER!R458</x:f>
        <x:v>Seiner eigenen Frömmigkeit und Kraft.</x:v>
      </x:c>
      <x:c r="H458" s="36" t="str">
        <x:f>FRAGEN_MASTER!S458</x:f>
        <x:v>Der Heilkraft des Tempels.</x:v>
      </x:c>
      <x:c r="I458" s="36" t="str">
        <x:f>FRAGEN_MASTER!T458</x:f>
        <x:v>Dem Glauben an den Namen Jesu und Gottes Wirken durch ihn.</x:v>
      </x:c>
      <x:c r="J458" s="36" t="str">
        <x:f>FRAGEN_MASTER!U458</x:f>
        <x:v>Der Hilfe römischer Ärzte.</x:v>
      </x:c>
      <x:c r="K458" s="36" t="n">
        <x:f>FRAGEN_MASTER!V458</x:f>
        <x:v>2</x:v>
      </x:c>
      <x:c r="L458" s="36" t="str">
        <x:f>FRAGEN_MASTER!W458</x:f>
        <x:v>Dem Glauben an den Namen Jesu und Gottes Wirken durch ihn.</x:v>
      </x:c>
      <x:c r="M458" s="36" t="str">
        <x:f>FRAGEN_MASTER!X458</x:f>
        <x:v>Apostelgeschichte 3,12–16</x:v>
      </x:c>
      <x:c r="N458" s="36" t="str">
        <x:f>FRAGEN_MASTER!Y458</x:f>
        <x:v>Petrus weist persönliche Kraft oder Frömmigkeit als Erklärung zurück und lenkt den Blick auf Jesus.</x:v>
      </x:c>
      <x:c r="O458" s="36" t="str">
        <x:f>FRAGEN_MASTER!AG458</x:f>
        <x:v>FREIGEGEBEN</x:v>
      </x:c>
      <x:c r="P458" s="36" t="str">
        <x:f>FRAGEN_MASTER!AI458</x:f>
        <x:v>FREIGEGEBEN</x:v>
      </x:c>
      <x:c r="Q458" s="36" t="str">
        <x:f>FRAGEN_MASTER!AL458</x:f>
        <x:v>JA</x:v>
      </x:c>
    </x:row>
    <x:row r="459">
      <x:c r="A459" s="36" t="str">
        <x:f>FRAGEN_MASTER!A459</x:f>
        <x:v>FP-0718</x:v>
      </x:c>
      <x:c r="B459" s="36" t="str">
        <x:f>FRAGEN_MASTER!B459</x:f>
        <x:v>ACT</x:v>
      </x:c>
      <x:c r="C459" s="36" t="str">
        <x:f>FRAGEN_MASTER!C459</x:f>
        <x:v>Apostelgeschichte</x:v>
      </x:c>
      <x:c r="D459" s="36" t="n">
        <x:f>FRAGEN_MASTER!D459</x:f>
        <x:v>3</x:v>
      </x:c>
      <x:c r="E459" s="36" t="n">
        <x:f>FRAGEN_MASTER!E459</x:f>
        <x:v>3</x:v>
      </x:c>
      <x:c r="F459" s="36" t="str">
        <x:f>FRAGEN_MASTER!Q459</x:f>
        <x:v>Wozu ruft Petrus seine Zuhörer nach der Heilung auf?</x:v>
      </x:c>
      <x:c r="G459" s="36" t="str">
        <x:f>FRAGEN_MASTER!R459</x:f>
        <x:v>Zum Verlassen Jerusalems.</x:v>
      </x:c>
      <x:c r="H459" s="36" t="str">
        <x:f>FRAGEN_MASTER!S459</x:f>
        <x:v>Zum Aufbau eines neuen Tempels.</x:v>
      </x:c>
      <x:c r="I459" s="36" t="str">
        <x:f>FRAGEN_MASTER!T459</x:f>
        <x:v>Zu einem politischen Aufstand.</x:v>
      </x:c>
      <x:c r="J459" s="36" t="str">
        <x:f>FRAGEN_MASTER!U459</x:f>
        <x:v>Zur Umkehr, damit ihre Sünden getilgt werden und Zeiten der Erquickung kommen.</x:v>
      </x:c>
      <x:c r="K459" s="36" t="n">
        <x:f>FRAGEN_MASTER!V459</x:f>
        <x:v>3</x:v>
      </x:c>
      <x:c r="L459" s="36" t="str">
        <x:f>FRAGEN_MASTER!W459</x:f>
        <x:v>Zur Umkehr, damit ihre Sünden getilgt werden und Zeiten der Erquickung kommen.</x:v>
      </x:c>
      <x:c r="M459" s="36" t="str">
        <x:f>FRAGEN_MASTER!X459</x:f>
        <x:v>Apostelgeschichte 3,19–21</x:v>
      </x:c>
      <x:c r="N459" s="36" t="str">
        <x:f>FRAGEN_MASTER!Y459</x:f>
        <x:v>Petrus ruft zur Umkehr und verbindet sie mit Vergebung und Gottes zukünftiger Erneuerung.</x:v>
      </x:c>
      <x:c r="O459" s="36" t="str">
        <x:f>FRAGEN_MASTER!AG459</x:f>
        <x:v>FREIGEGEBEN</x:v>
      </x:c>
      <x:c r="P459" s="36" t="str">
        <x:f>FRAGEN_MASTER!AI459</x:f>
        <x:v>FREIGEGEBEN</x:v>
      </x:c>
      <x:c r="Q459" s="36" t="str">
        <x:f>FRAGEN_MASTER!AL459</x:f>
        <x:v>JA</x:v>
      </x:c>
    </x:row>
    <x:row r="460">
      <x:c r="A460" s="36" t="str">
        <x:f>FRAGEN_MASTER!A460</x:f>
        <x:v>FP-0719</x:v>
      </x:c>
      <x:c r="B460" s="36" t="str">
        <x:f>FRAGEN_MASTER!B460</x:f>
        <x:v>ACT</x:v>
      </x:c>
      <x:c r="C460" s="36" t="str">
        <x:f>FRAGEN_MASTER!C460</x:f>
        <x:v>Apostelgeschichte</x:v>
      </x:c>
      <x:c r="D460" s="36" t="n">
        <x:f>FRAGEN_MASTER!D460</x:f>
        <x:v>3</x:v>
      </x:c>
      <x:c r="E460" s="36" t="n">
        <x:f>FRAGEN_MASTER!E460</x:f>
        <x:v>4</x:v>
      </x:c>
      <x:c r="F460" s="36" t="str">
        <x:f>FRAGEN_MASTER!Q460</x:f>
        <x:v>Auf wen bezieht Petrus Moses Ankündigung eines kommenden Propheten?</x:v>
      </x:c>
      <x:c r="G460" s="36" t="str">
        <x:f>FRAGEN_MASTER!R460</x:f>
        <x:v>Auf Jesus, auf den das Volk hören soll.</x:v>
      </x:c>
      <x:c r="H460" s="36" t="str">
        <x:f>FRAGEN_MASTER!S460</x:f>
        <x:v>Auf Johannes den Täufer.</x:v>
      </x:c>
      <x:c r="I460" s="36" t="str">
        <x:f>FRAGEN_MASTER!T460</x:f>
        <x:v>Auf Gamaliel.</x:v>
      </x:c>
      <x:c r="J460" s="36" t="str">
        <x:f>FRAGEN_MASTER!U460</x:f>
        <x:v>Auf den Hohepriester.</x:v>
      </x:c>
      <x:c r="K460" s="36" t="n">
        <x:f>FRAGEN_MASTER!V460</x:f>
        <x:v>0</x:v>
      </x:c>
      <x:c r="L460" s="36" t="str">
        <x:f>FRAGEN_MASTER!W460</x:f>
        <x:v>Auf Jesus, auf den das Volk hören soll.</x:v>
      </x:c>
      <x:c r="M460" s="36" t="str">
        <x:f>FRAGEN_MASTER!X460</x:f>
        <x:v>Apostelgeschichte 3,22–23</x:v>
      </x:c>
      <x:c r="N460" s="36" t="str">
        <x:f>FRAGEN_MASTER!Y460</x:f>
        <x:v>Petrus verwendet Moses Prophetenverheißung, um die Bedeutung Jesu zu erklären.</x:v>
      </x:c>
      <x:c r="O460" s="36" t="str">
        <x:f>FRAGEN_MASTER!AG460</x:f>
        <x:v>FREIGEGEBEN</x:v>
      </x:c>
      <x:c r="P460" s="36" t="str">
        <x:f>FRAGEN_MASTER!AI460</x:f>
        <x:v>FREIGEGEBEN</x:v>
      </x:c>
      <x:c r="Q460" s="36" t="str">
        <x:f>FRAGEN_MASTER!AL460</x:f>
        <x:v>JA</x:v>
      </x:c>
    </x:row>
    <x:row r="461">
      <x:c r="A461" s="36" t="str">
        <x:f>FRAGEN_MASTER!A461</x:f>
        <x:v>FP-0720</x:v>
      </x:c>
      <x:c r="B461" s="36" t="str">
        <x:f>FRAGEN_MASTER!B461</x:f>
        <x:v>ACT</x:v>
      </x:c>
      <x:c r="C461" s="36" t="str">
        <x:f>FRAGEN_MASTER!C461</x:f>
        <x:v>Apostelgeschichte</x:v>
      </x:c>
      <x:c r="D461" s="36" t="n">
        <x:f>FRAGEN_MASTER!D461</x:f>
        <x:v>3</x:v>
      </x:c>
      <x:c r="E461" s="36" t="n">
        <x:f>FRAGEN_MASTER!E461</x:f>
        <x:v>5</x:v>
      </x:c>
      <x:c r="F461" s="36" t="str">
        <x:f>FRAGEN_MASTER!Q461</x:f>
        <x:v>Wozu hat Gott nach Petrus seinen Knecht zuerst zu Israel gesandt?</x:v>
      </x:c>
      <x:c r="G461" s="36" t="str">
        <x:f>FRAGEN_MASTER!R461</x:f>
        <x:v>Um den Tempel abzureißen.</x:v>
      </x:c>
      <x:c r="H461" s="36" t="str">
        <x:f>FRAGEN_MASTER!S461</x:f>
        <x:v>Um sie zu segnen, indem jeder sich von seinen bösen Wegen abwendet.</x:v>
      </x:c>
      <x:c r="I461" s="36" t="str">
        <x:f>FRAGEN_MASTER!T461</x:f>
        <x:v>Um die Römer zu vertreiben.</x:v>
      </x:c>
      <x:c r="J461" s="36" t="str">
        <x:f>FRAGEN_MASTER!U461</x:f>
        <x:v>Um alle Opfer abzuschaffen.</x:v>
      </x:c>
      <x:c r="K461" s="36" t="n">
        <x:f>FRAGEN_MASTER!V461</x:f>
        <x:v>1</x:v>
      </x:c>
      <x:c r="L461" s="36" t="str">
        <x:f>FRAGEN_MASTER!W461</x:f>
        <x:v>Um sie zu segnen, indem jeder sich von seinen bösen Wegen abwendet.</x:v>
      </x:c>
      <x:c r="M461" s="36" t="str">
        <x:f>FRAGEN_MASTER!X461</x:f>
        <x:v>Apostelgeschichte 3,25–26</x:v>
      </x:c>
      <x:c r="N461" s="36" t="str">
        <x:f>FRAGEN_MASTER!Y461</x:f>
        <x:v>Petrus beschreibt Gottes Segen als Ruf zur Abkehr vom Bösen.</x:v>
      </x:c>
      <x:c r="O461" s="36" t="str">
        <x:f>FRAGEN_MASTER!AG461</x:f>
        <x:v>FREIGEGEBEN</x:v>
      </x:c>
      <x:c r="P461" s="36" t="str">
        <x:f>FRAGEN_MASTER!AI461</x:f>
        <x:v>FREIGEGEBEN</x:v>
      </x:c>
      <x:c r="Q461" s="36" t="str">
        <x:f>FRAGEN_MASTER!AL461</x:f>
        <x:v>JA</x:v>
      </x:c>
    </x:row>
    <x:row r="462">
      <x:c r="A462" s="36" t="str">
        <x:f>FRAGEN_MASTER!A462</x:f>
        <x:v>FP-0721</x:v>
      </x:c>
      <x:c r="B462" s="36" t="str">
        <x:f>FRAGEN_MASTER!B462</x:f>
        <x:v>ACT</x:v>
      </x:c>
      <x:c r="C462" s="36" t="str">
        <x:f>FRAGEN_MASTER!C462</x:f>
        <x:v>Apostelgeschichte</x:v>
      </x:c>
      <x:c r="D462" s="36" t="n">
        <x:f>FRAGEN_MASTER!D462</x:f>
        <x:v>4</x:v>
      </x:c>
      <x:c r="E462" s="36" t="n">
        <x:f>FRAGEN_MASTER!E462</x:f>
        <x:v>1</x:v>
      </x:c>
      <x:c r="F462" s="36" t="str">
        <x:f>FRAGEN_MASTER!Q462</x:f>
        <x:v>Welche Aussage macht Petrus vor dem Hohen Rat über Rettung?</x:v>
      </x:c>
      <x:c r="G462" s="36" t="str">
        <x:f>FRAGEN_MASTER!R462</x:f>
        <x:v>Jeder Mensch rettet sich selbst.</x:v>
      </x:c>
      <x:c r="H462" s="36" t="str">
        <x:f>FRAGEN_MASTER!S462</x:f>
        <x:v>Rettung gibt es nur durch den Tempel.</x:v>
      </x:c>
      <x:c r="I462" s="36" t="str">
        <x:f>FRAGEN_MASTER!T462</x:f>
        <x:v>In keinem anderen als Jesus ist das Heil.</x:v>
      </x:c>
      <x:c r="J462" s="36" t="str">
        <x:f>FRAGEN_MASTER!U462</x:f>
        <x:v>Nur Mose kann retten.</x:v>
      </x:c>
      <x:c r="K462" s="36" t="n">
        <x:f>FRAGEN_MASTER!V462</x:f>
        <x:v>2</x:v>
      </x:c>
      <x:c r="L462" s="36" t="str">
        <x:f>FRAGEN_MASTER!W462</x:f>
        <x:v>In keinem anderen als Jesus ist das Heil.</x:v>
      </x:c>
      <x:c r="M462" s="36" t="str">
        <x:f>FRAGEN_MASTER!X462</x:f>
        <x:v>Apostelgeschichte 4,8–12</x:v>
      </x:c>
      <x:c r="N462" s="36" t="str">
        <x:f>FRAGEN_MASTER!Y462</x:f>
        <x:v>Petrus bezeugt Jesus als den entscheidenden Namen, in dem Rettung gegeben ist.</x:v>
      </x:c>
      <x:c r="O462" s="36" t="str">
        <x:f>FRAGEN_MASTER!AG462</x:f>
        <x:v>FREIGEGEBEN</x:v>
      </x:c>
      <x:c r="P462" s="36" t="str">
        <x:f>FRAGEN_MASTER!AI462</x:f>
        <x:v>FREIGEGEBEN</x:v>
      </x:c>
      <x:c r="Q462" s="36" t="str">
        <x:f>FRAGEN_MASTER!AL462</x:f>
        <x:v>JA</x:v>
      </x:c>
    </x:row>
    <x:row r="463">
      <x:c r="A463" s="36" t="str">
        <x:f>FRAGEN_MASTER!A463</x:f>
        <x:v>FP-0722</x:v>
      </x:c>
      <x:c r="B463" s="36" t="str">
        <x:f>FRAGEN_MASTER!B463</x:f>
        <x:v>ACT</x:v>
      </x:c>
      <x:c r="C463" s="36" t="str">
        <x:f>FRAGEN_MASTER!C463</x:f>
        <x:v>Apostelgeschichte</x:v>
      </x:c>
      <x:c r="D463" s="36" t="n">
        <x:f>FRAGEN_MASTER!D463</x:f>
        <x:v>4</x:v>
      </x:c>
      <x:c r="E463" s="36" t="n">
        <x:f>FRAGEN_MASTER!E463</x:f>
        <x:v>2</x:v>
      </x:c>
      <x:c r="F463" s="36" t="str">
        <x:f>FRAGEN_MASTER!Q463</x:f>
        <x:v>Was fällt dem Hohen Rat an Petrus und Johannes besonders auf?</x:v>
      </x:c>
      <x:c r="G463" s="36" t="str">
        <x:f>FRAGEN_MASTER!R463</x:f>
        <x:v>Ihre hohe rabbinische Ausbildung.</x:v>
      </x:c>
      <x:c r="H463" s="36" t="str">
        <x:f>FRAGEN_MASTER!S463</x:f>
        <x:v>Ihre Zugehörigkeit zur Priesterschaft.</x:v>
      </x:c>
      <x:c r="I463" s="36" t="str">
        <x:f>FRAGEN_MASTER!T463</x:f>
        <x:v>Ihre römische Staatsbürgerschaft.</x:v>
      </x:c>
      <x:c r="J463" s="36" t="str">
        <x:f>FRAGEN_MASTER!U463</x:f>
        <x:v>Ihre Freimütigkeit, obwohl sie als ungelehrte, einfache Männer gelten; außerdem erkennt man, dass sie mit Jesus gewesen sind.</x:v>
      </x:c>
      <x:c r="K463" s="36" t="n">
        <x:f>FRAGEN_MASTER!V463</x:f>
        <x:v>3</x:v>
      </x:c>
      <x:c r="L463" s="36" t="str">
        <x:f>FRAGEN_MASTER!W463</x:f>
        <x:v>Ihre Freimütigkeit, obwohl sie als ungelehrte, einfache Männer gelten; außerdem erkennt man, dass sie mit Jesus gewesen sind.</x:v>
      </x:c>
      <x:c r="M463" s="36" t="str">
        <x:f>FRAGEN_MASTER!X463</x:f>
        <x:v>Apostelgeschichte 4,13</x:v>
      </x:c>
      <x:c r="N463" s="36" t="str">
        <x:f>FRAGEN_MASTER!Y463</x:f>
        <x:v>Die Gegner staunen über ihre Freimütigkeit und verbinden sie mit ihrer Nähe zu Jesus.</x:v>
      </x:c>
      <x:c r="O463" s="36" t="str">
        <x:f>FRAGEN_MASTER!AG463</x:f>
        <x:v>FREIGEGEBEN</x:v>
      </x:c>
      <x:c r="P463" s="36" t="str">
        <x:f>FRAGEN_MASTER!AI463</x:f>
        <x:v>FREIGEGEBEN</x:v>
      </x:c>
      <x:c r="Q463" s="36" t="str">
        <x:f>FRAGEN_MASTER!AL463</x:f>
        <x:v>JA</x:v>
      </x:c>
    </x:row>
    <x:row r="464">
      <x:c r="A464" s="36" t="str">
        <x:f>FRAGEN_MASTER!A464</x:f>
        <x:v>FP-0723</x:v>
      </x:c>
      <x:c r="B464" s="36" t="str">
        <x:f>FRAGEN_MASTER!B464</x:f>
        <x:v>ACT</x:v>
      </x:c>
      <x:c r="C464" s="36" t="str">
        <x:f>FRAGEN_MASTER!C464</x:f>
        <x:v>Apostelgeschichte</x:v>
      </x:c>
      <x:c r="D464" s="36" t="n">
        <x:f>FRAGEN_MASTER!D464</x:f>
        <x:v>4</x:v>
      </x:c>
      <x:c r="E464" s="36" t="n">
        <x:f>FRAGEN_MASTER!E464</x:f>
        <x:v>3</x:v>
      </x:c>
      <x:c r="F464" s="36" t="str">
        <x:f>FRAGEN_MASTER!Q464</x:f>
        <x:v>Wie reagieren Petrus und Johannes auf das Verbot, im Namen Jesu zu reden?</x:v>
      </x:c>
      <x:c r="G464" s="36" t="str">
        <x:f>FRAGEN_MASTER!R464</x:f>
        <x:v>Sie erklären, dass sie nicht schweigen können über das, was sie gesehen und gehört haben.</x:v>
      </x:c>
      <x:c r="H464" s="36" t="str">
        <x:f>FRAGEN_MASTER!S464</x:f>
        <x:v>Sie versprechen, nie wieder öffentlich zu reden.</x:v>
      </x:c>
      <x:c r="I464" s="36" t="str">
        <x:f>FRAGEN_MASTER!T464</x:f>
        <x:v>Sie verlassen Jerusalem.</x:v>
      </x:c>
      <x:c r="J464" s="36" t="str">
        <x:f>FRAGEN_MASTER!U464</x:f>
        <x:v>Sie bitten um eine schriftliche Genehmigung.</x:v>
      </x:c>
      <x:c r="K464" s="36" t="n">
        <x:f>FRAGEN_MASTER!V464</x:f>
        <x:v>0</x:v>
      </x:c>
      <x:c r="L464" s="36" t="str">
        <x:f>FRAGEN_MASTER!W464</x:f>
        <x:v>Sie erklären, dass sie nicht schweigen können über das, was sie gesehen und gehört haben.</x:v>
      </x:c>
      <x:c r="M464" s="36" t="str">
        <x:f>FRAGEN_MASTER!X464</x:f>
        <x:v>Apostelgeschichte 4,18–20</x:v>
      </x:c>
      <x:c r="N464" s="36" t="str">
        <x:f>FRAGEN_MASTER!Y464</x:f>
        <x:v>Sie stellen Gottes Anspruch über das menschliche Redeverbot und halten am Zeugnis fest.</x:v>
      </x:c>
      <x:c r="O464" s="36" t="str">
        <x:f>FRAGEN_MASTER!AG464</x:f>
        <x:v>FREIGEGEBEN</x:v>
      </x:c>
      <x:c r="P464" s="36" t="str">
        <x:f>FRAGEN_MASTER!AI464</x:f>
        <x:v>FREIGEGEBEN</x:v>
      </x:c>
      <x:c r="Q464" s="36" t="str">
        <x:f>FRAGEN_MASTER!AL464</x:f>
        <x:v>JA</x:v>
      </x:c>
    </x:row>
    <x:row r="465">
      <x:c r="A465" s="36" t="str">
        <x:f>FRAGEN_MASTER!A465</x:f>
        <x:v>FP-0724</x:v>
      </x:c>
      <x:c r="B465" s="36" t="str">
        <x:f>FRAGEN_MASTER!B465</x:f>
        <x:v>ACT</x:v>
      </x:c>
      <x:c r="C465" s="36" t="str">
        <x:f>FRAGEN_MASTER!C465</x:f>
        <x:v>Apostelgeschichte</x:v>
      </x:c>
      <x:c r="D465" s="36" t="n">
        <x:f>FRAGEN_MASTER!D465</x:f>
        <x:v>4</x:v>
      </x:c>
      <x:c r="E465" s="36" t="n">
        <x:f>FRAGEN_MASTER!E465</x:f>
        <x:v>4</x:v>
      </x:c>
      <x:c r="F465" s="36" t="str">
        <x:f>FRAGEN_MASTER!Q465</x:f>
        <x:v>Worum betet die Gemeinde nach der Freilassung von Petrus und Johannes?</x:v>
      </x:c>
      <x:c r="G465" s="36" t="str">
        <x:f>FRAGEN_MASTER!R465</x:f>
        <x:v>Um Reichtum und politische Macht.</x:v>
      </x:c>
      <x:c r="H465" s="36" t="str">
        <x:f>FRAGEN_MASTER!S465</x:f>
        <x:v>Um Freimütigkeit zur Verkündigung trotz der Drohungen.</x:v>
      </x:c>
      <x:c r="I465" s="36" t="str">
        <x:f>FRAGEN_MASTER!T465</x:f>
        <x:v>Um sofortige Flucht aus Jerusalem.</x:v>
      </x:c>
      <x:c r="J465" s="36" t="str">
        <x:f>FRAGEN_MASTER!U465</x:f>
        <x:v>Um die Bestrafung aller Gegner.</x:v>
      </x:c>
      <x:c r="K465" s="36" t="n">
        <x:f>FRAGEN_MASTER!V465</x:f>
        <x:v>1</x:v>
      </x:c>
      <x:c r="L465" s="36" t="str">
        <x:f>FRAGEN_MASTER!W465</x:f>
        <x:v>Um Freimütigkeit zur Verkündigung trotz der Drohungen.</x:v>
      </x:c>
      <x:c r="M465" s="36" t="str">
        <x:f>FRAGEN_MASTER!X465</x:f>
        <x:v>Apostelgeschichte 4,23–31</x:v>
      </x:c>
      <x:c r="N465" s="36" t="str">
        <x:f>FRAGEN_MASTER!Y465</x:f>
        <x:v>Die Gemeinde bittet nicht primär um ein Ende des Widerstands, sondern um Freimut; anschließend werden sie vom Heiligen Geist erfüllt.</x:v>
      </x:c>
      <x:c r="O465" s="36" t="str">
        <x:f>FRAGEN_MASTER!AG465</x:f>
        <x:v>FREIGEGEBEN</x:v>
      </x:c>
      <x:c r="P465" s="36" t="str">
        <x:f>FRAGEN_MASTER!AI465</x:f>
        <x:v>FREIGEGEBEN</x:v>
      </x:c>
      <x:c r="Q465" s="36" t="str">
        <x:f>FRAGEN_MASTER!AL465</x:f>
        <x:v>JA</x:v>
      </x:c>
    </x:row>
    <x:row r="466">
      <x:c r="A466" s="36" t="str">
        <x:f>FRAGEN_MASTER!A466</x:f>
        <x:v>FP-0725</x:v>
      </x:c>
      <x:c r="B466" s="36" t="str">
        <x:f>FRAGEN_MASTER!B466</x:f>
        <x:v>ACT</x:v>
      </x:c>
      <x:c r="C466" s="36" t="str">
        <x:f>FRAGEN_MASTER!C466</x:f>
        <x:v>Apostelgeschichte</x:v>
      </x:c>
      <x:c r="D466" s="36" t="n">
        <x:f>FRAGEN_MASTER!D466</x:f>
        <x:v>4</x:v>
      </x:c>
      <x:c r="E466" s="36" t="n">
        <x:f>FRAGEN_MASTER!E466</x:f>
        <x:v>5</x:v>
      </x:c>
      <x:c r="F466" s="36" t="str">
        <x:f>FRAGEN_MASTER!Q466</x:f>
        <x:v>Wie unterstützt Barnabas die Gemeinschaft der Gläubigen?</x:v>
      </x:c>
      <x:c r="G466" s="36" t="str">
        <x:f>FRAGEN_MASTER!R466</x:f>
        <x:v>Er gründet eine Bank.</x:v>
      </x:c>
      <x:c r="H466" s="36" t="str">
        <x:f>FRAGEN_MASTER!S466</x:f>
        <x:v>Er baut ein eigenes Haus für die Apostel.</x:v>
      </x:c>
      <x:c r="I466" s="36" t="str">
        <x:f>FRAGEN_MASTER!T466</x:f>
        <x:v>Er verkauft einen Acker und legt den Erlös den Aposteln zu Füßen.</x:v>
      </x:c>
      <x:c r="J466" s="36" t="str">
        <x:f>FRAGEN_MASTER!U466</x:f>
        <x:v>Er zieht sich aus der Gemeinde zurück.</x:v>
      </x:c>
      <x:c r="K466" s="36" t="n">
        <x:f>FRAGEN_MASTER!V466</x:f>
        <x:v>2</x:v>
      </x:c>
      <x:c r="L466" s="36" t="str">
        <x:f>FRAGEN_MASTER!W466</x:f>
        <x:v>Er verkauft einen Acker und legt den Erlös den Aposteln zu Füßen.</x:v>
      </x:c>
      <x:c r="M466" s="36" t="str">
        <x:f>FRAGEN_MASTER!X466</x:f>
        <x:v>Apostelgeschichte 4,32–37</x:v>
      </x:c>
      <x:c r="N466" s="36" t="str">
        <x:f>FRAGEN_MASTER!Y466</x:f>
        <x:v>Barnabas wird als konkretes Beispiel für freiwillige Großzügigkeit innerhalb der Gemeinde genannt.</x:v>
      </x:c>
      <x:c r="O466" s="36" t="str">
        <x:f>FRAGEN_MASTER!AG466</x:f>
        <x:v>FREIGEGEBEN</x:v>
      </x:c>
      <x:c r="P466" s="36" t="str">
        <x:f>FRAGEN_MASTER!AI466</x:f>
        <x:v>FREIGEGEBEN</x:v>
      </x:c>
      <x:c r="Q466" s="36" t="str">
        <x:f>FRAGEN_MASTER!AL466</x:f>
        <x:v>JA</x:v>
      </x:c>
    </x:row>
    <x:row r="467">
      <x:c r="A467" s="36" t="str">
        <x:f>FRAGEN_MASTER!A467</x:f>
        <x:v>FP-0726</x:v>
      </x:c>
      <x:c r="B467" s="36" t="str">
        <x:f>FRAGEN_MASTER!B467</x:f>
        <x:v>ACT</x:v>
      </x:c>
      <x:c r="C467" s="36" t="str">
        <x:f>FRAGEN_MASTER!C467</x:f>
        <x:v>Apostelgeschichte</x:v>
      </x:c>
      <x:c r="D467" s="36" t="n">
        <x:f>FRAGEN_MASTER!D467</x:f>
        <x:v>5</x:v>
      </x:c>
      <x:c r="E467" s="36" t="n">
        <x:f>FRAGEN_MASTER!E467</x:f>
        <x:v>1</x:v>
      </x:c>
      <x:c r="F467" s="36" t="str">
        <x:f>FRAGEN_MASTER!Q467</x:f>
        <x:v>Was ist das eigentliche Problem bei Ananias und Saphira?</x:v>
      </x:c>
      <x:c r="G467" s="36" t="str">
        <x:f>FRAGEN_MASTER!R467</x:f>
        <x:v>Sie verkaufen überhaupt keinen Besitz.</x:v>
      </x:c>
      <x:c r="H467" s="36" t="str">
        <x:f>FRAGEN_MASTER!S467</x:f>
        <x:v>Sie weigern sich, Petrus zu begrüßen.</x:v>
      </x:c>
      <x:c r="I467" s="36" t="str">
        <x:f>FRAGEN_MASTER!T467</x:f>
        <x:v>Sie spenden zu wenig nach einer festen Vorschrift.</x:v>
      </x:c>
      <x:c r="J467" s="36" t="str">
        <x:f>FRAGEN_MASTER!U467</x:f>
        <x:v>Sie geben vor, den ganzen Erlös zu geben, obwohl sie einen Teil zurückbehalten, und lügen damit Gott an.</x:v>
      </x:c>
      <x:c r="K467" s="36" t="n">
        <x:f>FRAGEN_MASTER!V467</x:f>
        <x:v>3</x:v>
      </x:c>
      <x:c r="L467" s="36" t="str">
        <x:f>FRAGEN_MASTER!W467</x:f>
        <x:v>Sie geben vor, den ganzen Erlös zu geben, obwohl sie einen Teil zurückbehalten, und lügen damit Gott an.</x:v>
      </x:c>
      <x:c r="M467" s="36" t="str">
        <x:f>FRAGEN_MASTER!X467</x:f>
        <x:v>Apostelgeschichte 5,1–10</x:v>
      </x:c>
      <x:c r="N467" s="36" t="str">
        <x:f>FRAGEN_MASTER!Y467</x:f>
        <x:v>Nicht der zurückbehaltene Besitz an sich, sondern die bewusste Täuschung steht im Mittelpunkt der Geschichte.</x:v>
      </x:c>
      <x:c r="O467" s="36" t="str">
        <x:f>FRAGEN_MASTER!AG467</x:f>
        <x:v>FREIGEGEBEN</x:v>
      </x:c>
      <x:c r="P467" s="36" t="str">
        <x:f>FRAGEN_MASTER!AI467</x:f>
        <x:v>FREIGEGEBEN</x:v>
      </x:c>
      <x:c r="Q467" s="36" t="str">
        <x:f>FRAGEN_MASTER!AL467</x:f>
        <x:v>JA</x:v>
      </x:c>
    </x:row>
    <x:row r="468">
      <x:c r="A468" s="36" t="str">
        <x:f>FRAGEN_MASTER!A468</x:f>
        <x:v>FP-0727</x:v>
      </x:c>
      <x:c r="B468" s="36" t="str">
        <x:f>FRAGEN_MASTER!B468</x:f>
        <x:v>ACT</x:v>
      </x:c>
      <x:c r="C468" s="36" t="str">
        <x:f>FRAGEN_MASTER!C468</x:f>
        <x:v>Apostelgeschichte</x:v>
      </x:c>
      <x:c r="D468" s="36" t="n">
        <x:f>FRAGEN_MASTER!D468</x:f>
        <x:v>5</x:v>
      </x:c>
      <x:c r="E468" s="36" t="n">
        <x:f>FRAGEN_MASTER!E468</x:f>
        <x:v>2</x:v>
      </x:c>
      <x:c r="F468" s="36" t="str">
        <x:f>FRAGEN_MASTER!Q468</x:f>
        <x:v>Wie wird das Wirken der Apostel unter dem Volk beschrieben?</x:v>
      </x:c>
      <x:c r="G468" s="36" t="str">
        <x:f>FRAGEN_MASTER!R468</x:f>
        <x:v>Viele Zeichen und Wunder geschehen, und Kranke werden zu ihnen gebracht.</x:v>
      </x:c>
      <x:c r="H468" s="36" t="str">
        <x:f>FRAGEN_MASTER!S468</x:f>
        <x:v>Sie wirken nur im Verborgenen.</x:v>
      </x:c>
      <x:c r="I468" s="36" t="str">
        <x:f>FRAGEN_MASTER!T468</x:f>
        <x:v>Sie dürfen den Tempel nicht mehr betreten.</x:v>
      </x:c>
      <x:c r="J468" s="36" t="str">
        <x:f>FRAGEN_MASTER!U468</x:f>
        <x:v>Niemand sucht ihre Hilfe.</x:v>
      </x:c>
      <x:c r="K468" s="36" t="n">
        <x:f>FRAGEN_MASTER!V468</x:f>
        <x:v>0</x:v>
      </x:c>
      <x:c r="L468" s="36" t="str">
        <x:f>FRAGEN_MASTER!W468</x:f>
        <x:v>Viele Zeichen und Wunder geschehen, und Kranke werden zu ihnen gebracht.</x:v>
      </x:c>
      <x:c r="M468" s="36" t="str">
        <x:f>FRAGEN_MASTER!X468</x:f>
        <x:v>Apostelgeschichte 5,12–16</x:v>
      </x:c>
      <x:c r="N468" s="36" t="str">
        <x:f>FRAGEN_MASTER!Y468</x:f>
        <x:v>Lukas berichtet von vielen Zeichen und Heilungen und von starkem Zulauf.</x:v>
      </x:c>
      <x:c r="O468" s="36" t="str">
        <x:f>FRAGEN_MASTER!AG468</x:f>
        <x:v>FREIGEGEBEN</x:v>
      </x:c>
      <x:c r="P468" s="36" t="str">
        <x:f>FRAGEN_MASTER!AI468</x:f>
        <x:v>FREIGEGEBEN</x:v>
      </x:c>
      <x:c r="Q468" s="36" t="str">
        <x:f>FRAGEN_MASTER!AL468</x:f>
        <x:v>JA</x:v>
      </x:c>
    </x:row>
    <x:row r="469">
      <x:c r="A469" s="36" t="str">
        <x:f>FRAGEN_MASTER!A469</x:f>
        <x:v>FP-0728</x:v>
      </x:c>
      <x:c r="B469" s="36" t="str">
        <x:f>FRAGEN_MASTER!B469</x:f>
        <x:v>ACT</x:v>
      </x:c>
      <x:c r="C469" s="36" t="str">
        <x:f>FRAGEN_MASTER!C469</x:f>
        <x:v>Apostelgeschichte</x:v>
      </x:c>
      <x:c r="D469" s="36" t="n">
        <x:f>FRAGEN_MASTER!D469</x:f>
        <x:v>5</x:v>
      </x:c>
      <x:c r="E469" s="36" t="n">
        <x:f>FRAGEN_MASTER!E469</x:f>
        <x:v>3</x:v>
      </x:c>
      <x:c r="F469" s="36" t="str">
        <x:f>FRAGEN_MASTER!Q469</x:f>
        <x:v>Wie begründen die Apostel ihren Ungehorsam gegenüber dem Redeverbot?</x:v>
      </x:c>
      <x:c r="G469" s="36" t="str">
        <x:f>FRAGEN_MASTER!R469</x:f>
        <x:v>Der Hohe Rat hat keine Gesetze.</x:v>
      </x:c>
      <x:c r="H469" s="36" t="str">
        <x:f>FRAGEN_MASTER!S469</x:f>
        <x:v>Man muss Gott mehr gehorchen als den Menschen.</x:v>
      </x:c>
      <x:c r="I469" s="36" t="str">
        <x:f>FRAGEN_MASTER!T469</x:f>
        <x:v>Sie besitzen römische Sonderrechte.</x:v>
      </x:c>
      <x:c r="J469" s="36" t="str">
        <x:f>FRAGEN_MASTER!U469</x:f>
        <x:v>Nur Petrus darf entscheiden.</x:v>
      </x:c>
      <x:c r="K469" s="36" t="n">
        <x:f>FRAGEN_MASTER!V469</x:f>
        <x:v>1</x:v>
      </x:c>
      <x:c r="L469" s="36" t="str">
        <x:f>FRAGEN_MASTER!W469</x:f>
        <x:v>Man muss Gott mehr gehorchen als den Menschen.</x:v>
      </x:c>
      <x:c r="M469" s="36" t="str">
        <x:f>FRAGEN_MASTER!X469</x:f>
        <x:v>Apostelgeschichte 5,29–32</x:v>
      </x:c>
      <x:c r="N469" s="36" t="str">
        <x:f>FRAGEN_MASTER!Y469</x:f>
        <x:v>Die Apostel stellen Gottes Auftrag über das menschliche Verbot und bezeugen Jesu Auferweckung.</x:v>
      </x:c>
      <x:c r="O469" s="36" t="str">
        <x:f>FRAGEN_MASTER!AG469</x:f>
        <x:v>FREIGEGEBEN</x:v>
      </x:c>
      <x:c r="P469" s="36" t="str">
        <x:f>FRAGEN_MASTER!AI469</x:f>
        <x:v>FREIGEGEBEN</x:v>
      </x:c>
      <x:c r="Q469" s="36" t="str">
        <x:f>FRAGEN_MASTER!AL469</x:f>
        <x:v>JA</x:v>
      </x:c>
    </x:row>
    <x:row r="470">
      <x:c r="A470" s="36" t="str">
        <x:f>FRAGEN_MASTER!A470</x:f>
        <x:v>FP-0729</x:v>
      </x:c>
      <x:c r="B470" s="36" t="str">
        <x:f>FRAGEN_MASTER!B470</x:f>
        <x:v>ACT</x:v>
      </x:c>
      <x:c r="C470" s="36" t="str">
        <x:f>FRAGEN_MASTER!C470</x:f>
        <x:v>Apostelgeschichte</x:v>
      </x:c>
      <x:c r="D470" s="36" t="n">
        <x:f>FRAGEN_MASTER!D470</x:f>
        <x:v>5</x:v>
      </x:c>
      <x:c r="E470" s="36" t="n">
        <x:f>FRAGEN_MASTER!E470</x:f>
        <x:v>4</x:v>
      </x:c>
      <x:c r="F470" s="36" t="str">
        <x:f>FRAGEN_MASTER!Q470</x:f>
        <x:v>Welchen Rat gibt Gamaliel dem Hohen Rat?</x:v>
      </x:c>
      <x:c r="G470" s="36" t="str">
        <x:f>FRAGEN_MASTER!R470</x:f>
        <x:v>Die Apostel sofort hinzurichten.</x:v>
      </x:c>
      <x:c r="H470" s="36" t="str">
        <x:f>FRAGEN_MASTER!S470</x:f>
        <x:v>Petrus zum Hohepriester zu machen.</x:v>
      </x:c>
      <x:c r="I470" s="36" t="str">
        <x:f>FRAGEN_MASTER!T470</x:f>
        <x:v>Die Männer in Ruhe zu lassen, weil ein menschliches Werk vergehen wird, man aber nicht gegen Gott kämpfen sollte.</x:v>
      </x:c>
      <x:c r="J470" s="36" t="str">
        <x:f>FRAGEN_MASTER!U470</x:f>
        <x:v>Die Gemeinde aus Jerusalem auszuweisen.</x:v>
      </x:c>
      <x:c r="K470" s="36" t="n">
        <x:f>FRAGEN_MASTER!V470</x:f>
        <x:v>2</x:v>
      </x:c>
      <x:c r="L470" s="36" t="str">
        <x:f>FRAGEN_MASTER!W470</x:f>
        <x:v>Die Männer in Ruhe zu lassen, weil ein menschliches Werk vergehen wird, man aber nicht gegen Gott kämpfen sollte.</x:v>
      </x:c>
      <x:c r="M470" s="36" t="str">
        <x:f>FRAGEN_MASTER!X470</x:f>
        <x:v>Apostelgeschichte 5,34–39</x:v>
      </x:c>
      <x:c r="N470" s="36" t="str">
        <x:f>FRAGEN_MASTER!Y470</x:f>
        <x:v>Gamaliel mahnt zur Vorsicht: Ist die Bewegung menschlich, wird sie scheitern; ist sie von Gott, kann man sie nicht aufhalten.</x:v>
      </x:c>
      <x:c r="O470" s="36" t="str">
        <x:f>FRAGEN_MASTER!AG470</x:f>
        <x:v>FREIGEGEBEN</x:v>
      </x:c>
      <x:c r="P470" s="36" t="str">
        <x:f>FRAGEN_MASTER!AI470</x:f>
        <x:v>FREIGEGEBEN</x:v>
      </x:c>
      <x:c r="Q470" s="36" t="str">
        <x:f>FRAGEN_MASTER!AL470</x:f>
        <x:v>JA</x:v>
      </x:c>
    </x:row>
    <x:row r="471">
      <x:c r="A471" s="36" t="str">
        <x:f>FRAGEN_MASTER!A471</x:f>
        <x:v>FP-0730</x:v>
      </x:c>
      <x:c r="B471" s="36" t="str">
        <x:f>FRAGEN_MASTER!B471</x:f>
        <x:v>ACT</x:v>
      </x:c>
      <x:c r="C471" s="36" t="str">
        <x:f>FRAGEN_MASTER!C471</x:f>
        <x:v>Apostelgeschichte</x:v>
      </x:c>
      <x:c r="D471" s="36" t="n">
        <x:f>FRAGEN_MASTER!D471</x:f>
        <x:v>5</x:v>
      </x:c>
      <x:c r="E471" s="36" t="n">
        <x:f>FRAGEN_MASTER!E471</x:f>
        <x:v>5</x:v>
      </x:c>
      <x:c r="F471" s="36" t="str">
        <x:f>FRAGEN_MASTER!Q471</x:f>
        <x:v>Wie reagieren die Apostel nach Schlägen und erneutem Predigtverbot?</x:v>
      </x:c>
      <x:c r="G471" s="36" t="str">
        <x:f>FRAGEN_MASTER!R471</x:f>
        <x:v>Sie beenden ihre Verkündigung.</x:v>
      </x:c>
      <x:c r="H471" s="36" t="str">
        <x:f>FRAGEN_MASTER!S471</x:f>
        <x:v>Sie verlassen dauerhaft die Gemeinde.</x:v>
      </x:c>
      <x:c r="I471" s="36" t="str">
        <x:f>FRAGEN_MASTER!T471</x:f>
        <x:v>Sie verklagen den Hohen Rat bei Pilatus.</x:v>
      </x:c>
      <x:c r="J471" s="36" t="str">
        <x:f>FRAGEN_MASTER!U471</x:f>
        <x:v>Sie freuen sich, für Jesu Namen Schmach erlitten zu haben, und lehren weiter.</x:v>
      </x:c>
      <x:c r="K471" s="36" t="n">
        <x:f>FRAGEN_MASTER!V471</x:f>
        <x:v>3</x:v>
      </x:c>
      <x:c r="L471" s="36" t="str">
        <x:f>FRAGEN_MASTER!W471</x:f>
        <x:v>Sie freuen sich, für Jesu Namen Schmach erlitten zu haben, und lehren weiter.</x:v>
      </x:c>
      <x:c r="M471" s="36" t="str">
        <x:f>FRAGEN_MASTER!X471</x:f>
        <x:v>Apostelgeschichte 5,40–42</x:v>
      </x:c>
      <x:c r="N471" s="36" t="str">
        <x:f>FRAGEN_MASTER!Y471</x:f>
        <x:v>Trotz Misshandlung setzen sie täglich die Verkündigung Jesu als Christus fort.</x:v>
      </x:c>
      <x:c r="O471" s="36" t="str">
        <x:f>FRAGEN_MASTER!AG471</x:f>
        <x:v>FREIGEGEBEN</x:v>
      </x:c>
      <x:c r="P471" s="36" t="str">
        <x:f>FRAGEN_MASTER!AI471</x:f>
        <x:v>FREIGEGEBEN</x:v>
      </x:c>
      <x:c r="Q471" s="36" t="str">
        <x:f>FRAGEN_MASTER!AL471</x:f>
        <x:v>JA</x:v>
      </x:c>
    </x:row>
    <x:row r="472">
      <x:c r="A472" s="36" t="str">
        <x:f>FRAGEN_MASTER!A472</x:f>
        <x:v>FP-0731</x:v>
      </x:c>
      <x:c r="B472" s="36" t="str">
        <x:f>FRAGEN_MASTER!B472</x:f>
        <x:v>ACT</x:v>
      </x:c>
      <x:c r="C472" s="36" t="str">
        <x:f>FRAGEN_MASTER!C472</x:f>
        <x:v>Apostelgeschichte</x:v>
      </x:c>
      <x:c r="D472" s="36" t="n">
        <x:f>FRAGEN_MASTER!D472</x:f>
        <x:v>6</x:v>
      </x:c>
      <x:c r="E472" s="36" t="n">
        <x:f>FRAGEN_MASTER!E472</x:f>
        <x:v>1</x:v>
      </x:c>
      <x:c r="F472" s="36" t="str">
        <x:f>FRAGEN_MASTER!Q472</x:f>
        <x:v>Warum werden sieben Männer für einen besonderen Dienst ausgewählt?</x:v>
      </x:c>
      <x:c r="G472" s="36" t="str">
        <x:f>FRAGEN_MASTER!R472</x:f>
        <x:v>Weil hellenistische Witwen bei der täglichen Versorgung übersehen werden.</x:v>
      </x:c>
      <x:c r="H472" s="36" t="str">
        <x:f>FRAGEN_MASTER!S472</x:f>
        <x:v>Weil die Apostel Jerusalem verlassen wollen.</x:v>
      </x:c>
      <x:c r="I472" s="36" t="str">
        <x:f>FRAGEN_MASTER!T472</x:f>
        <x:v>Weil sieben neue Gemeinden gegründet werden.</x:v>
      </x:c>
      <x:c r="J472" s="36" t="str">
        <x:f>FRAGEN_MASTER!U472</x:f>
        <x:v>Weil der Tempel sieben Priester verlangt.</x:v>
      </x:c>
      <x:c r="K472" s="36" t="n">
        <x:f>FRAGEN_MASTER!V472</x:f>
        <x:v>0</x:v>
      </x:c>
      <x:c r="L472" s="36" t="str">
        <x:f>FRAGEN_MASTER!W472</x:f>
        <x:v>Weil hellenistische Witwen bei der täglichen Versorgung übersehen werden.</x:v>
      </x:c>
      <x:c r="M472" s="36" t="str">
        <x:f>FRAGEN_MASTER!X472</x:f>
        <x:v>Apostelgeschichte 6,1–6</x:v>
      </x:c>
      <x:c r="N472" s="36" t="str">
        <x:f>FRAGEN_MASTER!Y472</x:f>
        <x:v>Die Auswahl reagiert auf eine konkrete Versorgungsspannung, damit Wortdienst und praktische Fürsorge gut geordnet werden.</x:v>
      </x:c>
      <x:c r="O472" s="36" t="str">
        <x:f>FRAGEN_MASTER!AG472</x:f>
        <x:v>FREIGEGEBEN</x:v>
      </x:c>
      <x:c r="P472" s="36" t="str">
        <x:f>FRAGEN_MASTER!AI472</x:f>
        <x:v>FREIGEGEBEN</x:v>
      </x:c>
      <x:c r="Q472" s="36" t="str">
        <x:f>FRAGEN_MASTER!AL472</x:f>
        <x:v>JA</x:v>
      </x:c>
    </x:row>
    <x:row r="473">
      <x:c r="A473" s="36" t="str">
        <x:f>FRAGEN_MASTER!A473</x:f>
        <x:v>FP-0732</x:v>
      </x:c>
      <x:c r="B473" s="36" t="str">
        <x:f>FRAGEN_MASTER!B473</x:f>
        <x:v>ACT</x:v>
      </x:c>
      <x:c r="C473" s="36" t="str">
        <x:f>FRAGEN_MASTER!C473</x:f>
        <x:v>Apostelgeschichte</x:v>
      </x:c>
      <x:c r="D473" s="36" t="n">
        <x:f>FRAGEN_MASTER!D473</x:f>
        <x:v>6</x:v>
      </x:c>
      <x:c r="E473" s="36" t="n">
        <x:f>FRAGEN_MASTER!E473</x:f>
        <x:v>2</x:v>
      </x:c>
      <x:c r="F473" s="36" t="str">
        <x:f>FRAGEN_MASTER!Q473</x:f>
        <x:v>Welche Folge hat die Neuordnung des Dienstes in Jerusalem?</x:v>
      </x:c>
      <x:c r="G473" s="36" t="str">
        <x:f>FRAGEN_MASTER!R473</x:f>
        <x:v>Die Gemeinde wird kleiner.</x:v>
      </x:c>
      <x:c r="H473" s="36" t="str">
        <x:f>FRAGEN_MASTER!S473</x:f>
        <x:v>Das Wort Gottes breitet sich aus und die Zahl der Jünger wächst stark.</x:v>
      </x:c>
      <x:c r="I473" s="36" t="str">
        <x:f>FRAGEN_MASTER!T473</x:f>
        <x:v>Die Apostel hören auf zu predigen.</x:v>
      </x:c>
      <x:c r="J473" s="36" t="str">
        <x:f>FRAGEN_MASTER!U473</x:f>
        <x:v>Der Tempel wird geschlossen.</x:v>
      </x:c>
      <x:c r="K473" s="36" t="n">
        <x:f>FRAGEN_MASTER!V473</x:f>
        <x:v>1</x:v>
      </x:c>
      <x:c r="L473" s="36" t="str">
        <x:f>FRAGEN_MASTER!W473</x:f>
        <x:v>Das Wort Gottes breitet sich aus und die Zahl der Jünger wächst stark.</x:v>
      </x:c>
      <x:c r="M473" s="36" t="str">
        <x:f>FRAGEN_MASTER!X473</x:f>
        <x:v>Apostelgeschichte 6,7</x:v>
      </x:c>
      <x:c r="N473" s="36" t="str">
        <x:f>FRAGEN_MASTER!Y473</x:f>
        <x:v>Lukas berichtet unmittelbar danach von weiterem Wachstum des Wortes und der Jüngerschaft.</x:v>
      </x:c>
      <x:c r="O473" s="36" t="str">
        <x:f>FRAGEN_MASTER!AG473</x:f>
        <x:v>FREIGEGEBEN</x:v>
      </x:c>
      <x:c r="P473" s="36" t="str">
        <x:f>FRAGEN_MASTER!AI473</x:f>
        <x:v>FREIGEGEBEN</x:v>
      </x:c>
      <x:c r="Q473" s="36" t="str">
        <x:f>FRAGEN_MASTER!AL473</x:f>
        <x:v>JA</x:v>
      </x:c>
    </x:row>
    <x:row r="474">
      <x:c r="A474" s="36" t="str">
        <x:f>FRAGEN_MASTER!A474</x:f>
        <x:v>FP-0733</x:v>
      </x:c>
      <x:c r="B474" s="36" t="str">
        <x:f>FRAGEN_MASTER!B474</x:f>
        <x:v>ACT</x:v>
      </x:c>
      <x:c r="C474" s="36" t="str">
        <x:f>FRAGEN_MASTER!C474</x:f>
        <x:v>Apostelgeschichte</x:v>
      </x:c>
      <x:c r="D474" s="36" t="n">
        <x:f>FRAGEN_MASTER!D474</x:f>
        <x:v>6</x:v>
      </x:c>
      <x:c r="E474" s="36" t="n">
        <x:f>FRAGEN_MASTER!E474</x:f>
        <x:v>3</x:v>
      </x:c>
      <x:c r="F474" s="36" t="str">
        <x:f>FRAGEN_MASTER!Q474</x:f>
        <x:v>Warum können die Gegner Stephanus in der Diskussion nicht widerstehen?</x:v>
      </x:c>
      <x:c r="G474" s="36" t="str">
        <x:f>FRAGEN_MASTER!R474</x:f>
        <x:v>Weil er römischer Beamter ist.</x:v>
      </x:c>
      <x:c r="H474" s="36" t="str">
        <x:f>FRAGEN_MASTER!S474</x:f>
        <x:v>Weil er die Synagoge schließen lässt.</x:v>
      </x:c>
      <x:c r="I474" s="36" t="str">
        <x:f>FRAGEN_MASTER!T474</x:f>
        <x:v>Wegen der Weisheit und des Geistes, mit denen er spricht.</x:v>
      </x:c>
      <x:c r="J474" s="36" t="str">
        <x:f>FRAGEN_MASTER!U474</x:f>
        <x:v>Weil niemand mit ihm sprechen darf.</x:v>
      </x:c>
      <x:c r="K474" s="36" t="n">
        <x:f>FRAGEN_MASTER!V474</x:f>
        <x:v>2</x:v>
      </x:c>
      <x:c r="L474" s="36" t="str">
        <x:f>FRAGEN_MASTER!W474</x:f>
        <x:v>Wegen der Weisheit und des Geistes, mit denen er spricht.</x:v>
      </x:c>
      <x:c r="M474" s="36" t="str">
        <x:f>FRAGEN_MASTER!X474</x:f>
        <x:v>Apostelgeschichte 6,8–10</x:v>
      </x:c>
      <x:c r="N474" s="36" t="str">
        <x:f>FRAGEN_MASTER!Y474</x:f>
        <x:v>Stephanus wirkt voller Gnade und Kraft; seine Gegner können der Weisheit und dem Geist seiner Rede nicht standhalten.</x:v>
      </x:c>
      <x:c r="O474" s="36" t="str">
        <x:f>FRAGEN_MASTER!AG474</x:f>
        <x:v>FREIGEGEBEN</x:v>
      </x:c>
      <x:c r="P474" s="36" t="str">
        <x:f>FRAGEN_MASTER!AI474</x:f>
        <x:v>FREIGEGEBEN</x:v>
      </x:c>
      <x:c r="Q474" s="36" t="str">
        <x:f>FRAGEN_MASTER!AL474</x:f>
        <x:v>JA</x:v>
      </x:c>
    </x:row>
    <x:row r="475">
      <x:c r="A475" s="36" t="str">
        <x:f>FRAGEN_MASTER!A475</x:f>
        <x:v>FP-0734</x:v>
      </x:c>
      <x:c r="B475" s="36" t="str">
        <x:f>FRAGEN_MASTER!B475</x:f>
        <x:v>ACT</x:v>
      </x:c>
      <x:c r="C475" s="36" t="str">
        <x:f>FRAGEN_MASTER!C475</x:f>
        <x:v>Apostelgeschichte</x:v>
      </x:c>
      <x:c r="D475" s="36" t="n">
        <x:f>FRAGEN_MASTER!D475</x:f>
        <x:v>6</x:v>
      </x:c>
      <x:c r="E475" s="36" t="n">
        <x:f>FRAGEN_MASTER!E475</x:f>
        <x:v>4</x:v>
      </x:c>
      <x:c r="F475" s="36" t="str">
        <x:f>FRAGEN_MASTER!Q475</x:f>
        <x:v>Welche Vorwürfe werden gegen Stephanus erhoben?</x:v>
      </x:c>
      <x:c r="G475" s="36" t="str">
        <x:f>FRAGEN_MASTER!R475</x:f>
        <x:v>Er verweigere die Steuer an den Kaiser.</x:v>
      </x:c>
      <x:c r="H475" s="36" t="str">
        <x:f>FRAGEN_MASTER!S475</x:f>
        <x:v>Er habe Geld aus der Gemeinde gestohlen.</x:v>
      </x:c>
      <x:c r="I475" s="36" t="str">
        <x:f>FRAGEN_MASTER!T475</x:f>
        <x:v>Er wolle König von Israel werden.</x:v>
      </x:c>
      <x:c r="J475" s="36" t="str">
        <x:f>FRAGEN_MASTER!U475</x:f>
        <x:v>Er rede gegen Mose, Gott, den heiligen Ort und das Gesetz.</x:v>
      </x:c>
      <x:c r="K475" s="36" t="n">
        <x:f>FRAGEN_MASTER!V475</x:f>
        <x:v>3</x:v>
      </x:c>
      <x:c r="L475" s="36" t="str">
        <x:f>FRAGEN_MASTER!W475</x:f>
        <x:v>Er rede gegen Mose, Gott, den heiligen Ort und das Gesetz.</x:v>
      </x:c>
      <x:c r="M475" s="36" t="str">
        <x:f>FRAGEN_MASTER!X475</x:f>
        <x:v>Apostelgeschichte 6,11–14</x:v>
      </x:c>
      <x:c r="N475" s="36" t="str">
        <x:f>FRAGEN_MASTER!Y475</x:f>
        <x:v>Gegen Stephanus werden religiöse Anklagen konstruiert, besonders gegen Tempel und Gesetz.</x:v>
      </x:c>
      <x:c r="O475" s="36" t="str">
        <x:f>FRAGEN_MASTER!AG475</x:f>
        <x:v>FREIGEGEBEN</x:v>
      </x:c>
      <x:c r="P475" s="36" t="str">
        <x:f>FRAGEN_MASTER!AI475</x:f>
        <x:v>FREIGEGEBEN</x:v>
      </x:c>
      <x:c r="Q475" s="36" t="str">
        <x:f>FRAGEN_MASTER!AL475</x:f>
        <x:v>JA</x:v>
      </x:c>
    </x:row>
    <x:row r="476">
      <x:c r="A476" s="36" t="str">
        <x:f>FRAGEN_MASTER!A476</x:f>
        <x:v>FP-0735</x:v>
      </x:c>
      <x:c r="B476" s="36" t="str">
        <x:f>FRAGEN_MASTER!B476</x:f>
        <x:v>ACT</x:v>
      </x:c>
      <x:c r="C476" s="36" t="str">
        <x:f>FRAGEN_MASTER!C476</x:f>
        <x:v>Apostelgeschichte</x:v>
      </x:c>
      <x:c r="D476" s="36" t="n">
        <x:f>FRAGEN_MASTER!D476</x:f>
        <x:v>6</x:v>
      </x:c>
      <x:c r="E476" s="36" t="n">
        <x:f>FRAGEN_MASTER!E476</x:f>
        <x:v>5</x:v>
      </x:c>
      <x:c r="F476" s="36" t="str">
        <x:f>FRAGEN_MASTER!Q476</x:f>
        <x:v>Wie wird Stephanus' Gesicht vor dem Hohen Rat beschrieben?</x:v>
      </x:c>
      <x:c r="G476" s="36" t="str">
        <x:f>FRAGEN_MASTER!R476</x:f>
        <x:v>Wie das Gesicht eines Engels.</x:v>
      </x:c>
      <x:c r="H476" s="36" t="str">
        <x:f>FRAGEN_MASTER!S476</x:f>
        <x:v>Wie das Gesicht eines Königs.</x:v>
      </x:c>
      <x:c r="I476" s="36" t="str">
        <x:f>FRAGEN_MASTER!T476</x:f>
        <x:v>Völlig verhüllt.</x:v>
      </x:c>
      <x:c r="J476" s="36" t="str">
        <x:f>FRAGEN_MASTER!U476</x:f>
        <x:v>Von Angst entstellt.</x:v>
      </x:c>
      <x:c r="K476" s="36" t="n">
        <x:f>FRAGEN_MASTER!V476</x:f>
        <x:v>0</x:v>
      </x:c>
      <x:c r="L476" s="36" t="str">
        <x:f>FRAGEN_MASTER!W476</x:f>
        <x:v>Wie das Gesicht eines Engels.</x:v>
      </x:c>
      <x:c r="M476" s="36" t="str">
        <x:f>FRAGEN_MASTER!X476</x:f>
        <x:v>Apostelgeschichte 6,15</x:v>
      </x:c>
      <x:c r="N476" s="36" t="str">
        <x:f>FRAGEN_MASTER!Y476</x:f>
        <x:v>Die Anwesenden sehen sein Gesicht wie das eines Engels.</x:v>
      </x:c>
      <x:c r="O476" s="36" t="str">
        <x:f>FRAGEN_MASTER!AG476</x:f>
        <x:v>FREIGEGEBEN</x:v>
      </x:c>
      <x:c r="P476" s="36" t="str">
        <x:f>FRAGEN_MASTER!AI476</x:f>
        <x:v>FREIGEGEBEN</x:v>
      </x:c>
      <x:c r="Q476" s="36" t="str">
        <x:f>FRAGEN_MASTER!AL476</x:f>
        <x:v>JA</x:v>
      </x:c>
    </x:row>
    <x:row r="477">
      <x:c r="A477" s="36" t="str">
        <x:f>FRAGEN_MASTER!A477</x:f>
        <x:v>FP-0736</x:v>
      </x:c>
      <x:c r="B477" s="36" t="str">
        <x:f>FRAGEN_MASTER!B477</x:f>
        <x:v>ACT</x:v>
      </x:c>
      <x:c r="C477" s="36" t="str">
        <x:f>FRAGEN_MASTER!C477</x:f>
        <x:v>Apostelgeschichte</x:v>
      </x:c>
      <x:c r="D477" s="36" t="n">
        <x:f>FRAGEN_MASTER!D477</x:f>
        <x:v>7</x:v>
      </x:c>
      <x:c r="E477" s="36" t="n">
        <x:f>FRAGEN_MASTER!E477</x:f>
        <x:v>1</x:v>
      </x:c>
      <x:c r="F477" s="36" t="str">
        <x:f>FRAGEN_MASTER!Q477</x:f>
        <x:v>Mit welcher Person beginnt Stephanus seinen großen Rückblick auf Israels Geschichte?</x:v>
      </x:c>
      <x:c r="G477" s="36" t="str">
        <x:f>FRAGEN_MASTER!R477</x:f>
        <x:v>Mit Mose.</x:v>
      </x:c>
      <x:c r="H477" s="36" t="str">
        <x:f>FRAGEN_MASTER!S477</x:f>
        <x:v>Mit Abraham.</x:v>
      </x:c>
      <x:c r="I477" s="36" t="str">
        <x:f>FRAGEN_MASTER!T477</x:f>
        <x:v>Mit David.</x:v>
      </x:c>
      <x:c r="J477" s="36" t="str">
        <x:f>FRAGEN_MASTER!U477</x:f>
        <x:v>Mit Salomo.</x:v>
      </x:c>
      <x:c r="K477" s="36" t="n">
        <x:f>FRAGEN_MASTER!V477</x:f>
        <x:v>1</x:v>
      </x:c>
      <x:c r="L477" s="36" t="str">
        <x:f>FRAGEN_MASTER!W477</x:f>
        <x:v>Mit Abraham.</x:v>
      </x:c>
      <x:c r="M477" s="36" t="str">
        <x:f>FRAGEN_MASTER!X477</x:f>
        <x:v>Apostelgeschichte 7,2–8</x:v>
      </x:c>
      <x:c r="N477" s="36" t="str">
        <x:f>FRAGEN_MASTER!Y477</x:f>
        <x:v>Stephanus beginnt bei Abraham und Gottes Berufung und Bund mit ihm.</x:v>
      </x:c>
      <x:c r="O477" s="36" t="str">
        <x:f>FRAGEN_MASTER!AG477</x:f>
        <x:v>FREIGEGEBEN</x:v>
      </x:c>
      <x:c r="P477" s="36" t="str">
        <x:f>FRAGEN_MASTER!AI477</x:f>
        <x:v>FREIGEGEBEN</x:v>
      </x:c>
      <x:c r="Q477" s="36" t="str">
        <x:f>FRAGEN_MASTER!AL477</x:f>
        <x:v>JA</x:v>
      </x:c>
    </x:row>
    <x:row r="478">
      <x:c r="A478" s="36" t="str">
        <x:f>FRAGEN_MASTER!A478</x:f>
        <x:v>FP-0737</x:v>
      </x:c>
      <x:c r="B478" s="36" t="str">
        <x:f>FRAGEN_MASTER!B478</x:f>
        <x:v>ACT</x:v>
      </x:c>
      <x:c r="C478" s="36" t="str">
        <x:f>FRAGEN_MASTER!C478</x:f>
        <x:v>Apostelgeschichte</x:v>
      </x:c>
      <x:c r="D478" s="36" t="n">
        <x:f>FRAGEN_MASTER!D478</x:f>
        <x:v>7</x:v>
      </x:c>
      <x:c r="E478" s="36" t="n">
        <x:f>FRAGEN_MASTER!E478</x:f>
        <x:v>2</x:v>
      </x:c>
      <x:c r="F478" s="36" t="str">
        <x:f>FRAGEN_MASTER!Q478</x:f>
        <x:v>Was geschieht, nachdem Mose einen misshandelten Israeliten verteidigt und einen Ägypter erschlagen hat?</x:v>
      </x:c>
      <x:c r="G478" s="36" t="str">
        <x:f>FRAGEN_MASTER!R478</x:f>
        <x:v>Er wird sofort Pharao.</x:v>
      </x:c>
      <x:c r="H478" s="36" t="str">
        <x:f>FRAGEN_MASTER!S478</x:f>
        <x:v>Er kehrt nach Kanaan zurück.</x:v>
      </x:c>
      <x:c r="I478" s="36" t="str">
        <x:f>FRAGEN_MASTER!T478</x:f>
        <x:v>Er flieht nach Midian, nachdem seine Tat bekannt wird und seine Vermittlung abgelehnt wird.</x:v>
      </x:c>
      <x:c r="J478" s="36" t="str">
        <x:f>FRAGEN_MASTER!U478</x:f>
        <x:v>Er wird Hohepriester.</x:v>
      </x:c>
      <x:c r="K478" s="36" t="n">
        <x:f>FRAGEN_MASTER!V478</x:f>
        <x:v>2</x:v>
      </x:c>
      <x:c r="L478" s="36" t="str">
        <x:f>FRAGEN_MASTER!W478</x:f>
        <x:v>Er flieht nach Midian, nachdem seine Tat bekannt wird und seine Vermittlung abgelehnt wird.</x:v>
      </x:c>
      <x:c r="M478" s="36" t="str">
        <x:f>FRAGEN_MASTER!X478</x:f>
        <x:v>Apostelgeschichte 7,20–29</x:v>
      </x:c>
      <x:c r="N478" s="36" t="str">
        <x:f>FRAGEN_MASTER!Y478</x:f>
        <x:v>Moses erster Rettungsversuch wird missverstanden; nachdem die Tat bekannt wird, flieht er nach Midian.</x:v>
      </x:c>
      <x:c r="O478" s="36" t="str">
        <x:f>FRAGEN_MASTER!AG478</x:f>
        <x:v>FREIGEGEBEN</x:v>
      </x:c>
      <x:c r="P478" s="36" t="str">
        <x:f>FRAGEN_MASTER!AI478</x:f>
        <x:v>FREIGEGEBEN</x:v>
      </x:c>
      <x:c r="Q478" s="36" t="str">
        <x:f>FRAGEN_MASTER!AL478</x:f>
        <x:v>JA</x:v>
      </x:c>
    </x:row>
    <x:row r="479">
      <x:c r="A479" s="36" t="str">
        <x:f>FRAGEN_MASTER!A479</x:f>
        <x:v>FP-0738</x:v>
      </x:c>
      <x:c r="B479" s="36" t="str">
        <x:f>FRAGEN_MASTER!B479</x:f>
        <x:v>ACT</x:v>
      </x:c>
      <x:c r="C479" s="36" t="str">
        <x:f>FRAGEN_MASTER!C479</x:f>
        <x:v>Apostelgeschichte</x:v>
      </x:c>
      <x:c r="D479" s="36" t="n">
        <x:f>FRAGEN_MASTER!D479</x:f>
        <x:v>7</x:v>
      </x:c>
      <x:c r="E479" s="36" t="n">
        <x:f>FRAGEN_MASTER!E479</x:f>
        <x:v>3</x:v>
      </x:c>
      <x:c r="F479" s="36" t="str">
        <x:f>FRAGEN_MASTER!Q479</x:f>
        <x:v>Wie beschreibt Stephanus Moses Rolle trotz früherer Ablehnung durch Israel?</x:v>
      </x:c>
      <x:c r="G479" s="36" t="str">
        <x:f>FRAGEN_MASTER!R479</x:f>
        <x:v>Mose spielt keine weitere Rolle.</x:v>
      </x:c>
      <x:c r="H479" s="36" t="str">
        <x:f>FRAGEN_MASTER!S479</x:f>
        <x:v>Mose wird von Gott verworfen.</x:v>
      </x:c>
      <x:c r="I479" s="36" t="str">
        <x:f>FRAGEN_MASTER!T479</x:f>
        <x:v>Mose dient später den Ägyptern.</x:v>
      </x:c>
      <x:c r="J479" s="36" t="str">
        <x:f>FRAGEN_MASTER!U479</x:f>
        <x:v>Gott sendet gerade diesen Mose als Herrscher und Befreier.</x:v>
      </x:c>
      <x:c r="K479" s="36" t="n">
        <x:f>FRAGEN_MASTER!V479</x:f>
        <x:v>3</x:v>
      </x:c>
      <x:c r="L479" s="36" t="str">
        <x:f>FRAGEN_MASTER!W479</x:f>
        <x:v>Gott sendet gerade diesen Mose als Herrscher und Befreier.</x:v>
      </x:c>
      <x:c r="M479" s="36" t="str">
        <x:f>FRAGEN_MASTER!X479</x:f>
        <x:v>Apostelgeschichte 7,35–38</x:v>
      </x:c>
      <x:c r="N479" s="36" t="str">
        <x:f>FRAGEN_MASTER!Y479</x:f>
        <x:v>Stephanus betont, dass der zuvor Zurückgewiesene von Gott zum Führer und Befreier bestimmt wird.</x:v>
      </x:c>
      <x:c r="O479" s="36" t="str">
        <x:f>FRAGEN_MASTER!AG479</x:f>
        <x:v>FREIGEGEBEN</x:v>
      </x:c>
      <x:c r="P479" s="36" t="str">
        <x:f>FRAGEN_MASTER!AI479</x:f>
        <x:v>FREIGEGEBEN</x:v>
      </x:c>
      <x:c r="Q479" s="36" t="str">
        <x:f>FRAGEN_MASTER!AL479</x:f>
        <x:v>JA</x:v>
      </x:c>
    </x:row>
    <x:row r="480">
      <x:c r="A480" s="36" t="str">
        <x:f>FRAGEN_MASTER!A480</x:f>
        <x:v>FP-0739</x:v>
      </x:c>
      <x:c r="B480" s="36" t="str">
        <x:f>FRAGEN_MASTER!B480</x:f>
        <x:v>ACT</x:v>
      </x:c>
      <x:c r="C480" s="36" t="str">
        <x:f>FRAGEN_MASTER!C480</x:f>
        <x:v>Apostelgeschichte</x:v>
      </x:c>
      <x:c r="D480" s="36" t="n">
        <x:f>FRAGEN_MASTER!D480</x:f>
        <x:v>7</x:v>
      </x:c>
      <x:c r="E480" s="36" t="n">
        <x:f>FRAGEN_MASTER!E480</x:f>
        <x:v>4</x:v>
      </x:c>
      <x:c r="F480" s="36" t="str">
        <x:f>FRAGEN_MASTER!Q480</x:f>
        <x:v>Was sagt Stephanus über Gottes Wohnen in von Menschen gebauten Häusern?</x:v>
      </x:c>
      <x:c r="G480" s="36" t="str">
        <x:f>FRAGEN_MASTER!R480</x:f>
        <x:v>Der Höchste wohnt nicht in Häusern, die von Menschenhänden gemacht sind.</x:v>
      </x:c>
      <x:c r="H480" s="36" t="str">
        <x:f>FRAGEN_MASTER!S480</x:f>
        <x:v>Gott wohnt ausschließlich im Jerusalemer Tempel.</x:v>
      </x:c>
      <x:c r="I480" s="36" t="str">
        <x:f>FRAGEN_MASTER!T480</x:f>
        <x:v>Gott wohnt nur in Synagogen.</x:v>
      </x:c>
      <x:c r="J480" s="36" t="str">
        <x:f>FRAGEN_MASTER!U480</x:f>
        <x:v>Jeder Tempel ist automatisch Gottes Wohnung.</x:v>
      </x:c>
      <x:c r="K480" s="36" t="n">
        <x:f>FRAGEN_MASTER!V480</x:f>
        <x:v>0</x:v>
      </x:c>
      <x:c r="L480" s="36" t="str">
        <x:f>FRAGEN_MASTER!W480</x:f>
        <x:v>Der Höchste wohnt nicht in Häusern, die von Menschenhänden gemacht sind.</x:v>
      </x:c>
      <x:c r="M480" s="36" t="str">
        <x:f>FRAGEN_MASTER!X480</x:f>
        <x:v>Apostelgeschichte 7,48–50</x:v>
      </x:c>
      <x:c r="N480" s="36" t="str">
        <x:f>FRAGEN_MASTER!Y480</x:f>
        <x:v>Stephanus zitiert die Propheten und relativiert eine Begrenzung Gottes auf menschengemachte Gebäude.</x:v>
      </x:c>
      <x:c r="O480" s="36" t="str">
        <x:f>FRAGEN_MASTER!AG480</x:f>
        <x:v>FREIGEGEBEN</x:v>
      </x:c>
      <x:c r="P480" s="36" t="str">
        <x:f>FRAGEN_MASTER!AI480</x:f>
        <x:v>FREIGEGEBEN</x:v>
      </x:c>
      <x:c r="Q480" s="36" t="str">
        <x:f>FRAGEN_MASTER!AL480</x:f>
        <x:v>JA</x:v>
      </x:c>
    </x:row>
    <x:row r="481">
      <x:c r="A481" s="36" t="str">
        <x:f>FRAGEN_MASTER!A481</x:f>
        <x:v>FP-0740</x:v>
      </x:c>
      <x:c r="B481" s="36" t="str">
        <x:f>FRAGEN_MASTER!B481</x:f>
        <x:v>ACT</x:v>
      </x:c>
      <x:c r="C481" s="36" t="str">
        <x:f>FRAGEN_MASTER!C481</x:f>
        <x:v>Apostelgeschichte</x:v>
      </x:c>
      <x:c r="D481" s="36" t="n">
        <x:f>FRAGEN_MASTER!D481</x:f>
        <x:v>7</x:v>
      </x:c>
      <x:c r="E481" s="36" t="n">
        <x:f>FRAGEN_MASTER!E481</x:f>
        <x:v>5</x:v>
      </x:c>
      <x:c r="F481" s="36" t="str">
        <x:f>FRAGEN_MASTER!Q481</x:f>
        <x:v>Wie reagiert Stephanus während seiner Steinigung?</x:v>
      </x:c>
      <x:c r="G481" s="36" t="str">
        <x:f>FRAGEN_MASTER!R481</x:f>
        <x:v>Er verflucht alle Beteiligten.</x:v>
      </x:c>
      <x:c r="H481" s="36" t="str">
        <x:f>FRAGEN_MASTER!S481</x:f>
        <x:v>Er sieht Jesus zur Rechten Gottes und bittet um Vergebung für seine Täter.</x:v>
      </x:c>
      <x:c r="I481" s="36" t="str">
        <x:f>FRAGEN_MASTER!T481</x:f>
        <x:v>Er ruft nach römischen Soldaten.</x:v>
      </x:c>
      <x:c r="J481" s="36" t="str">
        <x:f>FRAGEN_MASTER!U481</x:f>
        <x:v>Er widerruft seine Rede.</x:v>
      </x:c>
      <x:c r="K481" s="36" t="n">
        <x:f>FRAGEN_MASTER!V481</x:f>
        <x:v>1</x:v>
      </x:c>
      <x:c r="L481" s="36" t="str">
        <x:f>FRAGEN_MASTER!W481</x:f>
        <x:v>Er sieht Jesus zur Rechten Gottes und bittet um Vergebung für seine Täter.</x:v>
      </x:c>
      <x:c r="M481" s="36" t="str">
        <x:f>FRAGEN_MASTER!X481</x:f>
        <x:v>Apostelgeschichte 7,54–60</x:v>
      </x:c>
      <x:c r="N481" s="36" t="str">
        <x:f>FRAGEN_MASTER!Y481</x:f>
        <x:v>Stephanus bezeugt seine himmlische Vision, vertraut seinen Geist Jesus an und bittet darum, den Tätern die Sünde nicht anzurechnen.</x:v>
      </x:c>
      <x:c r="O481" s="36" t="str">
        <x:f>FRAGEN_MASTER!AG481</x:f>
        <x:v>FREIGEGEBEN</x:v>
      </x:c>
      <x:c r="P481" s="36" t="str">
        <x:f>FRAGEN_MASTER!AI481</x:f>
        <x:v>FREIGEGEBEN</x:v>
      </x:c>
      <x:c r="Q481" s="36" t="str">
        <x:f>FRAGEN_MASTER!AL481</x:f>
        <x:v>JA</x:v>
      </x:c>
    </x:row>
    <x:row r="482">
      <x:c r="A482" s="36" t="str">
        <x:f>FRAGEN_MASTER!A482</x:f>
        <x:v>FP-0741</x:v>
      </x:c>
      <x:c r="B482" s="36" t="str">
        <x:f>FRAGEN_MASTER!B482</x:f>
        <x:v>ACT</x:v>
      </x:c>
      <x:c r="C482" s="36" t="str">
        <x:f>FRAGEN_MASTER!C482</x:f>
        <x:v>Apostelgeschichte</x:v>
      </x:c>
      <x:c r="D482" s="36" t="n">
        <x:f>FRAGEN_MASTER!D482</x:f>
        <x:v>8</x:v>
      </x:c>
      <x:c r="E482" s="36" t="n">
        <x:f>FRAGEN_MASTER!E482</x:f>
        <x:v>1</x:v>
      </x:c>
      <x:c r="F482" s="36" t="str">
        <x:f>FRAGEN_MASTER!Q482</x:f>
        <x:v>Welche Wirkung hat die Verfolgung nach dem Tod des Stephanus auf die Verkündigung?</x:v>
      </x:c>
      <x:c r="G482" s="36" t="str">
        <x:f>FRAGEN_MASTER!R482</x:f>
        <x:v>Die Verkündigung endet vollständig.</x:v>
      </x:c>
      <x:c r="H482" s="36" t="str">
        <x:f>FRAGEN_MASTER!S482</x:f>
        <x:v>Alle Apostel verlassen sofort Jerusalem.</x:v>
      </x:c>
      <x:c r="I482" s="36" t="str">
        <x:f>FRAGEN_MASTER!T482</x:f>
        <x:v>Die zerstreuten Gläubigen ziehen umher und verkünden das Wort.</x:v>
      </x:c>
      <x:c r="J482" s="36" t="str">
        <x:f>FRAGEN_MASTER!U482</x:f>
        <x:v>Nur Saulus predigt weiter.</x:v>
      </x:c>
      <x:c r="K482" s="36" t="n">
        <x:f>FRAGEN_MASTER!V482</x:f>
        <x:v>2</x:v>
      </x:c>
      <x:c r="L482" s="36" t="str">
        <x:f>FRAGEN_MASTER!W482</x:f>
        <x:v>Die zerstreuten Gläubigen ziehen umher und verkünden das Wort.</x:v>
      </x:c>
      <x:c r="M482" s="36" t="str">
        <x:f>FRAGEN_MASTER!X482</x:f>
        <x:v>Apostelgeschichte 8,1–4</x:v>
      </x:c>
      <x:c r="N482" s="36" t="str">
        <x:f>FRAGEN_MASTER!Y482</x:f>
        <x:v>Die Verfolgung zerstreut Gläubige, aber gerade dadurch verbreitet sich die Botschaft weiter.</x:v>
      </x:c>
      <x:c r="O482" s="36" t="str">
        <x:f>FRAGEN_MASTER!AG482</x:f>
        <x:v>FREIGEGEBEN</x:v>
      </x:c>
      <x:c r="P482" s="36" t="str">
        <x:f>FRAGEN_MASTER!AI482</x:f>
        <x:v>FREIGEGEBEN</x:v>
      </x:c>
      <x:c r="Q482" s="36" t="str">
        <x:f>FRAGEN_MASTER!AL482</x:f>
        <x:v>JA</x:v>
      </x:c>
    </x:row>
    <x:row r="483">
      <x:c r="A483" s="36" t="str">
        <x:f>FRAGEN_MASTER!A483</x:f>
        <x:v>FP-0742</x:v>
      </x:c>
      <x:c r="B483" s="36" t="str">
        <x:f>FRAGEN_MASTER!B483</x:f>
        <x:v>ACT</x:v>
      </x:c>
      <x:c r="C483" s="36" t="str">
        <x:f>FRAGEN_MASTER!C483</x:f>
        <x:v>Apostelgeschichte</x:v>
      </x:c>
      <x:c r="D483" s="36" t="n">
        <x:f>FRAGEN_MASTER!D483</x:f>
        <x:v>8</x:v>
      </x:c>
      <x:c r="E483" s="36" t="n">
        <x:f>FRAGEN_MASTER!E483</x:f>
        <x:v>2</x:v>
      </x:c>
      <x:c r="F483" s="36" t="str">
        <x:f>FRAGEN_MASTER!Q483</x:f>
        <x:v>Was geschieht in Samaria durch den Dienst des Philippus?</x:v>
      </x:c>
      <x:c r="G483" s="36" t="str">
        <x:f>FRAGEN_MASTER!R483</x:f>
        <x:v>Die Stadt weist ihn sofort aus.</x:v>
      </x:c>
      <x:c r="H483" s="36" t="str">
        <x:f>FRAGEN_MASTER!S483</x:f>
        <x:v>Er gründet dort eine römische Schule.</x:v>
      </x:c>
      <x:c r="I483" s="36" t="str">
        <x:f>FRAGEN_MASTER!T483</x:f>
        <x:v>Niemand hört auf ihn.</x:v>
      </x:c>
      <x:c r="J483" s="36" t="str">
        <x:f>FRAGEN_MASTER!U483</x:f>
        <x:v>Menschen hören auf seine Botschaft, unreine Geister fahren aus und viele Kranke werden geheilt.</x:v>
      </x:c>
      <x:c r="K483" s="36" t="n">
        <x:f>FRAGEN_MASTER!V483</x:f>
        <x:v>3</x:v>
      </x:c>
      <x:c r="L483" s="36" t="str">
        <x:f>FRAGEN_MASTER!W483</x:f>
        <x:v>Menschen hören auf seine Botschaft, unreine Geister fahren aus und viele Kranke werden geheilt.</x:v>
      </x:c>
      <x:c r="M483" s="36" t="str">
        <x:f>FRAGEN_MASTER!X483</x:f>
        <x:v>Apostelgeschichte 8,5–13</x:v>
      </x:c>
      <x:c r="N483" s="36" t="str">
        <x:f>FRAGEN_MASTER!Y483</x:f>
        <x:v>Die Verkündigung Christi wird von Befreiungen und Heilungen begleitet und führt zu großer Freude in der Stadt.</x:v>
      </x:c>
      <x:c r="O483" s="36" t="str">
        <x:f>FRAGEN_MASTER!AG483</x:f>
        <x:v>FREIGEGEBEN</x:v>
      </x:c>
      <x:c r="P483" s="36" t="str">
        <x:f>FRAGEN_MASTER!AI483</x:f>
        <x:v>FREIGEGEBEN</x:v>
      </x:c>
      <x:c r="Q483" s="36" t="str">
        <x:f>FRAGEN_MASTER!AL483</x:f>
        <x:v>JA</x:v>
      </x:c>
    </x:row>
    <x:row r="484">
      <x:c r="A484" s="36" t="str">
        <x:f>FRAGEN_MASTER!A484</x:f>
        <x:v>FP-0743</x:v>
      </x:c>
      <x:c r="B484" s="36" t="str">
        <x:f>FRAGEN_MASTER!B484</x:f>
        <x:v>ACT</x:v>
      </x:c>
      <x:c r="C484" s="36" t="str">
        <x:f>FRAGEN_MASTER!C484</x:f>
        <x:v>Apostelgeschichte</x:v>
      </x:c>
      <x:c r="D484" s="36" t="n">
        <x:f>FRAGEN_MASTER!D484</x:f>
        <x:v>8</x:v>
      </x:c>
      <x:c r="E484" s="36" t="n">
        <x:f>FRAGEN_MASTER!E484</x:f>
        <x:v>3</x:v>
      </x:c>
      <x:c r="F484" s="36" t="str">
        <x:f>FRAGEN_MASTER!Q484</x:f>
        <x:v>Was ist an Simons Versuch problematisch, die Gabe Gottes mit Geld zu erwerben?</x:v>
      </x:c>
      <x:c r="G484" s="36" t="str">
        <x:f>FRAGEN_MASTER!R484</x:f>
        <x:v>Er behandelt Gottes Gabe wie etwas Käufliches und zeigt eine falsche Herzenshaltung.</x:v>
      </x:c>
      <x:c r="H484" s="36" t="str">
        <x:f>FRAGEN_MASTER!S484</x:f>
        <x:v>Er bietet zu wenig Geld an.</x:v>
      </x:c>
      <x:c r="I484" s="36" t="str">
        <x:f>FRAGEN_MASTER!T484</x:f>
        <x:v>Nur Apostel dürfen überhaupt Geld besitzen.</x:v>
      </x:c>
      <x:c r="J484" s="36" t="str">
        <x:f>FRAGEN_MASTER!U484</x:f>
        <x:v>Die Gabe ist grundsätzlich verkäuflich.</x:v>
      </x:c>
      <x:c r="K484" s="36" t="n">
        <x:f>FRAGEN_MASTER!V484</x:f>
        <x:v>0</x:v>
      </x:c>
      <x:c r="L484" s="36" t="str">
        <x:f>FRAGEN_MASTER!W484</x:f>
        <x:v>Er behandelt Gottes Gabe wie etwas Käufliches und zeigt eine falsche Herzenshaltung.</x:v>
      </x:c>
      <x:c r="M484" s="36" t="str">
        <x:f>FRAGEN_MASTER!X484</x:f>
        <x:v>Apostelgeschichte 8,14–24</x:v>
      </x:c>
      <x:c r="N484" s="36" t="str">
        <x:f>FRAGEN_MASTER!Y484</x:f>
        <x:v>Petrus weist Simons Denken scharf zurück, weil Gottes Gabe nicht durch Geld erworben werden kann.</x:v>
      </x:c>
      <x:c r="O484" s="36" t="str">
        <x:f>FRAGEN_MASTER!AG484</x:f>
        <x:v>FREIGEGEBEN</x:v>
      </x:c>
      <x:c r="P484" s="36" t="str">
        <x:f>FRAGEN_MASTER!AI484</x:f>
        <x:v>FREIGEGEBEN</x:v>
      </x:c>
      <x:c r="Q484" s="36" t="str">
        <x:f>FRAGEN_MASTER!AL484</x:f>
        <x:v>JA</x:v>
      </x:c>
    </x:row>
    <x:row r="485">
      <x:c r="A485" s="36" t="str">
        <x:f>FRAGEN_MASTER!A485</x:f>
        <x:v>FP-0744</x:v>
      </x:c>
      <x:c r="B485" s="36" t="str">
        <x:f>FRAGEN_MASTER!B485</x:f>
        <x:v>ACT</x:v>
      </x:c>
      <x:c r="C485" s="36" t="str">
        <x:f>FRAGEN_MASTER!C485</x:f>
        <x:v>Apostelgeschichte</x:v>
      </x:c>
      <x:c r="D485" s="36" t="n">
        <x:f>FRAGEN_MASTER!D485</x:f>
        <x:v>8</x:v>
      </x:c>
      <x:c r="E485" s="36" t="n">
        <x:f>FRAGEN_MASTER!E485</x:f>
        <x:v>4</x:v>
      </x:c>
      <x:c r="F485" s="36" t="str">
        <x:f>FRAGEN_MASTER!Q485</x:f>
        <x:v>Welche Schriftstelle liest der äthiopische Kämmerer, als Philippus zu ihm kommt?</x:v>
      </x:c>
      <x:c r="G485" s="36" t="str">
        <x:f>FRAGEN_MASTER!R485</x:f>
        <x:v>Die Zehn Gebote.</x:v>
      </x:c>
      <x:c r="H485" s="36" t="str">
        <x:f>FRAGEN_MASTER!S485</x:f>
        <x:v>Eine Stelle aus Jesaja über den leidenden, wie ein Schaf geführten Knecht.</x:v>
      </x:c>
      <x:c r="I485" s="36" t="str">
        <x:f>FRAGEN_MASTER!T485</x:f>
        <x:v>Den Schöpfungsbericht.</x:v>
      </x:c>
      <x:c r="J485" s="36" t="str">
        <x:f>FRAGEN_MASTER!U485</x:f>
        <x:v>Ein Gebet Davids über Jerusalem.</x:v>
      </x:c>
      <x:c r="K485" s="36" t="n">
        <x:f>FRAGEN_MASTER!V485</x:f>
        <x:v>1</x:v>
      </x:c>
      <x:c r="L485" s="36" t="str">
        <x:f>FRAGEN_MASTER!W485</x:f>
        <x:v>Eine Stelle aus Jesaja über den leidenden, wie ein Schaf geführten Knecht.</x:v>
      </x:c>
      <x:c r="M485" s="36" t="str">
        <x:f>FRAGEN_MASTER!X485</x:f>
        <x:v>Apostelgeschichte 8,26–35</x:v>
      </x:c>
      <x:c r="N485" s="36" t="str">
        <x:f>FRAGEN_MASTER!Y485</x:f>
        <x:v>Philippus setzt bei der gelesenen Jesajastelle an und verkündet dem Kämmerer von dort aus Jesus.</x:v>
      </x:c>
      <x:c r="O485" s="36" t="str">
        <x:f>FRAGEN_MASTER!AG485</x:f>
        <x:v>FREIGEGEBEN</x:v>
      </x:c>
      <x:c r="P485" s="36" t="str">
        <x:f>FRAGEN_MASTER!AI485</x:f>
        <x:v>FREIGEGEBEN</x:v>
      </x:c>
      <x:c r="Q485" s="36" t="str">
        <x:f>FRAGEN_MASTER!AL485</x:f>
        <x:v>JA</x:v>
      </x:c>
    </x:row>
    <x:row r="486">
      <x:c r="A486" s="36" t="str">
        <x:f>FRAGEN_MASTER!A486</x:f>
        <x:v>FP-0745</x:v>
      </x:c>
      <x:c r="B486" s="36" t="str">
        <x:f>FRAGEN_MASTER!B486</x:f>
        <x:v>ACT</x:v>
      </x:c>
      <x:c r="C486" s="36" t="str">
        <x:f>FRAGEN_MASTER!C486</x:f>
        <x:v>Apostelgeschichte</x:v>
      </x:c>
      <x:c r="D486" s="36" t="n">
        <x:f>FRAGEN_MASTER!D486</x:f>
        <x:v>8</x:v>
      </x:c>
      <x:c r="E486" s="36" t="n">
        <x:f>FRAGEN_MASTER!E486</x:f>
        <x:v>5</x:v>
      </x:c>
      <x:c r="F486" s="36" t="str">
        <x:f>FRAGEN_MASTER!Q486</x:f>
        <x:v>Was geschieht, als Philippus und der Kämmerer an Wasser vorbeikommen?</x:v>
      </x:c>
      <x:c r="G486" s="36" t="str">
        <x:f>FRAGEN_MASTER!R486</x:f>
        <x:v>Philippus verweigert die Taufe.</x:v>
      </x:c>
      <x:c r="H486" s="36" t="str">
        <x:f>FRAGEN_MASTER!S486</x:f>
        <x:v>Beide kehren nach Jerusalem zurück.</x:v>
      </x:c>
      <x:c r="I486" s="36" t="str">
        <x:f>FRAGEN_MASTER!T486</x:f>
        <x:v>Der Kämmerer lässt sich taufen; danach führt der Geist Philippus weg.</x:v>
      </x:c>
      <x:c r="J486" s="36" t="str">
        <x:f>FRAGEN_MASTER!U486</x:f>
        <x:v>Der Wagen wird zerstört.</x:v>
      </x:c>
      <x:c r="K486" s="36" t="n">
        <x:f>FRAGEN_MASTER!V486</x:f>
        <x:v>2</x:v>
      </x:c>
      <x:c r="L486" s="36" t="str">
        <x:f>FRAGEN_MASTER!W486</x:f>
        <x:v>Der Kämmerer lässt sich taufen; danach führt der Geist Philippus weg.</x:v>
      </x:c>
      <x:c r="M486" s="36" t="str">
        <x:f>FRAGEN_MASTER!X486</x:f>
        <x:v>Apostelgeschichte 8,36–40</x:v>
      </x:c>
      <x:c r="N486" s="36" t="str">
        <x:f>FRAGEN_MASTER!Y486</x:f>
        <x:v>Der Kämmerer wird getauft und zieht freudig weiter, während Philippus an einen anderen Ort geführt wird.</x:v>
      </x:c>
      <x:c r="O486" s="36" t="str">
        <x:f>FRAGEN_MASTER!AG486</x:f>
        <x:v>FREIGEGEBEN</x:v>
      </x:c>
      <x:c r="P486" s="36" t="str">
        <x:f>FRAGEN_MASTER!AI486</x:f>
        <x:v>FREIGEGEBEN</x:v>
      </x:c>
      <x:c r="Q486" s="36" t="str">
        <x:f>FRAGEN_MASTER!AL486</x:f>
        <x:v>JA</x:v>
      </x:c>
    </x:row>
    <x:row r="487">
      <x:c r="A487" s="36" t="str">
        <x:f>FRAGEN_MASTER!A487</x:f>
        <x:v>FP-0746</x:v>
      </x:c>
      <x:c r="B487" s="36" t="str">
        <x:f>FRAGEN_MASTER!B487</x:f>
        <x:v>ACT</x:v>
      </x:c>
      <x:c r="C487" s="36" t="str">
        <x:f>FRAGEN_MASTER!C487</x:f>
        <x:v>Apostelgeschichte</x:v>
      </x:c>
      <x:c r="D487" s="36" t="n">
        <x:f>FRAGEN_MASTER!D487</x:f>
        <x:v>9</x:v>
      </x:c>
      <x:c r="E487" s="36" t="n">
        <x:f>FRAGEN_MASTER!E487</x:f>
        <x:v>1</x:v>
      </x:c>
      <x:c r="F487" s="36" t="str">
        <x:f>FRAGEN_MASTER!Q487</x:f>
        <x:v>Was erlebt Saulus auf dem Weg nach Damaskus?</x:v>
      </x:c>
      <x:c r="G487" s="36" t="str">
        <x:f>FRAGEN_MASTER!R487</x:f>
        <x:v>Er trifft Petrus auf der Straße.</x:v>
      </x:c>
      <x:c r="H487" s="36" t="str">
        <x:f>FRAGEN_MASTER!S487</x:f>
        <x:v>Er wird von Räubern überfallen.</x:v>
      </x:c>
      <x:c r="I487" s="36" t="str">
        <x:f>FRAGEN_MASTER!T487</x:f>
        <x:v>Er erhält einen Brief aus Jerusalem.</x:v>
      </x:c>
      <x:c r="J487" s="36" t="str">
        <x:f>FRAGEN_MASTER!U487</x:f>
        <x:v>Ein Licht vom Himmel umstrahlt ihn, und Jesus spricht zu ihm.</x:v>
      </x:c>
      <x:c r="K487" s="36" t="n">
        <x:f>FRAGEN_MASTER!V487</x:f>
        <x:v>3</x:v>
      </x:c>
      <x:c r="L487" s="36" t="str">
        <x:f>FRAGEN_MASTER!W487</x:f>
        <x:v>Ein Licht vom Himmel umstrahlt ihn, und Jesus spricht zu ihm.</x:v>
      </x:c>
      <x:c r="M487" s="36" t="str">
        <x:f>FRAGEN_MASTER!X487</x:f>
        <x:v>Apostelgeschichte 9,1–9</x:v>
      </x:c>
      <x:c r="N487" s="36" t="str">
        <x:f>FRAGEN_MASTER!Y487</x:f>
        <x:v>Saulus wird auf dem Weg durch die Erscheinung Jesu gestoppt und ist anschließend für drei Tage blind.</x:v>
      </x:c>
      <x:c r="O487" s="36" t="str">
        <x:f>FRAGEN_MASTER!AG487</x:f>
        <x:v>FREIGEGEBEN</x:v>
      </x:c>
      <x:c r="P487" s="36" t="str">
        <x:f>FRAGEN_MASTER!AI487</x:f>
        <x:v>FREIGEGEBEN</x:v>
      </x:c>
      <x:c r="Q487" s="36" t="str">
        <x:f>FRAGEN_MASTER!AL487</x:f>
        <x:v>JA</x:v>
      </x:c>
    </x:row>
    <x:row r="488">
      <x:c r="A488" s="36" t="str">
        <x:f>FRAGEN_MASTER!A488</x:f>
        <x:v>FP-0747</x:v>
      </x:c>
      <x:c r="B488" s="36" t="str">
        <x:f>FRAGEN_MASTER!B488</x:f>
        <x:v>ACT</x:v>
      </x:c>
      <x:c r="C488" s="36" t="str">
        <x:f>FRAGEN_MASTER!C488</x:f>
        <x:v>Apostelgeschichte</x:v>
      </x:c>
      <x:c r="D488" s="36" t="n">
        <x:f>FRAGEN_MASTER!D488</x:f>
        <x:v>9</x:v>
      </x:c>
      <x:c r="E488" s="36" t="n">
        <x:f>FRAGEN_MASTER!E488</x:f>
        <x:v>2</x:v>
      </x:c>
      <x:c r="F488" s="36" t="str">
        <x:f>FRAGEN_MASTER!Q488</x:f>
        <x:v>Warum soll Hananias trotz seiner Angst zu Saulus gehen?</x:v>
      </x:c>
      <x:c r="G488" s="36" t="str">
        <x:f>FRAGEN_MASTER!R488</x:f>
        <x:v>Der Herr hat Saulus als ausgewähltes Werkzeug bestimmt, seinen Namen vor Völker und Könige zu tragen.</x:v>
      </x:c>
      <x:c r="H488" s="36" t="str">
        <x:f>FRAGEN_MASTER!S488</x:f>
        <x:v>Saulus hat Hananias Geld versprochen.</x:v>
      </x:c>
      <x:c r="I488" s="36" t="str">
        <x:f>FRAGEN_MASTER!T488</x:f>
        <x:v>Petrus befiehlt es ohne Begründung.</x:v>
      </x:c>
      <x:c r="J488" s="36" t="str">
        <x:f>FRAGEN_MASTER!U488</x:f>
        <x:v>Saulus soll sofort nach Jerusalem gebracht werden.</x:v>
      </x:c>
      <x:c r="K488" s="36" t="n">
        <x:f>FRAGEN_MASTER!V488</x:f>
        <x:v>0</x:v>
      </x:c>
      <x:c r="L488" s="36" t="str">
        <x:f>FRAGEN_MASTER!W488</x:f>
        <x:v>Der Herr hat Saulus als ausgewähltes Werkzeug bestimmt, seinen Namen vor Völker und Könige zu tragen.</x:v>
      </x:c>
      <x:c r="M488" s="36" t="str">
        <x:f>FRAGEN_MASTER!X488</x:f>
        <x:v>Apostelgeschichte 9,10–19</x:v>
      </x:c>
      <x:c r="N488" s="36" t="str">
        <x:f>FRAGEN_MASTER!Y488</x:f>
        <x:v>Der Herr erklärt Hananias, dass Saulus eine besondere Sendung erhalten hat; Hananias gehorcht und legt ihm die Hände auf.</x:v>
      </x:c>
      <x:c r="O488" s="36" t="str">
        <x:f>FRAGEN_MASTER!AG488</x:f>
        <x:v>FREIGEGEBEN</x:v>
      </x:c>
      <x:c r="P488" s="36" t="str">
        <x:f>FRAGEN_MASTER!AI488</x:f>
        <x:v>FREIGEGEBEN</x:v>
      </x:c>
      <x:c r="Q488" s="36" t="str">
        <x:f>FRAGEN_MASTER!AL488</x:f>
        <x:v>JA</x:v>
      </x:c>
    </x:row>
    <x:row r="489">
      <x:c r="A489" s="36" t="str">
        <x:f>FRAGEN_MASTER!A489</x:f>
        <x:v>FP-0748</x:v>
      </x:c>
      <x:c r="B489" s="36" t="str">
        <x:f>FRAGEN_MASTER!B489</x:f>
        <x:v>ACT</x:v>
      </x:c>
      <x:c r="C489" s="36" t="str">
        <x:f>FRAGEN_MASTER!C489</x:f>
        <x:v>Apostelgeschichte</x:v>
      </x:c>
      <x:c r="D489" s="36" t="n">
        <x:f>FRAGEN_MASTER!D489</x:f>
        <x:v>9</x:v>
      </x:c>
      <x:c r="E489" s="36" t="n">
        <x:f>FRAGEN_MASTER!E489</x:f>
        <x:v>3</x:v>
      </x:c>
      <x:c r="F489" s="36" t="str">
        <x:f>FRAGEN_MASTER!Q489</x:f>
        <x:v>Was verkündet Saulus kurz nach seiner Bekehrung in den Synagogen?</x:v>
      </x:c>
      <x:c r="G489" s="36" t="str">
        <x:f>FRAGEN_MASTER!R489</x:f>
        <x:v>Dass Jesus nie auferstanden sei.</x:v>
      </x:c>
      <x:c r="H489" s="36" t="str">
        <x:f>FRAGEN_MASTER!S489</x:f>
        <x:v>Dass Jesus der Sohn Gottes ist.</x:v>
      </x:c>
      <x:c r="I489" s="36" t="str">
        <x:f>FRAGEN_MASTER!T489</x:f>
        <x:v>Dass nur Mose wichtig sei.</x:v>
      </x:c>
      <x:c r="J489" s="36" t="str">
        <x:f>FRAGEN_MASTER!U489</x:f>
        <x:v>Dass die Christen verfolgt werden müssten.</x:v>
      </x:c>
      <x:c r="K489" s="36" t="n">
        <x:f>FRAGEN_MASTER!V489</x:f>
        <x:v>1</x:v>
      </x:c>
      <x:c r="L489" s="36" t="str">
        <x:f>FRAGEN_MASTER!W489</x:f>
        <x:v>Dass Jesus der Sohn Gottes ist.</x:v>
      </x:c>
      <x:c r="M489" s="36" t="str">
        <x:f>FRAGEN_MASTER!X489</x:f>
        <x:v>Apostelgeschichte 9,20–25</x:v>
      </x:c>
      <x:c r="N489" s="36" t="str">
        <x:f>FRAGEN_MASTER!Y489</x:f>
        <x:v>Saulus beginnt unmittelbar, Jesus zu verkündigen, und muss später wegen eines Anschlags aus Damaskus fliehen.</x:v>
      </x:c>
      <x:c r="O489" s="36" t="str">
        <x:f>FRAGEN_MASTER!AG489</x:f>
        <x:v>FREIGEGEBEN</x:v>
      </x:c>
      <x:c r="P489" s="36" t="str">
        <x:f>FRAGEN_MASTER!AI489</x:f>
        <x:v>FREIGEGEBEN</x:v>
      </x:c>
      <x:c r="Q489" s="36" t="str">
        <x:f>FRAGEN_MASTER!AL489</x:f>
        <x:v>JA</x:v>
      </x:c>
    </x:row>
    <x:row r="490">
      <x:c r="A490" s="36" t="str">
        <x:f>FRAGEN_MASTER!A490</x:f>
        <x:v>FP-0749</x:v>
      </x:c>
      <x:c r="B490" s="36" t="str">
        <x:f>FRAGEN_MASTER!B490</x:f>
        <x:v>ACT</x:v>
      </x:c>
      <x:c r="C490" s="36" t="str">
        <x:f>FRAGEN_MASTER!C490</x:f>
        <x:v>Apostelgeschichte</x:v>
      </x:c>
      <x:c r="D490" s="36" t="n">
        <x:f>FRAGEN_MASTER!D490</x:f>
        <x:v>9</x:v>
      </x:c>
      <x:c r="E490" s="36" t="n">
        <x:f>FRAGEN_MASTER!E490</x:f>
        <x:v>4</x:v>
      </x:c>
      <x:c r="F490" s="36" t="str">
        <x:f>FRAGEN_MASTER!Q490</x:f>
        <x:v>Was geschieht mit Äneas in Lydda?</x:v>
      </x:c>
      <x:c r="G490" s="36" t="str">
        <x:f>FRAGEN_MASTER!R490</x:f>
        <x:v>Er bleibt gelähmt.</x:v>
      </x:c>
      <x:c r="H490" s="36" t="str">
        <x:f>FRAGEN_MASTER!S490</x:f>
        <x:v>Er wird nach Jerusalem getragen.</x:v>
      </x:c>
      <x:c r="I490" s="36" t="str">
        <x:f>FRAGEN_MASTER!T490</x:f>
        <x:v>Petrus sagt ihm, Jesus Christus heile ihn, und er steht auf.</x:v>
      </x:c>
      <x:c r="J490" s="36" t="str">
        <x:f>FRAGEN_MASTER!U490</x:f>
        <x:v>Saulus heilt ihn.</x:v>
      </x:c>
      <x:c r="K490" s="36" t="n">
        <x:f>FRAGEN_MASTER!V490</x:f>
        <x:v>2</x:v>
      </x:c>
      <x:c r="L490" s="36" t="str">
        <x:f>FRAGEN_MASTER!W490</x:f>
        <x:v>Petrus sagt ihm, Jesus Christus heile ihn, und er steht auf.</x:v>
      </x:c>
      <x:c r="M490" s="36" t="str">
        <x:f>FRAGEN_MASTER!X490</x:f>
        <x:v>Apostelgeschichte 9,32–35</x:v>
      </x:c>
      <x:c r="N490" s="36" t="str">
        <x:f>FRAGEN_MASTER!Y490</x:f>
        <x:v>Petrus spricht die Heilung im Namen Jesu Christi aus, und Äneas steht auf.</x:v>
      </x:c>
      <x:c r="O490" s="36" t="str">
        <x:f>FRAGEN_MASTER!AG490</x:f>
        <x:v>FREIGEGEBEN</x:v>
      </x:c>
      <x:c r="P490" s="36" t="str">
        <x:f>FRAGEN_MASTER!AI490</x:f>
        <x:v>FREIGEGEBEN</x:v>
      </x:c>
      <x:c r="Q490" s="36" t="str">
        <x:f>FRAGEN_MASTER!AL490</x:f>
        <x:v>JA</x:v>
      </x:c>
    </x:row>
    <x:row r="491">
      <x:c r="A491" s="36" t="str">
        <x:f>FRAGEN_MASTER!A491</x:f>
        <x:v>FP-0750</x:v>
      </x:c>
      <x:c r="B491" s="36" t="str">
        <x:f>FRAGEN_MASTER!B491</x:f>
        <x:v>ACT</x:v>
      </x:c>
      <x:c r="C491" s="36" t="str">
        <x:f>FRAGEN_MASTER!C491</x:f>
        <x:v>Apostelgeschichte</x:v>
      </x:c>
      <x:c r="D491" s="36" t="n">
        <x:f>FRAGEN_MASTER!D491</x:f>
        <x:v>9</x:v>
      </x:c>
      <x:c r="E491" s="36" t="n">
        <x:f>FRAGEN_MASTER!E491</x:f>
        <x:v>5</x:v>
      </x:c>
      <x:c r="F491" s="36" t="str">
        <x:f>FRAGEN_MASTER!Q491</x:f>
        <x:v>Was tut Petrus in Joppe für Tabitha?</x:v>
      </x:c>
      <x:c r="G491" s="36" t="str">
        <x:f>FRAGEN_MASTER!R491</x:f>
        <x:v>Er bringt sie nach Lydda.</x:v>
      </x:c>
      <x:c r="H491" s="36" t="str">
        <x:f>FRAGEN_MASTER!S491</x:f>
        <x:v>Er ruft einen Arzt.</x:v>
      </x:c>
      <x:c r="I491" s="36" t="str">
        <x:f>FRAGEN_MASTER!T491</x:f>
        <x:v>Er begräbt sie sofort.</x:v>
      </x:c>
      <x:c r="J491" s="36" t="str">
        <x:f>FRAGEN_MASTER!U491</x:f>
        <x:v>Er betet, sagt zu ihr, sie solle aufstehen, und sie wird wieder lebendig.</x:v>
      </x:c>
      <x:c r="K491" s="36" t="n">
        <x:f>FRAGEN_MASTER!V491</x:f>
        <x:v>3</x:v>
      </x:c>
      <x:c r="L491" s="36" t="str">
        <x:f>FRAGEN_MASTER!W491</x:f>
        <x:v>Er betet, sagt zu ihr, sie solle aufstehen, und sie wird wieder lebendig.</x:v>
      </x:c>
      <x:c r="M491" s="36" t="str">
        <x:f>FRAGEN_MASTER!X491</x:f>
        <x:v>Apostelgeschichte 9,36–42</x:v>
      </x:c>
      <x:c r="N491" s="36" t="str">
        <x:f>FRAGEN_MASTER!Y491</x:f>
        <x:v>Nach Gebet spricht Petrus Tabitha an; sie öffnet die Augen und steht auf.</x:v>
      </x:c>
      <x:c r="O491" s="36" t="str">
        <x:f>FRAGEN_MASTER!AG491</x:f>
        <x:v>FREIGEGEBEN</x:v>
      </x:c>
      <x:c r="P491" s="36" t="str">
        <x:f>FRAGEN_MASTER!AI491</x:f>
        <x:v>FREIGEGEBEN</x:v>
      </x:c>
      <x:c r="Q491" s="36" t="str">
        <x:f>FRAGEN_MASTER!AL491</x:f>
        <x:v>JA</x:v>
      </x:c>
    </x:row>
    <x:row r="492">
      <x:c r="A492" s="36" t="str">
        <x:f>FRAGEN_MASTER!A492</x:f>
        <x:v>FP-0751</x:v>
      </x:c>
      <x:c r="B492" s="36" t="str">
        <x:f>FRAGEN_MASTER!B492</x:f>
        <x:v>ACT</x:v>
      </x:c>
      <x:c r="C492" s="36" t="str">
        <x:f>FRAGEN_MASTER!C492</x:f>
        <x:v>Apostelgeschichte</x:v>
      </x:c>
      <x:c r="D492" s="36" t="n">
        <x:f>FRAGEN_MASTER!D492</x:f>
        <x:v>10</x:v>
      </x:c>
      <x:c r="E492" s="36" t="n">
        <x:f>FRAGEN_MASTER!E492</x:f>
        <x:v>1</x:v>
      </x:c>
      <x:c r="F492" s="36" t="str">
        <x:f>FRAGEN_MASTER!Q492</x:f>
        <x:v>Welche Anweisung erhält Kornelius in seiner Vision?</x:v>
      </x:c>
      <x:c r="G492" s="36" t="str">
        <x:f>FRAGEN_MASTER!R492</x:f>
        <x:v>Er soll Männer nach Joppe senden und Simon Petrus holen lassen.</x:v>
      </x:c>
      <x:c r="H492" s="36" t="str">
        <x:f>FRAGEN_MASTER!S492</x:f>
        <x:v>Er soll nach Jerusalem zum Tempel ziehen.</x:v>
      </x:c>
      <x:c r="I492" s="36" t="str">
        <x:f>FRAGEN_MASTER!T492</x:f>
        <x:v>Er soll Saulus verhaften.</x:v>
      </x:c>
      <x:c r="J492" s="36" t="str">
        <x:f>FRAGEN_MASTER!U492</x:f>
        <x:v>Er soll sein Amt niederlegen.</x:v>
      </x:c>
      <x:c r="K492" s="36" t="n">
        <x:f>FRAGEN_MASTER!V492</x:f>
        <x:v>0</x:v>
      </x:c>
      <x:c r="L492" s="36" t="str">
        <x:f>FRAGEN_MASTER!W492</x:f>
        <x:v>Er soll Männer nach Joppe senden und Simon Petrus holen lassen.</x:v>
      </x:c>
      <x:c r="M492" s="36" t="str">
        <x:f>FRAGEN_MASTER!X492</x:f>
        <x:v>Apostelgeschichte 10,1–8</x:v>
      </x:c>
      <x:c r="N492" s="36" t="str">
        <x:f>FRAGEN_MASTER!Y492</x:f>
        <x:v>Kornelius wird angewiesen, Petrus holen zu lassen.</x:v>
      </x:c>
      <x:c r="O492" s="36" t="str">
        <x:f>FRAGEN_MASTER!AG492</x:f>
        <x:v>FREIGEGEBEN</x:v>
      </x:c>
      <x:c r="P492" s="36" t="str">
        <x:f>FRAGEN_MASTER!AI492</x:f>
        <x:v>FREIGEGEBEN</x:v>
      </x:c>
      <x:c r="Q492" s="36" t="str">
        <x:f>FRAGEN_MASTER!AL492</x:f>
        <x:v>JA</x:v>
      </x:c>
    </x:row>
    <x:row r="493">
      <x:c r="A493" s="36" t="str">
        <x:f>FRAGEN_MASTER!A493</x:f>
        <x:v>FP-0752</x:v>
      </x:c>
      <x:c r="B493" s="36" t="str">
        <x:f>FRAGEN_MASTER!B493</x:f>
        <x:v>ACT</x:v>
      </x:c>
      <x:c r="C493" s="36" t="str">
        <x:f>FRAGEN_MASTER!C493</x:f>
        <x:v>Apostelgeschichte</x:v>
      </x:c>
      <x:c r="D493" s="36" t="n">
        <x:f>FRAGEN_MASTER!D493</x:f>
        <x:v>10</x:v>
      </x:c>
      <x:c r="E493" s="36" t="n">
        <x:f>FRAGEN_MASTER!E493</x:f>
        <x:v>2</x:v>
      </x:c>
      <x:c r="F493" s="36" t="str">
        <x:f>FRAGEN_MASTER!Q493</x:f>
        <x:v>Welche Botschaft erhält Petrus durch die Vision mit den Tieren?</x:v>
      </x:c>
      <x:c r="G493" s="36" t="str">
        <x:f>FRAGEN_MASTER!R493</x:f>
        <x:v>Er darf künftig nur bestimmte Tiere sehen.</x:v>
      </x:c>
      <x:c r="H493" s="36" t="str">
        <x:f>FRAGEN_MASTER!S493</x:f>
        <x:v>Er soll nicht unrein nennen, was Gott gereinigt hat.</x:v>
      </x:c>
      <x:c r="I493" s="36" t="str">
        <x:f>FRAGEN_MASTER!T493</x:f>
        <x:v>Er soll nie mit Nichtjuden sprechen.</x:v>
      </x:c>
      <x:c r="J493" s="36" t="str">
        <x:f>FRAGEN_MASTER!U493</x:f>
        <x:v>Er soll Joppe sofort verlassen.</x:v>
      </x:c>
      <x:c r="K493" s="36" t="n">
        <x:f>FRAGEN_MASTER!V493</x:f>
        <x:v>1</x:v>
      </x:c>
      <x:c r="L493" s="36" t="str">
        <x:f>FRAGEN_MASTER!W493</x:f>
        <x:v>Er soll nicht unrein nennen, was Gott gereinigt hat.</x:v>
      </x:c>
      <x:c r="M493" s="36" t="str">
        <x:f>FRAGEN_MASTER!X493</x:f>
        <x:v>Apostelgeschichte 10,9–16</x:v>
      </x:c>
      <x:c r="N493" s="36" t="str">
        <x:f>FRAGEN_MASTER!Y493</x:f>
        <x:v>Die Vision bereitet Petrus darauf vor, Gottes neue Öffnung gegenüber Nichtjuden zu verstehen.</x:v>
      </x:c>
      <x:c r="O493" s="36" t="str">
        <x:f>FRAGEN_MASTER!AG493</x:f>
        <x:v>FREIGEGEBEN</x:v>
      </x:c>
      <x:c r="P493" s="36" t="str">
        <x:f>FRAGEN_MASTER!AI493</x:f>
        <x:v>FREIGEGEBEN</x:v>
      </x:c>
      <x:c r="Q493" s="36" t="str">
        <x:f>FRAGEN_MASTER!AL493</x:f>
        <x:v>JA</x:v>
      </x:c>
    </x:row>
    <x:row r="494">
      <x:c r="A494" s="36" t="str">
        <x:f>FRAGEN_MASTER!A494</x:f>
        <x:v>FP-0753</x:v>
      </x:c>
      <x:c r="B494" s="36" t="str">
        <x:f>FRAGEN_MASTER!B494</x:f>
        <x:v>ACT</x:v>
      </x:c>
      <x:c r="C494" s="36" t="str">
        <x:f>FRAGEN_MASTER!C494</x:f>
        <x:v>Apostelgeschichte</x:v>
      </x:c>
      <x:c r="D494" s="36" t="n">
        <x:f>FRAGEN_MASTER!D494</x:f>
        <x:v>10</x:v>
      </x:c>
      <x:c r="E494" s="36" t="n">
        <x:f>FRAGEN_MASTER!E494</x:f>
        <x:v>3</x:v>
      </x:c>
      <x:c r="F494" s="36" t="str">
        <x:f>FRAGEN_MASTER!Q494</x:f>
        <x:v>Was sagt Petrus bei Kornelius über den Umgang mit Menschen anderer Herkunft?</x:v>
      </x:c>
      <x:c r="G494" s="36" t="str">
        <x:f>FRAGEN_MASTER!R494</x:f>
        <x:v>Nur Juden dürfen Gottes Botschaft hören.</x:v>
      </x:c>
      <x:c r="H494" s="36" t="str">
        <x:f>FRAGEN_MASTER!S494</x:f>
        <x:v>Nichtjuden müssen zuerst Juden werden.</x:v>
      </x:c>
      <x:c r="I494" s="36" t="str">
        <x:f>FRAGEN_MASTER!T494</x:f>
        <x:v>Gott hat ihm gezeigt, keinen Menschen gemein oder unrein zu nennen.</x:v>
      </x:c>
      <x:c r="J494" s="36" t="str">
        <x:f>FRAGEN_MASTER!U494</x:f>
        <x:v>Er dürfe Kornelius eigentlich nicht besuchen.</x:v>
      </x:c>
      <x:c r="K494" s="36" t="n">
        <x:f>FRAGEN_MASTER!V494</x:f>
        <x:v>2</x:v>
      </x:c>
      <x:c r="L494" s="36" t="str">
        <x:f>FRAGEN_MASTER!W494</x:f>
        <x:v>Gott hat ihm gezeigt, keinen Menschen gemein oder unrein zu nennen.</x:v>
      </x:c>
      <x:c r="M494" s="36" t="str">
        <x:f>FRAGEN_MASTER!X494</x:f>
        <x:v>Apostelgeschichte 10,28–29</x:v>
      </x:c>
      <x:c r="N494" s="36" t="str">
        <x:f>FRAGEN_MASTER!Y494</x:f>
        <x:v>Petrus versteht die Vision ausdrücklich auf Menschen bezogen und betritt das Haus ohne den bisherigen Vorbehalt.</x:v>
      </x:c>
      <x:c r="O494" s="36" t="str">
        <x:f>FRAGEN_MASTER!AG494</x:f>
        <x:v>FREIGEGEBEN</x:v>
      </x:c>
      <x:c r="P494" s="36" t="str">
        <x:f>FRAGEN_MASTER!AI494</x:f>
        <x:v>FREIGEGEBEN</x:v>
      </x:c>
      <x:c r="Q494" s="36" t="str">
        <x:f>FRAGEN_MASTER!AL494</x:f>
        <x:v>JA</x:v>
      </x:c>
    </x:row>
    <x:row r="495">
      <x:c r="A495" s="36" t="str">
        <x:f>FRAGEN_MASTER!A495</x:f>
        <x:v>FP-0754</x:v>
      </x:c>
      <x:c r="B495" s="36" t="str">
        <x:f>FRAGEN_MASTER!B495</x:f>
        <x:v>ACT</x:v>
      </x:c>
      <x:c r="C495" s="36" t="str">
        <x:f>FRAGEN_MASTER!C495</x:f>
        <x:v>Apostelgeschichte</x:v>
      </x:c>
      <x:c r="D495" s="36" t="n">
        <x:f>FRAGEN_MASTER!D495</x:f>
        <x:v>10</x:v>
      </x:c>
      <x:c r="E495" s="36" t="n">
        <x:f>FRAGEN_MASTER!E495</x:f>
        <x:v>4</x:v>
      </x:c>
      <x:c r="F495" s="36" t="str">
        <x:f>FRAGEN_MASTER!Q495</x:f>
        <x:v>Welche grundlegende Einsicht formuliert Petrus in seiner Predigt bei Kornelius?</x:v>
      </x:c>
      <x:c r="G495" s="36" t="str">
        <x:f>FRAGEN_MASTER!R495</x:f>
        <x:v>Gott wirkt nur in Israel.</x:v>
      </x:c>
      <x:c r="H495" s="36" t="str">
        <x:f>FRAGEN_MASTER!S495</x:f>
        <x:v>Herkunft entscheidet allein über Gottes Annahme.</x:v>
      </x:c>
      <x:c r="I495" s="36" t="str">
        <x:f>FRAGEN_MASTER!T495</x:f>
        <x:v>Nur römische Bürger können glauben.</x:v>
      </x:c>
      <x:c r="J495" s="36" t="str">
        <x:f>FRAGEN_MASTER!U495</x:f>
        <x:v>Gott sieht die Person nicht an, sondern nimmt Menschen aus allen Völkern an, die ihn fürchten und recht tun.</x:v>
      </x:c>
      <x:c r="K495" s="36" t="n">
        <x:f>FRAGEN_MASTER!V495</x:f>
        <x:v>3</x:v>
      </x:c>
      <x:c r="L495" s="36" t="str">
        <x:f>FRAGEN_MASTER!W495</x:f>
        <x:v>Gott sieht die Person nicht an, sondern nimmt Menschen aus allen Völkern an, die ihn fürchten und recht tun.</x:v>
      </x:c>
      <x:c r="M495" s="36" t="str">
        <x:f>FRAGEN_MASTER!X495</x:f>
        <x:v>Apostelgeschichte 10,34–43</x:v>
      </x:c>
      <x:c r="N495" s="36" t="str">
        <x:f>FRAGEN_MASTER!Y495</x:f>
        <x:v>Petrus beginnt mit der Einsicht in Gottes Unparteilichkeit und verkündet dann Jesus, seinen Tod und seine Auferstehung.</x:v>
      </x:c>
      <x:c r="O495" s="36" t="str">
        <x:f>FRAGEN_MASTER!AG495</x:f>
        <x:v>FREIGEGEBEN</x:v>
      </x:c>
      <x:c r="P495" s="36" t="str">
        <x:f>FRAGEN_MASTER!AI495</x:f>
        <x:v>FREIGEGEBEN</x:v>
      </x:c>
      <x:c r="Q495" s="36" t="str">
        <x:f>FRAGEN_MASTER!AL495</x:f>
        <x:v>JA</x:v>
      </x:c>
    </x:row>
    <x:row r="496">
      <x:c r="A496" s="36" t="str">
        <x:f>FRAGEN_MASTER!A496</x:f>
        <x:v>FP-0755</x:v>
      </x:c>
      <x:c r="B496" s="36" t="str">
        <x:f>FRAGEN_MASTER!B496</x:f>
        <x:v>ACT</x:v>
      </x:c>
      <x:c r="C496" s="36" t="str">
        <x:f>FRAGEN_MASTER!C496</x:f>
        <x:v>Apostelgeschichte</x:v>
      </x:c>
      <x:c r="D496" s="36" t="n">
        <x:f>FRAGEN_MASTER!D496</x:f>
        <x:v>10</x:v>
      </x:c>
      <x:c r="E496" s="36" t="n">
        <x:f>FRAGEN_MASTER!E496</x:f>
        <x:v>5</x:v>
      </x:c>
      <x:c r="F496" s="36" t="str">
        <x:f>FRAGEN_MASTER!Q496</x:f>
        <x:v>Was geschieht noch während Petrus redet?</x:v>
      </x:c>
      <x:c r="G496" s="36" t="str">
        <x:f>FRAGEN_MASTER!R496</x:f>
        <x:v>Der Heilige Geist fällt auf die nichtjüdischen Zuhörer, woraufhin sie getauft werden.</x:v>
      </x:c>
      <x:c r="H496" s="36" t="str">
        <x:f>FRAGEN_MASTER!S496</x:f>
        <x:v>Kornelius wird zum Apostel gewählt.</x:v>
      </x:c>
      <x:c r="I496" s="36" t="str">
        <x:f>FRAGEN_MASTER!T496</x:f>
        <x:v>Die Versammlung wird von Soldaten aufgelöst.</x:v>
      </x:c>
      <x:c r="J496" s="36" t="str">
        <x:f>FRAGEN_MASTER!U496</x:f>
        <x:v>Petrus verlässt das Haus.</x:v>
      </x:c>
      <x:c r="K496" s="36" t="n">
        <x:f>FRAGEN_MASTER!V496</x:f>
        <x:v>0</x:v>
      </x:c>
      <x:c r="L496" s="36" t="str">
        <x:f>FRAGEN_MASTER!W496</x:f>
        <x:v>Der Heilige Geist fällt auf die nichtjüdischen Zuhörer, woraufhin sie getauft werden.</x:v>
      </x:c>
      <x:c r="M496" s="36" t="str">
        <x:f>FRAGEN_MASTER!X496</x:f>
        <x:v>Apostelgeschichte 10,44–48</x:v>
      </x:c>
      <x:c r="N496" s="36" t="str">
        <x:f>FRAGEN_MASTER!Y496</x:f>
        <x:v>Der Geist kommt auf die Hörenden, was die jüdischen Begleiter erstaunt; Petrus lässt sie daraufhin taufen.</x:v>
      </x:c>
      <x:c r="O496" s="36" t="str">
        <x:f>FRAGEN_MASTER!AG496</x:f>
        <x:v>FREIGEGEBEN</x:v>
      </x:c>
      <x:c r="P496" s="36" t="str">
        <x:f>FRAGEN_MASTER!AI496</x:f>
        <x:v>FREIGEGEBEN</x:v>
      </x:c>
      <x:c r="Q496" s="36" t="str">
        <x:f>FRAGEN_MASTER!AL496</x:f>
        <x:v>JA</x:v>
      </x:c>
    </x:row>
    <x:row r="497">
      <x:c r="A497" s="36" t="str">
        <x:f>FRAGEN_MASTER!A497</x:f>
        <x:v>FP-0756</x:v>
      </x:c>
      <x:c r="B497" s="36" t="str">
        <x:f>FRAGEN_MASTER!B497</x:f>
        <x:v>ACT</x:v>
      </x:c>
      <x:c r="C497" s="36" t="str">
        <x:f>FRAGEN_MASTER!C497</x:f>
        <x:v>Apostelgeschichte</x:v>
      </x:c>
      <x:c r="D497" s="36" t="n">
        <x:f>FRAGEN_MASTER!D497</x:f>
        <x:v>11</x:v>
      </x:c>
      <x:c r="E497" s="36" t="n">
        <x:f>FRAGEN_MASTER!E497</x:f>
        <x:v>1</x:v>
      </x:c>
      <x:c r="F497" s="36" t="str">
        <x:f>FRAGEN_MASTER!Q497</x:f>
        <x:v>Womit überzeugt Petrus die kritischen Gläubigen in Jerusalem von Gottes Handeln an den Nichtjuden?</x:v>
      </x:c>
      <x:c r="G497" s="36" t="str">
        <x:f>FRAGEN_MASTER!R497</x:f>
        <x:v>Er beruft sich nur auf seine Stellung.</x:v>
      </x:c>
      <x:c r="H497" s="36" t="str">
        <x:f>FRAGEN_MASTER!S497</x:f>
        <x:v>Er erzählt die Vision, Kornelius' Botschaft und das Herabkommen des Heiligen Geistes wie bei ihnen selbst.</x:v>
      </x:c>
      <x:c r="I497" s="36" t="str">
        <x:f>FRAGEN_MASTER!T497</x:f>
        <x:v>Er legt einen Brief des Kaisers vor.</x:v>
      </x:c>
      <x:c r="J497" s="36" t="str">
        <x:f>FRAGEN_MASTER!U497</x:f>
        <x:v>Er verweigert jede Erklärung.</x:v>
      </x:c>
      <x:c r="K497" s="36" t="n">
        <x:f>FRAGEN_MASTER!V497</x:f>
        <x:v>1</x:v>
      </x:c>
      <x:c r="L497" s="36" t="str">
        <x:f>FRAGEN_MASTER!W497</x:f>
        <x:v>Er erzählt die Vision, Kornelius' Botschaft und das Herabkommen des Heiligen Geistes wie bei ihnen selbst.</x:v>
      </x:c>
      <x:c r="M497" s="36" t="str">
        <x:f>FRAGEN_MASTER!X497</x:f>
        <x:v>Apostelgeschichte 11,1–18</x:v>
      </x:c>
      <x:c r="N497" s="36" t="str">
        <x:f>FRAGEN_MASTER!Y497</x:f>
        <x:v>Petrus berichtet die Ereignisse Schritt für Schritt; am Ende erkennen die Zuhörer, dass Gott auch den Nichtjuden Umkehr zum Leben gegeben hat.</x:v>
      </x:c>
      <x:c r="O497" s="36" t="str">
        <x:f>FRAGEN_MASTER!AG497</x:f>
        <x:v>FREIGEGEBEN</x:v>
      </x:c>
      <x:c r="P497" s="36" t="str">
        <x:f>FRAGEN_MASTER!AI497</x:f>
        <x:v>FREIGEGEBEN</x:v>
      </x:c>
      <x:c r="Q497" s="36" t="str">
        <x:f>FRAGEN_MASTER!AL497</x:f>
        <x:v>JA</x:v>
      </x:c>
    </x:row>
    <x:row r="498">
      <x:c r="A498" s="36" t="str">
        <x:f>FRAGEN_MASTER!A498</x:f>
        <x:v>FP-0757</x:v>
      </x:c>
      <x:c r="B498" s="36" t="str">
        <x:f>FRAGEN_MASTER!B498</x:f>
        <x:v>ACT</x:v>
      </x:c>
      <x:c r="C498" s="36" t="str">
        <x:f>FRAGEN_MASTER!C498</x:f>
        <x:v>Apostelgeschichte</x:v>
      </x:c>
      <x:c r="D498" s="36" t="n">
        <x:f>FRAGEN_MASTER!D498</x:f>
        <x:v>11</x:v>
      </x:c>
      <x:c r="E498" s="36" t="n">
        <x:f>FRAGEN_MASTER!E498</x:f>
        <x:v>2</x:v>
      </x:c>
      <x:c r="F498" s="36" t="str">
        <x:f>FRAGEN_MASTER!Q498</x:f>
        <x:v>Was geschieht in Antiochia durch die zerstreuten Gläubigen?</x:v>
      </x:c>
      <x:c r="G498" s="36" t="str">
        <x:f>FRAGEN_MASTER!R498</x:f>
        <x:v>Sie predigen ausschließlich Juden und niemand sonst.</x:v>
      </x:c>
      <x:c r="H498" s="36" t="str">
        <x:f>FRAGEN_MASTER!S498</x:f>
        <x:v>Sie schließen die Gemeinde.</x:v>
      </x:c>
      <x:c r="I498" s="36" t="str">
        <x:f>FRAGEN_MASTER!T498</x:f>
        <x:v>Sie verkünden auch Griechen die gute Nachricht vom Herrn Jesus, und viele kommen zum Glauben.</x:v>
      </x:c>
      <x:c r="J498" s="36" t="str">
        <x:f>FRAGEN_MASTER!U498</x:f>
        <x:v>Sie verlassen die Stadt sofort wieder.</x:v>
      </x:c>
      <x:c r="K498" s="36" t="n">
        <x:f>FRAGEN_MASTER!V498</x:f>
        <x:v>2</x:v>
      </x:c>
      <x:c r="L498" s="36" t="str">
        <x:f>FRAGEN_MASTER!W498</x:f>
        <x:v>Sie verkünden auch Griechen die gute Nachricht vom Herrn Jesus, und viele kommen zum Glauben.</x:v>
      </x:c>
      <x:c r="M498" s="36" t="str">
        <x:f>FRAGEN_MASTER!X498</x:f>
        <x:v>Apostelgeschichte 11,19–21</x:v>
      </x:c>
      <x:c r="N498" s="36" t="str">
        <x:f>FRAGEN_MASTER!Y498</x:f>
        <x:v>In Antiochia wird die Botschaft bewusst auch Menschen griechischer Herkunft verkündet, und viele wenden sich dem Herrn zu.</x:v>
      </x:c>
      <x:c r="O498" s="36" t="str">
        <x:f>FRAGEN_MASTER!AG498</x:f>
        <x:v>FREIGEGEBEN</x:v>
      </x:c>
      <x:c r="P498" s="36" t="str">
        <x:f>FRAGEN_MASTER!AI498</x:f>
        <x:v>FREIGEGEBEN</x:v>
      </x:c>
      <x:c r="Q498" s="36" t="str">
        <x:f>FRAGEN_MASTER!AL498</x:f>
        <x:v>JA</x:v>
      </x:c>
    </x:row>
    <x:row r="499">
      <x:c r="A499" s="36" t="str">
        <x:f>FRAGEN_MASTER!A499</x:f>
        <x:v>FP-0758</x:v>
      </x:c>
      <x:c r="B499" s="36" t="str">
        <x:f>FRAGEN_MASTER!B499</x:f>
        <x:v>ACT</x:v>
      </x:c>
      <x:c r="C499" s="36" t="str">
        <x:f>FRAGEN_MASTER!C499</x:f>
        <x:v>Apostelgeschichte</x:v>
      </x:c>
      <x:c r="D499" s="36" t="n">
        <x:f>FRAGEN_MASTER!D499</x:f>
        <x:v>11</x:v>
      </x:c>
      <x:c r="E499" s="36" t="n">
        <x:f>FRAGEN_MASTER!E499</x:f>
        <x:v>3</x:v>
      </x:c>
      <x:c r="F499" s="36" t="str">
        <x:f>FRAGEN_MASTER!Q499</x:f>
        <x:v>Wie reagiert Barnabas auf Gottes Gnade in Antiochia?</x:v>
      </x:c>
      <x:c r="G499" s="36" t="str">
        <x:f>FRAGEN_MASTER!R499</x:f>
        <x:v>Er lehnt die neue Gemeinde ab.</x:v>
      </x:c>
      <x:c r="H499" s="36" t="str">
        <x:f>FRAGEN_MASTER!S499</x:f>
        <x:v>Er schickt alle zurück nach Jerusalem.</x:v>
      </x:c>
      <x:c r="I499" s="36" t="str">
        <x:f>FRAGEN_MASTER!T499</x:f>
        <x:v>Er beendet die Verkündigung.</x:v>
      </x:c>
      <x:c r="J499" s="36" t="str">
        <x:f>FRAGEN_MASTER!U499</x:f>
        <x:v>Er freut sich und ermutigt alle, mit festem Herzen beim Herrn zu bleiben.</x:v>
      </x:c>
      <x:c r="K499" s="36" t="n">
        <x:f>FRAGEN_MASTER!V499</x:f>
        <x:v>3</x:v>
      </x:c>
      <x:c r="L499" s="36" t="str">
        <x:f>FRAGEN_MASTER!W499</x:f>
        <x:v>Er freut sich und ermutigt alle, mit festem Herzen beim Herrn zu bleiben.</x:v>
      </x:c>
      <x:c r="M499" s="36" t="str">
        <x:f>FRAGEN_MASTER!X499</x:f>
        <x:v>Apostelgeschichte 11,22–24</x:v>
      </x:c>
      <x:c r="N499" s="36" t="str">
        <x:f>FRAGEN_MASTER!Y499</x:f>
        <x:v>Barnabas erkennt Gottes Wirken, freut sich und stärkt die Gemeinde.</x:v>
      </x:c>
      <x:c r="O499" s="36" t="str">
        <x:f>FRAGEN_MASTER!AG499</x:f>
        <x:v>FREIGEGEBEN</x:v>
      </x:c>
      <x:c r="P499" s="36" t="str">
        <x:f>FRAGEN_MASTER!AI499</x:f>
        <x:v>FREIGEGEBEN</x:v>
      </x:c>
      <x:c r="Q499" s="36" t="str">
        <x:f>FRAGEN_MASTER!AL499</x:f>
        <x:v>JA</x:v>
      </x:c>
    </x:row>
    <x:row r="500">
      <x:c r="A500" s="36" t="str">
        <x:f>FRAGEN_MASTER!A500</x:f>
        <x:v>FP-0759</x:v>
      </x:c>
      <x:c r="B500" s="36" t="str">
        <x:f>FRAGEN_MASTER!B500</x:f>
        <x:v>ACT</x:v>
      </x:c>
      <x:c r="C500" s="36" t="str">
        <x:f>FRAGEN_MASTER!C500</x:f>
        <x:v>Apostelgeschichte</x:v>
      </x:c>
      <x:c r="D500" s="36" t="n">
        <x:f>FRAGEN_MASTER!D500</x:f>
        <x:v>11</x:v>
      </x:c>
      <x:c r="E500" s="36" t="n">
        <x:f>FRAGEN_MASTER!E500</x:f>
        <x:v>4</x:v>
      </x:c>
      <x:c r="F500" s="36" t="str">
        <x:f>FRAGEN_MASTER!Q500</x:f>
        <x:v>Wo werden die Jünger erstmals „Christen“ genannt?</x:v>
      </x:c>
      <x:c r="G500" s="36" t="str">
        <x:f>FRAGEN_MASTER!R500</x:f>
        <x:v>In Antiochia.</x:v>
      </x:c>
      <x:c r="H500" s="36" t="str">
        <x:f>FRAGEN_MASTER!S500</x:f>
        <x:v>In Jerusalem.</x:v>
      </x:c>
      <x:c r="I500" s="36" t="str">
        <x:f>FRAGEN_MASTER!T500</x:f>
        <x:v>In Damaskus.</x:v>
      </x:c>
      <x:c r="J500" s="36" t="str">
        <x:f>FRAGEN_MASTER!U500</x:f>
        <x:v>In Rom.</x:v>
      </x:c>
      <x:c r="K500" s="36" t="n">
        <x:f>FRAGEN_MASTER!V500</x:f>
        <x:v>0</x:v>
      </x:c>
      <x:c r="L500" s="36" t="str">
        <x:f>FRAGEN_MASTER!W500</x:f>
        <x:v>In Antiochia.</x:v>
      </x:c>
      <x:c r="M500" s="36" t="str">
        <x:f>FRAGEN_MASTER!X500</x:f>
        <x:v>Apostelgeschichte 11,25–26</x:v>
      </x:c>
      <x:c r="N500" s="36" t="str">
        <x:f>FRAGEN_MASTER!Y500</x:f>
        <x:v>Lukas erwähnt ausdrücklich, dass die Jünger in Antiochia zuerst Christen genannt werden.</x:v>
      </x:c>
      <x:c r="O500" s="36" t="str">
        <x:f>FRAGEN_MASTER!AG500</x:f>
        <x:v>FREIGEGEBEN</x:v>
      </x:c>
      <x:c r="P500" s="36" t="str">
        <x:f>FRAGEN_MASTER!AI500</x:f>
        <x:v>FREIGEGEBEN</x:v>
      </x:c>
      <x:c r="Q500" s="36" t="str">
        <x:f>FRAGEN_MASTER!AL500</x:f>
        <x:v>JA</x:v>
      </x:c>
    </x:row>
    <x:row r="501">
      <x:c r="A501" s="36" t="str">
        <x:f>FRAGEN_MASTER!A501</x:f>
        <x:v>FP-0760</x:v>
      </x:c>
      <x:c r="B501" s="36" t="str">
        <x:f>FRAGEN_MASTER!B501</x:f>
        <x:v>ACT</x:v>
      </x:c>
      <x:c r="C501" s="36" t="str">
        <x:f>FRAGEN_MASTER!C501</x:f>
        <x:v>Apostelgeschichte</x:v>
      </x:c>
      <x:c r="D501" s="36" t="n">
        <x:f>FRAGEN_MASTER!D501</x:f>
        <x:v>11</x:v>
      </x:c>
      <x:c r="E501" s="36" t="n">
        <x:f>FRAGEN_MASTER!E501</x:f>
        <x:v>5</x:v>
      </x:c>
      <x:c r="F501" s="36" t="str">
        <x:f>FRAGEN_MASTER!Q501</x:f>
        <x:v>Wie reagiert die Gemeinde auf die durch Agabus angekündigte Hungersnot?</x:v>
      </x:c>
      <x:c r="G501" s="36" t="str">
        <x:f>FRAGEN_MASTER!R501</x:f>
        <x:v>Sie ignorieren die Warnung.</x:v>
      </x:c>
      <x:c r="H501" s="36" t="str">
        <x:f>FRAGEN_MASTER!S501</x:f>
        <x:v>Die Jünger beschließen, den Geschwistern in Judäa entsprechend ihren Möglichkeiten Hilfe zu senden.</x:v>
      </x:c>
      <x:c r="I501" s="36" t="str">
        <x:f>FRAGEN_MASTER!T501</x:f>
        <x:v>Sie verlassen Antiochia vollständig.</x:v>
      </x:c>
      <x:c r="J501" s="36" t="str">
        <x:f>FRAGEN_MASTER!U501</x:f>
        <x:v>Sie sammeln nur für sich selbst Vorräte.</x:v>
      </x:c>
      <x:c r="K501" s="36" t="n">
        <x:f>FRAGEN_MASTER!V501</x:f>
        <x:v>1</x:v>
      </x:c>
      <x:c r="L501" s="36" t="str">
        <x:f>FRAGEN_MASTER!W501</x:f>
        <x:v>Die Jünger beschließen, den Geschwistern in Judäa entsprechend ihren Möglichkeiten Hilfe zu senden.</x:v>
      </x:c>
      <x:c r="M501" s="36" t="str">
        <x:f>FRAGEN_MASTER!X501</x:f>
        <x:v>Apostelgeschichte 11,27–30</x:v>
      </x:c>
      <x:c r="N501" s="36" t="str">
        <x:f>FRAGEN_MASTER!Y501</x:f>
        <x:v>Die Prophetie führt zu konkreter Solidarität: Die Gemeinde sendet Unterstützung an die Geschwister in Judäa.</x:v>
      </x:c>
      <x:c r="O501" s="36" t="str">
        <x:f>FRAGEN_MASTER!AG501</x:f>
        <x:v>FREIGEGEBEN</x:v>
      </x:c>
      <x:c r="P501" s="36" t="str">
        <x:f>FRAGEN_MASTER!AI501</x:f>
        <x:v>FREIGEGEBEN</x:v>
      </x:c>
      <x:c r="Q501" s="36" t="str">
        <x:f>FRAGEN_MASTER!AL501</x:f>
        <x:v>JA</x:v>
      </x:c>
    </x:row>
    <x:row r="502">
      <x:c r="A502" s="36" t="str">
        <x:f>FRAGEN_MASTER!A502</x:f>
        <x:v>FP-0761</x:v>
      </x:c>
      <x:c r="B502" s="36" t="str">
        <x:f>FRAGEN_MASTER!B502</x:f>
        <x:v>ACT</x:v>
      </x:c>
      <x:c r="C502" s="36" t="str">
        <x:f>FRAGEN_MASTER!C502</x:f>
        <x:v>Apostelgeschichte</x:v>
      </x:c>
      <x:c r="D502" s="36" t="n">
        <x:f>FRAGEN_MASTER!D502</x:f>
        <x:v>12</x:v>
      </x:c>
      <x:c r="E502" s="36" t="n">
        <x:f>FRAGEN_MASTER!E502</x:f>
        <x:v>1</x:v>
      </x:c>
      <x:c r="F502" s="36" t="str">
        <x:f>FRAGEN_MASTER!Q502</x:f>
        <x:v>Was tut König Herodes zu Beginn von Apostelgeschichte 12?</x:v>
      </x:c>
      <x:c r="G502" s="36" t="str">
        <x:f>FRAGEN_MASTER!R502</x:f>
        <x:v>Er schließt Frieden mit der Gemeinde.</x:v>
      </x:c>
      <x:c r="H502" s="36" t="str">
        <x:f>FRAGEN_MASTER!S502</x:f>
        <x:v>Er setzt Petrus als Richter ein.</x:v>
      </x:c>
      <x:c r="I502" s="36" t="str">
        <x:f>FRAGEN_MASTER!T502</x:f>
        <x:v>Er lässt Jakobus töten und Petrus gefangen nehmen.</x:v>
      </x:c>
      <x:c r="J502" s="36" t="str">
        <x:f>FRAGEN_MASTER!U502</x:f>
        <x:v>Er bekehrt sich und lässt alle Gefangenen frei.</x:v>
      </x:c>
      <x:c r="K502" s="36" t="n">
        <x:f>FRAGEN_MASTER!V502</x:f>
        <x:v>2</x:v>
      </x:c>
      <x:c r="L502" s="36" t="str">
        <x:f>FRAGEN_MASTER!W502</x:f>
        <x:v>Er lässt Jakobus töten und Petrus gefangen nehmen.</x:v>
      </x:c>
      <x:c r="M502" s="36" t="str">
        <x:f>FRAGEN_MASTER!X502</x:f>
        <x:v>Apostelgeschichte 12,1–4</x:v>
      </x:c>
      <x:c r="N502" s="36" t="str">
        <x:f>FRAGEN_MASTER!Y502</x:f>
        <x:v>Herodes geht gewaltsam gegen die Gemeinde vor: Jakobus wird getötet, Petrus festgesetzt.</x:v>
      </x:c>
      <x:c r="O502" s="36" t="str">
        <x:f>FRAGEN_MASTER!AG502</x:f>
        <x:v>FREIGEGEBEN</x:v>
      </x:c>
      <x:c r="P502" s="36" t="str">
        <x:f>FRAGEN_MASTER!AI502</x:f>
        <x:v>FREIGEGEBEN</x:v>
      </x:c>
      <x:c r="Q502" s="36" t="str">
        <x:f>FRAGEN_MASTER!AL502</x:f>
        <x:v>JA</x:v>
      </x:c>
    </x:row>
    <x:row r="503">
      <x:c r="A503" s="36" t="str">
        <x:f>FRAGEN_MASTER!A503</x:f>
        <x:v>FP-0762</x:v>
      </x:c>
      <x:c r="B503" s="36" t="str">
        <x:f>FRAGEN_MASTER!B503</x:f>
        <x:v>ACT</x:v>
      </x:c>
      <x:c r="C503" s="36" t="str">
        <x:f>FRAGEN_MASTER!C503</x:f>
        <x:v>Apostelgeschichte</x:v>
      </x:c>
      <x:c r="D503" s="36" t="n">
        <x:f>FRAGEN_MASTER!D503</x:f>
        <x:v>12</x:v>
      </x:c>
      <x:c r="E503" s="36" t="n">
        <x:f>FRAGEN_MASTER!E503</x:f>
        <x:v>2</x:v>
      </x:c>
      <x:c r="F503" s="36" t="str">
        <x:f>FRAGEN_MASTER!Q503</x:f>
        <x:v>Wie kommt Petrus aus dem Gefängnis frei?</x:v>
      </x:c>
      <x:c r="G503" s="36" t="str">
        <x:f>FRAGEN_MASTER!R503</x:f>
        <x:v>Die Gemeinde stürmt das Gefängnis.</x:v>
      </x:c>
      <x:c r="H503" s="36" t="str">
        <x:f>FRAGEN_MASTER!S503</x:f>
        <x:v>Herodes begnadigt ihn.</x:v>
      </x:c>
      <x:c r="I503" s="36" t="str">
        <x:f>FRAGEN_MASTER!T503</x:f>
        <x:v>Petrus bricht die Mauer auf.</x:v>
      </x:c>
      <x:c r="J503" s="36" t="str">
        <x:f>FRAGEN_MASTER!U503</x:f>
        <x:v>Ein Engel des Herrn weckt ihn, die Ketten fallen ab und die Türen öffnen sich.</x:v>
      </x:c>
      <x:c r="K503" s="36" t="n">
        <x:f>FRAGEN_MASTER!V503</x:f>
        <x:v>3</x:v>
      </x:c>
      <x:c r="L503" s="36" t="str">
        <x:f>FRAGEN_MASTER!W503</x:f>
        <x:v>Ein Engel des Herrn weckt ihn, die Ketten fallen ab und die Türen öffnen sich.</x:v>
      </x:c>
      <x:c r="M503" s="36" t="str">
        <x:f>FRAGEN_MASTER!X503</x:f>
        <x:v>Apostelgeschichte 12,5–11</x:v>
      </x:c>
      <x:c r="N503" s="36" t="str">
        <x:f>FRAGEN_MASTER!Y503</x:f>
        <x:v>Während die Gemeinde betet, führt ein Engel Petrus aus der Bewachung hinaus.</x:v>
      </x:c>
      <x:c r="O503" s="36" t="str">
        <x:f>FRAGEN_MASTER!AG503</x:f>
        <x:v>FREIGEGEBEN</x:v>
      </x:c>
      <x:c r="P503" s="36" t="str">
        <x:f>FRAGEN_MASTER!AI503</x:f>
        <x:v>FREIGEGEBEN</x:v>
      </x:c>
      <x:c r="Q503" s="36" t="str">
        <x:f>FRAGEN_MASTER!AL503</x:f>
        <x:v>JA</x:v>
      </x:c>
    </x:row>
    <x:row r="504">
      <x:c r="A504" s="36" t="str">
        <x:f>FRAGEN_MASTER!A504</x:f>
        <x:v>FP-0763</x:v>
      </x:c>
      <x:c r="B504" s="36" t="str">
        <x:f>FRAGEN_MASTER!B504</x:f>
        <x:v>ACT</x:v>
      </x:c>
      <x:c r="C504" s="36" t="str">
        <x:f>FRAGEN_MASTER!C504</x:f>
        <x:v>Apostelgeschichte</x:v>
      </x:c>
      <x:c r="D504" s="36" t="n">
        <x:f>FRAGEN_MASTER!D504</x:f>
        <x:v>12</x:v>
      </x:c>
      <x:c r="E504" s="36" t="n">
        <x:f>FRAGEN_MASTER!E504</x:f>
        <x:v>3</x:v>
      </x:c>
      <x:c r="F504" s="36" t="str">
        <x:f>FRAGEN_MASTER!Q504</x:f>
        <x:v>Wie reagiert Rhoda, als sie Petrus vor der Tür erkennt?</x:v>
      </x:c>
      <x:c r="G504" s="36" t="str">
        <x:f>FRAGEN_MASTER!R504</x:f>
        <x:v>Vor Freude öffnet sie zunächst nicht, sondern läuft hinein und meldet, Petrus stehe draußen.</x:v>
      </x:c>
      <x:c r="H504" s="36" t="str">
        <x:f>FRAGEN_MASTER!S504</x:f>
        <x:v>Sie weist ihn ab.</x:v>
      </x:c>
      <x:c r="I504" s="36" t="str">
        <x:f>FRAGEN_MASTER!T504</x:f>
        <x:v>Sie ruft sofort Herodes.</x:v>
      </x:c>
      <x:c r="J504" s="36" t="str">
        <x:f>FRAGEN_MASTER!U504</x:f>
        <x:v>Sie erkennt ihn nicht.</x:v>
      </x:c>
      <x:c r="K504" s="36" t="n">
        <x:f>FRAGEN_MASTER!V504</x:f>
        <x:v>0</x:v>
      </x:c>
      <x:c r="L504" s="36" t="str">
        <x:f>FRAGEN_MASTER!W504</x:f>
        <x:v>Vor Freude öffnet sie zunächst nicht, sondern läuft hinein und meldet, Petrus stehe draußen.</x:v>
      </x:c>
      <x:c r="M504" s="36" t="str">
        <x:f>FRAGEN_MASTER!X504</x:f>
        <x:v>Apostelgeschichte 12,12–17</x:v>
      </x:c>
      <x:c r="N504" s="36" t="str">
        <x:f>FRAGEN_MASTER!Y504</x:f>
        <x:v>Rhoda erkennt Petrus an der Stimme und ist so außer sich vor Freude, dass sie zuerst die anderen informiert.</x:v>
      </x:c>
      <x:c r="O504" s="36" t="str">
        <x:f>FRAGEN_MASTER!AG504</x:f>
        <x:v>FREIGEGEBEN</x:v>
      </x:c>
      <x:c r="P504" s="36" t="str">
        <x:f>FRAGEN_MASTER!AI504</x:f>
        <x:v>FREIGEGEBEN</x:v>
      </x:c>
      <x:c r="Q504" s="36" t="str">
        <x:f>FRAGEN_MASTER!AL504</x:f>
        <x:v>JA</x:v>
      </x:c>
    </x:row>
    <x:row r="505">
      <x:c r="A505" s="36" t="str">
        <x:f>FRAGEN_MASTER!A505</x:f>
        <x:v>FP-0764</x:v>
      </x:c>
      <x:c r="B505" s="36" t="str">
        <x:f>FRAGEN_MASTER!B505</x:f>
        <x:v>ACT</x:v>
      </x:c>
      <x:c r="C505" s="36" t="str">
        <x:f>FRAGEN_MASTER!C505</x:f>
        <x:v>Apostelgeschichte</x:v>
      </x:c>
      <x:c r="D505" s="36" t="n">
        <x:f>FRAGEN_MASTER!D505</x:f>
        <x:v>12</x:v>
      </x:c>
      <x:c r="E505" s="36" t="n">
        <x:f>FRAGEN_MASTER!E505</x:f>
        <x:v>4</x:v>
      </x:c>
      <x:c r="F505" s="36" t="str">
        <x:f>FRAGEN_MASTER!Q505</x:f>
        <x:v>Was geschieht mit Herodes, nachdem die Menge seine Rede wie die Stimme eines Gottes feiert?</x:v>
      </x:c>
      <x:c r="G505" s="36" t="str">
        <x:f>FRAGEN_MASTER!R505</x:f>
        <x:v>Er wird zum Apostel ernannt.</x:v>
      </x:c>
      <x:c r="H505" s="36" t="str">
        <x:f>FRAGEN_MASTER!S505</x:f>
        <x:v>Ein Engel des Herrn schlägt ihn, weil er Gott nicht die Ehre gibt.</x:v>
      </x:c>
      <x:c r="I505" s="36" t="str">
        <x:f>FRAGEN_MASTER!T505</x:f>
        <x:v>Er verlässt den Thron freiwillig.</x:v>
      </x:c>
      <x:c r="J505" s="36" t="str">
        <x:f>FRAGEN_MASTER!U505</x:f>
        <x:v>Petrus setzt ihn ab.</x:v>
      </x:c>
      <x:c r="K505" s="36" t="n">
        <x:f>FRAGEN_MASTER!V505</x:f>
        <x:v>1</x:v>
      </x:c>
      <x:c r="L505" s="36" t="str">
        <x:f>FRAGEN_MASTER!W505</x:f>
        <x:v>Ein Engel des Herrn schlägt ihn, weil er Gott nicht die Ehre gibt.</x:v>
      </x:c>
      <x:c r="M505" s="36" t="str">
        <x:f>FRAGEN_MASTER!X505</x:f>
        <x:v>Apostelgeschichte 12,20–23</x:v>
      </x:c>
      <x:c r="N505" s="36" t="str">
        <x:f>FRAGEN_MASTER!Y505</x:f>
        <x:v>Lukas verbindet Herodes' Tod ausdrücklich damit, dass er die göttliche Verehrung annimmt und Gott nicht die Ehre gibt.</x:v>
      </x:c>
      <x:c r="O505" s="36" t="str">
        <x:f>FRAGEN_MASTER!AG505</x:f>
        <x:v>FREIGEGEBEN</x:v>
      </x:c>
      <x:c r="P505" s="36" t="str">
        <x:f>FRAGEN_MASTER!AI505</x:f>
        <x:v>FREIGEGEBEN</x:v>
      </x:c>
      <x:c r="Q505" s="36" t="str">
        <x:f>FRAGEN_MASTER!AL505</x:f>
        <x:v>JA</x:v>
      </x:c>
    </x:row>
    <x:row r="506">
      <x:c r="A506" s="36" t="str">
        <x:f>FRAGEN_MASTER!A506</x:f>
        <x:v>FP-0765</x:v>
      </x:c>
      <x:c r="B506" s="36" t="str">
        <x:f>FRAGEN_MASTER!B506</x:f>
        <x:v>ACT</x:v>
      </x:c>
      <x:c r="C506" s="36" t="str">
        <x:f>FRAGEN_MASTER!C506</x:f>
        <x:v>Apostelgeschichte</x:v>
      </x:c>
      <x:c r="D506" s="36" t="n">
        <x:f>FRAGEN_MASTER!D506</x:f>
        <x:v>12</x:v>
      </x:c>
      <x:c r="E506" s="36" t="n">
        <x:f>FRAGEN_MASTER!E506</x:f>
        <x:v>5</x:v>
      </x:c>
      <x:c r="F506" s="36" t="str">
        <x:f>FRAGEN_MASTER!Q506</x:f>
        <x:v>Wie fasst Lukas die Entwicklung trotz der Verfolgung zusammen?</x:v>
      </x:c>
      <x:c r="G506" s="36" t="str">
        <x:f>FRAGEN_MASTER!R506</x:f>
        <x:v>Die Gemeinde verschwindet.</x:v>
      </x:c>
      <x:c r="H506" s="36" t="str">
        <x:f>FRAGEN_MASTER!S506</x:f>
        <x:v>Niemand predigt mehr.</x:v>
      </x:c>
      <x:c r="I506" s="36" t="str">
        <x:f>FRAGEN_MASTER!T506</x:f>
        <x:v>Das Wort Gottes wächst und breitet sich aus.</x:v>
      </x:c>
      <x:c r="J506" s="36" t="str">
        <x:f>FRAGEN_MASTER!U506</x:f>
        <x:v>Das Evangelium bleibt auf Jerusalem beschränkt.</x:v>
      </x:c>
      <x:c r="K506" s="36" t="n">
        <x:f>FRAGEN_MASTER!V506</x:f>
        <x:v>2</x:v>
      </x:c>
      <x:c r="L506" s="36" t="str">
        <x:f>FRAGEN_MASTER!W506</x:f>
        <x:v>Das Wort Gottes wächst und breitet sich aus.</x:v>
      </x:c>
      <x:c r="M506" s="36" t="str">
        <x:f>FRAGEN_MASTER!X506</x:f>
        <x:v>Apostelgeschichte 12,24–25</x:v>
      </x:c>
      <x:c r="N506" s="36" t="str">
        <x:f>FRAGEN_MASTER!Y506</x:f>
        <x:v>Trotz Widerstand und Gewalt wächst die Botschaft weiter.</x:v>
      </x:c>
      <x:c r="O506" s="36" t="str">
        <x:f>FRAGEN_MASTER!AG506</x:f>
        <x:v>FREIGEGEBEN</x:v>
      </x:c>
      <x:c r="P506" s="36" t="str">
        <x:f>FRAGEN_MASTER!AI506</x:f>
        <x:v>FREIGEGEBEN</x:v>
      </x:c>
      <x:c r="Q506" s="36" t="str">
        <x:f>FRAGEN_MASTER!AL506</x:f>
        <x:v>JA</x:v>
      </x:c>
    </x:row>
    <x:row r="507">
      <x:c r="A507" s="36" t="str">
        <x:f>FRAGEN_MASTER!A507</x:f>
        <x:v>FP-0766</x:v>
      </x:c>
      <x:c r="B507" s="36" t="str">
        <x:f>FRAGEN_MASTER!B507</x:f>
        <x:v>ACT</x:v>
      </x:c>
      <x:c r="C507" s="36" t="str">
        <x:f>FRAGEN_MASTER!C507</x:f>
        <x:v>Apostelgeschichte</x:v>
      </x:c>
      <x:c r="D507" s="36" t="n">
        <x:f>FRAGEN_MASTER!D507</x:f>
        <x:v>13</x:v>
      </x:c>
      <x:c r="E507" s="36" t="n">
        <x:f>FRAGEN_MASTER!E507</x:f>
        <x:v>1</x:v>
      </x:c>
      <x:c r="F507" s="36" t="str">
        <x:f>FRAGEN_MASTER!Q507</x:f>
        <x:v>Wie beginnt die erste ausgesandte Missionsreise von Barnabas und Saulus?</x:v>
      </x:c>
      <x:c r="G507" s="36" t="str">
        <x:f>FRAGEN_MASTER!R507</x:f>
        <x:v>Sie reisen ohne Wissen der Gemeinde ab.</x:v>
      </x:c>
      <x:c r="H507" s="36" t="str">
        <x:f>FRAGEN_MASTER!S507</x:f>
        <x:v>Der Hohe Rat schickt sie.</x:v>
      </x:c>
      <x:c r="I507" s="36" t="str">
        <x:f>FRAGEN_MASTER!T507</x:f>
        <x:v>Ein römischer Beamter erteilt ihnen den Auftrag.</x:v>
      </x:c>
      <x:c r="J507" s="36" t="str">
        <x:f>FRAGEN_MASTER!U507</x:f>
        <x:v>Der Heilige Geist lässt sie durch die Gemeinde in Antiochia für das Werk aussondern und aussenden.</x:v>
      </x:c>
      <x:c r="K507" s="36" t="n">
        <x:f>FRAGEN_MASTER!V507</x:f>
        <x:v>3</x:v>
      </x:c>
      <x:c r="L507" s="36" t="str">
        <x:f>FRAGEN_MASTER!W507</x:f>
        <x:v>Der Heilige Geist lässt sie durch die Gemeinde in Antiochia für das Werk aussondern und aussenden.</x:v>
      </x:c>
      <x:c r="M507" s="36" t="str">
        <x:f>FRAGEN_MASTER!X507</x:f>
        <x:v>Apostelgeschichte 13,1–3</x:v>
      </x:c>
      <x:c r="N507" s="36" t="str">
        <x:f>FRAGEN_MASTER!Y507</x:f>
        <x:v>Während Gottesdienst und Fasten weist der Heilige Geist die Gemeinde an, Barnabas und Saulus auszusondern.</x:v>
      </x:c>
      <x:c r="O507" s="36" t="str">
        <x:f>FRAGEN_MASTER!AG507</x:f>
        <x:v>FREIGEGEBEN</x:v>
      </x:c>
      <x:c r="P507" s="36" t="str">
        <x:f>FRAGEN_MASTER!AI507</x:f>
        <x:v>FREIGEGEBEN</x:v>
      </x:c>
      <x:c r="Q507" s="36" t="str">
        <x:f>FRAGEN_MASTER!AL507</x:f>
        <x:v>JA</x:v>
      </x:c>
    </x:row>
    <x:row r="508">
      <x:c r="A508" s="36" t="str">
        <x:f>FRAGEN_MASTER!A508</x:f>
        <x:v>FP-0767</x:v>
      </x:c>
      <x:c r="B508" s="36" t="str">
        <x:f>FRAGEN_MASTER!B508</x:f>
        <x:v>ACT</x:v>
      </x:c>
      <x:c r="C508" s="36" t="str">
        <x:f>FRAGEN_MASTER!C508</x:f>
        <x:v>Apostelgeschichte</x:v>
      </x:c>
      <x:c r="D508" s="36" t="n">
        <x:f>FRAGEN_MASTER!D508</x:f>
        <x:v>13</x:v>
      </x:c>
      <x:c r="E508" s="36" t="n">
        <x:f>FRAGEN_MASTER!E508</x:f>
        <x:v>2</x:v>
      </x:c>
      <x:c r="F508" s="36" t="str">
        <x:f>FRAGEN_MASTER!Q508</x:f>
        <x:v>Was geschieht mit Elymas, der den Statthalter vom Glauben abhalten will?</x:v>
      </x:c>
      <x:c r="G508" s="36" t="str">
        <x:f>FRAGEN_MASTER!R508</x:f>
        <x:v>Paulus kündigt ihm vorübergehende Blindheit an, und der Statthalter glaubt.</x:v>
      </x:c>
      <x:c r="H508" s="36" t="str">
        <x:f>FRAGEN_MASTER!S508</x:f>
        <x:v>Er wird zum Apostel gewählt.</x:v>
      </x:c>
      <x:c r="I508" s="36" t="str">
        <x:f>FRAGEN_MASTER!T508</x:f>
        <x:v>Barnabas lässt ihn verhaften.</x:v>
      </x:c>
      <x:c r="J508" s="36" t="str">
        <x:f>FRAGEN_MASTER!U508</x:f>
        <x:v>Er überzeugt Paulus, die Insel zu verlassen.</x:v>
      </x:c>
      <x:c r="K508" s="36" t="n">
        <x:f>FRAGEN_MASTER!V508</x:f>
        <x:v>0</x:v>
      </x:c>
      <x:c r="L508" s="36" t="str">
        <x:f>FRAGEN_MASTER!W508</x:f>
        <x:v>Paulus kündigt ihm vorübergehende Blindheit an, und der Statthalter glaubt.</x:v>
      </x:c>
      <x:c r="M508" s="36" t="str">
        <x:f>FRAGEN_MASTER!X508</x:f>
        <x:v>Apostelgeschichte 13,6–12</x:v>
      </x:c>
      <x:c r="N508" s="36" t="str">
        <x:f>FRAGEN_MASTER!Y508</x:f>
        <x:v>Elymas widersetzt sich; Paulus konfrontiert ihn, und das Zeichen trägt dazu bei, dass der Statthalter glaubt.</x:v>
      </x:c>
      <x:c r="O508" s="36" t="str">
        <x:f>FRAGEN_MASTER!AG508</x:f>
        <x:v>FREIGEGEBEN</x:v>
      </x:c>
      <x:c r="P508" s="36" t="str">
        <x:f>FRAGEN_MASTER!AI508</x:f>
        <x:v>FREIGEGEBEN</x:v>
      </x:c>
      <x:c r="Q508" s="36" t="str">
        <x:f>FRAGEN_MASTER!AL508</x:f>
        <x:v>JA</x:v>
      </x:c>
    </x:row>
    <x:row r="509">
      <x:c r="A509" s="36" t="str">
        <x:f>FRAGEN_MASTER!A509</x:f>
        <x:v>FP-0768</x:v>
      </x:c>
      <x:c r="B509" s="36" t="str">
        <x:f>FRAGEN_MASTER!B509</x:f>
        <x:v>ACT</x:v>
      </x:c>
      <x:c r="C509" s="36" t="str">
        <x:f>FRAGEN_MASTER!C509</x:f>
        <x:v>Apostelgeschichte</x:v>
      </x:c>
      <x:c r="D509" s="36" t="n">
        <x:f>FRAGEN_MASTER!D509</x:f>
        <x:v>13</x:v>
      </x:c>
      <x:c r="E509" s="36" t="n">
        <x:f>FRAGEN_MASTER!E509</x:f>
        <x:v>3</x:v>
      </x:c>
      <x:c r="F509" s="36" t="str">
        <x:f>FRAGEN_MASTER!Q509</x:f>
        <x:v>Auf wen läuft Paulus' Rückblick auf Israels Geschichte in seiner Predigt hinaus?</x:v>
      </x:c>
      <x:c r="G509" s="36" t="str">
        <x:f>FRAGEN_MASTER!R509</x:f>
        <x:v>Auf Salomo als endgültigen Retter.</x:v>
      </x:c>
      <x:c r="H509" s="36" t="str">
        <x:f>FRAGEN_MASTER!S509</x:f>
        <x:v>Auf Jesus als den verheißenen Retter aus Davids Nachkommenschaft.</x:v>
      </x:c>
      <x:c r="I509" s="36" t="str">
        <x:f>FRAGEN_MASTER!T509</x:f>
        <x:v>Auf Johannes den Täufer als Messias.</x:v>
      </x:c>
      <x:c r="J509" s="36" t="str">
        <x:f>FRAGEN_MASTER!U509</x:f>
        <x:v>Auf den römischen Kaiser.</x:v>
      </x:c>
      <x:c r="K509" s="36" t="n">
        <x:f>FRAGEN_MASTER!V509</x:f>
        <x:v>1</x:v>
      </x:c>
      <x:c r="L509" s="36" t="str">
        <x:f>FRAGEN_MASTER!W509</x:f>
        <x:v>Auf Jesus als den verheißenen Retter aus Davids Nachkommenschaft.</x:v>
      </x:c>
      <x:c r="M509" s="36" t="str">
        <x:f>FRAGEN_MASTER!X509</x:f>
        <x:v>Apostelgeschichte 13,16–23</x:v>
      </x:c>
      <x:c r="N509" s="36" t="str">
        <x:f>FRAGEN_MASTER!Y509</x:f>
        <x:v>Paulus zeichnet Israels Geschichte bis David nach und führt die Verheißung dann zu Jesus.</x:v>
      </x:c>
      <x:c r="O509" s="36" t="str">
        <x:f>FRAGEN_MASTER!AG509</x:f>
        <x:v>FREIGEGEBEN</x:v>
      </x:c>
      <x:c r="P509" s="36" t="str">
        <x:f>FRAGEN_MASTER!AI509</x:f>
        <x:v>FREIGEGEBEN</x:v>
      </x:c>
      <x:c r="Q509" s="36" t="str">
        <x:f>FRAGEN_MASTER!AL509</x:f>
        <x:v>JA</x:v>
      </x:c>
    </x:row>
    <x:row r="510">
      <x:c r="A510" s="36" t="str">
        <x:f>FRAGEN_MASTER!A510</x:f>
        <x:v>FP-0769</x:v>
      </x:c>
      <x:c r="B510" s="36" t="str">
        <x:f>FRAGEN_MASTER!B510</x:f>
        <x:v>ACT</x:v>
      </x:c>
      <x:c r="C510" s="36" t="str">
        <x:f>FRAGEN_MASTER!C510</x:f>
        <x:v>Apostelgeschichte</x:v>
      </x:c>
      <x:c r="D510" s="36" t="n">
        <x:f>FRAGEN_MASTER!D510</x:f>
        <x:v>13</x:v>
      </x:c>
      <x:c r="E510" s="36" t="n">
        <x:f>FRAGEN_MASTER!E510</x:f>
        <x:v>4</x:v>
      </x:c>
      <x:c r="F510" s="36" t="str">
        <x:f>FRAGEN_MASTER!Q510</x:f>
        <x:v>Was verkündet Paulus über Vergebung und Rechtfertigung durch Jesus?</x:v>
      </x:c>
      <x:c r="G510" s="36" t="str">
        <x:f>FRAGEN_MASTER!R510</x:f>
        <x:v>Vergebung gibt es nur durch Tempelopfer.</x:v>
      </x:c>
      <x:c r="H510" s="36" t="str">
        <x:f>FRAGEN_MASTER!S510</x:f>
        <x:v>Nur Juden können Vergebung empfangen.</x:v>
      </x:c>
      <x:c r="I510" s="36" t="str">
        <x:f>FRAGEN_MASTER!T510</x:f>
        <x:v>Durch Jesus wird Vergebung verkündet, und Glaubende werden von dem gerechtfertigt, wovon das Gesetz des Mose sie nicht freisprechen konnte.</x:v>
      </x:c>
      <x:c r="J510" s="36" t="str">
        <x:f>FRAGEN_MASTER!U510</x:f>
        <x:v>Vergebung ist im neuen Bund nicht mehr nötig.</x:v>
      </x:c>
      <x:c r="K510" s="36" t="n">
        <x:f>FRAGEN_MASTER!V510</x:f>
        <x:v>2</x:v>
      </x:c>
      <x:c r="L510" s="36" t="str">
        <x:f>FRAGEN_MASTER!W510</x:f>
        <x:v>Durch Jesus wird Vergebung verkündet, und Glaubende werden von dem gerechtfertigt, wovon das Gesetz des Mose sie nicht freisprechen konnte.</x:v>
      </x:c>
      <x:c r="M510" s="36" t="str">
        <x:f>FRAGEN_MASTER!X510</x:f>
        <x:v>Apostelgeschichte 13,38–39</x:v>
      </x:c>
      <x:c r="N510" s="36" t="str">
        <x:f>FRAGEN_MASTER!Y510</x:f>
        <x:v>Paulus stellt die Vergebung und Rechtfertigung durch Jesus in den Mittelpunkt.</x:v>
      </x:c>
      <x:c r="O510" s="36" t="str">
        <x:f>FRAGEN_MASTER!AG510</x:f>
        <x:v>FREIGEGEBEN</x:v>
      </x:c>
      <x:c r="P510" s="36" t="str">
        <x:f>FRAGEN_MASTER!AI510</x:f>
        <x:v>FREIGEGEBEN</x:v>
      </x:c>
      <x:c r="Q510" s="36" t="str">
        <x:f>FRAGEN_MASTER!AL510</x:f>
        <x:v>JA</x:v>
      </x:c>
    </x:row>
    <x:row r="511">
      <x:c r="A511" s="36" t="str">
        <x:f>FRAGEN_MASTER!A511</x:f>
        <x:v>FP-0770</x:v>
      </x:c>
      <x:c r="B511" s="36" t="str">
        <x:f>FRAGEN_MASTER!B511</x:f>
        <x:v>ACT</x:v>
      </x:c>
      <x:c r="C511" s="36" t="str">
        <x:f>FRAGEN_MASTER!C511</x:f>
        <x:v>Apostelgeschichte</x:v>
      </x:c>
      <x:c r="D511" s="36" t="n">
        <x:f>FRAGEN_MASTER!D511</x:f>
        <x:v>13</x:v>
      </x:c>
      <x:c r="E511" s="36" t="n">
        <x:f>FRAGEN_MASTER!E511</x:f>
        <x:v>5</x:v>
      </x:c>
      <x:c r="F511" s="36" t="str">
        <x:f>FRAGEN_MASTER!Q511</x:f>
        <x:v>Warum wenden sich Paulus und Barnabas in Antiochia verstärkt den Nichtjuden zu?</x:v>
      </x:c>
      <x:c r="G511" s="36" t="str">
        <x:f>FRAGEN_MASTER!R511</x:f>
        <x:v>Weil Nichtjuden mehr Geld bieten.</x:v>
      </x:c>
      <x:c r="H511" s="36" t="str">
        <x:f>FRAGEN_MASTER!S511</x:f>
        <x:v>Weil sie aus der Synagoge nie sprechen durften.</x:v>
      </x:c>
      <x:c r="I511" s="36" t="str">
        <x:f>FRAGEN_MASTER!T511</x:f>
        <x:v>Weil Johannes Markus es verlangt.</x:v>
      </x:c>
      <x:c r="J511" s="36" t="str">
        <x:f>FRAGEN_MASTER!U511</x:f>
        <x:v>Weil ein Teil der jüdischen Zuhörer die Botschaft ablehnt; sie verstehen sich zugleich als Licht für die Völker.</x:v>
      </x:c>
      <x:c r="K511" s="36" t="n">
        <x:f>FRAGEN_MASTER!V511</x:f>
        <x:v>3</x:v>
      </x:c>
      <x:c r="L511" s="36" t="str">
        <x:f>FRAGEN_MASTER!W511</x:f>
        <x:v>Weil ein Teil der jüdischen Zuhörer die Botschaft ablehnt; sie verstehen sich zugleich als Licht für die Völker.</x:v>
      </x:c>
      <x:c r="M511" s="36" t="str">
        <x:f>FRAGEN_MASTER!X511</x:f>
        <x:v>Apostelgeschichte 13,44–48</x:v>
      </x:c>
      <x:c r="N511" s="36" t="str">
        <x:f>FRAGEN_MASTER!Y511</x:f>
        <x:v>Nach Widerstand erklären Paulus und Barnabas, dass sie sich den Völkern zuwenden; viele Nichtjuden freuen sich darüber.</x:v>
      </x:c>
      <x:c r="O511" s="36" t="str">
        <x:f>FRAGEN_MASTER!AG511</x:f>
        <x:v>FREIGEGEBEN</x:v>
      </x:c>
      <x:c r="P511" s="36" t="str">
        <x:f>FRAGEN_MASTER!AI511</x:f>
        <x:v>FREIGEGEBEN</x:v>
      </x:c>
      <x:c r="Q511" s="36" t="str">
        <x:f>FRAGEN_MASTER!AL511</x:f>
        <x:v>JA</x:v>
      </x:c>
    </x:row>
    <x:row r="512">
      <x:c r="A512" s="36" t="str">
        <x:f>FRAGEN_MASTER!A512</x:f>
        <x:v>FP-0771</x:v>
      </x:c>
      <x:c r="B512" s="36" t="str">
        <x:f>FRAGEN_MASTER!B512</x:f>
        <x:v>ACT</x:v>
      </x:c>
      <x:c r="C512" s="36" t="str">
        <x:f>FRAGEN_MASTER!C512</x:f>
        <x:v>Apostelgeschichte</x:v>
      </x:c>
      <x:c r="D512" s="36" t="n">
        <x:f>FRAGEN_MASTER!D512</x:f>
        <x:v>14</x:v>
      </x:c>
      <x:c r="E512" s="36" t="n">
        <x:f>FRAGEN_MASTER!E512</x:f>
        <x:v>1</x:v>
      </x:c>
      <x:c r="F512" s="36" t="str">
        <x:f>FRAGEN_MASTER!Q512</x:f>
        <x:v>Was kennzeichnet den Dienst von Paulus und Barnabas in Ikonion?</x:v>
      </x:c>
      <x:c r="G512" s="36" t="str">
        <x:f>FRAGEN_MASTER!R512</x:f>
        <x:v>Sie sprechen freimütig vom Herrn, und Zeichen bestätigen die Botschaft, obwohl die Stadt gespalten ist.</x:v>
      </x:c>
      <x:c r="H512" s="36" t="str">
        <x:f>FRAGEN_MASTER!S512</x:f>
        <x:v>Sie bleiben völlig still.</x:v>
      </x:c>
      <x:c r="I512" s="36" t="str">
        <x:f>FRAGEN_MASTER!T512</x:f>
        <x:v>Sie wirken nur unter römischen Soldaten.</x:v>
      </x:c>
      <x:c r="J512" s="36" t="str">
        <x:f>FRAGEN_MASTER!U512</x:f>
        <x:v>Sie gründen sofort eine politische Partei.</x:v>
      </x:c>
      <x:c r="K512" s="36" t="n">
        <x:f>FRAGEN_MASTER!V512</x:f>
        <x:v>0</x:v>
      </x:c>
      <x:c r="L512" s="36" t="str">
        <x:f>FRAGEN_MASTER!W512</x:f>
        <x:v>Sie sprechen freimütig vom Herrn, und Zeichen bestätigen die Botschaft, obwohl die Stadt gespalten ist.</x:v>
      </x:c>
      <x:c r="M512" s="36" t="str">
        <x:f>FRAGEN_MASTER!X512</x:f>
        <x:v>Apostelgeschichte 14,1–3</x:v>
      </x:c>
      <x:c r="N512" s="36" t="str">
        <x:f>FRAGEN_MASTER!Y512</x:f>
        <x:v>Trotz Widerstand bleiben sie längere Zeit und reden freimütig; Gott bestätigt die Botschaft durch Zeichen.</x:v>
      </x:c>
      <x:c r="O512" s="36" t="str">
        <x:f>FRAGEN_MASTER!AG512</x:f>
        <x:v>FREIGEGEBEN</x:v>
      </x:c>
      <x:c r="P512" s="36" t="str">
        <x:f>FRAGEN_MASTER!AI512</x:f>
        <x:v>FREIGEGEBEN</x:v>
      </x:c>
      <x:c r="Q512" s="36" t="str">
        <x:f>FRAGEN_MASTER!AL512</x:f>
        <x:v>JA</x:v>
      </x:c>
    </x:row>
    <x:row r="513">
      <x:c r="A513" s="36" t="str">
        <x:f>FRAGEN_MASTER!A513</x:f>
        <x:v>FP-0772</x:v>
      </x:c>
      <x:c r="B513" s="36" t="str">
        <x:f>FRAGEN_MASTER!B513</x:f>
        <x:v>ACT</x:v>
      </x:c>
      <x:c r="C513" s="36" t="str">
        <x:f>FRAGEN_MASTER!C513</x:f>
        <x:v>Apostelgeschichte</x:v>
      </x:c>
      <x:c r="D513" s="36" t="n">
        <x:f>FRAGEN_MASTER!D513</x:f>
        <x:v>14</x:v>
      </x:c>
      <x:c r="E513" s="36" t="n">
        <x:f>FRAGEN_MASTER!E513</x:f>
        <x:v>2</x:v>
      </x:c>
      <x:c r="F513" s="36" t="str">
        <x:f>FRAGEN_MASTER!Q513</x:f>
        <x:v>Was geschieht mit dem von Geburt an gelähmten Mann in Lystra?</x:v>
      </x:c>
      <x:c r="G513" s="36" t="str">
        <x:f>FRAGEN_MASTER!R513</x:f>
        <x:v>Er bleibt gelähmt.</x:v>
      </x:c>
      <x:c r="H513" s="36" t="str">
        <x:f>FRAGEN_MASTER!S513</x:f>
        <x:v>Paulus sieht seinen Glauben, fordert ihn aufzustehen, und er kann gehen.</x:v>
      </x:c>
      <x:c r="I513" s="36" t="str">
        <x:f>FRAGEN_MASTER!T513</x:f>
        <x:v>Barnabas trägt ihn nach Antiochia.</x:v>
      </x:c>
      <x:c r="J513" s="36" t="str">
        <x:f>FRAGEN_MASTER!U513</x:f>
        <x:v>Ein Priester heilt ihn.</x:v>
      </x:c>
      <x:c r="K513" s="36" t="n">
        <x:f>FRAGEN_MASTER!V513</x:f>
        <x:v>1</x:v>
      </x:c>
      <x:c r="L513" s="36" t="str">
        <x:f>FRAGEN_MASTER!W513</x:f>
        <x:v>Paulus sieht seinen Glauben, fordert ihn aufzustehen, und er kann gehen.</x:v>
      </x:c>
      <x:c r="M513" s="36" t="str">
        <x:f>FRAGEN_MASTER!X513</x:f>
        <x:v>Apostelgeschichte 14,8–10</x:v>
      </x:c>
      <x:c r="N513" s="36" t="str">
        <x:f>FRAGEN_MASTER!Y513</x:f>
        <x:v>Paulus ruft den Mann auf, sich aufzurichten; er springt auf und geht.</x:v>
      </x:c>
      <x:c r="O513" s="36" t="str">
        <x:f>FRAGEN_MASTER!AG513</x:f>
        <x:v>FREIGEGEBEN</x:v>
      </x:c>
      <x:c r="P513" s="36" t="str">
        <x:f>FRAGEN_MASTER!AI513</x:f>
        <x:v>FREIGEGEBEN</x:v>
      </x:c>
      <x:c r="Q513" s="36" t="str">
        <x:f>FRAGEN_MASTER!AL513</x:f>
        <x:v>JA</x:v>
      </x:c>
    </x:row>
    <x:row r="514">
      <x:c r="A514" s="36" t="str">
        <x:f>FRAGEN_MASTER!A514</x:f>
        <x:v>FP-0773</x:v>
      </x:c>
      <x:c r="B514" s="36" t="str">
        <x:f>FRAGEN_MASTER!B514</x:f>
        <x:v>ACT</x:v>
      </x:c>
      <x:c r="C514" s="36" t="str">
        <x:f>FRAGEN_MASTER!C514</x:f>
        <x:v>Apostelgeschichte</x:v>
      </x:c>
      <x:c r="D514" s="36" t="n">
        <x:f>FRAGEN_MASTER!D514</x:f>
        <x:v>14</x:v>
      </x:c>
      <x:c r="E514" s="36" t="n">
        <x:f>FRAGEN_MASTER!E514</x:f>
        <x:v>3</x:v>
      </x:c>
      <x:c r="F514" s="36" t="str">
        <x:f>FRAGEN_MASTER!Q514</x:f>
        <x:v>Wie reagieren Paulus und Barnabas, als die Menge sie für Götter hält?</x:v>
      </x:c>
      <x:c r="G514" s="36" t="str">
        <x:f>FRAGEN_MASTER!R514</x:f>
        <x:v>Sie nehmen die Opfer dankbar an.</x:v>
      </x:c>
      <x:c r="H514" s="36" t="str">
        <x:f>FRAGEN_MASTER!S514</x:f>
        <x:v>Sie erklären sich selbst zu Zeus und Hermes.</x:v>
      </x:c>
      <x:c r="I514" s="36" t="str">
        <x:f>FRAGEN_MASTER!T514</x:f>
        <x:v>Sie zerreißen ihre Kleider und rufen die Menschen auf, sich vom Nichtigen dem lebendigen Gott zuzuwenden.</x:v>
      </x:c>
      <x:c r="J514" s="36" t="str">
        <x:f>FRAGEN_MASTER!U514</x:f>
        <x:v>Sie verlassen die Stadt ohne Erklärung.</x:v>
      </x:c>
      <x:c r="K514" s="36" t="n">
        <x:f>FRAGEN_MASTER!V514</x:f>
        <x:v>2</x:v>
      </x:c>
      <x:c r="L514" s="36" t="str">
        <x:f>FRAGEN_MASTER!W514</x:f>
        <x:v>Sie zerreißen ihre Kleider und rufen die Menschen auf, sich vom Nichtigen dem lebendigen Gott zuzuwenden.</x:v>
      </x:c>
      <x:c r="M514" s="36" t="str">
        <x:f>FRAGEN_MASTER!X514</x:f>
        <x:v>Apostelgeschichte 14,11–18</x:v>
      </x:c>
      <x:c r="N514" s="36" t="str">
        <x:f>FRAGEN_MASTER!Y514</x:f>
        <x:v>Die beiden weisen die Vergöttlichung entschieden zurück und verkünden den lebendigen Schöpfergott.</x:v>
      </x:c>
      <x:c r="O514" s="36" t="str">
        <x:f>FRAGEN_MASTER!AG514</x:f>
        <x:v>FREIGEGEBEN</x:v>
      </x:c>
      <x:c r="P514" s="36" t="str">
        <x:f>FRAGEN_MASTER!AI514</x:f>
        <x:v>FREIGEGEBEN</x:v>
      </x:c>
      <x:c r="Q514" s="36" t="str">
        <x:f>FRAGEN_MASTER!AL514</x:f>
        <x:v>JA</x:v>
      </x:c>
    </x:row>
    <x:row r="515">
      <x:c r="A515" s="36" t="str">
        <x:f>FRAGEN_MASTER!A515</x:f>
        <x:v>FP-0774</x:v>
      </x:c>
      <x:c r="B515" s="36" t="str">
        <x:f>FRAGEN_MASTER!B515</x:f>
        <x:v>ACT</x:v>
      </x:c>
      <x:c r="C515" s="36" t="str">
        <x:f>FRAGEN_MASTER!C515</x:f>
        <x:v>Apostelgeschichte</x:v>
      </x:c>
      <x:c r="D515" s="36" t="n">
        <x:f>FRAGEN_MASTER!D515</x:f>
        <x:v>14</x:v>
      </x:c>
      <x:c r="E515" s="36" t="n">
        <x:f>FRAGEN_MASTER!E515</x:f>
        <x:v>4</x:v>
      </x:c>
      <x:c r="F515" s="36" t="str">
        <x:f>FRAGEN_MASTER!Q515</x:f>
        <x:v>Was geschieht mit Paulus in Lystra nach dem Umschwung der Menge?</x:v>
      </x:c>
      <x:c r="G515" s="36" t="str">
        <x:f>FRAGEN_MASTER!R515</x:f>
        <x:v>Er wird zum Stadtoberhaupt gewählt.</x:v>
      </x:c>
      <x:c r="H515" s="36" t="str">
        <x:f>FRAGEN_MASTER!S515</x:f>
        <x:v>Er wird sofort nach Rom gebracht.</x:v>
      </x:c>
      <x:c r="I515" s="36" t="str">
        <x:f>FRAGEN_MASTER!T515</x:f>
        <x:v>Er bleibt unverletzt im Tempel.</x:v>
      </x:c>
      <x:c r="J515" s="36" t="str">
        <x:f>FRAGEN_MASTER!U515</x:f>
        <x:v>Er wird gesteinigt und für tot aus der Stadt geschleppt, steht aber wieder auf und zieht weiter.</x:v>
      </x:c>
      <x:c r="K515" s="36" t="n">
        <x:f>FRAGEN_MASTER!V515</x:f>
        <x:v>3</x:v>
      </x:c>
      <x:c r="L515" s="36" t="str">
        <x:f>FRAGEN_MASTER!W515</x:f>
        <x:v>Er wird gesteinigt und für tot aus der Stadt geschleppt, steht aber wieder auf und zieht weiter.</x:v>
      </x:c>
      <x:c r="M515" s="36" t="str">
        <x:f>FRAGEN_MASTER!X515</x:f>
        <x:v>Apostelgeschichte 14,19–22</x:v>
      </x:c>
      <x:c r="N515" s="36" t="str">
        <x:f>FRAGEN_MASTER!Y515</x:f>
        <x:v>Paulus erlebt schwere Gewalt, setzt den Dienst aber fort und stärkt später die Jünger im Ausharren.</x:v>
      </x:c>
      <x:c r="O515" s="36" t="str">
        <x:f>FRAGEN_MASTER!AG515</x:f>
        <x:v>FREIGEGEBEN</x:v>
      </x:c>
      <x:c r="P515" s="36" t="str">
        <x:f>FRAGEN_MASTER!AI515</x:f>
        <x:v>FREIGEGEBEN</x:v>
      </x:c>
      <x:c r="Q515" s="36" t="str">
        <x:f>FRAGEN_MASTER!AL515</x:f>
        <x:v>JA</x:v>
      </x:c>
    </x:row>
    <x:row r="516">
      <x:c r="A516" s="36" t="str">
        <x:f>FRAGEN_MASTER!A516</x:f>
        <x:v>FP-0775</x:v>
      </x:c>
      <x:c r="B516" s="36" t="str">
        <x:f>FRAGEN_MASTER!B516</x:f>
        <x:v>ACT</x:v>
      </x:c>
      <x:c r="C516" s="36" t="str">
        <x:f>FRAGEN_MASTER!C516</x:f>
        <x:v>Apostelgeschichte</x:v>
      </x:c>
      <x:c r="D516" s="36" t="n">
        <x:f>FRAGEN_MASTER!D516</x:f>
        <x:v>14</x:v>
      </x:c>
      <x:c r="E516" s="36" t="n">
        <x:f>FRAGEN_MASTER!E516</x:f>
        <x:v>5</x:v>
      </x:c>
      <x:c r="F516" s="36" t="str">
        <x:f>FRAGEN_MASTER!Q516</x:f>
        <x:v>Was tun Paulus und Barnabas auf dem Rückweg durch die jungen Gemeinden?</x:v>
      </x:c>
      <x:c r="G516" s="36" t="str">
        <x:f>FRAGEN_MASTER!R516</x:f>
        <x:v>Sie setzen Älteste ein, beten und übergeben die Gemeinden dem Herrn.</x:v>
      </x:c>
      <x:c r="H516" s="36" t="str">
        <x:f>FRAGEN_MASTER!S516</x:f>
        <x:v>Sie lösen die Gemeinden wieder auf.</x:v>
      </x:c>
      <x:c r="I516" s="36" t="str">
        <x:f>FRAGEN_MASTER!T516</x:f>
        <x:v>Sie verbieten jede Leitung.</x:v>
      </x:c>
      <x:c r="J516" s="36" t="str">
        <x:f>FRAGEN_MASTER!U516</x:f>
        <x:v>Sie nehmen alle Gläubigen mit nach Antiochia.</x:v>
      </x:c>
      <x:c r="K516" s="36" t="n">
        <x:f>FRAGEN_MASTER!V516</x:f>
        <x:v>0</x:v>
      </x:c>
      <x:c r="L516" s="36" t="str">
        <x:f>FRAGEN_MASTER!W516</x:f>
        <x:v>Sie setzen Älteste ein, beten und übergeben die Gemeinden dem Herrn.</x:v>
      </x:c>
      <x:c r="M516" s="36" t="str">
        <x:f>FRAGEN_MASTER!X516</x:f>
        <x:v>Apostelgeschichte 14,23–27</x:v>
      </x:c>
      <x:c r="N516" s="36" t="str">
        <x:f>FRAGEN_MASTER!Y516</x:f>
        <x:v>Sie ordnen Leitung vor Ort und berichten nach ihrer Rückkehr, was Gott getan und wie er den Völkern die Tür des Glaubens geöffnet hat.</x:v>
      </x:c>
      <x:c r="O516" s="36" t="str">
        <x:f>FRAGEN_MASTER!AG516</x:f>
        <x:v>FREIGEGEBEN</x:v>
      </x:c>
      <x:c r="P516" s="36" t="str">
        <x:f>FRAGEN_MASTER!AI516</x:f>
        <x:v>FREIGEGEBEN</x:v>
      </x:c>
      <x:c r="Q516" s="36" t="str">
        <x:f>FRAGEN_MASTER!AL516</x:f>
        <x:v>JA</x:v>
      </x:c>
    </x:row>
    <x:row r="517">
      <x:c r="A517" s="36" t="str">
        <x:f>FRAGEN_MASTER!A517</x:f>
        <x:v>FP-0776</x:v>
      </x:c>
      <x:c r="B517" s="36" t="str">
        <x:f>FRAGEN_MASTER!B517</x:f>
        <x:v>ACT</x:v>
      </x:c>
      <x:c r="C517" s="36" t="str">
        <x:f>FRAGEN_MASTER!C517</x:f>
        <x:v>Apostelgeschichte</x:v>
      </x:c>
      <x:c r="D517" s="36" t="n">
        <x:f>FRAGEN_MASTER!D517</x:f>
        <x:v>15</x:v>
      </x:c>
      <x:c r="E517" s="36" t="n">
        <x:f>FRAGEN_MASTER!E517</x:f>
        <x:v>1</x:v>
      </x:c>
      <x:c r="F517" s="36" t="str">
        <x:f>FRAGEN_MASTER!Q517</x:f>
        <x:v>Worum geht der zentrale Streit zu Beginn des Jerusalemer Konzils?</x:v>
      </x:c>
      <x:c r="G517" s="36" t="str">
        <x:f>FRAGEN_MASTER!R517</x:f>
        <x:v>Ob Paulus römischer Bürger ist.</x:v>
      </x:c>
      <x:c r="H517" s="36" t="str">
        <x:f>FRAGEN_MASTER!S517</x:f>
        <x:v>Ob nichtjüdische Gläubige beschnitten werden und das Gesetz des Mose halten müssen, um gerettet zu werden.</x:v>
      </x:c>
      <x:c r="I517" s="36" t="str">
        <x:f>FRAGEN_MASTER!T517</x:f>
        <x:v>Ob Petrus nach Antiochia reisen darf.</x:v>
      </x:c>
      <x:c r="J517" s="36" t="str">
        <x:f>FRAGEN_MASTER!U517</x:f>
        <x:v>Ob Christen den Tempel besuchen dürfen.</x:v>
      </x:c>
      <x:c r="K517" s="36" t="n">
        <x:f>FRAGEN_MASTER!V517</x:f>
        <x:v>1</x:v>
      </x:c>
      <x:c r="L517" s="36" t="str">
        <x:f>FRAGEN_MASTER!W517</x:f>
        <x:v>Ob nichtjüdische Gläubige beschnitten werden und das Gesetz des Mose halten müssen, um gerettet zu werden.</x:v>
      </x:c>
      <x:c r="M517" s="36" t="str">
        <x:f>FRAGEN_MASTER!X517</x:f>
        <x:v>Apostelgeschichte 15,1–5</x:v>
      </x:c>
      <x:c r="N517" s="36" t="str">
        <x:f>FRAGEN_MASTER!Y517</x:f>
        <x:v>Einige fordern Beschneidung und Gesetzesbindung für die Rettung; darüber entsteht eine grundlegende Auseinandersetzung.</x:v>
      </x:c>
      <x:c r="O517" s="36" t="str">
        <x:f>FRAGEN_MASTER!AG517</x:f>
        <x:v>FREIGEGEBEN</x:v>
      </x:c>
      <x:c r="P517" s="36" t="str">
        <x:f>FRAGEN_MASTER!AI517</x:f>
        <x:v>FREIGEGEBEN</x:v>
      </x:c>
      <x:c r="Q517" s="36" t="str">
        <x:f>FRAGEN_MASTER!AL517</x:f>
        <x:v>JA</x:v>
      </x:c>
    </x:row>
    <x:row r="518">
      <x:c r="A518" s="36" t="str">
        <x:f>FRAGEN_MASTER!A518</x:f>
        <x:v>FP-0777</x:v>
      </x:c>
      <x:c r="B518" s="36" t="str">
        <x:f>FRAGEN_MASTER!B518</x:f>
        <x:v>ACT</x:v>
      </x:c>
      <x:c r="C518" s="36" t="str">
        <x:f>FRAGEN_MASTER!C518</x:f>
        <x:v>Apostelgeschichte</x:v>
      </x:c>
      <x:c r="D518" s="36" t="n">
        <x:f>FRAGEN_MASTER!D518</x:f>
        <x:v>15</x:v>
      </x:c>
      <x:c r="E518" s="36" t="n">
        <x:f>FRAGEN_MASTER!E518</x:f>
        <x:v>2</x:v>
      </x:c>
      <x:c r="F518" s="36" t="str">
        <x:f>FRAGEN_MASTER!Q518</x:f>
        <x:v>Wie beschreibt Petrus die Rettung von Juden und Nichtjuden?</x:v>
      </x:c>
      <x:c r="G518" s="36" t="str">
        <x:f>FRAGEN_MASTER!R518</x:f>
        <x:v>Juden durch Gnade, Nichtjuden durch Gesetz.</x:v>
      </x:c>
      <x:c r="H518" s="36" t="str">
        <x:f>FRAGEN_MASTER!S518</x:f>
        <x:v>Nur Beschnittene können gerettet werden.</x:v>
      </x:c>
      <x:c r="I518" s="36" t="str">
        <x:f>FRAGEN_MASTER!T518</x:f>
        <x:v>Beide werden durch die Gnade des Herrn Jesus gerettet.</x:v>
      </x:c>
      <x:c r="J518" s="36" t="str">
        <x:f>FRAGEN_MASTER!U518</x:f>
        <x:v>Rettung hängt von Volkszugehörigkeit ab.</x:v>
      </x:c>
      <x:c r="K518" s="36" t="n">
        <x:f>FRAGEN_MASTER!V518</x:f>
        <x:v>2</x:v>
      </x:c>
      <x:c r="L518" s="36" t="str">
        <x:f>FRAGEN_MASTER!W518</x:f>
        <x:v>Beide werden durch die Gnade des Herrn Jesus gerettet.</x:v>
      </x:c>
      <x:c r="M518" s="36" t="str">
        <x:f>FRAGEN_MASTER!X518</x:f>
        <x:v>Apostelgeschichte 15,7–11</x:v>
      </x:c>
      <x:c r="N518" s="36" t="str">
        <x:f>FRAGEN_MASTER!Y518</x:f>
        <x:v>Petrus erinnert an Gottes Geistgabe an die Nichtjuden und betont die gemeinsame Rettung durch Gnade.</x:v>
      </x:c>
      <x:c r="O518" s="36" t="str">
        <x:f>FRAGEN_MASTER!AG518</x:f>
        <x:v>FREIGEGEBEN</x:v>
      </x:c>
      <x:c r="P518" s="36" t="str">
        <x:f>FRAGEN_MASTER!AI518</x:f>
        <x:v>FREIGEGEBEN</x:v>
      </x:c>
      <x:c r="Q518" s="36" t="str">
        <x:f>FRAGEN_MASTER!AL518</x:f>
        <x:v>JA</x:v>
      </x:c>
    </x:row>
    <x:row r="519">
      <x:c r="A519" s="36" t="str">
        <x:f>FRAGEN_MASTER!A519</x:f>
        <x:v>FP-0778</x:v>
      </x:c>
      <x:c r="B519" s="36" t="str">
        <x:f>FRAGEN_MASTER!B519</x:f>
        <x:v>ACT</x:v>
      </x:c>
      <x:c r="C519" s="36" t="str">
        <x:f>FRAGEN_MASTER!C519</x:f>
        <x:v>Apostelgeschichte</x:v>
      </x:c>
      <x:c r="D519" s="36" t="n">
        <x:f>FRAGEN_MASTER!D519</x:f>
        <x:v>15</x:v>
      </x:c>
      <x:c r="E519" s="36" t="n">
        <x:f>FRAGEN_MASTER!E519</x:f>
        <x:v>3</x:v>
      </x:c>
      <x:c r="F519" s="36" t="str">
        <x:f>FRAGEN_MASTER!Q519</x:f>
        <x:v>Welche Richtung schlägt Jakobus für die nichtjüdischen Gläubigen vor?</x:v>
      </x:c>
      <x:c r="G519" s="36" t="str">
        <x:f>FRAGEN_MASTER!R519</x:f>
        <x:v>Sie müssen das gesamte mosaische Gesetz übernehmen.</x:v>
      </x:c>
      <x:c r="H519" s="36" t="str">
        <x:f>FRAGEN_MASTER!S519</x:f>
        <x:v>Sie sollen Jerusalem nie betreten.</x:v>
      </x:c>
      <x:c r="I519" s="36" t="str">
        <x:f>FRAGEN_MASTER!T519</x:f>
        <x:v>Sie dürfen keine Gemeinschaft mit Juden haben.</x:v>
      </x:c>
      <x:c r="J519" s="36" t="str">
        <x:f>FRAGEN_MASTER!U519</x:f>
        <x:v>Sie sollen nicht unnötig belastet werden, aber einige konkrete Dinge meiden, die für das gemeinsame Leben wichtig sind.</x:v>
      </x:c>
      <x:c r="K519" s="36" t="n">
        <x:f>FRAGEN_MASTER!V519</x:f>
        <x:v>3</x:v>
      </x:c>
      <x:c r="L519" s="36" t="str">
        <x:f>FRAGEN_MASTER!W519</x:f>
        <x:v>Sie sollen nicht unnötig belastet werden, aber einige konkrete Dinge meiden, die für das gemeinsame Leben wichtig sind.</x:v>
      </x:c>
      <x:c r="M519" s="36" t="str">
        <x:f>FRAGEN_MASTER!X519</x:f>
        <x:v>Apostelgeschichte 15,13–21</x:v>
      </x:c>
      <x:c r="N519" s="36" t="str">
        <x:f>FRAGEN_MASTER!Y519</x:f>
        <x:v>Jakobus lehnt eine volle Gesetzespflicht ab und schlägt einige konkrete Anweisungen für die Gemeinden vor.</x:v>
      </x:c>
      <x:c r="O519" s="36" t="str">
        <x:f>FRAGEN_MASTER!AG519</x:f>
        <x:v>FREIGEGEBEN</x:v>
      </x:c>
      <x:c r="P519" s="36" t="str">
        <x:f>FRAGEN_MASTER!AI519</x:f>
        <x:v>FREIGEGEBEN</x:v>
      </x:c>
      <x:c r="Q519" s="36" t="str">
        <x:f>FRAGEN_MASTER!AL519</x:f>
        <x:v>JA</x:v>
      </x:c>
    </x:row>
    <x:row r="520">
      <x:c r="A520" s="36" t="str">
        <x:f>FRAGEN_MASTER!A520</x:f>
        <x:v>FP-0779</x:v>
      </x:c>
      <x:c r="B520" s="36" t="str">
        <x:f>FRAGEN_MASTER!B520</x:f>
        <x:v>ACT</x:v>
      </x:c>
      <x:c r="C520" s="36" t="str">
        <x:f>FRAGEN_MASTER!C520</x:f>
        <x:v>Apostelgeschichte</x:v>
      </x:c>
      <x:c r="D520" s="36" t="n">
        <x:f>FRAGEN_MASTER!D520</x:f>
        <x:v>15</x:v>
      </x:c>
      <x:c r="E520" s="36" t="n">
        <x:f>FRAGEN_MASTER!E520</x:f>
        <x:v>4</x:v>
      </x:c>
      <x:c r="F520" s="36" t="str">
        <x:f>FRAGEN_MASTER!Q520</x:f>
        <x:v>Wie wird die Entscheidung des Konzils an die Gemeinden weitergegeben?</x:v>
      </x:c>
      <x:c r="G520" s="36" t="str">
        <x:f>FRAGEN_MASTER!R520</x:f>
        <x:v>Durch einen Brief und ausgewählte Boten zusammen mit Paulus und Barnabas.</x:v>
      </x:c>
      <x:c r="H520" s="36" t="str">
        <x:f>FRAGEN_MASTER!S520</x:f>
        <x:v>Nur durch mündliche Gerüchte.</x:v>
      </x:c>
      <x:c r="I520" s="36" t="str">
        <x:f>FRAGEN_MASTER!T520</x:f>
        <x:v>Durch römische Soldaten.</x:v>
      </x:c>
      <x:c r="J520" s="36" t="str">
        <x:f>FRAGEN_MASTER!U520</x:f>
        <x:v>Gar nicht; jede Gemeinde soll selbst entscheiden.</x:v>
      </x:c>
      <x:c r="K520" s="36" t="n">
        <x:f>FRAGEN_MASTER!V520</x:f>
        <x:v>0</x:v>
      </x:c>
      <x:c r="L520" s="36" t="str">
        <x:f>FRAGEN_MASTER!W520</x:f>
        <x:v>Durch einen Brief und ausgewählte Boten zusammen mit Paulus und Barnabas.</x:v>
      </x:c>
      <x:c r="M520" s="36" t="str">
        <x:f>FRAGEN_MASTER!X520</x:f>
        <x:v>Apostelgeschichte 15,22–29</x:v>
      </x:c>
      <x:c r="N520" s="36" t="str">
        <x:f>FRAGEN_MASTER!Y520</x:f>
        <x:v>Die Apostel, Ältesten und die Gemeinde senden einen schriftlichen Beschluss mit verlässlichen Boten.</x:v>
      </x:c>
      <x:c r="O520" s="36" t="str">
        <x:f>FRAGEN_MASTER!AG520</x:f>
        <x:v>FREIGEGEBEN</x:v>
      </x:c>
      <x:c r="P520" s="36" t="str">
        <x:f>FRAGEN_MASTER!AI520</x:f>
        <x:v>FREIGEGEBEN</x:v>
      </x:c>
      <x:c r="Q520" s="36" t="str">
        <x:f>FRAGEN_MASTER!AL520</x:f>
        <x:v>JA</x:v>
      </x:c>
    </x:row>
    <x:row r="521">
      <x:c r="A521" s="36" t="str">
        <x:f>FRAGEN_MASTER!A521</x:f>
        <x:v>FP-0780</x:v>
      </x:c>
      <x:c r="B521" s="36" t="str">
        <x:f>FRAGEN_MASTER!B521</x:f>
        <x:v>ACT</x:v>
      </x:c>
      <x:c r="C521" s="36" t="str">
        <x:f>FRAGEN_MASTER!C521</x:f>
        <x:v>Apostelgeschichte</x:v>
      </x:c>
      <x:c r="D521" s="36" t="n">
        <x:f>FRAGEN_MASTER!D521</x:f>
        <x:v>15</x:v>
      </x:c>
      <x:c r="E521" s="36" t="n">
        <x:f>FRAGEN_MASTER!E521</x:f>
        <x:v>5</x:v>
      </x:c>
      <x:c r="F521" s="36" t="str">
        <x:f>FRAGEN_MASTER!Q521</x:f>
        <x:v>Warum trennen sich Paulus und Barnabas für die nächste Reise?</x:v>
      </x:c>
      <x:c r="G521" s="36" t="str">
        <x:f>FRAGEN_MASTER!R521</x:f>
        <x:v>Sie vertreten verschiedene Evangelien.</x:v>
      </x:c>
      <x:c r="H521" s="36" t="str">
        <x:f>FRAGEN_MASTER!S521</x:f>
        <x:v>Sie geraten über die Mitnahme von Johannes Markus so heftig aneinander, dass sie getrennte Wege gehen.</x:v>
      </x:c>
      <x:c r="I521" s="36" t="str">
        <x:f>FRAGEN_MASTER!T521</x:f>
        <x:v>Barnabas will nicht mehr missionieren.</x:v>
      </x:c>
      <x:c r="J521" s="36" t="str">
        <x:f>FRAGEN_MASTER!U521</x:f>
        <x:v>Paulus wird aus Antiochia ausgewiesen.</x:v>
      </x:c>
      <x:c r="K521" s="36" t="n">
        <x:f>FRAGEN_MASTER!V521</x:f>
        <x:v>1</x:v>
      </x:c>
      <x:c r="L521" s="36" t="str">
        <x:f>FRAGEN_MASTER!W521</x:f>
        <x:v>Sie geraten über die Mitnahme von Johannes Markus so heftig aneinander, dass sie getrennte Wege gehen.</x:v>
      </x:c>
      <x:c r="M521" s="36" t="str">
        <x:f>FRAGEN_MASTER!X521</x:f>
        <x:v>Apostelgeschichte 15,36–41</x:v>
      </x:c>
      <x:c r="N521" s="36" t="str">
        <x:f>FRAGEN_MASTER!Y521</x:f>
        <x:v>Der Konflikt betrifft Johannes Markus; Barnabas nimmt Markus mit, Paulus reist mit Silas.</x:v>
      </x:c>
      <x:c r="O521" s="36" t="str">
        <x:f>FRAGEN_MASTER!AG521</x:f>
        <x:v>FREIGEGEBEN</x:v>
      </x:c>
      <x:c r="P521" s="36" t="str">
        <x:f>FRAGEN_MASTER!AI521</x:f>
        <x:v>FREIGEGEBEN</x:v>
      </x:c>
      <x:c r="Q521" s="36" t="str">
        <x:f>FRAGEN_MASTER!AL521</x:f>
        <x:v>JA</x:v>
      </x:c>
    </x:row>
    <x:row r="522">
      <x:c r="A522" s="36" t="str">
        <x:f>FRAGEN_MASTER!A522</x:f>
        <x:v>FP-0781</x:v>
      </x:c>
      <x:c r="B522" s="36" t="str">
        <x:f>FRAGEN_MASTER!B522</x:f>
        <x:v>ACT</x:v>
      </x:c>
      <x:c r="C522" s="36" t="str">
        <x:f>FRAGEN_MASTER!C522</x:f>
        <x:v>Apostelgeschichte</x:v>
      </x:c>
      <x:c r="D522" s="36" t="n">
        <x:f>FRAGEN_MASTER!D522</x:f>
        <x:v>16</x:v>
      </x:c>
      <x:c r="E522" s="36" t="n">
        <x:f>FRAGEN_MASTER!E522</x:f>
        <x:v>1</x:v>
      </x:c>
      <x:c r="F522" s="36" t="str">
        <x:f>FRAGEN_MASTER!Q522</x:f>
        <x:v>Wer schließt sich Paulus in Lystra als Mitarbeiter an?</x:v>
      </x:c>
      <x:c r="G522" s="36" t="str">
        <x:f>FRAGEN_MASTER!R522</x:f>
        <x:v>Apollos.</x:v>
      </x:c>
      <x:c r="H522" s="36" t="str">
        <x:f>FRAGEN_MASTER!S522</x:f>
        <x:v>Titus.</x:v>
      </x:c>
      <x:c r="I522" s="36" t="str">
        <x:f>FRAGEN_MASTER!T522</x:f>
        <x:v>Timotheus.</x:v>
      </x:c>
      <x:c r="J522" s="36" t="str">
        <x:f>FRAGEN_MASTER!U522</x:f>
        <x:v>Kornelius.</x:v>
      </x:c>
      <x:c r="K522" s="36" t="n">
        <x:f>FRAGEN_MASTER!V522</x:f>
        <x:v>2</x:v>
      </x:c>
      <x:c r="L522" s="36" t="str">
        <x:f>FRAGEN_MASTER!W522</x:f>
        <x:v>Timotheus.</x:v>
      </x:c>
      <x:c r="M522" s="36" t="str">
        <x:f>FRAGEN_MASTER!X522</x:f>
        <x:v>Apostelgeschichte 16,1–5</x:v>
      </x:c>
      <x:c r="N522" s="36" t="str">
        <x:f>FRAGEN_MASTER!Y522</x:f>
        <x:v>Timotheus, Sohn einer gläubigen jüdischen Mutter und eines griechischen Vaters, schließt sich Paulus an.</x:v>
      </x:c>
      <x:c r="O522" s="36" t="str">
        <x:f>FRAGEN_MASTER!AG522</x:f>
        <x:v>FREIGEGEBEN</x:v>
      </x:c>
      <x:c r="P522" s="36" t="str">
        <x:f>FRAGEN_MASTER!AI522</x:f>
        <x:v>FREIGEGEBEN</x:v>
      </x:c>
      <x:c r="Q522" s="36" t="str">
        <x:f>FRAGEN_MASTER!AL522</x:f>
        <x:v>JA</x:v>
      </x:c>
    </x:row>
    <x:row r="523">
      <x:c r="A523" s="36" t="str">
        <x:f>FRAGEN_MASTER!A523</x:f>
        <x:v>FP-0782</x:v>
      </x:c>
      <x:c r="B523" s="36" t="str">
        <x:f>FRAGEN_MASTER!B523</x:f>
        <x:v>ACT</x:v>
      </x:c>
      <x:c r="C523" s="36" t="str">
        <x:f>FRAGEN_MASTER!C523</x:f>
        <x:v>Apostelgeschichte</x:v>
      </x:c>
      <x:c r="D523" s="36" t="n">
        <x:f>FRAGEN_MASTER!D523</x:f>
        <x:v>16</x:v>
      </x:c>
      <x:c r="E523" s="36" t="n">
        <x:f>FRAGEN_MASTER!E523</x:f>
        <x:v>2</x:v>
      </x:c>
      <x:c r="F523" s="36" t="str">
        <x:f>FRAGEN_MASTER!Q523</x:f>
        <x:v>Was veranlasst Paulus und seine Begleiter, nach Mazedonien zu reisen?</x:v>
      </x:c>
      <x:c r="G523" s="36" t="str">
        <x:f>FRAGEN_MASTER!R523</x:f>
        <x:v>Ein Brief von Petrus.</x:v>
      </x:c>
      <x:c r="H523" s="36" t="str">
        <x:f>FRAGEN_MASTER!S523</x:f>
        <x:v>Eine Anordnung des Kaisers.</x:v>
      </x:c>
      <x:c r="I523" s="36" t="str">
        <x:f>FRAGEN_MASTER!T523</x:f>
        <x:v>Eine Hungersnot in Philippi.</x:v>
      </x:c>
      <x:c r="J523" s="36" t="str">
        <x:f>FRAGEN_MASTER!U523</x:f>
        <x:v>Eine nächtliche Vision, in der ein Mann aus Mazedonien um Hilfe bittet.</x:v>
      </x:c>
      <x:c r="K523" s="36" t="n">
        <x:f>FRAGEN_MASTER!V523</x:f>
        <x:v>3</x:v>
      </x:c>
      <x:c r="L523" s="36" t="str">
        <x:f>FRAGEN_MASTER!W523</x:f>
        <x:v>Eine nächtliche Vision, in der ein Mann aus Mazedonien um Hilfe bittet.</x:v>
      </x:c>
      <x:c r="M523" s="36" t="str">
        <x:f>FRAGEN_MASTER!X523</x:f>
        <x:v>Apostelgeschichte 16,6–10</x:v>
      </x:c>
      <x:c r="N523" s="36" t="str">
        <x:f>FRAGEN_MASTER!Y523</x:f>
        <x:v>Nach der Vision verstehen sie, dass Gott sie zur Verkündigung nach Mazedonien ruft.</x:v>
      </x:c>
      <x:c r="O523" s="36" t="str">
        <x:f>FRAGEN_MASTER!AG523</x:f>
        <x:v>FREIGEGEBEN</x:v>
      </x:c>
      <x:c r="P523" s="36" t="str">
        <x:f>FRAGEN_MASTER!AI523</x:f>
        <x:v>FREIGEGEBEN</x:v>
      </x:c>
      <x:c r="Q523" s="36" t="str">
        <x:f>FRAGEN_MASTER!AL523</x:f>
        <x:v>JA</x:v>
      </x:c>
    </x:row>
    <x:row r="524">
      <x:c r="A524" s="36" t="str">
        <x:f>FRAGEN_MASTER!A524</x:f>
        <x:v>FP-0783</x:v>
      </x:c>
      <x:c r="B524" s="36" t="str">
        <x:f>FRAGEN_MASTER!B524</x:f>
        <x:v>ACT</x:v>
      </x:c>
      <x:c r="C524" s="36" t="str">
        <x:f>FRAGEN_MASTER!C524</x:f>
        <x:v>Apostelgeschichte</x:v>
      </x:c>
      <x:c r="D524" s="36" t="n">
        <x:f>FRAGEN_MASTER!D524</x:f>
        <x:v>16</x:v>
      </x:c>
      <x:c r="E524" s="36" t="n">
        <x:f>FRAGEN_MASTER!E524</x:f>
        <x:v>3</x:v>
      </x:c>
      <x:c r="F524" s="36" t="str">
        <x:f>FRAGEN_MASTER!Q524</x:f>
        <x:v>Wie kommt Lydia zum Glauben?</x:v>
      </x:c>
      <x:c r="G524" s="36" t="str">
        <x:f>FRAGEN_MASTER!R524</x:f>
        <x:v>Der Herr öffnet ihr Herz, sodass sie auf Paulus' Botschaft achtet; sie und ihr Haus werden getauft.</x:v>
      </x:c>
      <x:c r="H524" s="36" t="str">
        <x:f>FRAGEN_MASTER!S524</x:f>
        <x:v>Sie sieht zuerst ein Wunder im Tempel.</x:v>
      </x:c>
      <x:c r="I524" s="36" t="str">
        <x:f>FRAGEN_MASTER!T524</x:f>
        <x:v>Sie wird von einem Engel nach Jerusalem geschickt.</x:v>
      </x:c>
      <x:c r="J524" s="36" t="str">
        <x:f>FRAGEN_MASTER!U524</x:f>
        <x:v>Sie wird durch einen römischen Richter überzeugt.</x:v>
      </x:c>
      <x:c r="K524" s="36" t="n">
        <x:f>FRAGEN_MASTER!V524</x:f>
        <x:v>0</x:v>
      </x:c>
      <x:c r="L524" s="36" t="str">
        <x:f>FRAGEN_MASTER!W524</x:f>
        <x:v>Der Herr öffnet ihr Herz, sodass sie auf Paulus' Botschaft achtet; sie und ihr Haus werden getauft.</x:v>
      </x:c>
      <x:c r="M524" s="36" t="str">
        <x:f>FRAGEN_MASTER!X524</x:f>
        <x:v>Apostelgeschichte 16,11–15</x:v>
      </x:c>
      <x:c r="N524" s="36" t="str">
        <x:f>FRAGEN_MASTER!Y524</x:f>
        <x:v>Lydia hört Paulus zu; Lukas schreibt, dass der Herr ihr Herz öffnet, und anschließend wird ihr Haus getauft.</x:v>
      </x:c>
      <x:c r="O524" s="36" t="str">
        <x:f>FRAGEN_MASTER!AG524</x:f>
        <x:v>FREIGEGEBEN</x:v>
      </x:c>
      <x:c r="P524" s="36" t="str">
        <x:f>FRAGEN_MASTER!AI524</x:f>
        <x:v>FREIGEGEBEN</x:v>
      </x:c>
      <x:c r="Q524" s="36" t="str">
        <x:f>FRAGEN_MASTER!AL524</x:f>
        <x:v>JA</x:v>
      </x:c>
    </x:row>
    <x:row r="525">
      <x:c r="A525" s="36" t="str">
        <x:f>FRAGEN_MASTER!A525</x:f>
        <x:v>FP-0784</x:v>
      </x:c>
      <x:c r="B525" s="36" t="str">
        <x:f>FRAGEN_MASTER!B525</x:f>
        <x:v>ACT</x:v>
      </x:c>
      <x:c r="C525" s="36" t="str">
        <x:f>FRAGEN_MASTER!C525</x:f>
        <x:v>Apostelgeschichte</x:v>
      </x:c>
      <x:c r="D525" s="36" t="n">
        <x:f>FRAGEN_MASTER!D525</x:f>
        <x:v>16</x:v>
      </x:c>
      <x:c r="E525" s="36" t="n">
        <x:f>FRAGEN_MASTER!E525</x:f>
        <x:v>4</x:v>
      </x:c>
      <x:c r="F525" s="36" t="str">
        <x:f>FRAGEN_MASTER!Q525</x:f>
        <x:v>Was führt im Gefängnis von Philippi zur Frage des Gefängniswärters nach Rettung?</x:v>
      </x:c>
      <x:c r="G525" s="36" t="str">
        <x:f>FRAGEN_MASTER!R525</x:f>
        <x:v>Paulus besticht den Wärter.</x:v>
      </x:c>
      <x:c r="H525" s="36" t="str">
        <x:f>FRAGEN_MASTER!S525</x:f>
        <x:v>Ein Erdbeben öffnet Türen und Fesseln, doch Paulus und Silas fliehen nicht.</x:v>
      </x:c>
      <x:c r="I525" s="36" t="str">
        <x:f>FRAGEN_MASTER!T525</x:f>
        <x:v>Silas bricht die Mauer auf.</x:v>
      </x:c>
      <x:c r="J525" s="36" t="str">
        <x:f>FRAGEN_MASTER!U525</x:f>
        <x:v>Ein Engel trägt alle Gefangenen fort.</x:v>
      </x:c>
      <x:c r="K525" s="36" t="n">
        <x:f>FRAGEN_MASTER!V525</x:f>
        <x:v>1</x:v>
      </x:c>
      <x:c r="L525" s="36" t="str">
        <x:f>FRAGEN_MASTER!W525</x:f>
        <x:v>Ein Erdbeben öffnet Türen und Fesseln, doch Paulus und Silas fliehen nicht.</x:v>
      </x:c>
      <x:c r="M525" s="36" t="str">
        <x:f>FRAGEN_MASTER!X525</x:f>
        <x:v>Apostelgeschichte 16,22–34</x:v>
      </x:c>
      <x:c r="N525" s="36" t="str">
        <x:f>FRAGEN_MASTER!Y525</x:f>
        <x:v>Das Erdbeben schafft eine Fluchtmöglichkeit, aber die Gefangenen bleiben; daraus entwickelt sich das Gespräch über Glauben an den Herrn Jesus.</x:v>
      </x:c>
      <x:c r="O525" s="36" t="str">
        <x:f>FRAGEN_MASTER!AG525</x:f>
        <x:v>FREIGEGEBEN</x:v>
      </x:c>
      <x:c r="P525" s="36" t="str">
        <x:f>FRAGEN_MASTER!AI525</x:f>
        <x:v>FREIGEGEBEN</x:v>
      </x:c>
      <x:c r="Q525" s="36" t="str">
        <x:f>FRAGEN_MASTER!AL525</x:f>
        <x:v>JA</x:v>
      </x:c>
    </x:row>
    <x:row r="526">
      <x:c r="A526" s="36" t="str">
        <x:f>FRAGEN_MASTER!A526</x:f>
        <x:v>FP-0785</x:v>
      </x:c>
      <x:c r="B526" s="36" t="str">
        <x:f>FRAGEN_MASTER!B526</x:f>
        <x:v>ACT</x:v>
      </x:c>
      <x:c r="C526" s="36" t="str">
        <x:f>FRAGEN_MASTER!C526</x:f>
        <x:v>Apostelgeschichte</x:v>
      </x:c>
      <x:c r="D526" s="36" t="n">
        <x:f>FRAGEN_MASTER!D526</x:f>
        <x:v>16</x:v>
      </x:c>
      <x:c r="E526" s="36" t="n">
        <x:f>FRAGEN_MASTER!E526</x:f>
        <x:v>5</x:v>
      </x:c>
      <x:c r="F526" s="36" t="str">
        <x:f>FRAGEN_MASTER!Q526</x:f>
        <x:v>Warum müssen die Stadtbeamten Paulus und Silas schließlich persönlich aus dem Gefängnis geleiten?</x:v>
      </x:c>
      <x:c r="G526" s="36" t="str">
        <x:f>FRAGEN_MASTER!R526</x:f>
        <x:v>Weil Paulus zum Statthalter ernannt wurde.</x:v>
      </x:c>
      <x:c r="H526" s="36" t="str">
        <x:f>FRAGEN_MASTER!S526</x:f>
        <x:v>Weil der Kaiser einen Brief schickt.</x:v>
      </x:c>
      <x:c r="I526" s="36" t="str">
        <x:f>FRAGEN_MASTER!T526</x:f>
        <x:v>Weil sie römische Bürger ohne ordentliches Verfahren öffentlich geschlagen und eingesperrt haben.</x:v>
      </x:c>
      <x:c r="J526" s="36" t="str">
        <x:f>FRAGEN_MASTER!U526</x:f>
        <x:v>Weil Lydia es bezahlt.</x:v>
      </x:c>
      <x:c r="K526" s="36" t="n">
        <x:f>FRAGEN_MASTER!V526</x:f>
        <x:v>2</x:v>
      </x:c>
      <x:c r="L526" s="36" t="str">
        <x:f>FRAGEN_MASTER!W526</x:f>
        <x:v>Weil sie römische Bürger ohne ordentliches Verfahren öffentlich geschlagen und eingesperrt haben.</x:v>
      </x:c>
      <x:c r="M526" s="36" t="str">
        <x:f>FRAGEN_MASTER!X526</x:f>
        <x:v>Apostelgeschichte 16,35–40</x:v>
      </x:c>
      <x:c r="N526" s="36" t="str">
        <x:f>FRAGEN_MASTER!Y526</x:f>
        <x:v>Paulus beruft sich auf sein römisches Bürgerrecht und die Rechtsverletzung durch die Magistrate.</x:v>
      </x:c>
      <x:c r="O526" s="36" t="str">
        <x:f>FRAGEN_MASTER!AG526</x:f>
        <x:v>FREIGEGEBEN</x:v>
      </x:c>
      <x:c r="P526" s="36" t="str">
        <x:f>FRAGEN_MASTER!AI526</x:f>
        <x:v>FREIGEGEBEN</x:v>
      </x:c>
      <x:c r="Q526" s="36" t="str">
        <x:f>FRAGEN_MASTER!AL526</x:f>
        <x:v>JA</x:v>
      </x:c>
    </x:row>
    <x:row r="527">
      <x:c r="A527" s="36" t="str">
        <x:f>FRAGEN_MASTER!A527</x:f>
        <x:v>FP-0786</x:v>
      </x:c>
      <x:c r="B527" s="36" t="str">
        <x:f>FRAGEN_MASTER!B527</x:f>
        <x:v>ACT</x:v>
      </x:c>
      <x:c r="C527" s="36" t="str">
        <x:f>FRAGEN_MASTER!C527</x:f>
        <x:v>Apostelgeschichte</x:v>
      </x:c>
      <x:c r="D527" s="36" t="n">
        <x:f>FRAGEN_MASTER!D527</x:f>
        <x:v>17</x:v>
      </x:c>
      <x:c r="E527" s="36" t="n">
        <x:f>FRAGEN_MASTER!E527</x:f>
        <x:v>1</x:v>
      </x:c>
      <x:c r="F527" s="36" t="str">
        <x:f>FRAGEN_MASTER!Q527</x:f>
        <x:v>Was verkündet Paulus in Thessalonich aus den Schriften über den Christus?</x:v>
      </x:c>
      <x:c r="G527" s="36" t="str">
        <x:f>FRAGEN_MASTER!R527</x:f>
        <x:v>Dass der Christus niemals leiden könne.</x:v>
      </x:c>
      <x:c r="H527" s="36" t="str">
        <x:f>FRAGEN_MASTER!S527</x:f>
        <x:v>Dass David der endgültige Christus sei.</x:v>
      </x:c>
      <x:c r="I527" s="36" t="str">
        <x:f>FRAGEN_MASTER!T527</x:f>
        <x:v>Dass der Christus nur für Rom bestimmt sei.</x:v>
      </x:c>
      <x:c r="J527" s="36" t="str">
        <x:f>FRAGEN_MASTER!U527</x:f>
        <x:v>Dass der Christus leiden und von den Toten auferstehen musste und dass Jesus dieser Christus ist.</x:v>
      </x:c>
      <x:c r="K527" s="36" t="n">
        <x:f>FRAGEN_MASTER!V527</x:f>
        <x:v>3</x:v>
      </x:c>
      <x:c r="L527" s="36" t="str">
        <x:f>FRAGEN_MASTER!W527</x:f>
        <x:v>Dass der Christus leiden und von den Toten auferstehen musste und dass Jesus dieser Christus ist.</x:v>
      </x:c>
      <x:c r="M527" s="36" t="str">
        <x:f>FRAGEN_MASTER!X527</x:f>
        <x:v>Apostelgeschichte 17,1–9</x:v>
      </x:c>
      <x:c r="N527" s="36" t="str">
        <x:f>FRAGEN_MASTER!Y527</x:f>
        <x:v>Paulus argumentiert aus der Schrift über Leiden und Auferstehung des Christus und identifiziert Jesus mit ihm.</x:v>
      </x:c>
      <x:c r="O527" s="36" t="str">
        <x:f>FRAGEN_MASTER!AG527</x:f>
        <x:v>FREIGEGEBEN</x:v>
      </x:c>
      <x:c r="P527" s="36" t="str">
        <x:f>FRAGEN_MASTER!AI527</x:f>
        <x:v>FREIGEGEBEN</x:v>
      </x:c>
      <x:c r="Q527" s="36" t="str">
        <x:f>FRAGEN_MASTER!AL527</x:f>
        <x:v>JA</x:v>
      </x:c>
    </x:row>
    <x:row r="528">
      <x:c r="A528" s="36" t="str">
        <x:f>FRAGEN_MASTER!A528</x:f>
        <x:v>FP-0787</x:v>
      </x:c>
      <x:c r="B528" s="36" t="str">
        <x:f>FRAGEN_MASTER!B528</x:f>
        <x:v>ACT</x:v>
      </x:c>
      <x:c r="C528" s="36" t="str">
        <x:f>FRAGEN_MASTER!C528</x:f>
        <x:v>Apostelgeschichte</x:v>
      </x:c>
      <x:c r="D528" s="36" t="n">
        <x:f>FRAGEN_MASTER!D528</x:f>
        <x:v>17</x:v>
      </x:c>
      <x:c r="E528" s="36" t="n">
        <x:f>FRAGEN_MASTER!E528</x:f>
        <x:v>2</x:v>
      </x:c>
      <x:c r="F528" s="36" t="str">
        <x:f>FRAGEN_MASTER!Q528</x:f>
        <x:v>Warum werden die Menschen in Beröa besonders positiv beschrieben?</x:v>
      </x:c>
      <x:c r="G528" s="36" t="str">
        <x:f>FRAGEN_MASTER!R528</x:f>
        <x:v>Sie nehmen das Wort bereitwillig auf und prüfen täglich in den Schriften, ob es sich so verhält.</x:v>
      </x:c>
      <x:c r="H528" s="36" t="str">
        <x:f>FRAGEN_MASTER!S528</x:f>
        <x:v>Sie glauben alles ohne Prüfung.</x:v>
      </x:c>
      <x:c r="I528" s="36" t="str">
        <x:f>FRAGEN_MASTER!T528</x:f>
        <x:v>Sie lehnen jede Schriftlesung ab.</x:v>
      </x:c>
      <x:c r="J528" s="36" t="str">
        <x:f>FRAGEN_MASTER!U528</x:f>
        <x:v>Sie folgen nur der Meinung der Stadtführer.</x:v>
      </x:c>
      <x:c r="K528" s="36" t="n">
        <x:f>FRAGEN_MASTER!V528</x:f>
        <x:v>0</x:v>
      </x:c>
      <x:c r="L528" s="36" t="str">
        <x:f>FRAGEN_MASTER!W528</x:f>
        <x:v>Sie nehmen das Wort bereitwillig auf und prüfen täglich in den Schriften, ob es sich so verhält.</x:v>
      </x:c>
      <x:c r="M528" s="36" t="str">
        <x:f>FRAGEN_MASTER!X528</x:f>
        <x:v>Apostelgeschichte 17,10–12</x:v>
      </x:c>
      <x:c r="N528" s="36" t="str">
        <x:f>FRAGEN_MASTER!Y528</x:f>
        <x:v>Lukas hebt ihre Offenheit und zugleich sorgfältige Prüfung an der Schrift hervor.</x:v>
      </x:c>
      <x:c r="O528" s="36" t="str">
        <x:f>FRAGEN_MASTER!AG528</x:f>
        <x:v>FREIGEGEBEN</x:v>
      </x:c>
      <x:c r="P528" s="36" t="str">
        <x:f>FRAGEN_MASTER!AI528</x:f>
        <x:v>FREIGEGEBEN</x:v>
      </x:c>
      <x:c r="Q528" s="36" t="str">
        <x:f>FRAGEN_MASTER!AL528</x:f>
        <x:v>JA</x:v>
      </x:c>
    </x:row>
    <x:row r="529">
      <x:c r="A529" s="36" t="str">
        <x:f>FRAGEN_MASTER!A529</x:f>
        <x:v>FP-0788</x:v>
      </x:c>
      <x:c r="B529" s="36" t="str">
        <x:f>FRAGEN_MASTER!B529</x:f>
        <x:v>ACT</x:v>
      </x:c>
      <x:c r="C529" s="36" t="str">
        <x:f>FRAGEN_MASTER!C529</x:f>
        <x:v>Apostelgeschichte</x:v>
      </x:c>
      <x:c r="D529" s="36" t="n">
        <x:f>FRAGEN_MASTER!D529</x:f>
        <x:v>17</x:v>
      </x:c>
      <x:c r="E529" s="36" t="n">
        <x:f>FRAGEN_MASTER!E529</x:f>
        <x:v>3</x:v>
      </x:c>
      <x:c r="F529" s="36" t="str">
        <x:f>FRAGEN_MASTER!Q529</x:f>
        <x:v>Woran knüpft Paulus auf dem Areopag seine Rede an?</x:v>
      </x:c>
      <x:c r="G529" s="36" t="str">
        <x:f>FRAGEN_MASTER!R529</x:f>
        <x:v>An den Tempel in Jerusalem.</x:v>
      </x:c>
      <x:c r="H529" s="36" t="str">
        <x:f>FRAGEN_MASTER!S529</x:f>
        <x:v>An einen Altar mit der Aufschrift „Dem unbekannten Gott“.</x:v>
      </x:c>
      <x:c r="I529" s="36" t="str">
        <x:f>FRAGEN_MASTER!T529</x:f>
        <x:v>An einen römischen Siegesbogen.</x:v>
      </x:c>
      <x:c r="J529" s="36" t="str">
        <x:f>FRAGEN_MASTER!U529</x:f>
        <x:v>An eine Synagoge in Athen.</x:v>
      </x:c>
      <x:c r="K529" s="36" t="n">
        <x:f>FRAGEN_MASTER!V529</x:f>
        <x:v>1</x:v>
      </x:c>
      <x:c r="L529" s="36" t="str">
        <x:f>FRAGEN_MASTER!W529</x:f>
        <x:v>An einen Altar mit der Aufschrift „Dem unbekannten Gott“.</x:v>
      </x:c>
      <x:c r="M529" s="36" t="str">
        <x:f>FRAGEN_MASTER!X529</x:f>
        <x:v>Apostelgeschichte 17,16–23</x:v>
      </x:c>
      <x:c r="N529" s="36" t="str">
        <x:f>FRAGEN_MASTER!Y529</x:f>
        <x:v>Paulus greift ein Element der athenischen Religiosität auf, um vom ihnen unbekannten Gott zu sprechen.</x:v>
      </x:c>
      <x:c r="O529" s="36" t="str">
        <x:f>FRAGEN_MASTER!AG529</x:f>
        <x:v>FREIGEGEBEN</x:v>
      </x:c>
      <x:c r="P529" s="36" t="str">
        <x:f>FRAGEN_MASTER!AI529</x:f>
        <x:v>FREIGEGEBEN</x:v>
      </x:c>
      <x:c r="Q529" s="36" t="str">
        <x:f>FRAGEN_MASTER!AL529</x:f>
        <x:v>JA</x:v>
      </x:c>
    </x:row>
    <x:row r="530">
      <x:c r="A530" s="36" t="str">
        <x:f>FRAGEN_MASTER!A530</x:f>
        <x:v>FP-0789</x:v>
      </x:c>
      <x:c r="B530" s="36" t="str">
        <x:f>FRAGEN_MASTER!B530</x:f>
        <x:v>ACT</x:v>
      </x:c>
      <x:c r="C530" s="36" t="str">
        <x:f>FRAGEN_MASTER!C530</x:f>
        <x:v>Apostelgeschichte</x:v>
      </x:c>
      <x:c r="D530" s="36" t="n">
        <x:f>FRAGEN_MASTER!D530</x:f>
        <x:v>17</x:v>
      </x:c>
      <x:c r="E530" s="36" t="n">
        <x:f>FRAGEN_MASTER!E530</x:f>
        <x:v>4</x:v>
      </x:c>
      <x:c r="F530" s="36" t="str">
        <x:f>FRAGEN_MASTER!Q530</x:f>
        <x:v>Wie beschreibt Paulus Gott gegenüber den Athenern?</x:v>
      </x:c>
      <x:c r="G530" s="36" t="str">
        <x:f>FRAGEN_MASTER!R530</x:f>
        <x:v>Als lokale Gottheit Athens.</x:v>
      </x:c>
      <x:c r="H530" s="36" t="str">
        <x:f>FRAGEN_MASTER!S530</x:f>
        <x:v>Als einen Gott, der Menschenhände zum Überleben braucht.</x:v>
      </x:c>
      <x:c r="I530" s="36" t="str">
        <x:f>FRAGEN_MASTER!T530</x:f>
        <x:v>Als Schöpfer und Herrn von Himmel und Erde, der nicht in von Menschen gemachten Tempeln wohnt.</x:v>
      </x:c>
      <x:c r="J530" s="36" t="str">
        <x:f>FRAGEN_MASTER!U530</x:f>
        <x:v>Als unbekannte Kraft ohne Beziehung zur Welt.</x:v>
      </x:c>
      <x:c r="K530" s="36" t="n">
        <x:f>FRAGEN_MASTER!V530</x:f>
        <x:v>2</x:v>
      </x:c>
      <x:c r="L530" s="36" t="str">
        <x:f>FRAGEN_MASTER!W530</x:f>
        <x:v>Als Schöpfer und Herrn von Himmel und Erde, der nicht in von Menschen gemachten Tempeln wohnt.</x:v>
      </x:c>
      <x:c r="M530" s="36" t="str">
        <x:f>FRAGEN_MASTER!X530</x:f>
        <x:v>Apostelgeschichte 17,24–29</x:v>
      </x:c>
      <x:c r="N530" s="36" t="str">
        <x:f>FRAGEN_MASTER!Y530</x:f>
        <x:v>Paulus verkündet den Schöpfergott, der allem Leben gibt und nicht von menschlichen Tempeln oder Diensten abhängig ist.</x:v>
      </x:c>
      <x:c r="O530" s="36" t="str">
        <x:f>FRAGEN_MASTER!AG530</x:f>
        <x:v>FREIGEGEBEN</x:v>
      </x:c>
      <x:c r="P530" s="36" t="str">
        <x:f>FRAGEN_MASTER!AI530</x:f>
        <x:v>FREIGEGEBEN</x:v>
      </x:c>
      <x:c r="Q530" s="36" t="str">
        <x:f>FRAGEN_MASTER!AL530</x:f>
        <x:v>JA</x:v>
      </x:c>
    </x:row>
    <x:row r="531">
      <x:c r="A531" s="36" t="str">
        <x:f>FRAGEN_MASTER!A531</x:f>
        <x:v>FP-0790</x:v>
      </x:c>
      <x:c r="B531" s="36" t="str">
        <x:f>FRAGEN_MASTER!B531</x:f>
        <x:v>ACT</x:v>
      </x:c>
      <x:c r="C531" s="36" t="str">
        <x:f>FRAGEN_MASTER!C531</x:f>
        <x:v>Apostelgeschichte</x:v>
      </x:c>
      <x:c r="D531" s="36" t="n">
        <x:f>FRAGEN_MASTER!D531</x:f>
        <x:v>17</x:v>
      </x:c>
      <x:c r="E531" s="36" t="n">
        <x:f>FRAGEN_MASTER!E531</x:f>
        <x:v>5</x:v>
      </x:c>
      <x:c r="F531" s="36" t="str">
        <x:f>FRAGEN_MASTER!Q531</x:f>
        <x:v>Wie reagieren die Zuhörer, als Paulus von der Auferstehung der Toten spricht?</x:v>
      </x:c>
      <x:c r="G531" s="36" t="str">
        <x:f>FRAGEN_MASTER!R531</x:f>
        <x:v>Alle glauben sofort.</x:v>
      </x:c>
      <x:c r="H531" s="36" t="str">
        <x:f>FRAGEN_MASTER!S531</x:f>
        <x:v>Alle verlassen schweigend den Ort.</x:v>
      </x:c>
      <x:c r="I531" s="36" t="str">
        <x:f>FRAGEN_MASTER!T531</x:f>
        <x:v>Niemand reagiert.</x:v>
      </x:c>
      <x:c r="J531" s="36" t="str">
        <x:f>FRAGEN_MASTER!U531</x:f>
        <x:v>Einige spotten, andere wollen mehr hören, und einige kommen zum Glauben.</x:v>
      </x:c>
      <x:c r="K531" s="36" t="n">
        <x:f>FRAGEN_MASTER!V531</x:f>
        <x:v>3</x:v>
      </x:c>
      <x:c r="L531" s="36" t="str">
        <x:f>FRAGEN_MASTER!W531</x:f>
        <x:v>Einige spotten, andere wollen mehr hören, und einige kommen zum Glauben.</x:v>
      </x:c>
      <x:c r="M531" s="36" t="str">
        <x:f>FRAGEN_MASTER!X531</x:f>
        <x:v>Apostelgeschichte 17,30–34</x:v>
      </x:c>
      <x:c r="N531" s="36" t="str">
        <x:f>FRAGEN_MASTER!Y531</x:f>
        <x:v>Die Auferstehungsbotschaft führt zu unterschiedlichen Reaktionen, einschließlich Spott, Interesse und Glauben.</x:v>
      </x:c>
      <x:c r="O531" s="36" t="str">
        <x:f>FRAGEN_MASTER!AG531</x:f>
        <x:v>FREIGEGEBEN</x:v>
      </x:c>
      <x:c r="P531" s="36" t="str">
        <x:f>FRAGEN_MASTER!AI531</x:f>
        <x:v>FREIGEGEBEN</x:v>
      </x:c>
      <x:c r="Q531" s="36" t="str">
        <x:f>FRAGEN_MASTER!AL531</x:f>
        <x:v>JA</x:v>
      </x:c>
    </x:row>
    <x:row r="532">
      <x:c r="A532" s="36" t="str">
        <x:f>FRAGEN_MASTER!A532</x:f>
        <x:v>FP-0791</x:v>
      </x:c>
      <x:c r="B532" s="36" t="str">
        <x:f>FRAGEN_MASTER!B532</x:f>
        <x:v>ACT</x:v>
      </x:c>
      <x:c r="C532" s="36" t="str">
        <x:f>FRAGEN_MASTER!C532</x:f>
        <x:v>Apostelgeschichte</x:v>
      </x:c>
      <x:c r="D532" s="36" t="n">
        <x:f>FRAGEN_MASTER!D532</x:f>
        <x:v>18</x:v>
      </x:c>
      <x:c r="E532" s="36" t="n">
        <x:f>FRAGEN_MASTER!E532</x:f>
        <x:v>1</x:v>
      </x:c>
      <x:c r="F532" s="36" t="str">
        <x:f>FRAGEN_MASTER!Q532</x:f>
        <x:v>Bei welchem Ehepaar wohnt und arbeitet Paulus in Korinth?</x:v>
      </x:c>
      <x:c r="G532" s="36" t="str">
        <x:f>FRAGEN_MASTER!R532</x:f>
        <x:v>Aquila und Priscilla.</x:v>
      </x:c>
      <x:c r="H532" s="36" t="str">
        <x:f>FRAGEN_MASTER!S532</x:f>
        <x:v>Ananias und Saphira.</x:v>
      </x:c>
      <x:c r="I532" s="36" t="str">
        <x:f>FRAGEN_MASTER!T532</x:f>
        <x:v>Felix und Drusilla.</x:v>
      </x:c>
      <x:c r="J532" s="36" t="str">
        <x:f>FRAGEN_MASTER!U532</x:f>
        <x:v>Herodes und Bernice.</x:v>
      </x:c>
      <x:c r="K532" s="36" t="n">
        <x:f>FRAGEN_MASTER!V532</x:f>
        <x:v>0</x:v>
      </x:c>
      <x:c r="L532" s="36" t="str">
        <x:f>FRAGEN_MASTER!W532</x:f>
        <x:v>Aquila und Priscilla.</x:v>
      </x:c>
      <x:c r="M532" s="36" t="str">
        <x:f>FRAGEN_MASTER!X532</x:f>
        <x:v>Apostelgeschichte 18,1–4</x:v>
      </x:c>
      <x:c r="N532" s="36" t="str">
        <x:f>FRAGEN_MASTER!Y532</x:f>
        <x:v>Paulus findet bei Aquila und Priscilla Unterkunft und arbeitet mit ihnen, da sie dasselbe Handwerk ausüben.</x:v>
      </x:c>
      <x:c r="O532" s="36" t="str">
        <x:f>FRAGEN_MASTER!AG532</x:f>
        <x:v>FREIGEGEBEN</x:v>
      </x:c>
      <x:c r="P532" s="36" t="str">
        <x:f>FRAGEN_MASTER!AI532</x:f>
        <x:v>FREIGEGEBEN</x:v>
      </x:c>
      <x:c r="Q532" s="36" t="str">
        <x:f>FRAGEN_MASTER!AL532</x:f>
        <x:v>JA</x:v>
      </x:c>
    </x:row>
    <x:row r="533">
      <x:c r="A533" s="36" t="str">
        <x:f>FRAGEN_MASTER!A533</x:f>
        <x:v>FP-0792</x:v>
      </x:c>
      <x:c r="B533" s="36" t="str">
        <x:f>FRAGEN_MASTER!B533</x:f>
        <x:v>ACT</x:v>
      </x:c>
      <x:c r="C533" s="36" t="str">
        <x:f>FRAGEN_MASTER!C533</x:f>
        <x:v>Apostelgeschichte</x:v>
      </x:c>
      <x:c r="D533" s="36" t="n">
        <x:f>FRAGEN_MASTER!D533</x:f>
        <x:v>18</x:v>
      </x:c>
      <x:c r="E533" s="36" t="n">
        <x:f>FRAGEN_MASTER!E533</x:f>
        <x:v>2</x:v>
      </x:c>
      <x:c r="F533" s="36" t="str">
        <x:f>FRAGEN_MASTER!Q533</x:f>
        <x:v>Welche Ermutigung erhält Paulus in Korinth in einer nächtlichen Vision?</x:v>
      </x:c>
      <x:c r="G533" s="36" t="str">
        <x:f>FRAGEN_MASTER!R533</x:f>
        <x:v>Er soll Korinth sofort verlassen.</x:v>
      </x:c>
      <x:c r="H533" s="36" t="str">
        <x:f>FRAGEN_MASTER!S533</x:f>
        <x:v>Er soll sich nicht fürchten, sondern weiterreden, weil der Herr bei ihm ist.</x:v>
      </x:c>
      <x:c r="I533" s="36" t="str">
        <x:f>FRAGEN_MASTER!T533</x:f>
        <x:v>Er soll nur noch privat sprechen.</x:v>
      </x:c>
      <x:c r="J533" s="36" t="str">
        <x:f>FRAGEN_MASTER!U533</x:f>
        <x:v>Er soll nach Jerusalem zurückkehren.</x:v>
      </x:c>
      <x:c r="K533" s="36" t="n">
        <x:f>FRAGEN_MASTER!V533</x:f>
        <x:v>1</x:v>
      </x:c>
      <x:c r="L533" s="36" t="str">
        <x:f>FRAGEN_MASTER!W533</x:f>
        <x:v>Er soll sich nicht fürchten, sondern weiterreden, weil der Herr bei ihm ist.</x:v>
      </x:c>
      <x:c r="M533" s="36" t="str">
        <x:f>FRAGEN_MASTER!X533</x:f>
        <x:v>Apostelgeschichte 18,5–11</x:v>
      </x:c>
      <x:c r="N533" s="36" t="str">
        <x:f>FRAGEN_MASTER!Y533</x:f>
        <x:v>Der Herr ermutigt Paulus zum Weiterreden und versichert ihm seine Gegenwart.</x:v>
      </x:c>
      <x:c r="O533" s="36" t="str">
        <x:f>FRAGEN_MASTER!AG533</x:f>
        <x:v>FREIGEGEBEN</x:v>
      </x:c>
      <x:c r="P533" s="36" t="str">
        <x:f>FRAGEN_MASTER!AI533</x:f>
        <x:v>FREIGEGEBEN</x:v>
      </x:c>
      <x:c r="Q533" s="36" t="str">
        <x:f>FRAGEN_MASTER!AL533</x:f>
        <x:v>JA</x:v>
      </x:c>
    </x:row>
    <x:row r="534">
      <x:c r="A534" s="36" t="str">
        <x:f>FRAGEN_MASTER!A534</x:f>
        <x:v>FP-0793</x:v>
      </x:c>
      <x:c r="B534" s="36" t="str">
        <x:f>FRAGEN_MASTER!B534</x:f>
        <x:v>ACT</x:v>
      </x:c>
      <x:c r="C534" s="36" t="str">
        <x:f>FRAGEN_MASTER!C534</x:f>
        <x:v>Apostelgeschichte</x:v>
      </x:c>
      <x:c r="D534" s="36" t="n">
        <x:f>FRAGEN_MASTER!D534</x:f>
        <x:v>18</x:v>
      </x:c>
      <x:c r="E534" s="36" t="n">
        <x:f>FRAGEN_MASTER!E534</x:f>
        <x:v>3</x:v>
      </x:c>
      <x:c r="F534" s="36" t="str">
        <x:f>FRAGEN_MASTER!Q534</x:f>
        <x:v>Wie reagiert Gallio auf die Anklage der Juden gegen Paulus?</x:v>
      </x:c>
      <x:c r="G534" s="36" t="str">
        <x:f>FRAGEN_MASTER!R534</x:f>
        <x:v>Er verurteilt Paulus zum Tod.</x:v>
      </x:c>
      <x:c r="H534" s="36" t="str">
        <x:f>FRAGEN_MASTER!S534</x:f>
        <x:v>Er schickt Paulus nach Rom.</x:v>
      </x:c>
      <x:c r="I534" s="36" t="str">
        <x:f>FRAGEN_MASTER!T534</x:f>
        <x:v>Er weigert sich, über einen innerjüdischen Streit um Worte und Gesetz zu richten.</x:v>
      </x:c>
      <x:c r="J534" s="36" t="str">
        <x:f>FRAGEN_MASTER!U534</x:f>
        <x:v>Er verbietet jede Synagoge.</x:v>
      </x:c>
      <x:c r="K534" s="36" t="n">
        <x:f>FRAGEN_MASTER!V534</x:f>
        <x:v>2</x:v>
      </x:c>
      <x:c r="L534" s="36" t="str">
        <x:f>FRAGEN_MASTER!W534</x:f>
        <x:v>Er weigert sich, über einen innerjüdischen Streit um Worte und Gesetz zu richten.</x:v>
      </x:c>
      <x:c r="M534" s="36" t="str">
        <x:f>FRAGEN_MASTER!X534</x:f>
        <x:v>Apostelgeschichte 18,12–17</x:v>
      </x:c>
      <x:c r="N534" s="36" t="str">
        <x:f>FRAGEN_MASTER!Y534</x:f>
        <x:v>Gallio sieht keinen Fall von Unrecht oder Verbrechen und weist die religiöse Streitfrage zurück.</x:v>
      </x:c>
      <x:c r="O534" s="36" t="str">
        <x:f>FRAGEN_MASTER!AG534</x:f>
        <x:v>FREIGEGEBEN</x:v>
      </x:c>
      <x:c r="P534" s="36" t="str">
        <x:f>FRAGEN_MASTER!AI534</x:f>
        <x:v>FREIGEGEBEN</x:v>
      </x:c>
      <x:c r="Q534" s="36" t="str">
        <x:f>FRAGEN_MASTER!AL534</x:f>
        <x:v>JA</x:v>
      </x:c>
    </x:row>
    <x:row r="535">
      <x:c r="A535" s="36" t="str">
        <x:f>FRAGEN_MASTER!A535</x:f>
        <x:v>FP-0794</x:v>
      </x:c>
      <x:c r="B535" s="36" t="str">
        <x:f>FRAGEN_MASTER!B535</x:f>
        <x:v>ACT</x:v>
      </x:c>
      <x:c r="C535" s="36" t="str">
        <x:f>FRAGEN_MASTER!C535</x:f>
        <x:v>Apostelgeschichte</x:v>
      </x:c>
      <x:c r="D535" s="36" t="n">
        <x:f>FRAGEN_MASTER!D535</x:f>
        <x:v>18</x:v>
      </x:c>
      <x:c r="E535" s="36" t="n">
        <x:f>FRAGEN_MASTER!E535</x:f>
        <x:v>4</x:v>
      </x:c>
      <x:c r="F535" s="36" t="str">
        <x:f>FRAGEN_MASTER!Q535</x:f>
        <x:v>Was tut Paulus nach seiner längeren Zeit in Korinth?</x:v>
      </x:c>
      <x:c r="G535" s="36" t="str">
        <x:f>FRAGEN_MASTER!R535</x:f>
        <x:v>Er beendet dauerhaft seine Reisen.</x:v>
      </x:c>
      <x:c r="H535" s="36" t="str">
        <x:f>FRAGEN_MASTER!S535</x:f>
        <x:v>Er wird Statthalter von Achaia.</x:v>
      </x:c>
      <x:c r="I535" s="36" t="str">
        <x:f>FRAGEN_MASTER!T535</x:f>
        <x:v>Er zieht nach Alexandria.</x:v>
      </x:c>
      <x:c r="J535" s="36" t="str">
        <x:f>FRAGEN_MASTER!U535</x:f>
        <x:v>Er reist weiter, besucht unter anderem Ephesus und Antiochia und beginnt danach erneut Gemeinden zu stärken.</x:v>
      </x:c>
      <x:c r="K535" s="36" t="n">
        <x:f>FRAGEN_MASTER!V535</x:f>
        <x:v>3</x:v>
      </x:c>
      <x:c r="L535" s="36" t="str">
        <x:f>FRAGEN_MASTER!W535</x:f>
        <x:v>Er reist weiter, besucht unter anderem Ephesus und Antiochia und beginnt danach erneut Gemeinden zu stärken.</x:v>
      </x:c>
      <x:c r="M535" s="36" t="str">
        <x:f>FRAGEN_MASTER!X535</x:f>
        <x:v>Apostelgeschichte 18,18–23</x:v>
      </x:c>
      <x:c r="N535" s="36" t="str">
        <x:f>FRAGEN_MASTER!Y535</x:f>
        <x:v>Der Abschnitt beschreibt Paulus' Weiterreise und den Beginn einer neuen Runde der Stärkung von Jüngern.</x:v>
      </x:c>
      <x:c r="O535" s="36" t="str">
        <x:f>FRAGEN_MASTER!AG535</x:f>
        <x:v>FREIGEGEBEN</x:v>
      </x:c>
      <x:c r="P535" s="36" t="str">
        <x:f>FRAGEN_MASTER!AI535</x:f>
        <x:v>FREIGEGEBEN</x:v>
      </x:c>
      <x:c r="Q535" s="36" t="str">
        <x:f>FRAGEN_MASTER!AL535</x:f>
        <x:v>JA</x:v>
      </x:c>
    </x:row>
    <x:row r="536">
      <x:c r="A536" s="36" t="str">
        <x:f>FRAGEN_MASTER!A536</x:f>
        <x:v>FP-0795</x:v>
      </x:c>
      <x:c r="B536" s="36" t="str">
        <x:f>FRAGEN_MASTER!B536</x:f>
        <x:v>ACT</x:v>
      </x:c>
      <x:c r="C536" s="36" t="str">
        <x:f>FRAGEN_MASTER!C536</x:f>
        <x:v>Apostelgeschichte</x:v>
      </x:c>
      <x:c r="D536" s="36" t="n">
        <x:f>FRAGEN_MASTER!D536</x:f>
        <x:v>18</x:v>
      </x:c>
      <x:c r="E536" s="36" t="n">
        <x:f>FRAGEN_MASTER!E536</x:f>
        <x:v>5</x:v>
      </x:c>
      <x:c r="F536" s="36" t="str">
        <x:f>FRAGEN_MASTER!Q536</x:f>
        <x:v>Wie helfen Priscilla und Aquila dem redegewandten Apollos?</x:v>
      </x:c>
      <x:c r="G536" s="36" t="str">
        <x:f>FRAGEN_MASTER!R536</x:f>
        <x:v>Sie erklären ihm den Weg Gottes genauer, weil er nur die Taufe des Johannes kennt.</x:v>
      </x:c>
      <x:c r="H536" s="36" t="str">
        <x:f>FRAGEN_MASTER!S536</x:f>
        <x:v>Sie verbieten ihm zu predigen.</x:v>
      </x:c>
      <x:c r="I536" s="36" t="str">
        <x:f>FRAGEN_MASTER!T536</x:f>
        <x:v>Sie schicken ihn zu den Römern.</x:v>
      </x:c>
      <x:c r="J536" s="36" t="str">
        <x:f>FRAGEN_MASTER!U536</x:f>
        <x:v>Sie machen ihn zum Apostel.</x:v>
      </x:c>
      <x:c r="K536" s="36" t="n">
        <x:f>FRAGEN_MASTER!V536</x:f>
        <x:v>0</x:v>
      </x:c>
      <x:c r="L536" s="36" t="str">
        <x:f>FRAGEN_MASTER!W536</x:f>
        <x:v>Sie erklären ihm den Weg Gottes genauer, weil er nur die Taufe des Johannes kennt.</x:v>
      </x:c>
      <x:c r="M536" s="36" t="str">
        <x:f>FRAGEN_MASTER!X536</x:f>
        <x:v>Apostelgeschichte 18,24–28</x:v>
      </x:c>
      <x:c r="N536" s="36" t="str">
        <x:f>FRAGEN_MASTER!Y536</x:f>
        <x:v>Apollos kennt die Schrift und lehrt eifrig, braucht aber eine genauere Unterweisung, die Priscilla und Aquila ihm geben.</x:v>
      </x:c>
      <x:c r="O536" s="36" t="str">
        <x:f>FRAGEN_MASTER!AG536</x:f>
        <x:v>FREIGEGEBEN</x:v>
      </x:c>
      <x:c r="P536" s="36" t="str">
        <x:f>FRAGEN_MASTER!AI536</x:f>
        <x:v>FREIGEGEBEN</x:v>
      </x:c>
      <x:c r="Q536" s="36" t="str">
        <x:f>FRAGEN_MASTER!AL536</x:f>
        <x:v>JA</x:v>
      </x:c>
    </x:row>
    <x:row r="537">
      <x:c r="A537" s="36" t="str">
        <x:f>FRAGEN_MASTER!A537</x:f>
        <x:v>FP-0796</x:v>
      </x:c>
      <x:c r="B537" s="36" t="str">
        <x:f>FRAGEN_MASTER!B537</x:f>
        <x:v>ACT</x:v>
      </x:c>
      <x:c r="C537" s="36" t="str">
        <x:f>FRAGEN_MASTER!C537</x:f>
        <x:v>Apostelgeschichte</x:v>
      </x:c>
      <x:c r="D537" s="36" t="n">
        <x:f>FRAGEN_MASTER!D537</x:f>
        <x:v>19</x:v>
      </x:c>
      <x:c r="E537" s="36" t="n">
        <x:f>FRAGEN_MASTER!E537</x:f>
        <x:v>1</x:v>
      </x:c>
      <x:c r="F537" s="36" t="str">
        <x:f>FRAGEN_MASTER!Q537</x:f>
        <x:v>Was fehlt den Jüngern, die Paulus in Ephesus trifft?</x:v>
      </x:c>
      <x:c r="G537" s="36" t="str">
        <x:f>FRAGEN_MASTER!R537</x:f>
        <x:v>Sie kennen Mose nicht.</x:v>
      </x:c>
      <x:c r="H537" s="36" t="str">
        <x:f>FRAGEN_MASTER!S537</x:f>
        <x:v>Sie kennen zunächst nur die Taufe des Johannes und haben vom Heiligen Geist noch nichts gehört.</x:v>
      </x:c>
      <x:c r="I537" s="36" t="str">
        <x:f>FRAGEN_MASTER!T537</x:f>
        <x:v>Sie haben nie von Gott gehört.</x:v>
      </x:c>
      <x:c r="J537" s="36" t="str">
        <x:f>FRAGEN_MASTER!U537</x:f>
        <x:v>Sie sind bereits Apostel.</x:v>
      </x:c>
      <x:c r="K537" s="36" t="n">
        <x:f>FRAGEN_MASTER!V537</x:f>
        <x:v>1</x:v>
      </x:c>
      <x:c r="L537" s="36" t="str">
        <x:f>FRAGEN_MASTER!W537</x:f>
        <x:v>Sie kennen zunächst nur die Taufe des Johannes und haben vom Heiligen Geist noch nichts gehört.</x:v>
      </x:c>
      <x:c r="M537" s="36" t="str">
        <x:f>FRAGEN_MASTER!X537</x:f>
        <x:v>Apostelgeschichte 19,1–7</x:v>
      </x:c>
      <x:c r="N537" s="36" t="str">
        <x:f>FRAGEN_MASTER!Y537</x:f>
        <x:v>Paulus erklärt ihnen Jesus; nach der Taufe und Handauflegung empfangen sie den Heiligen Geist.</x:v>
      </x:c>
      <x:c r="O537" s="36" t="str">
        <x:f>FRAGEN_MASTER!AG537</x:f>
        <x:v>FREIGEGEBEN</x:v>
      </x:c>
      <x:c r="P537" s="36" t="str">
        <x:f>FRAGEN_MASTER!AI537</x:f>
        <x:v>FREIGEGEBEN</x:v>
      </x:c>
      <x:c r="Q537" s="36" t="str">
        <x:f>FRAGEN_MASTER!AL537</x:f>
        <x:v>JA</x:v>
      </x:c>
    </x:row>
    <x:row r="538">
      <x:c r="A538" s="36" t="str">
        <x:f>FRAGEN_MASTER!A538</x:f>
        <x:v>FP-0797</x:v>
      </x:c>
      <x:c r="B538" s="36" t="str">
        <x:f>FRAGEN_MASTER!B538</x:f>
        <x:v>ACT</x:v>
      </x:c>
      <x:c r="C538" s="36" t="str">
        <x:f>FRAGEN_MASTER!C538</x:f>
        <x:v>Apostelgeschichte</x:v>
      </x:c>
      <x:c r="D538" s="36" t="n">
        <x:f>FRAGEN_MASTER!D538</x:f>
        <x:v>19</x:v>
      </x:c>
      <x:c r="E538" s="36" t="n">
        <x:f>FRAGEN_MASTER!E538</x:f>
        <x:v>2</x:v>
      </x:c>
      <x:c r="F538" s="36" t="str">
        <x:f>FRAGEN_MASTER!Q538</x:f>
        <x:v>Wie setzt Paulus seinen Lehrdienst fort, nachdem einige in der Synagoge verhärtet reagieren?</x:v>
      </x:c>
      <x:c r="G538" s="36" t="str">
        <x:f>FRAGEN_MASTER!R538</x:f>
        <x:v>Er beendet die Verkündigung in Ephesus.</x:v>
      </x:c>
      <x:c r="H538" s="36" t="str">
        <x:f>FRAGEN_MASTER!S538</x:f>
        <x:v>Er zieht sofort nach Rom.</x:v>
      </x:c>
      <x:c r="I538" s="36" t="str">
        <x:f>FRAGEN_MASTER!T538</x:f>
        <x:v>Er trennt die Jünger ab und lehrt täglich in der Schule des Tyrannus.</x:v>
      </x:c>
      <x:c r="J538" s="36" t="str">
        <x:f>FRAGEN_MASTER!U538</x:f>
        <x:v>Er unterrichtet nur noch die Stadtbeamten.</x:v>
      </x:c>
      <x:c r="K538" s="36" t="n">
        <x:f>FRAGEN_MASTER!V538</x:f>
        <x:v>2</x:v>
      </x:c>
      <x:c r="L538" s="36" t="str">
        <x:f>FRAGEN_MASTER!W538</x:f>
        <x:v>Er trennt die Jünger ab und lehrt täglich in der Schule des Tyrannus.</x:v>
      </x:c>
      <x:c r="M538" s="36" t="str">
        <x:f>FRAGEN_MASTER!X538</x:f>
        <x:v>Apostelgeschichte 19,8–10</x:v>
      </x:c>
      <x:c r="N538" s="36" t="str">
        <x:f>FRAGEN_MASTER!Y538</x:f>
        <x:v>Paulus verlagert den Lehrort und wirkt dort zwei Jahre, sodass viele in der Provinz das Wort hören.</x:v>
      </x:c>
      <x:c r="O538" s="36" t="str">
        <x:f>FRAGEN_MASTER!AG538</x:f>
        <x:v>FREIGEGEBEN</x:v>
      </x:c>
      <x:c r="P538" s="36" t="str">
        <x:f>FRAGEN_MASTER!AI538</x:f>
        <x:v>FREIGEGEBEN</x:v>
      </x:c>
      <x:c r="Q538" s="36" t="str">
        <x:f>FRAGEN_MASTER!AL538</x:f>
        <x:v>JA</x:v>
      </x:c>
    </x:row>
    <x:row r="539">
      <x:c r="A539" s="36" t="str">
        <x:f>FRAGEN_MASTER!A539</x:f>
        <x:v>FP-0798</x:v>
      </x:c>
      <x:c r="B539" s="36" t="str">
        <x:f>FRAGEN_MASTER!B539</x:f>
        <x:v>ACT</x:v>
      </x:c>
      <x:c r="C539" s="36" t="str">
        <x:f>FRAGEN_MASTER!C539</x:f>
        <x:v>Apostelgeschichte</x:v>
      </x:c>
      <x:c r="D539" s="36" t="n">
        <x:f>FRAGEN_MASTER!D539</x:f>
        <x:v>19</x:v>
      </x:c>
      <x:c r="E539" s="36" t="n">
        <x:f>FRAGEN_MASTER!E539</x:f>
        <x:v>3</x:v>
      </x:c>
      <x:c r="F539" s="36" t="str">
        <x:f>FRAGEN_MASTER!Q539</x:f>
        <x:v>Was zeigt die Geschichte der Söhne des Skevas über den Namen Jesu?</x:v>
      </x:c>
      <x:c r="G539" s="36" t="str">
        <x:f>FRAGEN_MASTER!R539</x:f>
        <x:v>Jeder kann den Namen wie einen Zauberspruch einsetzen.</x:v>
      </x:c>
      <x:c r="H539" s="36" t="str">
        <x:f>FRAGEN_MASTER!S539</x:f>
        <x:v>Nur jüdische Exorzisten dürfen ihn nennen.</x:v>
      </x:c>
      <x:c r="I539" s="36" t="str">
        <x:f>FRAGEN_MASTER!T539</x:f>
        <x:v>Der Name Jesu spielt im geistlichen Kampf keine Rolle.</x:v>
      </x:c>
      <x:c r="J539" s="36" t="str">
        <x:f>FRAGEN_MASTER!U539</x:f>
        <x:v>Der Name Jesu ist keine magische Formel, die man ohne Beziehung und Vollmacht benutzen kann.</x:v>
      </x:c>
      <x:c r="K539" s="36" t="n">
        <x:f>FRAGEN_MASTER!V539</x:f>
        <x:v>3</x:v>
      </x:c>
      <x:c r="L539" s="36" t="str">
        <x:f>FRAGEN_MASTER!W539</x:f>
        <x:v>Der Name Jesu ist keine magische Formel, die man ohne Beziehung und Vollmacht benutzen kann.</x:v>
      </x:c>
      <x:c r="M539" s="36" t="str">
        <x:f>FRAGEN_MASTER!X539</x:f>
        <x:v>Apostelgeschichte 19,11–20</x:v>
      </x:c>
      <x:c r="N539" s="36" t="str">
        <x:f>FRAGEN_MASTER!Y539</x:f>
        <x:v>Der misslungene Versuch der Söhne des Skevas führt zu Ehrfurcht vor Jesu Namen; viele trennen sich öffentlich von magischen Praktiken.</x:v>
      </x:c>
      <x:c r="O539" s="36" t="str">
        <x:f>FRAGEN_MASTER!AG539</x:f>
        <x:v>FREIGEGEBEN</x:v>
      </x:c>
      <x:c r="P539" s="36" t="str">
        <x:f>FRAGEN_MASTER!AI539</x:f>
        <x:v>FREIGEGEBEN</x:v>
      </x:c>
      <x:c r="Q539" s="36" t="str">
        <x:f>FRAGEN_MASTER!AL539</x:f>
        <x:v>JA</x:v>
      </x:c>
    </x:row>
    <x:row r="540">
      <x:c r="A540" s="36" t="str">
        <x:f>FRAGEN_MASTER!A540</x:f>
        <x:v>FP-0799</x:v>
      </x:c>
      <x:c r="B540" s="36" t="str">
        <x:f>FRAGEN_MASTER!B540</x:f>
        <x:v>ACT</x:v>
      </x:c>
      <x:c r="C540" s="36" t="str">
        <x:f>FRAGEN_MASTER!C540</x:f>
        <x:v>Apostelgeschichte</x:v>
      </x:c>
      <x:c r="D540" s="36" t="n">
        <x:f>FRAGEN_MASTER!D540</x:f>
        <x:v>19</x:v>
      </x:c>
      <x:c r="E540" s="36" t="n">
        <x:f>FRAGEN_MASTER!E540</x:f>
        <x:v>4</x:v>
      </x:c>
      <x:c r="F540" s="36" t="str">
        <x:f>FRAGEN_MASTER!Q540</x:f>
        <x:v>Warum fürchtet der Silberschmied Demetrius die Ausbreitung der christlichen Botschaft?</x:v>
      </x:c>
      <x:c r="G540" s="36" t="str">
        <x:f>FRAGEN_MASTER!R540</x:f>
        <x:v>Sie gefährdet das Geschäft mit Artemis-Heiligtümern und das Ansehen des Kultes.</x:v>
      </x:c>
      <x:c r="H540" s="36" t="str">
        <x:f>FRAGEN_MASTER!S540</x:f>
        <x:v>Paulus will seine Werkstatt kaufen.</x:v>
      </x:c>
      <x:c r="I540" s="36" t="str">
        <x:f>FRAGEN_MASTER!T540</x:f>
        <x:v>Die Christen verbieten jeden Handel.</x:v>
      </x:c>
      <x:c r="J540" s="36" t="str">
        <x:f>FRAGEN_MASTER!U540</x:f>
        <x:v>Der Kaiser hat den Artemis-Kult schon abgeschafft.</x:v>
      </x:c>
      <x:c r="K540" s="36" t="n">
        <x:f>FRAGEN_MASTER!V540</x:f>
        <x:v>0</x:v>
      </x:c>
      <x:c r="L540" s="36" t="str">
        <x:f>FRAGEN_MASTER!W540</x:f>
        <x:v>Sie gefährdet das Geschäft mit Artemis-Heiligtümern und das Ansehen des Kultes.</x:v>
      </x:c>
      <x:c r="M540" s="36" t="str">
        <x:f>FRAGEN_MASTER!X540</x:f>
        <x:v>Apostelgeschichte 19,23–27</x:v>
      </x:c>
      <x:c r="N540" s="36" t="str">
        <x:f>FRAGEN_MASTER!Y540</x:f>
        <x:v>Demetrius verbindet wirtschaftliche Interessen und religiöses Prestige und mobilisiert deshalb Widerstand.</x:v>
      </x:c>
      <x:c r="O540" s="36" t="str">
        <x:f>FRAGEN_MASTER!AG540</x:f>
        <x:v>FREIGEGEBEN</x:v>
      </x:c>
      <x:c r="P540" s="36" t="str">
        <x:f>FRAGEN_MASTER!AI540</x:f>
        <x:v>FREIGEGEBEN</x:v>
      </x:c>
      <x:c r="Q540" s="36" t="str">
        <x:f>FRAGEN_MASTER!AL540</x:f>
        <x:v>JA</x:v>
      </x:c>
    </x:row>
    <x:row r="541">
      <x:c r="A541" s="36" t="str">
        <x:f>FRAGEN_MASTER!A541</x:f>
        <x:v>FP-0800</x:v>
      </x:c>
      <x:c r="B541" s="36" t="str">
        <x:f>FRAGEN_MASTER!B541</x:f>
        <x:v>ACT</x:v>
      </x:c>
      <x:c r="C541" s="36" t="str">
        <x:f>FRAGEN_MASTER!C541</x:f>
        <x:v>Apostelgeschichte</x:v>
      </x:c>
      <x:c r="D541" s="36" t="n">
        <x:f>FRAGEN_MASTER!D541</x:f>
        <x:v>19</x:v>
      </x:c>
      <x:c r="E541" s="36" t="n">
        <x:f>FRAGEN_MASTER!E541</x:f>
        <x:v>5</x:v>
      </x:c>
      <x:c r="F541" s="36" t="str">
        <x:f>FRAGEN_MASTER!Q541</x:f>
        <x:v>Wie endet der Aufruhr im Theater von Ephesus?</x:v>
      </x:c>
      <x:c r="G541" s="36" t="str">
        <x:f>FRAGEN_MASTER!R541</x:f>
        <x:v>Paulus übernimmt das Theater.</x:v>
      </x:c>
      <x:c r="H541" s="36" t="str">
        <x:f>FRAGEN_MASTER!S541</x:f>
        <x:v>Der Stadtschreiber beruhigt die Menge und verweist auf die rechtlichen Wege für Beschwerden.</x:v>
      </x:c>
      <x:c r="I541" s="36" t="str">
        <x:f>FRAGEN_MASTER!T541</x:f>
        <x:v>Die Menge verhaftet alle Christen.</x:v>
      </x:c>
      <x:c r="J541" s="36" t="str">
        <x:f>FRAGEN_MASTER!U541</x:f>
        <x:v>Der Tempel der Artemis wird zerstört.</x:v>
      </x:c>
      <x:c r="K541" s="36" t="n">
        <x:f>FRAGEN_MASTER!V541</x:f>
        <x:v>1</x:v>
      </x:c>
      <x:c r="L541" s="36" t="str">
        <x:f>FRAGEN_MASTER!W541</x:f>
        <x:v>Der Stadtschreiber beruhigt die Menge und verweist auf die rechtlichen Wege für Beschwerden.</x:v>
      </x:c>
      <x:c r="M541" s="36" t="str">
        <x:f>FRAGEN_MASTER!X541</x:f>
        <x:v>Apostelgeschichte 19,28–41</x:v>
      </x:c>
      <x:c r="N541" s="36" t="str">
        <x:f>FRAGEN_MASTER!Y541</x:f>
        <x:v>Der Stadtschreiber warnt vor einer Anklage wegen Aufruhrs und löst die Versammlung auf.</x:v>
      </x:c>
      <x:c r="O541" s="36" t="str">
        <x:f>FRAGEN_MASTER!AG541</x:f>
        <x:v>FREIGEGEBEN</x:v>
      </x:c>
      <x:c r="P541" s="36" t="str">
        <x:f>FRAGEN_MASTER!AI541</x:f>
        <x:v>FREIGEGEBEN</x:v>
      </x:c>
      <x:c r="Q541" s="36" t="str">
        <x:f>FRAGEN_MASTER!AL541</x:f>
        <x:v>JA</x:v>
      </x:c>
    </x:row>
    <x:row r="542">
      <x:c r="A542" s="36" t="str">
        <x:f>FRAGEN_MASTER!A542</x:f>
        <x:v>FP-0801</x:v>
      </x:c>
      <x:c r="B542" s="36" t="str">
        <x:f>FRAGEN_MASTER!B542</x:f>
        <x:v>ACT</x:v>
      </x:c>
      <x:c r="C542" s="36" t="str">
        <x:f>FRAGEN_MASTER!C542</x:f>
        <x:v>Apostelgeschichte</x:v>
      </x:c>
      <x:c r="D542" s="36" t="n">
        <x:f>FRAGEN_MASTER!D542</x:f>
        <x:v>20</x:v>
      </x:c>
      <x:c r="E542" s="36" t="n">
        <x:f>FRAGEN_MASTER!E542</x:f>
        <x:v>1</x:v>
      </x:c>
      <x:c r="F542" s="36" t="str">
        <x:f>FRAGEN_MASTER!Q542</x:f>
        <x:v>Was geschieht mit Eutychus während der langen Rede des Paulus in Troas?</x:v>
      </x:c>
      <x:c r="G542" s="36" t="str">
        <x:f>FRAGEN_MASTER!R542</x:f>
        <x:v>Er verlässt die Gemeinde und kehrt nie zurück.</x:v>
      </x:c>
      <x:c r="H542" s="36" t="str">
        <x:f>FRAGEN_MASTER!S542</x:f>
        <x:v>Er wird von Soldaten verhaftet.</x:v>
      </x:c>
      <x:c r="I542" s="36" t="str">
        <x:f>FRAGEN_MASTER!T542</x:f>
        <x:v>Er fällt aus dem dritten Stock, wird für tot aufgehoben und ist danach wieder lebendig.</x:v>
      </x:c>
      <x:c r="J542" s="36" t="str">
        <x:f>FRAGEN_MASTER!U542</x:f>
        <x:v>Er schläft ein, bleibt aber unverletzt im Fenster.</x:v>
      </x:c>
      <x:c r="K542" s="36" t="n">
        <x:f>FRAGEN_MASTER!V542</x:f>
        <x:v>2</x:v>
      </x:c>
      <x:c r="L542" s="36" t="str">
        <x:f>FRAGEN_MASTER!W542</x:f>
        <x:v>Er fällt aus dem dritten Stock, wird für tot aufgehoben und ist danach wieder lebendig.</x:v>
      </x:c>
      <x:c r="M542" s="36" t="str">
        <x:f>FRAGEN_MASTER!X542</x:f>
        <x:v>Apostelgeschichte 20,7–12</x:v>
      </x:c>
      <x:c r="N542" s="36" t="str">
        <x:f>FRAGEN_MASTER!Y542</x:f>
        <x:v>Eutychus stürzt aus dem Fenster; Paulus geht zu ihm, und am Ende wird der Junge lebend zurückgebracht.</x:v>
      </x:c>
      <x:c r="O542" s="36" t="str">
        <x:f>FRAGEN_MASTER!AG542</x:f>
        <x:v>FREIGEGEBEN</x:v>
      </x:c>
      <x:c r="P542" s="36" t="str">
        <x:f>FRAGEN_MASTER!AI542</x:f>
        <x:v>FREIGEGEBEN</x:v>
      </x:c>
      <x:c r="Q542" s="36" t="str">
        <x:f>FRAGEN_MASTER!AL542</x:f>
        <x:v>JA</x:v>
      </x:c>
    </x:row>
    <x:row r="543">
      <x:c r="A543" s="36" t="str">
        <x:f>FRAGEN_MASTER!A543</x:f>
        <x:v>FP-0802</x:v>
      </x:c>
      <x:c r="B543" s="36" t="str">
        <x:f>FRAGEN_MASTER!B543</x:f>
        <x:v>ACT</x:v>
      </x:c>
      <x:c r="C543" s="36" t="str">
        <x:f>FRAGEN_MASTER!C543</x:f>
        <x:v>Apostelgeschichte</x:v>
      </x:c>
      <x:c r="D543" s="36" t="n">
        <x:f>FRAGEN_MASTER!D543</x:f>
        <x:v>20</x:v>
      </x:c>
      <x:c r="E543" s="36" t="n">
        <x:f>FRAGEN_MASTER!E543</x:f>
        <x:v>2</x:v>
      </x:c>
      <x:c r="F543" s="36" t="str">
        <x:f>FRAGEN_MASTER!Q543</x:f>
        <x:v>Wie fasst Paulus vor den Ältesten von Ephesus seinen bisherigen Dienst zusammen?</x:v>
      </x:c>
      <x:c r="G543" s="36" t="str">
        <x:f>FRAGEN_MASTER!R543</x:f>
        <x:v>Er hat nur in Synagogen gelehrt.</x:v>
      </x:c>
      <x:c r="H543" s="36" t="str">
        <x:f>FRAGEN_MASTER!S543</x:f>
        <x:v>Er hat politische Ämter gesucht.</x:v>
      </x:c>
      <x:c r="I543" s="36" t="str">
        <x:f>FRAGEN_MASTER!T543</x:f>
        <x:v>Er hat ausschließlich Nichtjuden angesprochen.</x:v>
      </x:c>
      <x:c r="J543" s="36" t="str">
        <x:f>FRAGEN_MASTER!U543</x:f>
        <x:v>Er hat öffentlich und in Häusern Umkehr zu Gott und Glauben an Jesus bezeugt.</x:v>
      </x:c>
      <x:c r="K543" s="36" t="n">
        <x:f>FRAGEN_MASTER!V543</x:f>
        <x:v>3</x:v>
      </x:c>
      <x:c r="L543" s="36" t="str">
        <x:f>FRAGEN_MASTER!W543</x:f>
        <x:v>Er hat öffentlich und in Häusern Umkehr zu Gott und Glauben an Jesus bezeugt.</x:v>
      </x:c>
      <x:c r="M543" s="36" t="str">
        <x:f>FRAGEN_MASTER!X543</x:f>
        <x:v>Apostelgeschichte 20,17–21</x:v>
      </x:c>
      <x:c r="N543" s="36" t="str">
        <x:f>FRAGEN_MASTER!Y543</x:f>
        <x:v>Paulus beschreibt einen umfassenden Dienst unter Juden und Griechen mit dem Ruf zu Umkehr und Glauben.</x:v>
      </x:c>
      <x:c r="O543" s="36" t="str">
        <x:f>FRAGEN_MASTER!AG543</x:f>
        <x:v>FREIGEGEBEN</x:v>
      </x:c>
      <x:c r="P543" s="36" t="str">
        <x:f>FRAGEN_MASTER!AI543</x:f>
        <x:v>FREIGEGEBEN</x:v>
      </x:c>
      <x:c r="Q543" s="36" t="str">
        <x:f>FRAGEN_MASTER!AL543</x:f>
        <x:v>JA</x:v>
      </x:c>
    </x:row>
    <x:row r="544">
      <x:c r="A544" s="36" t="str">
        <x:f>FRAGEN_MASTER!A544</x:f>
        <x:v>FP-0803</x:v>
      </x:c>
      <x:c r="B544" s="36" t="str">
        <x:f>FRAGEN_MASTER!B544</x:f>
        <x:v>ACT</x:v>
      </x:c>
      <x:c r="C544" s="36" t="str">
        <x:f>FRAGEN_MASTER!C544</x:f>
        <x:v>Apostelgeschichte</x:v>
      </x:c>
      <x:c r="D544" s="36" t="n">
        <x:f>FRAGEN_MASTER!D544</x:f>
        <x:v>20</x:v>
      </x:c>
      <x:c r="E544" s="36" t="n">
        <x:f>FRAGEN_MASTER!E544</x:f>
        <x:v>3</x:v>
      </x:c>
      <x:c r="F544" s="36" t="str">
        <x:f>FRAGEN_MASTER!Q544</x:f>
        <x:v>Warum hält Paulus an seiner Reise nach Jerusalem fest, obwohl Leiden angekündigt ist?</x:v>
      </x:c>
      <x:c r="G544" s="36" t="str">
        <x:f>FRAGEN_MASTER!R544</x:f>
        <x:v>Sein eigenes Leben ist ihm nicht das Wichtigste, wenn er nur seinen Auftrag und Dienst vollendet.</x:v>
      </x:c>
      <x:c r="H544" s="36" t="str">
        <x:f>FRAGEN_MASTER!S544</x:f>
        <x:v>Er weiß nichts von möglichen Gefahren.</x:v>
      </x:c>
      <x:c r="I544" s="36" t="str">
        <x:f>FRAGEN_MASTER!T544</x:f>
        <x:v>Er erwartet dort politischen Einfluss.</x:v>
      </x:c>
      <x:c r="J544" s="36" t="str">
        <x:f>FRAGEN_MASTER!U544</x:f>
        <x:v>Er will die Ältesten verlassen.</x:v>
      </x:c>
      <x:c r="K544" s="36" t="n">
        <x:f>FRAGEN_MASTER!V544</x:f>
        <x:v>0</x:v>
      </x:c>
      <x:c r="L544" s="36" t="str">
        <x:f>FRAGEN_MASTER!W544</x:f>
        <x:v>Sein eigenes Leben ist ihm nicht das Wichtigste, wenn er nur seinen Auftrag und Dienst vollendet.</x:v>
      </x:c>
      <x:c r="M544" s="36" t="str">
        <x:f>FRAGEN_MASTER!X544</x:f>
        <x:v>Apostelgeschichte 20,22–24</x:v>
      </x:c>
      <x:c r="N544" s="36" t="str">
        <x:f>FRAGEN_MASTER!Y544</x:f>
        <x:v>Paulus ordnet seine persönliche Sicherheit dem Auftrag unter, das Evangelium von Gottes Gnade zu bezeugen.</x:v>
      </x:c>
      <x:c r="O544" s="36" t="str">
        <x:f>FRAGEN_MASTER!AG544</x:f>
        <x:v>FREIGEGEBEN</x:v>
      </x:c>
      <x:c r="P544" s="36" t="str">
        <x:f>FRAGEN_MASTER!AI544</x:f>
        <x:v>FREIGEGEBEN</x:v>
      </x:c>
      <x:c r="Q544" s="36" t="str">
        <x:f>FRAGEN_MASTER!AL544</x:f>
        <x:v>JA</x:v>
      </x:c>
    </x:row>
    <x:row r="545">
      <x:c r="A545" s="36" t="str">
        <x:f>FRAGEN_MASTER!A545</x:f>
        <x:v>FP-0804</x:v>
      </x:c>
      <x:c r="B545" s="36" t="str">
        <x:f>FRAGEN_MASTER!B545</x:f>
        <x:v>ACT</x:v>
      </x:c>
      <x:c r="C545" s="36" t="str">
        <x:f>FRAGEN_MASTER!C545</x:f>
        <x:v>Apostelgeschichte</x:v>
      </x:c>
      <x:c r="D545" s="36" t="n">
        <x:f>FRAGEN_MASTER!D545</x:f>
        <x:v>20</x:v>
      </x:c>
      <x:c r="E545" s="36" t="n">
        <x:f>FRAGEN_MASTER!E545</x:f>
        <x:v>4</x:v>
      </x:c>
      <x:c r="F545" s="36" t="str">
        <x:f>FRAGEN_MASTER!Q545</x:f>
        <x:v>Wovor warnt Paulus die Ältesten von Ephesus?</x:v>
      </x:c>
      <x:c r="G545" s="36" t="str">
        <x:f>FRAGEN_MASTER!R545</x:f>
        <x:v>Vor jeder Form von Gemeindeleitung.</x:v>
      </x:c>
      <x:c r="H545" s="36" t="str">
        <x:f>FRAGEN_MASTER!S545</x:f>
        <x:v>Vor zerstörerischen Lehrern von außen und aus den eigenen Reihen, die die Herde gefährden.</x:v>
      </x:c>
      <x:c r="I545" s="36" t="str">
        <x:f>FRAGEN_MASTER!T545</x:f>
        <x:v>Vor Reisen nach Jerusalem.</x:v>
      </x:c>
      <x:c r="J545" s="36" t="str">
        <x:f>FRAGEN_MASTER!U545</x:f>
        <x:v>Vor der Aufnahme neuer Gläubiger.</x:v>
      </x:c>
      <x:c r="K545" s="36" t="n">
        <x:f>FRAGEN_MASTER!V545</x:f>
        <x:v>1</x:v>
      </x:c>
      <x:c r="L545" s="36" t="str">
        <x:f>FRAGEN_MASTER!W545</x:f>
        <x:v>Vor zerstörerischen Lehrern von außen und aus den eigenen Reihen, die die Herde gefährden.</x:v>
      </x:c>
      <x:c r="M545" s="36" t="str">
        <x:f>FRAGEN_MASTER!X545</x:f>
        <x:v>Apostelgeschichte 20,28–31</x:v>
      </x:c>
      <x:c r="N545" s="36" t="str">
        <x:f>FRAGEN_MASTER!Y545</x:f>
        <x:v>Die Ältesten sollen sich selbst und die Herde hüten, weil gefährliche Einflüsse kommen werden.</x:v>
      </x:c>
      <x:c r="O545" s="36" t="str">
        <x:f>FRAGEN_MASTER!AG545</x:f>
        <x:v>FREIGEGEBEN</x:v>
      </x:c>
      <x:c r="P545" s="36" t="str">
        <x:f>FRAGEN_MASTER!AI545</x:f>
        <x:v>FREIGEGEBEN</x:v>
      </x:c>
      <x:c r="Q545" s="36" t="str">
        <x:f>FRAGEN_MASTER!AL545</x:f>
        <x:v>JA</x:v>
      </x:c>
    </x:row>
    <x:row r="546">
      <x:c r="A546" s="36" t="str">
        <x:f>FRAGEN_MASTER!A546</x:f>
        <x:v>FP-0805</x:v>
      </x:c>
      <x:c r="B546" s="36" t="str">
        <x:f>FRAGEN_MASTER!B546</x:f>
        <x:v>ACT</x:v>
      </x:c>
      <x:c r="C546" s="36" t="str">
        <x:f>FRAGEN_MASTER!C546</x:f>
        <x:v>Apostelgeschichte</x:v>
      </x:c>
      <x:c r="D546" s="36" t="n">
        <x:f>FRAGEN_MASTER!D546</x:f>
        <x:v>20</x:v>
      </x:c>
      <x:c r="E546" s="36" t="n">
        <x:f>FRAGEN_MASTER!E546</x:f>
        <x:v>5</x:v>
      </x:c>
      <x:c r="F546" s="36" t="str">
        <x:f>FRAGEN_MASTER!Q546</x:f>
        <x:v>Welches Wort Jesu zitiert Paulus im Zusammenhang mit Arbeit und Hilfe für Schwache?</x:v>
      </x:c>
      <x:c r="G546" s="36" t="str">
        <x:f>FRAGEN_MASTER!R546</x:f>
        <x:v>Nur wer viel besitzt, kann helfen.</x:v>
      </x:c>
      <x:c r="H546" s="36" t="str">
        <x:f>FRAGEN_MASTER!S546</x:f>
        <x:v>Nehmen ist wichtiger als Geben.</x:v>
      </x:c>
      <x:c r="I546" s="36" t="str">
        <x:f>FRAGEN_MASTER!T546</x:f>
        <x:v>Geben ist seliger als Nehmen.</x:v>
      </x:c>
      <x:c r="J546" s="36" t="str">
        <x:f>FRAGEN_MASTER!U546</x:f>
        <x:v>Arbeit ist für Diener unnötig.</x:v>
      </x:c>
      <x:c r="K546" s="36" t="n">
        <x:f>FRAGEN_MASTER!V546</x:f>
        <x:v>2</x:v>
      </x:c>
      <x:c r="L546" s="36" t="str">
        <x:f>FRAGEN_MASTER!W546</x:f>
        <x:v>Geben ist seliger als Nehmen.</x:v>
      </x:c>
      <x:c r="M546" s="36" t="str">
        <x:f>FRAGEN_MASTER!X546</x:f>
        <x:v>Apostelgeschichte 20,33–35</x:v>
      </x:c>
      <x:c r="N546" s="36" t="str">
        <x:f>FRAGEN_MASTER!Y546</x:f>
        <x:v>Paulus verbindet seine eigene Arbeit mit der Unterstützung Schwacher und erinnert an Jesu Wort über das Geben.</x:v>
      </x:c>
      <x:c r="O546" s="36" t="str">
        <x:f>FRAGEN_MASTER!AG546</x:f>
        <x:v>FREIGEGEBEN</x:v>
      </x:c>
      <x:c r="P546" s="36" t="str">
        <x:f>FRAGEN_MASTER!AI546</x:f>
        <x:v>FREIGEGEBEN</x:v>
      </x:c>
      <x:c r="Q546" s="36" t="str">
        <x:f>FRAGEN_MASTER!AL546</x:f>
        <x:v>JA</x:v>
      </x:c>
    </x:row>
    <x:row r="547">
      <x:c r="A547" s="36" t="str">
        <x:f>FRAGEN_MASTER!A547</x:f>
        <x:v>FP-0806</x:v>
      </x:c>
      <x:c r="B547" s="36" t="str">
        <x:f>FRAGEN_MASTER!B547</x:f>
        <x:v>ACT</x:v>
      </x:c>
      <x:c r="C547" s="36" t="str">
        <x:f>FRAGEN_MASTER!C547</x:f>
        <x:v>Apostelgeschichte</x:v>
      </x:c>
      <x:c r="D547" s="36" t="n">
        <x:f>FRAGEN_MASTER!D547</x:f>
        <x:v>21</x:v>
      </x:c>
      <x:c r="E547" s="36" t="n">
        <x:f>FRAGEN_MASTER!E547</x:f>
        <x:v>1</x:v>
      </x:c>
      <x:c r="F547" s="36" t="str">
        <x:f>FRAGEN_MASTER!Q547</x:f>
        <x:v>Wie verabschieden sich Paulus und seine Begleiter von den Gläubigen in Tyrus?</x:v>
      </x:c>
      <x:c r="G547" s="36" t="str">
        <x:f>FRAGEN_MASTER!R547</x:f>
        <x:v>Sie gehen heimlich in der Nacht.</x:v>
      </x:c>
      <x:c r="H547" s="36" t="str">
        <x:f>FRAGEN_MASTER!S547</x:f>
        <x:v>Sie feiern im Tempel.</x:v>
      </x:c>
      <x:c r="I547" s="36" t="str">
        <x:f>FRAGEN_MASTER!T547</x:f>
        <x:v>Sie reisen gemeinsam nach Rom.</x:v>
      </x:c>
      <x:c r="J547" s="36" t="str">
        <x:f>FRAGEN_MASTER!U547</x:f>
        <x:v>Alle begleiten sie mit Frauen und Kindern zum Ufer, dort knien sie nieder und beten.</x:v>
      </x:c>
      <x:c r="K547" s="36" t="n">
        <x:f>FRAGEN_MASTER!V547</x:f>
        <x:v>3</x:v>
      </x:c>
      <x:c r="L547" s="36" t="str">
        <x:f>FRAGEN_MASTER!W547</x:f>
        <x:v>Alle begleiten sie mit Frauen und Kindern zum Ufer, dort knien sie nieder und beten.</x:v>
      </x:c>
      <x:c r="M547" s="36" t="str">
        <x:f>FRAGEN_MASTER!X547</x:f>
        <x:v>Apostelgeschichte 21,1–6</x:v>
      </x:c>
      <x:c r="N547" s="36" t="str">
        <x:f>FRAGEN_MASTER!Y547</x:f>
        <x:v>Der Abschied wird als gemeinschaftliches Gebet am Ufer beschrieben.</x:v>
      </x:c>
      <x:c r="O547" s="36" t="str">
        <x:f>FRAGEN_MASTER!AG547</x:f>
        <x:v>FREIGEGEBEN</x:v>
      </x:c>
      <x:c r="P547" s="36" t="str">
        <x:f>FRAGEN_MASTER!AI547</x:f>
        <x:v>FREIGEGEBEN</x:v>
      </x:c>
      <x:c r="Q547" s="36" t="str">
        <x:f>FRAGEN_MASTER!AL547</x:f>
        <x:v>JA</x:v>
      </x:c>
    </x:row>
    <x:row r="548">
      <x:c r="A548" s="36" t="str">
        <x:f>FRAGEN_MASTER!A548</x:f>
        <x:v>FP-0807</x:v>
      </x:c>
      <x:c r="B548" s="36" t="str">
        <x:f>FRAGEN_MASTER!B548</x:f>
        <x:v>ACT</x:v>
      </x:c>
      <x:c r="C548" s="36" t="str">
        <x:f>FRAGEN_MASTER!C548</x:f>
        <x:v>Apostelgeschichte</x:v>
      </x:c>
      <x:c r="D548" s="36" t="n">
        <x:f>FRAGEN_MASTER!D548</x:f>
        <x:v>21</x:v>
      </x:c>
      <x:c r="E548" s="36" t="n">
        <x:f>FRAGEN_MASTER!E548</x:f>
        <x:v>2</x:v>
      </x:c>
      <x:c r="F548" s="36" t="str">
        <x:f>FRAGEN_MASTER!Q548</x:f>
        <x:v>Was kündigt der Prophet Agabus Paulus in Cäsarea an?</x:v>
      </x:c>
      <x:c r="G548" s="36" t="str">
        <x:f>FRAGEN_MASTER!R548</x:f>
        <x:v>Der Besitzer seines Gürtels werde in Jerusalem gebunden und den Nichtjuden ausgeliefert.</x:v>
      </x:c>
      <x:c r="H548" s="36" t="str">
        <x:f>FRAGEN_MASTER!S548</x:f>
        <x:v>Paulus werde König in Jerusalem.</x:v>
      </x:c>
      <x:c r="I548" s="36" t="str">
        <x:f>FRAGEN_MASTER!T548</x:f>
        <x:v>Paulus werde nie mehr verfolgt.</x:v>
      </x:c>
      <x:c r="J548" s="36" t="str">
        <x:f>FRAGEN_MASTER!U548</x:f>
        <x:v>Der Tempel werde Paulus gehören.</x:v>
      </x:c>
      <x:c r="K548" s="36" t="n">
        <x:f>FRAGEN_MASTER!V548</x:f>
        <x:v>0</x:v>
      </x:c>
      <x:c r="L548" s="36" t="str">
        <x:f>FRAGEN_MASTER!W548</x:f>
        <x:v>Der Besitzer seines Gürtels werde in Jerusalem gebunden und den Nichtjuden ausgeliefert.</x:v>
      </x:c>
      <x:c r="M548" s="36" t="str">
        <x:f>FRAGEN_MASTER!X548</x:f>
        <x:v>Apostelgeschichte 21,8–14</x:v>
      </x:c>
      <x:c r="N548" s="36" t="str">
        <x:f>FRAGEN_MASTER!Y548</x:f>
        <x:v>Agabus bindet sich mit Paulus' Gürtel und deutet damit die bevorstehende Gefangenschaft an.</x:v>
      </x:c>
      <x:c r="O548" s="36" t="str">
        <x:f>FRAGEN_MASTER!AG548</x:f>
        <x:v>FREIGEGEBEN</x:v>
      </x:c>
      <x:c r="P548" s="36" t="str">
        <x:f>FRAGEN_MASTER!AI548</x:f>
        <x:v>FREIGEGEBEN</x:v>
      </x:c>
      <x:c r="Q548" s="36" t="str">
        <x:f>FRAGEN_MASTER!AL548</x:f>
        <x:v>JA</x:v>
      </x:c>
    </x:row>
    <x:row r="549">
      <x:c r="A549" s="36" t="str">
        <x:f>FRAGEN_MASTER!A549</x:f>
        <x:v>FP-0808</x:v>
      </x:c>
      <x:c r="B549" s="36" t="str">
        <x:f>FRAGEN_MASTER!B549</x:f>
        <x:v>ACT</x:v>
      </x:c>
      <x:c r="C549" s="36" t="str">
        <x:f>FRAGEN_MASTER!C549</x:f>
        <x:v>Apostelgeschichte</x:v>
      </x:c>
      <x:c r="D549" s="36" t="n">
        <x:f>FRAGEN_MASTER!D549</x:f>
        <x:v>21</x:v>
      </x:c>
      <x:c r="E549" s="36" t="n">
        <x:f>FRAGEN_MASTER!E549</x:f>
        <x:v>3</x:v>
      </x:c>
      <x:c r="F549" s="36" t="str">
        <x:f>FRAGEN_MASTER!Q549</x:f>
        <x:v>Warum beteiligt sich Paulus in Jerusalem an einem Reinigungsritual mit vier Männern?</x:v>
      </x:c>
      <x:c r="G549" s="36" t="str">
        <x:f>FRAGEN_MASTER!R549</x:f>
        <x:v>Um Christ zu werden.</x:v>
      </x:c>
      <x:c r="H549" s="36" t="str">
        <x:f>FRAGEN_MASTER!S549</x:f>
        <x:v>Um Gerüchten entgegenzutreten, er lehre jüdische Gläubige grundsätzlich den Abfall vom Gesetz.</x:v>
      </x:c>
      <x:c r="I549" s="36" t="str">
        <x:f>FRAGEN_MASTER!T549</x:f>
        <x:v>Um römischer Bürger zu werden.</x:v>
      </x:c>
      <x:c r="J549" s="36" t="str">
        <x:f>FRAGEN_MASTER!U549</x:f>
        <x:v>Um Hohepriester zu werden.</x:v>
      </x:c>
      <x:c r="K549" s="36" t="n">
        <x:f>FRAGEN_MASTER!V549</x:f>
        <x:v>1</x:v>
      </x:c>
      <x:c r="L549" s="36" t="str">
        <x:f>FRAGEN_MASTER!W549</x:f>
        <x:v>Um Gerüchten entgegenzutreten, er lehre jüdische Gläubige grundsätzlich den Abfall vom Gesetz.</x:v>
      </x:c>
      <x:c r="M549" s="36" t="str">
        <x:f>FRAGEN_MASTER!X549</x:f>
        <x:v>Apostelgeschichte 21,17–26</x:v>
      </x:c>
      <x:c r="N549" s="36" t="str">
        <x:f>FRAGEN_MASTER!Y549</x:f>
        <x:v>Jakobus und die Ältesten schlagen den Schritt vor, damit sichtbar wird, dass die Vorwürfe über Paulus so nicht zutreffen.</x:v>
      </x:c>
      <x:c r="O549" s="36" t="str">
        <x:f>FRAGEN_MASTER!AG549</x:f>
        <x:v>FREIGEGEBEN</x:v>
      </x:c>
      <x:c r="P549" s="36" t="str">
        <x:f>FRAGEN_MASTER!AI549</x:f>
        <x:v>FREIGEGEBEN</x:v>
      </x:c>
      <x:c r="Q549" s="36" t="str">
        <x:f>FRAGEN_MASTER!AL549</x:f>
        <x:v>JA</x:v>
      </x:c>
    </x:row>
    <x:row r="550">
      <x:c r="A550" s="36" t="str">
        <x:f>FRAGEN_MASTER!A550</x:f>
        <x:v>FP-0809</x:v>
      </x:c>
      <x:c r="B550" s="36" t="str">
        <x:f>FRAGEN_MASTER!B550</x:f>
        <x:v>ACT</x:v>
      </x:c>
      <x:c r="C550" s="36" t="str">
        <x:f>FRAGEN_MASTER!C550</x:f>
        <x:v>Apostelgeschichte</x:v>
      </x:c>
      <x:c r="D550" s="36" t="n">
        <x:f>FRAGEN_MASTER!D550</x:f>
        <x:v>21</x:v>
      </x:c>
      <x:c r="E550" s="36" t="n">
        <x:f>FRAGEN_MASTER!E550</x:f>
        <x:v>4</x:v>
      </x:c>
      <x:c r="F550" s="36" t="str">
        <x:f>FRAGEN_MASTER!Q550</x:f>
        <x:v>Wie entkommt Paulus der aufgebrachten Menge im Tempelbereich?</x:v>
      </x:c>
      <x:c r="G550" s="36" t="str">
        <x:f>FRAGEN_MASTER!R550</x:f>
        <x:v>Barnabas führt ihn durch einen Tunnel.</x:v>
      </x:c>
      <x:c r="H550" s="36" t="str">
        <x:f>FRAGEN_MASTER!S550</x:f>
        <x:v>Die Menge lässt ihn freiwillig gehen.</x:v>
      </x:c>
      <x:c r="I550" s="36" t="str">
        <x:f>FRAGEN_MASTER!T550</x:f>
        <x:v>Römische Soldaten greifen ein und nehmen ihn in Gewahrsam.</x:v>
      </x:c>
      <x:c r="J550" s="36" t="str">
        <x:f>FRAGEN_MASTER!U550</x:f>
        <x:v>Paulus versteckt sich im Heiligtum.</x:v>
      </x:c>
      <x:c r="K550" s="36" t="n">
        <x:f>FRAGEN_MASTER!V550</x:f>
        <x:v>2</x:v>
      </x:c>
      <x:c r="L550" s="36" t="str">
        <x:f>FRAGEN_MASTER!W550</x:f>
        <x:v>Römische Soldaten greifen ein und nehmen ihn in Gewahrsam.</x:v>
      </x:c>
      <x:c r="M550" s="36" t="str">
        <x:f>FRAGEN_MASTER!X550</x:f>
        <x:v>Apostelgeschichte 21,27–32</x:v>
      </x:c>
      <x:c r="N550" s="36" t="str">
        <x:f>FRAGEN_MASTER!Y550</x:f>
        <x:v>Der römische Kommandant reagiert auf den Tumult, lässt Paulus festnehmen und beendet so die unmittelbare Gewalt.</x:v>
      </x:c>
      <x:c r="O550" s="36" t="str">
        <x:f>FRAGEN_MASTER!AG550</x:f>
        <x:v>FREIGEGEBEN</x:v>
      </x:c>
      <x:c r="P550" s="36" t="str">
        <x:f>FRAGEN_MASTER!AI550</x:f>
        <x:v>FREIGEGEBEN</x:v>
      </x:c>
      <x:c r="Q550" s="36" t="str">
        <x:f>FRAGEN_MASTER!AL550</x:f>
        <x:v>JA</x:v>
      </x:c>
    </x:row>
    <x:row r="551">
      <x:c r="A551" s="36" t="str">
        <x:f>FRAGEN_MASTER!A551</x:f>
        <x:v>FP-0810</x:v>
      </x:c>
      <x:c r="B551" s="36" t="str">
        <x:f>FRAGEN_MASTER!B551</x:f>
        <x:v>ACT</x:v>
      </x:c>
      <x:c r="C551" s="36" t="str">
        <x:f>FRAGEN_MASTER!C551</x:f>
        <x:v>Apostelgeschichte</x:v>
      </x:c>
      <x:c r="D551" s="36" t="n">
        <x:f>FRAGEN_MASTER!D551</x:f>
        <x:v>21</x:v>
      </x:c>
      <x:c r="E551" s="36" t="n">
        <x:f>FRAGEN_MASTER!E551</x:f>
        <x:v>5</x:v>
      </x:c>
      <x:c r="F551" s="36" t="str">
        <x:f>FRAGEN_MASTER!Q551</x:f>
        <x:v>Was überrascht den römischen Kommandanten, als Paulus ihn anspricht?</x:v>
      </x:c>
      <x:c r="G551" s="36" t="str">
        <x:f>FRAGEN_MASTER!R551</x:f>
        <x:v>Dass Paulus keinen Namen nennt.</x:v>
      </x:c>
      <x:c r="H551" s="36" t="str">
        <x:f>FRAGEN_MASTER!S551</x:f>
        <x:v>Dass Paulus kein Jude ist.</x:v>
      </x:c>
      <x:c r="I551" s="36" t="str">
        <x:f>FRAGEN_MASTER!T551</x:f>
        <x:v>Dass Paulus ein Priestergewand trägt.</x:v>
      </x:c>
      <x:c r="J551" s="36" t="str">
        <x:f>FRAGEN_MASTER!U551</x:f>
        <x:v>Dass Paulus Griechisch spricht.</x:v>
      </x:c>
      <x:c r="K551" s="36" t="n">
        <x:f>FRAGEN_MASTER!V551</x:f>
        <x:v>3</x:v>
      </x:c>
      <x:c r="L551" s="36" t="str">
        <x:f>FRAGEN_MASTER!W551</x:f>
        <x:v>Dass Paulus Griechisch spricht.</x:v>
      </x:c>
      <x:c r="M551" s="36" t="str">
        <x:f>FRAGEN_MASTER!X551</x:f>
        <x:v>Apostelgeschichte 21,37–40</x:v>
      </x:c>
      <x:c r="N551" s="36" t="str">
        <x:f>FRAGEN_MASTER!Y551</x:f>
        <x:v>Der Kommandant ist überrascht über Paulus' Griechisch; Paulus erklärt anschließend seine Herkunft und bittet, zum Volk sprechen zu dürfen.</x:v>
      </x:c>
      <x:c r="O551" s="36" t="str">
        <x:f>FRAGEN_MASTER!AG551</x:f>
        <x:v>FREIGEGEBEN</x:v>
      </x:c>
      <x:c r="P551" s="36" t="str">
        <x:f>FRAGEN_MASTER!AI551</x:f>
        <x:v>FREIGEGEBEN</x:v>
      </x:c>
      <x:c r="Q551" s="36" t="str">
        <x:f>FRAGEN_MASTER!AL551</x:f>
        <x:v>JA</x:v>
      </x:c>
    </x:row>
    <x:row r="552">
      <x:c r="A552" s="36" t="str">
        <x:f>FRAGEN_MASTER!A552</x:f>
        <x:v>FP-0811</x:v>
      </x:c>
      <x:c r="B552" s="36" t="str">
        <x:f>FRAGEN_MASTER!B552</x:f>
        <x:v>ACT</x:v>
      </x:c>
      <x:c r="C552" s="36" t="str">
        <x:f>FRAGEN_MASTER!C552</x:f>
        <x:v>Apostelgeschichte</x:v>
      </x:c>
      <x:c r="D552" s="36" t="n">
        <x:f>FRAGEN_MASTER!D552</x:f>
        <x:v>22</x:v>
      </x:c>
      <x:c r="E552" s="36" t="n">
        <x:f>FRAGEN_MASTER!E552</x:f>
        <x:v>1</x:v>
      </x:c>
      <x:c r="F552" s="36" t="str">
        <x:f>FRAGEN_MASTER!Q552</x:f>
        <x:v>Wie beschreibt Paulus sein Leben vor der Begegnung mit Jesus?</x:v>
      </x:c>
      <x:c r="G552" s="36" t="str">
        <x:f>FRAGEN_MASTER!R552</x:f>
        <x:v>Er war streng im Gesetz unter Gamaliel ausgebildet und verfolgte den Weg bis zum Tod.</x:v>
      </x:c>
      <x:c r="H552" s="36" t="str">
        <x:f>FRAGEN_MASTER!S552</x:f>
        <x:v>Er war bereits Missionar der Christen.</x:v>
      </x:c>
      <x:c r="I552" s="36" t="str">
        <x:f>FRAGEN_MASTER!T552</x:f>
        <x:v>Er lebte als Einsiedler in Damaskus.</x:v>
      </x:c>
      <x:c r="J552" s="36" t="str">
        <x:f>FRAGEN_MASTER!U552</x:f>
        <x:v>Er war römischer Priester.</x:v>
      </x:c>
      <x:c r="K552" s="36" t="n">
        <x:f>FRAGEN_MASTER!V552</x:f>
        <x:v>0</x:v>
      </x:c>
      <x:c r="L552" s="36" t="str">
        <x:f>FRAGEN_MASTER!W552</x:f>
        <x:v>Er war streng im Gesetz unter Gamaliel ausgebildet und verfolgte den Weg bis zum Tod.</x:v>
      </x:c>
      <x:c r="M552" s="36" t="str">
        <x:f>FRAGEN_MASTER!X552</x:f>
        <x:v>Apostelgeschichte 22,3–5</x:v>
      </x:c>
      <x:c r="N552" s="36" t="str">
        <x:f>FRAGEN_MASTER!Y552</x:f>
        <x:v>Paulus betont seinen jüdischen Eifer und seine frühere aktive Verfolgung der Jesusbewegung.</x:v>
      </x:c>
      <x:c r="O552" s="36" t="str">
        <x:f>FRAGEN_MASTER!AG552</x:f>
        <x:v>FREIGEGEBEN</x:v>
      </x:c>
      <x:c r="P552" s="36" t="str">
        <x:f>FRAGEN_MASTER!AI552</x:f>
        <x:v>FREIGEGEBEN</x:v>
      </x:c>
      <x:c r="Q552" s="36" t="str">
        <x:f>FRAGEN_MASTER!AL552</x:f>
        <x:v>JA</x:v>
      </x:c>
    </x:row>
    <x:row r="553">
      <x:c r="A553" s="36" t="str">
        <x:f>FRAGEN_MASTER!A553</x:f>
        <x:v>FP-0812</x:v>
      </x:c>
      <x:c r="B553" s="36" t="str">
        <x:f>FRAGEN_MASTER!B553</x:f>
        <x:v>ACT</x:v>
      </x:c>
      <x:c r="C553" s="36" t="str">
        <x:f>FRAGEN_MASTER!C553</x:f>
        <x:v>Apostelgeschichte</x:v>
      </x:c>
      <x:c r="D553" s="36" t="n">
        <x:f>FRAGEN_MASTER!D553</x:f>
        <x:v>22</x:v>
      </x:c>
      <x:c r="E553" s="36" t="n">
        <x:f>FRAGEN_MASTER!E553</x:f>
        <x:v>2</x:v>
      </x:c>
      <x:c r="F553" s="36" t="str">
        <x:f>FRAGEN_MASTER!Q553</x:f>
        <x:v>Was geschieht Paulus nahe Damaskus?</x:v>
      </x:c>
      <x:c r="G553" s="36" t="str">
        <x:f>FRAGEN_MASTER!R553</x:f>
        <x:v>Er begegnet Petrus auf der Straße.</x:v>
      </x:c>
      <x:c r="H553" s="36" t="str">
        <x:f>FRAGEN_MASTER!S553</x:f>
        <x:v>Ein helles Licht umstrahlt ihn, er fällt zu Boden und hört die Stimme Jesu.</x:v>
      </x:c>
      <x:c r="I553" s="36" t="str">
        <x:f>FRAGEN_MASTER!T553</x:f>
        <x:v>Er wird von einem Engel direkt nach Rom gebracht.</x:v>
      </x:c>
      <x:c r="J553" s="36" t="str">
        <x:f>FRAGEN_MASTER!U553</x:f>
        <x:v>Er verliert sein Pferd, hört aber keine Stimme.</x:v>
      </x:c>
      <x:c r="K553" s="36" t="n">
        <x:f>FRAGEN_MASTER!V553</x:f>
        <x:v>1</x:v>
      </x:c>
      <x:c r="L553" s="36" t="str">
        <x:f>FRAGEN_MASTER!W553</x:f>
        <x:v>Ein helles Licht umstrahlt ihn, er fällt zu Boden und hört die Stimme Jesu.</x:v>
      </x:c>
      <x:c r="M553" s="36" t="str">
        <x:f>FRAGEN_MASTER!X553</x:f>
        <x:v>Apostelgeschichte 22,6–11</x:v>
      </x:c>
      <x:c r="N553" s="36" t="str">
        <x:f>FRAGEN_MASTER!Y553</x:f>
        <x:v>Paulus erzählt die Begegnung mit Jesus erneut aus seiner Perspektive und wird danach blind nach Damaskus geführt.</x:v>
      </x:c>
      <x:c r="O553" s="36" t="str">
        <x:f>FRAGEN_MASTER!AG553</x:f>
        <x:v>FREIGEGEBEN</x:v>
      </x:c>
      <x:c r="P553" s="36" t="str">
        <x:f>FRAGEN_MASTER!AI553</x:f>
        <x:v>FREIGEGEBEN</x:v>
      </x:c>
      <x:c r="Q553" s="36" t="str">
        <x:f>FRAGEN_MASTER!AL553</x:f>
        <x:v>JA</x:v>
      </x:c>
    </x:row>
    <x:row r="554">
      <x:c r="A554" s="36" t="str">
        <x:f>FRAGEN_MASTER!A554</x:f>
        <x:v>FP-0813</x:v>
      </x:c>
      <x:c r="B554" s="36" t="str">
        <x:f>FRAGEN_MASTER!B554</x:f>
        <x:v>ACT</x:v>
      </x:c>
      <x:c r="C554" s="36" t="str">
        <x:f>FRAGEN_MASTER!C554</x:f>
        <x:v>Apostelgeschichte</x:v>
      </x:c>
      <x:c r="D554" s="36" t="n">
        <x:f>FRAGEN_MASTER!D554</x:f>
        <x:v>22</x:v>
      </x:c>
      <x:c r="E554" s="36" t="n">
        <x:f>FRAGEN_MASTER!E554</x:f>
        <x:v>3</x:v>
      </x:c>
      <x:c r="F554" s="36" t="str">
        <x:f>FRAGEN_MASTER!Q554</x:f>
        <x:v>Welchen Auftrag gibt Ananias Paulus?</x:v>
      </x:c>
      <x:c r="G554" s="36" t="str">
        <x:f>FRAGEN_MASTER!R554</x:f>
        <x:v>Er soll wieder nach Jerusalem zurückkehren und Christen verfolgen.</x:v>
      </x:c>
      <x:c r="H554" s="36" t="str">
        <x:f>FRAGEN_MASTER!S554</x:f>
        <x:v>Er soll Priester werden.</x:v>
      </x:c>
      <x:c r="I554" s="36" t="str">
        <x:f>FRAGEN_MASTER!T554</x:f>
        <x:v>Er soll Gottes Willen erkennen, Zeuge dessen sein, was er gesehen und gehört hat, und sich taufen lassen.</x:v>
      </x:c>
      <x:c r="J554" s="36" t="str">
        <x:f>FRAGEN_MASTER!U554</x:f>
        <x:v>Er soll die Botschaft geheim halten.</x:v>
      </x:c>
      <x:c r="K554" s="36" t="n">
        <x:f>FRAGEN_MASTER!V554</x:f>
        <x:v>2</x:v>
      </x:c>
      <x:c r="L554" s="36" t="str">
        <x:f>FRAGEN_MASTER!W554</x:f>
        <x:v>Er soll Gottes Willen erkennen, Zeuge dessen sein, was er gesehen und gehört hat, und sich taufen lassen.</x:v>
      </x:c>
      <x:c r="M554" s="36" t="str">
        <x:f>FRAGEN_MASTER!X554</x:f>
        <x:v>Apostelgeschichte 22,12–16</x:v>
      </x:c>
      <x:c r="N554" s="36" t="str">
        <x:f>FRAGEN_MASTER!Y554</x:f>
        <x:v>Ananias deutet Paulus' Berufung zum Zeugnis und ruft ihn zur Taufe auf.</x:v>
      </x:c>
      <x:c r="O554" s="36" t="str">
        <x:f>FRAGEN_MASTER!AG554</x:f>
        <x:v>FREIGEGEBEN</x:v>
      </x:c>
      <x:c r="P554" s="36" t="str">
        <x:f>FRAGEN_MASTER!AI554</x:f>
        <x:v>FREIGEGEBEN</x:v>
      </x:c>
      <x:c r="Q554" s="36" t="str">
        <x:f>FRAGEN_MASTER!AL554</x:f>
        <x:v>JA</x:v>
      </x:c>
    </x:row>
    <x:row r="555">
      <x:c r="A555" s="36" t="str">
        <x:f>FRAGEN_MASTER!A555</x:f>
        <x:v>FP-0814</x:v>
      </x:c>
      <x:c r="B555" s="36" t="str">
        <x:f>FRAGEN_MASTER!B555</x:f>
        <x:v>ACT</x:v>
      </x:c>
      <x:c r="C555" s="36" t="str">
        <x:f>FRAGEN_MASTER!C555</x:f>
        <x:v>Apostelgeschichte</x:v>
      </x:c>
      <x:c r="D555" s="36" t="n">
        <x:f>FRAGEN_MASTER!D555</x:f>
        <x:v>22</x:v>
      </x:c>
      <x:c r="E555" s="36" t="n">
        <x:f>FRAGEN_MASTER!E555</x:f>
        <x:v>4</x:v>
      </x:c>
      <x:c r="F555" s="36" t="str">
        <x:f>FRAGEN_MASTER!Q555</x:f>
        <x:v>Welche Sendung löst in Paulus' Rede den heftigsten Protest der Menge aus?</x:v>
      </x:c>
      <x:c r="G555" s="36" t="str">
        <x:f>FRAGEN_MASTER!R555</x:f>
        <x:v>Dass er in Jerusalem geboren sei.</x:v>
      </x:c>
      <x:c r="H555" s="36" t="str">
        <x:f>FRAGEN_MASTER!S555</x:f>
        <x:v>Dass er bei Gamaliel gelernt habe.</x:v>
      </x:c>
      <x:c r="I555" s="36" t="str">
        <x:f>FRAGEN_MASTER!T555</x:f>
        <x:v>Dass er den Tempel besucht habe.</x:v>
      </x:c>
      <x:c r="J555" s="36" t="str">
        <x:f>FRAGEN_MASTER!U555</x:f>
        <x:v>Dass Gott ihn weit weg zu den Nichtjuden senden werde.</x:v>
      </x:c>
      <x:c r="K555" s="36" t="n">
        <x:f>FRAGEN_MASTER!V555</x:f>
        <x:v>3</x:v>
      </x:c>
      <x:c r="L555" s="36" t="str">
        <x:f>FRAGEN_MASTER!W555</x:f>
        <x:v>Dass Gott ihn weit weg zu den Nichtjuden senden werde.</x:v>
      </x:c>
      <x:c r="M555" s="36" t="str">
        <x:f>FRAGEN_MASTER!X555</x:f>
        <x:v>Apostelgeschichte 22,17–21</x:v>
      </x:c>
      <x:c r="N555" s="36" t="str">
        <x:f>FRAGEN_MASTER!Y555</x:f>
        <x:v>Die Erwähnung der Sendung zu den Nichtjuden markiert den Punkt, an dem die Zuhörer nicht mehr weiterhören wollen.</x:v>
      </x:c>
      <x:c r="O555" s="36" t="str">
        <x:f>FRAGEN_MASTER!AG555</x:f>
        <x:v>FREIGEGEBEN</x:v>
      </x:c>
      <x:c r="P555" s="36" t="str">
        <x:f>FRAGEN_MASTER!AI555</x:f>
        <x:v>FREIGEGEBEN</x:v>
      </x:c>
      <x:c r="Q555" s="36" t="str">
        <x:f>FRAGEN_MASTER!AL555</x:f>
        <x:v>JA</x:v>
      </x:c>
    </x:row>
    <x:row r="556">
      <x:c r="A556" s="36" t="str">
        <x:f>FRAGEN_MASTER!A556</x:f>
        <x:v>FP-0815</x:v>
      </x:c>
      <x:c r="B556" s="36" t="str">
        <x:f>FRAGEN_MASTER!B556</x:f>
        <x:v>ACT</x:v>
      </x:c>
      <x:c r="C556" s="36" t="str">
        <x:f>FRAGEN_MASTER!C556</x:f>
        <x:v>Apostelgeschichte</x:v>
      </x:c>
      <x:c r="D556" s="36" t="n">
        <x:f>FRAGEN_MASTER!D556</x:f>
        <x:v>22</x:v>
      </x:c>
      <x:c r="E556" s="36" t="n">
        <x:f>FRAGEN_MASTER!E556</x:f>
        <x:v>5</x:v>
      </x:c>
      <x:c r="F556" s="36" t="str">
        <x:f>FRAGEN_MASTER!Q556</x:f>
        <x:v>Wie verhindert Paulus, ohne Gerichtsverfahren ausgepeitscht zu werden?</x:v>
      </x:c>
      <x:c r="G556" s="36" t="str">
        <x:f>FRAGEN_MASTER!R556</x:f>
        <x:v>Er weist darauf hin, dass er römischer Bürger ist.</x:v>
      </x:c>
      <x:c r="H556" s="36" t="str">
        <x:f>FRAGEN_MASTER!S556</x:f>
        <x:v>Er zahlt den Soldaten Geld.</x:v>
      </x:c>
      <x:c r="I556" s="36" t="str">
        <x:f>FRAGEN_MASTER!T556</x:f>
        <x:v>Er flieht aus der Kaserne.</x:v>
      </x:c>
      <x:c r="J556" s="36" t="str">
        <x:f>FRAGEN_MASTER!U556</x:f>
        <x:v>Er beruft sich auf Petrus.</x:v>
      </x:c>
      <x:c r="K556" s="36" t="n">
        <x:f>FRAGEN_MASTER!V556</x:f>
        <x:v>0</x:v>
      </x:c>
      <x:c r="L556" s="36" t="str">
        <x:f>FRAGEN_MASTER!W556</x:f>
        <x:v>Er weist darauf hin, dass er römischer Bürger ist.</x:v>
      </x:c>
      <x:c r="M556" s="36" t="str">
        <x:f>FRAGEN_MASTER!X556</x:f>
        <x:v>Apostelgeschichte 22,22–29</x:v>
      </x:c>
      <x:c r="N556" s="36" t="str">
        <x:f>FRAGEN_MASTER!Y556</x:f>
        <x:v>Die angekündigte Geißelung wird gestoppt, als Paulus sein römisches Bürgerrecht geltend macht.</x:v>
      </x:c>
      <x:c r="O556" s="36" t="str">
        <x:f>FRAGEN_MASTER!AG556</x:f>
        <x:v>FREIGEGEBEN</x:v>
      </x:c>
      <x:c r="P556" s="36" t="str">
        <x:f>FRAGEN_MASTER!AI556</x:f>
        <x:v>FREIGEGEBEN</x:v>
      </x:c>
      <x:c r="Q556" s="36" t="str">
        <x:f>FRAGEN_MASTER!AL556</x:f>
        <x:v>JA</x:v>
      </x:c>
    </x:row>
    <x:row r="557">
      <x:c r="A557" s="36" t="str">
        <x:f>FRAGEN_MASTER!A557</x:f>
        <x:v>FP-0816</x:v>
      </x:c>
      <x:c r="B557" s="36" t="str">
        <x:f>FRAGEN_MASTER!B557</x:f>
        <x:v>ACT</x:v>
      </x:c>
      <x:c r="C557" s="36" t="str">
        <x:f>FRAGEN_MASTER!C557</x:f>
        <x:v>Apostelgeschichte</x:v>
      </x:c>
      <x:c r="D557" s="36" t="n">
        <x:f>FRAGEN_MASTER!D557</x:f>
        <x:v>23</x:v>
      </x:c>
      <x:c r="E557" s="36" t="n">
        <x:f>FRAGEN_MASTER!E557</x:f>
        <x:v>1</x:v>
      </x:c>
      <x:c r="F557" s="36" t="str">
        <x:f>FRAGEN_MASTER!Q557</x:f>
        <x:v>Wie reagiert Paulus, nachdem er den Hohenpriester unwissentlich scharf angesprochen hat?</x:v>
      </x:c>
      <x:c r="G557" s="36" t="str">
        <x:f>FRAGEN_MASTER!R557</x:f>
        <x:v>Er schlägt den Hohepriester.</x:v>
      </x:c>
      <x:c r="H557" s="36" t="str">
        <x:f>FRAGEN_MASTER!S557</x:f>
        <x:v>Er sagt, er habe nicht gewusst, dass es der Hohepriester sei, und zitiert das Gebot, einen Obersten nicht zu schmähen.</x:v>
      </x:c>
      <x:c r="I557" s="36" t="str">
        <x:f>FRAGEN_MASTER!T557</x:f>
        <x:v>Er widerruft seinen Glauben.</x:v>
      </x:c>
      <x:c r="J557" s="36" t="str">
        <x:f>FRAGEN_MASTER!U557</x:f>
        <x:v>Er verlässt den Rat.</x:v>
      </x:c>
      <x:c r="K557" s="36" t="n">
        <x:f>FRAGEN_MASTER!V557</x:f>
        <x:v>1</x:v>
      </x:c>
      <x:c r="L557" s="36" t="str">
        <x:f>FRAGEN_MASTER!W557</x:f>
        <x:v>Er sagt, er habe nicht gewusst, dass es der Hohepriester sei, und zitiert das Gebot, einen Obersten nicht zu schmähen.</x:v>
      </x:c>
      <x:c r="M557" s="36" t="str">
        <x:f>FRAGEN_MASTER!X557</x:f>
        <x:v>Apostelgeschichte 23,1–5</x:v>
      </x:c>
      <x:c r="N557" s="36" t="str">
        <x:f>FRAGEN_MASTER!Y557</x:f>
        <x:v>Paulus korrigiert sich unter Berufung auf die Schrift, nachdem ihm die Stellung des Hohenpriesters genannt wird.</x:v>
      </x:c>
      <x:c r="O557" s="36" t="str">
        <x:f>FRAGEN_MASTER!AG557</x:f>
        <x:v>FREIGEGEBEN</x:v>
      </x:c>
      <x:c r="P557" s="36" t="str">
        <x:f>FRAGEN_MASTER!AI557</x:f>
        <x:v>FREIGEGEBEN</x:v>
      </x:c>
      <x:c r="Q557" s="36" t="str">
        <x:f>FRAGEN_MASTER!AL557</x:f>
        <x:v>JA</x:v>
      </x:c>
    </x:row>
    <x:row r="558">
      <x:c r="A558" s="36" t="str">
        <x:f>FRAGEN_MASTER!A558</x:f>
        <x:v>FP-0817</x:v>
      </x:c>
      <x:c r="B558" s="36" t="str">
        <x:f>FRAGEN_MASTER!B558</x:f>
        <x:v>ACT</x:v>
      </x:c>
      <x:c r="C558" s="36" t="str">
        <x:f>FRAGEN_MASTER!C558</x:f>
        <x:v>Apostelgeschichte</x:v>
      </x:c>
      <x:c r="D558" s="36" t="n">
        <x:f>FRAGEN_MASTER!D558</x:f>
        <x:v>23</x:v>
      </x:c>
      <x:c r="E558" s="36" t="n">
        <x:f>FRAGEN_MASTER!E558</x:f>
        <x:v>2</x:v>
      </x:c>
      <x:c r="F558" s="36" t="str">
        <x:f>FRAGEN_MASTER!Q558</x:f>
        <x:v>Wie löst Paulus eine Spaltung im Hohen Rat aus?</x:v>
      </x:c>
      <x:c r="G558" s="36" t="str">
        <x:f>FRAGEN_MASTER!R558</x:f>
        <x:v>Er fordert die Auflösung des Rates.</x:v>
      </x:c>
      <x:c r="H558" s="36" t="str">
        <x:f>FRAGEN_MASTER!S558</x:f>
        <x:v>Er erklärt sich zum Sadduzäer.</x:v>
      </x:c>
      <x:c r="I558" s="36" t="str">
        <x:f>FRAGEN_MASTER!T558</x:f>
        <x:v>Er erklärt, wegen der Hoffnung auf die Auferstehung der Toten vor Gericht zu stehen.</x:v>
      </x:c>
      <x:c r="J558" s="36" t="str">
        <x:f>FRAGEN_MASTER!U558</x:f>
        <x:v>Er bestreitet jede Auferstehung.</x:v>
      </x:c>
      <x:c r="K558" s="36" t="n">
        <x:f>FRAGEN_MASTER!V558</x:f>
        <x:v>2</x:v>
      </x:c>
      <x:c r="L558" s="36" t="str">
        <x:f>FRAGEN_MASTER!W558</x:f>
        <x:v>Er erklärt, wegen der Hoffnung auf die Auferstehung der Toten vor Gericht zu stehen.</x:v>
      </x:c>
      <x:c r="M558" s="36" t="str">
        <x:f>FRAGEN_MASTER!X558</x:f>
        <x:v>Apostelgeschichte 23,6–10</x:v>
      </x:c>
      <x:c r="N558" s="36" t="str">
        <x:f>FRAGEN_MASTER!Y558</x:f>
        <x:v>Da Pharisäer und Sadduzäer in der Auferstehungsfrage unterschiedlich denken, führt Paulus' Aussage zu heftigem Streit.</x:v>
      </x:c>
      <x:c r="O558" s="36" t="str">
        <x:f>FRAGEN_MASTER!AG558</x:f>
        <x:v>FREIGEGEBEN</x:v>
      </x:c>
      <x:c r="P558" s="36" t="str">
        <x:f>FRAGEN_MASTER!AI558</x:f>
        <x:v>FREIGEGEBEN</x:v>
      </x:c>
      <x:c r="Q558" s="36" t="str">
        <x:f>FRAGEN_MASTER!AL558</x:f>
        <x:v>JA</x:v>
      </x:c>
    </x:row>
    <x:row r="559">
      <x:c r="A559" s="36" t="str">
        <x:f>FRAGEN_MASTER!A559</x:f>
        <x:v>FP-0818</x:v>
      </x:c>
      <x:c r="B559" s="36" t="str">
        <x:f>FRAGEN_MASTER!B559</x:f>
        <x:v>ACT</x:v>
      </x:c>
      <x:c r="C559" s="36" t="str">
        <x:f>FRAGEN_MASTER!C559</x:f>
        <x:v>Apostelgeschichte</x:v>
      </x:c>
      <x:c r="D559" s="36" t="n">
        <x:f>FRAGEN_MASTER!D559</x:f>
        <x:v>23</x:v>
      </x:c>
      <x:c r="E559" s="36" t="n">
        <x:f>FRAGEN_MASTER!E559</x:f>
        <x:v>3</x:v>
      </x:c>
      <x:c r="F559" s="36" t="str">
        <x:f>FRAGEN_MASTER!Q559</x:f>
        <x:v>Welche Ermutigung erhält Paulus in der folgenden Nacht vom Herrn?</x:v>
      </x:c>
      <x:c r="G559" s="36" t="str">
        <x:f>FRAGEN_MASTER!R559</x:f>
        <x:v>Er soll Jerusalem sofort verlassen und nie wieder predigen.</x:v>
      </x:c>
      <x:c r="H559" s="36" t="str">
        <x:f>FRAGEN_MASTER!S559</x:f>
        <x:v>Er werde nie nach Rom kommen.</x:v>
      </x:c>
      <x:c r="I559" s="36" t="str">
        <x:f>FRAGEN_MASTER!T559</x:f>
        <x:v>Er soll vor dem Rat schweigen.</x:v>
      </x:c>
      <x:c r="J559" s="36" t="str">
        <x:f>FRAGEN_MASTER!U559</x:f>
        <x:v>Wie er in Jerusalem von Jesus bezeugt hat, soll er auch in Rom Zeugnis geben.</x:v>
      </x:c>
      <x:c r="K559" s="36" t="n">
        <x:f>FRAGEN_MASTER!V559</x:f>
        <x:v>3</x:v>
      </x:c>
      <x:c r="L559" s="36" t="str">
        <x:f>FRAGEN_MASTER!W559</x:f>
        <x:v>Wie er in Jerusalem von Jesus bezeugt hat, soll er auch in Rom Zeugnis geben.</x:v>
      </x:c>
      <x:c r="M559" s="36" t="str">
        <x:f>FRAGEN_MASTER!X559</x:f>
        <x:v>Apostelgeschichte 23,11</x:v>
      </x:c>
      <x:c r="N559" s="36" t="str">
        <x:f>FRAGEN_MASTER!Y559</x:f>
        <x:v>Die Erscheinung verbindet Ermutigung mit der Perspektive eines künftigen Zeugnisses in Rom.</x:v>
      </x:c>
      <x:c r="O559" s="36" t="str">
        <x:f>FRAGEN_MASTER!AG559</x:f>
        <x:v>FREIGEGEBEN</x:v>
      </x:c>
      <x:c r="P559" s="36" t="str">
        <x:f>FRAGEN_MASTER!AI559</x:f>
        <x:v>FREIGEGEBEN</x:v>
      </x:c>
      <x:c r="Q559" s="36" t="str">
        <x:f>FRAGEN_MASTER!AL559</x:f>
        <x:v>JA</x:v>
      </x:c>
    </x:row>
    <x:row r="560">
      <x:c r="A560" s="36" t="str">
        <x:f>FRAGEN_MASTER!A560</x:f>
        <x:v>FP-0819</x:v>
      </x:c>
      <x:c r="B560" s="36" t="str">
        <x:f>FRAGEN_MASTER!B560</x:f>
        <x:v>ACT</x:v>
      </x:c>
      <x:c r="C560" s="36" t="str">
        <x:f>FRAGEN_MASTER!C560</x:f>
        <x:v>Apostelgeschichte</x:v>
      </x:c>
      <x:c r="D560" s="36" t="n">
        <x:f>FRAGEN_MASTER!D560</x:f>
        <x:v>23</x:v>
      </x:c>
      <x:c r="E560" s="36" t="n">
        <x:f>FRAGEN_MASTER!E560</x:f>
        <x:v>4</x:v>
      </x:c>
      <x:c r="F560" s="36" t="str">
        <x:f>FRAGEN_MASTER!Q560</x:f>
        <x:v>Wie wird der Anschlag von mehr als vierzig Männern auf Paulus vereitelt?</x:v>
      </x:c>
      <x:c r="G560" s="36" t="str">
        <x:f>FRAGEN_MASTER!R560</x:f>
        <x:v>Paulus' Neffe erfährt davon und informiert über Paulus den römischen Kommandanten.</x:v>
      </x:c>
      <x:c r="H560" s="36" t="str">
        <x:f>FRAGEN_MASTER!S560</x:f>
        <x:v>Petrus entdeckt den Plan.</x:v>
      </x:c>
      <x:c r="I560" s="36" t="str">
        <x:f>FRAGEN_MASTER!T560</x:f>
        <x:v>Die Verschwörer geben freiwillig auf.</x:v>
      </x:c>
      <x:c r="J560" s="36" t="str">
        <x:f>FRAGEN_MASTER!U560</x:f>
        <x:v>Herodes lässt sie verhaften.</x:v>
      </x:c>
      <x:c r="K560" s="36" t="n">
        <x:f>FRAGEN_MASTER!V560</x:f>
        <x:v>0</x:v>
      </x:c>
      <x:c r="L560" s="36" t="str">
        <x:f>FRAGEN_MASTER!W560</x:f>
        <x:v>Paulus' Neffe erfährt davon und informiert über Paulus den römischen Kommandanten.</x:v>
      </x:c>
      <x:c r="M560" s="36" t="str">
        <x:f>FRAGEN_MASTER!X560</x:f>
        <x:v>Apostelgeschichte 23,12–22</x:v>
      </x:c>
      <x:c r="N560" s="36" t="str">
        <x:f>FRAGEN_MASTER!Y560</x:f>
        <x:v>Ein Verwandter des Paulus hört von dem Schwur, meldet ihn, und der Kommandant reagiert.</x:v>
      </x:c>
      <x:c r="O560" s="36" t="str">
        <x:f>FRAGEN_MASTER!AG560</x:f>
        <x:v>FREIGEGEBEN</x:v>
      </x:c>
      <x:c r="P560" s="36" t="str">
        <x:f>FRAGEN_MASTER!AI560</x:f>
        <x:v>FREIGEGEBEN</x:v>
      </x:c>
      <x:c r="Q560" s="36" t="str">
        <x:f>FRAGEN_MASTER!AL560</x:f>
        <x:v>JA</x:v>
      </x:c>
    </x:row>
    <x:row r="561">
      <x:c r="A561" s="36" t="str">
        <x:f>FRAGEN_MASTER!A561</x:f>
        <x:v>FP-0820</x:v>
      </x:c>
      <x:c r="B561" s="36" t="str">
        <x:f>FRAGEN_MASTER!B561</x:f>
        <x:v>ACT</x:v>
      </x:c>
      <x:c r="C561" s="36" t="str">
        <x:f>FRAGEN_MASTER!C561</x:f>
        <x:v>Apostelgeschichte</x:v>
      </x:c>
      <x:c r="D561" s="36" t="n">
        <x:f>FRAGEN_MASTER!D561</x:f>
        <x:v>23</x:v>
      </x:c>
      <x:c r="E561" s="36" t="n">
        <x:f>FRAGEN_MASTER!E561</x:f>
        <x:v>5</x:v>
      </x:c>
      <x:c r="F561" s="36" t="str">
        <x:f>FRAGEN_MASTER!Q561</x:f>
        <x:v>Wohin wird Paulus unter starkem militärischem Schutz gebracht?</x:v>
      </x:c>
      <x:c r="G561" s="36" t="str">
        <x:f>FRAGEN_MASTER!R561</x:f>
        <x:v>Nach Damaskus.</x:v>
      </x:c>
      <x:c r="H561" s="36" t="str">
        <x:f>FRAGEN_MASTER!S561</x:f>
        <x:v>Nach Cäsarea zum Statthalter Felix.</x:v>
      </x:c>
      <x:c r="I561" s="36" t="str">
        <x:f>FRAGEN_MASTER!T561</x:f>
        <x:v>Nach Antiochia.</x:v>
      </x:c>
      <x:c r="J561" s="36" t="str">
        <x:f>FRAGEN_MASTER!U561</x:f>
        <x:v>Direkt nach Rom.</x:v>
      </x:c>
      <x:c r="K561" s="36" t="n">
        <x:f>FRAGEN_MASTER!V561</x:f>
        <x:v>1</x:v>
      </x:c>
      <x:c r="L561" s="36" t="str">
        <x:f>FRAGEN_MASTER!W561</x:f>
        <x:v>Nach Cäsarea zum Statthalter Felix.</x:v>
      </x:c>
      <x:c r="M561" s="36" t="str">
        <x:f>FRAGEN_MASTER!X561</x:f>
        <x:v>Apostelgeschichte 23,23–35</x:v>
      </x:c>
      <x:c r="N561" s="36" t="str">
        <x:f>FRAGEN_MASTER!Y561</x:f>
        <x:v>Der Kommandant lässt Paulus mit einer großen Eskorte nach Cäsarea bringen, wo Felix zuständig ist.</x:v>
      </x:c>
      <x:c r="O561" s="36" t="str">
        <x:f>FRAGEN_MASTER!AG561</x:f>
        <x:v>FREIGEGEBEN</x:v>
      </x:c>
      <x:c r="P561" s="36" t="str">
        <x:f>FRAGEN_MASTER!AI561</x:f>
        <x:v>FREIGEGEBEN</x:v>
      </x:c>
      <x:c r="Q561" s="36" t="str">
        <x:f>FRAGEN_MASTER!AL561</x:f>
        <x:v>JA</x:v>
      </x:c>
    </x:row>
    <x:row r="562">
      <x:c r="A562" s="36" t="str">
        <x:f>FRAGEN_MASTER!A562</x:f>
        <x:v>FP-0821</x:v>
      </x:c>
      <x:c r="B562" s="36" t="str">
        <x:f>FRAGEN_MASTER!B562</x:f>
        <x:v>ACT</x:v>
      </x:c>
      <x:c r="C562" s="36" t="str">
        <x:f>FRAGEN_MASTER!C562</x:f>
        <x:v>Apostelgeschichte</x:v>
      </x:c>
      <x:c r="D562" s="36" t="n">
        <x:f>FRAGEN_MASTER!D562</x:f>
        <x:v>24</x:v>
      </x:c>
      <x:c r="E562" s="36" t="n">
        <x:f>FRAGEN_MASTER!E562</x:f>
        <x:v>1</x:v>
      </x:c>
      <x:c r="F562" s="36" t="str">
        <x:f>FRAGEN_MASTER!Q562</x:f>
        <x:v>Welche Art von Anklage bringt Tertullus vor Felix gegen Paulus vor?</x:v>
      </x:c>
      <x:c r="G562" s="36" t="str">
        <x:f>FRAGEN_MASTER!R562</x:f>
        <x:v>Er beschuldigt ihn des Steuerbetrugs in Rom.</x:v>
      </x:c>
      <x:c r="H562" s="36" t="str">
        <x:f>FRAGEN_MASTER!S562</x:f>
        <x:v>Er wirft ihm Mord an Stephanus vor.</x:v>
      </x:c>
      <x:c r="I562" s="36" t="str">
        <x:f>FRAGEN_MASTER!T562</x:f>
        <x:v>Er stellt Paulus als Unruhestifter, Anführer der Nazarener und Tempelschänder dar.</x:v>
      </x:c>
      <x:c r="J562" s="36" t="str">
        <x:f>FRAGEN_MASTER!U562</x:f>
        <x:v>Er klagt ihn wegen Desertion aus der Armee an.</x:v>
      </x:c>
      <x:c r="K562" s="36" t="n">
        <x:f>FRAGEN_MASTER!V562</x:f>
        <x:v>2</x:v>
      </x:c>
      <x:c r="L562" s="36" t="str">
        <x:f>FRAGEN_MASTER!W562</x:f>
        <x:v>Er stellt Paulus als Unruhestifter, Anführer der Nazarener und Tempelschänder dar.</x:v>
      </x:c>
      <x:c r="M562" s="36" t="str">
        <x:f>FRAGEN_MASTER!X562</x:f>
        <x:v>Apostelgeschichte 24,1–9</x:v>
      </x:c>
      <x:c r="N562" s="36" t="str">
        <x:f>FRAGEN_MASTER!Y562</x:f>
        <x:v>Tertullus formuliert politische und religiöse Vorwürfe gegen Paulus.</x:v>
      </x:c>
      <x:c r="O562" s="36" t="str">
        <x:f>FRAGEN_MASTER!AG562</x:f>
        <x:v>FREIGEGEBEN</x:v>
      </x:c>
      <x:c r="P562" s="36" t="str">
        <x:f>FRAGEN_MASTER!AI562</x:f>
        <x:v>FREIGEGEBEN</x:v>
      </x:c>
      <x:c r="Q562" s="36" t="str">
        <x:f>FRAGEN_MASTER!AL562</x:f>
        <x:v>JA</x:v>
      </x:c>
    </x:row>
    <x:row r="563">
      <x:c r="A563" s="36" t="str">
        <x:f>FRAGEN_MASTER!A563</x:f>
        <x:v>FP-0822</x:v>
      </x:c>
      <x:c r="B563" s="36" t="str">
        <x:f>FRAGEN_MASTER!B563</x:f>
        <x:v>ACT</x:v>
      </x:c>
      <x:c r="C563" s="36" t="str">
        <x:f>FRAGEN_MASTER!C563</x:f>
        <x:v>Apostelgeschichte</x:v>
      </x:c>
      <x:c r="D563" s="36" t="n">
        <x:f>FRAGEN_MASTER!D563</x:f>
        <x:v>24</x:v>
      </x:c>
      <x:c r="E563" s="36" t="n">
        <x:f>FRAGEN_MASTER!E563</x:f>
        <x:v>2</x:v>
      </x:c>
      <x:c r="F563" s="36" t="str">
        <x:f>FRAGEN_MASTER!Q563</x:f>
        <x:v>Wie beschreibt Paulus vor Felix seinen Glauben und sein Gewissen?</x:v>
      </x:c>
      <x:c r="G563" s="36" t="str">
        <x:f>FRAGEN_MASTER!R563</x:f>
        <x:v>Er habe das Gesetz vollständig verworfen.</x:v>
      </x:c>
      <x:c r="H563" s="36" t="str">
        <x:f>FRAGEN_MASTER!S563</x:f>
        <x:v>Er glaube nicht an die Propheten.</x:v>
      </x:c>
      <x:c r="I563" s="36" t="str">
        <x:f>FRAGEN_MASTER!T563</x:f>
        <x:v>Er halte Gewissen für bedeutungslos.</x:v>
      </x:c>
      <x:c r="J563" s="36" t="str">
        <x:f>FRAGEN_MASTER!U563</x:f>
        <x:v>Er dient dem Gott seiner Väter nach dem „Weg“, glaubt Gesetz und Propheten und bemüht sich um ein unverletztes Gewissen.</x:v>
      </x:c>
      <x:c r="K563" s="36" t="n">
        <x:f>FRAGEN_MASTER!V563</x:f>
        <x:v>3</x:v>
      </x:c>
      <x:c r="L563" s="36" t="str">
        <x:f>FRAGEN_MASTER!W563</x:f>
        <x:v>Er dient dem Gott seiner Väter nach dem „Weg“, glaubt Gesetz und Propheten und bemüht sich um ein unverletztes Gewissen.</x:v>
      </x:c>
      <x:c r="M563" s="36" t="str">
        <x:f>FRAGEN_MASTER!X563</x:f>
        <x:v>Apostelgeschichte 24,10–16</x:v>
      </x:c>
      <x:c r="N563" s="36" t="str">
        <x:f>FRAGEN_MASTER!Y563</x:f>
        <x:v>Paulus weist die Vorwürfe zurück und stellt Kontinuität mit Israels Gott und den Schriften heraus.</x:v>
      </x:c>
      <x:c r="O563" s="36" t="str">
        <x:f>FRAGEN_MASTER!AG563</x:f>
        <x:v>FREIGEGEBEN</x:v>
      </x:c>
      <x:c r="P563" s="36" t="str">
        <x:f>FRAGEN_MASTER!AI563</x:f>
        <x:v>FREIGEGEBEN</x:v>
      </x:c>
      <x:c r="Q563" s="36" t="str">
        <x:f>FRAGEN_MASTER!AL563</x:f>
        <x:v>JA</x:v>
      </x:c>
    </x:row>
    <x:row r="564">
      <x:c r="A564" s="36" t="str">
        <x:f>FRAGEN_MASTER!A564</x:f>
        <x:v>FP-0823</x:v>
      </x:c>
      <x:c r="B564" s="36" t="str">
        <x:f>FRAGEN_MASTER!B564</x:f>
        <x:v>ACT</x:v>
      </x:c>
      <x:c r="C564" s="36" t="str">
        <x:f>FRAGEN_MASTER!C564</x:f>
        <x:v>Apostelgeschichte</x:v>
      </x:c>
      <x:c r="D564" s="36" t="n">
        <x:f>FRAGEN_MASTER!D564</x:f>
        <x:v>24</x:v>
      </x:c>
      <x:c r="E564" s="36" t="n">
        <x:f>FRAGEN_MASTER!E564</x:f>
        <x:v>3</x:v>
      </x:c>
      <x:c r="F564" s="36" t="str">
        <x:f>FRAGEN_MASTER!Q564</x:f>
        <x:v>Welche Aussage nennt Paulus als eigentlichen Streitpunkt seines Verfahrens?</x:v>
      </x:c>
      <x:c r="G564" s="36" t="str">
        <x:f>FRAGEN_MASTER!R564</x:f>
        <x:v>Die Auferstehung der Toten.</x:v>
      </x:c>
      <x:c r="H564" s="36" t="str">
        <x:f>FRAGEN_MASTER!S564</x:f>
        <x:v>Die römische Steuer.</x:v>
      </x:c>
      <x:c r="I564" s="36" t="str">
        <x:f>FRAGEN_MASTER!T564</x:f>
        <x:v>Die Tempelsteuer.</x:v>
      </x:c>
      <x:c r="J564" s="36" t="str">
        <x:f>FRAGEN_MASTER!U564</x:f>
        <x:v>Seine Herkunft aus Tarsus.</x:v>
      </x:c>
      <x:c r="K564" s="36" t="n">
        <x:f>FRAGEN_MASTER!V564</x:f>
        <x:v>0</x:v>
      </x:c>
      <x:c r="L564" s="36" t="str">
        <x:f>FRAGEN_MASTER!W564</x:f>
        <x:v>Die Auferstehung der Toten.</x:v>
      </x:c>
      <x:c r="M564" s="36" t="str">
        <x:f>FRAGEN_MASTER!X564</x:f>
        <x:v>Apostelgeschichte 24,17–21</x:v>
      </x:c>
      <x:c r="N564" s="36" t="str">
        <x:f>FRAGEN_MASTER!Y564</x:f>
        <x:v>Paulus reduziert den Kern des Konflikts auf seine Aussage über die Auferstehung.</x:v>
      </x:c>
      <x:c r="O564" s="36" t="str">
        <x:f>FRAGEN_MASTER!AG564</x:f>
        <x:v>FREIGEGEBEN</x:v>
      </x:c>
      <x:c r="P564" s="36" t="str">
        <x:f>FRAGEN_MASTER!AI564</x:f>
        <x:v>FREIGEGEBEN</x:v>
      </x:c>
      <x:c r="Q564" s="36" t="str">
        <x:f>FRAGEN_MASTER!AL564</x:f>
        <x:v>JA</x:v>
      </x:c>
    </x:row>
    <x:row r="565">
      <x:c r="A565" s="36" t="str">
        <x:f>FRAGEN_MASTER!A565</x:f>
        <x:v>FP-0824</x:v>
      </x:c>
      <x:c r="B565" s="36" t="str">
        <x:f>FRAGEN_MASTER!B565</x:f>
        <x:v>ACT</x:v>
      </x:c>
      <x:c r="C565" s="36" t="str">
        <x:f>FRAGEN_MASTER!C565</x:f>
        <x:v>Apostelgeschichte</x:v>
      </x:c>
      <x:c r="D565" s="36" t="n">
        <x:f>FRAGEN_MASTER!D565</x:f>
        <x:v>24</x:v>
      </x:c>
      <x:c r="E565" s="36" t="n">
        <x:f>FRAGEN_MASTER!E565</x:f>
        <x:v>4</x:v>
      </x:c>
      <x:c r="F565" s="36" t="str">
        <x:f>FRAGEN_MASTER!Q565</x:f>
        <x:v>Wie reagiert Felix, als Paulus über Gerechtigkeit, Selbstbeherrschung und kommendes Gericht spricht?</x:v>
      </x:c>
      <x:c r="G565" s="36" t="str">
        <x:f>FRAGEN_MASTER!R565</x:f>
        <x:v>Er lässt sich sofort taufen.</x:v>
      </x:c>
      <x:c r="H565" s="36" t="str">
        <x:f>FRAGEN_MASTER!S565</x:f>
        <x:v>Er bekommt Angst und beendet das Gespräch zunächst.</x:v>
      </x:c>
      <x:c r="I565" s="36" t="str">
        <x:f>FRAGEN_MASTER!T565</x:f>
        <x:v>Er spricht Paulus frei.</x:v>
      </x:c>
      <x:c r="J565" s="36" t="str">
        <x:f>FRAGEN_MASTER!U565</x:f>
        <x:v>Er schläft während der Rede ein.</x:v>
      </x:c>
      <x:c r="K565" s="36" t="n">
        <x:f>FRAGEN_MASTER!V565</x:f>
        <x:v>1</x:v>
      </x:c>
      <x:c r="L565" s="36" t="str">
        <x:f>FRAGEN_MASTER!W565</x:f>
        <x:v>Er bekommt Angst und beendet das Gespräch zunächst.</x:v>
      </x:c>
      <x:c r="M565" s="36" t="str">
        <x:f>FRAGEN_MASTER!X565</x:f>
        <x:v>Apostelgeschichte 24,24–25</x:v>
      </x:c>
      <x:c r="N565" s="36" t="str">
        <x:f>FRAGEN_MASTER!Y565</x:f>
        <x:v>Felix erschrickt angesichts der Themen und vertagt das Gespräch.</x:v>
      </x:c>
      <x:c r="O565" s="36" t="str">
        <x:f>FRAGEN_MASTER!AG565</x:f>
        <x:v>FREIGEGEBEN</x:v>
      </x:c>
      <x:c r="P565" s="36" t="str">
        <x:f>FRAGEN_MASTER!AI565</x:f>
        <x:v>FREIGEGEBEN</x:v>
      </x:c>
      <x:c r="Q565" s="36" t="str">
        <x:f>FRAGEN_MASTER!AL565</x:f>
        <x:v>JA</x:v>
      </x:c>
    </x:row>
    <x:row r="566">
      <x:c r="A566" s="36" t="str">
        <x:f>FRAGEN_MASTER!A566</x:f>
        <x:v>FP-0825</x:v>
      </x:c>
      <x:c r="B566" s="36" t="str">
        <x:f>FRAGEN_MASTER!B566</x:f>
        <x:v>ACT</x:v>
      </x:c>
      <x:c r="C566" s="36" t="str">
        <x:f>FRAGEN_MASTER!C566</x:f>
        <x:v>Apostelgeschichte</x:v>
      </x:c>
      <x:c r="D566" s="36" t="n">
        <x:f>FRAGEN_MASTER!D566</x:f>
        <x:v>24</x:v>
      </x:c>
      <x:c r="E566" s="36" t="n">
        <x:f>FRAGEN_MASTER!E566</x:f>
        <x:v>5</x:v>
      </x:c>
      <x:c r="F566" s="36" t="str">
        <x:f>FRAGEN_MASTER!Q566</x:f>
        <x:v>Warum lässt Felix Paulus trotz häufiger Gespräche zwei Jahre lang gefangen?</x:v>
      </x:c>
      <x:c r="G566" s="36" t="str">
        <x:f>FRAGEN_MASTER!R566</x:f>
        <x:v>Er hat Paulus vergessen.</x:v>
      </x:c>
      <x:c r="H566" s="36" t="str">
        <x:f>FRAGEN_MASTER!S566</x:f>
        <x:v>Paulus verweigert jedes Gespräch.</x:v>
      </x:c>
      <x:c r="I566" s="36" t="str">
        <x:f>FRAGEN_MASTER!T566</x:f>
        <x:v>Er hofft auf Bestechungsgeld und will zugleich den Juden einen Gefallen tun.</x:v>
      </x:c>
      <x:c r="J566" s="36" t="str">
        <x:f>FRAGEN_MASTER!U566</x:f>
        <x:v>Rom verbietet jede Entscheidung.</x:v>
      </x:c>
      <x:c r="K566" s="36" t="n">
        <x:f>FRAGEN_MASTER!V566</x:f>
        <x:v>2</x:v>
      </x:c>
      <x:c r="L566" s="36" t="str">
        <x:f>FRAGEN_MASTER!W566</x:f>
        <x:v>Er hofft auf Bestechungsgeld und will zugleich den Juden einen Gefallen tun.</x:v>
      </x:c>
      <x:c r="M566" s="36" t="str">
        <x:f>FRAGEN_MASTER!X566</x:f>
        <x:v>Apostelgeschichte 24,26–27</x:v>
      </x:c>
      <x:c r="N566" s="36" t="str">
        <x:f>FRAGEN_MASTER!Y566</x:f>
        <x:v>Lukas nennt sowohl Felix' Hoffnung auf Geld als auch sein politisches Interesse an Zustimmung.</x:v>
      </x:c>
      <x:c r="O566" s="36" t="str">
        <x:f>FRAGEN_MASTER!AG566</x:f>
        <x:v>FREIGEGEBEN</x:v>
      </x:c>
      <x:c r="P566" s="36" t="str">
        <x:f>FRAGEN_MASTER!AI566</x:f>
        <x:v>FREIGEGEBEN</x:v>
      </x:c>
      <x:c r="Q566" s="36" t="str">
        <x:f>FRAGEN_MASTER!AL566</x:f>
        <x:v>JA</x:v>
      </x:c>
    </x:row>
    <x:row r="567">
      <x:c r="A567" s="36" t="str">
        <x:f>FRAGEN_MASTER!A567</x:f>
        <x:v>FP-0826</x:v>
      </x:c>
      <x:c r="B567" s="36" t="str">
        <x:f>FRAGEN_MASTER!B567</x:f>
        <x:v>ACT</x:v>
      </x:c>
      <x:c r="C567" s="36" t="str">
        <x:f>FRAGEN_MASTER!C567</x:f>
        <x:v>Apostelgeschichte</x:v>
      </x:c>
      <x:c r="D567" s="36" t="n">
        <x:f>FRAGEN_MASTER!D567</x:f>
        <x:v>25</x:v>
      </x:c>
      <x:c r="E567" s="36" t="n">
        <x:f>FRAGEN_MASTER!E567</x:f>
        <x:v>1</x:v>
      </x:c>
      <x:c r="F567" s="36" t="str">
        <x:f>FRAGEN_MASTER!Q567</x:f>
        <x:v>Was versuchen die führenden Juden bei Festus in Jerusalem zu erreichen?</x:v>
      </x:c>
      <x:c r="G567" s="36" t="str">
        <x:f>FRAGEN_MASTER!R567</x:f>
        <x:v>Paulus soll sofort freigelassen werden.</x:v>
      </x:c>
      <x:c r="H567" s="36" t="str">
        <x:f>FRAGEN_MASTER!S567</x:f>
        <x:v>Paulus soll zum Hohenpriester ernannt werden.</x:v>
      </x:c>
      <x:c r="I567" s="36" t="str">
        <x:f>FRAGEN_MASTER!T567</x:f>
        <x:v>Paulus soll nach Damaskus gebracht werden.</x:v>
      </x:c>
      <x:c r="J567" s="36" t="str">
        <x:f>FRAGEN_MASTER!U567</x:f>
        <x:v>Paulus soll nach Jerusalem überstellt werden, während sie einen Anschlag auf dem Weg planen.</x:v>
      </x:c>
      <x:c r="K567" s="36" t="n">
        <x:f>FRAGEN_MASTER!V567</x:f>
        <x:v>3</x:v>
      </x:c>
      <x:c r="L567" s="36" t="str">
        <x:f>FRAGEN_MASTER!W567</x:f>
        <x:v>Paulus soll nach Jerusalem überstellt werden, während sie einen Anschlag auf dem Weg planen.</x:v>
      </x:c>
      <x:c r="M567" s="36" t="str">
        <x:f>FRAGEN_MASTER!X567</x:f>
        <x:v>Apostelgeschichte 25,1–5</x:v>
      </x:c>
      <x:c r="N567" s="36" t="str">
        <x:f>FRAGEN_MASTER!Y567</x:f>
        <x:v>Sie bitten um Überstellung nach Jerusalem, planen aber heimlich, Paulus unterwegs zu töten.</x:v>
      </x:c>
      <x:c r="O567" s="36" t="str">
        <x:f>FRAGEN_MASTER!AG567</x:f>
        <x:v>FREIGEGEBEN</x:v>
      </x:c>
      <x:c r="P567" s="36" t="str">
        <x:f>FRAGEN_MASTER!AI567</x:f>
        <x:v>FREIGEGEBEN</x:v>
      </x:c>
      <x:c r="Q567" s="36" t="str">
        <x:f>FRAGEN_MASTER!AL567</x:f>
        <x:v>JA</x:v>
      </x:c>
    </x:row>
    <x:row r="568">
      <x:c r="A568" s="36" t="str">
        <x:f>FRAGEN_MASTER!A568</x:f>
        <x:v>FP-0827</x:v>
      </x:c>
      <x:c r="B568" s="36" t="str">
        <x:f>FRAGEN_MASTER!B568</x:f>
        <x:v>ACT</x:v>
      </x:c>
      <x:c r="C568" s="36" t="str">
        <x:f>FRAGEN_MASTER!C568</x:f>
        <x:v>Apostelgeschichte</x:v>
      </x:c>
      <x:c r="D568" s="36" t="n">
        <x:f>FRAGEN_MASTER!D568</x:f>
        <x:v>25</x:v>
      </x:c>
      <x:c r="E568" s="36" t="n">
        <x:f>FRAGEN_MASTER!E568</x:f>
        <x:v>2</x:v>
      </x:c>
      <x:c r="F568" s="36" t="str">
        <x:f>FRAGEN_MASTER!Q568</x:f>
        <x:v>Warum beruft sich Paulus auf den Kaiser?</x:v>
      </x:c>
      <x:c r="G568" s="36" t="str">
        <x:f>FRAGEN_MASTER!R568</x:f>
        <x:v>Weil er vor dem kaiserlichen Gericht steht und nicht ungerecht den Anklägern ausgeliefert werden will.</x:v>
      </x:c>
      <x:c r="H568" s="36" t="str">
        <x:f>FRAGEN_MASTER!S568</x:f>
        <x:v>Weil er römischer Kaiser werden möchte.</x:v>
      </x:c>
      <x:c r="I568" s="36" t="str">
        <x:f>FRAGEN_MASTER!T568</x:f>
        <x:v>Weil Festus ihn bereits freigesprochen hat.</x:v>
      </x:c>
      <x:c r="J568" s="36" t="str">
        <x:f>FRAGEN_MASTER!U568</x:f>
        <x:v>Weil Agrippa ihn dazu zwingt.</x:v>
      </x:c>
      <x:c r="K568" s="36" t="n">
        <x:f>FRAGEN_MASTER!V568</x:f>
        <x:v>0</x:v>
      </x:c>
      <x:c r="L568" s="36" t="str">
        <x:f>FRAGEN_MASTER!W568</x:f>
        <x:v>Weil er vor dem kaiserlichen Gericht steht und nicht ungerecht den Anklägern ausgeliefert werden will.</x:v>
      </x:c>
      <x:c r="M568" s="36" t="str">
        <x:f>FRAGEN_MASTER!X568</x:f>
        <x:v>Apostelgeschichte 25,6–12</x:v>
      </x:c>
      <x:c r="N568" s="36" t="str">
        <x:f>FRAGEN_MASTER!Y568</x:f>
        <x:v>Paulus weist die unbelegten Vorwürfe zurück und macht von seinem Recht Gebrauch, an den Kaiser zu appellieren.</x:v>
      </x:c>
      <x:c r="O568" s="36" t="str">
        <x:f>FRAGEN_MASTER!AG568</x:f>
        <x:v>FREIGEGEBEN</x:v>
      </x:c>
      <x:c r="P568" s="36" t="str">
        <x:f>FRAGEN_MASTER!AI568</x:f>
        <x:v>FREIGEGEBEN</x:v>
      </x:c>
      <x:c r="Q568" s="36" t="str">
        <x:f>FRAGEN_MASTER!AL568</x:f>
        <x:v>JA</x:v>
      </x:c>
    </x:row>
    <x:row r="569">
      <x:c r="A569" s="36" t="str">
        <x:f>FRAGEN_MASTER!A569</x:f>
        <x:v>FP-0828</x:v>
      </x:c>
      <x:c r="B569" s="36" t="str">
        <x:f>FRAGEN_MASTER!B569</x:f>
        <x:v>ACT</x:v>
      </x:c>
      <x:c r="C569" s="36" t="str">
        <x:f>FRAGEN_MASTER!C569</x:f>
        <x:v>Apostelgeschichte</x:v>
      </x:c>
      <x:c r="D569" s="36" t="n">
        <x:f>FRAGEN_MASTER!D569</x:f>
        <x:v>25</x:v>
      </x:c>
      <x:c r="E569" s="36" t="n">
        <x:f>FRAGEN_MASTER!E569</x:f>
        <x:v>3</x:v>
      </x:c>
      <x:c r="F569" s="36" t="str">
        <x:f>FRAGEN_MASTER!Q569</x:f>
        <x:v>Wie beschreibt Festus den Streit um Paulus gegenüber Agrippa?</x:v>
      </x:c>
      <x:c r="G569" s="36" t="str">
        <x:f>FRAGEN_MASTER!R569</x:f>
        <x:v>Als reinen Steuerfall.</x:v>
      </x:c>
      <x:c r="H569" s="36" t="str">
        <x:f>FRAGEN_MASTER!S569</x:f>
        <x:v>Als religiöse Streitfragen und besonders den Anspruch des Paulus, Jesus lebe, obwohl er gestorben sei.</x:v>
      </x:c>
      <x:c r="I569" s="36" t="str">
        <x:f>FRAGEN_MASTER!T569</x:f>
        <x:v>Als militärischen Aufstand.</x:v>
      </x:c>
      <x:c r="J569" s="36" t="str">
        <x:f>FRAGEN_MASTER!U569</x:f>
        <x:v>Als Streit um ein Grundstück.</x:v>
      </x:c>
      <x:c r="K569" s="36" t="n">
        <x:f>FRAGEN_MASTER!V569</x:f>
        <x:v>1</x:v>
      </x:c>
      <x:c r="L569" s="36" t="str">
        <x:f>FRAGEN_MASTER!W569</x:f>
        <x:v>Als religiöse Streitfragen und besonders den Anspruch des Paulus, Jesus lebe, obwohl er gestorben sei.</x:v>
      </x:c>
      <x:c r="M569" s="36" t="str">
        <x:f>FRAGEN_MASTER!X569</x:f>
        <x:v>Apostelgeschichte 25,13–22</x:v>
      </x:c>
      <x:c r="N569" s="36" t="str">
        <x:f>FRAGEN_MASTER!Y569</x:f>
        <x:v>Festus versteht die religiöse Dimension nur teilweise und hebt die Frage um den verstorbenen Jesus hervor, von dem Paulus sagt, er lebe.</x:v>
      </x:c>
      <x:c r="O569" s="36" t="str">
        <x:f>FRAGEN_MASTER!AG569</x:f>
        <x:v>FREIGEGEBEN</x:v>
      </x:c>
      <x:c r="P569" s="36" t="str">
        <x:f>FRAGEN_MASTER!AI569</x:f>
        <x:v>FREIGEGEBEN</x:v>
      </x:c>
      <x:c r="Q569" s="36" t="str">
        <x:f>FRAGEN_MASTER!AL569</x:f>
        <x:v>JA</x:v>
      </x:c>
    </x:row>
    <x:row r="570">
      <x:c r="A570" s="36" t="str">
        <x:f>FRAGEN_MASTER!A570</x:f>
        <x:v>FP-0829</x:v>
      </x:c>
      <x:c r="B570" s="36" t="str">
        <x:f>FRAGEN_MASTER!B570</x:f>
        <x:v>ACT</x:v>
      </x:c>
      <x:c r="C570" s="36" t="str">
        <x:f>FRAGEN_MASTER!C570</x:f>
        <x:v>Apostelgeschichte</x:v>
      </x:c>
      <x:c r="D570" s="36" t="n">
        <x:f>FRAGEN_MASTER!D570</x:f>
        <x:v>25</x:v>
      </x:c>
      <x:c r="E570" s="36" t="n">
        <x:f>FRAGEN_MASTER!E570</x:f>
        <x:v>4</x:v>
      </x:c>
      <x:c r="F570" s="36" t="str">
        <x:f>FRAGEN_MASTER!Q570</x:f>
        <x:v>Warum lässt Festus Paulus vor Agrippa und den führenden Männern auftreten?</x:v>
      </x:c>
      <x:c r="G570" s="36" t="str">
        <x:f>FRAGEN_MASTER!R570</x:f>
        <x:v>Er will Paulus öffentlich bestrafen.</x:v>
      </x:c>
      <x:c r="H570" s="36" t="str">
        <x:f>FRAGEN_MASTER!S570</x:f>
        <x:v>Agrippa soll Paulus taufen.</x:v>
      </x:c>
      <x:c r="I570" s="36" t="str">
        <x:f>FRAGEN_MASTER!T570</x:f>
        <x:v>Er hofft, aus der Anhörung etwas Konkretes für den Bericht an den Kaiser zu gewinnen.</x:v>
      </x:c>
      <x:c r="J570" s="36" t="str">
        <x:f>FRAGEN_MASTER!U570</x:f>
        <x:v>Paulus soll die Stadt verlassen.</x:v>
      </x:c>
      <x:c r="K570" s="36" t="n">
        <x:f>FRAGEN_MASTER!V570</x:f>
        <x:v>2</x:v>
      </x:c>
      <x:c r="L570" s="36" t="str">
        <x:f>FRAGEN_MASTER!W570</x:f>
        <x:v>Er hofft, aus der Anhörung etwas Konkretes für den Bericht an den Kaiser zu gewinnen.</x:v>
      </x:c>
      <x:c r="M570" s="36" t="str">
        <x:f>FRAGEN_MASTER!X570</x:f>
        <x:v>Apostelgeschichte 25,23–27</x:v>
      </x:c>
      <x:c r="N570" s="36" t="str">
        <x:f>FRAGEN_MASTER!Y570</x:f>
        <x:v>Festus hält es für unvernünftig, einen Gefangenen zu senden, ohne konkrete Anklagepunkte nennen zu können.</x:v>
      </x:c>
      <x:c r="O570" s="36" t="str">
        <x:f>FRAGEN_MASTER!AG570</x:f>
        <x:v>FREIGEGEBEN</x:v>
      </x:c>
      <x:c r="P570" s="36" t="str">
        <x:f>FRAGEN_MASTER!AI570</x:f>
        <x:v>FREIGEGEBEN</x:v>
      </x:c>
      <x:c r="Q570" s="36" t="str">
        <x:f>FRAGEN_MASTER!AL570</x:f>
        <x:v>JA</x:v>
      </x:c>
    </x:row>
    <x:row r="571">
      <x:c r="A571" s="36" t="str">
        <x:f>FRAGEN_MASTER!A571</x:f>
        <x:v>FP-0830</x:v>
      </x:c>
      <x:c r="B571" s="36" t="str">
        <x:f>FRAGEN_MASTER!B571</x:f>
        <x:v>ACT</x:v>
      </x:c>
      <x:c r="C571" s="36" t="str">
        <x:f>FRAGEN_MASTER!C571</x:f>
        <x:v>Apostelgeschichte</x:v>
      </x:c>
      <x:c r="D571" s="36" t="n">
        <x:f>FRAGEN_MASTER!D571</x:f>
        <x:v>25</x:v>
      </x:c>
      <x:c r="E571" s="36" t="n">
        <x:f>FRAGEN_MASTER!E571</x:f>
        <x:v>5</x:v>
      </x:c>
      <x:c r="F571" s="36" t="str">
        <x:f>FRAGEN_MASTER!Q571</x:f>
        <x:v>Welches praktische Problem nennt Festus bei der Weiterleitung des Falls nach Rom?</x:v>
      </x:c>
      <x:c r="G571" s="36" t="str">
        <x:f>FRAGEN_MASTER!R571</x:f>
        <x:v>Paulus besitzt keinen Namen.</x:v>
      </x:c>
      <x:c r="H571" s="36" t="str">
        <x:f>FRAGEN_MASTER!S571</x:f>
        <x:v>Es gibt keine Zeugen für seine römische Bürgerschaft.</x:v>
      </x:c>
      <x:c r="I571" s="36" t="str">
        <x:f>FRAGEN_MASTER!T571</x:f>
        <x:v>Agrippa weigert sich, zuzuhören.</x:v>
      </x:c>
      <x:c r="J571" s="36" t="str">
        <x:f>FRAGEN_MASTER!U571</x:f>
        <x:v>Er hat keine bestimmten Anklagepunkte, die er dem Kaiser über Paulus schreiben kann.</x:v>
      </x:c>
      <x:c r="K571" s="36" t="n">
        <x:f>FRAGEN_MASTER!V571</x:f>
        <x:v>3</x:v>
      </x:c>
      <x:c r="L571" s="36" t="str">
        <x:f>FRAGEN_MASTER!W571</x:f>
        <x:v>Er hat keine bestimmten Anklagepunkte, die er dem Kaiser über Paulus schreiben kann.</x:v>
      </x:c>
      <x:c r="M571" s="36" t="str">
        <x:f>FRAGEN_MASTER!X571</x:f>
        <x:v>Apostelgeschichte 25,26–27</x:v>
      </x:c>
      <x:c r="N571" s="36" t="str">
        <x:f>FRAGEN_MASTER!Y571</x:f>
        <x:v>Festus braucht eine nachvollziehbare Anklageschrift und erhofft sich von der Anhörung Klarheit.</x:v>
      </x:c>
      <x:c r="O571" s="36" t="str">
        <x:f>FRAGEN_MASTER!AG571</x:f>
        <x:v>FREIGEGEBEN</x:v>
      </x:c>
      <x:c r="P571" s="36" t="str">
        <x:f>FRAGEN_MASTER!AI571</x:f>
        <x:v>FREIGEGEBEN</x:v>
      </x:c>
      <x:c r="Q571" s="36" t="str">
        <x:f>FRAGEN_MASTER!AL571</x:f>
        <x:v>JA</x:v>
      </x:c>
    </x:row>
    <x:row r="572">
      <x:c r="A572" s="36" t="str">
        <x:f>FRAGEN_MASTER!A572</x:f>
        <x:v>FP-0831</x:v>
      </x:c>
      <x:c r="B572" s="36" t="str">
        <x:f>FRAGEN_MASTER!B572</x:f>
        <x:v>ACT</x:v>
      </x:c>
      <x:c r="C572" s="36" t="str">
        <x:f>FRAGEN_MASTER!C572</x:f>
        <x:v>Apostelgeschichte</x:v>
      </x:c>
      <x:c r="D572" s="36" t="n">
        <x:f>FRAGEN_MASTER!D572</x:f>
        <x:v>26</x:v>
      </x:c>
      <x:c r="E572" s="36" t="n">
        <x:f>FRAGEN_MASTER!E572</x:f>
        <x:v>1</x:v>
      </x:c>
      <x:c r="F572" s="36" t="str">
        <x:f>FRAGEN_MASTER!Q572</x:f>
        <x:v>Welche Hoffnung stellt Paulus als Grund seines Prozesses vor Agrippa heraus?</x:v>
      </x:c>
      <x:c r="G572" s="36" t="str">
        <x:f>FRAGEN_MASTER!R572</x:f>
        <x:v>Die Hoffnung auf die Verheißung Gottes und die Auferstehung der Toten.</x:v>
      </x:c>
      <x:c r="H572" s="36" t="str">
        <x:f>FRAGEN_MASTER!S572</x:f>
        <x:v>Die Hoffnung auf römische Freiheit.</x:v>
      </x:c>
      <x:c r="I572" s="36" t="str">
        <x:f>FRAGEN_MASTER!T572</x:f>
        <x:v>Die Hoffnung auf den Wiederaufbau des Tempels.</x:v>
      </x:c>
      <x:c r="J572" s="36" t="str">
        <x:f>FRAGEN_MASTER!U572</x:f>
        <x:v>Die Hoffnung auf politischen Einfluss.</x:v>
      </x:c>
      <x:c r="K572" s="36" t="n">
        <x:f>FRAGEN_MASTER!V572</x:f>
        <x:v>0</x:v>
      </x:c>
      <x:c r="L572" s="36" t="str">
        <x:f>FRAGEN_MASTER!W572</x:f>
        <x:v>Die Hoffnung auf die Verheißung Gottes und die Auferstehung der Toten.</x:v>
      </x:c>
      <x:c r="M572" s="36" t="str">
        <x:f>FRAGEN_MASTER!X572</x:f>
        <x:v>Apostelgeschichte 26,4–8</x:v>
      </x:c>
      <x:c r="N572" s="36" t="str">
        <x:f>FRAGEN_MASTER!Y572</x:f>
        <x:v>Paulus verbindet seine Anklage mit Israels Hoffnung auf Gottes Verheißung und fragt, warum Auferstehung für unglaublich gehalten wird.</x:v>
      </x:c>
      <x:c r="O572" s="36" t="str">
        <x:f>FRAGEN_MASTER!AG572</x:f>
        <x:v>FREIGEGEBEN</x:v>
      </x:c>
      <x:c r="P572" s="36" t="str">
        <x:f>FRAGEN_MASTER!AI572</x:f>
        <x:v>FREIGEGEBEN</x:v>
      </x:c>
      <x:c r="Q572" s="36" t="str">
        <x:f>FRAGEN_MASTER!AL572</x:f>
        <x:v>JA</x:v>
      </x:c>
    </x:row>
    <x:row r="573">
      <x:c r="A573" s="36" t="str">
        <x:f>FRAGEN_MASTER!A573</x:f>
        <x:v>FP-0832</x:v>
      </x:c>
      <x:c r="B573" s="36" t="str">
        <x:f>FRAGEN_MASTER!B573</x:f>
        <x:v>ACT</x:v>
      </x:c>
      <x:c r="C573" s="36" t="str">
        <x:f>FRAGEN_MASTER!C573</x:f>
        <x:v>Apostelgeschichte</x:v>
      </x:c>
      <x:c r="D573" s="36" t="n">
        <x:f>FRAGEN_MASTER!D573</x:f>
        <x:v>26</x:v>
      </x:c>
      <x:c r="E573" s="36" t="n">
        <x:f>FRAGEN_MASTER!E573</x:f>
        <x:v>2</x:v>
      </x:c>
      <x:c r="F573" s="36" t="str">
        <x:f>FRAGEN_MASTER!Q573</x:f>
        <x:v>Wie beschreibt Paulus sein früheres Verhalten gegenüber Jesus von Nazareth?</x:v>
      </x:c>
      <x:c r="G573" s="36" t="str">
        <x:f>FRAGEN_MASTER!R573</x:f>
        <x:v>Er war von Anfang an Jesu Jünger.</x:v>
      </x:c>
      <x:c r="H573" s="36" t="str">
        <x:f>FRAGEN_MASTER!S573</x:f>
        <x:v>Er meinte, Jesu Namen bekämpfen zu müssen, und verfolgte die Heiligen mit großer Härte.</x:v>
      </x:c>
      <x:c r="I573" s="36" t="str">
        <x:f>FRAGEN_MASTER!T573</x:f>
        <x:v>Er kannte die Christen überhaupt nicht.</x:v>
      </x:c>
      <x:c r="J573" s="36" t="str">
        <x:f>FRAGEN_MASTER!U573</x:f>
        <x:v>Er verteidigte sie vor dem Hohen Rat.</x:v>
      </x:c>
      <x:c r="K573" s="36" t="n">
        <x:f>FRAGEN_MASTER!V573</x:f>
        <x:v>1</x:v>
      </x:c>
      <x:c r="L573" s="36" t="str">
        <x:f>FRAGEN_MASTER!W573</x:f>
        <x:v>Er meinte, Jesu Namen bekämpfen zu müssen, und verfolgte die Heiligen mit großer Härte.</x:v>
      </x:c>
      <x:c r="M573" s="36" t="str">
        <x:f>FRAGEN_MASTER!X573</x:f>
        <x:v>Apostelgeschichte 26,9–11</x:v>
      </x:c>
      <x:c r="N573" s="36" t="str">
        <x:f>FRAGEN_MASTER!Y573</x:f>
        <x:v>Paulus schildert seine frühere Überzeugung, gegen Jesus handeln zu müssen, bis hin zur Verfolgung der Gläubigen.</x:v>
      </x:c>
      <x:c r="O573" s="36" t="str">
        <x:f>FRAGEN_MASTER!AG573</x:f>
        <x:v>FREIGEGEBEN</x:v>
      </x:c>
      <x:c r="P573" s="36" t="str">
        <x:f>FRAGEN_MASTER!AI573</x:f>
        <x:v>FREIGEGEBEN</x:v>
      </x:c>
      <x:c r="Q573" s="36" t="str">
        <x:f>FRAGEN_MASTER!AL573</x:f>
        <x:v>JA</x:v>
      </x:c>
    </x:row>
    <x:row r="574">
      <x:c r="A574" s="36" t="str">
        <x:f>FRAGEN_MASTER!A574</x:f>
        <x:v>FP-0833</x:v>
      </x:c>
      <x:c r="B574" s="36" t="str">
        <x:f>FRAGEN_MASTER!B574</x:f>
        <x:v>ACT</x:v>
      </x:c>
      <x:c r="C574" s="36" t="str">
        <x:f>FRAGEN_MASTER!C574</x:f>
        <x:v>Apostelgeschichte</x:v>
      </x:c>
      <x:c r="D574" s="36" t="n">
        <x:f>FRAGEN_MASTER!D574</x:f>
        <x:v>26</x:v>
      </x:c>
      <x:c r="E574" s="36" t="n">
        <x:f>FRAGEN_MASTER!E574</x:f>
        <x:v>3</x:v>
      </x:c>
      <x:c r="F574" s="36" t="str">
        <x:f>FRAGEN_MASTER!Q574</x:f>
        <x:v>Wozu beruft Jesus Paulus in seiner Damaskus-Erfahrung?</x:v>
      </x:c>
      <x:c r="G574" s="36" t="str">
        <x:f>FRAGEN_MASTER!R574</x:f>
        <x:v>Zum König von Judäa.</x:v>
      </x:c>
      <x:c r="H574" s="36" t="str">
        <x:f>FRAGEN_MASTER!S574</x:f>
        <x:v>Zum Tempelpriester.</x:v>
      </x:c>
      <x:c r="I574" s="36" t="str">
        <x:f>FRAGEN_MASTER!T574</x:f>
        <x:v>Zum Diener und Zeugen, der Menschen die Augen öffnet und sie von Finsternis zu Licht führt.</x:v>
      </x:c>
      <x:c r="J574" s="36" t="str">
        <x:f>FRAGEN_MASTER!U574</x:f>
        <x:v>Zum römischen Richter.</x:v>
      </x:c>
      <x:c r="K574" s="36" t="n">
        <x:f>FRAGEN_MASTER!V574</x:f>
        <x:v>2</x:v>
      </x:c>
      <x:c r="L574" s="36" t="str">
        <x:f>FRAGEN_MASTER!W574</x:f>
        <x:v>Zum Diener und Zeugen, der Menschen die Augen öffnet und sie von Finsternis zu Licht führt.</x:v>
      </x:c>
      <x:c r="M574" s="36" t="str">
        <x:f>FRAGEN_MASTER!X574</x:f>
        <x:v>Apostelgeschichte 26,12–18</x:v>
      </x:c>
      <x:c r="N574" s="36" t="str">
        <x:f>FRAGEN_MASTER!Y574</x:f>
        <x:v>Paulus beschreibt einen klaren Sendungsauftrag besonders zu den Völkern, verbunden mit Umkehr und Vergebung.</x:v>
      </x:c>
      <x:c r="O574" s="36" t="str">
        <x:f>FRAGEN_MASTER!AG574</x:f>
        <x:v>FREIGEGEBEN</x:v>
      </x:c>
      <x:c r="P574" s="36" t="str">
        <x:f>FRAGEN_MASTER!AI574</x:f>
        <x:v>FREIGEGEBEN</x:v>
      </x:c>
      <x:c r="Q574" s="36" t="str">
        <x:f>FRAGEN_MASTER!AL574</x:f>
        <x:v>JA</x:v>
      </x:c>
    </x:row>
    <x:row r="575">
      <x:c r="A575" s="36" t="str">
        <x:f>FRAGEN_MASTER!A575</x:f>
        <x:v>FP-0834</x:v>
      </x:c>
      <x:c r="B575" s="36" t="str">
        <x:f>FRAGEN_MASTER!B575</x:f>
        <x:v>ACT</x:v>
      </x:c>
      <x:c r="C575" s="36" t="str">
        <x:f>FRAGEN_MASTER!C575</x:f>
        <x:v>Apostelgeschichte</x:v>
      </x:c>
      <x:c r="D575" s="36" t="n">
        <x:f>FRAGEN_MASTER!D575</x:f>
        <x:v>26</x:v>
      </x:c>
      <x:c r="E575" s="36" t="n">
        <x:f>FRAGEN_MASTER!E575</x:f>
        <x:v>4</x:v>
      </x:c>
      <x:c r="F575" s="36" t="str">
        <x:f>FRAGEN_MASTER!Q575</x:f>
        <x:v>Wie fasst Paulus seine Reaktion auf die himmlische Vision zusammen?</x:v>
      </x:c>
      <x:c r="G575" s="36" t="str">
        <x:f>FRAGEN_MASTER!R575</x:f>
        <x:v>Er wartete zehn Jahre, bevor er handelte.</x:v>
      </x:c>
      <x:c r="H575" s="36" t="str">
        <x:f>FRAGEN_MASTER!S575</x:f>
        <x:v>Er lehnte den Auftrag zunächst vollständig ab.</x:v>
      </x:c>
      <x:c r="I575" s="36" t="str">
        <x:f>FRAGEN_MASTER!T575</x:f>
        <x:v>Er predigte danach nur noch in Jerusalem.</x:v>
      </x:c>
      <x:c r="J575" s="36" t="str">
        <x:f>FRAGEN_MASTER!U575</x:f>
        <x:v>Er war ihr nicht ungehorsam, sondern verkündete Umkehr, Hinwendung zu Gott und entsprechende Taten.</x:v>
      </x:c>
      <x:c r="K575" s="36" t="n">
        <x:f>FRAGEN_MASTER!V575</x:f>
        <x:v>3</x:v>
      </x:c>
      <x:c r="L575" s="36" t="str">
        <x:f>FRAGEN_MASTER!W575</x:f>
        <x:v>Er war ihr nicht ungehorsam, sondern verkündete Umkehr, Hinwendung zu Gott und entsprechende Taten.</x:v>
      </x:c>
      <x:c r="M575" s="36" t="str">
        <x:f>FRAGEN_MASTER!X575</x:f>
        <x:v>Apostelgeschichte 26,19–23</x:v>
      </x:c>
      <x:c r="N575" s="36" t="str">
        <x:f>FRAGEN_MASTER!Y575</x:f>
        <x:v>Paulus versteht seinen gesamten Dienst als Gehorsam gegenüber der Berufung und als Verkündigung dessen, was Mose und Propheten angekündigt haben.</x:v>
      </x:c>
      <x:c r="O575" s="36" t="str">
        <x:f>FRAGEN_MASTER!AG575</x:f>
        <x:v>FREIGEGEBEN</x:v>
      </x:c>
      <x:c r="P575" s="36" t="str">
        <x:f>FRAGEN_MASTER!AI575</x:f>
        <x:v>FREIGEGEBEN</x:v>
      </x:c>
      <x:c r="Q575" s="36" t="str">
        <x:f>FRAGEN_MASTER!AL575</x:f>
        <x:v>JA</x:v>
      </x:c>
    </x:row>
    <x:row r="576">
      <x:c r="A576" s="36" t="str">
        <x:f>FRAGEN_MASTER!A576</x:f>
        <x:v>FP-0835</x:v>
      </x:c>
      <x:c r="B576" s="36" t="str">
        <x:f>FRAGEN_MASTER!B576</x:f>
        <x:v>ACT</x:v>
      </x:c>
      <x:c r="C576" s="36" t="str">
        <x:f>FRAGEN_MASTER!C576</x:f>
        <x:v>Apostelgeschichte</x:v>
      </x:c>
      <x:c r="D576" s="36" t="n">
        <x:f>FRAGEN_MASTER!D576</x:f>
        <x:v>26</x:v>
      </x:c>
      <x:c r="E576" s="36" t="n">
        <x:f>FRAGEN_MASTER!E576</x:f>
        <x:v>5</x:v>
      </x:c>
      <x:c r="F576" s="36" t="str">
        <x:f>FRAGEN_MASTER!Q576</x:f>
        <x:v>Wie reagieren Festus und Agrippa auf Paulus' Verteidigungsrede?</x:v>
      </x:c>
      <x:c r="G576" s="36" t="str">
        <x:f>FRAGEN_MASTER!R576</x:f>
        <x:v>Festus hält Paulus für verrückt; Paulus spricht Agrippa direkt auf seinen Glauben an die Propheten an.</x:v>
      </x:c>
      <x:c r="H576" s="36" t="str">
        <x:f>FRAGEN_MASTER!S576</x:f>
        <x:v>Beide lassen sich sofort taufen.</x:v>
      </x:c>
      <x:c r="I576" s="36" t="str">
        <x:f>FRAGEN_MASTER!T576</x:f>
        <x:v>Beide verurteilen ihn zum Tod.</x:v>
      </x:c>
      <x:c r="J576" s="36" t="str">
        <x:f>FRAGEN_MASTER!U576</x:f>
        <x:v>Agrippa verlässt den Saal, bevor Paulus spricht.</x:v>
      </x:c>
      <x:c r="K576" s="36" t="n">
        <x:f>FRAGEN_MASTER!V576</x:f>
        <x:v>0</x:v>
      </x:c>
      <x:c r="L576" s="36" t="str">
        <x:f>FRAGEN_MASTER!W576</x:f>
        <x:v>Festus hält Paulus für verrückt; Paulus spricht Agrippa direkt auf seinen Glauben an die Propheten an.</x:v>
      </x:c>
      <x:c r="M576" s="36" t="str">
        <x:f>FRAGEN_MASTER!X576</x:f>
        <x:v>Apostelgeschichte 26,24–29</x:v>
      </x:c>
      <x:c r="N576" s="36" t="str">
        <x:f>FRAGEN_MASTER!Y576</x:f>
        <x:v>Festus unterbricht Paulus laut, während Paulus sich anschließend unmittelbar an Agrippa wendet.</x:v>
      </x:c>
      <x:c r="O576" s="36" t="str">
        <x:f>FRAGEN_MASTER!AG576</x:f>
        <x:v>FREIGEGEBEN</x:v>
      </x:c>
      <x:c r="P576" s="36" t="str">
        <x:f>FRAGEN_MASTER!AI576</x:f>
        <x:v>FREIGEGEBEN</x:v>
      </x:c>
      <x:c r="Q576" s="36" t="str">
        <x:f>FRAGEN_MASTER!AL576</x:f>
        <x:v>JA</x:v>
      </x:c>
    </x:row>
    <x:row r="577">
      <x:c r="A577" s="36" t="str">
        <x:f>FRAGEN_MASTER!A577</x:f>
        <x:v>FP-0836</x:v>
      </x:c>
      <x:c r="B577" s="36" t="str">
        <x:f>FRAGEN_MASTER!B577</x:f>
        <x:v>ACT</x:v>
      </x:c>
      <x:c r="C577" s="36" t="str">
        <x:f>FRAGEN_MASTER!C577</x:f>
        <x:v>Apostelgeschichte</x:v>
      </x:c>
      <x:c r="D577" s="36" t="n">
        <x:f>FRAGEN_MASTER!D577</x:f>
        <x:v>27</x:v>
      </x:c>
      <x:c r="E577" s="36" t="n">
        <x:f>FRAGEN_MASTER!E577</x:f>
        <x:v>1</x:v>
      </x:c>
      <x:c r="F577" s="36" t="str">
        <x:f>FRAGEN_MASTER!Q577</x:f>
        <x:v>Unter wessen Bewachung beginnt Paulus die Seereise nach Italien?</x:v>
      </x:c>
      <x:c r="G577" s="36" t="str">
        <x:f>FRAGEN_MASTER!R577</x:f>
        <x:v>Unter Festus persönlich.</x:v>
      </x:c>
      <x:c r="H577" s="36" t="str">
        <x:f>FRAGEN_MASTER!S577</x:f>
        <x:v>Unter einem Hauptmann namens Julius.</x:v>
      </x:c>
      <x:c r="I577" s="36" t="str">
        <x:f>FRAGEN_MASTER!T577</x:f>
        <x:v>Unter König Agrippa.</x:v>
      </x:c>
      <x:c r="J577" s="36" t="str">
        <x:f>FRAGEN_MASTER!U577</x:f>
        <x:v>Unter Petrus.</x:v>
      </x:c>
      <x:c r="K577" s="36" t="n">
        <x:f>FRAGEN_MASTER!V577</x:f>
        <x:v>1</x:v>
      </x:c>
      <x:c r="L577" s="36" t="str">
        <x:f>FRAGEN_MASTER!W577</x:f>
        <x:v>Unter einem Hauptmann namens Julius.</x:v>
      </x:c>
      <x:c r="M577" s="36" t="str">
        <x:f>FRAGEN_MASTER!X577</x:f>
        <x:v>Apostelgeschichte 27,1–8</x:v>
      </x:c>
      <x:c r="N577" s="36" t="str">
        <x:f>FRAGEN_MASTER!Y577</x:f>
        <x:v>Paulus und andere Gefangene werden einem Hauptmann namens Julius anvertraut und per Schiff Richtung Italien gebracht.</x:v>
      </x:c>
      <x:c r="O577" s="36" t="str">
        <x:f>FRAGEN_MASTER!AG577</x:f>
        <x:v>FREIGEGEBEN</x:v>
      </x:c>
      <x:c r="P577" s="36" t="str">
        <x:f>FRAGEN_MASTER!AI577</x:f>
        <x:v>FREIGEGEBEN</x:v>
      </x:c>
      <x:c r="Q577" s="36" t="str">
        <x:f>FRAGEN_MASTER!AL577</x:f>
        <x:v>JA</x:v>
      </x:c>
    </x:row>
    <x:row r="578">
      <x:c r="A578" s="36" t="str">
        <x:f>FRAGEN_MASTER!A578</x:f>
        <x:v>FP-0837</x:v>
      </x:c>
      <x:c r="B578" s="36" t="str">
        <x:f>FRAGEN_MASTER!B578</x:f>
        <x:v>ACT</x:v>
      </x:c>
      <x:c r="C578" s="36" t="str">
        <x:f>FRAGEN_MASTER!C578</x:f>
        <x:v>Apostelgeschichte</x:v>
      </x:c>
      <x:c r="D578" s="36" t="n">
        <x:f>FRAGEN_MASTER!D578</x:f>
        <x:v>27</x:v>
      </x:c>
      <x:c r="E578" s="36" t="n">
        <x:f>FRAGEN_MASTER!E578</x:f>
        <x:v>2</x:v>
      </x:c>
      <x:c r="F578" s="36" t="str">
        <x:f>FRAGEN_MASTER!Q578</x:f>
        <x:v>Was rät Paulus vor der gefährlichen Weiterfahrt von Kreta aus?</x:v>
      </x:c>
      <x:c r="G578" s="36" t="str">
        <x:f>FRAGEN_MASTER!R578</x:f>
        <x:v>Man solle sofort ohne Pause auslaufen.</x:v>
      </x:c>
      <x:c r="H578" s="36" t="str">
        <x:f>FRAGEN_MASTER!S578</x:f>
        <x:v>Man solle das Schiff verkaufen.</x:v>
      </x:c>
      <x:c r="I578" s="36" t="str">
        <x:f>FRAGEN_MASTER!T578</x:f>
        <x:v>Die Reise werde großen Schaden bringen und man solle nicht weiterfahren.</x:v>
      </x:c>
      <x:c r="J578" s="36" t="str">
        <x:f>FRAGEN_MASTER!U578</x:f>
        <x:v>Man solle alle Gefangenen freilassen.</x:v>
      </x:c>
      <x:c r="K578" s="36" t="n">
        <x:f>FRAGEN_MASTER!V578</x:f>
        <x:v>2</x:v>
      </x:c>
      <x:c r="L578" s="36" t="str">
        <x:f>FRAGEN_MASTER!W578</x:f>
        <x:v>Die Reise werde großen Schaden bringen und man solle nicht weiterfahren.</x:v>
      </x:c>
      <x:c r="M578" s="36" t="str">
        <x:f>FRAGEN_MASTER!X578</x:f>
        <x:v>Apostelgeschichte 27,9–12</x:v>
      </x:c>
      <x:c r="N578" s="36" t="str">
        <x:f>FRAGEN_MASTER!Y578</x:f>
        <x:v>Paulus warnt vor erheblichen Verlusten; der Hauptmann folgt jedoch eher dem Steuermann und der Mehrheit.</x:v>
      </x:c>
      <x:c r="O578" s="36" t="str">
        <x:f>FRAGEN_MASTER!AG578</x:f>
        <x:v>FREIGEGEBEN</x:v>
      </x:c>
      <x:c r="P578" s="36" t="str">
        <x:f>FRAGEN_MASTER!AI578</x:f>
        <x:v>FREIGEGEBEN</x:v>
      </x:c>
      <x:c r="Q578" s="36" t="str">
        <x:f>FRAGEN_MASTER!AL578</x:f>
        <x:v>JA</x:v>
      </x:c>
    </x:row>
    <x:row r="579">
      <x:c r="A579" s="36" t="str">
        <x:f>FRAGEN_MASTER!A579</x:f>
        <x:v>FP-0838</x:v>
      </x:c>
      <x:c r="B579" s="36" t="str">
        <x:f>FRAGEN_MASTER!B579</x:f>
        <x:v>ACT</x:v>
      </x:c>
      <x:c r="C579" s="36" t="str">
        <x:f>FRAGEN_MASTER!C579</x:f>
        <x:v>Apostelgeschichte</x:v>
      </x:c>
      <x:c r="D579" s="36" t="n">
        <x:f>FRAGEN_MASTER!D579</x:f>
        <x:v>27</x:v>
      </x:c>
      <x:c r="E579" s="36" t="n">
        <x:f>FRAGEN_MASTER!E579</x:f>
        <x:v>3</x:v>
      </x:c>
      <x:c r="F579" s="36" t="str">
        <x:f>FRAGEN_MASTER!Q579</x:f>
        <x:v>Welche Hoffnung vermittelt Paulus während des Sturms?</x:v>
      </x:c>
      <x:c r="G579" s="36" t="str">
        <x:f>FRAGEN_MASTER!R579</x:f>
        <x:v>Das Schiff werde unbeschädigt bleiben.</x:v>
      </x:c>
      <x:c r="H579" s="36" t="str">
        <x:f>FRAGEN_MASTER!S579</x:f>
        <x:v>Niemand werde seekrank.</x:v>
      </x:c>
      <x:c r="I579" s="36" t="str">
        <x:f>FRAGEN_MASTER!T579</x:f>
        <x:v>Sie würden noch am selben Tag in Rom ankommen.</x:v>
      </x:c>
      <x:c r="J579" s="36" t="str">
        <x:f>FRAGEN_MASTER!U579</x:f>
        <x:v>Ein Engel hat ihm zugesagt, dass er vor den Kaiser treten wird und Gott ihm das Leben aller Mitreisenden schenkt.</x:v>
      </x:c>
      <x:c r="K579" s="36" t="n">
        <x:f>FRAGEN_MASTER!V579</x:f>
        <x:v>3</x:v>
      </x:c>
      <x:c r="L579" s="36" t="str">
        <x:f>FRAGEN_MASTER!W579</x:f>
        <x:v>Ein Engel hat ihm zugesagt, dass er vor den Kaiser treten wird und Gott ihm das Leben aller Mitreisenden schenkt.</x:v>
      </x:c>
      <x:c r="M579" s="36" t="str">
        <x:f>FRAGEN_MASTER!X579</x:f>
        <x:v>Apostelgeschichte 27,18–26</x:v>
      </x:c>
      <x:c r="N579" s="36" t="str">
        <x:f>FRAGEN_MASTER!Y579</x:f>
        <x:v>Paulus ermutigt die Menschen aufgrund einer göttlichen Zusage: Menschenleben sollen gerettet werden, auch wenn das Schiff verloren geht.</x:v>
      </x:c>
      <x:c r="O579" s="36" t="str">
        <x:f>FRAGEN_MASTER!AG579</x:f>
        <x:v>FREIGEGEBEN</x:v>
      </x:c>
      <x:c r="P579" s="36" t="str">
        <x:f>FRAGEN_MASTER!AI579</x:f>
        <x:v>FREIGEGEBEN</x:v>
      </x:c>
      <x:c r="Q579" s="36" t="str">
        <x:f>FRAGEN_MASTER!AL579</x:f>
        <x:v>JA</x:v>
      </x:c>
    </x:row>
    <x:row r="580">
      <x:c r="A580" s="36" t="str">
        <x:f>FRAGEN_MASTER!A580</x:f>
        <x:v>FP-0839</x:v>
      </x:c>
      <x:c r="B580" s="36" t="str">
        <x:f>FRAGEN_MASTER!B580</x:f>
        <x:v>ACT</x:v>
      </x:c>
      <x:c r="C580" s="36" t="str">
        <x:f>FRAGEN_MASTER!C580</x:f>
        <x:v>Apostelgeschichte</x:v>
      </x:c>
      <x:c r="D580" s="36" t="n">
        <x:f>FRAGEN_MASTER!D580</x:f>
        <x:v>27</x:v>
      </x:c>
      <x:c r="E580" s="36" t="n">
        <x:f>FRAGEN_MASTER!E580</x:f>
        <x:v>4</x:v>
      </x:c>
      <x:c r="F580" s="36" t="str">
        <x:f>FRAGEN_MASTER!Q580</x:f>
        <x:v>Warum fordert Paulus die Menschen kurz vor der Strandung zum Essen auf?</x:v>
      </x:c>
      <x:c r="G580" s="36" t="str">
        <x:f>FRAGEN_MASTER!R580</x:f>
        <x:v>Sie brauchen Kraft für die Rettung, nachdem sie lange kaum gegessen haben.</x:v>
      </x:c>
      <x:c r="H580" s="36" t="str">
        <x:f>FRAGEN_MASTER!S580</x:f>
        <x:v>Das Essen soll das Schiff leichter machen.</x:v>
      </x:c>
      <x:c r="I580" s="36" t="str">
        <x:f>FRAGEN_MASTER!T580</x:f>
        <x:v>Sie sollen ein Fest feiern, weil sie schon in Rom sind.</x:v>
      </x:c>
      <x:c r="J580" s="36" t="str">
        <x:f>FRAGEN_MASTER!U580</x:f>
        <x:v>Die Matrosen verlangen Bezahlung in Nahrung.</x:v>
      </x:c>
      <x:c r="K580" s="36" t="n">
        <x:f>FRAGEN_MASTER!V580</x:f>
        <x:v>0</x:v>
      </x:c>
      <x:c r="L580" s="36" t="str">
        <x:f>FRAGEN_MASTER!W580</x:f>
        <x:v>Sie brauchen Kraft für die Rettung, nachdem sie lange kaum gegessen haben.</x:v>
      </x:c>
      <x:c r="M580" s="36" t="str">
        <x:f>FRAGEN_MASTER!X580</x:f>
        <x:v>Apostelgeschichte 27,33–38</x:v>
      </x:c>
      <x:c r="N580" s="36" t="str">
        <x:f>FRAGEN_MASTER!Y580</x:f>
        <x:v>Paulus ermutigt sie, Nahrung zu sich zu nehmen, dankt Gott und stärkt dadurch die ganze Gruppe.</x:v>
      </x:c>
      <x:c r="O580" s="36" t="str">
        <x:f>FRAGEN_MASTER!AG580</x:f>
        <x:v>FREIGEGEBEN</x:v>
      </x:c>
      <x:c r="P580" s="36" t="str">
        <x:f>FRAGEN_MASTER!AI580</x:f>
        <x:v>FREIGEGEBEN</x:v>
      </x:c>
      <x:c r="Q580" s="36" t="str">
        <x:f>FRAGEN_MASTER!AL580</x:f>
        <x:v>JA</x:v>
      </x:c>
    </x:row>
    <x:row r="581">
      <x:c r="A581" s="36" t="str">
        <x:f>FRAGEN_MASTER!A581</x:f>
        <x:v>FP-0840</x:v>
      </x:c>
      <x:c r="B581" s="36" t="str">
        <x:f>FRAGEN_MASTER!B581</x:f>
        <x:v>ACT</x:v>
      </x:c>
      <x:c r="C581" s="36" t="str">
        <x:f>FRAGEN_MASTER!C581</x:f>
        <x:v>Apostelgeschichte</x:v>
      </x:c>
      <x:c r="D581" s="36" t="n">
        <x:f>FRAGEN_MASTER!D581</x:f>
        <x:v>27</x:v>
      </x:c>
      <x:c r="E581" s="36" t="n">
        <x:f>FRAGEN_MASTER!E581</x:f>
        <x:v>5</x:v>
      </x:c>
      <x:c r="F581" s="36" t="str">
        <x:f>FRAGEN_MASTER!Q581</x:f>
        <x:v>Wie endet die Schiffskatastrophe?</x:v>
      </x:c>
      <x:c r="G581" s="36" t="str">
        <x:f>FRAGEN_MASTER!R581</x:f>
        <x:v>Nur Paulus überlebt.</x:v>
      </x:c>
      <x:c r="H581" s="36" t="str">
        <x:f>FRAGEN_MASTER!S581</x:f>
        <x:v>Das Schiff zerbricht, aber alle erreichen lebend das Land.</x:v>
      </x:c>
      <x:c r="I581" s="36" t="str">
        <x:f>FRAGEN_MASTER!T581</x:f>
        <x:v>Das Schiff erreicht Rom unbeschädigt.</x:v>
      </x:c>
      <x:c r="J581" s="36" t="str">
        <x:f>FRAGEN_MASTER!U581</x:f>
        <x:v>Die Soldaten töten alle Gefangenen.</x:v>
      </x:c>
      <x:c r="K581" s="36" t="n">
        <x:f>FRAGEN_MASTER!V581</x:f>
        <x:v>1</x:v>
      </x:c>
      <x:c r="L581" s="36" t="str">
        <x:f>FRAGEN_MASTER!W581</x:f>
        <x:v>Das Schiff zerbricht, aber alle erreichen lebend das Land.</x:v>
      </x:c>
      <x:c r="M581" s="36" t="str">
        <x:f>FRAGEN_MASTER!X581</x:f>
        <x:v>Apostelgeschichte 27,39–44</x:v>
      </x:c>
      <x:c r="N581" s="36" t="str">
        <x:f>FRAGEN_MASTER!Y581</x:f>
        <x:v>Trotz des zerstörten Schiffes kommen alle Menschen wie zugesagt sicher ans Land.</x:v>
      </x:c>
      <x:c r="O581" s="36" t="str">
        <x:f>FRAGEN_MASTER!AG581</x:f>
        <x:v>FREIGEGEBEN</x:v>
      </x:c>
      <x:c r="P581" s="36" t="str">
        <x:f>FRAGEN_MASTER!AI581</x:f>
        <x:v>FREIGEGEBEN</x:v>
      </x:c>
      <x:c r="Q581" s="36" t="str">
        <x:f>FRAGEN_MASTER!AL581</x:f>
        <x:v>JA</x:v>
      </x:c>
    </x:row>
    <x:row r="582">
      <x:c r="A582" s="36" t="str">
        <x:f>FRAGEN_MASTER!A582</x:f>
        <x:v>FP-0841</x:v>
      </x:c>
      <x:c r="B582" s="36" t="str">
        <x:f>FRAGEN_MASTER!B582</x:f>
        <x:v>ACT</x:v>
      </x:c>
      <x:c r="C582" s="36" t="str">
        <x:f>FRAGEN_MASTER!C582</x:f>
        <x:v>Apostelgeschichte</x:v>
      </x:c>
      <x:c r="D582" s="36" t="n">
        <x:f>FRAGEN_MASTER!D582</x:f>
        <x:v>28</x:v>
      </x:c>
      <x:c r="E582" s="36" t="n">
        <x:f>FRAGEN_MASTER!E582</x:f>
        <x:v>1</x:v>
      </x:c>
      <x:c r="F582" s="36" t="str">
        <x:f>FRAGEN_MASTER!Q582</x:f>
        <x:v>Was geschieht mit Paulus auf Malta, als eine Schlange sich an seiner Hand festbeißt?</x:v>
      </x:c>
      <x:c r="G582" s="36" t="str">
        <x:f>FRAGEN_MASTER!R582</x:f>
        <x:v>Er stirbt sofort.</x:v>
      </x:c>
      <x:c r="H582" s="36" t="str">
        <x:f>FRAGEN_MASTER!S582</x:f>
        <x:v>Er verliert seine Hand.</x:v>
      </x:c>
      <x:c r="I582" s="36" t="str">
        <x:f>FRAGEN_MASTER!T582</x:f>
        <x:v>Er schüttelt sie ins Feuer und erleidet keinen Schaden.</x:v>
      </x:c>
      <x:c r="J582" s="36" t="str">
        <x:f>FRAGEN_MASTER!U582</x:f>
        <x:v>Er wird von den Inselbewohnern verstoßen.</x:v>
      </x:c>
      <x:c r="K582" s="36" t="n">
        <x:f>FRAGEN_MASTER!V582</x:f>
        <x:v>2</x:v>
      </x:c>
      <x:c r="L582" s="36" t="str">
        <x:f>FRAGEN_MASTER!W582</x:f>
        <x:v>Er schüttelt sie ins Feuer und erleidet keinen Schaden.</x:v>
      </x:c>
      <x:c r="M582" s="36" t="str">
        <x:f>FRAGEN_MASTER!X582</x:f>
        <x:v>Apostelgeschichte 28,1–6</x:v>
      </x:c>
      <x:c r="N582" s="36" t="str">
        <x:f>FRAGEN_MASTER!Y582</x:f>
        <x:v>Die Bewohner erwarten zunächst seinen Tod, sind dann aber erstaunt, als nichts geschieht.</x:v>
      </x:c>
      <x:c r="O582" s="36" t="str">
        <x:f>FRAGEN_MASTER!AG582</x:f>
        <x:v>FREIGEGEBEN</x:v>
      </x:c>
      <x:c r="P582" s="36" t="str">
        <x:f>FRAGEN_MASTER!AI582</x:f>
        <x:v>FREIGEGEBEN</x:v>
      </x:c>
      <x:c r="Q582" s="36" t="str">
        <x:f>FRAGEN_MASTER!AL582</x:f>
        <x:v>JA</x:v>
      </x:c>
    </x:row>
    <x:row r="583">
      <x:c r="A583" s="36" t="str">
        <x:f>FRAGEN_MASTER!A583</x:f>
        <x:v>FP-0842</x:v>
      </x:c>
      <x:c r="B583" s="36" t="str">
        <x:f>FRAGEN_MASTER!B583</x:f>
        <x:v>ACT</x:v>
      </x:c>
      <x:c r="C583" s="36" t="str">
        <x:f>FRAGEN_MASTER!C583</x:f>
        <x:v>Apostelgeschichte</x:v>
      </x:c>
      <x:c r="D583" s="36" t="n">
        <x:f>FRAGEN_MASTER!D583</x:f>
        <x:v>28</x:v>
      </x:c>
      <x:c r="E583" s="36" t="n">
        <x:f>FRAGEN_MASTER!E583</x:f>
        <x:v>2</x:v>
      </x:c>
      <x:c r="F583" s="36" t="str">
        <x:f>FRAGEN_MASTER!Q583</x:f>
        <x:v>Was geschieht im Haus des Publius?</x:v>
      </x:c>
      <x:c r="G583" s="36" t="str">
        <x:f>FRAGEN_MASTER!R583</x:f>
        <x:v>Paulus wird dort gefangen gehalten.</x:v>
      </x:c>
      <x:c r="H583" s="36" t="str">
        <x:f>FRAGEN_MASTER!S583</x:f>
        <x:v>Publius weist die Reisenden ab.</x:v>
      </x:c>
      <x:c r="I583" s="36" t="str">
        <x:f>FRAGEN_MASTER!T583</x:f>
        <x:v>Nur der Vater des Publius hört eine Predigt, bleibt aber krank.</x:v>
      </x:c>
      <x:c r="J583" s="36" t="str">
        <x:f>FRAGEN_MASTER!U583</x:f>
        <x:v>Paulus betet für den kranken Vater des Publius, legt ihm die Hände auf und heilt ihn; danach kommen weitere Kranke.</x:v>
      </x:c>
      <x:c r="K583" s="36" t="n">
        <x:f>FRAGEN_MASTER!V583</x:f>
        <x:v>3</x:v>
      </x:c>
      <x:c r="L583" s="36" t="str">
        <x:f>FRAGEN_MASTER!W583</x:f>
        <x:v>Paulus betet für den kranken Vater des Publius, legt ihm die Hände auf und heilt ihn; danach kommen weitere Kranke.</x:v>
      </x:c>
      <x:c r="M583" s="36" t="str">
        <x:f>FRAGEN_MASTER!X583</x:f>
        <x:v>Apostelgeschichte 28,7–10</x:v>
      </x:c>
      <x:c r="N583" s="36" t="str">
        <x:f>FRAGEN_MASTER!Y583</x:f>
        <x:v>Die Heilung des Vaters führt dazu, dass weitere Kranke der Insel zu Paulus kommen und geheilt werden.</x:v>
      </x:c>
      <x:c r="O583" s="36" t="str">
        <x:f>FRAGEN_MASTER!AG583</x:f>
        <x:v>FREIGEGEBEN</x:v>
      </x:c>
      <x:c r="P583" s="36" t="str">
        <x:f>FRAGEN_MASTER!AI583</x:f>
        <x:v>FREIGEGEBEN</x:v>
      </x:c>
      <x:c r="Q583" s="36" t="str">
        <x:f>FRAGEN_MASTER!AL583</x:f>
        <x:v>JA</x:v>
      </x:c>
    </x:row>
    <x:row r="584">
      <x:c r="A584" s="36" t="str">
        <x:f>FRAGEN_MASTER!A584</x:f>
        <x:v>FP-0843</x:v>
      </x:c>
      <x:c r="B584" s="36" t="str">
        <x:f>FRAGEN_MASTER!B584</x:f>
        <x:v>ACT</x:v>
      </x:c>
      <x:c r="C584" s="36" t="str">
        <x:f>FRAGEN_MASTER!C584</x:f>
        <x:v>Apostelgeschichte</x:v>
      </x:c>
      <x:c r="D584" s="36" t="n">
        <x:f>FRAGEN_MASTER!D584</x:f>
        <x:v>28</x:v>
      </x:c>
      <x:c r="E584" s="36" t="n">
        <x:f>FRAGEN_MASTER!E584</x:f>
        <x:v>3</x:v>
      </x:c>
      <x:c r="F584" s="36" t="str">
        <x:f>FRAGEN_MASTER!Q584</x:f>
        <x:v>Wie lebt Paulus nach seiner Ankunft in Rom?</x:v>
      </x:c>
      <x:c r="G584" s="36" t="str">
        <x:f>FRAGEN_MASTER!R584</x:f>
        <x:v>Er darf für sich wohnen, wird aber von einem Soldaten bewacht.</x:v>
      </x:c>
      <x:c r="H584" s="36" t="str">
        <x:f>FRAGEN_MASTER!S584</x:f>
        <x:v>Er wird sofort in ein unterirdisches Gefängnis gebracht.</x:v>
      </x:c>
      <x:c r="I584" s="36" t="str">
        <x:f>FRAGEN_MASTER!T584</x:f>
        <x:v>Er wird freigesprochen und reist zurück nach Jerusalem.</x:v>
      </x:c>
      <x:c r="J584" s="36" t="str">
        <x:f>FRAGEN_MASTER!U584</x:f>
        <x:v>Er wohnt im Palast des Kaisers.</x:v>
      </x:c>
      <x:c r="K584" s="36" t="n">
        <x:f>FRAGEN_MASTER!V584</x:f>
        <x:v>0</x:v>
      </x:c>
      <x:c r="L584" s="36" t="str">
        <x:f>FRAGEN_MASTER!W584</x:f>
        <x:v>Er darf für sich wohnen, wird aber von einem Soldaten bewacht.</x:v>
      </x:c>
      <x:c r="M584" s="36" t="str">
        <x:f>FRAGEN_MASTER!X584</x:f>
        <x:v>Apostelgeschichte 28,11–16</x:v>
      </x:c>
      <x:c r="N584" s="36" t="str">
        <x:f>FRAGEN_MASTER!Y584</x:f>
        <x:v>In Rom erhält Paulus vergleichsweise große Freiheit und lebt unter Bewachung.</x:v>
      </x:c>
      <x:c r="O584" s="36" t="str">
        <x:f>FRAGEN_MASTER!AG584</x:f>
        <x:v>FREIGEGEBEN</x:v>
      </x:c>
      <x:c r="P584" s="36" t="str">
        <x:f>FRAGEN_MASTER!AI584</x:f>
        <x:v>FREIGEGEBEN</x:v>
      </x:c>
      <x:c r="Q584" s="36" t="str">
        <x:f>FRAGEN_MASTER!AL584</x:f>
        <x:v>JA</x:v>
      </x:c>
    </x:row>
    <x:row r="585">
      <x:c r="A585" s="36" t="str">
        <x:f>FRAGEN_MASTER!A585</x:f>
        <x:v>FP-0844</x:v>
      </x:c>
      <x:c r="B585" s="36" t="str">
        <x:f>FRAGEN_MASTER!B585</x:f>
        <x:v>ACT</x:v>
      </x:c>
      <x:c r="C585" s="36" t="str">
        <x:f>FRAGEN_MASTER!C585</x:f>
        <x:v>Apostelgeschichte</x:v>
      </x:c>
      <x:c r="D585" s="36" t="n">
        <x:f>FRAGEN_MASTER!D585</x:f>
        <x:v>28</x:v>
      </x:c>
      <x:c r="E585" s="36" t="n">
        <x:f>FRAGEN_MASTER!E585</x:f>
        <x:v>4</x:v>
      </x:c>
      <x:c r="F585" s="36" t="str">
        <x:f>FRAGEN_MASTER!Q585</x:f>
        <x:v>Was tut Paulus in Rom gegenüber den führenden Juden, die zu ihm kommen?</x:v>
      </x:c>
      <x:c r="G585" s="36" t="str">
        <x:f>FRAGEN_MASTER!R585</x:f>
        <x:v>Er spricht nur über seine römische Staatsbürgerschaft.</x:v>
      </x:c>
      <x:c r="H585" s="36" t="str">
        <x:f>FRAGEN_MASTER!S585</x:f>
        <x:v>Er legt von Gottes Reich Zeugnis ab und versucht sie aus Gesetz und Propheten von Jesus zu überzeugen.</x:v>
      </x:c>
      <x:c r="I585" s="36" t="str">
        <x:f>FRAGEN_MASTER!T585</x:f>
        <x:v>Er weigert sich, mit ihnen über die Schrift zu sprechen.</x:v>
      </x:c>
      <x:c r="J585" s="36" t="str">
        <x:f>FRAGEN_MASTER!U585</x:f>
        <x:v>Er fordert sie auf, Rom zu verlassen.</x:v>
      </x:c>
      <x:c r="K585" s="36" t="n">
        <x:f>FRAGEN_MASTER!V585</x:f>
        <x:v>1</x:v>
      </x:c>
      <x:c r="L585" s="36" t="str">
        <x:f>FRAGEN_MASTER!W585</x:f>
        <x:v>Er legt von Gottes Reich Zeugnis ab und versucht sie aus Gesetz und Propheten von Jesus zu überzeugen.</x:v>
      </x:c>
      <x:c r="M585" s="36" t="str">
        <x:f>FRAGEN_MASTER!X585</x:f>
        <x:v>Apostelgeschichte 28,23–28</x:v>
      </x:c>
      <x:c r="N585" s="36" t="str">
        <x:f>FRAGEN_MASTER!Y585</x:f>
        <x:v>Paulus verkündet Gottes Reich und Jesus aus den Schriften; die Reaktionen bleiben geteilt.</x:v>
      </x:c>
      <x:c r="O585" s="36" t="str">
        <x:f>FRAGEN_MASTER!AG585</x:f>
        <x:v>FREIGEGEBEN</x:v>
      </x:c>
      <x:c r="P585" s="36" t="str">
        <x:f>FRAGEN_MASTER!AI585</x:f>
        <x:v>FREIGEGEBEN</x:v>
      </x:c>
      <x:c r="Q585" s="36" t="str">
        <x:f>FRAGEN_MASTER!AL585</x:f>
        <x:v>JA</x:v>
      </x:c>
    </x:row>
    <x:row r="586">
      <x:c r="A586" s="36" t="str">
        <x:f>FRAGEN_MASTER!A586</x:f>
        <x:v>FP-0845</x:v>
      </x:c>
      <x:c r="B586" s="36" t="str">
        <x:f>FRAGEN_MASTER!B586</x:f>
        <x:v>ACT</x:v>
      </x:c>
      <x:c r="C586" s="36" t="str">
        <x:f>FRAGEN_MASTER!C586</x:f>
        <x:v>Apostelgeschichte</x:v>
      </x:c>
      <x:c r="D586" s="36" t="n">
        <x:f>FRAGEN_MASTER!D586</x:f>
        <x:v>28</x:v>
      </x:c>
      <x:c r="E586" s="36" t="n">
        <x:f>FRAGEN_MASTER!E586</x:f>
        <x:v>5</x:v>
      </x:c>
      <x:c r="F586" s="36" t="str">
        <x:f>FRAGEN_MASTER!Q586</x:f>
        <x:v>Wie endet die Apostelgeschichte mit Blick auf Paulus' Dienst?</x:v>
      </x:c>
      <x:c r="G586" s="36" t="str">
        <x:f>FRAGEN_MASTER!R586</x:f>
        <x:v>Er hört nach wenigen Tagen auf zu predigen.</x:v>
      </x:c>
      <x:c r="H586" s="36" t="str">
        <x:f>FRAGEN_MASTER!S586</x:f>
        <x:v>Er kehrt sofort nach Tarsus zurück.</x:v>
      </x:c>
      <x:c r="I586" s="36" t="str">
        <x:f>FRAGEN_MASTER!T586</x:f>
        <x:v>Er verkündet zwei Jahre lang Gottes Reich und lehrt über Jesus Christus mit aller Freimütigkeit und ungehindert.</x:v>
      </x:c>
      <x:c r="J586" s="36" t="str">
        <x:f>FRAGEN_MASTER!U586</x:f>
        <x:v>Er wird am Ende des Buches verurteilt.</x:v>
      </x:c>
      <x:c r="K586" s="36" t="n">
        <x:f>FRAGEN_MASTER!V586</x:f>
        <x:v>2</x:v>
      </x:c>
      <x:c r="L586" s="36" t="str">
        <x:f>FRAGEN_MASTER!W586</x:f>
        <x:v>Er verkündet zwei Jahre lang Gottes Reich und lehrt über Jesus Christus mit aller Freimütigkeit und ungehindert.</x:v>
      </x:c>
      <x:c r="M586" s="36" t="str">
        <x:f>FRAGEN_MASTER!X586</x:f>
        <x:v>Apostelgeschichte 28,30–31</x:v>
      </x:c>
      <x:c r="N586" s="36" t="str">
        <x:f>FRAGEN_MASTER!Y586</x:f>
        <x:v>Lukas schließt mit dem Bild einer freien, ungehinderten Verkündigung in Rom trotz Paulus' Gefangenschaft.</x:v>
      </x:c>
      <x:c r="O586" s="36" t="str">
        <x:f>FRAGEN_MASTER!AG586</x:f>
        <x:v>FREIGEGEBEN</x:v>
      </x:c>
      <x:c r="P586" s="36" t="str">
        <x:f>FRAGEN_MASTER!AI586</x:f>
        <x:v>FREIGEGEBEN</x:v>
      </x:c>
      <x:c r="Q586" s="36" t="str">
        <x:f>FRAGEN_MASTER!AL586</x:f>
        <x:v>JA</x:v>
      </x:c>
    </x:row>
    <x:row r="587">
      <x:c r="A587" s="36" t="str">
        <x:f>FRAGEN_MASTER!A587</x:f>
        <x:v>FP-0846</x:v>
      </x:c>
      <x:c r="B587" s="36" t="str">
        <x:f>FRAGEN_MASTER!B587</x:f>
        <x:v>ROM</x:v>
      </x:c>
      <x:c r="C587" s="36" t="str">
        <x:f>FRAGEN_MASTER!C587</x:f>
        <x:v>Römer</x:v>
      </x:c>
      <x:c r="D587" s="36" t="n">
        <x:f>FRAGEN_MASTER!D587</x:f>
        <x:v>1</x:v>
      </x:c>
      <x:c r="E587" s="36" t="n">
        <x:f>FRAGEN_MASTER!E587</x:f>
        <x:v>1</x:v>
      </x:c>
      <x:c r="F587" s="36" t="str">
        <x:f>FRAGEN_MASTER!Q587</x:f>
        <x:v>Wie beschreibt Paulus seinen Auftrag zu Beginn des Römerbriefs?</x:v>
      </x:c>
      <x:c r="G587" s="36" t="str">
        <x:f>FRAGEN_MASTER!R587</x:f>
        <x:v>Er soll ausschließlich in Jerusalem lehren.</x:v>
      </x:c>
      <x:c r="H587" s="36" t="str">
        <x:f>FRAGEN_MASTER!S587</x:f>
        <x:v>Er ist zum Priester im Tempel eingesetzt worden.</x:v>
      </x:c>
      <x:c r="I587" s="36" t="str">
        <x:f>FRAGEN_MASTER!T587</x:f>
        <x:v>Er ist zum Apostel berufen und für das Evangelium Gottes ausgesondert.</x:v>
      </x:c>
      <x:c r="J587" s="36" t="str">
        <x:f>FRAGEN_MASTER!U587</x:f>
        <x:v>Er soll die Gemeinden politisch vertreten.</x:v>
      </x:c>
      <x:c r="K587" s="36" t="n">
        <x:f>FRAGEN_MASTER!V587</x:f>
        <x:v>2</x:v>
      </x:c>
      <x:c r="L587" s="36" t="str">
        <x:f>FRAGEN_MASTER!W587</x:f>
        <x:v>Er ist zum Apostel berufen und für das Evangelium Gottes ausgesondert.</x:v>
      </x:c>
      <x:c r="M587" s="36" t="str">
        <x:f>FRAGEN_MASTER!X587</x:f>
        <x:v>Römer 1,1–7</x:v>
      </x:c>
      <x:c r="N587" s="36" t="str">
        <x:f>FRAGEN_MASTER!Y587</x:f>
        <x:v>Paulus stellt sich als Knecht Christi und berufenen Apostel vor, dessen Dienst dem Evangelium Gottes gilt.</x:v>
      </x:c>
      <x:c r="O587" s="36" t="str">
        <x:f>FRAGEN_MASTER!AG587</x:f>
        <x:v>FREIGEGEBEN</x:v>
      </x:c>
      <x:c r="P587" s="36" t="str">
        <x:f>FRAGEN_MASTER!AI587</x:f>
        <x:v>FREIGEGEBEN</x:v>
      </x:c>
      <x:c r="Q587" s="36" t="str">
        <x:f>FRAGEN_MASTER!AL587</x:f>
        <x:v>JA</x:v>
      </x:c>
    </x:row>
    <x:row r="588">
      <x:c r="A588" s="36" t="str">
        <x:f>FRAGEN_MASTER!A588</x:f>
        <x:v>FP-0847</x:v>
      </x:c>
      <x:c r="B588" s="36" t="str">
        <x:f>FRAGEN_MASTER!B588</x:f>
        <x:v>ROM</x:v>
      </x:c>
      <x:c r="C588" s="36" t="str">
        <x:f>FRAGEN_MASTER!C588</x:f>
        <x:v>Römer</x:v>
      </x:c>
      <x:c r="D588" s="36" t="n">
        <x:f>FRAGEN_MASTER!D588</x:f>
        <x:v>1</x:v>
      </x:c>
      <x:c r="E588" s="36" t="n">
        <x:f>FRAGEN_MASTER!E588</x:f>
        <x:v>2</x:v>
      </x:c>
      <x:c r="F588" s="36" t="str">
        <x:f>FRAGEN_MASTER!Q588</x:f>
        <x:v>Warum schämt sich Paulus des Evangeliums nicht?</x:v>
      </x:c>
      <x:c r="G588" s="36" t="str">
        <x:f>FRAGEN_MASTER!R588</x:f>
        <x:v>Weil es politische Macht verspricht.</x:v>
      </x:c>
      <x:c r="H588" s="36" t="str">
        <x:f>FRAGEN_MASTER!S588</x:f>
        <x:v>Weil es nur gebildeten Menschen zugänglich ist.</x:v>
      </x:c>
      <x:c r="I588" s="36" t="str">
        <x:f>FRAGEN_MASTER!T588</x:f>
        <x:v>Weil es keine Ablehnung hervorruft.</x:v>
      </x:c>
      <x:c r="J588" s="36" t="str">
        <x:f>FRAGEN_MASTER!U588</x:f>
        <x:v>Weil es Gottes Kraft zur Rettung für jeden Glaubenden ist.</x:v>
      </x:c>
      <x:c r="K588" s="36" t="n">
        <x:f>FRAGEN_MASTER!V588</x:f>
        <x:v>3</x:v>
      </x:c>
      <x:c r="L588" s="36" t="str">
        <x:f>FRAGEN_MASTER!W588</x:f>
        <x:v>Weil es Gottes Kraft zur Rettung für jeden Glaubenden ist.</x:v>
      </x:c>
      <x:c r="M588" s="36" t="str">
        <x:f>FRAGEN_MASTER!X588</x:f>
        <x:v>Römer 1,16–17</x:v>
      </x:c>
      <x:c r="N588" s="36" t="str">
        <x:f>FRAGEN_MASTER!Y588</x:f>
        <x:v>Paulus bezeichnet das Evangelium als Gottes Kraft zur Rettung und verbindet es mit der Offenbarung von Gottes Gerechtigkeit aus Glauben.</x:v>
      </x:c>
      <x:c r="O588" s="36" t="str">
        <x:f>FRAGEN_MASTER!AG588</x:f>
        <x:v>FREIGEGEBEN</x:v>
      </x:c>
      <x:c r="P588" s="36" t="str">
        <x:f>FRAGEN_MASTER!AI588</x:f>
        <x:v>FREIGEGEBEN</x:v>
      </x:c>
      <x:c r="Q588" s="36" t="str">
        <x:f>FRAGEN_MASTER!AL588</x:f>
        <x:v>JA</x:v>
      </x:c>
    </x:row>
    <x:row r="589">
      <x:c r="A589" s="36" t="str">
        <x:f>FRAGEN_MASTER!A589</x:f>
        <x:v>FP-0848</x:v>
      </x:c>
      <x:c r="B589" s="36" t="str">
        <x:f>FRAGEN_MASTER!B589</x:f>
        <x:v>ROM</x:v>
      </x:c>
      <x:c r="C589" s="36" t="str">
        <x:f>FRAGEN_MASTER!C589</x:f>
        <x:v>Römer</x:v>
      </x:c>
      <x:c r="D589" s="36" t="n">
        <x:f>FRAGEN_MASTER!D589</x:f>
        <x:v>1</x:v>
      </x:c>
      <x:c r="E589" s="36" t="n">
        <x:f>FRAGEN_MASTER!E589</x:f>
        <x:v>3</x:v>
      </x:c>
      <x:c r="F589" s="36" t="str">
        <x:f>FRAGEN_MASTER!Q589</x:f>
        <x:v>Was sagt Paulus über das, was Menschen von Gott erkennen können?</x:v>
      </x:c>
      <x:c r="G589" s="36" t="str">
        <x:f>FRAGEN_MASTER!R589</x:f>
        <x:v>Gottes unsichtbares Wesen wird an seinen Werken erkennbar, dennoch unterdrücken Menschen die Wahrheit.</x:v>
      </x:c>
      <x:c r="H589" s="36" t="str">
        <x:f>FRAGEN_MASTER!S589</x:f>
        <x:v>Gott hat sich überhaupt nicht erkennen lassen.</x:v>
      </x:c>
      <x:c r="I589" s="36" t="str">
        <x:f>FRAGEN_MASTER!T589</x:f>
        <x:v>Nur Priester können etwas über Gott wissen.</x:v>
      </x:c>
      <x:c r="J589" s="36" t="str">
        <x:f>FRAGEN_MASTER!U589</x:f>
        <x:v>Die Schöpfung sagt nach Paulus nichts über Gott aus.</x:v>
      </x:c>
      <x:c r="K589" s="36" t="n">
        <x:f>FRAGEN_MASTER!V589</x:f>
        <x:v>0</x:v>
      </x:c>
      <x:c r="L589" s="36" t="str">
        <x:f>FRAGEN_MASTER!W589</x:f>
        <x:v>Gottes unsichtbares Wesen wird an seinen Werken erkennbar, dennoch unterdrücken Menschen die Wahrheit.</x:v>
      </x:c>
      <x:c r="M589" s="36" t="str">
        <x:f>FRAGEN_MASTER!X589</x:f>
        <x:v>Römer 1,18–23</x:v>
      </x:c>
      <x:c r="N589" s="36" t="str">
        <x:f>FRAGEN_MASTER!Y589</x:f>
        <x:v>Paulus argumentiert, dass Gottes Macht und Gottheit in der Schöpfung erkennbar sind, Menschen die Wahrheit aber in Ungerechtigkeit unterdrücken.</x:v>
      </x:c>
      <x:c r="O589" s="36" t="str">
        <x:f>FRAGEN_MASTER!AG589</x:f>
        <x:v>FREIGEGEBEN</x:v>
      </x:c>
      <x:c r="P589" s="36" t="str">
        <x:f>FRAGEN_MASTER!AI589</x:f>
        <x:v>FREIGEGEBEN</x:v>
      </x:c>
      <x:c r="Q589" s="36" t="str">
        <x:f>FRAGEN_MASTER!AL589</x:f>
        <x:v>JA</x:v>
      </x:c>
    </x:row>
    <x:row r="590">
      <x:c r="A590" s="36" t="str">
        <x:f>FRAGEN_MASTER!A590</x:f>
        <x:v>FP-0849</x:v>
      </x:c>
      <x:c r="B590" s="36" t="str">
        <x:f>FRAGEN_MASTER!B590</x:f>
        <x:v>ROM</x:v>
      </x:c>
      <x:c r="C590" s="36" t="str">
        <x:f>FRAGEN_MASTER!C590</x:f>
        <x:v>Römer</x:v>
      </x:c>
      <x:c r="D590" s="36" t="n">
        <x:f>FRAGEN_MASTER!D590</x:f>
        <x:v>1</x:v>
      </x:c>
      <x:c r="E590" s="36" t="n">
        <x:f>FRAGEN_MASTER!E590</x:f>
        <x:v>4</x:v>
      </x:c>
      <x:c r="F590" s="36" t="str">
        <x:f>FRAGEN_MASTER!Q590</x:f>
        <x:v>Welche Vertauschung beschreibt Paulus als Ausdruck menschlicher Abkehr von Gott?</x:v>
      </x:c>
      <x:c r="G590" s="36" t="str">
        <x:f>FRAGEN_MASTER!R590</x:f>
        <x:v>Das Gesetz wird gegen die Propheten vertauscht.</x:v>
      </x:c>
      <x:c r="H590" s="36" t="str">
        <x:f>FRAGEN_MASTER!S590</x:f>
        <x:v>Die Wahrheit Gottes wird gegen die Lüge vertauscht, und das Geschaffene wird anstelle des Schöpfers verehrt.</x:v>
      </x:c>
      <x:c r="I590" s="36" t="str">
        <x:f>FRAGEN_MASTER!T590</x:f>
        <x:v>Jerusalem wird gegen Rom vertauscht.</x:v>
      </x:c>
      <x:c r="J590" s="36" t="str">
        <x:f>FRAGEN_MASTER!U590</x:f>
        <x:v>Gebet wird gegen Fasten vertauscht.</x:v>
      </x:c>
      <x:c r="K590" s="36" t="n">
        <x:f>FRAGEN_MASTER!V590</x:f>
        <x:v>1</x:v>
      </x:c>
      <x:c r="L590" s="36" t="str">
        <x:f>FRAGEN_MASTER!W590</x:f>
        <x:v>Die Wahrheit Gottes wird gegen die Lüge vertauscht, und das Geschaffene wird anstelle des Schöpfers verehrt.</x:v>
      </x:c>
      <x:c r="M590" s="36" t="str">
        <x:f>FRAGEN_MASTER!X590</x:f>
        <x:v>Römer 1,24–25</x:v>
      </x:c>
      <x:c r="N590" s="36" t="str">
        <x:f>FRAGEN_MASTER!Y590</x:f>
        <x:v>Paulus beschreibt den grundlegenden Tausch: Verehrung des Geschaffenen statt des Schöpfers.</x:v>
      </x:c>
      <x:c r="O590" s="36" t="str">
        <x:f>FRAGEN_MASTER!AG590</x:f>
        <x:v>FREIGEGEBEN</x:v>
      </x:c>
      <x:c r="P590" s="36" t="str">
        <x:f>FRAGEN_MASTER!AI590</x:f>
        <x:v>FREIGEGEBEN</x:v>
      </x:c>
      <x:c r="Q590" s="36" t="str">
        <x:f>FRAGEN_MASTER!AL590</x:f>
        <x:v>JA</x:v>
      </x:c>
    </x:row>
    <x:row r="591">
      <x:c r="A591" s="36" t="str">
        <x:f>FRAGEN_MASTER!A591</x:f>
        <x:v>FP-0850</x:v>
      </x:c>
      <x:c r="B591" s="36" t="str">
        <x:f>FRAGEN_MASTER!B591</x:f>
        <x:v>ROM</x:v>
      </x:c>
      <x:c r="C591" s="36" t="str">
        <x:f>FRAGEN_MASTER!C591</x:f>
        <x:v>Römer</x:v>
      </x:c>
      <x:c r="D591" s="36" t="n">
        <x:f>FRAGEN_MASTER!D591</x:f>
        <x:v>1</x:v>
      </x:c>
      <x:c r="E591" s="36" t="n">
        <x:f>FRAGEN_MASTER!E591</x:f>
        <x:v>5</x:v>
      </x:c>
      <x:c r="F591" s="36" t="str">
        <x:f>FRAGEN_MASTER!Q591</x:f>
        <x:v>Wie beschreibt Paulus die Folge davon, Gott nicht in Erkenntnis festhalten zu wollen?</x:v>
      </x:c>
      <x:c r="G591" s="36" t="str">
        <x:f>FRAGEN_MASTER!R591</x:f>
        <x:v>Sie verlieren sofort jede Fähigkeit zu handeln.</x:v>
      </x:c>
      <x:c r="H591" s="36" t="str">
        <x:f>FRAGEN_MASTER!S591</x:f>
        <x:v>Sie werden automatisch gerecht.</x:v>
      </x:c>
      <x:c r="I591" s="36" t="str">
        <x:f>FRAGEN_MASTER!T591</x:f>
        <x:v>Menschen werden einem verkehrten Denken überlassen, das sich in vielfältigem Unrecht zeigt.</x:v>
      </x:c>
      <x:c r="J591" s="36" t="str">
        <x:f>FRAGEN_MASTER!U591</x:f>
        <x:v>Sie ziehen sich vollständig aus der Gesellschaft zurück.</x:v>
      </x:c>
      <x:c r="K591" s="36" t="n">
        <x:f>FRAGEN_MASTER!V591</x:f>
        <x:v>2</x:v>
      </x:c>
      <x:c r="L591" s="36" t="str">
        <x:f>FRAGEN_MASTER!W591</x:f>
        <x:v>Menschen werden einem verkehrten Denken überlassen, das sich in vielfältigem Unrecht zeigt.</x:v>
      </x:c>
      <x:c r="M591" s="36" t="str">
        <x:f>FRAGEN_MASTER!X591</x:f>
        <x:v>Römer 1,28–32</x:v>
      </x:c>
      <x:c r="N591" s="36" t="str">
        <x:f>FRAGEN_MASTER!Y591</x:f>
        <x:v>Paulus führt zahlreiche Formen menschlicher Bosheit als Folge eines von Gott abgewandten Denkens auf.</x:v>
      </x:c>
      <x:c r="O591" s="36" t="str">
        <x:f>FRAGEN_MASTER!AG591</x:f>
        <x:v>FREIGEGEBEN</x:v>
      </x:c>
      <x:c r="P591" s="36" t="str">
        <x:f>FRAGEN_MASTER!AI591</x:f>
        <x:v>FREIGEGEBEN</x:v>
      </x:c>
      <x:c r="Q591" s="36" t="str">
        <x:f>FRAGEN_MASTER!AL591</x:f>
        <x:v>JA</x:v>
      </x:c>
    </x:row>
    <x:row r="592">
      <x:c r="A592" s="36" t="str">
        <x:f>FRAGEN_MASTER!A592</x:f>
        <x:v>FP-0851</x:v>
      </x:c>
      <x:c r="B592" s="36" t="str">
        <x:f>FRAGEN_MASTER!B592</x:f>
        <x:v>ROM</x:v>
      </x:c>
      <x:c r="C592" s="36" t="str">
        <x:f>FRAGEN_MASTER!C592</x:f>
        <x:v>Römer</x:v>
      </x:c>
      <x:c r="D592" s="36" t="n">
        <x:f>FRAGEN_MASTER!D592</x:f>
        <x:v>2</x:v>
      </x:c>
      <x:c r="E592" s="36" t="n">
        <x:f>FRAGEN_MASTER!E592</x:f>
        <x:v>1</x:v>
      </x:c>
      <x:c r="F592" s="36" t="str">
        <x:f>FRAGEN_MASTER!Q592</x:f>
        <x:v>Warum warnt Paulus davor, andere vorschnell zu richten?</x:v>
      </x:c>
      <x:c r="G592" s="36" t="str">
        <x:f>FRAGEN_MASTER!R592</x:f>
        <x:v>Gericht ist nur dann falsch, wenn niemand zuhört.</x:v>
      </x:c>
      <x:c r="H592" s="36" t="str">
        <x:f>FRAGEN_MASTER!S592</x:f>
        <x:v>Nur Nichtjuden dürfen andere beurteilen.</x:v>
      </x:c>
      <x:c r="I592" s="36" t="str">
        <x:f>FRAGEN_MASTER!T592</x:f>
        <x:v>Jede moralische Beurteilung ist nach Paulus grundsätzlich verboten.</x:v>
      </x:c>
      <x:c r="J592" s="36" t="str">
        <x:f>FRAGEN_MASTER!U592</x:f>
        <x:v>Wer andere richtet und dasselbe tut, verurteilt sich damit selbst.</x:v>
      </x:c>
      <x:c r="K592" s="36" t="n">
        <x:f>FRAGEN_MASTER!V592</x:f>
        <x:v>3</x:v>
      </x:c>
      <x:c r="L592" s="36" t="str">
        <x:f>FRAGEN_MASTER!W592</x:f>
        <x:v>Wer andere richtet und dasselbe tut, verurteilt sich damit selbst.</x:v>
      </x:c>
      <x:c r="M592" s="36" t="str">
        <x:f>FRAGEN_MASTER!X592</x:f>
        <x:v>Römer 2,1–4</x:v>
      </x:c>
      <x:c r="N592" s="36" t="str">
        <x:f>FRAGEN_MASTER!Y592</x:f>
        <x:v>Paulus richtet sich gegen selbstgerechtes Richten, wenn der Richter selbst dasselbe tut.</x:v>
      </x:c>
      <x:c r="O592" s="36" t="str">
        <x:f>FRAGEN_MASTER!AG592</x:f>
        <x:v>FREIGEGEBEN</x:v>
      </x:c>
      <x:c r="P592" s="36" t="str">
        <x:f>FRAGEN_MASTER!AI592</x:f>
        <x:v>FREIGEGEBEN</x:v>
      </x:c>
      <x:c r="Q592" s="36" t="str">
        <x:f>FRAGEN_MASTER!AL592</x:f>
        <x:v>JA</x:v>
      </x:c>
    </x:row>
    <x:row r="593">
      <x:c r="A593" s="36" t="str">
        <x:f>FRAGEN_MASTER!A593</x:f>
        <x:v>FP-0852</x:v>
      </x:c>
      <x:c r="B593" s="36" t="str">
        <x:f>FRAGEN_MASTER!B593</x:f>
        <x:v>ROM</x:v>
      </x:c>
      <x:c r="C593" s="36" t="str">
        <x:f>FRAGEN_MASTER!C593</x:f>
        <x:v>Römer</x:v>
      </x:c>
      <x:c r="D593" s="36" t="n">
        <x:f>FRAGEN_MASTER!D593</x:f>
        <x:v>2</x:v>
      </x:c>
      <x:c r="E593" s="36" t="n">
        <x:f>FRAGEN_MASTER!E593</x:f>
        <x:v>2</x:v>
      </x:c>
      <x:c r="F593" s="36" t="str">
        <x:f>FRAGEN_MASTER!Q593</x:f>
        <x:v>Nach welchem Grundsatz beschreibt Paulus Gottes Gericht?</x:v>
      </x:c>
      <x:c r="G593" s="36" t="str">
        <x:f>FRAGEN_MASTER!R593</x:f>
        <x:v>Gott wird jedem nach seinen Werken geben und sieht die Person nicht an.</x:v>
      </x:c>
      <x:c r="H593" s="36" t="str">
        <x:f>FRAGEN_MASTER!S593</x:f>
        <x:v>Gott beurteilt nur nach Herkunft.</x:v>
      </x:c>
      <x:c r="I593" s="36" t="str">
        <x:f>FRAGEN_MASTER!T593</x:f>
        <x:v>Gott richtet ausschließlich Nichtjuden.</x:v>
      </x:c>
      <x:c r="J593" s="36" t="str">
        <x:f>FRAGEN_MASTER!U593</x:f>
        <x:v>Gott richtet nur sichtbare Taten, niemals das Herz.</x:v>
      </x:c>
      <x:c r="K593" s="36" t="n">
        <x:f>FRAGEN_MASTER!V593</x:f>
        <x:v>0</x:v>
      </x:c>
      <x:c r="L593" s="36" t="str">
        <x:f>FRAGEN_MASTER!W593</x:f>
        <x:v>Gott wird jedem nach seinen Werken geben und sieht die Person nicht an.</x:v>
      </x:c>
      <x:c r="M593" s="36" t="str">
        <x:f>FRAGEN_MASTER!X593</x:f>
        <x:v>Römer 2,6–11</x:v>
      </x:c>
      <x:c r="N593" s="36" t="str">
        <x:f>FRAGEN_MASTER!Y593</x:f>
        <x:v>Paulus betont sowohl die Vergeltung nach dem Tun als auch Gottes Unparteilichkeit.</x:v>
      </x:c>
      <x:c r="O593" s="36" t="str">
        <x:f>FRAGEN_MASTER!AG593</x:f>
        <x:v>FREIGEGEBEN</x:v>
      </x:c>
      <x:c r="P593" s="36" t="str">
        <x:f>FRAGEN_MASTER!AI593</x:f>
        <x:v>FREIGEGEBEN</x:v>
      </x:c>
      <x:c r="Q593" s="36" t="str">
        <x:f>FRAGEN_MASTER!AL593</x:f>
        <x:v>JA</x:v>
      </x:c>
    </x:row>
    <x:row r="594">
      <x:c r="A594" s="36" t="str">
        <x:f>FRAGEN_MASTER!A594</x:f>
        <x:v>FP-0853</x:v>
      </x:c>
      <x:c r="B594" s="36" t="str">
        <x:f>FRAGEN_MASTER!B594</x:f>
        <x:v>ROM</x:v>
      </x:c>
      <x:c r="C594" s="36" t="str">
        <x:f>FRAGEN_MASTER!C594</x:f>
        <x:v>Römer</x:v>
      </x:c>
      <x:c r="D594" s="36" t="n">
        <x:f>FRAGEN_MASTER!D594</x:f>
        <x:v>2</x:v>
      </x:c>
      <x:c r="E594" s="36" t="n">
        <x:f>FRAGEN_MASTER!E594</x:f>
        <x:v>3</x:v>
      </x:c>
      <x:c r="F594" s="36" t="str">
        <x:f>FRAGEN_MASTER!Q594</x:f>
        <x:v>Was zeigt Paulus am Beispiel von Menschen ohne das mosaische Gesetz?</x:v>
      </x:c>
      <x:c r="G594" s="36" t="str">
        <x:f>FRAGEN_MASTER!R594</x:f>
        <x:v>Menschen ohne Gesetz haben keinerlei moralisches Bewusstsein.</x:v>
      </x:c>
      <x:c r="H594" s="36" t="str">
        <x:f>FRAGEN_MASTER!S594</x:f>
        <x:v>Auch ohne das geschriebene Gesetz kann das Gewissen bezeugen, dass Anforderungen des Gesetzes im Herzen bekannt sind.</x:v>
      </x:c>
      <x:c r="I594" s="36" t="str">
        <x:f>FRAGEN_MASTER!T594</x:f>
        <x:v>Nur Juden besitzen ein Gewissen.</x:v>
      </x:c>
      <x:c r="J594" s="36" t="str">
        <x:f>FRAGEN_MASTER!U594</x:f>
        <x:v>Das Gesetz spielt für Gottes Gericht überhaupt keine Rolle.</x:v>
      </x:c>
      <x:c r="K594" s="36" t="n">
        <x:f>FRAGEN_MASTER!V594</x:f>
        <x:v>1</x:v>
      </x:c>
      <x:c r="L594" s="36" t="str">
        <x:f>FRAGEN_MASTER!W594</x:f>
        <x:v>Auch ohne das geschriebene Gesetz kann das Gewissen bezeugen, dass Anforderungen des Gesetzes im Herzen bekannt sind.</x:v>
      </x:c>
      <x:c r="M594" s="36" t="str">
        <x:f>FRAGEN_MASTER!X594</x:f>
        <x:v>Römer 2,12–16</x:v>
      </x:c>
      <x:c r="N594" s="36" t="str">
        <x:f>FRAGEN_MASTER!Y594</x:f>
        <x:v>Paulus spricht von Gewissen und Gedanken, die anklagen oder entschuldigen, auch wo das geschriebene Gesetz nicht vorliegt.</x:v>
      </x:c>
      <x:c r="O594" s="36" t="str">
        <x:f>FRAGEN_MASTER!AG594</x:f>
        <x:v>FREIGEGEBEN</x:v>
      </x:c>
      <x:c r="P594" s="36" t="str">
        <x:f>FRAGEN_MASTER!AI594</x:f>
        <x:v>FREIGEGEBEN</x:v>
      </x:c>
      <x:c r="Q594" s="36" t="str">
        <x:f>FRAGEN_MASTER!AL594</x:f>
        <x:v>JA</x:v>
      </x:c>
    </x:row>
    <x:row r="595">
      <x:c r="A595" s="36" t="str">
        <x:f>FRAGEN_MASTER!A595</x:f>
        <x:v>FP-0854</x:v>
      </x:c>
      <x:c r="B595" s="36" t="str">
        <x:f>FRAGEN_MASTER!B595</x:f>
        <x:v>ROM</x:v>
      </x:c>
      <x:c r="C595" s="36" t="str">
        <x:f>FRAGEN_MASTER!C595</x:f>
        <x:v>Römer</x:v>
      </x:c>
      <x:c r="D595" s="36" t="n">
        <x:f>FRAGEN_MASTER!D595</x:f>
        <x:v>2</x:v>
      </x:c>
      <x:c r="E595" s="36" t="n">
        <x:f>FRAGEN_MASTER!E595</x:f>
        <x:v>4</x:v>
      </x:c>
      <x:c r="F595" s="36" t="str">
        <x:f>FRAGEN_MASTER!Q595</x:f>
        <x:v>Was kritisiert Paulus an einem Menschen, der sich auf das Gesetz beruft, es aber selbst übertritt?</x:v>
      </x:c>
      <x:c r="G595" s="36" t="str">
        <x:f>FRAGEN_MASTER!R595</x:f>
        <x:v>Dass er zu viel aus der Schrift weiß.</x:v>
      </x:c>
      <x:c r="H595" s="36" t="str">
        <x:f>FRAGEN_MASTER!S595</x:f>
        <x:v>Dass er nicht in Rom geboren wurde.</x:v>
      </x:c>
      <x:c r="I595" s="36" t="str">
        <x:f>FRAGEN_MASTER!T595</x:f>
        <x:v>Dass seine Selbstsicherheit im Widerspruch zu seinem eigenen Verhalten steht und Gottes Name dadurch entehrt wird.</x:v>
      </x:c>
      <x:c r="J595" s="36" t="str">
        <x:f>FRAGEN_MASTER!U595</x:f>
        <x:v>Dass er zu oft im Tempel ist.</x:v>
      </x:c>
      <x:c r="K595" s="36" t="n">
        <x:f>FRAGEN_MASTER!V595</x:f>
        <x:v>2</x:v>
      </x:c>
      <x:c r="L595" s="36" t="str">
        <x:f>FRAGEN_MASTER!W595</x:f>
        <x:v>Dass seine Selbstsicherheit im Widerspruch zu seinem eigenen Verhalten steht und Gottes Name dadurch entehrt wird.</x:v>
      </x:c>
      <x:c r="M595" s="36" t="str">
        <x:f>FRAGEN_MASTER!X595</x:f>
        <x:v>Römer 2,17–24</x:v>
      </x:c>
      <x:c r="N595" s="36" t="str">
        <x:f>FRAGEN_MASTER!Y595</x:f>
        <x:v>Paulus zeigt den Widerspruch zwischen Anspruch und Verhalten auf und sagt, dass dadurch Gottes Name verlästert wird.</x:v>
      </x:c>
      <x:c r="O595" s="36" t="str">
        <x:f>FRAGEN_MASTER!AG595</x:f>
        <x:v>FREIGEGEBEN</x:v>
      </x:c>
      <x:c r="P595" s="36" t="str">
        <x:f>FRAGEN_MASTER!AI595</x:f>
        <x:v>FREIGEGEBEN</x:v>
      </x:c>
      <x:c r="Q595" s="36" t="str">
        <x:f>FRAGEN_MASTER!AL595</x:f>
        <x:v>JA</x:v>
      </x:c>
    </x:row>
    <x:row r="596">
      <x:c r="A596" s="36" t="str">
        <x:f>FRAGEN_MASTER!A596</x:f>
        <x:v>FP-0855</x:v>
      </x:c>
      <x:c r="B596" s="36" t="str">
        <x:f>FRAGEN_MASTER!B596</x:f>
        <x:v>ROM</x:v>
      </x:c>
      <x:c r="C596" s="36" t="str">
        <x:f>FRAGEN_MASTER!C596</x:f>
        <x:v>Römer</x:v>
      </x:c>
      <x:c r="D596" s="36" t="n">
        <x:f>FRAGEN_MASTER!D596</x:f>
        <x:v>2</x:v>
      </x:c>
      <x:c r="E596" s="36" t="n">
        <x:f>FRAGEN_MASTER!E596</x:f>
        <x:v>5</x:v>
      </x:c>
      <x:c r="F596" s="36" t="str">
        <x:f>FRAGEN_MASTER!Q596</x:f>
        <x:v>Wie beschreibt Paulus wahre Beschneidung?</x:v>
      </x:c>
      <x:c r="G596" s="36" t="str">
        <x:f>FRAGEN_MASTER!R596</x:f>
        <x:v>Als rein körperliches Zeichen ohne innere Bedeutung.</x:v>
      </x:c>
      <x:c r="H596" s="36" t="str">
        <x:f>FRAGEN_MASTER!S596</x:f>
        <x:v>Als Voraussetzung für römisches Bürgerrecht.</x:v>
      </x:c>
      <x:c r="I596" s="36" t="str">
        <x:f>FRAGEN_MASTER!T596</x:f>
        <x:v>Als Aufgabe ausschließlich der Priester.</x:v>
      </x:c>
      <x:c r="J596" s="36" t="str">
        <x:f>FRAGEN_MASTER!U596</x:f>
        <x:v>Als Beschneidung des Herzens im Geist, nicht nur als äußeres Zeichen.</x:v>
      </x:c>
      <x:c r="K596" s="36" t="n">
        <x:f>FRAGEN_MASTER!V596</x:f>
        <x:v>3</x:v>
      </x:c>
      <x:c r="L596" s="36" t="str">
        <x:f>FRAGEN_MASTER!W596</x:f>
        <x:v>Als Beschneidung des Herzens im Geist, nicht nur als äußeres Zeichen.</x:v>
      </x:c>
      <x:c r="M596" s="36" t="str">
        <x:f>FRAGEN_MASTER!X596</x:f>
        <x:v>Römer 2,28–29</x:v>
      </x:c>
      <x:c r="N596" s="36" t="str">
        <x:f>FRAGEN_MASTER!Y596</x:f>
        <x:v>Paulus verlagert den Schwerpunkt vom äußeren Zeichen auf die innere Wirklichkeit des Herzens.</x:v>
      </x:c>
      <x:c r="O596" s="36" t="str">
        <x:f>FRAGEN_MASTER!AG596</x:f>
        <x:v>FREIGEGEBEN</x:v>
      </x:c>
      <x:c r="P596" s="36" t="str">
        <x:f>FRAGEN_MASTER!AI596</x:f>
        <x:v>FREIGEGEBEN</x:v>
      </x:c>
      <x:c r="Q596" s="36" t="str">
        <x:f>FRAGEN_MASTER!AL596</x:f>
        <x:v>JA</x:v>
      </x:c>
    </x:row>
    <x:row r="597">
      <x:c r="A597" s="36" t="str">
        <x:f>FRAGEN_MASTER!A597</x:f>
        <x:v>FP-0856</x:v>
      </x:c>
      <x:c r="B597" s="36" t="str">
        <x:f>FRAGEN_MASTER!B597</x:f>
        <x:v>ROM</x:v>
      </x:c>
      <x:c r="C597" s="36" t="str">
        <x:f>FRAGEN_MASTER!C597</x:f>
        <x:v>Römer</x:v>
      </x:c>
      <x:c r="D597" s="36" t="n">
        <x:f>FRAGEN_MASTER!D597</x:f>
        <x:v>3</x:v>
      </x:c>
      <x:c r="E597" s="36" t="n">
        <x:f>FRAGEN_MASTER!E597</x:f>
        <x:v>1</x:v>
      </x:c>
      <x:c r="F597" s="36" t="str">
        <x:f>FRAGEN_MASTER!Q597</x:f>
        <x:v>Zu welchem Ergebnis kommt Paulus über Juden und Griechen im Blick auf die Sünde?</x:v>
      </x:c>
      <x:c r="G597" s="36" t="str">
        <x:f>FRAGEN_MASTER!R597</x:f>
        <x:v>Alle stehen unter der Sünde, und kein Mensch wird durch Gesetzeswerke vor Gott gerecht.</x:v>
      </x:c>
      <x:c r="H597" s="36" t="str">
        <x:f>FRAGEN_MASTER!S597</x:f>
        <x:v>Nur Nichtjuden stehen unter der Sünde.</x:v>
      </x:c>
      <x:c r="I597" s="36" t="str">
        <x:f>FRAGEN_MASTER!T597</x:f>
        <x:v>Nur Juden brauchen Vergebung.</x:v>
      </x:c>
      <x:c r="J597" s="36" t="str">
        <x:f>FRAGEN_MASTER!U597</x:f>
        <x:v>Wer das Gesetz kennt, ist automatisch gerecht.</x:v>
      </x:c>
      <x:c r="K597" s="36" t="n">
        <x:f>FRAGEN_MASTER!V597</x:f>
        <x:v>0</x:v>
      </x:c>
      <x:c r="L597" s="36" t="str">
        <x:f>FRAGEN_MASTER!W597</x:f>
        <x:v>Alle stehen unter der Sünde, und kein Mensch wird durch Gesetzeswerke vor Gott gerecht.</x:v>
      </x:c>
      <x:c r="M597" s="36" t="str">
        <x:f>FRAGEN_MASTER!X597</x:f>
        <x:v>Römer 3,9–20</x:v>
      </x:c>
      <x:c r="N597" s="36" t="str">
        <x:f>FRAGEN_MASTER!Y597</x:f>
        <x:v>Paulus fasst die universale Sündhaftigkeit zusammen und erklärt, dass das Gesetz Sünde erkenntlich macht, aber nicht durch Werke rechtfertigt.</x:v>
      </x:c>
      <x:c r="O597" s="36" t="str">
        <x:f>FRAGEN_MASTER!AG597</x:f>
        <x:v>FREIGEGEBEN</x:v>
      </x:c>
      <x:c r="P597" s="36" t="str">
        <x:f>FRAGEN_MASTER!AI597</x:f>
        <x:v>FREIGEGEBEN</x:v>
      </x:c>
      <x:c r="Q597" s="36" t="str">
        <x:f>FRAGEN_MASTER!AL597</x:f>
        <x:v>JA</x:v>
      </x:c>
    </x:row>
    <x:row r="598">
      <x:c r="A598" s="36" t="str">
        <x:f>FRAGEN_MASTER!A598</x:f>
        <x:v>FP-0857</x:v>
      </x:c>
      <x:c r="B598" s="36" t="str">
        <x:f>FRAGEN_MASTER!B598</x:f>
        <x:v>ROM</x:v>
      </x:c>
      <x:c r="C598" s="36" t="str">
        <x:f>FRAGEN_MASTER!C598</x:f>
        <x:v>Römer</x:v>
      </x:c>
      <x:c r="D598" s="36" t="n">
        <x:f>FRAGEN_MASTER!D598</x:f>
        <x:v>3</x:v>
      </x:c>
      <x:c r="E598" s="36" t="n">
        <x:f>FRAGEN_MASTER!E598</x:f>
        <x:v>2</x:v>
      </x:c>
      <x:c r="F598" s="36" t="str">
        <x:f>FRAGEN_MASTER!Q598</x:f>
        <x:v>Wie wird Gottes Gerechtigkeit nach Römer 3 offenbar?</x:v>
      </x:c>
      <x:c r="G598" s="36" t="str">
        <x:f>FRAGEN_MASTER!R598</x:f>
        <x:v>Ausschließlich durch menschliche Leistung.</x:v>
      </x:c>
      <x:c r="H598" s="36" t="str">
        <x:f>FRAGEN_MASTER!S598</x:f>
        <x:v>Unabhängig von Gesetzeswerken, durch Glauben an Jesus Christus für die Glaubenden.</x:v>
      </x:c>
      <x:c r="I598" s="36" t="str">
        <x:f>FRAGEN_MASTER!T598</x:f>
        <x:v>Nur durch Abstammung von Abraham.</x:v>
      </x:c>
      <x:c r="J598" s="36" t="str">
        <x:f>FRAGEN_MASTER!U598</x:f>
        <x:v>Durch politischen Gehorsam gegenüber Rom.</x:v>
      </x:c>
      <x:c r="K598" s="36" t="n">
        <x:f>FRAGEN_MASTER!V598</x:f>
        <x:v>1</x:v>
      </x:c>
      <x:c r="L598" s="36" t="str">
        <x:f>FRAGEN_MASTER!W598</x:f>
        <x:v>Unabhängig von Gesetzeswerken, durch Glauben an Jesus Christus für die Glaubenden.</x:v>
      </x:c>
      <x:c r="M598" s="36" t="str">
        <x:f>FRAGEN_MASTER!X598</x:f>
        <x:v>Römer 3,21–24</x:v>
      </x:c>
      <x:c r="N598" s="36" t="str">
        <x:f>FRAGEN_MASTER!Y598</x:f>
        <x:v>Paulus beschreibt eine von Gesetzeswerken unabhängige Gerechtigkeit Gottes, die durch Glauben zugänglich ist.</x:v>
      </x:c>
      <x:c r="O598" s="36" t="str">
        <x:f>FRAGEN_MASTER!AG598</x:f>
        <x:v>FREIGEGEBEN</x:v>
      </x:c>
      <x:c r="P598" s="36" t="str">
        <x:f>FRAGEN_MASTER!AI598</x:f>
        <x:v>FREIGEGEBEN</x:v>
      </x:c>
      <x:c r="Q598" s="36" t="str">
        <x:f>FRAGEN_MASTER!AL598</x:f>
        <x:v>JA</x:v>
      </x:c>
    </x:row>
    <x:row r="599">
      <x:c r="A599" s="36" t="str">
        <x:f>FRAGEN_MASTER!A599</x:f>
        <x:v>FP-0858</x:v>
      </x:c>
      <x:c r="B599" s="36" t="str">
        <x:f>FRAGEN_MASTER!B599</x:f>
        <x:v>ROM</x:v>
      </x:c>
      <x:c r="C599" s="36" t="str">
        <x:f>FRAGEN_MASTER!C599</x:f>
        <x:v>Römer</x:v>
      </x:c>
      <x:c r="D599" s="36" t="n">
        <x:f>FRAGEN_MASTER!D599</x:f>
        <x:v>3</x:v>
      </x:c>
      <x:c r="E599" s="36" t="n">
        <x:f>FRAGEN_MASTER!E599</x:f>
        <x:v>3</x:v>
      </x:c>
      <x:c r="F599" s="36" t="str">
        <x:f>FRAGEN_MASTER!Q599</x:f>
        <x:v>Was zeigt Gott nach Paulus durch Christus als Sühne?</x:v>
      </x:c>
      <x:c r="G599" s="36" t="str">
        <x:f>FRAGEN_MASTER!R599</x:f>
        <x:v>Dass Sünde bedeutungslos ist.</x:v>
      </x:c>
      <x:c r="H599" s="36" t="str">
        <x:f>FRAGEN_MASTER!S599</x:f>
        <x:v>Dass nur Israel Vergebung braucht.</x:v>
      </x:c>
      <x:c r="I599" s="36" t="str">
        <x:f>FRAGEN_MASTER!T599</x:f>
        <x:v>Seine eigene Gerechtigkeit, indem er Sünde nicht einfach ignoriert und zugleich gerecht macht.</x:v>
      </x:c>
      <x:c r="J599" s="36" t="str">
        <x:f>FRAGEN_MASTER!U599</x:f>
        <x:v>Dass Gerechtigkeit ausschließlich Strafe bedeutet.</x:v>
      </x:c>
      <x:c r="K599" s="36" t="n">
        <x:f>FRAGEN_MASTER!V599</x:f>
        <x:v>2</x:v>
      </x:c>
      <x:c r="L599" s="36" t="str">
        <x:f>FRAGEN_MASTER!W599</x:f>
        <x:v>Seine eigene Gerechtigkeit, indem er Sünde nicht einfach ignoriert und zugleich gerecht macht.</x:v>
      </x:c>
      <x:c r="M599" s="36" t="str">
        <x:f>FRAGEN_MASTER!X599</x:f>
        <x:v>Römer 3,25–26</x:v>
      </x:c>
      <x:c r="N599" s="36" t="str">
        <x:f>FRAGEN_MASTER!Y599</x:f>
        <x:v>Paulus verbindet Gottes Geduld, die Sühne durch Christus und Gottes eigene Gerechtigkeit.</x:v>
      </x:c>
      <x:c r="O599" s="36" t="str">
        <x:f>FRAGEN_MASTER!AG599</x:f>
        <x:v>FREIGEGEBEN</x:v>
      </x:c>
      <x:c r="P599" s="36" t="str">
        <x:f>FRAGEN_MASTER!AI599</x:f>
        <x:v>FREIGEGEBEN</x:v>
      </x:c>
      <x:c r="Q599" s="36" t="str">
        <x:f>FRAGEN_MASTER!AL599</x:f>
        <x:v>JA</x:v>
      </x:c>
    </x:row>
    <x:row r="600">
      <x:c r="A600" s="36" t="str">
        <x:f>FRAGEN_MASTER!A600</x:f>
        <x:v>FP-0859</x:v>
      </x:c>
      <x:c r="B600" s="36" t="str">
        <x:f>FRAGEN_MASTER!B600</x:f>
        <x:v>ROM</x:v>
      </x:c>
      <x:c r="C600" s="36" t="str">
        <x:f>FRAGEN_MASTER!C600</x:f>
        <x:v>Römer</x:v>
      </x:c>
      <x:c r="D600" s="36" t="n">
        <x:f>FRAGEN_MASTER!D600</x:f>
        <x:v>3</x:v>
      </x:c>
      <x:c r="E600" s="36" t="n">
        <x:f>FRAGEN_MASTER!E600</x:f>
        <x:v>4</x:v>
      </x:c>
      <x:c r="F600" s="36" t="str">
        <x:f>FRAGEN_MASTER!Q600</x:f>
        <x:v>Warum ist menschliches Rühmen ausgeschlossen?</x:v>
      </x:c>
      <x:c r="G600" s="36" t="str">
        <x:f>FRAGEN_MASTER!R600</x:f>
        <x:v>Weil niemand gute Werke tun darf.</x:v>
      </x:c>
      <x:c r="H600" s="36" t="str">
        <x:f>FRAGEN_MASTER!S600</x:f>
        <x:v>Weil nur Paulus sich rühmen darf.</x:v>
      </x:c>
      <x:c r="I600" s="36" t="str">
        <x:f>FRAGEN_MASTER!T600</x:f>
        <x:v>Weil das Gesetz völlig bedeutungslos geworden ist.</x:v>
      </x:c>
      <x:c r="J600" s="36" t="str">
        <x:f>FRAGEN_MASTER!U600</x:f>
        <x:v>Weil der Mensch durch Glauben gerechtfertigt wird und nicht aufgrund von Gesetzeswerken.</x:v>
      </x:c>
      <x:c r="K600" s="36" t="n">
        <x:f>FRAGEN_MASTER!V600</x:f>
        <x:v>3</x:v>
      </x:c>
      <x:c r="L600" s="36" t="str">
        <x:f>FRAGEN_MASTER!W600</x:f>
        <x:v>Weil der Mensch durch Glauben gerechtfertigt wird und nicht aufgrund von Gesetzeswerken.</x:v>
      </x:c>
      <x:c r="M600" s="36" t="str">
        <x:f>FRAGEN_MASTER!X600</x:f>
        <x:v>Römer 3,27–28</x:v>
      </x:c>
      <x:c r="N600" s="36" t="str">
        <x:f>FRAGEN_MASTER!Y600</x:f>
        <x:v>Paulus schließt Selbstverdienst aus und stellt den Glauben der Rechtfertigung durch Werke gegenüber.</x:v>
      </x:c>
      <x:c r="O600" s="36" t="str">
        <x:f>FRAGEN_MASTER!AG600</x:f>
        <x:v>FREIGEGEBEN</x:v>
      </x:c>
      <x:c r="P600" s="36" t="str">
        <x:f>FRAGEN_MASTER!AI600</x:f>
        <x:v>FREIGEGEBEN</x:v>
      </x:c>
      <x:c r="Q600" s="36" t="str">
        <x:f>FRAGEN_MASTER!AL600</x:f>
        <x:v>JA</x:v>
      </x:c>
    </x:row>
    <x:row r="601">
      <x:c r="A601" s="36" t="str">
        <x:f>FRAGEN_MASTER!A601</x:f>
        <x:v>FP-0860</x:v>
      </x:c>
      <x:c r="B601" s="36" t="str">
        <x:f>FRAGEN_MASTER!B601</x:f>
        <x:v>ROM</x:v>
      </x:c>
      <x:c r="C601" s="36" t="str">
        <x:f>FRAGEN_MASTER!C601</x:f>
        <x:v>Römer</x:v>
      </x:c>
      <x:c r="D601" s="36" t="n">
        <x:f>FRAGEN_MASTER!D601</x:f>
        <x:v>3</x:v>
      </x:c>
      <x:c r="E601" s="36" t="n">
        <x:f>FRAGEN_MASTER!E601</x:f>
        <x:v>5</x:v>
      </x:c>
      <x:c r="F601" s="36" t="str">
        <x:f>FRAGEN_MASTER!Q601</x:f>
        <x:v>Was folgert Paulus daraus, dass es nur einen Gott gibt?</x:v>
      </x:c>
      <x:c r="G601" s="36" t="str">
        <x:f>FRAGEN_MASTER!R601</x:f>
        <x:v>Gott ist Gott von Juden und Nichtjuden und rechtfertigt beide durch Glauben.</x:v>
      </x:c>
      <x:c r="H601" s="36" t="str">
        <x:f>FRAGEN_MASTER!S601</x:f>
        <x:v>Gott ist nur der Gott Israels.</x:v>
      </x:c>
      <x:c r="I601" s="36" t="str">
        <x:f>FRAGEN_MASTER!T601</x:f>
        <x:v>Nichtjuden benötigen einen anderen Weg zu Gott.</x:v>
      </x:c>
      <x:c r="J601" s="36" t="str">
        <x:f>FRAGEN_MASTER!U601</x:f>
        <x:v>Das Gesetz wird durch Glauben abgeschafft.</x:v>
      </x:c>
      <x:c r="K601" s="36" t="n">
        <x:f>FRAGEN_MASTER!V601</x:f>
        <x:v>0</x:v>
      </x:c>
      <x:c r="L601" s="36" t="str">
        <x:f>FRAGEN_MASTER!W601</x:f>
        <x:v>Gott ist Gott von Juden und Nichtjuden und rechtfertigt beide durch Glauben.</x:v>
      </x:c>
      <x:c r="M601" s="36" t="str">
        <x:f>FRAGEN_MASTER!X601</x:f>
        <x:v>Römer 3,29–31</x:v>
      </x:c>
      <x:c r="N601" s="36" t="str">
        <x:f>FRAGEN_MASTER!Y601</x:f>
        <x:v>Paulus verbindet den einen Gott mit einem gemeinsamen Weg der Rechtfertigung und sagt zugleich, dass der Glaube das Gesetz nicht aufhebt.</x:v>
      </x:c>
      <x:c r="O601" s="36" t="str">
        <x:f>FRAGEN_MASTER!AG601</x:f>
        <x:v>FREIGEGEBEN</x:v>
      </x:c>
      <x:c r="P601" s="36" t="str">
        <x:f>FRAGEN_MASTER!AI601</x:f>
        <x:v>FREIGEGEBEN</x:v>
      </x:c>
      <x:c r="Q601" s="36" t="str">
        <x:f>FRAGEN_MASTER!AL601</x:f>
        <x:v>JA</x:v>
      </x:c>
    </x:row>
    <x:row r="602">
      <x:c r="A602" s="36" t="str">
        <x:f>FRAGEN_MASTER!A602</x:f>
        <x:v>FP-0861</x:v>
      </x:c>
      <x:c r="B602" s="36" t="str">
        <x:f>FRAGEN_MASTER!B602</x:f>
        <x:v>ROM</x:v>
      </x:c>
      <x:c r="C602" s="36" t="str">
        <x:f>FRAGEN_MASTER!C602</x:f>
        <x:v>Römer</x:v>
      </x:c>
      <x:c r="D602" s="36" t="n">
        <x:f>FRAGEN_MASTER!D602</x:f>
        <x:v>4</x:v>
      </x:c>
      <x:c r="E602" s="36" t="n">
        <x:f>FRAGEN_MASTER!E602</x:f>
        <x:v>1</x:v>
      </x:c>
      <x:c r="F602" s="36" t="str">
        <x:f>FRAGEN_MASTER!Q602</x:f>
        <x:v>Warum kann Abraham sich nach Paulus nicht vor Gott aufgrund seiner Werke rühmen?</x:v>
      </x:c>
      <x:c r="G602" s="36" t="str">
        <x:f>FRAGEN_MASTER!R602</x:f>
        <x:v>Abraham hatte überhaupt keine Werke.</x:v>
      </x:c>
      <x:c r="H602" s="36" t="str">
        <x:f>FRAGEN_MASTER!S602</x:f>
        <x:v>Die Schrift sagt, dass ihm sein Glaube als Gerechtigkeit angerechnet wurde.</x:v>
      </x:c>
      <x:c r="I602" s="36" t="str">
        <x:f>FRAGEN_MASTER!T602</x:f>
        <x:v>Abraham kannte Gott nicht.</x:v>
      </x:c>
      <x:c r="J602" s="36" t="str">
        <x:f>FRAGEN_MASTER!U602</x:f>
        <x:v>Abraham wurde erst durch Beschneidung gerecht.</x:v>
      </x:c>
      <x:c r="K602" s="36" t="n">
        <x:f>FRAGEN_MASTER!V602</x:f>
        <x:v>1</x:v>
      </x:c>
      <x:c r="L602" s="36" t="str">
        <x:f>FRAGEN_MASTER!W602</x:f>
        <x:v>Die Schrift sagt, dass ihm sein Glaube als Gerechtigkeit angerechnet wurde.</x:v>
      </x:c>
      <x:c r="M602" s="36" t="str">
        <x:f>FRAGEN_MASTER!X602</x:f>
        <x:v>Römer 4,1–5</x:v>
      </x:c>
      <x:c r="N602" s="36" t="str">
        <x:f>FRAGEN_MASTER!Y602</x:f>
        <x:v>Paulus beruft sich auf Genesis: Abraham glaubte Gott, und dies wurde ihm als Gerechtigkeit angerechnet.</x:v>
      </x:c>
      <x:c r="O602" s="36" t="str">
        <x:f>FRAGEN_MASTER!AG602</x:f>
        <x:v>FREIGEGEBEN</x:v>
      </x:c>
      <x:c r="P602" s="36" t="str">
        <x:f>FRAGEN_MASTER!AI602</x:f>
        <x:v>FREIGEGEBEN</x:v>
      </x:c>
      <x:c r="Q602" s="36" t="str">
        <x:f>FRAGEN_MASTER!AL602</x:f>
        <x:v>JA</x:v>
      </x:c>
    </x:row>
    <x:row r="603">
      <x:c r="A603" s="36" t="str">
        <x:f>FRAGEN_MASTER!A603</x:f>
        <x:v>FP-0862</x:v>
      </x:c>
      <x:c r="B603" s="36" t="str">
        <x:f>FRAGEN_MASTER!B603</x:f>
        <x:v>ROM</x:v>
      </x:c>
      <x:c r="C603" s="36" t="str">
        <x:f>FRAGEN_MASTER!C603</x:f>
        <x:v>Römer</x:v>
      </x:c>
      <x:c r="D603" s="36" t="n">
        <x:f>FRAGEN_MASTER!D603</x:f>
        <x:v>4</x:v>
      </x:c>
      <x:c r="E603" s="36" t="n">
        <x:f>FRAGEN_MASTER!E603</x:f>
        <x:v>2</x:v>
      </x:c>
      <x:c r="F603" s="36" t="str">
        <x:f>FRAGEN_MASTER!Q603</x:f>
        <x:v>Warum ist Abrahams Beschneidung für Paulus nicht die Grundlage seiner Rechtfertigung?</x:v>
      </x:c>
      <x:c r="G603" s="36" t="str">
        <x:f>FRAGEN_MASTER!R603</x:f>
        <x:v>Weil Abraham nie beschnitten wurde.</x:v>
      </x:c>
      <x:c r="H603" s="36" t="str">
        <x:f>FRAGEN_MASTER!S603</x:f>
        <x:v>Weil Beschneidung erst nach Mose erfunden wurde.</x:v>
      </x:c>
      <x:c r="I603" s="36" t="str">
        <x:f>FRAGEN_MASTER!T603</x:f>
        <x:v>Weil ihm der Glaube schon vor der Beschneidung als Gerechtigkeit angerechnet wurde.</x:v>
      </x:c>
      <x:c r="J603" s="36" t="str">
        <x:f>FRAGEN_MASTER!U603</x:f>
        <x:v>Weil Abraham kein Nachkomme Israels war.</x:v>
      </x:c>
      <x:c r="K603" s="36" t="n">
        <x:f>FRAGEN_MASTER!V603</x:f>
        <x:v>2</x:v>
      </x:c>
      <x:c r="L603" s="36" t="str">
        <x:f>FRAGEN_MASTER!W603</x:f>
        <x:v>Weil ihm der Glaube schon vor der Beschneidung als Gerechtigkeit angerechnet wurde.</x:v>
      </x:c>
      <x:c r="M603" s="36" t="str">
        <x:f>FRAGEN_MASTER!X603</x:f>
        <x:v>Römer 4,9–12</x:v>
      </x:c>
      <x:c r="N603" s="36" t="str">
        <x:f>FRAGEN_MASTER!Y603</x:f>
        <x:v>Paulus betont die zeitliche Reihenfolge: Glaubensgerechtigkeit geht der Beschneidung voraus.</x:v>
      </x:c>
      <x:c r="O603" s="36" t="str">
        <x:f>FRAGEN_MASTER!AG603</x:f>
        <x:v>FREIGEGEBEN</x:v>
      </x:c>
      <x:c r="P603" s="36" t="str">
        <x:f>FRAGEN_MASTER!AI603</x:f>
        <x:v>FREIGEGEBEN</x:v>
      </x:c>
      <x:c r="Q603" s="36" t="str">
        <x:f>FRAGEN_MASTER!AL603</x:f>
        <x:v>JA</x:v>
      </x:c>
    </x:row>
    <x:row r="604">
      <x:c r="A604" s="36" t="str">
        <x:f>FRAGEN_MASTER!A604</x:f>
        <x:v>FP-0863</x:v>
      </x:c>
      <x:c r="B604" s="36" t="str">
        <x:f>FRAGEN_MASTER!B604</x:f>
        <x:v>ROM</x:v>
      </x:c>
      <x:c r="C604" s="36" t="str">
        <x:f>FRAGEN_MASTER!C604</x:f>
        <x:v>Römer</x:v>
      </x:c>
      <x:c r="D604" s="36" t="n">
        <x:f>FRAGEN_MASTER!D604</x:f>
        <x:v>4</x:v>
      </x:c>
      <x:c r="E604" s="36" t="n">
        <x:f>FRAGEN_MASTER!E604</x:f>
        <x:v>3</x:v>
      </x:c>
      <x:c r="F604" s="36" t="str">
        <x:f>FRAGEN_MASTER!Q604</x:f>
        <x:v>Wodurch empfing Abraham nach Paulus die Verheißung, Erbe der Welt zu sein?</x:v>
      </x:c>
      <x:c r="G604" s="36" t="str">
        <x:f>FRAGEN_MASTER!R604</x:f>
        <x:v>Durch militärische Stärke.</x:v>
      </x:c>
      <x:c r="H604" s="36" t="str">
        <x:f>FRAGEN_MASTER!S604</x:f>
        <x:v>Durch die Beschneidung allein.</x:v>
      </x:c>
      <x:c r="I604" s="36" t="str">
        <x:f>FRAGEN_MASTER!T604</x:f>
        <x:v>Durch die Gesetzgebung am Sinai.</x:v>
      </x:c>
      <x:c r="J604" s="36" t="str">
        <x:f>FRAGEN_MASTER!U604</x:f>
        <x:v>Durch die Gerechtigkeit des Glaubens, nicht durch das Gesetz.</x:v>
      </x:c>
      <x:c r="K604" s="36" t="n">
        <x:f>FRAGEN_MASTER!V604</x:f>
        <x:v>3</x:v>
      </x:c>
      <x:c r="L604" s="36" t="str">
        <x:f>FRAGEN_MASTER!W604</x:f>
        <x:v>Durch die Gerechtigkeit des Glaubens, nicht durch das Gesetz.</x:v>
      </x:c>
      <x:c r="M604" s="36" t="str">
        <x:f>FRAGEN_MASTER!X604</x:f>
        <x:v>Römer 4,13–17</x:v>
      </x:c>
      <x:c r="N604" s="36" t="str">
        <x:f>FRAGEN_MASTER!Y604</x:f>
        <x:v>Die Verheißung wird nicht an Gesetzeswerke gebunden, sondern an Glauben und Gnade.</x:v>
      </x:c>
      <x:c r="O604" s="36" t="str">
        <x:f>FRAGEN_MASTER!AG604</x:f>
        <x:v>FREIGEGEBEN</x:v>
      </x:c>
      <x:c r="P604" s="36" t="str">
        <x:f>FRAGEN_MASTER!AI604</x:f>
        <x:v>FREIGEGEBEN</x:v>
      </x:c>
      <x:c r="Q604" s="36" t="str">
        <x:f>FRAGEN_MASTER!AL604</x:f>
        <x:v>JA</x:v>
      </x:c>
    </x:row>
    <x:row r="605">
      <x:c r="A605" s="36" t="str">
        <x:f>FRAGEN_MASTER!A605</x:f>
        <x:v>FP-0864</x:v>
      </x:c>
      <x:c r="B605" s="36" t="str">
        <x:f>FRAGEN_MASTER!B605</x:f>
        <x:v>ROM</x:v>
      </x:c>
      <x:c r="C605" s="36" t="str">
        <x:f>FRAGEN_MASTER!C605</x:f>
        <x:v>Römer</x:v>
      </x:c>
      <x:c r="D605" s="36" t="n">
        <x:f>FRAGEN_MASTER!D605</x:f>
        <x:v>4</x:v>
      </x:c>
      <x:c r="E605" s="36" t="n">
        <x:f>FRAGEN_MASTER!E605</x:f>
        <x:v>4</x:v>
      </x:c>
      <x:c r="F605" s="36" t="str">
        <x:f>FRAGEN_MASTER!Q605</x:f>
        <x:v>Was kennzeichnet Abrahams Glauben trotz seiner menschlich aussichtslosen Lage?</x:v>
      </x:c>
      <x:c r="G605" s="36" t="str">
        <x:f>FRAGEN_MASTER!R605</x:f>
        <x:v>Er hält an Gottes Verheißung fest und gibt Gott die Ehre.</x:v>
      </x:c>
      <x:c r="H605" s="36" t="str">
        <x:f>FRAGEN_MASTER!S605</x:f>
        <x:v>Er ignoriert Gottes Zusage.</x:v>
      </x:c>
      <x:c r="I605" s="36" t="str">
        <x:f>FRAGEN_MASTER!T605</x:f>
        <x:v>Er vertraut nur auf seine eigene Kraft.</x:v>
      </x:c>
      <x:c r="J605" s="36" t="str">
        <x:f>FRAGEN_MASTER!U605</x:f>
        <x:v>Er verlangt zuerst ein politisches Zeichen.</x:v>
      </x:c>
      <x:c r="K605" s="36" t="n">
        <x:f>FRAGEN_MASTER!V605</x:f>
        <x:v>0</x:v>
      </x:c>
      <x:c r="L605" s="36" t="str">
        <x:f>FRAGEN_MASTER!W605</x:f>
        <x:v>Er hält an Gottes Verheißung fest und gibt Gott die Ehre.</x:v>
      </x:c>
      <x:c r="M605" s="36" t="str">
        <x:f>FRAGEN_MASTER!X605</x:f>
        <x:v>Römer 4,18–22</x:v>
      </x:c>
      <x:c r="N605" s="36" t="str">
        <x:f>FRAGEN_MASTER!Y605</x:f>
        <x:v>Paulus beschreibt Abraham als einen, der entgegen menschlicher Hoffnung an Gottes Zusage festhält.</x:v>
      </x:c>
      <x:c r="O605" s="36" t="str">
        <x:f>FRAGEN_MASTER!AG605</x:f>
        <x:v>FREIGEGEBEN</x:v>
      </x:c>
      <x:c r="P605" s="36" t="str">
        <x:f>FRAGEN_MASTER!AI605</x:f>
        <x:v>FREIGEGEBEN</x:v>
      </x:c>
      <x:c r="Q605" s="36" t="str">
        <x:f>FRAGEN_MASTER!AL605</x:f>
        <x:v>JA</x:v>
      </x:c>
    </x:row>
    <x:row r="606">
      <x:c r="A606" s="36" t="str">
        <x:f>FRAGEN_MASTER!A606</x:f>
        <x:v>FP-0865</x:v>
      </x:c>
      <x:c r="B606" s="36" t="str">
        <x:f>FRAGEN_MASTER!B606</x:f>
        <x:v>ROM</x:v>
      </x:c>
      <x:c r="C606" s="36" t="str">
        <x:f>FRAGEN_MASTER!C606</x:f>
        <x:v>Römer</x:v>
      </x:c>
      <x:c r="D606" s="36" t="n">
        <x:f>FRAGEN_MASTER!D606</x:f>
        <x:v>4</x:v>
      </x:c>
      <x:c r="E606" s="36" t="n">
        <x:f>FRAGEN_MASTER!E606</x:f>
        <x:v>5</x:v>
      </x:c>
      <x:c r="F606" s="36" t="str">
        <x:f>FRAGEN_MASTER!Q606</x:f>
        <x:v>Warum erzählt Paulus, dass Abrahams Glaube ihm angerechnet wurde?</x:v>
      </x:c>
      <x:c r="G606" s="36" t="str">
        <x:f>FRAGEN_MASTER!R606</x:f>
        <x:v>Nur um Abrahams Geschichte zu vervollständigen.</x:v>
      </x:c>
      <x:c r="H606" s="36" t="str">
        <x:f>FRAGEN_MASTER!S606</x:f>
        <x:v>Nicht nur wegen Abraham, sondern auch für die, die an den auferweckenden Gott glauben.</x:v>
      </x:c>
      <x:c r="I606" s="36" t="str">
        <x:f>FRAGEN_MASTER!T606</x:f>
        <x:v>Um zu zeigen, dass Jesus keine Rolle spielt.</x:v>
      </x:c>
      <x:c r="J606" s="36" t="str">
        <x:f>FRAGEN_MASTER!U606</x:f>
        <x:v>Um die Beschneidung als Heilsgrund einzuführen.</x:v>
      </x:c>
      <x:c r="K606" s="36" t="n">
        <x:f>FRAGEN_MASTER!V606</x:f>
        <x:v>1</x:v>
      </x:c>
      <x:c r="L606" s="36" t="str">
        <x:f>FRAGEN_MASTER!W606</x:f>
        <x:v>Nicht nur wegen Abraham, sondern auch für die, die an den auferweckenden Gott glauben.</x:v>
      </x:c>
      <x:c r="M606" s="36" t="str">
        <x:f>FRAGEN_MASTER!X606</x:f>
        <x:v>Römer 4,23–25</x:v>
      </x:c>
      <x:c r="N606" s="36" t="str">
        <x:f>FRAGEN_MASTER!Y606</x:f>
        <x:v>Paulus wendet Abrahams Beispiel auf Glaubende an, die an den Gott glauben, der Jesus auferweckt hat.</x:v>
      </x:c>
      <x:c r="O606" s="36" t="str">
        <x:f>FRAGEN_MASTER!AG606</x:f>
        <x:v>FREIGEGEBEN</x:v>
      </x:c>
      <x:c r="P606" s="36" t="str">
        <x:f>FRAGEN_MASTER!AI606</x:f>
        <x:v>FREIGEGEBEN</x:v>
      </x:c>
      <x:c r="Q606" s="36" t="str">
        <x:f>FRAGEN_MASTER!AL606</x:f>
        <x:v>JA</x:v>
      </x:c>
    </x:row>
    <x:row r="607">
      <x:c r="A607" s="36" t="str">
        <x:f>FRAGEN_MASTER!A607</x:f>
        <x:v>FP-0866</x:v>
      </x:c>
      <x:c r="B607" s="36" t="str">
        <x:f>FRAGEN_MASTER!B607</x:f>
        <x:v>ROM</x:v>
      </x:c>
      <x:c r="C607" s="36" t="str">
        <x:f>FRAGEN_MASTER!C607</x:f>
        <x:v>Römer</x:v>
      </x:c>
      <x:c r="D607" s="36" t="n">
        <x:f>FRAGEN_MASTER!D607</x:f>
        <x:v>5</x:v>
      </x:c>
      <x:c r="E607" s="36" t="n">
        <x:f>FRAGEN_MASTER!E607</x:f>
        <x:v>1</x:v>
      </x:c>
      <x:c r="F607" s="36" t="str">
        <x:f>FRAGEN_MASTER!Q607</x:f>
        <x:v>Welche Folge der Rechtfertigung durch Glauben nennt Paulus zuerst?</x:v>
      </x:c>
      <x:c r="G607" s="36" t="str">
        <x:f>FRAGEN_MASTER!R607</x:f>
        <x:v>Politische Freiheit von Rom.</x:v>
      </x:c>
      <x:c r="H607" s="36" t="str">
        <x:f>FRAGEN_MASTER!S607</x:f>
        <x:v>Ein Leben ohne jede Bedrängnis.</x:v>
      </x:c>
      <x:c r="I607" s="36" t="str">
        <x:f>FRAGEN_MASTER!T607</x:f>
        <x:v>Frieden mit Gott durch Jesus Christus.</x:v>
      </x:c>
      <x:c r="J607" s="36" t="str">
        <x:f>FRAGEN_MASTER!U607</x:f>
        <x:v>Automatischen materiellen Wohlstand.</x:v>
      </x:c>
      <x:c r="K607" s="36" t="n">
        <x:f>FRAGEN_MASTER!V607</x:f>
        <x:v>2</x:v>
      </x:c>
      <x:c r="L607" s="36" t="str">
        <x:f>FRAGEN_MASTER!W607</x:f>
        <x:v>Frieden mit Gott durch Jesus Christus.</x:v>
      </x:c>
      <x:c r="M607" s="36" t="str">
        <x:f>FRAGEN_MASTER!X607</x:f>
        <x:v>Römer 5,1–5</x:v>
      </x:c>
      <x:c r="N607" s="36" t="str">
        <x:f>FRAGEN_MASTER!Y607</x:f>
        <x:v>Paulus beginnt mit Frieden mit Gott und beschreibt Zugang zur Gnade sowie Hoffnung.</x:v>
      </x:c>
      <x:c r="O607" s="36" t="str">
        <x:f>FRAGEN_MASTER!AG607</x:f>
        <x:v>FREIGEGEBEN</x:v>
      </x:c>
      <x:c r="P607" s="36" t="str">
        <x:f>FRAGEN_MASTER!AI607</x:f>
        <x:v>FREIGEGEBEN</x:v>
      </x:c>
      <x:c r="Q607" s="36" t="str">
        <x:f>FRAGEN_MASTER!AL607</x:f>
        <x:v>JA</x:v>
      </x:c>
    </x:row>
    <x:row r="608">
      <x:c r="A608" s="36" t="str">
        <x:f>FRAGEN_MASTER!A608</x:f>
        <x:v>FP-0867</x:v>
      </x:c>
      <x:c r="B608" s="36" t="str">
        <x:f>FRAGEN_MASTER!B608</x:f>
        <x:v>ROM</x:v>
      </x:c>
      <x:c r="C608" s="36" t="str">
        <x:f>FRAGEN_MASTER!C608</x:f>
        <x:v>Römer</x:v>
      </x:c>
      <x:c r="D608" s="36" t="n">
        <x:f>FRAGEN_MASTER!D608</x:f>
        <x:v>5</x:v>
      </x:c>
      <x:c r="E608" s="36" t="n">
        <x:f>FRAGEN_MASTER!E608</x:f>
        <x:v>2</x:v>
      </x:c>
      <x:c r="F608" s="36" t="str">
        <x:f>FRAGEN_MASTER!Q608</x:f>
        <x:v>Woran zeigt Gott seine Liebe besonders?</x:v>
      </x:c>
      <x:c r="G608" s="36" t="str">
        <x:f>FRAGEN_MASTER!R608</x:f>
        <x:v>Gott verhindert jede Schwierigkeit.</x:v>
      </x:c>
      <x:c r="H608" s="36" t="str">
        <x:f>FRAGEN_MASTER!S608</x:f>
        <x:v>Nur Gerechte werden von Christus geliebt.</x:v>
      </x:c>
      <x:c r="I608" s="36" t="str">
        <x:f>FRAGEN_MASTER!T608</x:f>
        <x:v>Liebe zeigt sich vor allem in Wohlstand.</x:v>
      </x:c>
      <x:c r="J608" s="36" t="str">
        <x:f>FRAGEN_MASTER!U608</x:f>
        <x:v>Christus starb für uns, als wir noch Sünder waren.</x:v>
      </x:c>
      <x:c r="K608" s="36" t="n">
        <x:f>FRAGEN_MASTER!V608</x:f>
        <x:v>3</x:v>
      </x:c>
      <x:c r="L608" s="36" t="str">
        <x:f>FRAGEN_MASTER!W608</x:f>
        <x:v>Christus starb für uns, als wir noch Sünder waren.</x:v>
      </x:c>
      <x:c r="M608" s="36" t="str">
        <x:f>FRAGEN_MASTER!X608</x:f>
        <x:v>Römer 5,6–8</x:v>
      </x:c>
      <x:c r="N608" s="36" t="str">
        <x:f>FRAGEN_MASTER!Y608</x:f>
        <x:v>Die Liebe Gottes zeigt sich darin, dass Christus nicht für bereits Gerechte, sondern für Sünder starb.</x:v>
      </x:c>
      <x:c r="O608" s="36" t="str">
        <x:f>FRAGEN_MASTER!AG608</x:f>
        <x:v>FREIGEGEBEN</x:v>
      </x:c>
      <x:c r="P608" s="36" t="str">
        <x:f>FRAGEN_MASTER!AI608</x:f>
        <x:v>FREIGEGEBEN</x:v>
      </x:c>
      <x:c r="Q608" s="36" t="str">
        <x:f>FRAGEN_MASTER!AL608</x:f>
        <x:v>JA</x:v>
      </x:c>
    </x:row>
    <x:row r="609">
      <x:c r="A609" s="36" t="str">
        <x:f>FRAGEN_MASTER!A609</x:f>
        <x:v>FP-0868</x:v>
      </x:c>
      <x:c r="B609" s="36" t="str">
        <x:f>FRAGEN_MASTER!B609</x:f>
        <x:v>ROM</x:v>
      </x:c>
      <x:c r="C609" s="36" t="str">
        <x:f>FRAGEN_MASTER!C609</x:f>
        <x:v>Römer</x:v>
      </x:c>
      <x:c r="D609" s="36" t="n">
        <x:f>FRAGEN_MASTER!D609</x:f>
        <x:v>5</x:v>
      </x:c>
      <x:c r="E609" s="36" t="n">
        <x:f>FRAGEN_MASTER!E609</x:f>
        <x:v>3</x:v>
      </x:c>
      <x:c r="F609" s="36" t="str">
        <x:f>FRAGEN_MASTER!Q609</x:f>
        <x:v>Welche Hoffnung begründet Paulus mit der bereits geschehenen Versöhnung durch Christi Tod?</x:v>
      </x:c>
      <x:c r="G609" s="36" t="str">
        <x:f>FRAGEN_MASTER!R609</x:f>
        <x:v>Wenn Gott uns als Feinde versöhnt hat, werden wir umso mehr durch Christi Leben gerettet werden.</x:v>
      </x:c>
      <x:c r="H609" s="36" t="str">
        <x:f>FRAGEN_MASTER!S609</x:f>
        <x:v>Versöhnung macht zukünftige Rettung unnötig.</x:v>
      </x:c>
      <x:c r="I609" s="36" t="str">
        <x:f>FRAGEN_MASTER!T609</x:f>
        <x:v>Nur der Tod Christi ist wichtig, seine Auferstehung nicht.</x:v>
      </x:c>
      <x:c r="J609" s="36" t="str">
        <x:f>FRAGEN_MASTER!U609</x:f>
        <x:v>Versöhnte Menschen brauchen Gott danach nicht mehr.</x:v>
      </x:c>
      <x:c r="K609" s="36" t="n">
        <x:f>FRAGEN_MASTER!V609</x:f>
        <x:v>0</x:v>
      </x:c>
      <x:c r="L609" s="36" t="str">
        <x:f>FRAGEN_MASTER!W609</x:f>
        <x:v>Wenn Gott uns als Feinde versöhnt hat, werden wir umso mehr durch Christi Leben gerettet werden.</x:v>
      </x:c>
      <x:c r="M609" s="36" t="str">
        <x:f>FRAGEN_MASTER!X609</x:f>
        <x:v>Römer 5,9–11</x:v>
      </x:c>
      <x:c r="N609" s="36" t="str">
        <x:f>FRAGEN_MASTER!Y609</x:f>
        <x:v>Paulus argumentiert vom Größeren zum Weiteren: Die bereits geschenkte Versöhnung begründet Zuversicht auf Rettung.</x:v>
      </x:c>
      <x:c r="O609" s="36" t="str">
        <x:f>FRAGEN_MASTER!AG609</x:f>
        <x:v>FREIGEGEBEN</x:v>
      </x:c>
      <x:c r="P609" s="36" t="str">
        <x:f>FRAGEN_MASTER!AI609</x:f>
        <x:v>FREIGEGEBEN</x:v>
      </x:c>
      <x:c r="Q609" s="36" t="str">
        <x:f>FRAGEN_MASTER!AL609</x:f>
        <x:v>JA</x:v>
      </x:c>
    </x:row>
    <x:row r="610">
      <x:c r="A610" s="36" t="str">
        <x:f>FRAGEN_MASTER!A610</x:f>
        <x:v>FP-0869</x:v>
      </x:c>
      <x:c r="B610" s="36" t="str">
        <x:f>FRAGEN_MASTER!B610</x:f>
        <x:v>ROM</x:v>
      </x:c>
      <x:c r="C610" s="36" t="str">
        <x:f>FRAGEN_MASTER!C610</x:f>
        <x:v>Römer</x:v>
      </x:c>
      <x:c r="D610" s="36" t="n">
        <x:f>FRAGEN_MASTER!D610</x:f>
        <x:v>5</x:v>
      </x:c>
      <x:c r="E610" s="36" t="n">
        <x:f>FRAGEN_MASTER!E610</x:f>
        <x:v>4</x:v>
      </x:c>
      <x:c r="F610" s="36" t="str">
        <x:f>FRAGEN_MASTER!Q610</x:f>
        <x:v>Welche Verbindung stellt Paulus zwischen Adam, Sünde und Tod her?</x:v>
      </x:c>
      <x:c r="G610" s="36" t="str">
        <x:f>FRAGEN_MASTER!R610</x:f>
        <x:v>Der Tod existierte nach Paulus nur für Israel.</x:v>
      </x:c>
      <x:c r="H610" s="36" t="str">
        <x:f>FRAGEN_MASTER!S610</x:f>
        <x:v>Durch einen Menschen kam die Sünde in die Welt und durch die Sünde der Tod.</x:v>
      </x:c>
      <x:c r="I610" s="36" t="str">
        <x:f>FRAGEN_MASTER!T610</x:f>
        <x:v>Adam hatte mit der Sünde nichts zu tun.</x:v>
      </x:c>
      <x:c r="J610" s="36" t="str">
        <x:f>FRAGEN_MASTER!U610</x:f>
        <x:v>Das Gesetz des Mose brachte erstmals Sünde in die Welt.</x:v>
      </x:c>
      <x:c r="K610" s="36" t="n">
        <x:f>FRAGEN_MASTER!V610</x:f>
        <x:v>1</x:v>
      </x:c>
      <x:c r="L610" s="36" t="str">
        <x:f>FRAGEN_MASTER!W610</x:f>
        <x:v>Durch einen Menschen kam die Sünde in die Welt und durch die Sünde der Tod.</x:v>
      </x:c>
      <x:c r="M610" s="36" t="str">
        <x:f>FRAGEN_MASTER!X610</x:f>
        <x:v>Römer 5,12–14</x:v>
      </x:c>
      <x:c r="N610" s="36" t="str">
        <x:f>FRAGEN_MASTER!Y610</x:f>
        <x:v>Paulus beschreibt Adam als Ausgangspunkt einer Sünden- und Todeswirklichkeit, die alle Menschen betrifft.</x:v>
      </x:c>
      <x:c r="O610" s="36" t="str">
        <x:f>FRAGEN_MASTER!AG610</x:f>
        <x:v>FREIGEGEBEN</x:v>
      </x:c>
      <x:c r="P610" s="36" t="str">
        <x:f>FRAGEN_MASTER!AI610</x:f>
        <x:v>FREIGEGEBEN</x:v>
      </x:c>
      <x:c r="Q610" s="36" t="str">
        <x:f>FRAGEN_MASTER!AL610</x:f>
        <x:v>JA</x:v>
      </x:c>
    </x:row>
    <x:row r="611">
      <x:c r="A611" s="36" t="str">
        <x:f>FRAGEN_MASTER!A611</x:f>
        <x:v>FP-0870</x:v>
      </x:c>
      <x:c r="B611" s="36" t="str">
        <x:f>FRAGEN_MASTER!B611</x:f>
        <x:v>ROM</x:v>
      </x:c>
      <x:c r="C611" s="36" t="str">
        <x:f>FRAGEN_MASTER!C611</x:f>
        <x:v>Römer</x:v>
      </x:c>
      <x:c r="D611" s="36" t="n">
        <x:f>FRAGEN_MASTER!D611</x:f>
        <x:v>5</x:v>
      </x:c>
      <x:c r="E611" s="36" t="n">
        <x:f>FRAGEN_MASTER!E611</x:f>
        <x:v>5</x:v>
      </x:c>
      <x:c r="F611" s="36" t="str">
        <x:f>FRAGEN_MASTER!Q611</x:f>
        <x:v>Wie stellt Paulus Adam und Christus am Ende von Römer 5 gegenüber?</x:v>
      </x:c>
      <x:c r="G611" s="36" t="str">
        <x:f>FRAGEN_MASTER!R611</x:f>
        <x:v>Beide haben dieselbe Wirkung auf die Menschheit.</x:v>
      </x:c>
      <x:c r="H611" s="36" t="str">
        <x:f>FRAGEN_MASTER!S611</x:f>
        <x:v>Adam bringt Leben, Christus das Gesetz.</x:v>
      </x:c>
      <x:c r="I611" s="36" t="str">
        <x:f>FRAGEN_MASTER!T611</x:f>
        <x:v>Wie durch den Ungehorsam des einen Sünde und Verurteilung kamen, so kommen durch Christi Gehorsam Gerechtigkeit und Leben.</x:v>
      </x:c>
      <x:c r="J611" s="36" t="str">
        <x:f>FRAGEN_MASTER!U611</x:f>
        <x:v>Christus macht Adams Handeln bedeutungslos, ohne selbst etwas zu bewirken.</x:v>
      </x:c>
      <x:c r="K611" s="36" t="n">
        <x:f>FRAGEN_MASTER!V611</x:f>
        <x:v>2</x:v>
      </x:c>
      <x:c r="L611" s="36" t="str">
        <x:f>FRAGEN_MASTER!W611</x:f>
        <x:v>Wie durch den Ungehorsam des einen Sünde und Verurteilung kamen, so kommen durch Christi Gehorsam Gerechtigkeit und Leben.</x:v>
      </x:c>
      <x:c r="M611" s="36" t="str">
        <x:f>FRAGEN_MASTER!X611</x:f>
        <x:v>Römer 5,18–21</x:v>
      </x:c>
      <x:c r="N611" s="36" t="str">
        <x:f>FRAGEN_MASTER!Y611</x:f>
        <x:v>Paulus stellt zwei Repräsentanten gegenüber: Adams Ungehorsam und Christi gehorsame Tat.</x:v>
      </x:c>
      <x:c r="O611" s="36" t="str">
        <x:f>FRAGEN_MASTER!AG611</x:f>
        <x:v>FREIGEGEBEN</x:v>
      </x:c>
      <x:c r="P611" s="36" t="str">
        <x:f>FRAGEN_MASTER!AI611</x:f>
        <x:v>FREIGEGEBEN</x:v>
      </x:c>
      <x:c r="Q611" s="36" t="str">
        <x:f>FRAGEN_MASTER!AL611</x:f>
        <x:v>JA</x:v>
      </x:c>
    </x:row>
    <x:row r="612">
      <x:c r="A612" s="36" t="str">
        <x:f>FRAGEN_MASTER!A612</x:f>
        <x:v>FP-0871</x:v>
      </x:c>
      <x:c r="B612" s="36" t="str">
        <x:f>FRAGEN_MASTER!B612</x:f>
        <x:v>ROM</x:v>
      </x:c>
      <x:c r="C612" s="36" t="str">
        <x:f>FRAGEN_MASTER!C612</x:f>
        <x:v>Römer</x:v>
      </x:c>
      <x:c r="D612" s="36" t="n">
        <x:f>FRAGEN_MASTER!D612</x:f>
        <x:v>6</x:v>
      </x:c>
      <x:c r="E612" s="36" t="n">
        <x:f>FRAGEN_MASTER!E612</x:f>
        <x:v>1</x:v>
      </x:c>
      <x:c r="F612" s="36" t="str">
        <x:f>FRAGEN_MASTER!Q612</x:f>
        <x:v>Warum lehnt Paulus die Idee ab, in der Sünde zu bleiben, damit die Gnade größer werde?</x:v>
      </x:c>
      <x:c r="G612" s="36" t="str">
        <x:f>FRAGEN_MASTER!R612</x:f>
        <x:v>Weil Gnade nur für Menschen ohne Sünde gilt.</x:v>
      </x:c>
      <x:c r="H612" s="36" t="str">
        <x:f>FRAGEN_MASTER!S612</x:f>
        <x:v>Weil Sünde nach der Taufe unmöglich wird.</x:v>
      </x:c>
      <x:c r="I612" s="36" t="str">
        <x:f>FRAGEN_MASTER!T612</x:f>
        <x:v>Weil Christen nie mehr versucht werden.</x:v>
      </x:c>
      <x:c r="J612" s="36" t="str">
        <x:f>FRAGEN_MASTER!U612</x:f>
        <x:v>Wer mit Christus verbunden ist, ist der Sünde gestorben und soll in neuem Leben wandeln.</x:v>
      </x:c>
      <x:c r="K612" s="36" t="n">
        <x:f>FRAGEN_MASTER!V612</x:f>
        <x:v>3</x:v>
      </x:c>
      <x:c r="L612" s="36" t="str">
        <x:f>FRAGEN_MASTER!W612</x:f>
        <x:v>Wer mit Christus verbunden ist, ist der Sünde gestorben und soll in neuem Leben wandeln.</x:v>
      </x:c>
      <x:c r="M612" s="36" t="str">
        <x:f>FRAGEN_MASTER!X612</x:f>
        <x:v>Römer 6,1–4</x:v>
      </x:c>
      <x:c r="N612" s="36" t="str">
        <x:f>FRAGEN_MASTER!Y612</x:f>
        <x:v>Paulus verbindet Taufe, Tod Christi und ein neues Leben; Gnade ist kein Argument für bewusstes Verharren in Sünde.</x:v>
      </x:c>
      <x:c r="O612" s="36" t="str">
        <x:f>FRAGEN_MASTER!AG612</x:f>
        <x:v>FREIGEGEBEN</x:v>
      </x:c>
      <x:c r="P612" s="36" t="str">
        <x:f>FRAGEN_MASTER!AI612</x:f>
        <x:v>FREIGEGEBEN</x:v>
      </x:c>
      <x:c r="Q612" s="36" t="str">
        <x:f>FRAGEN_MASTER!AL612</x:f>
        <x:v>JA</x:v>
      </x:c>
    </x:row>
    <x:row r="613">
      <x:c r="A613" s="36" t="str">
        <x:f>FRAGEN_MASTER!A613</x:f>
        <x:v>FP-0872</x:v>
      </x:c>
      <x:c r="B613" s="36" t="str">
        <x:f>FRAGEN_MASTER!B613</x:f>
        <x:v>ROM</x:v>
      </x:c>
      <x:c r="C613" s="36" t="str">
        <x:f>FRAGEN_MASTER!C613</x:f>
        <x:v>Römer</x:v>
      </x:c>
      <x:c r="D613" s="36" t="n">
        <x:f>FRAGEN_MASTER!D613</x:f>
        <x:v>6</x:v>
      </x:c>
      <x:c r="E613" s="36" t="n">
        <x:f>FRAGEN_MASTER!E613</x:f>
        <x:v>2</x:v>
      </x:c>
      <x:c r="F613" s="36" t="str">
        <x:f>FRAGEN_MASTER!Q613</x:f>
        <x:v>Was bedeutet die Verbindung mit Christi Tod und Auferstehung für den „alten Menschen“?</x:v>
      </x:c>
      <x:c r="G613" s="36" t="str">
        <x:f>FRAGEN_MASTER!R613</x:f>
        <x:v>Der alte Mensch ist mitgekreuzigt, damit die Herrschaft der Sünde gebrochen wird.</x:v>
      </x:c>
      <x:c r="H613" s="36" t="str">
        <x:f>FRAGEN_MASTER!S613</x:f>
        <x:v>Der alte Mensch soll weiter über den Glaubenden herrschen.</x:v>
      </x:c>
      <x:c r="I613" s="36" t="str">
        <x:f>FRAGEN_MASTER!T613</x:f>
        <x:v>Die Auferstehung betrifft nur Jesus.</x:v>
      </x:c>
      <x:c r="J613" s="36" t="str">
        <x:f>FRAGEN_MASTER!U613</x:f>
        <x:v>Christen haben keinerlei Verantwortung mehr.</x:v>
      </x:c>
      <x:c r="K613" s="36" t="n">
        <x:f>FRAGEN_MASTER!V613</x:f>
        <x:v>0</x:v>
      </x:c>
      <x:c r="L613" s="36" t="str">
        <x:f>FRAGEN_MASTER!W613</x:f>
        <x:v>Der alte Mensch ist mitgekreuzigt, damit die Herrschaft der Sünde gebrochen wird.</x:v>
      </x:c>
      <x:c r="M613" s="36" t="str">
        <x:f>FRAGEN_MASTER!X613</x:f>
        <x:v>Römer 6,5–11</x:v>
      </x:c>
      <x:c r="N613" s="36" t="str">
        <x:f>FRAGEN_MASTER!Y613</x:f>
        <x:v>Paulus beschreibt die Identifikation mit Christi Tod und Auferstehung als Grundlage eines neuen Verhältnisses zur Sünde.</x:v>
      </x:c>
      <x:c r="O613" s="36" t="str">
        <x:f>FRAGEN_MASTER!AG613</x:f>
        <x:v>FREIGEGEBEN</x:v>
      </x:c>
      <x:c r="P613" s="36" t="str">
        <x:f>FRAGEN_MASTER!AI613</x:f>
        <x:v>FREIGEGEBEN</x:v>
      </x:c>
      <x:c r="Q613" s="36" t="str">
        <x:f>FRAGEN_MASTER!AL613</x:f>
        <x:v>JA</x:v>
      </x:c>
    </x:row>
    <x:row r="614">
      <x:c r="A614" s="36" t="str">
        <x:f>FRAGEN_MASTER!A614</x:f>
        <x:v>FP-0873</x:v>
      </x:c>
      <x:c r="B614" s="36" t="str">
        <x:f>FRAGEN_MASTER!B614</x:f>
        <x:v>ROM</x:v>
      </x:c>
      <x:c r="C614" s="36" t="str">
        <x:f>FRAGEN_MASTER!C614</x:f>
        <x:v>Römer</x:v>
      </x:c>
      <x:c r="D614" s="36" t="n">
        <x:f>FRAGEN_MASTER!D614</x:f>
        <x:v>6</x:v>
      </x:c>
      <x:c r="E614" s="36" t="n">
        <x:f>FRAGEN_MASTER!E614</x:f>
        <x:v>3</x:v>
      </x:c>
      <x:c r="F614" s="36" t="str">
        <x:f>FRAGEN_MASTER!Q614</x:f>
        <x:v>Wie sollen Glaubende mit ihrem Körper umgehen?</x:v>
      </x:c>
      <x:c r="G614" s="36" t="str">
        <x:f>FRAGEN_MASTER!R614</x:f>
        <x:v>Der Körper spielt im Glauben keine Rolle.</x:v>
      </x:c>
      <x:c r="H614" s="36" t="str">
        <x:f>FRAGEN_MASTER!S614</x:f>
        <x:v>Sie sollen sich Gott zur Verfügung stellen und ihre Glieder als Werkzeuge der Gerechtigkeit gebrauchen.</x:v>
      </x:c>
      <x:c r="I614" s="36" t="str">
        <x:f>FRAGEN_MASTER!T614</x:f>
        <x:v>Sie sollen den Körper ausschließlich der Sünde überlassen.</x:v>
      </x:c>
      <x:c r="J614" s="36" t="str">
        <x:f>FRAGEN_MASTER!U614</x:f>
        <x:v>Nur geistige Entscheidungen zählen.</x:v>
      </x:c>
      <x:c r="K614" s="36" t="n">
        <x:f>FRAGEN_MASTER!V614</x:f>
        <x:v>1</x:v>
      </x:c>
      <x:c r="L614" s="36" t="str">
        <x:f>FRAGEN_MASTER!W614</x:f>
        <x:v>Sie sollen sich Gott zur Verfügung stellen und ihre Glieder als Werkzeuge der Gerechtigkeit gebrauchen.</x:v>
      </x:c>
      <x:c r="M614" s="36" t="str">
        <x:f>FRAGEN_MASTER!X614</x:f>
        <x:v>Römer 6,12–14</x:v>
      </x:c>
      <x:c r="N614" s="36" t="str">
        <x:f>FRAGEN_MASTER!Y614</x:f>
        <x:v>Paulus ruft dazu auf, nicht der Sünde, sondern Gott die eigene Person und die eigenen Glieder zur Verfügung zu stellen.</x:v>
      </x:c>
      <x:c r="O614" s="36" t="str">
        <x:f>FRAGEN_MASTER!AG614</x:f>
        <x:v>FREIGEGEBEN</x:v>
      </x:c>
      <x:c r="P614" s="36" t="str">
        <x:f>FRAGEN_MASTER!AI614</x:f>
        <x:v>FREIGEGEBEN</x:v>
      </x:c>
      <x:c r="Q614" s="36" t="str">
        <x:f>FRAGEN_MASTER!AL614</x:f>
        <x:v>JA</x:v>
      </x:c>
    </x:row>
    <x:row r="615">
      <x:c r="A615" s="36" t="str">
        <x:f>FRAGEN_MASTER!A615</x:f>
        <x:v>FP-0874</x:v>
      </x:c>
      <x:c r="B615" s="36" t="str">
        <x:f>FRAGEN_MASTER!B615</x:f>
        <x:v>ROM</x:v>
      </x:c>
      <x:c r="C615" s="36" t="str">
        <x:f>FRAGEN_MASTER!C615</x:f>
        <x:v>Römer</x:v>
      </x:c>
      <x:c r="D615" s="36" t="n">
        <x:f>FRAGEN_MASTER!D615</x:f>
        <x:v>6</x:v>
      </x:c>
      <x:c r="E615" s="36" t="n">
        <x:f>FRAGEN_MASTER!E615</x:f>
        <x:v>4</x:v>
      </x:c>
      <x:c r="F615" s="36" t="str">
        <x:f>FRAGEN_MASTER!Q615</x:f>
        <x:v>Was zeigt Paulus mit dem Bild von Sklaverei und Gehorsam?</x:v>
      </x:c>
      <x:c r="G615" s="36" t="str">
        <x:f>FRAGEN_MASTER!R615</x:f>
        <x:v>Gnade bedeutet, dass Gehorsam keine Rolle spielt.</x:v>
      </x:c>
      <x:c r="H615" s="36" t="str">
        <x:f>FRAGEN_MASTER!S615</x:f>
        <x:v>Nur äußere Sklaverei ist gemeint.</x:v>
      </x:c>
      <x:c r="I615" s="36" t="str">
        <x:f>FRAGEN_MASTER!T615</x:f>
        <x:v>Wem man sich zum Gehorsam hingibt, dessen Herrschaft dient man – entweder der Sünde oder der Gerechtigkeit.</x:v>
      </x:c>
      <x:c r="J615" s="36" t="str">
        <x:f>FRAGEN_MASTER!U615</x:f>
        <x:v>Freiheit heißt, überhaupt keinem Einfluss zu folgen.</x:v>
      </x:c>
      <x:c r="K615" s="36" t="n">
        <x:f>FRAGEN_MASTER!V615</x:f>
        <x:v>2</x:v>
      </x:c>
      <x:c r="L615" s="36" t="str">
        <x:f>FRAGEN_MASTER!W615</x:f>
        <x:v>Wem man sich zum Gehorsam hingibt, dessen Herrschaft dient man – entweder der Sünde oder der Gerechtigkeit.</x:v>
      </x:c>
      <x:c r="M615" s="36" t="str">
        <x:f>FRAGEN_MASTER!X615</x:f>
        <x:v>Römer 6,15–18</x:v>
      </x:c>
      <x:c r="N615" s="36" t="str">
        <x:f>FRAGEN_MASTER!Y615</x:f>
        <x:v>Paulus nutzt das Sklavenbild, um zu zeigen, dass Freiheit von Sünde zu einem neuen Gehorsam gegenüber der Gerechtigkeit führt.</x:v>
      </x:c>
      <x:c r="O615" s="36" t="str">
        <x:f>FRAGEN_MASTER!AG615</x:f>
        <x:v>FREIGEGEBEN</x:v>
      </x:c>
      <x:c r="P615" s="36" t="str">
        <x:f>FRAGEN_MASTER!AI615</x:f>
        <x:v>FREIGEGEBEN</x:v>
      </x:c>
      <x:c r="Q615" s="36" t="str">
        <x:f>FRAGEN_MASTER!AL615</x:f>
        <x:v>JA</x:v>
      </x:c>
    </x:row>
    <x:row r="616">
      <x:c r="A616" s="36" t="str">
        <x:f>FRAGEN_MASTER!A616</x:f>
        <x:v>FP-0875</x:v>
      </x:c>
      <x:c r="B616" s="36" t="str">
        <x:f>FRAGEN_MASTER!B616</x:f>
        <x:v>ROM</x:v>
      </x:c>
      <x:c r="C616" s="36" t="str">
        <x:f>FRAGEN_MASTER!C616</x:f>
        <x:v>Römer</x:v>
      </x:c>
      <x:c r="D616" s="36" t="n">
        <x:f>FRAGEN_MASTER!D616</x:f>
        <x:v>6</x:v>
      </x:c>
      <x:c r="E616" s="36" t="n">
        <x:f>FRAGEN_MASTER!E616</x:f>
        <x:v>5</x:v>
      </x:c>
      <x:c r="F616" s="36" t="str">
        <x:f>FRAGEN_MASTER!Q616</x:f>
        <x:v>Wie lautet die berühmte Gegenüberstellung am Ende von Römer 6?</x:v>
      </x:c>
      <x:c r="G616" s="36" t="str">
        <x:f>FRAGEN_MASTER!R616</x:f>
        <x:v>Der Lohn der Sünde ist Armut, Gottes Gabe aber Reichtum.</x:v>
      </x:c>
      <x:c r="H616" s="36" t="str">
        <x:f>FRAGEN_MASTER!S616</x:f>
        <x:v>Der Lohn der Sünde ist Krankheit, Gottes Gabe aber Gesundheit.</x:v>
      </x:c>
      <x:c r="I616" s="36" t="str">
        <x:f>FRAGEN_MASTER!T616</x:f>
        <x:v>Der Lohn der Sünde ist Gesetz, Gottes Gabe aber Freiheit von Verantwortung.</x:v>
      </x:c>
      <x:c r="J616" s="36" t="str">
        <x:f>FRAGEN_MASTER!U616</x:f>
        <x:v>Der Lohn der Sünde ist der Tod, Gottes Gabe aber ewiges Leben in Christus Jesus.</x:v>
      </x:c>
      <x:c r="K616" s="36" t="n">
        <x:f>FRAGEN_MASTER!V616</x:f>
        <x:v>3</x:v>
      </x:c>
      <x:c r="L616" s="36" t="str">
        <x:f>FRAGEN_MASTER!W616</x:f>
        <x:v>Der Lohn der Sünde ist der Tod, Gottes Gabe aber ewiges Leben in Christus Jesus.</x:v>
      </x:c>
      <x:c r="M616" s="36" t="str">
        <x:f>FRAGEN_MASTER!X616</x:f>
        <x:v>Römer 6,20–23</x:v>
      </x:c>
      <x:c r="N616" s="36" t="str">
        <x:f>FRAGEN_MASTER!Y616</x:f>
        <x:v>Paulus stellt das Ergebnis der Sünde der freien Gabe Gottes in Christus gegenüber.</x:v>
      </x:c>
      <x:c r="O616" s="36" t="str">
        <x:f>FRAGEN_MASTER!AG616</x:f>
        <x:v>FREIGEGEBEN</x:v>
      </x:c>
      <x:c r="P616" s="36" t="str">
        <x:f>FRAGEN_MASTER!AI616</x:f>
        <x:v>FREIGEGEBEN</x:v>
      </x:c>
      <x:c r="Q616" s="36" t="str">
        <x:f>FRAGEN_MASTER!AL616</x:f>
        <x:v>JA</x:v>
      </x:c>
    </x:row>
    <x:row r="617">
      <x:c r="A617" s="36" t="str">
        <x:f>FRAGEN_MASTER!A617</x:f>
        <x:v>FP-0876</x:v>
      </x:c>
      <x:c r="B617" s="36" t="str">
        <x:f>FRAGEN_MASTER!B617</x:f>
        <x:v>ROM</x:v>
      </x:c>
      <x:c r="C617" s="36" t="str">
        <x:f>FRAGEN_MASTER!C617</x:f>
        <x:v>Römer</x:v>
      </x:c>
      <x:c r="D617" s="36" t="n">
        <x:f>FRAGEN_MASTER!D617</x:f>
        <x:v>7</x:v>
      </x:c>
      <x:c r="E617" s="36" t="n">
        <x:f>FRAGEN_MASTER!E617</x:f>
        <x:v>1</x:v>
      </x:c>
      <x:c r="F617" s="36" t="str">
        <x:f>FRAGEN_MASTER!Q617</x:f>
        <x:v>Welches Bild verwendet Paulus zu Beginn von Römer 7, um eine veränderte Bindung zu erklären?</x:v>
      </x:c>
      <x:c r="G617" s="36" t="str">
        <x:f>FRAGEN_MASTER!R617</x:f>
        <x:v>Das Beispiel einer verheirateten Frau, deren gesetzliche Bindung durch den Tod des Mannes endet.</x:v>
      </x:c>
      <x:c r="H617" s="36" t="str">
        <x:f>FRAGEN_MASTER!S617</x:f>
        <x:v>Das Bild eines Hirten und seiner Schafe.</x:v>
      </x:c>
      <x:c r="I617" s="36" t="str">
        <x:f>FRAGEN_MASTER!T617</x:f>
        <x:v>Das Bild eines Baumes und seiner Früchte.</x:v>
      </x:c>
      <x:c r="J617" s="36" t="str">
        <x:f>FRAGEN_MASTER!U617</x:f>
        <x:v>Das Bild eines Königs und seiner Soldaten.</x:v>
      </x:c>
      <x:c r="K617" s="36" t="n">
        <x:f>FRAGEN_MASTER!V617</x:f>
        <x:v>0</x:v>
      </x:c>
      <x:c r="L617" s="36" t="str">
        <x:f>FRAGEN_MASTER!W617</x:f>
        <x:v>Das Beispiel einer verheirateten Frau, deren gesetzliche Bindung durch den Tod des Mannes endet.</x:v>
      </x:c>
      <x:c r="M617" s="36" t="str">
        <x:f>FRAGEN_MASTER!X617</x:f>
        <x:v>Römer 7,1–6</x:v>
      </x:c>
      <x:c r="N617" s="36" t="str">
        <x:f>FRAGEN_MASTER!Y617</x:f>
        <x:v>Paulus nutzt die Ehe als Analogie für eine durch Tod veränderte Rechtsbindung und überträgt dies auf die Beziehung zum Gesetz.</x:v>
      </x:c>
      <x:c r="O617" s="36" t="str">
        <x:f>FRAGEN_MASTER!AG617</x:f>
        <x:v>FREIGEGEBEN</x:v>
      </x:c>
      <x:c r="P617" s="36" t="str">
        <x:f>FRAGEN_MASTER!AI617</x:f>
        <x:v>FREIGEGEBEN</x:v>
      </x:c>
      <x:c r="Q617" s="36" t="str">
        <x:f>FRAGEN_MASTER!AL617</x:f>
        <x:v>JA</x:v>
      </x:c>
    </x:row>
    <x:row r="618">
      <x:c r="A618" s="36" t="str">
        <x:f>FRAGEN_MASTER!A618</x:f>
        <x:v>FP-0877</x:v>
      </x:c>
      <x:c r="B618" s="36" t="str">
        <x:f>FRAGEN_MASTER!B618</x:f>
        <x:v>ROM</x:v>
      </x:c>
      <x:c r="C618" s="36" t="str">
        <x:f>FRAGEN_MASTER!C618</x:f>
        <x:v>Römer</x:v>
      </x:c>
      <x:c r="D618" s="36" t="n">
        <x:f>FRAGEN_MASTER!D618</x:f>
        <x:v>7</x:v>
      </x:c>
      <x:c r="E618" s="36" t="n">
        <x:f>FRAGEN_MASTER!E618</x:f>
        <x:v>2</x:v>
      </x:c>
      <x:c r="F618" s="36" t="str">
        <x:f>FRAGEN_MASTER!Q618</x:f>
        <x:v>Ist das Gesetz nach Paulus selbst Sünde?</x:v>
      </x:c>
      <x:c r="G618" s="36" t="str">
        <x:f>FRAGEN_MASTER!R618</x:f>
        <x:v>Ja, das Gesetz ist die eigentliche Quelle des Bösen.</x:v>
      </x:c>
      <x:c r="H618" s="36" t="str">
        <x:f>FRAGEN_MASTER!S618</x:f>
        <x:v>Nein; das Gesetz macht Sünde erkennbar und ist heilig, gerecht und gut.</x:v>
      </x:c>
      <x:c r="I618" s="36" t="str">
        <x:f>FRAGEN_MASTER!T618</x:f>
        <x:v>Ja, jedes Gebot führt automatisch zur Sünde.</x:v>
      </x:c>
      <x:c r="J618" s="36" t="str">
        <x:f>FRAGEN_MASTER!U618</x:f>
        <x:v>Paulus beantwortet die Frage nicht.</x:v>
      </x:c>
      <x:c r="K618" s="36" t="n">
        <x:f>FRAGEN_MASTER!V618</x:f>
        <x:v>1</x:v>
      </x:c>
      <x:c r="L618" s="36" t="str">
        <x:f>FRAGEN_MASTER!W618</x:f>
        <x:v>Nein; das Gesetz macht Sünde erkennbar und ist heilig, gerecht und gut.</x:v>
      </x:c>
      <x:c r="M618" s="36" t="str">
        <x:f>FRAGEN_MASTER!X618</x:f>
        <x:v>Römer 7,7–12</x:v>
      </x:c>
      <x:c r="N618" s="36" t="str">
        <x:f>FRAGEN_MASTER!Y618</x:f>
        <x:v>Paulus weist die Gleichsetzung von Gesetz und Sünde zurück und erklärt, wie das Gebot Sünde sichtbar macht.</x:v>
      </x:c>
      <x:c r="O618" s="36" t="str">
        <x:f>FRAGEN_MASTER!AG618</x:f>
        <x:v>FREIGEGEBEN</x:v>
      </x:c>
      <x:c r="P618" s="36" t="str">
        <x:f>FRAGEN_MASTER!AI618</x:f>
        <x:v>FREIGEGEBEN</x:v>
      </x:c>
      <x:c r="Q618" s="36" t="str">
        <x:f>FRAGEN_MASTER!AL618</x:f>
        <x:v>JA</x:v>
      </x:c>
    </x:row>
    <x:row r="619">
      <x:c r="A619" s="36" t="str">
        <x:f>FRAGEN_MASTER!A619</x:f>
        <x:v>FP-0878</x:v>
      </x:c>
      <x:c r="B619" s="36" t="str">
        <x:f>FRAGEN_MASTER!B619</x:f>
        <x:v>ROM</x:v>
      </x:c>
      <x:c r="C619" s="36" t="str">
        <x:f>FRAGEN_MASTER!C619</x:f>
        <x:v>Römer</x:v>
      </x:c>
      <x:c r="D619" s="36" t="n">
        <x:f>FRAGEN_MASTER!D619</x:f>
        <x:v>7</x:v>
      </x:c>
      <x:c r="E619" s="36" t="n">
        <x:f>FRAGEN_MASTER!E619</x:f>
        <x:v>3</x:v>
      </x:c>
      <x:c r="F619" s="36" t="str">
        <x:f>FRAGEN_MASTER!Q619</x:f>
        <x:v>Welchen inneren Konflikt beschreibt Paulus in Römer 7?</x:v>
      </x:c>
      <x:c r="G619" s="36" t="str">
        <x:f>FRAGEN_MASTER!R619</x:f>
        <x:v>Er weiß nie, was gut oder böse ist.</x:v>
      </x:c>
      <x:c r="H619" s="36" t="str">
        <x:f>FRAGEN_MASTER!S619</x:f>
        <x:v>Er möchte das Böse tun und tut immer das Gute.</x:v>
      </x:c>
      <x:c r="I619" s="36" t="str">
        <x:f>FRAGEN_MASTER!T619</x:f>
        <x:v>Er tut nicht das Gute, das er will, sondern erlebt die Macht der Sünde gegen seinen Willen.</x:v>
      </x:c>
      <x:c r="J619" s="36" t="str">
        <x:f>FRAGEN_MASTER!U619</x:f>
        <x:v>Er beschreibt ausschließlich einen politischen Konflikt.</x:v>
      </x:c>
      <x:c r="K619" s="36" t="n">
        <x:f>FRAGEN_MASTER!V619</x:f>
        <x:v>2</x:v>
      </x:c>
      <x:c r="L619" s="36" t="str">
        <x:f>FRAGEN_MASTER!W619</x:f>
        <x:v>Er tut nicht das Gute, das er will, sondern erlebt die Macht der Sünde gegen seinen Willen.</x:v>
      </x:c>
      <x:c r="M619" s="36" t="str">
        <x:f>FRAGEN_MASTER!X619</x:f>
        <x:v>Römer 7,14–20</x:v>
      </x:c>
      <x:c r="N619" s="36" t="str">
        <x:f>FRAGEN_MASTER!Y619</x:f>
        <x:v>Der Abschnitt schildert die Spannung zwischen dem Wollen des Guten und dem tatsächlichen Tun unter der Macht der Sünde.</x:v>
      </x:c>
      <x:c r="O619" s="36" t="str">
        <x:f>FRAGEN_MASTER!AG619</x:f>
        <x:v>FREIGEGEBEN</x:v>
      </x:c>
      <x:c r="P619" s="36" t="str">
        <x:f>FRAGEN_MASTER!AI619</x:f>
        <x:v>FREIGEGEBEN</x:v>
      </x:c>
      <x:c r="Q619" s="36" t="str">
        <x:f>FRAGEN_MASTER!AL619</x:f>
        <x:v>JA</x:v>
      </x:c>
    </x:row>
    <x:row r="620">
      <x:c r="A620" s="36" t="str">
        <x:f>FRAGEN_MASTER!A620</x:f>
        <x:v>FP-0879</x:v>
      </x:c>
      <x:c r="B620" s="36" t="str">
        <x:f>FRAGEN_MASTER!B620</x:f>
        <x:v>ROM</x:v>
      </x:c>
      <x:c r="C620" s="36" t="str">
        <x:f>FRAGEN_MASTER!C620</x:f>
        <x:v>Römer</x:v>
      </x:c>
      <x:c r="D620" s="36" t="n">
        <x:f>FRAGEN_MASTER!D620</x:f>
        <x:v>7</x:v>
      </x:c>
      <x:c r="E620" s="36" t="n">
        <x:f>FRAGEN_MASTER!E620</x:f>
        <x:v>4</x:v>
      </x:c>
      <x:c r="F620" s="36" t="str">
        <x:f>FRAGEN_MASTER!Q620</x:f>
        <x:v>Welche verzweifelte Frage stellt Paulus angesichts dieses inneren Konflikts?</x:v>
      </x:c>
      <x:c r="G620" s="36" t="str">
        <x:f>FRAGEN_MASTER!R620</x:f>
        <x:v>Wer wird mir das Gesetz erklären?</x:v>
      </x:c>
      <x:c r="H620" s="36" t="str">
        <x:f>FRAGEN_MASTER!S620</x:f>
        <x:v>Wer wird mich nach Rom bringen?</x:v>
      </x:c>
      <x:c r="I620" s="36" t="str">
        <x:f>FRAGEN_MASTER!T620</x:f>
        <x:v>Wer wird mir einen neuen Beruf geben?</x:v>
      </x:c>
      <x:c r="J620" s="36" t="str">
        <x:f>FRAGEN_MASTER!U620</x:f>
        <x:v>Wer wird mich erlösen von diesem Leib des Todes?</x:v>
      </x:c>
      <x:c r="K620" s="36" t="n">
        <x:f>FRAGEN_MASTER!V620</x:f>
        <x:v>3</x:v>
      </x:c>
      <x:c r="L620" s="36" t="str">
        <x:f>FRAGEN_MASTER!W620</x:f>
        <x:v>Wer wird mich erlösen von diesem Leib des Todes?</x:v>
      </x:c>
      <x:c r="M620" s="36" t="str">
        <x:f>FRAGEN_MASTER!X620</x:f>
        <x:v>Römer 7,21–24</x:v>
      </x:c>
      <x:c r="N620" s="36" t="str">
        <x:f>FRAGEN_MASTER!Y620</x:f>
        <x:v>Paulus verdichtet den Konflikt in dem Ruf nach Befreiung.</x:v>
      </x:c>
      <x:c r="O620" s="36" t="str">
        <x:f>FRAGEN_MASTER!AG620</x:f>
        <x:v>FREIGEGEBEN</x:v>
      </x:c>
      <x:c r="P620" s="36" t="str">
        <x:f>FRAGEN_MASTER!AI620</x:f>
        <x:v>FREIGEGEBEN</x:v>
      </x:c>
      <x:c r="Q620" s="36" t="str">
        <x:f>FRAGEN_MASTER!AL620</x:f>
        <x:v>JA</x:v>
      </x:c>
    </x:row>
    <x:row r="621">
      <x:c r="A621" s="36" t="str">
        <x:f>FRAGEN_MASTER!A621</x:f>
        <x:v>FP-0880</x:v>
      </x:c>
      <x:c r="B621" s="36" t="str">
        <x:f>FRAGEN_MASTER!B621</x:f>
        <x:v>ROM</x:v>
      </x:c>
      <x:c r="C621" s="36" t="str">
        <x:f>FRAGEN_MASTER!C621</x:f>
        <x:v>Römer</x:v>
      </x:c>
      <x:c r="D621" s="36" t="n">
        <x:f>FRAGEN_MASTER!D621</x:f>
        <x:v>7</x:v>
      </x:c>
      <x:c r="E621" s="36" t="n">
        <x:f>FRAGEN_MASTER!E621</x:f>
        <x:v>5</x:v>
      </x:c>
      <x:c r="F621" s="36" t="str">
        <x:f>FRAGEN_MASTER!Q621</x:f>
        <x:v>Wem dankt Paulus unmittelbar nach seinem Ruf nach Rettung?</x:v>
      </x:c>
      <x:c r="G621" s="36" t="str">
        <x:f>FRAGEN_MASTER!R621</x:f>
        <x:v>Gott durch Jesus Christus, unseren Herrn.</x:v>
      </x:c>
      <x:c r="H621" s="36" t="str">
        <x:f>FRAGEN_MASTER!S621</x:f>
        <x:v>Mose.</x:v>
      </x:c>
      <x:c r="I621" s="36" t="str">
        <x:f>FRAGEN_MASTER!T621</x:f>
        <x:v>Dem Hohen Rat.</x:v>
      </x:c>
      <x:c r="J621" s="36" t="str">
        <x:f>FRAGEN_MASTER!U621</x:f>
        <x:v>Den römischen Behörden.</x:v>
      </x:c>
      <x:c r="K621" s="36" t="n">
        <x:f>FRAGEN_MASTER!V621</x:f>
        <x:v>0</x:v>
      </x:c>
      <x:c r="L621" s="36" t="str">
        <x:f>FRAGEN_MASTER!W621</x:f>
        <x:v>Gott durch Jesus Christus, unseren Herrn.</x:v>
      </x:c>
      <x:c r="M621" s="36" t="str">
        <x:f>FRAGEN_MASTER!X621</x:f>
        <x:v>Römer 7,25</x:v>
      </x:c>
      <x:c r="N621" s="36" t="str">
        <x:f>FRAGEN_MASTER!Y621</x:f>
        <x:v>Paulus antwortet auf den Hilferuf mit Dank an Gott durch Jesus Christus.</x:v>
      </x:c>
      <x:c r="O621" s="36" t="str">
        <x:f>FRAGEN_MASTER!AG621</x:f>
        <x:v>FREIGEGEBEN</x:v>
      </x:c>
      <x:c r="P621" s="36" t="str">
        <x:f>FRAGEN_MASTER!AI621</x:f>
        <x:v>FREIGEGEBEN</x:v>
      </x:c>
      <x:c r="Q621" s="36" t="str">
        <x:f>FRAGEN_MASTER!AL621</x:f>
        <x:v>JA</x:v>
      </x:c>
    </x:row>
    <x:row r="622">
      <x:c r="A622" s="36" t="str">
        <x:f>FRAGEN_MASTER!A622</x:f>
        <x:v>FP-0881</x:v>
      </x:c>
      <x:c r="B622" s="36" t="str">
        <x:f>FRAGEN_MASTER!B622</x:f>
        <x:v>ROM</x:v>
      </x:c>
      <x:c r="C622" s="36" t="str">
        <x:f>FRAGEN_MASTER!C622</x:f>
        <x:v>Römer</x:v>
      </x:c>
      <x:c r="D622" s="36" t="n">
        <x:f>FRAGEN_MASTER!D622</x:f>
        <x:v>8</x:v>
      </x:c>
      <x:c r="E622" s="36" t="n">
        <x:f>FRAGEN_MASTER!E622</x:f>
        <x:v>1</x:v>
      </x:c>
      <x:c r="F622" s="36" t="str">
        <x:f>FRAGEN_MASTER!Q622</x:f>
        <x:v>Welche Zusage steht am Anfang von Römer 8?</x:v>
      </x:c>
      <x:c r="G622" s="36" t="str">
        <x:f>FRAGEN_MASTER!R622</x:f>
        <x:v>Glaubende erleben keine Schwierigkeiten mehr.</x:v>
      </x:c>
      <x:c r="H622" s="36" t="str">
        <x:f>FRAGEN_MASTER!S622</x:f>
        <x:v>Für die, die in Christus Jesus sind, gibt es keine Verdammnis.</x:v>
      </x:c>
      <x:c r="I622" s="36" t="str">
        <x:f>FRAGEN_MASTER!T622</x:f>
        <x:v>Das Gesetz hat nie eine Rolle gespielt.</x:v>
      </x:c>
      <x:c r="J622" s="36" t="str">
        <x:f>FRAGEN_MASTER!U622</x:f>
        <x:v>Nur Apostel sind von Verdammnis frei.</x:v>
      </x:c>
      <x:c r="K622" s="36" t="n">
        <x:f>FRAGEN_MASTER!V622</x:f>
        <x:v>1</x:v>
      </x:c>
      <x:c r="L622" s="36" t="str">
        <x:f>FRAGEN_MASTER!W622</x:f>
        <x:v>Für die, die in Christus Jesus sind, gibt es keine Verdammnis.</x:v>
      </x:c>
      <x:c r="M622" s="36" t="str">
        <x:f>FRAGEN_MASTER!X622</x:f>
        <x:v>Römer 8,1–4</x:v>
      </x:c>
      <x:c r="N622" s="36" t="str">
        <x:f>FRAGEN_MASTER!Y622</x:f>
        <x:v>Paulus beginnt das Kapitel mit der Zusage der Nichtverdammnis in Christus und dem befreienden Wirken des Geistes.</x:v>
      </x:c>
      <x:c r="O622" s="36" t="str">
        <x:f>FRAGEN_MASTER!AG622</x:f>
        <x:v>FREIGEGEBEN</x:v>
      </x:c>
      <x:c r="P622" s="36" t="str">
        <x:f>FRAGEN_MASTER!AI622</x:f>
        <x:v>FREIGEGEBEN</x:v>
      </x:c>
      <x:c r="Q622" s="36" t="str">
        <x:f>FRAGEN_MASTER!AL622</x:f>
        <x:v>JA</x:v>
      </x:c>
    </x:row>
    <x:row r="623">
      <x:c r="A623" s="36" t="str">
        <x:f>FRAGEN_MASTER!A623</x:f>
        <x:v>FP-0882</x:v>
      </x:c>
      <x:c r="B623" s="36" t="str">
        <x:f>FRAGEN_MASTER!B623</x:f>
        <x:v>ROM</x:v>
      </x:c>
      <x:c r="C623" s="36" t="str">
        <x:f>FRAGEN_MASTER!C623</x:f>
        <x:v>Römer</x:v>
      </x:c>
      <x:c r="D623" s="36" t="n">
        <x:f>FRAGEN_MASTER!D623</x:f>
        <x:v>8</x:v>
      </x:c>
      <x:c r="E623" s="36" t="n">
        <x:f>FRAGEN_MASTER!E623</x:f>
        <x:v>2</x:v>
      </x:c>
      <x:c r="F623" s="36" t="str">
        <x:f>FRAGEN_MASTER!Q623</x:f>
        <x:v>Welche Hoffnung verbindet Paulus mit dem Geist Gottes, der in Glaubenden wohnt?</x:v>
      </x:c>
      <x:c r="G623" s="36" t="str">
        <x:f>FRAGEN_MASTER!R623</x:f>
        <x:v>Der Körper wird für Gott bedeutungslos.</x:v>
      </x:c>
      <x:c r="H623" s="36" t="str">
        <x:f>FRAGEN_MASTER!S623</x:f>
        <x:v>Nur die Seele wird von Gott beachtet.</x:v>
      </x:c>
      <x:c r="I623" s="36" t="str">
        <x:f>FRAGEN_MASTER!T623</x:f>
        <x:v>Der Geist dessen, der Jesus auferweckte, wird auch ihre sterblichen Leiber lebendig machen.</x:v>
      </x:c>
      <x:c r="J623" s="36" t="str">
        <x:f>FRAGEN_MASTER!U623</x:f>
        <x:v>Auferstehung betrifft ausschließlich Jesus.</x:v>
      </x:c>
      <x:c r="K623" s="36" t="n">
        <x:f>FRAGEN_MASTER!V623</x:f>
        <x:v>2</x:v>
      </x:c>
      <x:c r="L623" s="36" t="str">
        <x:f>FRAGEN_MASTER!W623</x:f>
        <x:v>Der Geist dessen, der Jesus auferweckte, wird auch ihre sterblichen Leiber lebendig machen.</x:v>
      </x:c>
      <x:c r="M623" s="36" t="str">
        <x:f>FRAGEN_MASTER!X623</x:f>
        <x:v>Römer 8,9–11</x:v>
      </x:c>
      <x:c r="N623" s="36" t="str">
        <x:f>FRAGEN_MASTER!Y623</x:f>
        <x:v>Paulus verbindet die Gegenwart des Geistes mit der Hoffnung auf zukünftige Lebendigmachung.</x:v>
      </x:c>
      <x:c r="O623" s="36" t="str">
        <x:f>FRAGEN_MASTER!AG623</x:f>
        <x:v>FREIGEGEBEN</x:v>
      </x:c>
      <x:c r="P623" s="36" t="str">
        <x:f>FRAGEN_MASTER!AI623</x:f>
        <x:v>FREIGEGEBEN</x:v>
      </x:c>
      <x:c r="Q623" s="36" t="str">
        <x:f>FRAGEN_MASTER!AL623</x:f>
        <x:v>JA</x:v>
      </x:c>
    </x:row>
    <x:row r="624">
      <x:c r="A624" s="36" t="str">
        <x:f>FRAGEN_MASTER!A624</x:f>
        <x:v>FP-0883</x:v>
      </x:c>
      <x:c r="B624" s="36" t="str">
        <x:f>FRAGEN_MASTER!B624</x:f>
        <x:v>ROM</x:v>
      </x:c>
      <x:c r="C624" s="36" t="str">
        <x:f>FRAGEN_MASTER!C624</x:f>
        <x:v>Römer</x:v>
      </x:c>
      <x:c r="D624" s="36" t="n">
        <x:f>FRAGEN_MASTER!D624</x:f>
        <x:v>8</x:v>
      </x:c>
      <x:c r="E624" s="36" t="n">
        <x:f>FRAGEN_MASTER!E624</x:f>
        <x:v>3</x:v>
      </x:c>
      <x:c r="F624" s="36" t="str">
        <x:f>FRAGEN_MASTER!Q624</x:f>
        <x:v>Was bezeugt der Geist in Römer 8 über die Glaubenden?</x:v>
      </x:c>
      <x:c r="G624" s="36" t="str">
        <x:f>FRAGEN_MASTER!R624</x:f>
        <x:v>Sie sind nur Diener ohne Beziehung zu Gott.</x:v>
      </x:c>
      <x:c r="H624" s="36" t="str">
        <x:f>FRAGEN_MASTER!S624</x:f>
        <x:v>Sie müssen ständig in Angst vor Gott leben.</x:v>
      </x:c>
      <x:c r="I624" s="36" t="str">
        <x:f>FRAGEN_MASTER!T624</x:f>
        <x:v>Nur Israel darf Gott Vater nennen.</x:v>
      </x:c>
      <x:c r="J624" s="36" t="str">
        <x:f>FRAGEN_MASTER!U624</x:f>
        <x:v>Sie sind Kinder Gottes und dürfen Gott als Vater anrufen.</x:v>
      </x:c>
      <x:c r="K624" s="36" t="n">
        <x:f>FRAGEN_MASTER!V624</x:f>
        <x:v>3</x:v>
      </x:c>
      <x:c r="L624" s="36" t="str">
        <x:f>FRAGEN_MASTER!W624</x:f>
        <x:v>Sie sind Kinder Gottes und dürfen Gott als Vater anrufen.</x:v>
      </x:c>
      <x:c r="M624" s="36" t="str">
        <x:f>FRAGEN_MASTER!X624</x:f>
        <x:v>Römer 8,14–17</x:v>
      </x:c>
      <x:c r="N624" s="36" t="str">
        <x:f>FRAGEN_MASTER!Y624</x:f>
        <x:v>Paulus spricht vom Geist der Sohnschaft und von der gemeinsamen Erbschaft mit Christus.</x:v>
      </x:c>
      <x:c r="O624" s="36" t="str">
        <x:f>FRAGEN_MASTER!AG624</x:f>
        <x:v>FREIGEGEBEN</x:v>
      </x:c>
      <x:c r="P624" s="36" t="str">
        <x:f>FRAGEN_MASTER!AI624</x:f>
        <x:v>FREIGEGEBEN</x:v>
      </x:c>
      <x:c r="Q624" s="36" t="str">
        <x:f>FRAGEN_MASTER!AL624</x:f>
        <x:v>JA</x:v>
      </x:c>
    </x:row>
    <x:row r="625">
      <x:c r="A625" s="36" t="str">
        <x:f>FRAGEN_MASTER!A625</x:f>
        <x:v>FP-0884</x:v>
      </x:c>
      <x:c r="B625" s="36" t="str">
        <x:f>FRAGEN_MASTER!B625</x:f>
        <x:v>ROM</x:v>
      </x:c>
      <x:c r="C625" s="36" t="str">
        <x:f>FRAGEN_MASTER!C625</x:f>
        <x:v>Römer</x:v>
      </x:c>
      <x:c r="D625" s="36" t="n">
        <x:f>FRAGEN_MASTER!D625</x:f>
        <x:v>8</x:v>
      </x:c>
      <x:c r="E625" s="36" t="n">
        <x:f>FRAGEN_MASTER!E625</x:f>
        <x:v>4</x:v>
      </x:c>
      <x:c r="F625" s="36" t="str">
        <x:f>FRAGEN_MASTER!Q625</x:f>
        <x:v>Wie beschreibt Paulus die gegenwärtige Schöpfung und die Hoffnung der Glaubenden?</x:v>
      </x:c>
      <x:c r="G625" s="36" t="str">
        <x:f>FRAGEN_MASTER!R625</x:f>
        <x:v>Die Schöpfung seufzt und wartet auf Erlösung; auch Glaubende warten hoffend auf die Erlösung des Leibes.</x:v>
      </x:c>
      <x:c r="H625" s="36" t="str">
        <x:f>FRAGEN_MASTER!S625</x:f>
        <x:v>Die Schöpfung ist bereits vollständig erneuert.</x:v>
      </x:c>
      <x:c r="I625" s="36" t="str">
        <x:f>FRAGEN_MASTER!T625</x:f>
        <x:v>Nur Menschen, nicht aber die Schöpfung, sind von Vergänglichkeit betroffen.</x:v>
      </x:c>
      <x:c r="J625" s="36" t="str">
        <x:f>FRAGEN_MASTER!U625</x:f>
        <x:v>Hoffnung ist für Paulus nur eine unsichere Vermutung ohne Zukunftsbezug.</x:v>
      </x:c>
      <x:c r="K625" s="36" t="n">
        <x:f>FRAGEN_MASTER!V625</x:f>
        <x:v>0</x:v>
      </x:c>
      <x:c r="L625" s="36" t="str">
        <x:f>FRAGEN_MASTER!W625</x:f>
        <x:v>Die Schöpfung seufzt und wartet auf Erlösung; auch Glaubende warten hoffend auf die Erlösung des Leibes.</x:v>
      </x:c>
      <x:c r="M625" s="36" t="str">
        <x:f>FRAGEN_MASTER!X625</x:f>
        <x:v>Römer 8,18–25</x:v>
      </x:c>
      <x:c r="N625" s="36" t="str">
        <x:f>FRAGEN_MASTER!Y625</x:f>
        <x:v>Paulus verbindet gegenwärtiges Leiden und Seufzen mit einer zukünftigen Herrlichkeit und Erlösung.</x:v>
      </x:c>
      <x:c r="O625" s="36" t="str">
        <x:f>FRAGEN_MASTER!AG625</x:f>
        <x:v>FREIGEGEBEN</x:v>
      </x:c>
      <x:c r="P625" s="36" t="str">
        <x:f>FRAGEN_MASTER!AI625</x:f>
        <x:v>FREIGEGEBEN</x:v>
      </x:c>
      <x:c r="Q625" s="36" t="str">
        <x:f>FRAGEN_MASTER!AL625</x:f>
        <x:v>JA</x:v>
      </x:c>
    </x:row>
    <x:row r="626">
      <x:c r="A626" s="36" t="str">
        <x:f>FRAGEN_MASTER!A626</x:f>
        <x:v>FP-0885</x:v>
      </x:c>
      <x:c r="B626" s="36" t="str">
        <x:f>FRAGEN_MASTER!B626</x:f>
        <x:v>ROM</x:v>
      </x:c>
      <x:c r="C626" s="36" t="str">
        <x:f>FRAGEN_MASTER!C626</x:f>
        <x:v>Römer</x:v>
      </x:c>
      <x:c r="D626" s="36" t="n">
        <x:f>FRAGEN_MASTER!D626</x:f>
        <x:v>8</x:v>
      </x:c>
      <x:c r="E626" s="36" t="n">
        <x:f>FRAGEN_MASTER!E626</x:f>
        <x:v>5</x:v>
      </x:c>
      <x:c r="F626" s="36" t="str">
        <x:f>FRAGEN_MASTER!Q626</x:f>
        <x:v>Welche Sicherheit betont Paulus am Ende von Römer 8?</x:v>
      </x:c>
      <x:c r="G626" s="36" t="str">
        <x:f>FRAGEN_MASTER!R626</x:f>
        <x:v>Nur menschliche Entscheidungen können Gottes Liebe erhalten.</x:v>
      </x:c>
      <x:c r="H626" s="36" t="str">
        <x:f>FRAGEN_MASTER!S626</x:f>
        <x:v>Nichts kann die Glaubenden von der Liebe Gottes in Christus Jesus trennen.</x:v>
      </x:c>
      <x:c r="I626" s="36" t="str">
        <x:f>FRAGEN_MASTER!T626</x:f>
        <x:v>Verfolgung beweist, dass Gott fern ist.</x:v>
      </x:c>
      <x:c r="J626" s="36" t="str">
        <x:f>FRAGEN_MASTER!U626</x:f>
        <x:v>Nur Engel stehen außerhalb von Gottes Liebe.</x:v>
      </x:c>
      <x:c r="K626" s="36" t="n">
        <x:f>FRAGEN_MASTER!V626</x:f>
        <x:v>1</x:v>
      </x:c>
      <x:c r="L626" s="36" t="str">
        <x:f>FRAGEN_MASTER!W626</x:f>
        <x:v>Nichts kann die Glaubenden von der Liebe Gottes in Christus Jesus trennen.</x:v>
      </x:c>
      <x:c r="M626" s="36" t="str">
        <x:f>FRAGEN_MASTER!X626</x:f>
        <x:v>Römer 8,31–39</x:v>
      </x:c>
      <x:c r="N626" s="36" t="str">
        <x:f>FRAGEN_MASTER!Y626</x:f>
        <x:v>Paulus zählt zahlreiche mögliche Bedrohungen auf und schließt, dass nichts von Gottes Liebe in Christus trennen kann.</x:v>
      </x:c>
      <x:c r="O626" s="36" t="str">
        <x:f>FRAGEN_MASTER!AG626</x:f>
        <x:v>FREIGEGEBEN</x:v>
      </x:c>
      <x:c r="P626" s="36" t="str">
        <x:f>FRAGEN_MASTER!AI626</x:f>
        <x:v>FREIGEGEBEN</x:v>
      </x:c>
      <x:c r="Q626" s="36" t="str">
        <x:f>FRAGEN_MASTER!AL626</x:f>
        <x:v>JA</x:v>
      </x:c>
    </x:row>
    <x:row r="627">
      <x:c r="A627" s="36" t="str">
        <x:f>FRAGEN_MASTER!A627</x:f>
        <x:v>FP-0886</x:v>
      </x:c>
      <x:c r="B627" s="36" t="str">
        <x:f>FRAGEN_MASTER!B627</x:f>
        <x:v>ROM</x:v>
      </x:c>
      <x:c r="C627" s="36" t="str">
        <x:f>FRAGEN_MASTER!C627</x:f>
        <x:v>Römer</x:v>
      </x:c>
      <x:c r="D627" s="36" t="n">
        <x:f>FRAGEN_MASTER!D627</x:f>
        <x:v>9</x:v>
      </x:c>
      <x:c r="E627" s="36" t="n">
        <x:f>FRAGEN_MASTER!E627</x:f>
        <x:v>1</x:v>
      </x:c>
      <x:c r="F627" s="36" t="str">
        <x:f>FRAGEN_MASTER!Q627</x:f>
        <x:v>Wie beschreibt Paulus seine Haltung gegenüber seinen israelitischen Geschwistern?</x:v>
      </x:c>
      <x:c r="G627" s="36" t="str">
        <x:f>FRAGEN_MASTER!R627</x:f>
        <x:v>Mit Gleichgültigkeit.</x:v>
      </x:c>
      <x:c r="H627" s="36" t="str">
        <x:f>FRAGEN_MASTER!S627</x:f>
        <x:v>Mit Freude über ihre Ablehnung.</x:v>
      </x:c>
      <x:c r="I627" s="36" t="str">
        <x:f>FRAGEN_MASTER!T627</x:f>
        <x:v>Mit großer Traurigkeit und anhaltendem Schmerz wegen ihres Zustands.</x:v>
      </x:c>
      <x:c r="J627" s="36" t="str">
        <x:f>FRAGEN_MASTER!U627</x:f>
        <x:v>Mit dem Wunsch, jede Verbindung zu ihnen abzubrechen.</x:v>
      </x:c>
      <x:c r="K627" s="36" t="n">
        <x:f>FRAGEN_MASTER!V627</x:f>
        <x:v>2</x:v>
      </x:c>
      <x:c r="L627" s="36" t="str">
        <x:f>FRAGEN_MASTER!W627</x:f>
        <x:v>Mit großer Traurigkeit und anhaltendem Schmerz wegen ihres Zustands.</x:v>
      </x:c>
      <x:c r="M627" s="36" t="str">
        <x:f>FRAGEN_MASTER!X627</x:f>
        <x:v>Römer 9,1–5</x:v>
      </x:c>
      <x:c r="N627" s="36" t="str">
        <x:f>FRAGEN_MASTER!Y627</x:f>
        <x:v>Paulus beginnt den schwierigen Abschnitt mit tiefer persönlicher Trauer und Verbundenheit mit Israel.</x:v>
      </x:c>
      <x:c r="O627" s="36" t="str">
        <x:f>FRAGEN_MASTER!AG627</x:f>
        <x:v>FREIGEGEBEN</x:v>
      </x:c>
      <x:c r="P627" s="36" t="str">
        <x:f>FRAGEN_MASTER!AI627</x:f>
        <x:v>FREIGEGEBEN</x:v>
      </x:c>
      <x:c r="Q627" s="36" t="str">
        <x:f>FRAGEN_MASTER!AL627</x:f>
        <x:v>JA</x:v>
      </x:c>
    </x:row>
    <x:row r="628">
      <x:c r="A628" s="36" t="str">
        <x:f>FRAGEN_MASTER!A628</x:f>
        <x:v>FP-0887</x:v>
      </x:c>
      <x:c r="B628" s="36" t="str">
        <x:f>FRAGEN_MASTER!B628</x:f>
        <x:v>ROM</x:v>
      </x:c>
      <x:c r="C628" s="36" t="str">
        <x:f>FRAGEN_MASTER!C628</x:f>
        <x:v>Römer</x:v>
      </x:c>
      <x:c r="D628" s="36" t="n">
        <x:f>FRAGEN_MASTER!D628</x:f>
        <x:v>9</x:v>
      </x:c>
      <x:c r="E628" s="36" t="n">
        <x:f>FRAGEN_MASTER!E628</x:f>
        <x:v>2</x:v>
      </x:c>
      <x:c r="F628" s="36" t="str">
        <x:f>FRAGEN_MASTER!Q628</x:f>
        <x:v>Warum bedeutet Israels Situation für Paulus nicht, dass Gottes Wort gescheitert ist?</x:v>
      </x:c>
      <x:c r="G628" s="36" t="str">
        <x:f>FRAGEN_MASTER!R628</x:f>
        <x:v>Weil Gottes Verheißungen nie Israel galten.</x:v>
      </x:c>
      <x:c r="H628" s="36" t="str">
        <x:f>FRAGEN_MASTER!S628</x:f>
        <x:v>Weil Abstammung grundsätzlich unwichtig ist.</x:v>
      </x:c>
      <x:c r="I628" s="36" t="str">
        <x:f>FRAGEN_MASTER!T628</x:f>
        <x:v>Weil Paulus alle früheren Verheißungen zurücknimmt.</x:v>
      </x:c>
      <x:c r="J628" s="36" t="str">
        <x:f>FRAGEN_MASTER!U628</x:f>
        <x:v>Weil nicht alle, die äußerlich von Israel abstammen, damit schon das verheißene Israel bilden.</x:v>
      </x:c>
      <x:c r="K628" s="36" t="n">
        <x:f>FRAGEN_MASTER!V628</x:f>
        <x:v>3</x:v>
      </x:c>
      <x:c r="L628" s="36" t="str">
        <x:f>FRAGEN_MASTER!W628</x:f>
        <x:v>Weil nicht alle, die äußerlich von Israel abstammen, damit schon das verheißene Israel bilden.</x:v>
      </x:c>
      <x:c r="M628" s="36" t="str">
        <x:f>FRAGEN_MASTER!X628</x:f>
        <x:v>Römer 9,6–13</x:v>
      </x:c>
      <x:c r="N628" s="36" t="str">
        <x:f>FRAGEN_MASTER!Y628</x:f>
        <x:v>Paulus unterscheidet zwischen natürlicher Abstammung und der Linie der Verheißung.</x:v>
      </x:c>
      <x:c r="O628" s="36" t="str">
        <x:f>FRAGEN_MASTER!AG628</x:f>
        <x:v>FREIGEGEBEN</x:v>
      </x:c>
      <x:c r="P628" s="36" t="str">
        <x:f>FRAGEN_MASTER!AI628</x:f>
        <x:v>FREIGEGEBEN</x:v>
      </x:c>
      <x:c r="Q628" s="36" t="str">
        <x:f>FRAGEN_MASTER!AL628</x:f>
        <x:v>JA</x:v>
      </x:c>
    </x:row>
    <x:row r="629">
      <x:c r="A629" s="36" t="str">
        <x:f>FRAGEN_MASTER!A629</x:f>
        <x:v>FP-0888</x:v>
      </x:c>
      <x:c r="B629" s="36" t="str">
        <x:f>FRAGEN_MASTER!B629</x:f>
        <x:v>ROM</x:v>
      </x:c>
      <x:c r="C629" s="36" t="str">
        <x:f>FRAGEN_MASTER!C629</x:f>
        <x:v>Römer</x:v>
      </x:c>
      <x:c r="D629" s="36" t="n">
        <x:f>FRAGEN_MASTER!D629</x:f>
        <x:v>9</x:v>
      </x:c>
      <x:c r="E629" s="36" t="n">
        <x:f>FRAGEN_MASTER!E629</x:f>
        <x:v>3</x:v>
      </x:c>
      <x:c r="F629" s="36" t="str">
        <x:f>FRAGEN_MASTER!Q629</x:f>
        <x:v>Wie antwortet Paulus auf den Einwand, Gott sei ungerecht?</x:v>
      </x:c>
      <x:c r="G629" s="36" t="str">
        <x:f>FRAGEN_MASTER!R629</x:f>
        <x:v>Er weist ihn zurück und betont Gottes freie Barmherzigkeit.</x:v>
      </x:c>
      <x:c r="H629" s="36" t="str">
        <x:f>FRAGEN_MASTER!S629</x:f>
        <x:v>Er gibt zu, dass Gott ungerecht handelt.</x:v>
      </x:c>
      <x:c r="I629" s="36" t="str">
        <x:f>FRAGEN_MASTER!T629</x:f>
        <x:v>Er sagt, Gerechtigkeit sei bedeutungslos.</x:v>
      </x:c>
      <x:c r="J629" s="36" t="str">
        <x:f>FRAGEN_MASTER!U629</x:f>
        <x:v>Er verweist ausschließlich auf menschlichen Verdienst.</x:v>
      </x:c>
      <x:c r="K629" s="36" t="n">
        <x:f>FRAGEN_MASTER!V629</x:f>
        <x:v>0</x:v>
      </x:c>
      <x:c r="L629" s="36" t="str">
        <x:f>FRAGEN_MASTER!W629</x:f>
        <x:v>Er weist ihn zurück und betont Gottes freie Barmherzigkeit.</x:v>
      </x:c>
      <x:c r="M629" s="36" t="str">
        <x:f>FRAGEN_MASTER!X629</x:f>
        <x:v>Römer 9,14–18</x:v>
      </x:c>
      <x:c r="N629" s="36" t="str">
        <x:f>FRAGEN_MASTER!Y629</x:f>
        <x:v>Paulus verteidigt Gottes Freiheit, Barmherzigkeit zu erweisen.</x:v>
      </x:c>
      <x:c r="O629" s="36" t="str">
        <x:f>FRAGEN_MASTER!AG629</x:f>
        <x:v>FREIGEGEBEN</x:v>
      </x:c>
      <x:c r="P629" s="36" t="str">
        <x:f>FRAGEN_MASTER!AI629</x:f>
        <x:v>FREIGEGEBEN</x:v>
      </x:c>
      <x:c r="Q629" s="36" t="str">
        <x:f>FRAGEN_MASTER!AL629</x:f>
        <x:v>JA</x:v>
      </x:c>
    </x:row>
    <x:row r="630">
      <x:c r="A630" s="36" t="str">
        <x:f>FRAGEN_MASTER!A630</x:f>
        <x:v>FP-0889</x:v>
      </x:c>
      <x:c r="B630" s="36" t="str">
        <x:f>FRAGEN_MASTER!B630</x:f>
        <x:v>ROM</x:v>
      </x:c>
      <x:c r="C630" s="36" t="str">
        <x:f>FRAGEN_MASTER!C630</x:f>
        <x:v>Römer</x:v>
      </x:c>
      <x:c r="D630" s="36" t="n">
        <x:f>FRAGEN_MASTER!D630</x:f>
        <x:v>9</x:v>
      </x:c>
      <x:c r="E630" s="36" t="n">
        <x:f>FRAGEN_MASTER!E630</x:f>
        <x:v>4</x:v>
      </x:c>
      <x:c r="F630" s="36" t="str">
        <x:f>FRAGEN_MASTER!Q630</x:f>
        <x:v>Welches Bild verwendet Paulus, um die Beziehung zwischen Gott und Mensch in dieser Diskussion zu beschreiben?</x:v>
      </x:c>
      <x:c r="G630" s="36" t="str">
        <x:f>FRAGEN_MASTER!R630</x:f>
        <x:v>Hirte und Schaf.</x:v>
      </x:c>
      <x:c r="H630" s="36" t="str">
        <x:f>FRAGEN_MASTER!S630</x:f>
        <x:v>Töpfer und Ton.</x:v>
      </x:c>
      <x:c r="I630" s="36" t="str">
        <x:f>FRAGEN_MASTER!T630</x:f>
        <x:v>Richter und Zeuge.</x:v>
      </x:c>
      <x:c r="J630" s="36" t="str">
        <x:f>FRAGEN_MASTER!U630</x:f>
        <x:v>Lehrer und Schüler.</x:v>
      </x:c>
      <x:c r="K630" s="36" t="n">
        <x:f>FRAGEN_MASTER!V630</x:f>
        <x:v>1</x:v>
      </x:c>
      <x:c r="L630" s="36" t="str">
        <x:f>FRAGEN_MASTER!W630</x:f>
        <x:v>Töpfer und Ton.</x:v>
      </x:c>
      <x:c r="M630" s="36" t="str">
        <x:f>FRAGEN_MASTER!X630</x:f>
        <x:v>Römer 9,19–24</x:v>
      </x:c>
      <x:c r="N630" s="36" t="str">
        <x:f>FRAGEN_MASTER!Y630</x:f>
        <x:v>Paulus nutzt das Bild des Töpfers und des Tons, um Gottes schöpferische Freiheit zu verdeutlichen.</x:v>
      </x:c>
      <x:c r="O630" s="36" t="str">
        <x:f>FRAGEN_MASTER!AG630</x:f>
        <x:v>FREIGEGEBEN</x:v>
      </x:c>
      <x:c r="P630" s="36" t="str">
        <x:f>FRAGEN_MASTER!AI630</x:f>
        <x:v>FREIGEGEBEN</x:v>
      </x:c>
      <x:c r="Q630" s="36" t="str">
        <x:f>FRAGEN_MASTER!AL630</x:f>
        <x:v>JA</x:v>
      </x:c>
    </x:row>
    <x:row r="631">
      <x:c r="A631" s="36" t="str">
        <x:f>FRAGEN_MASTER!A631</x:f>
        <x:v>FP-0890</x:v>
      </x:c>
      <x:c r="B631" s="36" t="str">
        <x:f>FRAGEN_MASTER!B631</x:f>
        <x:v>ROM</x:v>
      </x:c>
      <x:c r="C631" s="36" t="str">
        <x:f>FRAGEN_MASTER!C631</x:f>
        <x:v>Römer</x:v>
      </x:c>
      <x:c r="D631" s="36" t="n">
        <x:f>FRAGEN_MASTER!D631</x:f>
        <x:v>9</x:v>
      </x:c>
      <x:c r="E631" s="36" t="n">
        <x:f>FRAGEN_MASTER!E631</x:f>
        <x:v>5</x:v>
      </x:c>
      <x:c r="F631" s="36" t="str">
        <x:f>FRAGEN_MASTER!Q631</x:f>
        <x:v>Warum erreicht Israel nach Paulus die angestrebte Gerechtigkeit nicht?</x:v>
      </x:c>
      <x:c r="G631" s="36" t="str">
        <x:f>FRAGEN_MASTER!R631</x:f>
        <x:v>Weil Gott ihnen nie eine Verheißung gab.</x:v>
      </x:c>
      <x:c r="H631" s="36" t="str">
        <x:f>FRAGEN_MASTER!S631</x:f>
        <x:v>Weil sie keine religiösen Werke taten.</x:v>
      </x:c>
      <x:c r="I631" s="36" t="str">
        <x:f>FRAGEN_MASTER!T631</x:f>
        <x:v>Weil es sie wie aus Werken suchte und sich am Stein des Anstoßes stieß, während die Völker Gerechtigkeit aus Glauben erlangten.</x:v>
      </x:c>
      <x:c r="J631" s="36" t="str">
        <x:f>FRAGEN_MASTER!U631</x:f>
        <x:v>Weil Gerechtigkeit ausschließlich für Nichtjuden bestimmt ist.</x:v>
      </x:c>
      <x:c r="K631" s="36" t="n">
        <x:f>FRAGEN_MASTER!V631</x:f>
        <x:v>2</x:v>
      </x:c>
      <x:c r="L631" s="36" t="str">
        <x:f>FRAGEN_MASTER!W631</x:f>
        <x:v>Weil es sie wie aus Werken suchte und sich am Stein des Anstoßes stieß, während die Völker Gerechtigkeit aus Glauben erlangten.</x:v>
      </x:c>
      <x:c r="M631" s="36" t="str">
        <x:f>FRAGEN_MASTER!X631</x:f>
        <x:v>Römer 9,30–33</x:v>
      </x:c>
      <x:c r="N631" s="36" t="str">
        <x:f>FRAGEN_MASTER!Y631</x:f>
        <x:v>Paulus stellt Gerechtigkeit aus Glauben einer Suche nach Gerechtigkeit wie aus Werken gegenüber.</x:v>
      </x:c>
      <x:c r="O631" s="36" t="str">
        <x:f>FRAGEN_MASTER!AG631</x:f>
        <x:v>FREIGEGEBEN</x:v>
      </x:c>
      <x:c r="P631" s="36" t="str">
        <x:f>FRAGEN_MASTER!AI631</x:f>
        <x:v>FREIGEGEBEN</x:v>
      </x:c>
      <x:c r="Q631" s="36" t="str">
        <x:f>FRAGEN_MASTER!AL631</x:f>
        <x:v>JA</x:v>
      </x:c>
    </x:row>
    <x:row r="632">
      <x:c r="A632" s="36" t="str">
        <x:f>FRAGEN_MASTER!A632</x:f>
        <x:v>FP-0891</x:v>
      </x:c>
      <x:c r="B632" s="36" t="str">
        <x:f>FRAGEN_MASTER!B632</x:f>
        <x:v>ROM</x:v>
      </x:c>
      <x:c r="C632" s="36" t="str">
        <x:f>FRAGEN_MASTER!C632</x:f>
        <x:v>Römer</x:v>
      </x:c>
      <x:c r="D632" s="36" t="n">
        <x:f>FRAGEN_MASTER!D632</x:f>
        <x:v>10</x:v>
      </x:c>
      <x:c r="E632" s="36" t="n">
        <x:f>FRAGEN_MASTER!E632</x:f>
        <x:v>1</x:v>
      </x:c>
      <x:c r="F632" s="36" t="str">
        <x:f>FRAGEN_MASTER!Q632</x:f>
        <x:v>Was ist Paulus' Herzenswunsch und Gebet für Israel?</x:v>
      </x:c>
      <x:c r="G632" s="36" t="str">
        <x:f>FRAGEN_MASTER!R632</x:f>
        <x:v>Dass sie Rom verlassen.</x:v>
      </x:c>
      <x:c r="H632" s="36" t="str">
        <x:f>FRAGEN_MASTER!S632</x:f>
        <x:v>Dass sie politische Macht gewinnen.</x:v>
      </x:c>
      <x:c r="I632" s="36" t="str">
        <x:f>FRAGEN_MASTER!T632</x:f>
        <x:v>Dass sie das Gesetz vergessen.</x:v>
      </x:c>
      <x:c r="J632" s="36" t="str">
        <x:f>FRAGEN_MASTER!U632</x:f>
        <x:v>Dass sie gerettet werden.</x:v>
      </x:c>
      <x:c r="K632" s="36" t="n">
        <x:f>FRAGEN_MASTER!V632</x:f>
        <x:v>3</x:v>
      </x:c>
      <x:c r="L632" s="36" t="str">
        <x:f>FRAGEN_MASTER!W632</x:f>
        <x:v>Dass sie gerettet werden.</x:v>
      </x:c>
      <x:c r="M632" s="36" t="str">
        <x:f>FRAGEN_MASTER!X632</x:f>
        <x:v>Römer 10,1–4</x:v>
      </x:c>
      <x:c r="N632" s="36" t="str">
        <x:f>FRAGEN_MASTER!Y632</x:f>
        <x:v>Paulus beginnt erneut mit seinem Wunsch nach Rettung für Israel und unterscheidet Eifer von richtiger Erkenntnis.</x:v>
      </x:c>
      <x:c r="O632" s="36" t="str">
        <x:f>FRAGEN_MASTER!AG632</x:f>
        <x:v>FREIGEGEBEN</x:v>
      </x:c>
      <x:c r="P632" s="36" t="str">
        <x:f>FRAGEN_MASTER!AI632</x:f>
        <x:v>FREIGEGEBEN</x:v>
      </x:c>
      <x:c r="Q632" s="36" t="str">
        <x:f>FRAGEN_MASTER!AL632</x:f>
        <x:v>JA</x:v>
      </x:c>
    </x:row>
    <x:row r="633">
      <x:c r="A633" s="36" t="str">
        <x:f>FRAGEN_MASTER!A633</x:f>
        <x:v>FP-0892</x:v>
      </x:c>
      <x:c r="B633" s="36" t="str">
        <x:f>FRAGEN_MASTER!B633</x:f>
        <x:v>ROM</x:v>
      </x:c>
      <x:c r="C633" s="36" t="str">
        <x:f>FRAGEN_MASTER!C633</x:f>
        <x:v>Römer</x:v>
      </x:c>
      <x:c r="D633" s="36" t="n">
        <x:f>FRAGEN_MASTER!D633</x:f>
        <x:v>10</x:v>
      </x:c>
      <x:c r="E633" s="36" t="n">
        <x:f>FRAGEN_MASTER!E633</x:f>
        <x:v>2</x:v>
      </x:c>
      <x:c r="F633" s="36" t="str">
        <x:f>FRAGEN_MASTER!Q633</x:f>
        <x:v>Wie beschreibt Paulus die Antwort des Glaubens auf die Botschaft von Christus?</x:v>
      </x:c>
      <x:c r="G633" s="36" t="str">
        <x:f>FRAGEN_MASTER!R633</x:f>
        <x:v>Mit dem Herzen wird geglaubt und mit dem Mund Jesus als Herr bekannt.</x:v>
      </x:c>
      <x:c r="H633" s="36" t="str">
        <x:f>FRAGEN_MASTER!S633</x:f>
        <x:v>Glaube bleibt ausschließlich eine private Meinung.</x:v>
      </x:c>
      <x:c r="I633" s="36" t="str">
        <x:f>FRAGEN_MASTER!T633</x:f>
        <x:v>Nur öffentliche Werke führen zur Rettung.</x:v>
      </x:c>
      <x:c r="J633" s="36" t="str">
        <x:f>FRAGEN_MASTER!U633</x:f>
        <x:v>Das Bekenntnis des Mundes ist ohne Glauben ausreichend.</x:v>
      </x:c>
      <x:c r="K633" s="36" t="n">
        <x:f>FRAGEN_MASTER!V633</x:f>
        <x:v>0</x:v>
      </x:c>
      <x:c r="L633" s="36" t="str">
        <x:f>FRAGEN_MASTER!W633</x:f>
        <x:v>Mit dem Herzen wird geglaubt und mit dem Mund Jesus als Herr bekannt.</x:v>
      </x:c>
      <x:c r="M633" s="36" t="str">
        <x:f>FRAGEN_MASTER!X633</x:f>
        <x:v>Römer 10,5–10</x:v>
      </x:c>
      <x:c r="N633" s="36" t="str">
        <x:f>FRAGEN_MASTER!Y633</x:f>
        <x:v>Paulus verbindet Glauben an die Auferweckung Jesu und das Bekenntnis zu Jesus als Herrn.</x:v>
      </x:c>
      <x:c r="O633" s="36" t="str">
        <x:f>FRAGEN_MASTER!AG633</x:f>
        <x:v>FREIGEGEBEN</x:v>
      </x:c>
      <x:c r="P633" s="36" t="str">
        <x:f>FRAGEN_MASTER!AI633</x:f>
        <x:v>FREIGEGEBEN</x:v>
      </x:c>
      <x:c r="Q633" s="36" t="str">
        <x:f>FRAGEN_MASTER!AL633</x:f>
        <x:v>JA</x:v>
      </x:c>
    </x:row>
    <x:row r="634">
      <x:c r="A634" s="36" t="str">
        <x:f>FRAGEN_MASTER!A634</x:f>
        <x:v>FP-0893</x:v>
      </x:c>
      <x:c r="B634" s="36" t="str">
        <x:f>FRAGEN_MASTER!B634</x:f>
        <x:v>ROM</x:v>
      </x:c>
      <x:c r="C634" s="36" t="str">
        <x:f>FRAGEN_MASTER!C634</x:f>
        <x:v>Römer</x:v>
      </x:c>
      <x:c r="D634" s="36" t="n">
        <x:f>FRAGEN_MASTER!D634</x:f>
        <x:v>10</x:v>
      </x:c>
      <x:c r="E634" s="36" t="n">
        <x:f>FRAGEN_MASTER!E634</x:f>
        <x:v>3</x:v>
      </x:c>
      <x:c r="F634" s="36" t="str">
        <x:f>FRAGEN_MASTER!Q634</x:f>
        <x:v>Für wen gilt nach Paulus die Zusage: „Wer den Namen des Herrn anruft, wird gerettet“?</x:v>
      </x:c>
      <x:c r="G634" s="36" t="str">
        <x:f>FRAGEN_MASTER!R634</x:f>
        <x:v>Nur für Juden.</x:v>
      </x:c>
      <x:c r="H634" s="36" t="str">
        <x:f>FRAGEN_MASTER!S634</x:f>
        <x:v>Für alle, ohne Unterschied zwischen Juden und Griechen.</x:v>
      </x:c>
      <x:c r="I634" s="36" t="str">
        <x:f>FRAGEN_MASTER!T634</x:f>
        <x:v>Nur für Apostel.</x:v>
      </x:c>
      <x:c r="J634" s="36" t="str">
        <x:f>FRAGEN_MASTER!U634</x:f>
        <x:v>Nur für Menschen in Jerusalem.</x:v>
      </x:c>
      <x:c r="K634" s="36" t="n">
        <x:f>FRAGEN_MASTER!V634</x:f>
        <x:v>1</x:v>
      </x:c>
      <x:c r="L634" s="36" t="str">
        <x:f>FRAGEN_MASTER!W634</x:f>
        <x:v>Für alle, ohne Unterschied zwischen Juden und Griechen.</x:v>
      </x:c>
      <x:c r="M634" s="36" t="str">
        <x:f>FRAGEN_MASTER!X634</x:f>
        <x:v>Römer 10,11–13</x:v>
      </x:c>
      <x:c r="N634" s="36" t="str">
        <x:f>FRAGEN_MASTER!Y634</x:f>
        <x:v>Paulus betont den einen Herrn, der reich ist für alle, die ihn anrufen.</x:v>
      </x:c>
      <x:c r="O634" s="36" t="str">
        <x:f>FRAGEN_MASTER!AG634</x:f>
        <x:v>FREIGEGEBEN</x:v>
      </x:c>
      <x:c r="P634" s="36" t="str">
        <x:f>FRAGEN_MASTER!AI634</x:f>
        <x:v>FREIGEGEBEN</x:v>
      </x:c>
      <x:c r="Q634" s="36" t="str">
        <x:f>FRAGEN_MASTER!AL634</x:f>
        <x:v>JA</x:v>
      </x:c>
    </x:row>
    <x:row r="635">
      <x:c r="A635" s="36" t="str">
        <x:f>FRAGEN_MASTER!A635</x:f>
        <x:v>FP-0894</x:v>
      </x:c>
      <x:c r="B635" s="36" t="str">
        <x:f>FRAGEN_MASTER!B635</x:f>
        <x:v>ROM</x:v>
      </x:c>
      <x:c r="C635" s="36" t="str">
        <x:f>FRAGEN_MASTER!C635</x:f>
        <x:v>Römer</x:v>
      </x:c>
      <x:c r="D635" s="36" t="n">
        <x:f>FRAGEN_MASTER!D635</x:f>
        <x:v>10</x:v>
      </x:c>
      <x:c r="E635" s="36" t="n">
        <x:f>FRAGEN_MASTER!E635</x:f>
        <x:v>4</x:v>
      </x:c>
      <x:c r="F635" s="36" t="str">
        <x:f>FRAGEN_MASTER!Q635</x:f>
        <x:v>Welche Kette beschreibt Paulus für die Ausbreitung des Glaubens?</x:v>
      </x:c>
      <x:c r="G635" s="36" t="str">
        <x:f>FRAGEN_MASTER!R635</x:f>
        <x:v>Menschen glauben ohne jemals etwas zu hören.</x:v>
      </x:c>
      <x:c r="H635" s="36" t="str">
        <x:f>FRAGEN_MASTER!S635</x:f>
        <x:v>Nur Zeichen erzeugen Glauben.</x:v>
      </x:c>
      <x:c r="I635" s="36" t="str">
        <x:f>FRAGEN_MASTER!T635</x:f>
        <x:v>Menschen müssen hören, dafür braucht es Verkündigung und Gesandte; der Glaube kommt aus dem Hören.</x:v>
      </x:c>
      <x:c r="J635" s="36" t="str">
        <x:f>FRAGEN_MASTER!U635</x:f>
        <x:v>Glauben entsteht ausschließlich durch Herkunft.</x:v>
      </x:c>
      <x:c r="K635" s="36" t="n">
        <x:f>FRAGEN_MASTER!V635</x:f>
        <x:v>2</x:v>
      </x:c>
      <x:c r="L635" s="36" t="str">
        <x:f>FRAGEN_MASTER!W635</x:f>
        <x:v>Menschen müssen hören, dafür braucht es Verkündigung und Gesandte; der Glaube kommt aus dem Hören.</x:v>
      </x:c>
      <x:c r="M635" s="36" t="str">
        <x:f>FRAGEN_MASTER!X635</x:f>
        <x:v>Römer 10,14–17</x:v>
      </x:c>
      <x:c r="N635" s="36" t="str">
        <x:f>FRAGEN_MASTER!Y635</x:f>
        <x:v>Paulus verbindet Anrufen, Glauben, Hören, Verkündigen und Gesandtsein.</x:v>
      </x:c>
      <x:c r="O635" s="36" t="str">
        <x:f>FRAGEN_MASTER!AG635</x:f>
        <x:v>FREIGEGEBEN</x:v>
      </x:c>
      <x:c r="P635" s="36" t="str">
        <x:f>FRAGEN_MASTER!AI635</x:f>
        <x:v>FREIGEGEBEN</x:v>
      </x:c>
      <x:c r="Q635" s="36" t="str">
        <x:f>FRAGEN_MASTER!AL635</x:f>
        <x:v>JA</x:v>
      </x:c>
    </x:row>
    <x:row r="636">
      <x:c r="A636" s="36" t="str">
        <x:f>FRAGEN_MASTER!A636</x:f>
        <x:v>FP-0895</x:v>
      </x:c>
      <x:c r="B636" s="36" t="str">
        <x:f>FRAGEN_MASTER!B636</x:f>
        <x:v>ROM</x:v>
      </x:c>
      <x:c r="C636" s="36" t="str">
        <x:f>FRAGEN_MASTER!C636</x:f>
        <x:v>Römer</x:v>
      </x:c>
      <x:c r="D636" s="36" t="n">
        <x:f>FRAGEN_MASTER!D636</x:f>
        <x:v>10</x:v>
      </x:c>
      <x:c r="E636" s="36" t="n">
        <x:f>FRAGEN_MASTER!E636</x:f>
        <x:v>5</x:v>
      </x:c>
      <x:c r="F636" s="36" t="str">
        <x:f>FRAGEN_MASTER!Q636</x:f>
        <x:v>Wie beschreibt Paulus Gottes Haltung gegenüber einem ungehorsamen Israel am Ende des Kapitels?</x:v>
      </x:c>
      <x:c r="G636" s="36" t="str">
        <x:f>FRAGEN_MASTER!R636</x:f>
        <x:v>Gott spricht nie mehr zu Israel.</x:v>
      </x:c>
      <x:c r="H636" s="36" t="str">
        <x:f>FRAGEN_MASTER!S636</x:f>
        <x:v>Gott hat Israel nie gesucht.</x:v>
      </x:c>
      <x:c r="I636" s="36" t="str">
        <x:f>FRAGEN_MASTER!T636</x:f>
        <x:v>Israel hat die Botschaft überhaupt nicht gehört.</x:v>
      </x:c>
      <x:c r="J636" s="36" t="str">
        <x:f>FRAGEN_MASTER!U636</x:f>
        <x:v>Gott streckt den ganzen Tag seine Hände nach einem ungehorsamen und widersprechenden Volk aus.</x:v>
      </x:c>
      <x:c r="K636" s="36" t="n">
        <x:f>FRAGEN_MASTER!V636</x:f>
        <x:v>3</x:v>
      </x:c>
      <x:c r="L636" s="36" t="str">
        <x:f>FRAGEN_MASTER!W636</x:f>
        <x:v>Gott streckt den ganzen Tag seine Hände nach einem ungehorsamen und widersprechenden Volk aus.</x:v>
      </x:c>
      <x:c r="M636" s="36" t="str">
        <x:f>FRAGEN_MASTER!X636</x:f>
        <x:v>Römer 10,18–21</x:v>
      </x:c>
      <x:c r="N636" s="36" t="str">
        <x:f>FRAGEN_MASTER!Y636</x:f>
        <x:v>Paulus zitiert die Schrift, um sowohl die gehörte Botschaft als auch Gottes beharrliches Werben zu zeigen.</x:v>
      </x:c>
      <x:c r="O636" s="36" t="str">
        <x:f>FRAGEN_MASTER!AG636</x:f>
        <x:v>FREIGEGEBEN</x:v>
      </x:c>
      <x:c r="P636" s="36" t="str">
        <x:f>FRAGEN_MASTER!AI636</x:f>
        <x:v>FREIGEGEBEN</x:v>
      </x:c>
      <x:c r="Q636" s="36" t="str">
        <x:f>FRAGEN_MASTER!AL636</x:f>
        <x:v>JA</x:v>
      </x:c>
    </x:row>
    <x:row r="637">
      <x:c r="A637" s="36" t="str">
        <x:f>FRAGEN_MASTER!A637</x:f>
        <x:v>FP-0896</x:v>
      </x:c>
      <x:c r="B637" s="36" t="str">
        <x:f>FRAGEN_MASTER!B637</x:f>
        <x:v>ROM</x:v>
      </x:c>
      <x:c r="C637" s="36" t="str">
        <x:f>FRAGEN_MASTER!C637</x:f>
        <x:v>Römer</x:v>
      </x:c>
      <x:c r="D637" s="36" t="n">
        <x:f>FRAGEN_MASTER!D637</x:f>
        <x:v>11</x:v>
      </x:c>
      <x:c r="E637" s="36" t="n">
        <x:f>FRAGEN_MASTER!E637</x:f>
        <x:v>1</x:v>
      </x:c>
      <x:c r="F637" s="36" t="str">
        <x:f>FRAGEN_MASTER!Q637</x:f>
        <x:v>Hat Gott nach Paulus sein Volk Israel verstoßen?</x:v>
      </x:c>
      <x:c r="G637" s="36" t="str">
        <x:f>FRAGEN_MASTER!R637</x:f>
        <x:v>Nein; Paulus verweist auf sich selbst und auf einen Rest nach der Wahl der Gnade.</x:v>
      </x:c>
      <x:c r="H637" s="36" t="str">
        <x:f>FRAGEN_MASTER!S637</x:f>
        <x:v>Ja, vollständig und endgültig.</x:v>
      </x:c>
      <x:c r="I637" s="36" t="str">
        <x:f>FRAGEN_MASTER!T637</x:f>
        <x:v>Nur der Stamm Benjamin bleibt übrig.</x:v>
      </x:c>
      <x:c r="J637" s="36" t="str">
        <x:f>FRAGEN_MASTER!U637</x:f>
        <x:v>Paulus beantwortet die Frage nicht.</x:v>
      </x:c>
      <x:c r="K637" s="36" t="n">
        <x:f>FRAGEN_MASTER!V637</x:f>
        <x:v>0</x:v>
      </x:c>
      <x:c r="L637" s="36" t="str">
        <x:f>FRAGEN_MASTER!W637</x:f>
        <x:v>Nein; Paulus verweist auf sich selbst und auf einen Rest nach der Wahl der Gnade.</x:v>
      </x:c>
      <x:c r="M637" s="36" t="str">
        <x:f>FRAGEN_MASTER!X637</x:f>
        <x:v>Römer 11,1–6</x:v>
      </x:c>
      <x:c r="N637" s="36" t="str">
        <x:f>FRAGEN_MASTER!Y637</x:f>
        <x:v>Paulus weist die Vorstellung einer vollständigen Verwerfung zurück und spricht von einem Rest aus Gnade.</x:v>
      </x:c>
      <x:c r="O637" s="36" t="str">
        <x:f>FRAGEN_MASTER!AG637</x:f>
        <x:v>FREIGEGEBEN</x:v>
      </x:c>
      <x:c r="P637" s="36" t="str">
        <x:f>FRAGEN_MASTER!AI637</x:f>
        <x:v>FREIGEGEBEN</x:v>
      </x:c>
      <x:c r="Q637" s="36" t="str">
        <x:f>FRAGEN_MASTER!AL637</x:f>
        <x:v>JA</x:v>
      </x:c>
    </x:row>
    <x:row r="638">
      <x:c r="A638" s="36" t="str">
        <x:f>FRAGEN_MASTER!A638</x:f>
        <x:v>FP-0897</x:v>
      </x:c>
      <x:c r="B638" s="36" t="str">
        <x:f>FRAGEN_MASTER!B638</x:f>
        <x:v>ROM</x:v>
      </x:c>
      <x:c r="C638" s="36" t="str">
        <x:f>FRAGEN_MASTER!C638</x:f>
        <x:v>Römer</x:v>
      </x:c>
      <x:c r="D638" s="36" t="n">
        <x:f>FRAGEN_MASTER!D638</x:f>
        <x:v>11</x:v>
      </x:c>
      <x:c r="E638" s="36" t="n">
        <x:f>FRAGEN_MASTER!E638</x:f>
        <x:v>2</x:v>
      </x:c>
      <x:c r="F638" s="36" t="str">
        <x:f>FRAGEN_MASTER!Q638</x:f>
        <x:v>Welche Wirkung hat Israels Fehltritt nach Paulus auf die Völker?</x:v>
      </x:c>
      <x:c r="G638" s="36" t="str">
        <x:f>FRAGEN_MASTER!R638</x:f>
        <x:v>Die Völker verlieren jede Hoffnung.</x:v>
      </x:c>
      <x:c r="H638" s="36" t="str">
        <x:f>FRAGEN_MASTER!S638</x:f>
        <x:v>Das Heil kommt zu den Nichtjuden, und dies soll zugleich Israel zur Eifersucht reizen.</x:v>
      </x:c>
      <x:c r="I638" s="36" t="str">
        <x:f>FRAGEN_MASTER!T638</x:f>
        <x:v>Das Evangelium bleibt nun nur bei Israel.</x:v>
      </x:c>
      <x:c r="J638" s="36" t="str">
        <x:f>FRAGEN_MASTER!U638</x:f>
        <x:v>Der Fehltritt hat keinerlei Wirkung.</x:v>
      </x:c>
      <x:c r="K638" s="36" t="n">
        <x:f>FRAGEN_MASTER!V638</x:f>
        <x:v>1</x:v>
      </x:c>
      <x:c r="L638" s="36" t="str">
        <x:f>FRAGEN_MASTER!W638</x:f>
        <x:v>Das Heil kommt zu den Nichtjuden, und dies soll zugleich Israel zur Eifersucht reizen.</x:v>
      </x:c>
      <x:c r="M638" s="36" t="str">
        <x:f>FRAGEN_MASTER!X638</x:f>
        <x:v>Römer 11,11–15</x:v>
      </x:c>
      <x:c r="N638" s="36" t="str">
        <x:f>FRAGEN_MASTER!Y638</x:f>
        <x:v>Paulus sieht in Israels Fehltritt eine Ausweitung des Heils zu den Völkern und zugleich eine zukünftige Hoffnung.</x:v>
      </x:c>
      <x:c r="O638" s="36" t="str">
        <x:f>FRAGEN_MASTER!AG638</x:f>
        <x:v>FREIGEGEBEN</x:v>
      </x:c>
      <x:c r="P638" s="36" t="str">
        <x:f>FRAGEN_MASTER!AI638</x:f>
        <x:v>FREIGEGEBEN</x:v>
      </x:c>
      <x:c r="Q638" s="36" t="str">
        <x:f>FRAGEN_MASTER!AL638</x:f>
        <x:v>JA</x:v>
      </x:c>
    </x:row>
    <x:row r="639">
      <x:c r="A639" s="36" t="str">
        <x:f>FRAGEN_MASTER!A639</x:f>
        <x:v>FP-0898</x:v>
      </x:c>
      <x:c r="B639" s="36" t="str">
        <x:f>FRAGEN_MASTER!B639</x:f>
        <x:v>ROM</x:v>
      </x:c>
      <x:c r="C639" s="36" t="str">
        <x:f>FRAGEN_MASTER!C639</x:f>
        <x:v>Römer</x:v>
      </x:c>
      <x:c r="D639" s="36" t="n">
        <x:f>FRAGEN_MASTER!D639</x:f>
        <x:v>11</x:v>
      </x:c>
      <x:c r="E639" s="36" t="n">
        <x:f>FRAGEN_MASTER!E639</x:f>
        <x:v>3</x:v>
      </x:c>
      <x:c r="F639" s="36" t="str">
        <x:f>FRAGEN_MASTER!Q639</x:f>
        <x:v>Welche Warnung richtet Paulus im Bild vom Ölbaum an nichtjüdische Glaubende?</x:v>
      </x:c>
      <x:c r="G639" s="36" t="str">
        <x:f>FRAGEN_MASTER!R639</x:f>
        <x:v>Sie sollen Israel verachten.</x:v>
      </x:c>
      <x:c r="H639" s="36" t="str">
        <x:f>FRAGEN_MASTER!S639</x:f>
        <x:v>Sie tragen die Wurzel und nicht umgekehrt.</x:v>
      </x:c>
      <x:c r="I639" s="36" t="str">
        <x:f>FRAGEN_MASTER!T639</x:f>
        <x:v>Sie sollen sich nicht über die natürlichen Zweige erheben, sondern in Demut und Glauben bleiben.</x:v>
      </x:c>
      <x:c r="J639" s="36" t="str">
        <x:f>FRAGEN_MASTER!U639</x:f>
        <x:v>Sie können niemals wieder abgeschnitten werden.</x:v>
      </x:c>
      <x:c r="K639" s="36" t="n">
        <x:f>FRAGEN_MASTER!V639</x:f>
        <x:v>2</x:v>
      </x:c>
      <x:c r="L639" s="36" t="str">
        <x:f>FRAGEN_MASTER!W639</x:f>
        <x:v>Sie sollen sich nicht über die natürlichen Zweige erheben, sondern in Demut und Glauben bleiben.</x:v>
      </x:c>
      <x:c r="M639" s="36" t="str">
        <x:f>FRAGEN_MASTER!X639</x:f>
        <x:v>Römer 11,17–24</x:v>
      </x:c>
      <x:c r="N639" s="36" t="str">
        <x:f>FRAGEN_MASTER!Y639</x:f>
        <x:v>Paulus verwendet den eingepfropften wilden Ölzweig als Warnung vor Überheblichkeit.</x:v>
      </x:c>
      <x:c r="O639" s="36" t="str">
        <x:f>FRAGEN_MASTER!AG639</x:f>
        <x:v>FREIGEGEBEN</x:v>
      </x:c>
      <x:c r="P639" s="36" t="str">
        <x:f>FRAGEN_MASTER!AI639</x:f>
        <x:v>FREIGEGEBEN</x:v>
      </x:c>
      <x:c r="Q639" s="36" t="str">
        <x:f>FRAGEN_MASTER!AL639</x:f>
        <x:v>JA</x:v>
      </x:c>
    </x:row>
    <x:row r="640">
      <x:c r="A640" s="36" t="str">
        <x:f>FRAGEN_MASTER!A640</x:f>
        <x:v>FP-0899</x:v>
      </x:c>
      <x:c r="B640" s="36" t="str">
        <x:f>FRAGEN_MASTER!B640</x:f>
        <x:v>ROM</x:v>
      </x:c>
      <x:c r="C640" s="36" t="str">
        <x:f>FRAGEN_MASTER!C640</x:f>
        <x:v>Römer</x:v>
      </x:c>
      <x:c r="D640" s="36" t="n">
        <x:f>FRAGEN_MASTER!D640</x:f>
        <x:v>11</x:v>
      </x:c>
      <x:c r="E640" s="36" t="n">
        <x:f>FRAGEN_MASTER!E640</x:f>
        <x:v>4</x:v>
      </x:c>
      <x:c r="F640" s="36" t="str">
        <x:f>FRAGEN_MASTER!Q640</x:f>
        <x:v>Welches „Geheimnis“ nennt Paulus, damit die nichtjüdischen Glaubenden nicht selbstweise werden?</x:v>
      </x:c>
      <x:c r="G640" s="36" t="str">
        <x:f>FRAGEN_MASTER!R640</x:f>
        <x:v>Israel hat keinerlei weitere Bedeutung.</x:v>
      </x:c>
      <x:c r="H640" s="36" t="str">
        <x:f>FRAGEN_MASTER!S640</x:f>
        <x:v>Die Völker ersetzen Israel vollständig.</x:v>
      </x:c>
      <x:c r="I640" s="36" t="str">
        <x:f>FRAGEN_MASTER!T640</x:f>
        <x:v>Nur ein einziger Stamm kann gerettet werden.</x:v>
      </x:c>
      <x:c r="J640" s="36" t="str">
        <x:f>FRAGEN_MASTER!U640</x:f>
        <x:v>Israel ist teilweise Verhärtung widerfahren, bis die Fülle der Völker eingegangen ist.</x:v>
      </x:c>
      <x:c r="K640" s="36" t="n">
        <x:f>FRAGEN_MASTER!V640</x:f>
        <x:v>3</x:v>
      </x:c>
      <x:c r="L640" s="36" t="str">
        <x:f>FRAGEN_MASTER!W640</x:f>
        <x:v>Israel ist teilweise Verhärtung widerfahren, bis die Fülle der Völker eingegangen ist.</x:v>
      </x:c>
      <x:c r="M640" s="36" t="str">
        <x:f>FRAGEN_MASTER!X640</x:f>
        <x:v>Römer 11,25–27</x:v>
      </x:c>
      <x:c r="N640" s="36" t="str">
        <x:f>FRAGEN_MASTER!Y640</x:f>
        <x:v>Paulus spricht von einer zeitlich und teilweise beschriebenen Verhärtung und verbindet sie mit Gottes Heilsplan.</x:v>
      </x:c>
      <x:c r="O640" s="36" t="str">
        <x:f>FRAGEN_MASTER!AG640</x:f>
        <x:v>FREIGEGEBEN</x:v>
      </x:c>
      <x:c r="P640" s="36" t="str">
        <x:f>FRAGEN_MASTER!AI640</x:f>
        <x:v>FREIGEGEBEN</x:v>
      </x:c>
      <x:c r="Q640" s="36" t="str">
        <x:f>FRAGEN_MASTER!AL640</x:f>
        <x:v>JA</x:v>
      </x:c>
    </x:row>
    <x:row r="641">
      <x:c r="A641" s="36" t="str">
        <x:f>FRAGEN_MASTER!A641</x:f>
        <x:v>FP-0900</x:v>
      </x:c>
      <x:c r="B641" s="36" t="str">
        <x:f>FRAGEN_MASTER!B641</x:f>
        <x:v>ROM</x:v>
      </x:c>
      <x:c r="C641" s="36" t="str">
        <x:f>FRAGEN_MASTER!C641</x:f>
        <x:v>Römer</x:v>
      </x:c>
      <x:c r="D641" s="36" t="n">
        <x:f>FRAGEN_MASTER!D641</x:f>
        <x:v>11</x:v>
      </x:c>
      <x:c r="E641" s="36" t="n">
        <x:f>FRAGEN_MASTER!E641</x:f>
        <x:v>5</x:v>
      </x:c>
      <x:c r="F641" s="36" t="str">
        <x:f>FRAGEN_MASTER!Q641</x:f>
        <x:v>Wie endet Paulus seine Überlegungen in Römer 11?</x:v>
      </x:c>
      <x:c r="G641" s="36" t="str">
        <x:f>FRAGEN_MASTER!R641</x:f>
        <x:v>Mit einem Lobpreis der unergründlichen Weisheit und Wege Gottes.</x:v>
      </x:c>
      <x:c r="H641" s="36" t="str">
        <x:f>FRAGEN_MASTER!S641</x:f>
        <x:v>Mit einer politischen Analyse Roms.</x:v>
      </x:c>
      <x:c r="I641" s="36" t="str">
        <x:f>FRAGEN_MASTER!T641</x:f>
        <x:v>Mit einem Aufruf, Israel zu verurteilen.</x:v>
      </x:c>
      <x:c r="J641" s="36" t="str">
        <x:f>FRAGEN_MASTER!U641</x:f>
        <x:v>Mit einer Liste neuer Gesetze.</x:v>
      </x:c>
      <x:c r="K641" s="36" t="n">
        <x:f>FRAGEN_MASTER!V641</x:f>
        <x:v>0</x:v>
      </x:c>
      <x:c r="L641" s="36" t="str">
        <x:f>FRAGEN_MASTER!W641</x:f>
        <x:v>Mit einem Lobpreis der unergründlichen Weisheit und Wege Gottes.</x:v>
      </x:c>
      <x:c r="M641" s="36" t="str">
        <x:f>FRAGEN_MASTER!X641</x:f>
        <x:v>Römer 11,33–36</x:v>
      </x:c>
      <x:c r="N641" s="36" t="str">
        <x:f>FRAGEN_MASTER!Y641</x:f>
        <x:v>Paulus schließt die Kapitel 9–11 nicht mit Selbstsicherheit, sondern mit Doxologie und Staunen über Gott.</x:v>
      </x:c>
      <x:c r="O641" s="36" t="str">
        <x:f>FRAGEN_MASTER!AG641</x:f>
        <x:v>FREIGEGEBEN</x:v>
      </x:c>
      <x:c r="P641" s="36" t="str">
        <x:f>FRAGEN_MASTER!AI641</x:f>
        <x:v>FREIGEGEBEN</x:v>
      </x:c>
      <x:c r="Q641" s="36" t="str">
        <x:f>FRAGEN_MASTER!AL641</x:f>
        <x:v>JA</x:v>
      </x:c>
    </x:row>
    <x:row r="642">
      <x:c r="A642" s="36" t="str">
        <x:f>FRAGEN_MASTER!A642</x:f>
        <x:v>FP-0901</x:v>
      </x:c>
      <x:c r="B642" s="36" t="str">
        <x:f>FRAGEN_MASTER!B642</x:f>
        <x:v>ROM</x:v>
      </x:c>
      <x:c r="C642" s="36" t="str">
        <x:f>FRAGEN_MASTER!C642</x:f>
        <x:v>Römer</x:v>
      </x:c>
      <x:c r="D642" s="36" t="n">
        <x:f>FRAGEN_MASTER!D642</x:f>
        <x:v>12</x:v>
      </x:c>
      <x:c r="E642" s="36" t="n">
        <x:f>FRAGEN_MASTER!E642</x:f>
        <x:v>1</x:v>
      </x:c>
      <x:c r="F642" s="36" t="str">
        <x:f>FRAGEN_MASTER!Q642</x:f>
        <x:v>Was bezeichnet Paulus als vernünftigen beziehungsweise geistlichen Gottesdienst?</x:v>
      </x:c>
      <x:c r="G642" s="36" t="str">
        <x:f>FRAGEN_MASTER!R642</x:f>
        <x:v>Nur Opfer im Jerusalemer Tempel zu bringen.</x:v>
      </x:c>
      <x:c r="H642" s="36" t="str">
        <x:f>FRAGEN_MASTER!S642</x:f>
        <x:v>Den eigenen Leib als lebendiges, heiliges und Gott wohlgefälliges Opfer darzubringen.</x:v>
      </x:c>
      <x:c r="I642" s="36" t="str">
        <x:f>FRAGEN_MASTER!T642</x:f>
        <x:v>Sich vollständig aus dem Alltag zurückzuziehen.</x:v>
      </x:c>
      <x:c r="J642" s="36" t="str">
        <x:f>FRAGEN_MASTER!U642</x:f>
        <x:v>Ausschließlich religiöse Worte zu sprechen.</x:v>
      </x:c>
      <x:c r="K642" s="36" t="n">
        <x:f>FRAGEN_MASTER!V642</x:f>
        <x:v>1</x:v>
      </x:c>
      <x:c r="L642" s="36" t="str">
        <x:f>FRAGEN_MASTER!W642</x:f>
        <x:v>Den eigenen Leib als lebendiges, heiliges und Gott wohlgefälliges Opfer darzubringen.</x:v>
      </x:c>
      <x:c r="M642" s="36" t="str">
        <x:f>FRAGEN_MASTER!X642</x:f>
        <x:v>Römer 12,1–2</x:v>
      </x:c>
      <x:c r="N642" s="36" t="str">
        <x:f>FRAGEN_MASTER!Y642</x:f>
        <x:v>Paulus verbindet Gottes Barmherzigkeit mit einer ganzheitlichen Hingabe und der Erneuerung des Denkens.</x:v>
      </x:c>
      <x:c r="O642" s="36" t="str">
        <x:f>FRAGEN_MASTER!AG642</x:f>
        <x:v>FREIGEGEBEN</x:v>
      </x:c>
      <x:c r="P642" s="36" t="str">
        <x:f>FRAGEN_MASTER!AI642</x:f>
        <x:v>FREIGEGEBEN</x:v>
      </x:c>
      <x:c r="Q642" s="36" t="str">
        <x:f>FRAGEN_MASTER!AL642</x:f>
        <x:v>JA</x:v>
      </x:c>
    </x:row>
    <x:row r="643">
      <x:c r="A643" s="36" t="str">
        <x:f>FRAGEN_MASTER!A643</x:f>
        <x:v>FP-0902</x:v>
      </x:c>
      <x:c r="B643" s="36" t="str">
        <x:f>FRAGEN_MASTER!B643</x:f>
        <x:v>ROM</x:v>
      </x:c>
      <x:c r="C643" s="36" t="str">
        <x:f>FRAGEN_MASTER!C643</x:f>
        <x:v>Römer</x:v>
      </x:c>
      <x:c r="D643" s="36" t="n">
        <x:f>FRAGEN_MASTER!D643</x:f>
        <x:v>12</x:v>
      </x:c>
      <x:c r="E643" s="36" t="n">
        <x:f>FRAGEN_MASTER!E643</x:f>
        <x:v>2</x:v>
      </x:c>
      <x:c r="F643" s="36" t="str">
        <x:f>FRAGEN_MASTER!Q643</x:f>
        <x:v>Wie sollen Glaubende über sich selbst und ihre unterschiedlichen Gaben denken?</x:v>
      </x:c>
      <x:c r="G643" s="36" t="str">
        <x:f>FRAGEN_MASTER!R643</x:f>
        <x:v>Jeder soll sich für wichtiger als die anderen halten.</x:v>
      </x:c>
      <x:c r="H643" s="36" t="str">
        <x:f>FRAGEN_MASTER!S643</x:f>
        <x:v>Nur eine Gabe ist in der Gemeinde wertvoll.</x:v>
      </x:c>
      <x:c r="I643" s="36" t="str">
        <x:f>FRAGEN_MASTER!T643</x:f>
        <x:v>Nüchtern und demütig; verschiedene Gaben sollen entsprechend der gegebenen Gnade eingesetzt werden.</x:v>
      </x:c>
      <x:c r="J643" s="36" t="str">
        <x:f>FRAGEN_MASTER!U643</x:f>
        <x:v>Gaben dürfen nicht praktisch eingesetzt werden.</x:v>
      </x:c>
      <x:c r="K643" s="36" t="n">
        <x:f>FRAGEN_MASTER!V643</x:f>
        <x:v>2</x:v>
      </x:c>
      <x:c r="L643" s="36" t="str">
        <x:f>FRAGEN_MASTER!W643</x:f>
        <x:v>Nüchtern und demütig; verschiedene Gaben sollen entsprechend der gegebenen Gnade eingesetzt werden.</x:v>
      </x:c>
      <x:c r="M643" s="36" t="str">
        <x:f>FRAGEN_MASTER!X643</x:f>
        <x:v>Römer 12,3–8</x:v>
      </x:c>
      <x:c r="N643" s="36" t="str">
        <x:f>FRAGEN_MASTER!Y643</x:f>
        <x:v>Paulus verbindet das Bild des einen Leibes mit unterschiedlichen Gliedern und Gaben.</x:v>
      </x:c>
      <x:c r="O643" s="36" t="str">
        <x:f>FRAGEN_MASTER!AG643</x:f>
        <x:v>FREIGEGEBEN</x:v>
      </x:c>
      <x:c r="P643" s="36" t="str">
        <x:f>FRAGEN_MASTER!AI643</x:f>
        <x:v>FREIGEGEBEN</x:v>
      </x:c>
      <x:c r="Q643" s="36" t="str">
        <x:f>FRAGEN_MASTER!AL643</x:f>
        <x:v>JA</x:v>
      </x:c>
    </x:row>
    <x:row r="644">
      <x:c r="A644" s="36" t="str">
        <x:f>FRAGEN_MASTER!A644</x:f>
        <x:v>FP-0903</x:v>
      </x:c>
      <x:c r="B644" s="36" t="str">
        <x:f>FRAGEN_MASTER!B644</x:f>
        <x:v>ROM</x:v>
      </x:c>
      <x:c r="C644" s="36" t="str">
        <x:f>FRAGEN_MASTER!C644</x:f>
        <x:v>Römer</x:v>
      </x:c>
      <x:c r="D644" s="36" t="n">
        <x:f>FRAGEN_MASTER!D644</x:f>
        <x:v>12</x:v>
      </x:c>
      <x:c r="E644" s="36" t="n">
        <x:f>FRAGEN_MASTER!E644</x:f>
        <x:v>3</x:v>
      </x:c>
      <x:c r="F644" s="36" t="str">
        <x:f>FRAGEN_MASTER!Q644</x:f>
        <x:v>Wie soll christliche Liebe nach Römer 12 aussehen?</x:v>
      </x:c>
      <x:c r="G644" s="36" t="str">
        <x:f>FRAGEN_MASTER!R644</x:f>
        <x:v>Nur gegenüber engen Freunden.</x:v>
      </x:c>
      <x:c r="H644" s="36" t="str">
        <x:f>FRAGEN_MASTER!S644</x:f>
        <x:v>Vor allem öffentlich sichtbar, unabhängig vom Herzen.</x:v>
      </x:c>
      <x:c r="I644" s="36" t="str">
        <x:f>FRAGEN_MASTER!T644</x:f>
        <x:v>Ohne praktische Konsequenzen.</x:v>
      </x:c>
      <x:c r="J644" s="36" t="str">
        <x:f>FRAGEN_MASTER!U644</x:f>
        <x:v>Ungeheuchelt, dem Guten zugewandt, herzlich und hilfsbereit.</x:v>
      </x:c>
      <x:c r="K644" s="36" t="n">
        <x:f>FRAGEN_MASTER!V644</x:f>
        <x:v>3</x:v>
      </x:c>
      <x:c r="L644" s="36" t="str">
        <x:f>FRAGEN_MASTER!W644</x:f>
        <x:v>Ungeheuchelt, dem Guten zugewandt, herzlich und hilfsbereit.</x:v>
      </x:c>
      <x:c r="M644" s="36" t="str">
        <x:f>FRAGEN_MASTER!X644</x:f>
        <x:v>Römer 12,9–13</x:v>
      </x:c>
      <x:c r="N644" s="36" t="str">
        <x:f>FRAGEN_MASTER!Y644</x:f>
        <x:v>Paulus entfaltet Liebe in konkreten Haltungen wie Ehre, Hoffnung, Geduld, Gebet und Gastfreundschaft.</x:v>
      </x:c>
      <x:c r="O644" s="36" t="str">
        <x:f>FRAGEN_MASTER!AG644</x:f>
        <x:v>FREIGEGEBEN</x:v>
      </x:c>
      <x:c r="P644" s="36" t="str">
        <x:f>FRAGEN_MASTER!AI644</x:f>
        <x:v>FREIGEGEBEN</x:v>
      </x:c>
      <x:c r="Q644" s="36" t="str">
        <x:f>FRAGEN_MASTER!AL644</x:f>
        <x:v>JA</x:v>
      </x:c>
    </x:row>
    <x:row r="645">
      <x:c r="A645" s="36" t="str">
        <x:f>FRAGEN_MASTER!A645</x:f>
        <x:v>FP-0904</x:v>
      </x:c>
      <x:c r="B645" s="36" t="str">
        <x:f>FRAGEN_MASTER!B645</x:f>
        <x:v>ROM</x:v>
      </x:c>
      <x:c r="C645" s="36" t="str">
        <x:f>FRAGEN_MASTER!C645</x:f>
        <x:v>Römer</x:v>
      </x:c>
      <x:c r="D645" s="36" t="n">
        <x:f>FRAGEN_MASTER!D645</x:f>
        <x:v>12</x:v>
      </x:c>
      <x:c r="E645" s="36" t="n">
        <x:f>FRAGEN_MASTER!E645</x:f>
        <x:v>4</x:v>
      </x:c>
      <x:c r="F645" s="36" t="str">
        <x:f>FRAGEN_MASTER!Q645</x:f>
        <x:v>Wie sollen Glaubende auf Verfolgung und Konflikt reagieren?</x:v>
      </x:c>
      <x:c r="G645" s="36" t="str">
        <x:f>FRAGEN_MASTER!R645</x:f>
        <x:v>Segnen statt fluchen und, soweit möglich, mit allen Menschen Frieden halten.</x:v>
      </x:c>
      <x:c r="H645" s="36" t="str">
        <x:f>FRAGEN_MASTER!S645</x:f>
        <x:v>Sofort Vergeltung suchen.</x:v>
      </x:c>
      <x:c r="I645" s="36" t="str">
        <x:f>FRAGEN_MASTER!T645</x:f>
        <x:v>Jeden Kontakt abbrechen.</x:v>
      </x:c>
      <x:c r="J645" s="36" t="str">
        <x:f>FRAGEN_MASTER!U645</x:f>
        <x:v>Nur Gleichgesinnte respektieren.</x:v>
      </x:c>
      <x:c r="K645" s="36" t="n">
        <x:f>FRAGEN_MASTER!V645</x:f>
        <x:v>0</x:v>
      </x:c>
      <x:c r="L645" s="36" t="str">
        <x:f>FRAGEN_MASTER!W645</x:f>
        <x:v>Segnen statt fluchen und, soweit möglich, mit allen Menschen Frieden halten.</x:v>
      </x:c>
      <x:c r="M645" s="36" t="str">
        <x:f>FRAGEN_MASTER!X645</x:f>
        <x:v>Römer 12,14–18</x:v>
      </x:c>
      <x:c r="N645" s="36" t="str">
        <x:f>FRAGEN_MASTER!Y645</x:f>
        <x:v>Paulus verbindet Segen gegenüber Verfolgern mit Empathie, Demut und Friedfertigkeit.</x:v>
      </x:c>
      <x:c r="O645" s="36" t="str">
        <x:f>FRAGEN_MASTER!AG645</x:f>
        <x:v>FREIGEGEBEN</x:v>
      </x:c>
      <x:c r="P645" s="36" t="str">
        <x:f>FRAGEN_MASTER!AI645</x:f>
        <x:v>FREIGEGEBEN</x:v>
      </x:c>
      <x:c r="Q645" s="36" t="str">
        <x:f>FRAGEN_MASTER!AL645</x:f>
        <x:v>JA</x:v>
      </x:c>
    </x:row>
    <x:row r="646">
      <x:c r="A646" s="36" t="str">
        <x:f>FRAGEN_MASTER!A646</x:f>
        <x:v>FP-0905</x:v>
      </x:c>
      <x:c r="B646" s="36" t="str">
        <x:f>FRAGEN_MASTER!B646</x:f>
        <x:v>ROM</x:v>
      </x:c>
      <x:c r="C646" s="36" t="str">
        <x:f>FRAGEN_MASTER!C646</x:f>
        <x:v>Römer</x:v>
      </x:c>
      <x:c r="D646" s="36" t="n">
        <x:f>FRAGEN_MASTER!D646</x:f>
        <x:v>12</x:v>
      </x:c>
      <x:c r="E646" s="36" t="n">
        <x:f>FRAGEN_MASTER!E646</x:f>
        <x:v>5</x:v>
      </x:c>
      <x:c r="F646" s="36" t="str">
        <x:f>FRAGEN_MASTER!Q646</x:f>
        <x:v>Wie soll nach Paulus das Böse überwunden werden?</x:v>
      </x:c>
      <x:c r="G646" s="36" t="str">
        <x:f>FRAGEN_MASTER!R646</x:f>
        <x:v>Durch stärkere Vergeltung.</x:v>
      </x:c>
      <x:c r="H646" s="36" t="str">
        <x:f>FRAGEN_MASTER!S646</x:f>
        <x:v>Durch das Gute.</x:v>
      </x:c>
      <x:c r="I646" s="36" t="str">
        <x:f>FRAGEN_MASTER!T646</x:f>
        <x:v>Durch Gleichgültigkeit.</x:v>
      </x:c>
      <x:c r="J646" s="36" t="str">
        <x:f>FRAGEN_MASTER!U646</x:f>
        <x:v>Durch vollständigen Rückzug.</x:v>
      </x:c>
      <x:c r="K646" s="36" t="n">
        <x:f>FRAGEN_MASTER!V646</x:f>
        <x:v>1</x:v>
      </x:c>
      <x:c r="L646" s="36" t="str">
        <x:f>FRAGEN_MASTER!W646</x:f>
        <x:v>Durch das Gute.</x:v>
      </x:c>
      <x:c r="M646" s="36" t="str">
        <x:f>FRAGEN_MASTER!X646</x:f>
        <x:v>Römer 12,19–21</x:v>
      </x:c>
      <x:c r="N646" s="36" t="str">
        <x:f>FRAGEN_MASTER!Y646</x:f>
        <x:v>Paulus verbietet persönliche Rache, fordert Fürsorge sogar für Feinde und schließt mit der Überwindung des Bösen durch das Gute.</x:v>
      </x:c>
      <x:c r="O646" s="36" t="str">
        <x:f>FRAGEN_MASTER!AG646</x:f>
        <x:v>FREIGEGEBEN</x:v>
      </x:c>
      <x:c r="P646" s="36" t="str">
        <x:f>FRAGEN_MASTER!AI646</x:f>
        <x:v>FREIGEGEBEN</x:v>
      </x:c>
      <x:c r="Q646" s="36" t="str">
        <x:f>FRAGEN_MASTER!AL646</x:f>
        <x:v>JA</x:v>
      </x:c>
    </x:row>
    <x:row r="647">
      <x:c r="A647" s="36" t="str">
        <x:f>FRAGEN_MASTER!A647</x:f>
        <x:v>FP-0906</x:v>
      </x:c>
      <x:c r="B647" s="36" t="str">
        <x:f>FRAGEN_MASTER!B647</x:f>
        <x:v>ROM</x:v>
      </x:c>
      <x:c r="C647" s="36" t="str">
        <x:f>FRAGEN_MASTER!C647</x:f>
        <x:v>Römer</x:v>
      </x:c>
      <x:c r="D647" s="36" t="n">
        <x:f>FRAGEN_MASTER!D647</x:f>
        <x:v>13</x:v>
      </x:c>
      <x:c r="E647" s="36" t="n">
        <x:f>FRAGEN_MASTER!E647</x:f>
        <x:v>1</x:v>
      </x:c>
      <x:c r="F647" s="36" t="str">
        <x:f>FRAGEN_MASTER!Q647</x:f>
        <x:v>Wie begründet Paulus grundsätzlich die Unterordnung unter staatliche Autoritäten?</x:v>
      </x:c>
      <x:c r="G647" s="36" t="str">
        <x:f>FRAGEN_MASTER!R647</x:f>
        <x:v>Jede Regierung ist in allem automatisch moralisch richtig.</x:v>
      </x:c>
      <x:c r="H647" s="36" t="str">
        <x:f>FRAGEN_MASTER!S647</x:f>
        <x:v>Christen dürfen staatliche Ordnung nie kritisch beurteilen.</x:v>
      </x:c>
      <x:c r="I647" s="36" t="str">
        <x:f>FRAGEN_MASTER!T647</x:f>
        <x:v>Autorität steht unter Gottes Ordnung und soll dem Guten dienen und Böses begrenzen.</x:v>
      </x:c>
      <x:c r="J647" s="36" t="str">
        <x:f>FRAGEN_MASTER!U647</x:f>
        <x:v>Nur römische Bürger müssen sich Behörden unterordnen.</x:v>
      </x:c>
      <x:c r="K647" s="36" t="n">
        <x:f>FRAGEN_MASTER!V647</x:f>
        <x:v>2</x:v>
      </x:c>
      <x:c r="L647" s="36" t="str">
        <x:f>FRAGEN_MASTER!W647</x:f>
        <x:v>Autorität steht unter Gottes Ordnung und soll dem Guten dienen und Böses begrenzen.</x:v>
      </x:c>
      <x:c r="M647" s="36" t="str">
        <x:f>FRAGEN_MASTER!X647</x:f>
        <x:v>Römer 13,1–4</x:v>
      </x:c>
      <x:c r="N647" s="36" t="str">
        <x:f>FRAGEN_MASTER!Y647</x:f>
        <x:v>Paulus beschreibt staatliche Autorität als in Gottes Ordnung stehend und mit einer Funktion gegenüber Gut und Böse.</x:v>
      </x:c>
      <x:c r="O647" s="36" t="str">
        <x:f>FRAGEN_MASTER!AG647</x:f>
        <x:v>FREIGEGEBEN</x:v>
      </x:c>
      <x:c r="P647" s="36" t="str">
        <x:f>FRAGEN_MASTER!AI647</x:f>
        <x:v>FREIGEGEBEN</x:v>
      </x:c>
      <x:c r="Q647" s="36" t="str">
        <x:f>FRAGEN_MASTER!AL647</x:f>
        <x:v>JA</x:v>
      </x:c>
    </x:row>
    <x:row r="648">
      <x:c r="A648" s="36" t="str">
        <x:f>FRAGEN_MASTER!A648</x:f>
        <x:v>FP-0907</x:v>
      </x:c>
      <x:c r="B648" s="36" t="str">
        <x:f>FRAGEN_MASTER!B648</x:f>
        <x:v>ROM</x:v>
      </x:c>
      <x:c r="C648" s="36" t="str">
        <x:f>FRAGEN_MASTER!C648</x:f>
        <x:v>Römer</x:v>
      </x:c>
      <x:c r="D648" s="36" t="n">
        <x:f>FRAGEN_MASTER!D648</x:f>
        <x:v>13</x:v>
      </x:c>
      <x:c r="E648" s="36" t="n">
        <x:f>FRAGEN_MASTER!E648</x:f>
        <x:v>2</x:v>
      </x:c>
      <x:c r="F648" s="36" t="str">
        <x:f>FRAGEN_MASTER!Q648</x:f>
        <x:v>Warum nennt Paulus neben möglicher Strafe auch das Gewissen als Grund für Unterordnung und Abgaben?</x:v>
      </x:c>
      <x:c r="G648" s="36" t="str">
        <x:f>FRAGEN_MASTER!R648</x:f>
        <x:v>Weil Steuern freiwillig sind.</x:v>
      </x:c>
      <x:c r="H648" s="36" t="str">
        <x:f>FRAGEN_MASTER!S648</x:f>
        <x:v>Weil nur Priester ein Gewissen besitzen.</x:v>
      </x:c>
      <x:c r="I648" s="36" t="str">
        <x:f>FRAGEN_MASTER!T648</x:f>
        <x:v>Weil staatliche Autorität nie Fehler machen kann.</x:v>
      </x:c>
      <x:c r="J648" s="36" t="str">
        <x:f>FRAGEN_MASTER!U648</x:f>
        <x:v>Weil Gehorsam nicht nur aus Angst, sondern auch aus innerer Verantwortung erfolgen soll.</x:v>
      </x:c>
      <x:c r="K648" s="36" t="n">
        <x:f>FRAGEN_MASTER!V648</x:f>
        <x:v>3</x:v>
      </x:c>
      <x:c r="L648" s="36" t="str">
        <x:f>FRAGEN_MASTER!W648</x:f>
        <x:v>Weil Gehorsam nicht nur aus Angst, sondern auch aus innerer Verantwortung erfolgen soll.</x:v>
      </x:c>
      <x:c r="M648" s="36" t="str">
        <x:f>FRAGEN_MASTER!X648</x:f>
        <x:v>Römer 13,5–7</x:v>
      </x:c>
      <x:c r="N648" s="36" t="str">
        <x:f>FRAGEN_MASTER!Y648</x:f>
        <x:v>Paulus verbindet Unterordnung mit Gewissensverantwortung und nennt Steuern, Abgaben, Respekt und Ehre.</x:v>
      </x:c>
      <x:c r="O648" s="36" t="str">
        <x:f>FRAGEN_MASTER!AG648</x:f>
        <x:v>FREIGEGEBEN</x:v>
      </x:c>
      <x:c r="P648" s="36" t="str">
        <x:f>FRAGEN_MASTER!AI648</x:f>
        <x:v>FREIGEGEBEN</x:v>
      </x:c>
      <x:c r="Q648" s="36" t="str">
        <x:f>FRAGEN_MASTER!AL648</x:f>
        <x:v>JA</x:v>
      </x:c>
    </x:row>
    <x:row r="649">
      <x:c r="A649" s="36" t="str">
        <x:f>FRAGEN_MASTER!A649</x:f>
        <x:v>FP-0908</x:v>
      </x:c>
      <x:c r="B649" s="36" t="str">
        <x:f>FRAGEN_MASTER!B649</x:f>
        <x:v>ROM</x:v>
      </x:c>
      <x:c r="C649" s="36" t="str">
        <x:f>FRAGEN_MASTER!C649</x:f>
        <x:v>Römer</x:v>
      </x:c>
      <x:c r="D649" s="36" t="n">
        <x:f>FRAGEN_MASTER!D649</x:f>
        <x:v>13</x:v>
      </x:c>
      <x:c r="E649" s="36" t="n">
        <x:f>FRAGEN_MASTER!E649</x:f>
        <x:v>3</x:v>
      </x:c>
      <x:c r="F649" s="36" t="str">
        <x:f>FRAGEN_MASTER!Q649</x:f>
        <x:v>Welche Schuld soll nach Paulus immer bestehen bleiben?</x:v>
      </x:c>
      <x:c r="G649" s="36" t="str">
        <x:f>FRAGEN_MASTER!R649</x:f>
        <x:v>Die Verpflichtung, einander zu lieben.</x:v>
      </x:c>
      <x:c r="H649" s="36" t="str">
        <x:f>FRAGEN_MASTER!S649</x:f>
        <x:v>Die Pflicht, Geld zu leihen.</x:v>
      </x:c>
      <x:c r="I649" s="36" t="str">
        <x:f>FRAGEN_MASTER!T649</x:f>
        <x:v>Die Schuld gegenüber dem Kaiser allein.</x:v>
      </x:c>
      <x:c r="J649" s="36" t="str">
        <x:f>FRAGEN_MASTER!U649</x:f>
        <x:v>Die Pflicht zu Tempelopfern.</x:v>
      </x:c>
      <x:c r="K649" s="36" t="n">
        <x:f>FRAGEN_MASTER!V649</x:f>
        <x:v>0</x:v>
      </x:c>
      <x:c r="L649" s="36" t="str">
        <x:f>FRAGEN_MASTER!W649</x:f>
        <x:v>Die Verpflichtung, einander zu lieben.</x:v>
      </x:c>
      <x:c r="M649" s="36" t="str">
        <x:f>FRAGEN_MASTER!X649</x:f>
        <x:v>Römer 13,8–10</x:v>
      </x:c>
      <x:c r="N649" s="36" t="str">
        <x:f>FRAGEN_MASTER!Y649</x:f>
        <x:v>Paulus beschreibt Liebe als Erfüllung des Gesetzes, weil sie dem Nächsten nichts Böses tut.</x:v>
      </x:c>
      <x:c r="O649" s="36" t="str">
        <x:f>FRAGEN_MASTER!AG649</x:f>
        <x:v>FREIGEGEBEN</x:v>
      </x:c>
      <x:c r="P649" s="36" t="str">
        <x:f>FRAGEN_MASTER!AI649</x:f>
        <x:v>FREIGEGEBEN</x:v>
      </x:c>
      <x:c r="Q649" s="36" t="str">
        <x:f>FRAGEN_MASTER!AL649</x:f>
        <x:v>JA</x:v>
      </x:c>
    </x:row>
    <x:row r="650">
      <x:c r="A650" s="36" t="str">
        <x:f>FRAGEN_MASTER!A650</x:f>
        <x:v>FP-0909</x:v>
      </x:c>
      <x:c r="B650" s="36" t="str">
        <x:f>FRAGEN_MASTER!B650</x:f>
        <x:v>ROM</x:v>
      </x:c>
      <x:c r="C650" s="36" t="str">
        <x:f>FRAGEN_MASTER!C650</x:f>
        <x:v>Römer</x:v>
      </x:c>
      <x:c r="D650" s="36" t="n">
        <x:f>FRAGEN_MASTER!D650</x:f>
        <x:v>13</x:v>
      </x:c>
      <x:c r="E650" s="36" t="n">
        <x:f>FRAGEN_MASTER!E650</x:f>
        <x:v>4</x:v>
      </x:c>
      <x:c r="F650" s="36" t="str">
        <x:f>FRAGEN_MASTER!Q650</x:f>
        <x:v>Welche Haltung leitet Paulus aus der Nähe des kommenden Tages ab?</x:v>
      </x:c>
      <x:c r="G650" s="36" t="str">
        <x:f>FRAGEN_MASTER!R650</x:f>
        <x:v>Alle Arbeit einzustellen.</x:v>
      </x:c>
      <x:c r="H650" s="36" t="str">
        <x:f>FRAGEN_MASTER!S650</x:f>
        <x:v>Aus dem Schlaf aufzuwachen, Werke der Finsternis abzulegen und Waffen des Lichts anzuziehen.</x:v>
      </x:c>
      <x:c r="I650" s="36" t="str">
        <x:f>FRAGEN_MASTER!T650</x:f>
        <x:v>Den genauen Tag zu berechnen.</x:v>
      </x:c>
      <x:c r="J650" s="36" t="str">
        <x:f>FRAGEN_MASTER!U650</x:f>
        <x:v>Rom sofort zu verlassen.</x:v>
      </x:c>
      <x:c r="K650" s="36" t="n">
        <x:f>FRAGEN_MASTER!V650</x:f>
        <x:v>1</x:v>
      </x:c>
      <x:c r="L650" s="36" t="str">
        <x:f>FRAGEN_MASTER!W650</x:f>
        <x:v>Aus dem Schlaf aufzuwachen, Werke der Finsternis abzulegen und Waffen des Lichts anzuziehen.</x:v>
      </x:c>
      <x:c r="M650" s="36" t="str">
        <x:f>FRAGEN_MASTER!X650</x:f>
        <x:v>Römer 13,11–12</x:v>
      </x:c>
      <x:c r="N650" s="36" t="str">
        <x:f>FRAGEN_MASTER!Y650</x:f>
        <x:v>Paulus verwendet Nacht und Tag als Bild für wache, erneuerte Lebensführung.</x:v>
      </x:c>
      <x:c r="O650" s="36" t="str">
        <x:f>FRAGEN_MASTER!AG650</x:f>
        <x:v>FREIGEGEBEN</x:v>
      </x:c>
      <x:c r="P650" s="36" t="str">
        <x:f>FRAGEN_MASTER!AI650</x:f>
        <x:v>FREIGEGEBEN</x:v>
      </x:c>
      <x:c r="Q650" s="36" t="str">
        <x:f>FRAGEN_MASTER!AL650</x:f>
        <x:v>JA</x:v>
      </x:c>
    </x:row>
    <x:row r="651">
      <x:c r="A651" s="36" t="str">
        <x:f>FRAGEN_MASTER!A651</x:f>
        <x:v>FP-0910</x:v>
      </x:c>
      <x:c r="B651" s="36" t="str">
        <x:f>FRAGEN_MASTER!B651</x:f>
        <x:v>ROM</x:v>
      </x:c>
      <x:c r="C651" s="36" t="str">
        <x:f>FRAGEN_MASTER!C651</x:f>
        <x:v>Römer</x:v>
      </x:c>
      <x:c r="D651" s="36" t="n">
        <x:f>FRAGEN_MASTER!D651</x:f>
        <x:v>13</x:v>
      </x:c>
      <x:c r="E651" s="36" t="n">
        <x:f>FRAGEN_MASTER!E651</x:f>
        <x:v>5</x:v>
      </x:c>
      <x:c r="F651" s="36" t="str">
        <x:f>FRAGEN_MASTER!Q651</x:f>
        <x:v>Wie fasst Paulus die positive Alternative zu einem ungeordneten Lebensstil zusammen?</x:v>
      </x:c>
      <x:c r="G651" s="36" t="str">
        <x:f>FRAGEN_MASTER!R651</x:f>
        <x:v>Möglichst streng über andere zu urteilen.</x:v>
      </x:c>
      <x:c r="H651" s="36" t="str">
        <x:f>FRAGEN_MASTER!S651</x:f>
        <x:v>Nur äußerlich religiös zu erscheinen.</x:v>
      </x:c>
      <x:c r="I651" s="36" t="str">
        <x:f>FRAGEN_MASTER!T651</x:f>
        <x:v>Den Herrn Jesus Christus anzuziehen und den Begierden des Fleisches keinen Raum zu geben.</x:v>
      </x:c>
      <x:c r="J651" s="36" t="str">
        <x:f>FRAGEN_MASTER!U651</x:f>
        <x:v>Jede Freude zu vermeiden.</x:v>
      </x:c>
      <x:c r="K651" s="36" t="n">
        <x:f>FRAGEN_MASTER!V651</x:f>
        <x:v>2</x:v>
      </x:c>
      <x:c r="L651" s="36" t="str">
        <x:f>FRAGEN_MASTER!W651</x:f>
        <x:v>Den Herrn Jesus Christus anzuziehen und den Begierden des Fleisches keinen Raum zu geben.</x:v>
      </x:c>
      <x:c r="M651" s="36" t="str">
        <x:f>FRAGEN_MASTER!X651</x:f>
        <x:v>Römer 13,13–14</x:v>
      </x:c>
      <x:c r="N651" s="36" t="str">
        <x:f>FRAGEN_MASTER!Y651</x:f>
        <x:v>Paulus stellt einem Leben in Ausschweifung und Streit das bewusste Anziehen Christi gegenüber.</x:v>
      </x:c>
      <x:c r="O651" s="36" t="str">
        <x:f>FRAGEN_MASTER!AG651</x:f>
        <x:v>FREIGEGEBEN</x:v>
      </x:c>
      <x:c r="P651" s="36" t="str">
        <x:f>FRAGEN_MASTER!AI651</x:f>
        <x:v>FREIGEGEBEN</x:v>
      </x:c>
      <x:c r="Q651" s="36" t="str">
        <x:f>FRAGEN_MASTER!AL651</x:f>
        <x:v>JA</x:v>
      </x:c>
    </x:row>
    <x:row r="652">
      <x:c r="A652" s="36" t="str">
        <x:f>FRAGEN_MASTER!A652</x:f>
        <x:v>FP-0911</x:v>
      </x:c>
      <x:c r="B652" s="36" t="str">
        <x:f>FRAGEN_MASTER!B652</x:f>
        <x:v>ROM</x:v>
      </x:c>
      <x:c r="C652" s="36" t="str">
        <x:f>FRAGEN_MASTER!C652</x:f>
        <x:v>Römer</x:v>
      </x:c>
      <x:c r="D652" s="36" t="n">
        <x:f>FRAGEN_MASTER!D652</x:f>
        <x:v>14</x:v>
      </x:c>
      <x:c r="E652" s="36" t="n">
        <x:f>FRAGEN_MASTER!E652</x:f>
        <x:v>1</x:v>
      </x:c>
      <x:c r="F652" s="36" t="str">
        <x:f>FRAGEN_MASTER!Q652</x:f>
        <x:v>Wie sollen Glaubende mit unterschiedlichen Überzeugungen über Essen umgehen?</x:v>
      </x:c>
      <x:c r="G652" s="36" t="str">
        <x:f>FRAGEN_MASTER!R652</x:f>
        <x:v>Die stärkere Gruppe soll die schwächere ausschließen.</x:v>
      </x:c>
      <x:c r="H652" s="36" t="str">
        <x:f>FRAGEN_MASTER!S652</x:f>
        <x:v>Alle müssen dieselbe Speiseordnung übernehmen.</x:v>
      </x:c>
      <x:c r="I652" s="36" t="str">
        <x:f>FRAGEN_MASTER!T652</x:f>
        <x:v>Nur Paulus darf darüber entscheiden.</x:v>
      </x:c>
      <x:c r="J652" s="36" t="str">
        <x:f>FRAGEN_MASTER!U652</x:f>
        <x:v>Sie sollen einander annehmen und weder verachten noch richten.</x:v>
      </x:c>
      <x:c r="K652" s="36" t="n">
        <x:f>FRAGEN_MASTER!V652</x:f>
        <x:v>3</x:v>
      </x:c>
      <x:c r="L652" s="36" t="str">
        <x:f>FRAGEN_MASTER!W652</x:f>
        <x:v>Sie sollen einander annehmen und weder verachten noch richten.</x:v>
      </x:c>
      <x:c r="M652" s="36" t="str">
        <x:f>FRAGEN_MASTER!X652</x:f>
        <x:v>Römer 14,1–4</x:v>
      </x:c>
      <x:c r="N652" s="36" t="str">
        <x:f>FRAGEN_MASTER!Y652</x:f>
        <x:v>Paulus fordert Annahme statt Streit über Meinungsfragen und erinnert daran, dass jeder seinem Herrn verantwortlich ist.</x:v>
      </x:c>
      <x:c r="O652" s="36" t="str">
        <x:f>FRAGEN_MASTER!AG652</x:f>
        <x:v>FREIGEGEBEN</x:v>
      </x:c>
      <x:c r="P652" s="36" t="str">
        <x:f>FRAGEN_MASTER!AI652</x:f>
        <x:v>FREIGEGEBEN</x:v>
      </x:c>
      <x:c r="Q652" s="36" t="str">
        <x:f>FRAGEN_MASTER!AL652</x:f>
        <x:v>JA</x:v>
      </x:c>
    </x:row>
    <x:row r="653">
      <x:c r="A653" s="36" t="str">
        <x:f>FRAGEN_MASTER!A653</x:f>
        <x:v>FP-0912</x:v>
      </x:c>
      <x:c r="B653" s="36" t="str">
        <x:f>FRAGEN_MASTER!B653</x:f>
        <x:v>ROM</x:v>
      </x:c>
      <x:c r="C653" s="36" t="str">
        <x:f>FRAGEN_MASTER!C653</x:f>
        <x:v>Römer</x:v>
      </x:c>
      <x:c r="D653" s="36" t="n">
        <x:f>FRAGEN_MASTER!D653</x:f>
        <x:v>14</x:v>
      </x:c>
      <x:c r="E653" s="36" t="n">
        <x:f>FRAGEN_MASTER!E653</x:f>
        <x:v>2</x:v>
      </x:c>
      <x:c r="F653" s="36" t="str">
        <x:f>FRAGEN_MASTER!Q653</x:f>
        <x:v>Welches Prinzip nennt Paulus bei unterschiedlichen Bewertungen von Tagen und Speisen?</x:v>
      </x:c>
      <x:c r="G653" s="36" t="str">
        <x:f>FRAGEN_MASTER!R653</x:f>
        <x:v>Jeder soll in seiner eigenen Überzeugung gewiss sein und das, was er tut, für den Herrn tun.</x:v>
      </x:c>
      <x:c r="H653" s="36" t="str">
        <x:f>FRAGEN_MASTER!S653</x:f>
        <x:v>Nur ein bestimmter Tag darf beachtet werden.</x:v>
      </x:c>
      <x:c r="I653" s="36" t="str">
        <x:f>FRAGEN_MASTER!T653</x:f>
        <x:v>Unterschiedliche Gewissensentscheidungen sind nie erlaubt.</x:v>
      </x:c>
      <x:c r="J653" s="36" t="str">
        <x:f>FRAGEN_MASTER!U653</x:f>
        <x:v>Essen und Tage haben keinerlei Bezug zum Glauben.</x:v>
      </x:c>
      <x:c r="K653" s="36" t="n">
        <x:f>FRAGEN_MASTER!V653</x:f>
        <x:v>0</x:v>
      </x:c>
      <x:c r="L653" s="36" t="str">
        <x:f>FRAGEN_MASTER!W653</x:f>
        <x:v>Jeder soll in seiner eigenen Überzeugung gewiss sein und das, was er tut, für den Herrn tun.</x:v>
      </x:c>
      <x:c r="M653" s="36" t="str">
        <x:f>FRAGEN_MASTER!X653</x:f>
        <x:v>Römer 14,5–9</x:v>
      </x:c>
      <x:c r="N653" s="36" t="str">
        <x:f>FRAGEN_MASTER!Y653</x:f>
        <x:v>Paulus richtet den Blick von der jeweiligen Praxis auf die Ausrichtung auf den Herrn.</x:v>
      </x:c>
      <x:c r="O653" s="36" t="str">
        <x:f>FRAGEN_MASTER!AG653</x:f>
        <x:v>FREIGEGEBEN</x:v>
      </x:c>
      <x:c r="P653" s="36" t="str">
        <x:f>FRAGEN_MASTER!AI653</x:f>
        <x:v>FREIGEGEBEN</x:v>
      </x:c>
      <x:c r="Q653" s="36" t="str">
        <x:f>FRAGEN_MASTER!AL653</x:f>
        <x:v>JA</x:v>
      </x:c>
    </x:row>
    <x:row r="654">
      <x:c r="A654" s="36" t="str">
        <x:f>FRAGEN_MASTER!A654</x:f>
        <x:v>FP-0913</x:v>
      </x:c>
      <x:c r="B654" s="36" t="str">
        <x:f>FRAGEN_MASTER!B654</x:f>
        <x:v>ROM</x:v>
      </x:c>
      <x:c r="C654" s="36" t="str">
        <x:f>FRAGEN_MASTER!C654</x:f>
        <x:v>Römer</x:v>
      </x:c>
      <x:c r="D654" s="36" t="n">
        <x:f>FRAGEN_MASTER!D654</x:f>
        <x:v>14</x:v>
      </x:c>
      <x:c r="E654" s="36" t="n">
        <x:f>FRAGEN_MASTER!E654</x:f>
        <x:v>3</x:v>
      </x:c>
      <x:c r="F654" s="36" t="str">
        <x:f>FRAGEN_MASTER!Q654</x:f>
        <x:v>Warum sollen Glaubende einander nicht richten oder verachten?</x:v>
      </x:c>
      <x:c r="G654" s="36" t="str">
        <x:f>FRAGEN_MASTER!R654</x:f>
        <x:v>Weil Verhalten niemals beurteilt werden kann.</x:v>
      </x:c>
      <x:c r="H654" s="36" t="str">
        <x:f>FRAGEN_MASTER!S654</x:f>
        <x:v>Weil alle vor Gottes Richterstuhl stehen und jeder für sich Rechenschaft geben wird.</x:v>
      </x:c>
      <x:c r="I654" s="36" t="str">
        <x:f>FRAGEN_MASTER!T654</x:f>
        <x:v>Weil nur Apostel Rechenschaft geben müssen.</x:v>
      </x:c>
      <x:c r="J654" s="36" t="str">
        <x:f>FRAGEN_MASTER!U654</x:f>
        <x:v>Weil es keine Verantwortung vor Gott gibt.</x:v>
      </x:c>
      <x:c r="K654" s="36" t="n">
        <x:f>FRAGEN_MASTER!V654</x:f>
        <x:v>1</x:v>
      </x:c>
      <x:c r="L654" s="36" t="str">
        <x:f>FRAGEN_MASTER!W654</x:f>
        <x:v>Weil alle vor Gottes Richterstuhl stehen und jeder für sich Rechenschaft geben wird.</x:v>
      </x:c>
      <x:c r="M654" s="36" t="str">
        <x:f>FRAGEN_MASTER!X654</x:f>
        <x:v>Römer 14,10–13</x:v>
      </x:c>
      <x:c r="N654" s="36" t="str">
        <x:f>FRAGEN_MASTER!Y654</x:f>
        <x:v>Paulus verlagert die letzte Beurteilung auf Gott und fordert stattdessen, dem Bruder keinen Anstoß zu bereiten.</x:v>
      </x:c>
      <x:c r="O654" s="36" t="str">
        <x:f>FRAGEN_MASTER!AG654</x:f>
        <x:v>FREIGEGEBEN</x:v>
      </x:c>
      <x:c r="P654" s="36" t="str">
        <x:f>FRAGEN_MASTER!AI654</x:f>
        <x:v>FREIGEGEBEN</x:v>
      </x:c>
      <x:c r="Q654" s="36" t="str">
        <x:f>FRAGEN_MASTER!AL654</x:f>
        <x:v>JA</x:v>
      </x:c>
    </x:row>
    <x:row r="655">
      <x:c r="A655" s="36" t="str">
        <x:f>FRAGEN_MASTER!A655</x:f>
        <x:v>FP-0914</x:v>
      </x:c>
      <x:c r="B655" s="36" t="str">
        <x:f>FRAGEN_MASTER!B655</x:f>
        <x:v>ROM</x:v>
      </x:c>
      <x:c r="C655" s="36" t="str">
        <x:f>FRAGEN_MASTER!C655</x:f>
        <x:v>Römer</x:v>
      </x:c>
      <x:c r="D655" s="36" t="n">
        <x:f>FRAGEN_MASTER!D655</x:f>
        <x:v>14</x:v>
      </x:c>
      <x:c r="E655" s="36" t="n">
        <x:f>FRAGEN_MASTER!E655</x:f>
        <x:v>4</x:v>
      </x:c>
      <x:c r="F655" s="36" t="str">
        <x:f>FRAGEN_MASTER!Q655</x:f>
        <x:v>Was ist wichtiger als Essen und Trinken im Reich Gottes?</x:v>
      </x:c>
      <x:c r="G655" s="36" t="str">
        <x:f>FRAGEN_MASTER!R655</x:f>
        <x:v>Möglichst strenge Speiseregeln.</x:v>
      </x:c>
      <x:c r="H655" s="36" t="str">
        <x:f>FRAGEN_MASTER!S655</x:f>
        <x:v>Die öffentliche Durchsetzung der eigenen Meinung.</x:v>
      </x:c>
      <x:c r="I655" s="36" t="str">
        <x:f>FRAGEN_MASTER!T655</x:f>
        <x:v>Gerechtigkeit, Frieden und Freude im Heiligen Geist.</x:v>
      </x:c>
      <x:c r="J655" s="36" t="str">
        <x:f>FRAGEN_MASTER!U655</x:f>
        <x:v>Der Verzicht auf jede Mahlzeit.</x:v>
      </x:c>
      <x:c r="K655" s="36" t="n">
        <x:f>FRAGEN_MASTER!V655</x:f>
        <x:v>2</x:v>
      </x:c>
      <x:c r="L655" s="36" t="str">
        <x:f>FRAGEN_MASTER!W655</x:f>
        <x:v>Gerechtigkeit, Frieden und Freude im Heiligen Geist.</x:v>
      </x:c>
      <x:c r="M655" s="36" t="str">
        <x:f>FRAGEN_MASTER!X655</x:f>
        <x:v>Römer 14,14–18</x:v>
      </x:c>
      <x:c r="N655" s="36" t="str">
        <x:f>FRAGEN_MASTER!Y655</x:f>
        <x:v>Paulus relativiert Streitfragen um Speise gegenüber den zentralen Wirklichkeiten von Gottes Reich.</x:v>
      </x:c>
      <x:c r="O655" s="36" t="str">
        <x:f>FRAGEN_MASTER!AG655</x:f>
        <x:v>FREIGEGEBEN</x:v>
      </x:c>
      <x:c r="P655" s="36" t="str">
        <x:f>FRAGEN_MASTER!AI655</x:f>
        <x:v>FREIGEGEBEN</x:v>
      </x:c>
      <x:c r="Q655" s="36" t="str">
        <x:f>FRAGEN_MASTER!AL655</x:f>
        <x:v>JA</x:v>
      </x:c>
    </x:row>
    <x:row r="656">
      <x:c r="A656" s="36" t="str">
        <x:f>FRAGEN_MASTER!A656</x:f>
        <x:v>FP-0915</x:v>
      </x:c>
      <x:c r="B656" s="36" t="str">
        <x:f>FRAGEN_MASTER!B656</x:f>
        <x:v>ROM</x:v>
      </x:c>
      <x:c r="C656" s="36" t="str">
        <x:f>FRAGEN_MASTER!C656</x:f>
        <x:v>Römer</x:v>
      </x:c>
      <x:c r="D656" s="36" t="n">
        <x:f>FRAGEN_MASTER!D656</x:f>
        <x:v>14</x:v>
      </x:c>
      <x:c r="E656" s="36" t="n">
        <x:f>FRAGEN_MASTER!E656</x:f>
        <x:v>5</x:v>
      </x:c>
      <x:c r="F656" s="36" t="str">
        <x:f>FRAGEN_MASTER!Q656</x:f>
        <x:v>Wonach sollen Glaubende in strittigen Gewissensfragen besonders streben?</x:v>
      </x:c>
      <x:c r="G656" s="36" t="str">
        <x:f>FRAGEN_MASTER!R656</x:f>
        <x:v>Nach dem Sieg der eigenen Meinung.</x:v>
      </x:c>
      <x:c r="H656" s="36" t="str">
        <x:f>FRAGEN_MASTER!S656</x:f>
        <x:v>Nach möglichst vielen öffentlichen Debatten.</x:v>
      </x:c>
      <x:c r="I656" s="36" t="str">
        <x:f>FRAGEN_MASTER!T656</x:f>
        <x:v>Danach, das Gewissen anderer zu ignorieren.</x:v>
      </x:c>
      <x:c r="J656" s="36" t="str">
        <x:f>FRAGEN_MASTER!U656</x:f>
        <x:v>Nach dem, was Frieden und gegenseitige Erbauung fördert.</x:v>
      </x:c>
      <x:c r="K656" s="36" t="n">
        <x:f>FRAGEN_MASTER!V656</x:f>
        <x:v>3</x:v>
      </x:c>
      <x:c r="L656" s="36" t="str">
        <x:f>FRAGEN_MASTER!W656</x:f>
        <x:v>Nach dem, was Frieden und gegenseitige Erbauung fördert.</x:v>
      </x:c>
      <x:c r="M656" s="36" t="str">
        <x:f>FRAGEN_MASTER!X656</x:f>
        <x:v>Römer 14,19–23</x:v>
      </x:c>
      <x:c r="N656" s="36" t="str">
        <x:f>FRAGEN_MASTER!Y656</x:f>
        <x:v>Paulus fordert dazu auf, die Gemeinschaft nicht wegen Essen zu zerstören und das Gewissen ernst zu nehmen.</x:v>
      </x:c>
      <x:c r="O656" s="36" t="str">
        <x:f>FRAGEN_MASTER!AG656</x:f>
        <x:v>FREIGEGEBEN</x:v>
      </x:c>
      <x:c r="P656" s="36" t="str">
        <x:f>FRAGEN_MASTER!AI656</x:f>
        <x:v>FREIGEGEBEN</x:v>
      </x:c>
      <x:c r="Q656" s="36" t="str">
        <x:f>FRAGEN_MASTER!AL656</x:f>
        <x:v>JA</x:v>
      </x:c>
    </x:row>
    <x:row r="657">
      <x:c r="A657" s="36" t="str">
        <x:f>FRAGEN_MASTER!A657</x:f>
        <x:v>FP-0916</x:v>
      </x:c>
      <x:c r="B657" s="36" t="str">
        <x:f>FRAGEN_MASTER!B657</x:f>
        <x:v>ROM</x:v>
      </x:c>
      <x:c r="C657" s="36" t="str">
        <x:f>FRAGEN_MASTER!C657</x:f>
        <x:v>Römer</x:v>
      </x:c>
      <x:c r="D657" s="36" t="n">
        <x:f>FRAGEN_MASTER!D657</x:f>
        <x:v>15</x:v>
      </x:c>
      <x:c r="E657" s="36" t="n">
        <x:f>FRAGEN_MASTER!E657</x:f>
        <x:v>1</x:v>
      </x:c>
      <x:c r="F657" s="36" t="str">
        <x:f>FRAGEN_MASTER!Q657</x:f>
        <x:v>Welche Verantwortung haben die „Starken“ gegenüber den „Schwachen“?</x:v>
      </x:c>
      <x:c r="G657" s="36" t="str">
        <x:f>FRAGEN_MASTER!R657</x:f>
        <x:v>Sie sollen deren Schwächen tragen und nicht nur sich selbst gefallen.</x:v>
      </x:c>
      <x:c r="H657" s="36" t="str">
        <x:f>FRAGEN_MASTER!S657</x:f>
        <x:v>Sie sollen sich von ihnen trennen.</x:v>
      </x:c>
      <x:c r="I657" s="36" t="str">
        <x:f>FRAGEN_MASTER!T657</x:f>
        <x:v>Sie sollen ihre Freiheit demonstrativ durchsetzen.</x:v>
      </x:c>
      <x:c r="J657" s="36" t="str">
        <x:f>FRAGEN_MASTER!U657</x:f>
        <x:v>Sie sollen jede Verantwortung abgeben.</x:v>
      </x:c>
      <x:c r="K657" s="36" t="n">
        <x:f>FRAGEN_MASTER!V657</x:f>
        <x:v>0</x:v>
      </x:c>
      <x:c r="L657" s="36" t="str">
        <x:f>FRAGEN_MASTER!W657</x:f>
        <x:v>Sie sollen deren Schwächen tragen und nicht nur sich selbst gefallen.</x:v>
      </x:c>
      <x:c r="M657" s="36" t="str">
        <x:f>FRAGEN_MASTER!X657</x:f>
        <x:v>Römer 15,1–6</x:v>
      </x:c>
      <x:c r="N657" s="36" t="str">
        <x:f>FRAGEN_MASTER!Y657</x:f>
        <x:v>Paulus nimmt Christus als Vorbild und verbindet Rücksichtnahme mit gemeinsamer Hoffnung und Einheit.</x:v>
      </x:c>
      <x:c r="O657" s="36" t="str">
        <x:f>FRAGEN_MASTER!AG657</x:f>
        <x:v>FREIGEGEBEN</x:v>
      </x:c>
      <x:c r="P657" s="36" t="str">
        <x:f>FRAGEN_MASTER!AI657</x:f>
        <x:v>FREIGEGEBEN</x:v>
      </x:c>
      <x:c r="Q657" s="36" t="str">
        <x:f>FRAGEN_MASTER!AL657</x:f>
        <x:v>JA</x:v>
      </x:c>
    </x:row>
    <x:row r="658">
      <x:c r="A658" s="36" t="str">
        <x:f>FRAGEN_MASTER!A658</x:f>
        <x:v>FP-0917</x:v>
      </x:c>
      <x:c r="B658" s="36" t="str">
        <x:f>FRAGEN_MASTER!B658</x:f>
        <x:v>ROM</x:v>
      </x:c>
      <x:c r="C658" s="36" t="str">
        <x:f>FRAGEN_MASTER!C658</x:f>
        <x:v>Römer</x:v>
      </x:c>
      <x:c r="D658" s="36" t="n">
        <x:f>FRAGEN_MASTER!D658</x:f>
        <x:v>15</x:v>
      </x:c>
      <x:c r="E658" s="36" t="n">
        <x:f>FRAGEN_MASTER!E658</x:f>
        <x:v>2</x:v>
      </x:c>
      <x:c r="F658" s="36" t="str">
        <x:f>FRAGEN_MASTER!Q658</x:f>
        <x:v>Warum sollen die Glaubenden einander annehmen?</x:v>
      </x:c>
      <x:c r="G658" s="36" t="str">
        <x:f>FRAGEN_MASTER!R658</x:f>
        <x:v>Weil Unterschiede bedeutungslos sind.</x:v>
      </x:c>
      <x:c r="H658" s="36" t="str">
        <x:f>FRAGEN_MASTER!S658</x:f>
        <x:v>Wie Christus sie angenommen hat, zur Ehre Gottes.</x:v>
      </x:c>
      <x:c r="I658" s="36" t="str">
        <x:f>FRAGEN_MASTER!T658</x:f>
        <x:v>Nur weil Paulus es persönlich wünscht.</x:v>
      </x:c>
      <x:c r="J658" s="36" t="str">
        <x:f>FRAGEN_MASTER!U658</x:f>
        <x:v>Damit keine Gemeinde mehr eigene Entscheidungen trifft.</x:v>
      </x:c>
      <x:c r="K658" s="36" t="n">
        <x:f>FRAGEN_MASTER!V658</x:f>
        <x:v>1</x:v>
      </x:c>
      <x:c r="L658" s="36" t="str">
        <x:f>FRAGEN_MASTER!W658</x:f>
        <x:v>Wie Christus sie angenommen hat, zur Ehre Gottes.</x:v>
      </x:c>
      <x:c r="M658" s="36" t="str">
        <x:f>FRAGEN_MASTER!X658</x:f>
        <x:v>Römer 15,7–13</x:v>
      </x:c>
      <x:c r="N658" s="36" t="str">
        <x:f>FRAGEN_MASTER!Y658</x:f>
        <x:v>Paulus verbindet gegenseitige Annahme mit Christi Dienst und der Hoffnung für Juden und Völker.</x:v>
      </x:c>
      <x:c r="O658" s="36" t="str">
        <x:f>FRAGEN_MASTER!AG658</x:f>
        <x:v>FREIGEGEBEN</x:v>
      </x:c>
      <x:c r="P658" s="36" t="str">
        <x:f>FRAGEN_MASTER!AI658</x:f>
        <x:v>FREIGEGEBEN</x:v>
      </x:c>
      <x:c r="Q658" s="36" t="str">
        <x:f>FRAGEN_MASTER!AL658</x:f>
        <x:v>JA</x:v>
      </x:c>
    </x:row>
    <x:row r="659">
      <x:c r="A659" s="36" t="str">
        <x:f>FRAGEN_MASTER!A659</x:f>
        <x:v>FP-0918</x:v>
      </x:c>
      <x:c r="B659" s="36" t="str">
        <x:f>FRAGEN_MASTER!B659</x:f>
        <x:v>ROM</x:v>
      </x:c>
      <x:c r="C659" s="36" t="str">
        <x:f>FRAGEN_MASTER!C659</x:f>
        <x:v>Römer</x:v>
      </x:c>
      <x:c r="D659" s="36" t="n">
        <x:f>FRAGEN_MASTER!D659</x:f>
        <x:v>15</x:v>
      </x:c>
      <x:c r="E659" s="36" t="n">
        <x:f>FRAGEN_MASTER!E659</x:f>
        <x:v>3</x:v>
      </x:c>
      <x:c r="F659" s="36" t="str">
        <x:f>FRAGEN_MASTER!Q659</x:f>
        <x:v>Wie beschreibt Paulus seinen besonderen Dienst unter den Nichtjuden?</x:v>
      </x:c>
      <x:c r="G659" s="36" t="str">
        <x:f>FRAGEN_MASTER!R659</x:f>
        <x:v>Als politischen Auftrag Roms.</x:v>
      </x:c>
      <x:c r="H659" s="36" t="str">
        <x:f>FRAGEN_MASTER!S659</x:f>
        <x:v>Als Ersatz für die Gemeinde in Jerusalem.</x:v>
      </x:c>
      <x:c r="I659" s="36" t="str">
        <x:f>FRAGEN_MASTER!T659</x:f>
        <x:v>Als priesterlichen Dienst am Evangelium Gottes, damit die Völker zu einer Gott wohlgefälligen Gabe werden.</x:v>
      </x:c>
      <x:c r="J659" s="36" t="str">
        <x:f>FRAGEN_MASTER!U659</x:f>
        <x:v>Als Dienst ausschließlich an jüdischen Gemeinden.</x:v>
      </x:c>
      <x:c r="K659" s="36" t="n">
        <x:f>FRAGEN_MASTER!V659</x:f>
        <x:v>2</x:v>
      </x:c>
      <x:c r="L659" s="36" t="str">
        <x:f>FRAGEN_MASTER!W659</x:f>
        <x:v>Als priesterlichen Dienst am Evangelium Gottes, damit die Völker zu einer Gott wohlgefälligen Gabe werden.</x:v>
      </x:c>
      <x:c r="M659" s="36" t="str">
        <x:f>FRAGEN_MASTER!X659</x:f>
        <x:v>Römer 15,14–21</x:v>
      </x:c>
      <x:c r="N659" s="36" t="str">
        <x:f>FRAGEN_MASTER!Y659</x:f>
        <x:v>Paulus versteht seine Mission als von Christus gegebenen Dienst und möchte dort verkündigen, wo Christus noch nicht bekannt ist.</x:v>
      </x:c>
      <x:c r="O659" s="36" t="str">
        <x:f>FRAGEN_MASTER!AG659</x:f>
        <x:v>FREIGEGEBEN</x:v>
      </x:c>
      <x:c r="P659" s="36" t="str">
        <x:f>FRAGEN_MASTER!AI659</x:f>
        <x:v>FREIGEGEBEN</x:v>
      </x:c>
      <x:c r="Q659" s="36" t="str">
        <x:f>FRAGEN_MASTER!AL659</x:f>
        <x:v>JA</x:v>
      </x:c>
    </x:row>
    <x:row r="660">
      <x:c r="A660" s="36" t="str">
        <x:f>FRAGEN_MASTER!A660</x:f>
        <x:v>FP-0919</x:v>
      </x:c>
      <x:c r="B660" s="36" t="str">
        <x:f>FRAGEN_MASTER!B660</x:f>
        <x:v>ROM</x:v>
      </x:c>
      <x:c r="C660" s="36" t="str">
        <x:f>FRAGEN_MASTER!C660</x:f>
        <x:v>Römer</x:v>
      </x:c>
      <x:c r="D660" s="36" t="n">
        <x:f>FRAGEN_MASTER!D660</x:f>
        <x:v>15</x:v>
      </x:c>
      <x:c r="E660" s="36" t="n">
        <x:f>FRAGEN_MASTER!E660</x:f>
        <x:v>4</x:v>
      </x:c>
      <x:c r="F660" s="36" t="str">
        <x:f>FRAGEN_MASTER!Q660</x:f>
        <x:v>Welche Reisepläne nennt Paulus für die Zeit nach seinem Dienst in Jerusalem?</x:v>
      </x:c>
      <x:c r="G660" s="36" t="str">
        <x:f>FRAGEN_MASTER!R660</x:f>
        <x:v>Er will dauerhaft in Jerusalem bleiben.</x:v>
      </x:c>
      <x:c r="H660" s="36" t="str">
        <x:f>FRAGEN_MASTER!S660</x:f>
        <x:v>Er möchte nach Ägypten auswandern.</x:v>
      </x:c>
      <x:c r="I660" s="36" t="str">
        <x:f>FRAGEN_MASTER!T660</x:f>
        <x:v>Er plant, seinen Dienst vollständig zu beenden.</x:v>
      </x:c>
      <x:c r="J660" s="36" t="str">
        <x:f>FRAGEN_MASTER!U660</x:f>
        <x:v>Er möchte über Rom nach Spanien reisen.</x:v>
      </x:c>
      <x:c r="K660" s="36" t="n">
        <x:f>FRAGEN_MASTER!V660</x:f>
        <x:v>3</x:v>
      </x:c>
      <x:c r="L660" s="36" t="str">
        <x:f>FRAGEN_MASTER!W660</x:f>
        <x:v>Er möchte über Rom nach Spanien reisen.</x:v>
      </x:c>
      <x:c r="M660" s="36" t="str">
        <x:f>FRAGEN_MASTER!X660</x:f>
        <x:v>Römer 15,22–29</x:v>
      </x:c>
      <x:c r="N660" s="36" t="str">
        <x:f>FRAGEN_MASTER!Y660</x:f>
        <x:v>Paulus beschreibt Rom als Zwischenstation auf dem Weg zu einem geplanten Dienst in Spanien.</x:v>
      </x:c>
      <x:c r="O660" s="36" t="str">
        <x:f>FRAGEN_MASTER!AG660</x:f>
        <x:v>FREIGEGEBEN</x:v>
      </x:c>
      <x:c r="P660" s="36" t="str">
        <x:f>FRAGEN_MASTER!AI660</x:f>
        <x:v>FREIGEGEBEN</x:v>
      </x:c>
      <x:c r="Q660" s="36" t="str">
        <x:f>FRAGEN_MASTER!AL660</x:f>
        <x:v>JA</x:v>
      </x:c>
    </x:row>
    <x:row r="661">
      <x:c r="A661" s="36" t="str">
        <x:f>FRAGEN_MASTER!A661</x:f>
        <x:v>FP-0920</x:v>
      </x:c>
      <x:c r="B661" s="36" t="str">
        <x:f>FRAGEN_MASTER!B661</x:f>
        <x:v>ROM</x:v>
      </x:c>
      <x:c r="C661" s="36" t="str">
        <x:f>FRAGEN_MASTER!C661</x:f>
        <x:v>Römer</x:v>
      </x:c>
      <x:c r="D661" s="36" t="n">
        <x:f>FRAGEN_MASTER!D661</x:f>
        <x:v>15</x:v>
      </x:c>
      <x:c r="E661" s="36" t="n">
        <x:f>FRAGEN_MASTER!E661</x:f>
        <x:v>5</x:v>
      </x:c>
      <x:c r="F661" s="36" t="str">
        <x:f>FRAGEN_MASTER!Q661</x:f>
        <x:v>Worum bittet Paulus die Gemeinde in Rom im Blick auf seine bevorstehende Reise?</x:v>
      </x:c>
      <x:c r="G661" s="36" t="str">
        <x:f>FRAGEN_MASTER!R661</x:f>
        <x:v>Sie soll im Gebet mit ihm kämpfen, damit er vor Gegnern bewahrt wird und sein Dienst angenommen wird.</x:v>
      </x:c>
      <x:c r="H661" s="36" t="str">
        <x:f>FRAGEN_MASTER!S661</x:f>
        <x:v>Sie soll ihm militärischen Schutz schicken.</x:v>
      </x:c>
      <x:c r="I661" s="36" t="str">
        <x:f>FRAGEN_MASTER!T661</x:f>
        <x:v>Sie soll seine Reise finanzieren, ohne zu beten.</x:v>
      </x:c>
      <x:c r="J661" s="36" t="str">
        <x:f>FRAGEN_MASTER!U661</x:f>
        <x:v>Sie soll ihn von der Reise abhalten.</x:v>
      </x:c>
      <x:c r="K661" s="36" t="n">
        <x:f>FRAGEN_MASTER!V661</x:f>
        <x:v>0</x:v>
      </x:c>
      <x:c r="L661" s="36" t="str">
        <x:f>FRAGEN_MASTER!W661</x:f>
        <x:v>Sie soll im Gebet mit ihm kämpfen, damit er vor Gegnern bewahrt wird und sein Dienst angenommen wird.</x:v>
      </x:c>
      <x:c r="M661" s="36" t="str">
        <x:f>FRAGEN_MASTER!X661</x:f>
        <x:v>Römer 15,30–33</x:v>
      </x:c>
      <x:c r="N661" s="36" t="str">
        <x:f>FRAGEN_MASTER!Y661</x:f>
        <x:v>Paulus bittet konkret um Fürbitte für Schutz, Annahme seines Dienstes und eine freudige Ankunft.</x:v>
      </x:c>
      <x:c r="O661" s="36" t="str">
        <x:f>FRAGEN_MASTER!AG661</x:f>
        <x:v>FREIGEGEBEN</x:v>
      </x:c>
      <x:c r="P661" s="36" t="str">
        <x:f>FRAGEN_MASTER!AI661</x:f>
        <x:v>FREIGEGEBEN</x:v>
      </x:c>
      <x:c r="Q661" s="36" t="str">
        <x:f>FRAGEN_MASTER!AL661</x:f>
        <x:v>JA</x:v>
      </x:c>
    </x:row>
    <x:row r="662">
      <x:c r="A662" s="36" t="str">
        <x:f>FRAGEN_MASTER!A662</x:f>
        <x:v>FP-0921</x:v>
      </x:c>
      <x:c r="B662" s="36" t="str">
        <x:f>FRAGEN_MASTER!B662</x:f>
        <x:v>ROM</x:v>
      </x:c>
      <x:c r="C662" s="36" t="str">
        <x:f>FRAGEN_MASTER!C662</x:f>
        <x:v>Römer</x:v>
      </x:c>
      <x:c r="D662" s="36" t="n">
        <x:f>FRAGEN_MASTER!D662</x:f>
        <x:v>16</x:v>
      </x:c>
      <x:c r="E662" s="36" t="n">
        <x:f>FRAGEN_MASTER!E662</x:f>
        <x:v>1</x:v>
      </x:c>
      <x:c r="F662" s="36" t="str">
        <x:f>FRAGEN_MASTER!Q662</x:f>
        <x:v>Wie stellt Paulus Phöbe der Gemeinde in Rom vor?</x:v>
      </x:c>
      <x:c r="G662" s="36" t="str">
        <x:f>FRAGEN_MASTER!R662</x:f>
        <x:v>Als römische Beamtin.</x:v>
      </x:c>
      <x:c r="H662" s="36" t="str">
        <x:f>FRAGEN_MASTER!S662</x:f>
        <x:v>Als Schwester und Dienerin der Gemeinde in Kenchreä, die Unterstützung verdient.</x:v>
      </x:c>
      <x:c r="I662" s="36" t="str">
        <x:f>FRAGEN_MASTER!T662</x:f>
        <x:v>Als seine leibliche Schwester.</x:v>
      </x:c>
      <x:c r="J662" s="36" t="str">
        <x:f>FRAGEN_MASTER!U662</x:f>
        <x:v>Als Leiterin der Gemeinde in Jerusalem.</x:v>
      </x:c>
      <x:c r="K662" s="36" t="n">
        <x:f>FRAGEN_MASTER!V662</x:f>
        <x:v>1</x:v>
      </x:c>
      <x:c r="L662" s="36" t="str">
        <x:f>FRAGEN_MASTER!W662</x:f>
        <x:v>Als Schwester und Dienerin der Gemeinde in Kenchreä, die Unterstützung verdient.</x:v>
      </x:c>
      <x:c r="M662" s="36" t="str">
        <x:f>FRAGEN_MASTER!X662</x:f>
        <x:v>Römer 16,1–2</x:v>
      </x:c>
      <x:c r="N662" s="36" t="str">
        <x:f>FRAGEN_MASTER!Y662</x:f>
        <x:v>Paulus empfiehlt Phöbe ausdrücklich und bittet die Gemeinde, sie würdig aufzunehmen und ihr beizustehen.</x:v>
      </x:c>
      <x:c r="O662" s="36" t="str">
        <x:f>FRAGEN_MASTER!AG662</x:f>
        <x:v>FREIGEGEBEN</x:v>
      </x:c>
      <x:c r="P662" s="36" t="str">
        <x:f>FRAGEN_MASTER!AI662</x:f>
        <x:v>FREIGEGEBEN</x:v>
      </x:c>
      <x:c r="Q662" s="36" t="str">
        <x:f>FRAGEN_MASTER!AL662</x:f>
        <x:v>JA</x:v>
      </x:c>
    </x:row>
    <x:row r="663">
      <x:c r="A663" s="36" t="str">
        <x:f>FRAGEN_MASTER!A663</x:f>
        <x:v>FP-0922</x:v>
      </x:c>
      <x:c r="B663" s="36" t="str">
        <x:f>FRAGEN_MASTER!B663</x:f>
        <x:v>ROM</x:v>
      </x:c>
      <x:c r="C663" s="36" t="str">
        <x:f>FRAGEN_MASTER!C663</x:f>
        <x:v>Römer</x:v>
      </x:c>
      <x:c r="D663" s="36" t="n">
        <x:f>FRAGEN_MASTER!D663</x:f>
        <x:v>16</x:v>
      </x:c>
      <x:c r="E663" s="36" t="n">
        <x:f>FRAGEN_MASTER!E663</x:f>
        <x:v>2</x:v>
      </x:c>
      <x:c r="F663" s="36" t="str">
        <x:f>FRAGEN_MASTER!Q663</x:f>
        <x:v>Warum dankt Paulus Priscilla und Aquila besonders?</x:v>
      </x:c>
      <x:c r="G663" s="36" t="str">
        <x:f>FRAGEN_MASTER!R663</x:f>
        <x:v>Sie haben ihm römisches Bürgerrecht verschafft.</x:v>
      </x:c>
      <x:c r="H663" s="36" t="str">
        <x:f>FRAGEN_MASTER!S663</x:f>
        <x:v>Sie haben den Tempel finanziert.</x:v>
      </x:c>
      <x:c r="I663" s="36" t="str">
        <x:f>FRAGEN_MASTER!T663</x:f>
        <x:v>Sie haben für sein Leben ihren eigenen Hals riskiert und dienen mit einer Hausgemeinde.</x:v>
      </x:c>
      <x:c r="J663" s="36" t="str">
        <x:f>FRAGEN_MASTER!U663</x:f>
        <x:v>Sie haben Paulus aus dem Gefängnis in Rom befreit.</x:v>
      </x:c>
      <x:c r="K663" s="36" t="n">
        <x:f>FRAGEN_MASTER!V663</x:f>
        <x:v>2</x:v>
      </x:c>
      <x:c r="L663" s="36" t="str">
        <x:f>FRAGEN_MASTER!W663</x:f>
        <x:v>Sie haben für sein Leben ihren eigenen Hals riskiert und dienen mit einer Hausgemeinde.</x:v>
      </x:c>
      <x:c r="M663" s="36" t="str">
        <x:f>FRAGEN_MASTER!X663</x:f>
        <x:v>Römer 16,3–5</x:v>
      </x:c>
      <x:c r="N663" s="36" t="str">
        <x:f>FRAGEN_MASTER!Y663</x:f>
        <x:v>Paulus würdigt das Ehepaar als Mitarbeiter, die für ihn ihr Leben riskiert haben; in ihrem Haus trifft sich eine Gemeinde.</x:v>
      </x:c>
      <x:c r="O663" s="36" t="str">
        <x:f>FRAGEN_MASTER!AG663</x:f>
        <x:v>FREIGEGEBEN</x:v>
      </x:c>
      <x:c r="P663" s="36" t="str">
        <x:f>FRAGEN_MASTER!AI663</x:f>
        <x:v>FREIGEGEBEN</x:v>
      </x:c>
      <x:c r="Q663" s="36" t="str">
        <x:f>FRAGEN_MASTER!AL663</x:f>
        <x:v>JA</x:v>
      </x:c>
    </x:row>
    <x:row r="664">
      <x:c r="A664" s="36" t="str">
        <x:f>FRAGEN_MASTER!A664</x:f>
        <x:v>FP-0923</x:v>
      </x:c>
      <x:c r="B664" s="36" t="str">
        <x:f>FRAGEN_MASTER!B664</x:f>
        <x:v>ROM</x:v>
      </x:c>
      <x:c r="C664" s="36" t="str">
        <x:f>FRAGEN_MASTER!C664</x:f>
        <x:v>Römer</x:v>
      </x:c>
      <x:c r="D664" s="36" t="n">
        <x:f>FRAGEN_MASTER!D664</x:f>
        <x:v>16</x:v>
      </x:c>
      <x:c r="E664" s="36" t="n">
        <x:f>FRAGEN_MASTER!E664</x:f>
        <x:v>3</x:v>
      </x:c>
      <x:c r="F664" s="36" t="str">
        <x:f>FRAGEN_MASTER!Q664</x:f>
        <x:v>Wie sollen die Römer mit Menschen umgehen, die entgegen der empfangenen Lehre Spaltungen und Ärgernisse verursachen?</x:v>
      </x:c>
      <x:c r="G664" s="36" t="str">
        <x:f>FRAGEN_MASTER!R664</x:f>
        <x:v>Sie sollen jede Lehre ungeprüft akzeptieren.</x:v>
      </x:c>
      <x:c r="H664" s="36" t="str">
        <x:f>FRAGEN_MASTER!S664</x:f>
        <x:v>Sie sollen ihnen automatisch Leitungsverantwortung geben.</x:v>
      </x:c>
      <x:c r="I664" s="36" t="str">
        <x:f>FRAGEN_MASTER!T664</x:f>
        <x:v>Sie sollen überhaupt nicht mehr miteinander reden.</x:v>
      </x:c>
      <x:c r="J664" s="36" t="str">
        <x:f>FRAGEN_MASTER!U664</x:f>
        <x:v>Sie sollen aufmerksam sein und sich von solchen Einflüssen fernhalten.</x:v>
      </x:c>
      <x:c r="K664" s="36" t="n">
        <x:f>FRAGEN_MASTER!V664</x:f>
        <x:v>3</x:v>
      </x:c>
      <x:c r="L664" s="36" t="str">
        <x:f>FRAGEN_MASTER!W664</x:f>
        <x:v>Sie sollen aufmerksam sein und sich von solchen Einflüssen fernhalten.</x:v>
      </x:c>
      <x:c r="M664" s="36" t="str">
        <x:f>FRAGEN_MASTER!X664</x:f>
        <x:v>Römer 16,17–20</x:v>
      </x:c>
      <x:c r="N664" s="36" t="str">
        <x:f>FRAGEN_MASTER!Y664</x:f>
        <x:v>Paulus warnt vor spaltenden Lehrern und verbindet Wachsamkeit mit der Hoffnung, dass Gott den Satan zertreten wird.</x:v>
      </x:c>
      <x:c r="O664" s="36" t="str">
        <x:f>FRAGEN_MASTER!AG664</x:f>
        <x:v>FREIGEGEBEN</x:v>
      </x:c>
      <x:c r="P664" s="36" t="str">
        <x:f>FRAGEN_MASTER!AI664</x:f>
        <x:v>FREIGEGEBEN</x:v>
      </x:c>
      <x:c r="Q664" s="36" t="str">
        <x:f>FRAGEN_MASTER!AL664</x:f>
        <x:v>JA</x:v>
      </x:c>
    </x:row>
    <x:row r="665">
      <x:c r="A665" s="36" t="str">
        <x:f>FRAGEN_MASTER!A665</x:f>
        <x:v>FP-0924</x:v>
      </x:c>
      <x:c r="B665" s="36" t="str">
        <x:f>FRAGEN_MASTER!B665</x:f>
        <x:v>ROM</x:v>
      </x:c>
      <x:c r="C665" s="36" t="str">
        <x:f>FRAGEN_MASTER!C665</x:f>
        <x:v>Römer</x:v>
      </x:c>
      <x:c r="D665" s="36" t="n">
        <x:f>FRAGEN_MASTER!D665</x:f>
        <x:v>16</x:v>
      </x:c>
      <x:c r="E665" s="36" t="n">
        <x:f>FRAGEN_MASTER!E665</x:f>
        <x:v>4</x:v>
      </x:c>
      <x:c r="F665" s="36" t="str">
        <x:f>FRAGEN_MASTER!Q665</x:f>
        <x:v>Wer nennt sich in den Schlussgrüßen ausdrücklich als derjenige, der den Brief niedergeschrieben hat?</x:v>
      </x:c>
      <x:c r="G665" s="36" t="str">
        <x:f>FRAGEN_MASTER!R665</x:f>
        <x:v>Tertius.</x:v>
      </x:c>
      <x:c r="H665" s="36" t="str">
        <x:f>FRAGEN_MASTER!S665</x:f>
        <x:v>Timotheus.</x:v>
      </x:c>
      <x:c r="I665" s="36" t="str">
        <x:f>FRAGEN_MASTER!T665</x:f>
        <x:v>Gajus.</x:v>
      </x:c>
      <x:c r="J665" s="36" t="str">
        <x:f>FRAGEN_MASTER!U665</x:f>
        <x:v>Sosipater.</x:v>
      </x:c>
      <x:c r="K665" s="36" t="n">
        <x:f>FRAGEN_MASTER!V665</x:f>
        <x:v>0</x:v>
      </x:c>
      <x:c r="L665" s="36" t="str">
        <x:f>FRAGEN_MASTER!W665</x:f>
        <x:v>Tertius.</x:v>
      </x:c>
      <x:c r="M665" s="36" t="str">
        <x:f>FRAGEN_MASTER!X665</x:f>
        <x:v>Römer 16,21–24</x:v>
      </x:c>
      <x:c r="N665" s="36" t="str">
        <x:f>FRAGEN_MASTER!Y665</x:f>
        <x:v>Tertius fügt einen eigenen Gruß ein und sagt, dass er den Brief geschrieben beziehungsweise niedergeschrieben hat.</x:v>
      </x:c>
      <x:c r="O665" s="36" t="str">
        <x:f>FRAGEN_MASTER!AG665</x:f>
        <x:v>FREIGEGEBEN</x:v>
      </x:c>
      <x:c r="P665" s="36" t="str">
        <x:f>FRAGEN_MASTER!AI665</x:f>
        <x:v>FREIGEGEBEN</x:v>
      </x:c>
      <x:c r="Q665" s="36" t="str">
        <x:f>FRAGEN_MASTER!AL665</x:f>
        <x:v>JA</x:v>
      </x:c>
    </x:row>
    <x:row r="666">
      <x:c r="A666" s="36" t="str">
        <x:f>FRAGEN_MASTER!A666</x:f>
        <x:v>FP-0925</x:v>
      </x:c>
      <x:c r="B666" s="36" t="str">
        <x:f>FRAGEN_MASTER!B666</x:f>
        <x:v>ROM</x:v>
      </x:c>
      <x:c r="C666" s="36" t="str">
        <x:f>FRAGEN_MASTER!C666</x:f>
        <x:v>Römer</x:v>
      </x:c>
      <x:c r="D666" s="36" t="n">
        <x:f>FRAGEN_MASTER!D666</x:f>
        <x:v>16</x:v>
      </x:c>
      <x:c r="E666" s="36" t="n">
        <x:f>FRAGEN_MASTER!E666</x:f>
        <x:v>5</x:v>
      </x:c>
      <x:c r="F666" s="36" t="str">
        <x:f>FRAGEN_MASTER!Q666</x:f>
        <x:v>Wem gilt der abschließende Lobpreis des Römerbriefs?</x:v>
      </x:c>
      <x:c r="G666" s="36" t="str">
        <x:f>FRAGEN_MASTER!R666</x:f>
        <x:v>Paulus selbst.</x:v>
      </x:c>
      <x:c r="H666" s="36" t="str">
        <x:f>FRAGEN_MASTER!S666</x:f>
        <x:v>Dem Gott, der die Glaubenden durch das Evangelium von Jesus Christus stärken kann.</x:v>
      </x:c>
      <x:c r="I666" s="36" t="str">
        <x:f>FRAGEN_MASTER!T666</x:f>
        <x:v>Der Gemeinde in Jerusalem.</x:v>
      </x:c>
      <x:c r="J666" s="36" t="str">
        <x:f>FRAGEN_MASTER!U666</x:f>
        <x:v>Dem römischen Kaiser.</x:v>
      </x:c>
      <x:c r="K666" s="36" t="n">
        <x:f>FRAGEN_MASTER!V666</x:f>
        <x:v>1</x:v>
      </x:c>
      <x:c r="L666" s="36" t="str">
        <x:f>FRAGEN_MASTER!W666</x:f>
        <x:v>Dem Gott, der die Glaubenden durch das Evangelium von Jesus Christus stärken kann.</x:v>
      </x:c>
      <x:c r="M666" s="36" t="str">
        <x:f>FRAGEN_MASTER!X666</x:f>
        <x:v>Römer 16,25–27</x:v>
      </x:c>
      <x:c r="N666" s="36" t="str">
        <x:f>FRAGEN_MASTER!Y666</x:f>
        <x:v>Paulus beendet den Brief mit einer Doxologie an den allein weisen Gott, der durch das Evangelium stärkt.</x:v>
      </x:c>
      <x:c r="O666" s="36" t="str">
        <x:f>FRAGEN_MASTER!AG666</x:f>
        <x:v>FREIGEGEBEN</x:v>
      </x:c>
      <x:c r="P666" s="36" t="str">
        <x:f>FRAGEN_MASTER!AI666</x:f>
        <x:v>FREIGEGEBEN</x:v>
      </x:c>
      <x:c r="Q666" s="36" t="str">
        <x:f>FRAGEN_MASTER!AL666</x:f>
        <x:v>JA</x:v>
      </x:c>
    </x:row>
    <x:row r="667">
      <x:c r="A667" s="36" t="str">
        <x:f>FRAGEN_MASTER!A667</x:f>
        <x:v>FP-0926</x:v>
      </x:c>
      <x:c r="B667" s="36" t="str">
        <x:f>FRAGEN_MASTER!B667</x:f>
        <x:v>1CO</x:v>
      </x:c>
      <x:c r="C667" s="36" t="str">
        <x:f>FRAGEN_MASTER!C667</x:f>
        <x:v>1. Korinther</x:v>
      </x:c>
      <x:c r="D667" s="36" t="n">
        <x:f>FRAGEN_MASTER!D667</x:f>
        <x:v>1</x:v>
      </x:c>
      <x:c r="E667" s="36" t="n">
        <x:f>FRAGEN_MASTER!E667</x:f>
        <x:v>1</x:v>
      </x:c>
      <x:c r="F667" s="36" t="str">
        <x:f>FRAGEN_MASTER!Q667</x:f>
        <x:v>Welches Problem spricht Paulus mit den Gruppen „Ich gehöre zu Paulus“, „zu Apollos“ oder „zu Kephas“ an?</x:v>
      </x:c>
      <x:c r="G667" s="36" t="str">
        <x:f>FRAGEN_MASTER!R667</x:f>
        <x:v>Unterschiedliche Reisepläne der Apostel.</x:v>
      </x:c>
      <x:c r="H667" s="36" t="str">
        <x:f>FRAGEN_MASTER!S667</x:f>
        <x:v>Eine Debatte über Speisegebote.</x:v>
      </x:c>
      <x:c r="I667" s="36" t="str">
        <x:f>FRAGEN_MASTER!T667</x:f>
        <x:v>Die Frage, wer taufen darf.</x:v>
      </x:c>
      <x:c r="J667" s="36" t="str">
        <x:f>FRAGEN_MASTER!U667</x:f>
        <x:v>Spaltungen in der Gemeinde, die Christus nicht zerteilen darf.</x:v>
      </x:c>
      <x:c r="K667" s="36" t="n">
        <x:f>FRAGEN_MASTER!V667</x:f>
        <x:v>3</x:v>
      </x:c>
      <x:c r="L667" s="36" t="str">
        <x:f>FRAGEN_MASTER!W667</x:f>
        <x:v>Spaltungen in der Gemeinde, die Christus nicht zerteilen darf.</x:v>
      </x:c>
      <x:c r="M667" s="36" t="str">
        <x:f>FRAGEN_MASTER!X667</x:f>
        <x:v>1. Korinther 1,10–13</x:v>
      </x:c>
      <x:c r="N667" s="36" t="str">
        <x:f>FRAGEN_MASTER!Y667</x:f>
        <x:v>Paulus ruft zu Einmütigkeit auf und kritisiert Personenkulte, weil Christus nicht geteilt ist.</x:v>
      </x:c>
      <x:c r="O667" s="36" t="str">
        <x:f>FRAGEN_MASTER!AG667</x:f>
        <x:v>FREIGEGEBEN</x:v>
      </x:c>
      <x:c r="P667" s="36" t="str">
        <x:f>FRAGEN_MASTER!AI667</x:f>
        <x:v>FREIGEGEBEN</x:v>
      </x:c>
      <x:c r="Q667" s="36" t="str">
        <x:f>FRAGEN_MASTER!AL667</x:f>
        <x:v>JA</x:v>
      </x:c>
    </x:row>
    <x:row r="668">
      <x:c r="A668" s="36" t="str">
        <x:f>FRAGEN_MASTER!A668</x:f>
        <x:v>FP-0927</x:v>
      </x:c>
      <x:c r="B668" s="36" t="str">
        <x:f>FRAGEN_MASTER!B668</x:f>
        <x:v>1CO</x:v>
      </x:c>
      <x:c r="C668" s="36" t="str">
        <x:f>FRAGEN_MASTER!C668</x:f>
        <x:v>1. Korinther</x:v>
      </x:c>
      <x:c r="D668" s="36" t="n">
        <x:f>FRAGEN_MASTER!D668</x:f>
        <x:v>1</x:v>
      </x:c>
      <x:c r="E668" s="36" t="n">
        <x:f>FRAGEN_MASTER!E668</x:f>
        <x:v>2</x:v>
      </x:c>
      <x:c r="F668" s="36" t="str">
        <x:f>FRAGEN_MASTER!Q668</x:f>
        <x:v>Warum will Paulus das Evangelium nicht mit menschlicher Redekunst verkündigen?</x:v>
      </x:c>
      <x:c r="G668" s="36" t="str">
        <x:f>FRAGEN_MASTER!R668</x:f>
        <x:v>Damit das Kreuz Christi nicht seiner Kraft entleert wird.</x:v>
      </x:c>
      <x:c r="H668" s="36" t="str">
        <x:f>FRAGEN_MASTER!S668</x:f>
        <x:v>Weil Bildung für Christen verboten ist.</x:v>
      </x:c>
      <x:c r="I668" s="36" t="str">
        <x:f>FRAGEN_MASTER!T668</x:f>
        <x:v>Weil Paulus nicht sprechen konnte.</x:v>
      </x:c>
      <x:c r="J668" s="36" t="str">
        <x:f>FRAGEN_MASTER!U668</x:f>
        <x:v>Damit niemand getauft wird.</x:v>
      </x:c>
      <x:c r="K668" s="36" t="n">
        <x:f>FRAGEN_MASTER!V668</x:f>
        <x:v>0</x:v>
      </x:c>
      <x:c r="L668" s="36" t="str">
        <x:f>FRAGEN_MASTER!W668</x:f>
        <x:v>Damit das Kreuz Christi nicht seiner Kraft entleert wird.</x:v>
      </x:c>
      <x:c r="M668" s="36" t="str">
        <x:f>FRAGEN_MASTER!X668</x:f>
        <x:v>1. Korinther 1,17–18</x:v>
      </x:c>
      <x:c r="N668" s="36" t="str">
        <x:f>FRAGEN_MASTER!Y668</x:f>
        <x:v>Paulus stellt die Botschaft vom Kreuz über rhetorische Selbstdarstellung.</x:v>
      </x:c>
      <x:c r="O668" s="36" t="str">
        <x:f>FRAGEN_MASTER!AG668</x:f>
        <x:v>FREIGEGEBEN</x:v>
      </x:c>
      <x:c r="P668" s="36" t="str">
        <x:f>FRAGEN_MASTER!AI668</x:f>
        <x:v>FREIGEGEBEN</x:v>
      </x:c>
      <x:c r="Q668" s="36" t="str">
        <x:f>FRAGEN_MASTER!AL668</x:f>
        <x:v>JA</x:v>
      </x:c>
    </x:row>
    <x:row r="669">
      <x:c r="A669" s="36" t="str">
        <x:f>FRAGEN_MASTER!A669</x:f>
        <x:v>FP-0928</x:v>
      </x:c>
      <x:c r="B669" s="36" t="str">
        <x:f>FRAGEN_MASTER!B669</x:f>
        <x:v>1CO</x:v>
      </x:c>
      <x:c r="C669" s="36" t="str">
        <x:f>FRAGEN_MASTER!C669</x:f>
        <x:v>1. Korinther</x:v>
      </x:c>
      <x:c r="D669" s="36" t="n">
        <x:f>FRAGEN_MASTER!D669</x:f>
        <x:v>1</x:v>
      </x:c>
      <x:c r="E669" s="36" t="n">
        <x:f>FRAGEN_MASTER!E669</x:f>
        <x:v>3</x:v>
      </x:c>
      <x:c r="F669" s="36" t="str">
        <x:f>FRAGEN_MASTER!Q669</x:f>
        <x:v>Wie beschreibt Paulus die Reaktionen auf die Botschaft vom gekreuzigten Christus?</x:v>
      </x:c>
      <x:c r="G669" s="36" t="str">
        <x:f>FRAGEN_MASTER!R669</x:f>
        <x:v>Alle Menschen erkennen sie sofort als überzeugend.</x:v>
      </x:c>
      <x:c r="H669" s="36" t="str">
        <x:f>FRAGEN_MASTER!S669</x:f>
        <x:v>Juden fordern Zeichen und Griechen suchen Weisheit; Christus erscheint vielen als Anstoß oder Torheit, ist den Berufenen aber Gottes Kraft und Weisheit.</x:v>
      </x:c>
      <x:c r="I669" s="36" t="str">
        <x:f>FRAGEN_MASTER!T669</x:f>
        <x:v>Nur Griechen lehnen sie ab.</x:v>
      </x:c>
      <x:c r="J669" s="36" t="str">
        <x:f>FRAGEN_MASTER!U669</x:f>
        <x:v>Nur Juden halten sie für Weisheit.</x:v>
      </x:c>
      <x:c r="K669" s="36" t="n">
        <x:f>FRAGEN_MASTER!V669</x:f>
        <x:v>1</x:v>
      </x:c>
      <x:c r="L669" s="36" t="str">
        <x:f>FRAGEN_MASTER!W669</x:f>
        <x:v>Juden fordern Zeichen und Griechen suchen Weisheit; Christus erscheint vielen als Anstoß oder Torheit, ist den Berufenen aber Gottes Kraft und Weisheit.</x:v>
      </x:c>
      <x:c r="M669" s="36" t="str">
        <x:f>FRAGEN_MASTER!X669</x:f>
        <x:v>1. Korinther 1,22–25</x:v>
      </x:c>
      <x:c r="N669" s="36" t="str">
        <x:f>FRAGEN_MASTER!Y669</x:f>
        <x:v>Paulus kontrastiert menschliche Erwartungen mit Gottes Weisheit im gekreuzigten Christus.</x:v>
      </x:c>
      <x:c r="O669" s="36" t="str">
        <x:f>FRAGEN_MASTER!AG669</x:f>
        <x:v>FREIGEGEBEN</x:v>
      </x:c>
      <x:c r="P669" s="36" t="str">
        <x:f>FRAGEN_MASTER!AI669</x:f>
        <x:v>FREIGEGEBEN</x:v>
      </x:c>
      <x:c r="Q669" s="36" t="str">
        <x:f>FRAGEN_MASTER!AL669</x:f>
        <x:v>JA</x:v>
      </x:c>
    </x:row>
    <x:row r="670">
      <x:c r="A670" s="36" t="str">
        <x:f>FRAGEN_MASTER!A670</x:f>
        <x:v>FP-0929</x:v>
      </x:c>
      <x:c r="B670" s="36" t="str">
        <x:f>FRAGEN_MASTER!B670</x:f>
        <x:v>1CO</x:v>
      </x:c>
      <x:c r="C670" s="36" t="str">
        <x:f>FRAGEN_MASTER!C670</x:f>
        <x:v>1. Korinther</x:v>
      </x:c>
      <x:c r="D670" s="36" t="n">
        <x:f>FRAGEN_MASTER!D670</x:f>
        <x:v>1</x:v>
      </x:c>
      <x:c r="E670" s="36" t="n">
        <x:f>FRAGEN_MASTER!E670</x:f>
        <x:v>4</x:v>
      </x:c>
      <x:c r="F670" s="36" t="str">
        <x:f>FRAGEN_MASTER!Q670</x:f>
        <x:v>Warum erinnert Paulus die Korinther daran, dass nicht viele Weise, Mächtige oder Vornehme berufen wurden?</x:v>
      </x:c>
      <x:c r="G670" s="36" t="str">
        <x:f>FRAGEN_MASTER!R670</x:f>
        <x:v>Damit Christen Bildung vermeiden.</x:v>
      </x:c>
      <x:c r="H670" s="36" t="str">
        <x:f>FRAGEN_MASTER!S670</x:f>
        <x:v>Damit nur Arme Gemeindeleiter werden.</x:v>
      </x:c>
      <x:c r="I670" s="36" t="str">
        <x:f>FRAGEN_MASTER!T670</x:f>
        <x:v>Damit sich kein Mensch vor Gott rühmen kann.</x:v>
      </x:c>
      <x:c r="J670" s="36" t="str">
        <x:f>FRAGEN_MASTER!U670</x:f>
        <x:v>Damit gesellschaftliche Unterschiede größer werden.</x:v>
      </x:c>
      <x:c r="K670" s="36" t="n">
        <x:f>FRAGEN_MASTER!V670</x:f>
        <x:v>2</x:v>
      </x:c>
      <x:c r="L670" s="36" t="str">
        <x:f>FRAGEN_MASTER!W670</x:f>
        <x:v>Damit sich kein Mensch vor Gott rühmen kann.</x:v>
      </x:c>
      <x:c r="M670" s="36" t="str">
        <x:f>FRAGEN_MASTER!X670</x:f>
        <x:v>1. Korinther 1,26–29</x:v>
      </x:c>
      <x:c r="N670" s="36" t="str">
        <x:f>FRAGEN_MASTER!Y670</x:f>
        <x:v>Gottes Erwählung durchkreuzt menschliche Maßstäbe und schließt Selbstüberhebung aus.</x:v>
      </x:c>
      <x:c r="O670" s="36" t="str">
        <x:f>FRAGEN_MASTER!AG670</x:f>
        <x:v>FREIGEGEBEN</x:v>
      </x:c>
      <x:c r="P670" s="36" t="str">
        <x:f>FRAGEN_MASTER!AI670</x:f>
        <x:v>FREIGEGEBEN</x:v>
      </x:c>
      <x:c r="Q670" s="36" t="str">
        <x:f>FRAGEN_MASTER!AL670</x:f>
        <x:v>JA</x:v>
      </x:c>
    </x:row>
    <x:row r="671">
      <x:c r="A671" s="36" t="str">
        <x:f>FRAGEN_MASTER!A671</x:f>
        <x:v>FP-0930</x:v>
      </x:c>
      <x:c r="B671" s="36" t="str">
        <x:f>FRAGEN_MASTER!B671</x:f>
        <x:v>1CO</x:v>
      </x:c>
      <x:c r="C671" s="36" t="str">
        <x:f>FRAGEN_MASTER!C671</x:f>
        <x:v>1. Korinther</x:v>
      </x:c>
      <x:c r="D671" s="36" t="n">
        <x:f>FRAGEN_MASTER!D671</x:f>
        <x:v>1</x:v>
      </x:c>
      <x:c r="E671" s="36" t="n">
        <x:f>FRAGEN_MASTER!E671</x:f>
        <x:v>5</x:v>
      </x:c>
      <x:c r="F671" s="36" t="str">
        <x:f>FRAGEN_MASTER!Q671</x:f>
        <x:v>Was ist Christus den Glaubenden nach Paulus von Gott geworden?</x:v>
      </x:c>
      <x:c r="G671" s="36" t="str">
        <x:f>FRAGEN_MASTER!R671</x:f>
        <x:v>Nur ein moralisches Vorbild.</x:v>
      </x:c>
      <x:c r="H671" s="36" t="str">
        <x:f>FRAGEN_MASTER!S671</x:f>
        <x:v>Ein politischer Befreier von Rom.</x:v>
      </x:c>
      <x:c r="I671" s="36" t="str">
        <x:f>FRAGEN_MASTER!T671</x:f>
        <x:v>Ein neuer Gesetzgeber ohne Bezug zur Erlösung.</x:v>
      </x:c>
      <x:c r="J671" s="36" t="str">
        <x:f>FRAGEN_MASTER!U671</x:f>
        <x:v>Weisheit, Gerechtigkeit, Heiligung und Erlösung.</x:v>
      </x:c>
      <x:c r="K671" s="36" t="n">
        <x:f>FRAGEN_MASTER!V671</x:f>
        <x:v>3</x:v>
      </x:c>
      <x:c r="L671" s="36" t="str">
        <x:f>FRAGEN_MASTER!W671</x:f>
        <x:v>Weisheit, Gerechtigkeit, Heiligung und Erlösung.</x:v>
      </x:c>
      <x:c r="M671" s="36" t="str">
        <x:f>FRAGEN_MASTER!X671</x:f>
        <x:v>1. Korinther 1,30–31</x:v>
      </x:c>
      <x:c r="N671" s="36" t="str">
        <x:f>FRAGEN_MASTER!Y671</x:f>
        <x:v>Paulus fasst Christi Bedeutung mit vier Begriffen zusammen und schließt mit dem Aufruf, sich im Herrn zu rühmen.</x:v>
      </x:c>
      <x:c r="O671" s="36" t="str">
        <x:f>FRAGEN_MASTER!AG671</x:f>
        <x:v>FREIGEGEBEN</x:v>
      </x:c>
      <x:c r="P671" s="36" t="str">
        <x:f>FRAGEN_MASTER!AI671</x:f>
        <x:v>FREIGEGEBEN</x:v>
      </x:c>
      <x:c r="Q671" s="36" t="str">
        <x:f>FRAGEN_MASTER!AL671</x:f>
        <x:v>JA</x:v>
      </x:c>
    </x:row>
    <x:row r="672">
      <x:c r="A672" s="36" t="str">
        <x:f>FRAGEN_MASTER!A672</x:f>
        <x:v>FP-0931</x:v>
      </x:c>
      <x:c r="B672" s="36" t="str">
        <x:f>FRAGEN_MASTER!B672</x:f>
        <x:v>1CO</x:v>
      </x:c>
      <x:c r="C672" s="36" t="str">
        <x:f>FRAGEN_MASTER!C672</x:f>
        <x:v>1. Korinther</x:v>
      </x:c>
      <x:c r="D672" s="36" t="n">
        <x:f>FRAGEN_MASTER!D672</x:f>
        <x:v>2</x:v>
      </x:c>
      <x:c r="E672" s="36" t="n">
        <x:f>FRAGEN_MASTER!E672</x:f>
        <x:v>1</x:v>
      </x:c>
      <x:c r="F672" s="36" t="str">
        <x:f>FRAGEN_MASTER!Q672</x:f>
        <x:v>Warum trat Paulus in Korinth nicht mit überragender Rede oder menschlicher Weisheit auf?</x:v>
      </x:c>
      <x:c r="G672" s="36" t="str">
        <x:f>FRAGEN_MASTER!R672</x:f>
        <x:v>Damit der Glaube nicht auf Menschenweisheit, sondern auf Gottes Kraft beruht.</x:v>
      </x:c>
      <x:c r="H672" s="36" t="str">
        <x:f>FRAGEN_MASTER!S672</x:f>
        <x:v>Weil er keine Botschaft hatte.</x:v>
      </x:c>
      <x:c r="I672" s="36" t="str">
        <x:f>FRAGEN_MASTER!T672</x:f>
        <x:v>Weil er nur privat sprechen durfte.</x:v>
      </x:c>
      <x:c r="J672" s="36" t="str">
        <x:f>FRAGEN_MASTER!U672</x:f>
        <x:v>Damit niemand Jesus kennenlernt.</x:v>
      </x:c>
      <x:c r="K672" s="36" t="n">
        <x:f>FRAGEN_MASTER!V672</x:f>
        <x:v>0</x:v>
      </x:c>
      <x:c r="L672" s="36" t="str">
        <x:f>FRAGEN_MASTER!W672</x:f>
        <x:v>Damit der Glaube nicht auf Menschenweisheit, sondern auf Gottes Kraft beruht.</x:v>
      </x:c>
      <x:c r="M672" s="36" t="str">
        <x:f>FRAGEN_MASTER!X672</x:f>
        <x:v>1. Korinther 2,1–5</x:v>
      </x:c>
      <x:c r="N672" s="36" t="str">
        <x:f>FRAGEN_MASTER!Y672</x:f>
        <x:v>Paulus wollte Christus den Gekreuzigten verkündigen, sodass Gottes Kraft und nicht rhetorische Wirkung den Glauben trägt.</x:v>
      </x:c>
      <x:c r="O672" s="36" t="str">
        <x:f>FRAGEN_MASTER!AG672</x:f>
        <x:v>FREIGEGEBEN</x:v>
      </x:c>
      <x:c r="P672" s="36" t="str">
        <x:f>FRAGEN_MASTER!AI672</x:f>
        <x:v>FREIGEGEBEN</x:v>
      </x:c>
      <x:c r="Q672" s="36" t="str">
        <x:f>FRAGEN_MASTER!AL672</x:f>
        <x:v>JA</x:v>
      </x:c>
    </x:row>
    <x:row r="673">
      <x:c r="A673" s="36" t="str">
        <x:f>FRAGEN_MASTER!A673</x:f>
        <x:v>FP-0932</x:v>
      </x:c>
      <x:c r="B673" s="36" t="str">
        <x:f>FRAGEN_MASTER!B673</x:f>
        <x:v>1CO</x:v>
      </x:c>
      <x:c r="C673" s="36" t="str">
        <x:f>FRAGEN_MASTER!C673</x:f>
        <x:v>1. Korinther</x:v>
      </x:c>
      <x:c r="D673" s="36" t="n">
        <x:f>FRAGEN_MASTER!D673</x:f>
        <x:v>2</x:v>
      </x:c>
      <x:c r="E673" s="36" t="n">
        <x:f>FRAGEN_MASTER!E673</x:f>
        <x:v>2</x:v>
      </x:c>
      <x:c r="F673" s="36" t="str">
        <x:f>FRAGEN_MASTER!Q673</x:f>
        <x:v>Welche Weisheit verkündet Paulus unter den geistlich Reiferen?</x:v>
      </x:c>
      <x:c r="G673" s="36" t="str">
        <x:f>FRAGEN_MASTER!R673</x:f>
        <x:v>Die politische Weisheit Roms.</x:v>
      </x:c>
      <x:c r="H673" s="36" t="str">
        <x:f>FRAGEN_MASTER!S673</x:f>
        <x:v>Gottes verborgene Weisheit, die kein Herrscher dieser Welt erkannt hat.</x:v>
      </x:c>
      <x:c r="I673" s="36" t="str">
        <x:f>FRAGEN_MASTER!T673</x:f>
        <x:v>Eine geheime Lehre ohne Bezug zu Christus.</x:v>
      </x:c>
      <x:c r="J673" s="36" t="str">
        <x:f>FRAGEN_MASTER!U673</x:f>
        <x:v>Nur griechische Philosophie.</x:v>
      </x:c>
      <x:c r="K673" s="36" t="n">
        <x:f>FRAGEN_MASTER!V673</x:f>
        <x:v>1</x:v>
      </x:c>
      <x:c r="L673" s="36" t="str">
        <x:f>FRAGEN_MASTER!W673</x:f>
        <x:v>Gottes verborgene Weisheit, die kein Herrscher dieser Welt erkannt hat.</x:v>
      </x:c>
      <x:c r="M673" s="36" t="str">
        <x:f>FRAGEN_MASTER!X673</x:f>
        <x:v>1. Korinther 2,6–10</x:v>
      </x:c>
      <x:c r="N673" s="36" t="str">
        <x:f>FRAGEN_MASTER!Y673</x:f>
        <x:v>Paulus unterscheidet Gottes verborgene Weisheit von der vergehenden Weisheit dieser Welt.</x:v>
      </x:c>
      <x:c r="O673" s="36" t="str">
        <x:f>FRAGEN_MASTER!AG673</x:f>
        <x:v>FREIGEGEBEN</x:v>
      </x:c>
      <x:c r="P673" s="36" t="str">
        <x:f>FRAGEN_MASTER!AI673</x:f>
        <x:v>FREIGEGEBEN</x:v>
      </x:c>
      <x:c r="Q673" s="36" t="str">
        <x:f>FRAGEN_MASTER!AL673</x:f>
        <x:v>JA</x:v>
      </x:c>
    </x:row>
    <x:row r="674">
      <x:c r="A674" s="36" t="str">
        <x:f>FRAGEN_MASTER!A674</x:f>
        <x:v>FP-0933</x:v>
      </x:c>
      <x:c r="B674" s="36" t="str">
        <x:f>FRAGEN_MASTER!B674</x:f>
        <x:v>1CO</x:v>
      </x:c>
      <x:c r="C674" s="36" t="str">
        <x:f>FRAGEN_MASTER!C674</x:f>
        <x:v>1. Korinther</x:v>
      </x:c>
      <x:c r="D674" s="36" t="n">
        <x:f>FRAGEN_MASTER!D674</x:f>
        <x:v>2</x:v>
      </x:c>
      <x:c r="E674" s="36" t="n">
        <x:f>FRAGEN_MASTER!E674</x:f>
        <x:v>3</x:v>
      </x:c>
      <x:c r="F674" s="36" t="str">
        <x:f>FRAGEN_MASTER!Q674</x:f>
        <x:v>Warum kann der Heilige Geist Gottes Tiefen offenbaren?</x:v>
      </x:c>
      <x:c r="G674" s="36" t="str">
        <x:f>FRAGEN_MASTER!R674</x:f>
        <x:v>Weil er nur menschliche Gedanken wiederholt.</x:v>
      </x:c>
      <x:c r="H674" s="36" t="str">
        <x:f>FRAGEN_MASTER!S674</x:f>
        <x:v>Weil jeder Mensch Gott ohne Offenbarung vollständig kennt.</x:v>
      </x:c>
      <x:c r="I674" s="36" t="str">
        <x:f>FRAGEN_MASTER!T674</x:f>
        <x:v>Weil der Geist alles erforscht, auch die Tiefen Gottes.</x:v>
      </x:c>
      <x:c r="J674" s="36" t="str">
        <x:f>FRAGEN_MASTER!U674</x:f>
        <x:v>Weil die Herrscher dieser Welt ihn unterrichten.</x:v>
      </x:c>
      <x:c r="K674" s="36" t="n">
        <x:f>FRAGEN_MASTER!V674</x:f>
        <x:v>2</x:v>
      </x:c>
      <x:c r="L674" s="36" t="str">
        <x:f>FRAGEN_MASTER!W674</x:f>
        <x:v>Weil der Geist alles erforscht, auch die Tiefen Gottes.</x:v>
      </x:c>
      <x:c r="M674" s="36" t="str">
        <x:f>FRAGEN_MASTER!X674</x:f>
        <x:v>1. Korinther 2,10–13</x:v>
      </x:c>
      <x:c r="N674" s="36" t="str">
        <x:f>FRAGEN_MASTER!Y674</x:f>
        <x:v>Paulus begründet geistliche Erkenntnis mit dem Wirken des Geistes, der Gottes Tiefen kennt.</x:v>
      </x:c>
      <x:c r="O674" s="36" t="str">
        <x:f>FRAGEN_MASTER!AG674</x:f>
        <x:v>FREIGEGEBEN</x:v>
      </x:c>
      <x:c r="P674" s="36" t="str">
        <x:f>FRAGEN_MASTER!AI674</x:f>
        <x:v>FREIGEGEBEN</x:v>
      </x:c>
      <x:c r="Q674" s="36" t="str">
        <x:f>FRAGEN_MASTER!AL674</x:f>
        <x:v>JA</x:v>
      </x:c>
    </x:row>
    <x:row r="675">
      <x:c r="A675" s="36" t="str">
        <x:f>FRAGEN_MASTER!A675</x:f>
        <x:v>FP-0934</x:v>
      </x:c>
      <x:c r="B675" s="36" t="str">
        <x:f>FRAGEN_MASTER!B675</x:f>
        <x:v>1CO</x:v>
      </x:c>
      <x:c r="C675" s="36" t="str">
        <x:f>FRAGEN_MASTER!C675</x:f>
        <x:v>1. Korinther</x:v>
      </x:c>
      <x:c r="D675" s="36" t="n">
        <x:f>FRAGEN_MASTER!D675</x:f>
        <x:v>2</x:v>
      </x:c>
      <x:c r="E675" s="36" t="n">
        <x:f>FRAGEN_MASTER!E675</x:f>
        <x:v>4</x:v>
      </x:c>
      <x:c r="F675" s="36" t="str">
        <x:f>FRAGEN_MASTER!Q675</x:f>
        <x:v>Warum versteht der „natürliche Mensch“ nach Paulus die Dinge des Geistes Gottes nicht?</x:v>
      </x:c>
      <x:c r="G675" s="36" t="str">
        <x:f>FRAGEN_MASTER!R675</x:f>
        <x:v>Weil sie nur in lateinischer Sprache erklärt werden.</x:v>
      </x:c>
      <x:c r="H675" s="36" t="str">
        <x:f>FRAGEN_MASTER!S675</x:f>
        <x:v>Weil nur Apostel denken dürfen.</x:v>
      </x:c>
      <x:c r="I675" s="36" t="str">
        <x:f>FRAGEN_MASTER!T675</x:f>
        <x:v>Weil Gott grundsätzlich unerkennbar ist.</x:v>
      </x:c>
      <x:c r="J675" s="36" t="str">
        <x:f>FRAGEN_MASTER!U675</x:f>
        <x:v>Weil sie geistlich beurteilt werden und ihm als Torheit erscheinen.</x:v>
      </x:c>
      <x:c r="K675" s="36" t="n">
        <x:f>FRAGEN_MASTER!V675</x:f>
        <x:v>3</x:v>
      </x:c>
      <x:c r="L675" s="36" t="str">
        <x:f>FRAGEN_MASTER!W675</x:f>
        <x:v>Weil sie geistlich beurteilt werden und ihm als Torheit erscheinen.</x:v>
      </x:c>
      <x:c r="M675" s="36" t="str">
        <x:f>FRAGEN_MASTER!X675</x:f>
        <x:v>1. Korinther 2,14–16</x:v>
      </x:c>
      <x:c r="N675" s="36" t="str">
        <x:f>FRAGEN_MASTER!Y675</x:f>
        <x:v>Paulus stellt natürliche und geistliche Beurteilung gegenüber und schließt mit dem „Sinn Christi“.</x:v>
      </x:c>
      <x:c r="O675" s="36" t="str">
        <x:f>FRAGEN_MASTER!AG675</x:f>
        <x:v>FREIGEGEBEN</x:v>
      </x:c>
      <x:c r="P675" s="36" t="str">
        <x:f>FRAGEN_MASTER!AI675</x:f>
        <x:v>FREIGEGEBEN</x:v>
      </x:c>
      <x:c r="Q675" s="36" t="str">
        <x:f>FRAGEN_MASTER!AL675</x:f>
        <x:v>JA</x:v>
      </x:c>
    </x:row>
    <x:row r="676">
      <x:c r="A676" s="36" t="str">
        <x:f>FRAGEN_MASTER!A676</x:f>
        <x:v>FP-0935</x:v>
      </x:c>
      <x:c r="B676" s="36" t="str">
        <x:f>FRAGEN_MASTER!B676</x:f>
        <x:v>1CO</x:v>
      </x:c>
      <x:c r="C676" s="36" t="str">
        <x:f>FRAGEN_MASTER!C676</x:f>
        <x:v>1. Korinther</x:v>
      </x:c>
      <x:c r="D676" s="36" t="n">
        <x:f>FRAGEN_MASTER!D676</x:f>
        <x:v>2</x:v>
      </x:c>
      <x:c r="E676" s="36" t="n">
        <x:f>FRAGEN_MASTER!E676</x:f>
        <x:v>5</x:v>
      </x:c>
      <x:c r="F676" s="36" t="str">
        <x:f>FRAGEN_MASTER!Q676</x:f>
        <x:v>Wozu haben Glaubende nach Paulus den Geist aus Gott empfangen?</x:v>
      </x:c>
      <x:c r="G676" s="36" t="str">
        <x:f>FRAGEN_MASTER!R676</x:f>
        <x:v>Damit sie erkennen, was ihnen von Gott geschenkt ist.</x:v>
      </x:c>
      <x:c r="H676" s="36" t="str">
        <x:f>FRAGEN_MASTER!S676</x:f>
        <x:v>Damit sie menschliche Weisheit besser beherrschen.</x:v>
      </x:c>
      <x:c r="I676" s="36" t="str">
        <x:f>FRAGEN_MASTER!T676</x:f>
        <x:v>Damit sie keine Fragen mehr stellen.</x:v>
      </x:c>
      <x:c r="J676" s="36" t="str">
        <x:f>FRAGEN_MASTER!U676</x:f>
        <x:v>Damit sie sich über andere erheben.</x:v>
      </x:c>
      <x:c r="K676" s="36" t="n">
        <x:f>FRAGEN_MASTER!V676</x:f>
        <x:v>0</x:v>
      </x:c>
      <x:c r="L676" s="36" t="str">
        <x:f>FRAGEN_MASTER!W676</x:f>
        <x:v>Damit sie erkennen, was ihnen von Gott geschenkt ist.</x:v>
      </x:c>
      <x:c r="M676" s="36" t="str">
        <x:f>FRAGEN_MASTER!X676</x:f>
        <x:v>1. Korinther 2,12</x:v>
      </x:c>
      <x:c r="N676" s="36" t="str">
        <x:f>FRAGEN_MASTER!Y676</x:f>
        <x:v>Der Geist ermöglicht, Gottes geschenkte Gaben und Wirklichkeiten zu erkennen.</x:v>
      </x:c>
      <x:c r="O676" s="36" t="str">
        <x:f>FRAGEN_MASTER!AG676</x:f>
        <x:v>FREIGEGEBEN</x:v>
      </x:c>
      <x:c r="P676" s="36" t="str">
        <x:f>FRAGEN_MASTER!AI676</x:f>
        <x:v>FREIGEGEBEN</x:v>
      </x:c>
      <x:c r="Q676" s="36" t="str">
        <x:f>FRAGEN_MASTER!AL676</x:f>
        <x:v>JA</x:v>
      </x:c>
    </x:row>
    <x:row r="677">
      <x:c r="A677" s="36" t="str">
        <x:f>FRAGEN_MASTER!A677</x:f>
        <x:v>FP-0936</x:v>
      </x:c>
      <x:c r="B677" s="36" t="str">
        <x:f>FRAGEN_MASTER!B677</x:f>
        <x:v>1CO</x:v>
      </x:c>
      <x:c r="C677" s="36" t="str">
        <x:f>FRAGEN_MASTER!C677</x:f>
        <x:v>1. Korinther</x:v>
      </x:c>
      <x:c r="D677" s="36" t="n">
        <x:f>FRAGEN_MASTER!D677</x:f>
        <x:v>3</x:v>
      </x:c>
      <x:c r="E677" s="36" t="n">
        <x:f>FRAGEN_MASTER!E677</x:f>
        <x:v>1</x:v>
      </x:c>
      <x:c r="F677" s="36" t="str">
        <x:f>FRAGEN_MASTER!Q677</x:f>
        <x:v>Woran erkennt Paulus, dass die Korinther noch fleischlich beziehungsweise unreif handeln?</x:v>
      </x:c>
      <x:c r="G677" s="36" t="str">
        <x:f>FRAGEN_MASTER!R677</x:f>
        <x:v>Daran, dass sie überhaupt Fragen stellen.</x:v>
      </x:c>
      <x:c r="H677" s="36" t="str">
        <x:f>FRAGEN_MASTER!S677</x:f>
        <x:v>An Eifersucht und Streit sowie daran, dass sie sich nach menschlichen Leitern gruppieren.</x:v>
      </x:c>
      <x:c r="I677" s="36" t="str">
        <x:f>FRAGEN_MASTER!T677</x:f>
        <x:v>Daran, dass sie unterschiedliche Berufe haben.</x:v>
      </x:c>
      <x:c r="J677" s="36" t="str">
        <x:f>FRAGEN_MASTER!U677</x:f>
        <x:v>Daran, dass sie nicht alle dieselben Gaben besitzen.</x:v>
      </x:c>
      <x:c r="K677" s="36" t="n">
        <x:f>FRAGEN_MASTER!V677</x:f>
        <x:v>1</x:v>
      </x:c>
      <x:c r="L677" s="36" t="str">
        <x:f>FRAGEN_MASTER!W677</x:f>
        <x:v>An Eifersucht und Streit sowie daran, dass sie sich nach menschlichen Leitern gruppieren.</x:v>
      </x:c>
      <x:c r="M677" s="36" t="str">
        <x:f>FRAGEN_MASTER!X677</x:f>
        <x:v>1. Korinther 3,1–4</x:v>
      </x:c>
      <x:c r="N677" s="36" t="str">
        <x:f>FRAGEN_MASTER!Y677</x:f>
        <x:v>Paulus nennt Eifersucht, Streit und Parteibildung als Zeichen geistlicher Unreife.</x:v>
      </x:c>
      <x:c r="O677" s="36" t="str">
        <x:f>FRAGEN_MASTER!AG677</x:f>
        <x:v>FREIGEGEBEN</x:v>
      </x:c>
      <x:c r="P677" s="36" t="str">
        <x:f>FRAGEN_MASTER!AI677</x:f>
        <x:v>FREIGEGEBEN</x:v>
      </x:c>
      <x:c r="Q677" s="36" t="str">
        <x:f>FRAGEN_MASTER!AL677</x:f>
        <x:v>JA</x:v>
      </x:c>
    </x:row>
    <x:row r="678">
      <x:c r="A678" s="36" t="str">
        <x:f>FRAGEN_MASTER!A678</x:f>
        <x:v>FP-0937</x:v>
      </x:c>
      <x:c r="B678" s="36" t="str">
        <x:f>FRAGEN_MASTER!B678</x:f>
        <x:v>1CO</x:v>
      </x:c>
      <x:c r="C678" s="36" t="str">
        <x:f>FRAGEN_MASTER!C678</x:f>
        <x:v>1. Korinther</x:v>
      </x:c>
      <x:c r="D678" s="36" t="n">
        <x:f>FRAGEN_MASTER!D678</x:f>
        <x:v>3</x:v>
      </x:c>
      <x:c r="E678" s="36" t="n">
        <x:f>FRAGEN_MASTER!E678</x:f>
        <x:v>2</x:v>
      </x:c>
      <x:c r="F678" s="36" t="str">
        <x:f>FRAGEN_MASTER!Q678</x:f>
        <x:v>Wie ordnet Paulus seinen Dienst und den des Apollos ein?</x:v>
      </x:c>
      <x:c r="G678" s="36" t="str">
        <x:f>FRAGEN_MASTER!R678</x:f>
        <x:v>Paulus gibt das Wachstum, Apollos ist überflüssig.</x:v>
      </x:c>
      <x:c r="H678" s="36" t="str">
        <x:f>FRAGEN_MASTER!S678</x:f>
        <x:v>Apollos ist der eigentliche Herr der Gemeinde.</x:v>
      </x:c>
      <x:c r="I678" s="36" t="str">
        <x:f>FRAGEN_MASTER!T678</x:f>
        <x:v>Beide sind Diener; Paulus pflanzt, Apollos begießt, aber Gott gibt das Wachstum.</x:v>
      </x:c>
      <x:c r="J678" s="36" t="str">
        <x:f>FRAGEN_MASTER!U678</x:f>
        <x:v>Beide arbeiten unabhängig von Gott.</x:v>
      </x:c>
      <x:c r="K678" s="36" t="n">
        <x:f>FRAGEN_MASTER!V678</x:f>
        <x:v>2</x:v>
      </x:c>
      <x:c r="L678" s="36" t="str">
        <x:f>FRAGEN_MASTER!W678</x:f>
        <x:v>Beide sind Diener; Paulus pflanzt, Apollos begießt, aber Gott gibt das Wachstum.</x:v>
      </x:c>
      <x:c r="M678" s="36" t="str">
        <x:f>FRAGEN_MASTER!X678</x:f>
        <x:v>1. Korinther 3,5–9</x:v>
      </x:c>
      <x:c r="N678" s="36" t="str">
        <x:f>FRAGEN_MASTER!Y678</x:f>
        <x:v>Paulus relativiert menschliche Leiter und betont Gottes entscheidendes Wirken.</x:v>
      </x:c>
      <x:c r="O678" s="36" t="str">
        <x:f>FRAGEN_MASTER!AG678</x:f>
        <x:v>FREIGEGEBEN</x:v>
      </x:c>
      <x:c r="P678" s="36" t="str">
        <x:f>FRAGEN_MASTER!AI678</x:f>
        <x:v>FREIGEGEBEN</x:v>
      </x:c>
      <x:c r="Q678" s="36" t="str">
        <x:f>FRAGEN_MASTER!AL678</x:f>
        <x:v>JA</x:v>
      </x:c>
    </x:row>
    <x:row r="679">
      <x:c r="A679" s="36" t="str">
        <x:f>FRAGEN_MASTER!A679</x:f>
        <x:v>FP-0938</x:v>
      </x:c>
      <x:c r="B679" s="36" t="str">
        <x:f>FRAGEN_MASTER!B679</x:f>
        <x:v>1CO</x:v>
      </x:c>
      <x:c r="C679" s="36" t="str">
        <x:f>FRAGEN_MASTER!C679</x:f>
        <x:v>1. Korinther</x:v>
      </x:c>
      <x:c r="D679" s="36" t="n">
        <x:f>FRAGEN_MASTER!D679</x:f>
        <x:v>3</x:v>
      </x:c>
      <x:c r="E679" s="36" t="n">
        <x:f>FRAGEN_MASTER!E679</x:f>
        <x:v>3</x:v>
      </x:c>
      <x:c r="F679" s="36" t="str">
        <x:f>FRAGEN_MASTER!Q679</x:f>
        <x:v>Welches Fundament kann nach Paulus niemand durch ein anderes ersetzen?</x:v>
      </x:c>
      <x:c r="G679" s="36" t="str">
        <x:f>FRAGEN_MASTER!R679</x:f>
        <x:v>Paulus.</x:v>
      </x:c>
      <x:c r="H679" s="36" t="str">
        <x:f>FRAGEN_MASTER!S679</x:f>
        <x:v>Die griechische Weisheit.</x:v>
      </x:c>
      <x:c r="I679" s="36" t="str">
        <x:f>FRAGEN_MASTER!T679</x:f>
        <x:v>Den Tempel in Jerusalem.</x:v>
      </x:c>
      <x:c r="J679" s="36" t="str">
        <x:f>FRAGEN_MASTER!U679</x:f>
        <x:v>Jesus Christus.</x:v>
      </x:c>
      <x:c r="K679" s="36" t="n">
        <x:f>FRAGEN_MASTER!V679</x:f>
        <x:v>3</x:v>
      </x:c>
      <x:c r="L679" s="36" t="str">
        <x:f>FRAGEN_MASTER!W679</x:f>
        <x:v>Jesus Christus.</x:v>
      </x:c>
      <x:c r="M679" s="36" t="str">
        <x:f>FRAGEN_MASTER!X679</x:f>
        <x:v>1. Korinther 3,10–15</x:v>
      </x:c>
      <x:c r="N679" s="36" t="str">
        <x:f>FRAGEN_MASTER!Y679</x:f>
        <x:v>Paulus beschreibt Christus als einziges Fundament; die Qualität des darauf gebauten Werkes wird geprüft.</x:v>
      </x:c>
      <x:c r="O679" s="36" t="str">
        <x:f>FRAGEN_MASTER!AG679</x:f>
        <x:v>FREIGEGEBEN</x:v>
      </x:c>
      <x:c r="P679" s="36" t="str">
        <x:f>FRAGEN_MASTER!AI679</x:f>
        <x:v>FREIGEGEBEN</x:v>
      </x:c>
      <x:c r="Q679" s="36" t="str">
        <x:f>FRAGEN_MASTER!AL679</x:f>
        <x:v>JA</x:v>
      </x:c>
    </x:row>
    <x:row r="680">
      <x:c r="A680" s="36" t="str">
        <x:f>FRAGEN_MASTER!A680</x:f>
        <x:v>FP-0939</x:v>
      </x:c>
      <x:c r="B680" s="36" t="str">
        <x:f>FRAGEN_MASTER!B680</x:f>
        <x:v>1CO</x:v>
      </x:c>
      <x:c r="C680" s="36" t="str">
        <x:f>FRAGEN_MASTER!C680</x:f>
        <x:v>1. Korinther</x:v>
      </x:c>
      <x:c r="D680" s="36" t="n">
        <x:f>FRAGEN_MASTER!D680</x:f>
        <x:v>3</x:v>
      </x:c>
      <x:c r="E680" s="36" t="n">
        <x:f>FRAGEN_MASTER!E680</x:f>
        <x:v>4</x:v>
      </x:c>
      <x:c r="F680" s="36" t="str">
        <x:f>FRAGEN_MASTER!Q680</x:f>
        <x:v>Was sagt Paulus über die Gemeinde als Tempel?</x:v>
      </x:c>
      <x:c r="G680" s="36" t="str">
        <x:f>FRAGEN_MASTER!R680</x:f>
        <x:v>Sie ist Gottes Tempel, und Gottes Geist wohnt in ihr.</x:v>
      </x:c>
      <x:c r="H680" s="36" t="str">
        <x:f>FRAGEN_MASTER!S680</x:f>
        <x:v>Nur das Jerusalemer Gebäude kann Gottes Tempel sein.</x:v>
      </x:c>
      <x:c r="I680" s="36" t="str">
        <x:f>FRAGEN_MASTER!T680</x:f>
        <x:v>Jeder Tempel ist unabhängig von Gott heilig.</x:v>
      </x:c>
      <x:c r="J680" s="36" t="str">
        <x:f>FRAGEN_MASTER!U680</x:f>
        <x:v>Gottes Geist wohnt nur in Aposteln.</x:v>
      </x:c>
      <x:c r="K680" s="36" t="n">
        <x:f>FRAGEN_MASTER!V680</x:f>
        <x:v>0</x:v>
      </x:c>
      <x:c r="L680" s="36" t="str">
        <x:f>FRAGEN_MASTER!W680</x:f>
        <x:v>Sie ist Gottes Tempel, und Gottes Geist wohnt in ihr.</x:v>
      </x:c>
      <x:c r="M680" s="36" t="str">
        <x:f>FRAGEN_MASTER!X680</x:f>
        <x:v>1. Korinther 3,16–17</x:v>
      </x:c>
      <x:c r="N680" s="36" t="str">
        <x:f>FRAGEN_MASTER!Y680</x:f>
        <x:v>Paulus wendet das Tempelbild auf die Gemeinde an und unterstreicht ihre Heiligkeit.</x:v>
      </x:c>
      <x:c r="O680" s="36" t="str">
        <x:f>FRAGEN_MASTER!AG680</x:f>
        <x:v>FREIGEGEBEN</x:v>
      </x:c>
      <x:c r="P680" s="36" t="str">
        <x:f>FRAGEN_MASTER!AI680</x:f>
        <x:v>FREIGEGEBEN</x:v>
      </x:c>
      <x:c r="Q680" s="36" t="str">
        <x:f>FRAGEN_MASTER!AL680</x:f>
        <x:v>JA</x:v>
      </x:c>
    </x:row>
    <x:row r="681">
      <x:c r="A681" s="36" t="str">
        <x:f>FRAGEN_MASTER!A681</x:f>
        <x:v>FP-0940</x:v>
      </x:c>
      <x:c r="B681" s="36" t="str">
        <x:f>FRAGEN_MASTER!B681</x:f>
        <x:v>1CO</x:v>
      </x:c>
      <x:c r="C681" s="36" t="str">
        <x:f>FRAGEN_MASTER!C681</x:f>
        <x:v>1. Korinther</x:v>
      </x:c>
      <x:c r="D681" s="36" t="n">
        <x:f>FRAGEN_MASTER!D681</x:f>
        <x:v>3</x:v>
      </x:c>
      <x:c r="E681" s="36" t="n">
        <x:f>FRAGEN_MASTER!E681</x:f>
        <x:v>5</x:v>
      </x:c>
      <x:c r="F681" s="36" t="str">
        <x:f>FRAGEN_MASTER!Q681</x:f>
        <x:v>Wie sollen die Korinther mit menschlicher Weisheit und dem Rühmen über Leiter umgehen?</x:v>
      </x:c>
      <x:c r="G681" s="36" t="str">
        <x:f>FRAGEN_MASTER!R681</x:f>
        <x:v>Sie sollen den klügsten Leiter zum eigentlichen Herrn machen.</x:v>
      </x:c>
      <x:c r="H681" s="36" t="str">
        <x:f>FRAGEN_MASTER!S681</x:f>
        <x:v>Sie sollen sich nicht selbst täuschen und sich nicht mit Menschen rühmen, denn alles gehört ihnen, sie aber Christus.</x:v>
      </x:c>
      <x:c r="I681" s="36" t="str">
        <x:f>FRAGEN_MASTER!T681</x:f>
        <x:v>Sie sollen nur Paulus folgen.</x:v>
      </x:c>
      <x:c r="J681" s="36" t="str">
        <x:f>FRAGEN_MASTER!U681</x:f>
        <x:v>Sie sollen Weisheit grundsätzlich ablehnen.</x:v>
      </x:c>
      <x:c r="K681" s="36" t="n">
        <x:f>FRAGEN_MASTER!V681</x:f>
        <x:v>1</x:v>
      </x:c>
      <x:c r="L681" s="36" t="str">
        <x:f>FRAGEN_MASTER!W681</x:f>
        <x:v>Sie sollen sich nicht selbst täuschen und sich nicht mit Menschen rühmen, denn alles gehört ihnen, sie aber Christus.</x:v>
      </x:c>
      <x:c r="M681" s="36" t="str">
        <x:f>FRAGEN_MASTER!X681</x:f>
        <x:v>1. Korinther 3,18–23</x:v>
      </x:c>
      <x:c r="N681" s="36" t="str">
        <x:f>FRAGEN_MASTER!Y681</x:f>
        <x:v>Paulus erklärt Weltweisheit vor Gott für Torheit und beendet die Parteibildung mit der Zugehörigkeit zu Christus.</x:v>
      </x:c>
      <x:c r="O681" s="36" t="str">
        <x:f>FRAGEN_MASTER!AG681</x:f>
        <x:v>FREIGEGEBEN</x:v>
      </x:c>
      <x:c r="P681" s="36" t="str">
        <x:f>FRAGEN_MASTER!AI681</x:f>
        <x:v>FREIGEGEBEN</x:v>
      </x:c>
      <x:c r="Q681" s="36" t="str">
        <x:f>FRAGEN_MASTER!AL681</x:f>
        <x:v>JA</x:v>
      </x:c>
    </x:row>
    <x:row r="682">
      <x:c r="A682" s="36" t="str">
        <x:f>FRAGEN_MASTER!A682</x:f>
        <x:v>FP-0941</x:v>
      </x:c>
      <x:c r="B682" s="36" t="str">
        <x:f>FRAGEN_MASTER!B682</x:f>
        <x:v>1CO</x:v>
      </x:c>
      <x:c r="C682" s="36" t="str">
        <x:f>FRAGEN_MASTER!C682</x:f>
        <x:v>1. Korinther</x:v>
      </x:c>
      <x:c r="D682" s="36" t="n">
        <x:f>FRAGEN_MASTER!D682</x:f>
        <x:v>4</x:v>
      </x:c>
      <x:c r="E682" s="36" t="n">
        <x:f>FRAGEN_MASTER!E682</x:f>
        <x:v>1</x:v>
      </x:c>
      <x:c r="F682" s="36" t="str">
        <x:f>FRAGEN_MASTER!Q682</x:f>
        <x:v>Wie sollen Apostel und andere Diener nach Paulus betrachtet werden?</x:v>
      </x:c>
      <x:c r="G682" s="36" t="str">
        <x:f>FRAGEN_MASTER!R682</x:f>
        <x:v>Als Besitzer der Gemeinde.</x:v>
      </x:c>
      <x:c r="H682" s="36" t="str">
        <x:f>FRAGEN_MASTER!S682</x:f>
        <x:v>Als Menschen, die keiner Rechenschaft unterliegen.</x:v>
      </x:c>
      <x:c r="I682" s="36" t="str">
        <x:f>FRAGEN_MASTER!T682</x:f>
        <x:v>Als Diener Christi und Verwalter von Gottes Geheimnissen, von denen Treue erwartet wird.</x:v>
      </x:c>
      <x:c r="J682" s="36" t="str">
        <x:f>FRAGEN_MASTER!U682</x:f>
        <x:v>Als politische Herrscher.</x:v>
      </x:c>
      <x:c r="K682" s="36" t="n">
        <x:f>FRAGEN_MASTER!V682</x:f>
        <x:v>2</x:v>
      </x:c>
      <x:c r="L682" s="36" t="str">
        <x:f>FRAGEN_MASTER!W682</x:f>
        <x:v>Als Diener Christi und Verwalter von Gottes Geheimnissen, von denen Treue erwartet wird.</x:v>
      </x:c>
      <x:c r="M682" s="36" t="str">
        <x:f>FRAGEN_MASTER!X682</x:f>
        <x:v>1. Korinther 4,1–5</x:v>
      </x:c>
      <x:c r="N682" s="36" t="str">
        <x:f>FRAGEN_MASTER!Y682</x:f>
        <x:v>Paulus betont Treue und verweist die endgültige Beurteilung des Dienstes auf den Herrn.</x:v>
      </x:c>
      <x:c r="O682" s="36" t="str">
        <x:f>FRAGEN_MASTER!AG682</x:f>
        <x:v>FREIGEGEBEN</x:v>
      </x:c>
      <x:c r="P682" s="36" t="str">
        <x:f>FRAGEN_MASTER!AI682</x:f>
        <x:v>FREIGEGEBEN</x:v>
      </x:c>
      <x:c r="Q682" s="36" t="str">
        <x:f>FRAGEN_MASTER!AL682</x:f>
        <x:v>JA</x:v>
      </x:c>
    </x:row>
    <x:row r="683">
      <x:c r="A683" s="36" t="str">
        <x:f>FRAGEN_MASTER!A683</x:f>
        <x:v>FP-0942</x:v>
      </x:c>
      <x:c r="B683" s="36" t="str">
        <x:f>FRAGEN_MASTER!B683</x:f>
        <x:v>1CO</x:v>
      </x:c>
      <x:c r="C683" s="36" t="str">
        <x:f>FRAGEN_MASTER!C683</x:f>
        <x:v>1. Korinther</x:v>
      </x:c>
      <x:c r="D683" s="36" t="n">
        <x:f>FRAGEN_MASTER!D683</x:f>
        <x:v>4</x:v>
      </x:c>
      <x:c r="E683" s="36" t="n">
        <x:f>FRAGEN_MASTER!E683</x:f>
        <x:v>2</x:v>
      </x:c>
      <x:c r="F683" s="36" t="str">
        <x:f>FRAGEN_MASTER!Q683</x:f>
        <x:v>Welche Frage soll Überheblichkeit in der Gemeinde entkräften?</x:v>
      </x:c>
      <x:c r="G683" s="36" t="str">
        <x:f>FRAGEN_MASTER!R683</x:f>
        <x:v>Wer besitzt das meiste Wissen?</x:v>
      </x:c>
      <x:c r="H683" s="36" t="str">
        <x:f>FRAGEN_MASTER!S683</x:f>
        <x:v>Wer wurde zuerst getauft?</x:v>
      </x:c>
      <x:c r="I683" s="36" t="str">
        <x:f>FRAGEN_MASTER!T683</x:f>
        <x:v>Wer ist gesellschaftlich am angesehensten?</x:v>
      </x:c>
      <x:c r="J683" s="36" t="str">
        <x:f>FRAGEN_MASTER!U683</x:f>
        <x:v>Was hast du, das du nicht empfangen hast?</x:v>
      </x:c>
      <x:c r="K683" s="36" t="n">
        <x:f>FRAGEN_MASTER!V683</x:f>
        <x:v>3</x:v>
      </x:c>
      <x:c r="L683" s="36" t="str">
        <x:f>FRAGEN_MASTER!W683</x:f>
        <x:v>Was hast du, das du nicht empfangen hast?</x:v>
      </x:c>
      <x:c r="M683" s="36" t="str">
        <x:f>FRAGEN_MASTER!X683</x:f>
        <x:v>1. Korinther 4,6–7</x:v>
      </x:c>
      <x:c r="N683" s="36" t="str">
        <x:f>FRAGEN_MASTER!Y683</x:f>
        <x:v>Paulus erinnert daran, dass alles Empfangene Gnade ist und daher kein Grund zur Überheblichkeit besteht.</x:v>
      </x:c>
      <x:c r="O683" s="36" t="str">
        <x:f>FRAGEN_MASTER!AG683</x:f>
        <x:v>FREIGEGEBEN</x:v>
      </x:c>
      <x:c r="P683" s="36" t="str">
        <x:f>FRAGEN_MASTER!AI683</x:f>
        <x:v>FREIGEGEBEN</x:v>
      </x:c>
      <x:c r="Q683" s="36" t="str">
        <x:f>FRAGEN_MASTER!AL683</x:f>
        <x:v>JA</x:v>
      </x:c>
    </x:row>
    <x:row r="684">
      <x:c r="A684" s="36" t="str">
        <x:f>FRAGEN_MASTER!A684</x:f>
        <x:v>FP-0943</x:v>
      </x:c>
      <x:c r="B684" s="36" t="str">
        <x:f>FRAGEN_MASTER!B684</x:f>
        <x:v>1CO</x:v>
      </x:c>
      <x:c r="C684" s="36" t="str">
        <x:f>FRAGEN_MASTER!C684</x:f>
        <x:v>1. Korinther</x:v>
      </x:c>
      <x:c r="D684" s="36" t="n">
        <x:f>FRAGEN_MASTER!D684</x:f>
        <x:v>4</x:v>
      </x:c>
      <x:c r="E684" s="36" t="n">
        <x:f>FRAGEN_MASTER!E684</x:f>
        <x:v>3</x:v>
      </x:c>
      <x:c r="F684" s="36" t="str">
        <x:f>FRAGEN_MASTER!Q684</x:f>
        <x:v>Wie beschreibt Paulus den Kontrast zwischen der Selbstwahrnehmung der Korinther und dem Leben der Apostel?</x:v>
      </x:c>
      <x:c r="G684" s="36" t="str">
        <x:f>FRAGEN_MASTER!R684</x:f>
        <x:v>Die Korinther fühlen sich satt und reich, während die Apostel Schwachheit, Verachtung und Entbehrung erleben.</x:v>
      </x:c>
      <x:c r="H684" s="36" t="str">
        <x:f>FRAGEN_MASTER!S684</x:f>
        <x:v>Die Apostel leben im Luxus, die Korinther in Armut.</x:v>
      </x:c>
      <x:c r="I684" s="36" t="str">
        <x:f>FRAGEN_MASTER!T684</x:f>
        <x:v>Beide Gruppen erleben genau dasselbe.</x:v>
      </x:c>
      <x:c r="J684" s="36" t="str">
        <x:f>FRAGEN_MASTER!U684</x:f>
        <x:v>Die Apostel vermeiden jeden öffentlichen Widerstand.</x:v>
      </x:c>
      <x:c r="K684" s="36" t="n">
        <x:f>FRAGEN_MASTER!V684</x:f>
        <x:v>0</x:v>
      </x:c>
      <x:c r="L684" s="36" t="str">
        <x:f>FRAGEN_MASTER!W684</x:f>
        <x:v>Die Korinther fühlen sich satt und reich, während die Apostel Schwachheit, Verachtung und Entbehrung erleben.</x:v>
      </x:c>
      <x:c r="M684" s="36" t="str">
        <x:f>FRAGEN_MASTER!X684</x:f>
        <x:v>1. Korinther 4,8–13</x:v>
      </x:c>
      <x:c r="N684" s="36" t="str">
        <x:f>FRAGEN_MASTER!Y684</x:f>
        <x:v>Paulus benutzt scharfe Ironie und beschreibt den leidenden apostolischen Dienst.</x:v>
      </x:c>
      <x:c r="O684" s="36" t="str">
        <x:f>FRAGEN_MASTER!AG684</x:f>
        <x:v>FREIGEGEBEN</x:v>
      </x:c>
      <x:c r="P684" s="36" t="str">
        <x:f>FRAGEN_MASTER!AI684</x:f>
        <x:v>FREIGEGEBEN</x:v>
      </x:c>
      <x:c r="Q684" s="36" t="str">
        <x:f>FRAGEN_MASTER!AL684</x:f>
        <x:v>JA</x:v>
      </x:c>
    </x:row>
    <x:row r="685">
      <x:c r="A685" s="36" t="str">
        <x:f>FRAGEN_MASTER!A685</x:f>
        <x:v>FP-0944</x:v>
      </x:c>
      <x:c r="B685" s="36" t="str">
        <x:f>FRAGEN_MASTER!B685</x:f>
        <x:v>1CO</x:v>
      </x:c>
      <x:c r="C685" s="36" t="str">
        <x:f>FRAGEN_MASTER!C685</x:f>
        <x:v>1. Korinther</x:v>
      </x:c>
      <x:c r="D685" s="36" t="n">
        <x:f>FRAGEN_MASTER!D685</x:f>
        <x:v>4</x:v>
      </x:c>
      <x:c r="E685" s="36" t="n">
        <x:f>FRAGEN_MASTER!E685</x:f>
        <x:v>4</x:v>
      </x:c>
      <x:c r="F685" s="36" t="str">
        <x:f>FRAGEN_MASTER!Q685</x:f>
        <x:v>Warum fordert Paulus die Korinther auf, seinem Beispiel zu folgen?</x:v>
      </x:c>
      <x:c r="G685" s="36" t="str">
        <x:f>FRAGEN_MASTER!R685</x:f>
        <x:v>Weil er sich selbst für unfehlbar hält.</x:v>
      </x:c>
      <x:c r="H685" s="36" t="str">
        <x:f>FRAGEN_MASTER!S685</x:f>
        <x:v>Weil er sie durch das Evangelium wie ein Vater in Christus hervorgebracht hat und Timotheus sie an seine Wege erinnern soll.</x:v>
      </x:c>
      <x:c r="I685" s="36" t="str">
        <x:f>FRAGEN_MASTER!T685</x:f>
        <x:v>Weil nur Paulus den Heiligen Geist besitzt.</x:v>
      </x:c>
      <x:c r="J685" s="36" t="str">
        <x:f>FRAGEN_MASTER!U685</x:f>
        <x:v>Weil Timotheus die Gemeinde ersetzen soll.</x:v>
      </x:c>
      <x:c r="K685" s="36" t="n">
        <x:f>FRAGEN_MASTER!V685</x:f>
        <x:v>1</x:v>
      </x:c>
      <x:c r="L685" s="36" t="str">
        <x:f>FRAGEN_MASTER!W685</x:f>
        <x:v>Weil er sie durch das Evangelium wie ein Vater in Christus hervorgebracht hat und Timotheus sie an seine Wege erinnern soll.</x:v>
      </x:c>
      <x:c r="M685" s="36" t="str">
        <x:f>FRAGEN_MASTER!X685</x:f>
        <x:v>1. Korinther 4,14–17</x:v>
      </x:c>
      <x:c r="N685" s="36" t="str">
        <x:f>FRAGEN_MASTER!Y685</x:f>
        <x:v>Paulus spricht in einer väterlichen Beziehung zur Gemeinde und verweist auf sein in Christus geprägtes Lebensbeispiel.</x:v>
      </x:c>
      <x:c r="O685" s="36" t="str">
        <x:f>FRAGEN_MASTER!AG685</x:f>
        <x:v>FREIGEGEBEN</x:v>
      </x:c>
      <x:c r="P685" s="36" t="str">
        <x:f>FRAGEN_MASTER!AI685</x:f>
        <x:v>FREIGEGEBEN</x:v>
      </x:c>
      <x:c r="Q685" s="36" t="str">
        <x:f>FRAGEN_MASTER!AL685</x:f>
        <x:v>JA</x:v>
      </x:c>
    </x:row>
    <x:row r="686">
      <x:c r="A686" s="36" t="str">
        <x:f>FRAGEN_MASTER!A686</x:f>
        <x:v>FP-0945</x:v>
      </x:c>
      <x:c r="B686" s="36" t="str">
        <x:f>FRAGEN_MASTER!B686</x:f>
        <x:v>1CO</x:v>
      </x:c>
      <x:c r="C686" s="36" t="str">
        <x:f>FRAGEN_MASTER!C686</x:f>
        <x:v>1. Korinther</x:v>
      </x:c>
      <x:c r="D686" s="36" t="n">
        <x:f>FRAGEN_MASTER!D686</x:f>
        <x:v>4</x:v>
      </x:c>
      <x:c r="E686" s="36" t="n">
        <x:f>FRAGEN_MASTER!E686</x:f>
        <x:v>5</x:v>
      </x:c>
      <x:c r="F686" s="36" t="str">
        <x:f>FRAGEN_MASTER!Q686</x:f>
        <x:v>Woran will Paulus bei überheblichen Leuten die Wirklichkeit ihres Anspruchs messen?</x:v>
      </x:c>
      <x:c r="G686" s="36" t="str">
        <x:f>FRAGEN_MASTER!R686</x:f>
        <x:v>Nur an ihrer Bildung.</x:v>
      </x:c>
      <x:c r="H686" s="36" t="str">
        <x:f>FRAGEN_MASTER!S686</x:f>
        <x:v>An ihrem Besitz.</x:v>
      </x:c>
      <x:c r="I686" s="36" t="str">
        <x:f>FRAGEN_MASTER!T686</x:f>
        <x:v>Nicht an ihren Worten, sondern an ihrer Kraft, denn Gottes Reich besteht nicht in Worten, sondern in Kraft.</x:v>
      </x:c>
      <x:c r="J686" s="36" t="str">
        <x:f>FRAGEN_MASTER!U686</x:f>
        <x:v>An ihrer Herkunft.</x:v>
      </x:c>
      <x:c r="K686" s="36" t="n">
        <x:f>FRAGEN_MASTER!V686</x:f>
        <x:v>2</x:v>
      </x:c>
      <x:c r="L686" s="36" t="str">
        <x:f>FRAGEN_MASTER!W686</x:f>
        <x:v>Nicht an ihren Worten, sondern an ihrer Kraft, denn Gottes Reich besteht nicht in Worten, sondern in Kraft.</x:v>
      </x:c>
      <x:c r="M686" s="36" t="str">
        <x:f>FRAGEN_MASTER!X686</x:f>
        <x:v>1. Korinther 4,18–21</x:v>
      </x:c>
      <x:c r="N686" s="36" t="str">
        <x:f>FRAGEN_MASTER!Y686</x:f>
        <x:v>Paulus kontrastiert bloße Rede mit der wirksamen Kraft, die Gottes Reich kennzeichnet.</x:v>
      </x:c>
      <x:c r="O686" s="36" t="str">
        <x:f>FRAGEN_MASTER!AG686</x:f>
        <x:v>FREIGEGEBEN</x:v>
      </x:c>
      <x:c r="P686" s="36" t="str">
        <x:f>FRAGEN_MASTER!AI686</x:f>
        <x:v>FREIGEGEBEN</x:v>
      </x:c>
      <x:c r="Q686" s="36" t="str">
        <x:f>FRAGEN_MASTER!AL686</x:f>
        <x:v>JA</x:v>
      </x:c>
    </x:row>
    <x:row r="687">
      <x:c r="A687" s="36" t="str">
        <x:f>FRAGEN_MASTER!A687</x:f>
        <x:v>FP-0946</x:v>
      </x:c>
      <x:c r="B687" s="36" t="str">
        <x:f>FRAGEN_MASTER!B687</x:f>
        <x:v>1CO</x:v>
      </x:c>
      <x:c r="C687" s="36" t="str">
        <x:f>FRAGEN_MASTER!C687</x:f>
        <x:v>1. Korinther</x:v>
      </x:c>
      <x:c r="D687" s="36" t="n">
        <x:f>FRAGEN_MASTER!D687</x:f>
        <x:v>5</x:v>
      </x:c>
      <x:c r="E687" s="36" t="n">
        <x:f>FRAGEN_MASTER!E687</x:f>
        <x:v>1</x:v>
      </x:c>
      <x:c r="F687" s="36" t="str">
        <x:f>FRAGEN_MASTER!Q687</x:f>
        <x:v>Warum reagiert Paulus so scharf auf den Fall schwerer sexueller Unmoral in der Gemeinde?</x:v>
      </x:c>
      <x:c r="G687" s="36" t="str">
        <x:f>FRAGEN_MASTER!R687</x:f>
        <x:v>Weil nur Nichtchristen sündigen dürfen.</x:v>
      </x:c>
      <x:c r="H687" s="36" t="str">
        <x:f>FRAGEN_MASTER!S687</x:f>
        <x:v>Weil Paulus jede Ehe ablehnt.</x:v>
      </x:c>
      <x:c r="I687" s="36" t="str">
        <x:f>FRAGEN_MASTER!T687</x:f>
        <x:v>Weil es ausschließlich um gesellschaftlichen Ruf geht.</x:v>
      </x:c>
      <x:c r="J687" s="36" t="str">
        <x:f>FRAGEN_MASTER!U687</x:f>
        <x:v>Weil die Gemeinde sich damit sogar noch rühmt, statt die Sünde ernst zu nehmen und zu handeln.</x:v>
      </x:c>
      <x:c r="K687" s="36" t="n">
        <x:f>FRAGEN_MASTER!V687</x:f>
        <x:v>3</x:v>
      </x:c>
      <x:c r="L687" s="36" t="str">
        <x:f>FRAGEN_MASTER!W687</x:f>
        <x:v>Weil die Gemeinde sich damit sogar noch rühmt, statt die Sünde ernst zu nehmen und zu handeln.</x:v>
      </x:c>
      <x:c r="M687" s="36" t="str">
        <x:f>FRAGEN_MASTER!X687</x:f>
        <x:v>1. Korinther 5,1–5</x:v>
      </x:c>
      <x:c r="N687" s="36" t="str">
        <x:f>FRAGEN_MASTER!Y687</x:f>
        <x:v>Paulus verbindet die Schwere des Falls mit der falschen Haltung der Gemeinde und fordert konsequentes Handeln.</x:v>
      </x:c>
      <x:c r="O687" s="36" t="str">
        <x:f>FRAGEN_MASTER!AG687</x:f>
        <x:v>FREIGEGEBEN</x:v>
      </x:c>
      <x:c r="P687" s="36" t="str">
        <x:f>FRAGEN_MASTER!AI687</x:f>
        <x:v>FREIGEGEBEN</x:v>
      </x:c>
      <x:c r="Q687" s="36" t="str">
        <x:f>FRAGEN_MASTER!AL687</x:f>
        <x:v>JA</x:v>
      </x:c>
    </x:row>
    <x:row r="688">
      <x:c r="A688" s="36" t="str">
        <x:f>FRAGEN_MASTER!A688</x:f>
        <x:v>FP-0947</x:v>
      </x:c>
      <x:c r="B688" s="36" t="str">
        <x:f>FRAGEN_MASTER!B688</x:f>
        <x:v>1CO</x:v>
      </x:c>
      <x:c r="C688" s="36" t="str">
        <x:f>FRAGEN_MASTER!C688</x:f>
        <x:v>1. Korinther</x:v>
      </x:c>
      <x:c r="D688" s="36" t="n">
        <x:f>FRAGEN_MASTER!D688</x:f>
        <x:v>5</x:v>
      </x:c>
      <x:c r="E688" s="36" t="n">
        <x:f>FRAGEN_MASTER!E688</x:f>
        <x:v>2</x:v>
      </x:c>
      <x:c r="F688" s="36" t="str">
        <x:f>FRAGEN_MASTER!Q688</x:f>
        <x:v>Was bedeutet das Bild vom „wenigen Sauerteig“ in diesem Kapitel?</x:v>
      </x:c>
      <x:c r="G688" s="36" t="str">
        <x:f>FRAGEN_MASTER!R688</x:f>
        <x:v>Unbehandelte Sünde kann die ganze Gemeinschaft durchdringen.</x:v>
      </x:c>
      <x:c r="H688" s="36" t="str">
        <x:f>FRAGEN_MASTER!S688</x:f>
        <x:v>Die Gemeinde soll mehr Brot backen.</x:v>
      </x:c>
      <x:c r="I688" s="36" t="str">
        <x:f>FRAGEN_MASTER!T688</x:f>
        <x:v>Nur äußere Speisevorschriften sind wichtig.</x:v>
      </x:c>
      <x:c r="J688" s="36" t="str">
        <x:f>FRAGEN_MASTER!U688</x:f>
        <x:v>Sauerteig steht hier für apostolische Lehre.</x:v>
      </x:c>
      <x:c r="K688" s="36" t="n">
        <x:f>FRAGEN_MASTER!V688</x:f>
        <x:v>0</x:v>
      </x:c>
      <x:c r="L688" s="36" t="str">
        <x:f>FRAGEN_MASTER!W688</x:f>
        <x:v>Unbehandelte Sünde kann die ganze Gemeinschaft durchdringen.</x:v>
      </x:c>
      <x:c r="M688" s="36" t="str">
        <x:f>FRAGEN_MASTER!X688</x:f>
        <x:v>1. Korinther 5,6–8</x:v>
      </x:c>
      <x:c r="N688" s="36" t="str">
        <x:f>FRAGEN_MASTER!Y688</x:f>
        <x:v>Paulus nutzt Sauerteig als Bild für den ausbreitenden Einfluss des Bösen und ruft zu Aufrichtigkeit und Wahrheit.</x:v>
      </x:c>
      <x:c r="O688" s="36" t="str">
        <x:f>FRAGEN_MASTER!AG688</x:f>
        <x:v>FREIGEGEBEN</x:v>
      </x:c>
      <x:c r="P688" s="36" t="str">
        <x:f>FRAGEN_MASTER!AI688</x:f>
        <x:v>FREIGEGEBEN</x:v>
      </x:c>
      <x:c r="Q688" s="36" t="str">
        <x:f>FRAGEN_MASTER!AL688</x:f>
        <x:v>JA</x:v>
      </x:c>
    </x:row>
    <x:row r="689">
      <x:c r="A689" s="36" t="str">
        <x:f>FRAGEN_MASTER!A689</x:f>
        <x:v>FP-0948</x:v>
      </x:c>
      <x:c r="B689" s="36" t="str">
        <x:f>FRAGEN_MASTER!B689</x:f>
        <x:v>1CO</x:v>
      </x:c>
      <x:c r="C689" s="36" t="str">
        <x:f>FRAGEN_MASTER!C689</x:f>
        <x:v>1. Korinther</x:v>
      </x:c>
      <x:c r="D689" s="36" t="n">
        <x:f>FRAGEN_MASTER!D689</x:f>
        <x:v>5</x:v>
      </x:c>
      <x:c r="E689" s="36" t="n">
        <x:f>FRAGEN_MASTER!E689</x:f>
        <x:v>3</x:v>
      </x:c>
      <x:c r="F689" s="36" t="str">
        <x:f>FRAGEN_MASTER!Q689</x:f>
        <x:v>Von wem sollen sich die Korinther nach Paulus in besonderer Weise distanzieren?</x:v>
      </x:c>
      <x:c r="G689" s="36" t="str">
        <x:f>FRAGEN_MASTER!R689</x:f>
        <x:v>Von allen Menschen außerhalb der Gemeinde.</x:v>
      </x:c>
      <x:c r="H689" s="36" t="str">
        <x:f>FRAGEN_MASTER!S689</x:f>
        <x:v>Von jemandem, der sich Bruder nennt und zugleich bewusst in schwerer Unmoral verharrt.</x:v>
      </x:c>
      <x:c r="I689" s="36" t="str">
        <x:f>FRAGEN_MASTER!T689</x:f>
        <x:v>Von jedem, der einmal gesündigt hat.</x:v>
      </x:c>
      <x:c r="J689" s="36" t="str">
        <x:f>FRAGEN_MASTER!U689</x:f>
        <x:v>Von allen Nichtjuden.</x:v>
      </x:c>
      <x:c r="K689" s="36" t="n">
        <x:f>FRAGEN_MASTER!V689</x:f>
        <x:v>1</x:v>
      </x:c>
      <x:c r="L689" s="36" t="str">
        <x:f>FRAGEN_MASTER!W689</x:f>
        <x:v>Von jemandem, der sich Bruder nennt und zugleich bewusst in schwerer Unmoral verharrt.</x:v>
      </x:c>
      <x:c r="M689" s="36" t="str">
        <x:f>FRAGEN_MASTER!X689</x:f>
        <x:v>1. Korinther 5,9–11</x:v>
      </x:c>
      <x:c r="N689" s="36" t="str">
        <x:f>FRAGEN_MASTER!Y689</x:f>
        <x:v>Paulus stellt klar, dass er nicht vollständigen Rückzug aus der Welt meint, sondern Verantwortung innerhalb der Gemeinde.</x:v>
      </x:c>
      <x:c r="O689" s="36" t="str">
        <x:f>FRAGEN_MASTER!AG689</x:f>
        <x:v>FREIGEGEBEN</x:v>
      </x:c>
      <x:c r="P689" s="36" t="str">
        <x:f>FRAGEN_MASTER!AI689</x:f>
        <x:v>FREIGEGEBEN</x:v>
      </x:c>
      <x:c r="Q689" s="36" t="str">
        <x:f>FRAGEN_MASTER!AL689</x:f>
        <x:v>JA</x:v>
      </x:c>
    </x:row>
    <x:row r="690">
      <x:c r="A690" s="36" t="str">
        <x:f>FRAGEN_MASTER!A690</x:f>
        <x:v>FP-0949</x:v>
      </x:c>
      <x:c r="B690" s="36" t="str">
        <x:f>FRAGEN_MASTER!B690</x:f>
        <x:v>1CO</x:v>
      </x:c>
      <x:c r="C690" s="36" t="str">
        <x:f>FRAGEN_MASTER!C690</x:f>
        <x:v>1. Korinther</x:v>
      </x:c>
      <x:c r="D690" s="36" t="n">
        <x:f>FRAGEN_MASTER!D690</x:f>
        <x:v>5</x:v>
      </x:c>
      <x:c r="E690" s="36" t="n">
        <x:f>FRAGEN_MASTER!E690</x:f>
        <x:v>4</x:v>
      </x:c>
      <x:c r="F690" s="36" t="str">
        <x:f>FRAGEN_MASTER!Q690</x:f>
        <x:v>Welche Grenze zieht Paulus beim Richten?</x:v>
      </x:c>
      <x:c r="G690" s="36" t="str">
        <x:f>FRAGEN_MASTER!R690</x:f>
        <x:v>Christen sollen jeden Menschen außerhalb der Gemeinde richten.</x:v>
      </x:c>
      <x:c r="H690" s="36" t="str">
        <x:f>FRAGEN_MASTER!S690</x:f>
        <x:v>Niemand darf Verhalten innerhalb der Gemeinde ansprechen.</x:v>
      </x:c>
      <x:c r="I690" s="36" t="str">
        <x:f>FRAGEN_MASTER!T690</x:f>
        <x:v>Die Gemeinde ist für die Verantwortung gegenüber denen drinnen zuständig; die draußen richtet Gott.</x:v>
      </x:c>
      <x:c r="J690" s="36" t="str">
        <x:f>FRAGEN_MASTER!U690</x:f>
        <x:v>Nur staatliche Gerichte dürfen Sünde beurteilen.</x:v>
      </x:c>
      <x:c r="K690" s="36" t="n">
        <x:f>FRAGEN_MASTER!V690</x:f>
        <x:v>2</x:v>
      </x:c>
      <x:c r="L690" s="36" t="str">
        <x:f>FRAGEN_MASTER!W690</x:f>
        <x:v>Die Gemeinde ist für die Verantwortung gegenüber denen drinnen zuständig; die draußen richtet Gott.</x:v>
      </x:c>
      <x:c r="M690" s="36" t="str">
        <x:f>FRAGEN_MASTER!X690</x:f>
        <x:v>1. Korinther 5,12–13</x:v>
      </x:c>
      <x:c r="N690" s="36" t="str">
        <x:f>FRAGEN_MASTER!Y690</x:f>
        <x:v>Paulus unterscheidet gemeindliche Verantwortung nach innen von Gottes Gericht über die Außenstehenden.</x:v>
      </x:c>
      <x:c r="O690" s="36" t="str">
        <x:f>FRAGEN_MASTER!AG690</x:f>
        <x:v>FREIGEGEBEN</x:v>
      </x:c>
      <x:c r="P690" s="36" t="str">
        <x:f>FRAGEN_MASTER!AI690</x:f>
        <x:v>FREIGEGEBEN</x:v>
      </x:c>
      <x:c r="Q690" s="36" t="str">
        <x:f>FRAGEN_MASTER!AL690</x:f>
        <x:v>JA</x:v>
      </x:c>
    </x:row>
    <x:row r="691">
      <x:c r="A691" s="36" t="str">
        <x:f>FRAGEN_MASTER!A691</x:f>
        <x:v>FP-0950</x:v>
      </x:c>
      <x:c r="B691" s="36" t="str">
        <x:f>FRAGEN_MASTER!B691</x:f>
        <x:v>1CO</x:v>
      </x:c>
      <x:c r="C691" s="36" t="str">
        <x:f>FRAGEN_MASTER!C691</x:f>
        <x:v>1. Korinther</x:v>
      </x:c>
      <x:c r="D691" s="36" t="n">
        <x:f>FRAGEN_MASTER!D691</x:f>
        <x:v>5</x:v>
      </x:c>
      <x:c r="E691" s="36" t="n">
        <x:f>FRAGEN_MASTER!E691</x:f>
        <x:v>5</x:v>
      </x:c>
      <x:c r="F691" s="36" t="str">
        <x:f>FRAGEN_MASTER!Q691</x:f>
        <x:v>Wen bezeichnet Paulus als unser Passahlamm, das geopfert wurde?</x:v>
      </x:c>
      <x:c r="G691" s="36" t="str">
        <x:f>FRAGEN_MASTER!R691</x:f>
        <x:v>Mose.</x:v>
      </x:c>
      <x:c r="H691" s="36" t="str">
        <x:f>FRAGEN_MASTER!S691</x:f>
        <x:v>Paulus.</x:v>
      </x:c>
      <x:c r="I691" s="36" t="str">
        <x:f>FRAGEN_MASTER!T691</x:f>
        <x:v>Johannes der Täufer.</x:v>
      </x:c>
      <x:c r="J691" s="36" t="str">
        <x:f>FRAGEN_MASTER!U691</x:f>
        <x:v>Christus.</x:v>
      </x:c>
      <x:c r="K691" s="36" t="n">
        <x:f>FRAGEN_MASTER!V691</x:f>
        <x:v>3</x:v>
      </x:c>
      <x:c r="L691" s="36" t="str">
        <x:f>FRAGEN_MASTER!W691</x:f>
        <x:v>Christus.</x:v>
      </x:c>
      <x:c r="M691" s="36" t="str">
        <x:f>FRAGEN_MASTER!X691</x:f>
        <x:v>1. Korinther 5,7</x:v>
      </x:c>
      <x:c r="N691" s="36" t="str">
        <x:f>FRAGEN_MASTER!Y691</x:f>
        <x:v>Paulus deutet Christus als das geopferte Passahlamm.</x:v>
      </x:c>
      <x:c r="O691" s="36" t="str">
        <x:f>FRAGEN_MASTER!AG691</x:f>
        <x:v>FREIGEGEBEN</x:v>
      </x:c>
      <x:c r="P691" s="36" t="str">
        <x:f>FRAGEN_MASTER!AI691</x:f>
        <x:v>FREIGEGEBEN</x:v>
      </x:c>
      <x:c r="Q691" s="36" t="str">
        <x:f>FRAGEN_MASTER!AL691</x:f>
        <x:v>JA</x:v>
      </x:c>
    </x:row>
    <x:row r="692">
      <x:c r="A692" s="36" t="str">
        <x:f>FRAGEN_MASTER!A692</x:f>
        <x:v>FP-0951</x:v>
      </x:c>
      <x:c r="B692" s="36" t="str">
        <x:f>FRAGEN_MASTER!B692</x:f>
        <x:v>1CO</x:v>
      </x:c>
      <x:c r="C692" s="36" t="str">
        <x:f>FRAGEN_MASTER!C692</x:f>
        <x:v>1. Korinther</x:v>
      </x:c>
      <x:c r="D692" s="36" t="n">
        <x:f>FRAGEN_MASTER!D692</x:f>
        <x:v>6</x:v>
      </x:c>
      <x:c r="E692" s="36" t="n">
        <x:f>FRAGEN_MASTER!E692</x:f>
        <x:v>1</x:v>
      </x:c>
      <x:c r="F692" s="36" t="str">
        <x:f>FRAGEN_MASTER!Q692</x:f>
        <x:v>Was kritisiert Paulus an Rechtsstreitigkeiten zwischen Gemeindemitgliedern?</x:v>
      </x:c>
      <x:c r="G692" s="36" t="str">
        <x:f>FRAGEN_MASTER!R692</x:f>
        <x:v>Sie tragen ihre Streitigkeiten vor Ungläubige, statt sie innerhalb der Gemeinschaft weise zu klären.</x:v>
      </x:c>
      <x:c r="H692" s="36" t="str">
        <x:f>FRAGEN_MASTER!S692</x:f>
        <x:v>Sie führen zu wenige Prozesse.</x:v>
      </x:c>
      <x:c r="I692" s="36" t="str">
        <x:f>FRAGEN_MASTER!T692</x:f>
        <x:v>Sie respektieren römisches Recht zu sehr.</x:v>
      </x:c>
      <x:c r="J692" s="36" t="str">
        <x:f>FRAGEN_MASTER!U692</x:f>
        <x:v>Sie haben keine schriftlichen Verträge.</x:v>
      </x:c>
      <x:c r="K692" s="36" t="n">
        <x:f>FRAGEN_MASTER!V692</x:f>
        <x:v>0</x:v>
      </x:c>
      <x:c r="L692" s="36" t="str">
        <x:f>FRAGEN_MASTER!W692</x:f>
        <x:v>Sie tragen ihre Streitigkeiten vor Ungläubige, statt sie innerhalb der Gemeinschaft weise zu klären.</x:v>
      </x:c>
      <x:c r="M692" s="36" t="str">
        <x:f>FRAGEN_MASTER!X692</x:f>
        <x:v>1. Korinther 6,1–6</x:v>
      </x:c>
      <x:c r="N692" s="36" t="str">
        <x:f>FRAGEN_MASTER!Y692</x:f>
        <x:v>Paulus hält es für beschämend, dass Glaubende für interne Streitigkeiten keine weise Lösung finden.</x:v>
      </x:c>
      <x:c r="O692" s="36" t="str">
        <x:f>FRAGEN_MASTER!AG692</x:f>
        <x:v>FREIGEGEBEN</x:v>
      </x:c>
      <x:c r="P692" s="36" t="str">
        <x:f>FRAGEN_MASTER!AI692</x:f>
        <x:v>FREIGEGEBEN</x:v>
      </x:c>
      <x:c r="Q692" s="36" t="str">
        <x:f>FRAGEN_MASTER!AL692</x:f>
        <x:v>JA</x:v>
      </x:c>
    </x:row>
    <x:row r="693">
      <x:c r="A693" s="36" t="str">
        <x:f>FRAGEN_MASTER!A693</x:f>
        <x:v>FP-0952</x:v>
      </x:c>
      <x:c r="B693" s="36" t="str">
        <x:f>FRAGEN_MASTER!B693</x:f>
        <x:v>1CO</x:v>
      </x:c>
      <x:c r="C693" s="36" t="str">
        <x:f>FRAGEN_MASTER!C693</x:f>
        <x:v>1. Korinther</x:v>
      </x:c>
      <x:c r="D693" s="36" t="n">
        <x:f>FRAGEN_MASTER!D693</x:f>
        <x:v>6</x:v>
      </x:c>
      <x:c r="E693" s="36" t="n">
        <x:f>FRAGEN_MASTER!E693</x:f>
        <x:v>2</x:v>
      </x:c>
      <x:c r="F693" s="36" t="str">
        <x:f>FRAGEN_MASTER!Q693</x:f>
        <x:v>Welche radikale Alternative nennt Paulus zu gegenseitigen Klagen und Betrug?</x:v>
      </x:c>
      <x:c r="G693" s="36" t="str">
        <x:f>FRAGEN_MASTER!R693</x:f>
        <x:v>Jede Beleidigung sofort öffentlich vergelten.</x:v>
      </x:c>
      <x:c r="H693" s="36" t="str">
        <x:f>FRAGEN_MASTER!S693</x:f>
        <x:v>Lieber Unrecht erleiden oder sich übervorteilen lassen, als selbst Unrecht zu tun.</x:v>
      </x:c>
      <x:c r="I693" s="36" t="str">
        <x:f>FRAGEN_MASTER!T693</x:f>
        <x:v>Alle Streitfälle an Paulus schicken.</x:v>
      </x:c>
      <x:c r="J693" s="36" t="str">
        <x:f>FRAGEN_MASTER!U693</x:f>
        <x:v>Nie wieder Verträge schließen.</x:v>
      </x:c>
      <x:c r="K693" s="36" t="n">
        <x:f>FRAGEN_MASTER!V693</x:f>
        <x:v>1</x:v>
      </x:c>
      <x:c r="L693" s="36" t="str">
        <x:f>FRAGEN_MASTER!W693</x:f>
        <x:v>Lieber Unrecht erleiden oder sich übervorteilen lassen, als selbst Unrecht zu tun.</x:v>
      </x:c>
      <x:c r="M693" s="36" t="str">
        <x:f>FRAGEN_MASTER!X693</x:f>
        <x:v>1. Korinther 6,7–8</x:v>
      </x:c>
      <x:c r="N693" s="36" t="str">
        <x:f>FRAGEN_MASTER!Y693</x:f>
        <x:v>Paulus zeigt, dass der eigentliche Verlust tiefer liegt, wenn Christen einander Unrecht tun.</x:v>
      </x:c>
      <x:c r="O693" s="36" t="str">
        <x:f>FRAGEN_MASTER!AG693</x:f>
        <x:v>FREIGEGEBEN</x:v>
      </x:c>
      <x:c r="P693" s="36" t="str">
        <x:f>FRAGEN_MASTER!AI693</x:f>
        <x:v>FREIGEGEBEN</x:v>
      </x:c>
      <x:c r="Q693" s="36" t="str">
        <x:f>FRAGEN_MASTER!AL693</x:f>
        <x:v>JA</x:v>
      </x:c>
    </x:row>
    <x:row r="694">
      <x:c r="A694" s="36" t="str">
        <x:f>FRAGEN_MASTER!A694</x:f>
        <x:v>FP-0953</x:v>
      </x:c>
      <x:c r="B694" s="36" t="str">
        <x:f>FRAGEN_MASTER!B694</x:f>
        <x:v>1CO</x:v>
      </x:c>
      <x:c r="C694" s="36" t="str">
        <x:f>FRAGEN_MASTER!C694</x:f>
        <x:v>1. Korinther</x:v>
      </x:c>
      <x:c r="D694" s="36" t="n">
        <x:f>FRAGEN_MASTER!D694</x:f>
        <x:v>6</x:v>
      </x:c>
      <x:c r="E694" s="36" t="n">
        <x:f>FRAGEN_MASTER!E694</x:f>
        <x:v>3</x:v>
      </x:c>
      <x:c r="F694" s="36" t="str">
        <x:f>FRAGEN_MASTER!Q694</x:f>
        <x:v>Welche Veränderung beschreibt Paulus nach der Liste früherer sündiger Lebensweisen?</x:v>
      </x:c>
      <x:c r="G694" s="36" t="str">
        <x:f>FRAGEN_MASTER!R694</x:f>
        <x:v>Ihr seid durch eigene Leistung vollkommen geworden.</x:v>
      </x:c>
      <x:c r="H694" s="36" t="str">
        <x:f>FRAGEN_MASTER!S694</x:f>
        <x:v>Ihr braucht keine weitere Veränderung.</x:v>
      </x:c>
      <x:c r="I694" s="36" t="str">
        <x:f>FRAGEN_MASTER!T694</x:f>
        <x:v>Ihr seid abgewaschen, geheiligt und gerechtfertigt im Namen Jesu und durch Gottes Geist.</x:v>
      </x:c>
      <x:c r="J694" s="36" t="str">
        <x:f>FRAGEN_MASTER!U694</x:f>
        <x:v>Nur eure gesellschaftliche Stellung hat sich geändert.</x:v>
      </x:c>
      <x:c r="K694" s="36" t="n">
        <x:f>FRAGEN_MASTER!V694</x:f>
        <x:v>2</x:v>
      </x:c>
      <x:c r="L694" s="36" t="str">
        <x:f>FRAGEN_MASTER!W694</x:f>
        <x:v>Ihr seid abgewaschen, geheiligt und gerechtfertigt im Namen Jesu und durch Gottes Geist.</x:v>
      </x:c>
      <x:c r="M694" s="36" t="str">
        <x:f>FRAGEN_MASTER!X694</x:f>
        <x:v>1. Korinther 6,9–11</x:v>
      </x:c>
      <x:c r="N694" s="36" t="str">
        <x:f>FRAGEN_MASTER!Y694</x:f>
        <x:v>Paulus erinnert die Gemeinde an ihre neue Identität nach früherem sündigem Leben.</x:v>
      </x:c>
      <x:c r="O694" s="36" t="str">
        <x:f>FRAGEN_MASTER!AG694</x:f>
        <x:v>FREIGEGEBEN</x:v>
      </x:c>
      <x:c r="P694" s="36" t="str">
        <x:f>FRAGEN_MASTER!AI694</x:f>
        <x:v>FREIGEGEBEN</x:v>
      </x:c>
      <x:c r="Q694" s="36" t="str">
        <x:f>FRAGEN_MASTER!AL694</x:f>
        <x:v>JA</x:v>
      </x:c>
    </x:row>
    <x:row r="695">
      <x:c r="A695" s="36" t="str">
        <x:f>FRAGEN_MASTER!A695</x:f>
        <x:v>FP-0954</x:v>
      </x:c>
      <x:c r="B695" s="36" t="str">
        <x:f>FRAGEN_MASTER!B695</x:f>
        <x:v>1CO</x:v>
      </x:c>
      <x:c r="C695" s="36" t="str">
        <x:f>FRAGEN_MASTER!C695</x:f>
        <x:v>1. Korinther</x:v>
      </x:c>
      <x:c r="D695" s="36" t="n">
        <x:f>FRAGEN_MASTER!D695</x:f>
        <x:v>6</x:v>
      </x:c>
      <x:c r="E695" s="36" t="n">
        <x:f>FRAGEN_MASTER!E695</x:f>
        <x:v>4</x:v>
      </x:c>
      <x:c r="F695" s="36" t="str">
        <x:f>FRAGEN_MASTER!Q695</x:f>
        <x:v>Warum kann christliche Freiheit nach Paulus nicht einfach mit „Alles ist mir erlaubt“ beendet werden?</x:v>
      </x:c>
      <x:c r="G695" s="36" t="str">
        <x:f>FRAGEN_MASTER!R695</x:f>
        <x:v>Weil jede Freiheit grundsätzlich Sünde ist.</x:v>
      </x:c>
      <x:c r="H695" s="36" t="str">
        <x:f>FRAGEN_MASTER!S695</x:f>
        <x:v>Weil nur Apostel Freiheit besitzen.</x:v>
      </x:c>
      <x:c r="I695" s="36" t="str">
        <x:f>FRAGEN_MASTER!T695</x:f>
        <x:v>Weil Essen immer unrein ist.</x:v>
      </x:c>
      <x:c r="J695" s="36" t="str">
        <x:f>FRAGEN_MASTER!U695</x:f>
        <x:v>Nicht alles ist nützlich, nichts soll den Menschen beherrschen, und der Leib gehört dem Herrn.</x:v>
      </x:c>
      <x:c r="K695" s="36" t="n">
        <x:f>FRAGEN_MASTER!V695</x:f>
        <x:v>3</x:v>
      </x:c>
      <x:c r="L695" s="36" t="str">
        <x:f>FRAGEN_MASTER!W695</x:f>
        <x:v>Nicht alles ist nützlich, nichts soll den Menschen beherrschen, und der Leib gehört dem Herrn.</x:v>
      </x:c>
      <x:c r="M695" s="36" t="str">
        <x:f>FRAGEN_MASTER!X695</x:f>
        <x:v>1. Korinther 6,12–17</x:v>
      </x:c>
      <x:c r="N695" s="36" t="str">
        <x:f>FRAGEN_MASTER!Y695</x:f>
        <x:v>Paulus begrenzt Freiheit durch Nutzen, Selbstbeherrschung und die Zugehörigkeit des Leibes zu Christus.</x:v>
      </x:c>
      <x:c r="O695" s="36" t="str">
        <x:f>FRAGEN_MASTER!AG695</x:f>
        <x:v>FREIGEGEBEN</x:v>
      </x:c>
      <x:c r="P695" s="36" t="str">
        <x:f>FRAGEN_MASTER!AI695</x:f>
        <x:v>FREIGEGEBEN</x:v>
      </x:c>
      <x:c r="Q695" s="36" t="str">
        <x:f>FRAGEN_MASTER!AL695</x:f>
        <x:v>JA</x:v>
      </x:c>
    </x:row>
    <x:row r="696">
      <x:c r="A696" s="36" t="str">
        <x:f>FRAGEN_MASTER!A696</x:f>
        <x:v>FP-0955</x:v>
      </x:c>
      <x:c r="B696" s="36" t="str">
        <x:f>FRAGEN_MASTER!B696</x:f>
        <x:v>1CO</x:v>
      </x:c>
      <x:c r="C696" s="36" t="str">
        <x:f>FRAGEN_MASTER!C696</x:f>
        <x:v>1. Korinther</x:v>
      </x:c>
      <x:c r="D696" s="36" t="n">
        <x:f>FRAGEN_MASTER!D696</x:f>
        <x:v>6</x:v>
      </x:c>
      <x:c r="E696" s="36" t="n">
        <x:f>FRAGEN_MASTER!E696</x:f>
        <x:v>5</x:v>
      </x:c>
      <x:c r="F696" s="36" t="str">
        <x:f>FRAGEN_MASTER!Q696</x:f>
        <x:v>Welche Begründung gibt Paulus dafür, sexuelle Unmoral zu meiden und Gott mit dem Leib zu ehren?</x:v>
      </x:c>
      <x:c r="G696" s="36" t="str">
        <x:f>FRAGEN_MASTER!R696</x:f>
        <x:v>Der Leib ist Tempel des Heiligen Geistes und die Glaubenden sind um einen Preis erkauft.</x:v>
      </x:c>
      <x:c r="H696" s="36" t="str">
        <x:f>FRAGEN_MASTER!S696</x:f>
        <x:v>Der Leib ist für Gott bedeutungslos.</x:v>
      </x:c>
      <x:c r="I696" s="36" t="str">
        <x:f>FRAGEN_MASTER!T696</x:f>
        <x:v>Nur der Geist gehört Gott.</x:v>
      </x:c>
      <x:c r="J696" s="36" t="str">
        <x:f>FRAGEN_MASTER!U696</x:f>
        <x:v>Der menschliche Körper ist grundsätzlich böse.</x:v>
      </x:c>
      <x:c r="K696" s="36" t="n">
        <x:f>FRAGEN_MASTER!V696</x:f>
        <x:v>0</x:v>
      </x:c>
      <x:c r="L696" s="36" t="str">
        <x:f>FRAGEN_MASTER!W696</x:f>
        <x:v>Der Leib ist Tempel des Heiligen Geistes und die Glaubenden sind um einen Preis erkauft.</x:v>
      </x:c>
      <x:c r="M696" s="36" t="str">
        <x:f>FRAGEN_MASTER!X696</x:f>
        <x:v>1. Korinther 6,18–20</x:v>
      </x:c>
      <x:c r="N696" s="36" t="str">
        <x:f>FRAGEN_MASTER!Y696</x:f>
        <x:v>Paulus verbindet körperliche Heiligkeit mit der Gegenwart des Geistes und der Zugehörigkeit zu Gott.</x:v>
      </x:c>
      <x:c r="O696" s="36" t="str">
        <x:f>FRAGEN_MASTER!AG696</x:f>
        <x:v>FREIGEGEBEN</x:v>
      </x:c>
      <x:c r="P696" s="36" t="str">
        <x:f>FRAGEN_MASTER!AI696</x:f>
        <x:v>FREIGEGEBEN</x:v>
      </x:c>
      <x:c r="Q696" s="36" t="str">
        <x:f>FRAGEN_MASTER!AL696</x:f>
        <x:v>JA</x:v>
      </x:c>
    </x:row>
    <x:row r="697">
      <x:c r="A697" s="36" t="str">
        <x:f>FRAGEN_MASTER!A697</x:f>
        <x:v>FP-0956</x:v>
      </x:c>
      <x:c r="B697" s="36" t="str">
        <x:f>FRAGEN_MASTER!B697</x:f>
        <x:v>1CO</x:v>
      </x:c>
      <x:c r="C697" s="36" t="str">
        <x:f>FRAGEN_MASTER!C697</x:f>
        <x:v>1. Korinther</x:v>
      </x:c>
      <x:c r="D697" s="36" t="n">
        <x:f>FRAGEN_MASTER!D697</x:f>
        <x:v>7</x:v>
      </x:c>
      <x:c r="E697" s="36" t="n">
        <x:f>FRAGEN_MASTER!E697</x:f>
        <x:v>1</x:v>
      </x:c>
      <x:c r="F697" s="36" t="str">
        <x:f>FRAGEN_MASTER!Q697</x:f>
        <x:v>Wie beschreibt Paulus die gegenseitige Verantwortung von Ehepartnern in ihrer sexuellen Beziehung?</x:v>
      </x:c>
      <x:c r="G697" s="36" t="str">
        <x:f>FRAGEN_MASTER!R697</x:f>
        <x:v>Nur der Mann hat Verantwortung.</x:v>
      </x:c>
      <x:c r="H697" s="36" t="str">
        <x:f>FRAGEN_MASTER!S697</x:f>
        <x:v>Beide sollen einander die eheliche Zuwendung geben und nicht einseitig über den eigenen Leib verfügen.</x:v>
      </x:c>
      <x:c r="I697" s="36" t="str">
        <x:f>FRAGEN_MASTER!T697</x:f>
        <x:v>Nur die Frau entscheidet über die Beziehung.</x:v>
      </x:c>
      <x:c r="J697" s="36" t="str">
        <x:f>FRAGEN_MASTER!U697</x:f>
        <x:v>Sexuelle Gemeinschaft hat in der Ehe keinen Platz.</x:v>
      </x:c>
      <x:c r="K697" s="36" t="n">
        <x:f>FRAGEN_MASTER!V697</x:f>
        <x:v>1</x:v>
      </x:c>
      <x:c r="L697" s="36" t="str">
        <x:f>FRAGEN_MASTER!W697</x:f>
        <x:v>Beide sollen einander die eheliche Zuwendung geben und nicht einseitig über den eigenen Leib verfügen.</x:v>
      </x:c>
      <x:c r="M697" s="36" t="str">
        <x:f>FRAGEN_MASTER!X697</x:f>
        <x:v>1. Korinther 7,1–5</x:v>
      </x:c>
      <x:c r="N697" s="36" t="str">
        <x:f>FRAGEN_MASTER!Y697</x:f>
        <x:v>Paulus spricht auffällig wechselseitig über Rechte und Verantwortung beider Ehepartner.</x:v>
      </x:c>
      <x:c r="O697" s="36" t="str">
        <x:f>FRAGEN_MASTER!AG697</x:f>
        <x:v>FREIGEGEBEN</x:v>
      </x:c>
      <x:c r="P697" s="36" t="str">
        <x:f>FRAGEN_MASTER!AI697</x:f>
        <x:v>FREIGEGEBEN</x:v>
      </x:c>
      <x:c r="Q697" s="36" t="str">
        <x:f>FRAGEN_MASTER!AL697</x:f>
        <x:v>JA</x:v>
      </x:c>
    </x:row>
    <x:row r="698">
      <x:c r="A698" s="36" t="str">
        <x:f>FRAGEN_MASTER!A698</x:f>
        <x:v>FP-0957</x:v>
      </x:c>
      <x:c r="B698" s="36" t="str">
        <x:f>FRAGEN_MASTER!B698</x:f>
        <x:v>1CO</x:v>
      </x:c>
      <x:c r="C698" s="36" t="str">
        <x:f>FRAGEN_MASTER!C698</x:f>
        <x:v>1. Korinther</x:v>
      </x:c>
      <x:c r="D698" s="36" t="n">
        <x:f>FRAGEN_MASTER!D698</x:f>
        <x:v>7</x:v>
      </x:c>
      <x:c r="E698" s="36" t="n">
        <x:f>FRAGEN_MASTER!E698</x:f>
        <x:v>2</x:v>
      </x:c>
      <x:c r="F698" s="36" t="str">
        <x:f>FRAGEN_MASTER!Q698</x:f>
        <x:v>Welchen Rat gibt Paulus Unverheirateten und Witwen, die nicht enthaltsam leben können?</x:v>
      </x:c>
      <x:c r="G698" s="36" t="str">
        <x:f>FRAGEN_MASTER!R698</x:f>
        <x:v>Sie dürfen niemals heiraten.</x:v>
      </x:c>
      <x:c r="H698" s="36" t="str">
        <x:f>FRAGEN_MASTER!S698</x:f>
        <x:v>Sie müssen sofort eine Ehe eingehen.</x:v>
      </x:c>
      <x:c r="I698" s="36" t="str">
        <x:f>FRAGEN_MASTER!T698</x:f>
        <x:v>Sie sollen heiraten; zugleich hält er auch das unverheiratete Leben für eine gute Möglichkeit.</x:v>
      </x:c>
      <x:c r="J698" s="36" t="str">
        <x:f>FRAGEN_MASTER!U698</x:f>
        <x:v>Sie sollen die Gemeinde verlassen.</x:v>
      </x:c>
      <x:c r="K698" s="36" t="n">
        <x:f>FRAGEN_MASTER!V698</x:f>
        <x:v>2</x:v>
      </x:c>
      <x:c r="L698" s="36" t="str">
        <x:f>FRAGEN_MASTER!W698</x:f>
        <x:v>Sie sollen heiraten; zugleich hält er auch das unverheiratete Leben für eine gute Möglichkeit.</x:v>
      </x:c>
      <x:c r="M698" s="36" t="str">
        <x:f>FRAGEN_MASTER!X698</x:f>
        <x:v>1. Korinther 7,8–11</x:v>
      </x:c>
      <x:c r="N698" s="36" t="str">
        <x:f>FRAGEN_MASTER!Y698</x:f>
        <x:v>Paulus würdigt Ehelosigkeit, sieht aber die Ehe als guten Weg, wenn Enthaltsamkeit nicht gelebt werden kann.</x:v>
      </x:c>
      <x:c r="O698" s="36" t="str">
        <x:f>FRAGEN_MASTER!AG698</x:f>
        <x:v>FREIGEGEBEN</x:v>
      </x:c>
      <x:c r="P698" s="36" t="str">
        <x:f>FRAGEN_MASTER!AI698</x:f>
        <x:v>FREIGEGEBEN</x:v>
      </x:c>
      <x:c r="Q698" s="36" t="str">
        <x:f>FRAGEN_MASTER!AL698</x:f>
        <x:v>JA</x:v>
      </x:c>
    </x:row>
    <x:row r="699">
      <x:c r="A699" s="36" t="str">
        <x:f>FRAGEN_MASTER!A699</x:f>
        <x:v>FP-0958</x:v>
      </x:c>
      <x:c r="B699" s="36" t="str">
        <x:f>FRAGEN_MASTER!B699</x:f>
        <x:v>1CO</x:v>
      </x:c>
      <x:c r="C699" s="36" t="str">
        <x:f>FRAGEN_MASTER!C699</x:f>
        <x:v>1. Korinther</x:v>
      </x:c>
      <x:c r="D699" s="36" t="n">
        <x:f>FRAGEN_MASTER!D699</x:f>
        <x:v>7</x:v>
      </x:c>
      <x:c r="E699" s="36" t="n">
        <x:f>FRAGEN_MASTER!E699</x:f>
        <x:v>3</x:v>
      </x:c>
      <x:c r="F699" s="36" t="str">
        <x:f>FRAGEN_MASTER!Q699</x:f>
        <x:v>Was rät Paulus einem gläubigen Ehepartner, dessen nichtgläubiger Partner weiter in der Ehe leben möchte?</x:v>
      </x:c>
      <x:c r="G699" s="36" t="str">
        <x:f>FRAGEN_MASTER!R699</x:f>
        <x:v>Sofort die Scheidung einzureichen.</x:v>
      </x:c>
      <x:c r="H699" s="36" t="str">
        <x:f>FRAGEN_MASTER!S699</x:f>
        <x:v>Nur noch getrennt zu wohnen.</x:v>
      </x:c>
      <x:c r="I699" s="36" t="str">
        <x:f>FRAGEN_MASTER!T699</x:f>
        <x:v>Den Partner zur Taufe zu zwingen.</x:v>
      </x:c>
      <x:c r="J699" s="36" t="str">
        <x:f>FRAGEN_MASTER!U699</x:f>
        <x:v>Die Ehe nicht aufzulösen.</x:v>
      </x:c>
      <x:c r="K699" s="36" t="n">
        <x:f>FRAGEN_MASTER!V699</x:f>
        <x:v>3</x:v>
      </x:c>
      <x:c r="L699" s="36" t="str">
        <x:f>FRAGEN_MASTER!W699</x:f>
        <x:v>Die Ehe nicht aufzulösen.</x:v>
      </x:c>
      <x:c r="M699" s="36" t="str">
        <x:f>FRAGEN_MASTER!X699</x:f>
        <x:v>1. Korinther 7,12–16</x:v>
      </x:c>
      <x:c r="N699" s="36" t="str">
        <x:f>FRAGEN_MASTER!Y699</x:f>
        <x:v>Paulus rät zum Fortbestand der Ehe, wenn der nichtgläubige Partner bereit ist, zusammenzuleben.</x:v>
      </x:c>
      <x:c r="O699" s="36" t="str">
        <x:f>FRAGEN_MASTER!AG699</x:f>
        <x:v>FREIGEGEBEN</x:v>
      </x:c>
      <x:c r="P699" s="36" t="str">
        <x:f>FRAGEN_MASTER!AI699</x:f>
        <x:v>FREIGEGEBEN</x:v>
      </x:c>
      <x:c r="Q699" s="36" t="str">
        <x:f>FRAGEN_MASTER!AL699</x:f>
        <x:v>JA</x:v>
      </x:c>
    </x:row>
    <x:row r="700">
      <x:c r="A700" s="36" t="str">
        <x:f>FRAGEN_MASTER!A700</x:f>
        <x:v>FP-0959</x:v>
      </x:c>
      <x:c r="B700" s="36" t="str">
        <x:f>FRAGEN_MASTER!B700</x:f>
        <x:v>1CO</x:v>
      </x:c>
      <x:c r="C700" s="36" t="str">
        <x:f>FRAGEN_MASTER!C700</x:f>
        <x:v>1. Korinther</x:v>
      </x:c>
      <x:c r="D700" s="36" t="n">
        <x:f>FRAGEN_MASTER!D700</x:f>
        <x:v>7</x:v>
      </x:c>
      <x:c r="E700" s="36" t="n">
        <x:f>FRAGEN_MASTER!E700</x:f>
        <x:v>4</x:v>
      </x:c>
      <x:c r="F700" s="36" t="str">
        <x:f>FRAGEN_MASTER!Q700</x:f>
        <x:v>Welches allgemeine Prinzip wiederholt Paulus im Blick auf Beschneidung, soziale Stellung und Berufung?</x:v>
      </x:c>
      <x:c r="G700" s="36" t="str">
        <x:f>FRAGEN_MASTER!R700</x:f>
        <x:v>Jeder soll grundsätzlich in der Lebenssituation mit Gott leben, in der er berufen wurde.</x:v>
      </x:c>
      <x:c r="H700" s="36" t="str">
        <x:f>FRAGEN_MASTER!S700</x:f>
        <x:v>Jeder muss nach der Bekehrung seinen sozialen Status wechseln.</x:v>
      </x:c>
      <x:c r="I700" s="36" t="str">
        <x:f>FRAGEN_MASTER!T700</x:f>
        <x:v>Sklaven dürfen nie frei werden.</x:v>
      </x:c>
      <x:c r="J700" s="36" t="str">
        <x:f>FRAGEN_MASTER!U700</x:f>
        <x:v>Beschneidung entscheidet über den Wert vor Gott.</x:v>
      </x:c>
      <x:c r="K700" s="36" t="n">
        <x:f>FRAGEN_MASTER!V700</x:f>
        <x:v>0</x:v>
      </x:c>
      <x:c r="L700" s="36" t="str">
        <x:f>FRAGEN_MASTER!W700</x:f>
        <x:v>Jeder soll grundsätzlich in der Lebenssituation mit Gott leben, in der er berufen wurde.</x:v>
      </x:c>
      <x:c r="M700" s="36" t="str">
        <x:f>FRAGEN_MASTER!X700</x:f>
        <x:v>1. Korinther 7,17–24</x:v>
      </x:c>
      <x:c r="N700" s="36" t="str">
        <x:f>FRAGEN_MASTER!Y700</x:f>
        <x:v>Paulus warnt vor unnötigem Statuswechsel als geistlichem Ziel und richtet den Blick auf die Zugehörigkeit zu Gott.</x:v>
      </x:c>
      <x:c r="O700" s="36" t="str">
        <x:f>FRAGEN_MASTER!AG700</x:f>
        <x:v>FREIGEGEBEN</x:v>
      </x:c>
      <x:c r="P700" s="36" t="str">
        <x:f>FRAGEN_MASTER!AI700</x:f>
        <x:v>FREIGEGEBEN</x:v>
      </x:c>
      <x:c r="Q700" s="36" t="str">
        <x:f>FRAGEN_MASTER!AL700</x:f>
        <x:v>JA</x:v>
      </x:c>
    </x:row>
    <x:row r="701">
      <x:c r="A701" s="36" t="str">
        <x:f>FRAGEN_MASTER!A701</x:f>
        <x:v>FP-0960</x:v>
      </x:c>
      <x:c r="B701" s="36" t="str">
        <x:f>FRAGEN_MASTER!B701</x:f>
        <x:v>1CO</x:v>
      </x:c>
      <x:c r="C701" s="36" t="str">
        <x:f>FRAGEN_MASTER!C701</x:f>
        <x:v>1. Korinther</x:v>
      </x:c>
      <x:c r="D701" s="36" t="n">
        <x:f>FRAGEN_MASTER!D701</x:f>
        <x:v>7</x:v>
      </x:c>
      <x:c r="E701" s="36" t="n">
        <x:f>FRAGEN_MASTER!E701</x:f>
        <x:v>5</x:v>
      </x:c>
      <x:c r="F701" s="36" t="str">
        <x:f>FRAGEN_MASTER!Q701</x:f>
        <x:v>Warum beschreibt Paulus das unverheiratete Leben als mögliche Hilfe für ungeteilte Hingabe?</x:v>
      </x:c>
      <x:c r="G701" s="36" t="str">
        <x:f>FRAGEN_MASTER!R701</x:f>
        <x:v>Weil Ehe grundsätzlich geistlich minderwertig ist.</x:v>
      </x:c>
      <x:c r="H701" s="36" t="str">
        <x:f>FRAGEN_MASTER!S701</x:f>
        <x:v>Weil unverheiratete Menschen weniger ehebezogene Sorgen haben und sich stärker auf die Angelegenheiten des Herrn konzentrieren können.</x:v>
      </x:c>
      <x:c r="I701" s="36" t="str">
        <x:f>FRAGEN_MASTER!T701</x:f>
        <x:v>Weil verheiratete Menschen Gott nicht dienen können.</x:v>
      </x:c>
      <x:c r="J701" s="36" t="str">
        <x:f>FRAGEN_MASTER!U701</x:f>
        <x:v>Weil nur Unverheiratete geistliche Gaben erhalten.</x:v>
      </x:c>
      <x:c r="K701" s="36" t="n">
        <x:f>FRAGEN_MASTER!V701</x:f>
        <x:v>1</x:v>
      </x:c>
      <x:c r="L701" s="36" t="str">
        <x:f>FRAGEN_MASTER!W701</x:f>
        <x:v>Weil unverheiratete Menschen weniger ehebezogene Sorgen haben und sich stärker auf die Angelegenheiten des Herrn konzentrieren können.</x:v>
      </x:c>
      <x:c r="M701" s="36" t="str">
        <x:f>FRAGEN_MASTER!X701</x:f>
        <x:v>1. Korinther 7,32–35</x:v>
      </x:c>
      <x:c r="N701" s="36" t="str">
        <x:f>FRAGEN_MASTER!Y701</x:f>
        <x:v>Paulus erklärt seine Überlegung ausdrücklich mit ungeteilter Hingabe, nicht um eine Falle aufzulegen.</x:v>
      </x:c>
      <x:c r="O701" s="36" t="str">
        <x:f>FRAGEN_MASTER!AG701</x:f>
        <x:v>FREIGEGEBEN</x:v>
      </x:c>
      <x:c r="P701" s="36" t="str">
        <x:f>FRAGEN_MASTER!AI701</x:f>
        <x:v>FREIGEGEBEN</x:v>
      </x:c>
      <x:c r="Q701" s="36" t="str">
        <x:f>FRAGEN_MASTER!AL701</x:f>
        <x:v>JA</x:v>
      </x:c>
    </x:row>
    <x:row r="702">
      <x:c r="A702" s="36" t="str">
        <x:f>FRAGEN_MASTER!A702</x:f>
        <x:v>FP-0961</x:v>
      </x:c>
      <x:c r="B702" s="36" t="str">
        <x:f>FRAGEN_MASTER!B702</x:f>
        <x:v>1CO</x:v>
      </x:c>
      <x:c r="C702" s="36" t="str">
        <x:f>FRAGEN_MASTER!C702</x:f>
        <x:v>1. Korinther</x:v>
      </x:c>
      <x:c r="D702" s="36" t="n">
        <x:f>FRAGEN_MASTER!D702</x:f>
        <x:v>8</x:v>
      </x:c>
      <x:c r="E702" s="36" t="n">
        <x:f>FRAGEN_MASTER!E702</x:f>
        <x:v>1</x:v>
      </x:c>
      <x:c r="F702" s="36" t="str">
        <x:f>FRAGEN_MASTER!Q702</x:f>
        <x:v>Welche Grenze setzt Paulus bloßer Erkenntnis?</x:v>
      </x:c>
      <x:c r="G702" s="36" t="str">
        <x:f>FRAGEN_MASTER!R702</x:f>
        <x:v>Erkenntnis ist immer schädlich.</x:v>
      </x:c>
      <x:c r="H702" s="36" t="str">
        <x:f>FRAGEN_MASTER!S702</x:f>
        <x:v>Liebe braucht keine Wahrheit.</x:v>
      </x:c>
      <x:c r="I702" s="36" t="str">
        <x:f>FRAGEN_MASTER!T702</x:f>
        <x:v>Erkenntnis bläht auf, Liebe aber baut auf.</x:v>
      </x:c>
      <x:c r="J702" s="36" t="str">
        <x:f>FRAGEN_MASTER!U702</x:f>
        <x:v>Nur Unwissende können lieben.</x:v>
      </x:c>
      <x:c r="K702" s="36" t="n">
        <x:f>FRAGEN_MASTER!V702</x:f>
        <x:v>2</x:v>
      </x:c>
      <x:c r="L702" s="36" t="str">
        <x:f>FRAGEN_MASTER!W702</x:f>
        <x:v>Erkenntnis bläht auf, Liebe aber baut auf.</x:v>
      </x:c>
      <x:c r="M702" s="36" t="str">
        <x:f>FRAGEN_MASTER!X702</x:f>
        <x:v>1. Korinther 8,1–3</x:v>
      </x:c>
      <x:c r="N702" s="36" t="str">
        <x:f>FRAGEN_MASTER!Y702</x:f>
        <x:v>Paulus stellt nicht Erkenntnis an sich infrage, sondern Erkenntnis ohne Liebe.</x:v>
      </x:c>
      <x:c r="O702" s="36" t="str">
        <x:f>FRAGEN_MASTER!AG702</x:f>
        <x:v>FREIGEGEBEN</x:v>
      </x:c>
      <x:c r="P702" s="36" t="str">
        <x:f>FRAGEN_MASTER!AI702</x:f>
        <x:v>FREIGEGEBEN</x:v>
      </x:c>
      <x:c r="Q702" s="36" t="str">
        <x:f>FRAGEN_MASTER!AL702</x:f>
        <x:v>JA</x:v>
      </x:c>
    </x:row>
    <x:row r="703">
      <x:c r="A703" s="36" t="str">
        <x:f>FRAGEN_MASTER!A703</x:f>
        <x:v>FP-0962</x:v>
      </x:c>
      <x:c r="B703" s="36" t="str">
        <x:f>FRAGEN_MASTER!B703</x:f>
        <x:v>1CO</x:v>
      </x:c>
      <x:c r="C703" s="36" t="str">
        <x:f>FRAGEN_MASTER!C703</x:f>
        <x:v>1. Korinther</x:v>
      </x:c>
      <x:c r="D703" s="36" t="n">
        <x:f>FRAGEN_MASTER!D703</x:f>
        <x:v>8</x:v>
      </x:c>
      <x:c r="E703" s="36" t="n">
        <x:f>FRAGEN_MASTER!E703</x:f>
        <x:v>2</x:v>
      </x:c>
      <x:c r="F703" s="36" t="str">
        <x:f>FRAGEN_MASTER!Q703</x:f>
        <x:v>Wie fasst Paulus den christlichen Glauben gegenüber den vielen sogenannten Göttern zusammen?</x:v>
      </x:c>
      <x:c r="G703" s="36" t="str">
        <x:f>FRAGEN_MASTER!R703</x:f>
        <x:v>Jeder Gott ist gleich wirklich.</x:v>
      </x:c>
      <x:c r="H703" s="36" t="str">
        <x:f>FRAGEN_MASTER!S703</x:f>
        <x:v>Christus ist nur einer unter vielen Göttern.</x:v>
      </x:c>
      <x:c r="I703" s="36" t="str">
        <x:f>FRAGEN_MASTER!T703</x:f>
        <x:v>Der Vater und Jesus haben nichts mit der Schöpfung zu tun.</x:v>
      </x:c>
      <x:c r="J703" s="36" t="str">
        <x:f>FRAGEN_MASTER!U703</x:f>
        <x:v>Es gibt einen Gott, den Vater, und einen Herrn, Jesus Christus.</x:v>
      </x:c>
      <x:c r="K703" s="36" t="n">
        <x:f>FRAGEN_MASTER!V703</x:f>
        <x:v>3</x:v>
      </x:c>
      <x:c r="L703" s="36" t="str">
        <x:f>FRAGEN_MASTER!W703</x:f>
        <x:v>Es gibt einen Gott, den Vater, und einen Herrn, Jesus Christus.</x:v>
      </x:c>
      <x:c r="M703" s="36" t="str">
        <x:f>FRAGEN_MASTER!X703</x:f>
        <x:v>1. Korinther 8,4–6</x:v>
      </x:c>
      <x:c r="N703" s="36" t="str">
        <x:f>FRAGEN_MASTER!Y703</x:f>
        <x:v>Paulus bekennt den einen Gott, den Vater, und den einen Herrn, Jesus Christus.</x:v>
      </x:c>
      <x:c r="O703" s="36" t="str">
        <x:f>FRAGEN_MASTER!AG703</x:f>
        <x:v>FREIGEGEBEN</x:v>
      </x:c>
      <x:c r="P703" s="36" t="str">
        <x:f>FRAGEN_MASTER!AI703</x:f>
        <x:v>FREIGEGEBEN</x:v>
      </x:c>
      <x:c r="Q703" s="36" t="str">
        <x:f>FRAGEN_MASTER!AL703</x:f>
        <x:v>JA</x:v>
      </x:c>
    </x:row>
    <x:row r="704">
      <x:c r="A704" s="36" t="str">
        <x:f>FRAGEN_MASTER!A704</x:f>
        <x:v>FP-0963</x:v>
      </x:c>
      <x:c r="B704" s="36" t="str">
        <x:f>FRAGEN_MASTER!B704</x:f>
        <x:v>1CO</x:v>
      </x:c>
      <x:c r="C704" s="36" t="str">
        <x:f>FRAGEN_MASTER!C704</x:f>
        <x:v>1. Korinther</x:v>
      </x:c>
      <x:c r="D704" s="36" t="n">
        <x:f>FRAGEN_MASTER!D704</x:f>
        <x:v>8</x:v>
      </x:c>
      <x:c r="E704" s="36" t="n">
        <x:f>FRAGEN_MASTER!E704</x:f>
        <x:v>3</x:v>
      </x:c>
      <x:c r="F704" s="36" t="str">
        <x:f>FRAGEN_MASTER!Q704</x:f>
        <x:v>Warum kann das Essen von Götzenopferfleisch für manche Gläubige zum Problem werden?</x:v>
      </x:c>
      <x:c r="G704" s="36" t="str">
        <x:f>FRAGEN_MASTER!R704</x:f>
        <x:v>Weil ihr Gewissen durch ihre frühere Bindung an Götzen noch schwach und dadurch verletzt werden kann.</x:v>
      </x:c>
      <x:c r="H704" s="36" t="str">
        <x:f>FRAGEN_MASTER!S704</x:f>
        <x:v>Weil jedes Fleisch an sich geistlich unrein ist.</x:v>
      </x:c>
      <x:c r="I704" s="36" t="str">
        <x:f>FRAGEN_MASTER!T704</x:f>
        <x:v>Weil Paulus Vegetarismus vorschreibt.</x:v>
      </x:c>
      <x:c r="J704" s="36" t="str">
        <x:f>FRAGEN_MASTER!U704</x:f>
        <x:v>Weil nur Juden Fleisch essen dürfen.</x:v>
      </x:c>
      <x:c r="K704" s="36" t="n">
        <x:f>FRAGEN_MASTER!V704</x:f>
        <x:v>0</x:v>
      </x:c>
      <x:c r="L704" s="36" t="str">
        <x:f>FRAGEN_MASTER!W704</x:f>
        <x:v>Weil ihr Gewissen durch ihre frühere Bindung an Götzen noch schwach und dadurch verletzt werden kann.</x:v>
      </x:c>
      <x:c r="M704" s="36" t="str">
        <x:f>FRAGEN_MASTER!X704</x:f>
        <x:v>1. Korinther 8,7–10</x:v>
      </x:c>
      <x:c r="N704" s="36" t="str">
        <x:f>FRAGEN_MASTER!Y704</x:f>
        <x:v>Paulus berücksichtigt die unterschiedliche Gewissensprägung in der Gemeinde.</x:v>
      </x:c>
      <x:c r="O704" s="36" t="str">
        <x:f>FRAGEN_MASTER!AG704</x:f>
        <x:v>FREIGEGEBEN</x:v>
      </x:c>
      <x:c r="P704" s="36" t="str">
        <x:f>FRAGEN_MASTER!AI704</x:f>
        <x:v>FREIGEGEBEN</x:v>
      </x:c>
      <x:c r="Q704" s="36" t="str">
        <x:f>FRAGEN_MASTER!AL704</x:f>
        <x:v>JA</x:v>
      </x:c>
    </x:row>
    <x:row r="705">
      <x:c r="A705" s="36" t="str">
        <x:f>FRAGEN_MASTER!A705</x:f>
        <x:v>FP-0964</x:v>
      </x:c>
      <x:c r="B705" s="36" t="str">
        <x:f>FRAGEN_MASTER!B705</x:f>
        <x:v>1CO</x:v>
      </x:c>
      <x:c r="C705" s="36" t="str">
        <x:f>FRAGEN_MASTER!C705</x:f>
        <x:v>1. Korinther</x:v>
      </x:c>
      <x:c r="D705" s="36" t="n">
        <x:f>FRAGEN_MASTER!D705</x:f>
        <x:v>8</x:v>
      </x:c>
      <x:c r="E705" s="36" t="n">
        <x:f>FRAGEN_MASTER!E705</x:f>
        <x:v>4</x:v>
      </x:c>
      <x:c r="F705" s="36" t="str">
        <x:f>FRAGEN_MASTER!Q705</x:f>
        <x:v>Wie weit ist Paulus bereit, seine Freiheit aus Rücksicht auf einen Bruder einzuschränken?</x:v>
      </x:c>
      <x:c r="G705" s="36" t="str">
        <x:f>FRAGEN_MASTER!R705</x:f>
        <x:v>Er würde seine Freiheit niemals einschränken.</x:v>
      </x:c>
      <x:c r="H705" s="36" t="str">
        <x:f>FRAGEN_MASTER!S705</x:f>
        <x:v>Wenn Essen den Bruder zu Fall bringt, würde er darauf verzichten.</x:v>
      </x:c>
      <x:c r="I705" s="36" t="str">
        <x:f>FRAGEN_MASTER!T705</x:f>
        <x:v>Er würde den Bruder aus der Gemeinde ausschließen.</x:v>
      </x:c>
      <x:c r="J705" s="36" t="str">
        <x:f>FRAGEN_MASTER!U705</x:f>
        <x:v>Er würde nur öffentlich auf Essen verzichten.</x:v>
      </x:c>
      <x:c r="K705" s="36" t="n">
        <x:f>FRAGEN_MASTER!V705</x:f>
        <x:v>1</x:v>
      </x:c>
      <x:c r="L705" s="36" t="str">
        <x:f>FRAGEN_MASTER!W705</x:f>
        <x:v>Wenn Essen den Bruder zu Fall bringt, würde er darauf verzichten.</x:v>
      </x:c>
      <x:c r="M705" s="36" t="str">
        <x:f>FRAGEN_MASTER!X705</x:f>
        <x:v>1. Korinther 8,11–13</x:v>
      </x:c>
      <x:c r="N705" s="36" t="str">
        <x:f>FRAGEN_MASTER!Y705</x:f>
        <x:v>Paulus ordnet persönliche Freiheit der Liebe und dem geistlichen Wohl des anderen unter.</x:v>
      </x:c>
      <x:c r="O705" s="36" t="str">
        <x:f>FRAGEN_MASTER!AG705</x:f>
        <x:v>FREIGEGEBEN</x:v>
      </x:c>
      <x:c r="P705" s="36" t="str">
        <x:f>FRAGEN_MASTER!AI705</x:f>
        <x:v>FREIGEGEBEN</x:v>
      </x:c>
      <x:c r="Q705" s="36" t="str">
        <x:f>FRAGEN_MASTER!AL705</x:f>
        <x:v>JA</x:v>
      </x:c>
    </x:row>
    <x:row r="706">
      <x:c r="A706" s="36" t="str">
        <x:f>FRAGEN_MASTER!A706</x:f>
        <x:v>FP-0965</x:v>
      </x:c>
      <x:c r="B706" s="36" t="str">
        <x:f>FRAGEN_MASTER!B706</x:f>
        <x:v>1CO</x:v>
      </x:c>
      <x:c r="C706" s="36" t="str">
        <x:f>FRAGEN_MASTER!C706</x:f>
        <x:v>1. Korinther</x:v>
      </x:c>
      <x:c r="D706" s="36" t="n">
        <x:f>FRAGEN_MASTER!D706</x:f>
        <x:v>8</x:v>
      </x:c>
      <x:c r="E706" s="36" t="n">
        <x:f>FRAGEN_MASTER!E706</x:f>
        <x:v>5</x:v>
      </x:c>
      <x:c r="F706" s="36" t="str">
        <x:f>FRAGEN_MASTER!Q706</x:f>
        <x:v>Wovor warnt Paulus die Korinther im Umgang mit ihrer Freiheit?</x:v>
      </x:c>
      <x:c r="G706" s="36" t="str">
        <x:f>FRAGEN_MASTER!R706</x:f>
        <x:v>Dass sie ihre Freiheit überhaupt nutzen.</x:v>
      </x:c>
      <x:c r="H706" s="36" t="str">
        <x:f>FRAGEN_MASTER!S706</x:f>
        <x:v>Dass sie andere über ihre Freiheit informieren.</x:v>
      </x:c>
      <x:c r="I706" s="36" t="str">
        <x:f>FRAGEN_MASTER!T706</x:f>
        <x:v>Dass ihre Freiheit für Schwache nicht zum Anstoß wird.</x:v>
      </x:c>
      <x:c r="J706" s="36" t="str">
        <x:f>FRAGEN_MASTER!U706</x:f>
        <x:v>Dass sie unterschiedliche Speisen essen.</x:v>
      </x:c>
      <x:c r="K706" s="36" t="n">
        <x:f>FRAGEN_MASTER!V706</x:f>
        <x:v>2</x:v>
      </x:c>
      <x:c r="L706" s="36" t="str">
        <x:f>FRAGEN_MASTER!W706</x:f>
        <x:v>Dass ihre Freiheit für Schwache nicht zum Anstoß wird.</x:v>
      </x:c>
      <x:c r="M706" s="36" t="str">
        <x:f>FRAGEN_MASTER!X706</x:f>
        <x:v>1. Korinther 8,9</x:v>
      </x:c>
      <x:c r="N706" s="36" t="str">
        <x:f>FRAGEN_MASTER!Y706</x:f>
        <x:v>Freiheit wird bei Paulus durch Verantwortung für das Gewissen anderer begrenzt.</x:v>
      </x:c>
      <x:c r="O706" s="36" t="str">
        <x:f>FRAGEN_MASTER!AG706</x:f>
        <x:v>FREIGEGEBEN</x:v>
      </x:c>
      <x:c r="P706" s="36" t="str">
        <x:f>FRAGEN_MASTER!AI706</x:f>
        <x:v>FREIGEGEBEN</x:v>
      </x:c>
      <x:c r="Q706" s="36" t="str">
        <x:f>FRAGEN_MASTER!AL706</x:f>
        <x:v>JA</x:v>
      </x:c>
    </x:row>
    <x:row r="707">
      <x:c r="A707" s="36" t="str">
        <x:f>FRAGEN_MASTER!A707</x:f>
        <x:v>FP-0966</x:v>
      </x:c>
      <x:c r="B707" s="36" t="str">
        <x:f>FRAGEN_MASTER!B707</x:f>
        <x:v>1CO</x:v>
      </x:c>
      <x:c r="C707" s="36" t="str">
        <x:f>FRAGEN_MASTER!C707</x:f>
        <x:v>1. Korinther</x:v>
      </x:c>
      <x:c r="D707" s="36" t="n">
        <x:f>FRAGEN_MASTER!D707</x:f>
        <x:v>9</x:v>
      </x:c>
      <x:c r="E707" s="36" t="n">
        <x:f>FRAGEN_MASTER!E707</x:f>
        <x:v>1</x:v>
      </x:c>
      <x:c r="F707" s="36" t="str">
        <x:f>FRAGEN_MASTER!Q707</x:f>
        <x:v>Womit begründet Paulus seinen Anspruch, als Apostel anerkannt zu werden?</x:v>
      </x:c>
      <x:c r="G707" s="36" t="str">
        <x:f>FRAGEN_MASTER!R707</x:f>
        <x:v>Er besitzt die höchste griechische Ausbildung.</x:v>
      </x:c>
      <x:c r="H707" s="36" t="str">
        <x:f>FRAGEN_MASTER!S707</x:f>
        <x:v>Er wurde von Rom eingesetzt.</x:v>
      </x:c>
      <x:c r="I707" s="36" t="str">
        <x:f>FRAGEN_MASTER!T707</x:f>
        <x:v>Er stammt aus Korinth.</x:v>
      </x:c>
      <x:c r="J707" s="36" t="str">
        <x:f>FRAGEN_MASTER!U707</x:f>
        <x:v>Er hat Jesus den Herrn gesehen, und die Korinther selbst sind Frucht seines Dienstes.</x:v>
      </x:c>
      <x:c r="K707" s="36" t="n">
        <x:f>FRAGEN_MASTER!V707</x:f>
        <x:v>3</x:v>
      </x:c>
      <x:c r="L707" s="36" t="str">
        <x:f>FRAGEN_MASTER!W707</x:f>
        <x:v>Er hat Jesus den Herrn gesehen, und die Korinther selbst sind Frucht seines Dienstes.</x:v>
      </x:c>
      <x:c r="M707" s="36" t="str">
        <x:f>FRAGEN_MASTER!X707</x:f>
        <x:v>1. Korinther 9,1–6</x:v>
      </x:c>
      <x:c r="N707" s="36" t="str">
        <x:f>FRAGEN_MASTER!Y707</x:f>
        <x:v>Paulus verweist auf seine Begegnung mit dem Herrn und die Gemeinde als Siegel seines apostolischen Dienstes.</x:v>
      </x:c>
      <x:c r="O707" s="36" t="str">
        <x:f>FRAGEN_MASTER!AG707</x:f>
        <x:v>FREIGEGEBEN</x:v>
      </x:c>
      <x:c r="P707" s="36" t="str">
        <x:f>FRAGEN_MASTER!AI707</x:f>
        <x:v>FREIGEGEBEN</x:v>
      </x:c>
      <x:c r="Q707" s="36" t="str">
        <x:f>FRAGEN_MASTER!AL707</x:f>
        <x:v>JA</x:v>
      </x:c>
    </x:row>
    <x:row r="708">
      <x:c r="A708" s="36" t="str">
        <x:f>FRAGEN_MASTER!A708</x:f>
        <x:v>FP-0967</x:v>
      </x:c>
      <x:c r="B708" s="36" t="str">
        <x:f>FRAGEN_MASTER!B708</x:f>
        <x:v>1CO</x:v>
      </x:c>
      <x:c r="C708" s="36" t="str">
        <x:f>FRAGEN_MASTER!C708</x:f>
        <x:v>1. Korinther</x:v>
      </x:c>
      <x:c r="D708" s="36" t="n">
        <x:f>FRAGEN_MASTER!D708</x:f>
        <x:v>9</x:v>
      </x:c>
      <x:c r="E708" s="36" t="n">
        <x:f>FRAGEN_MASTER!E708</x:f>
        <x:v>2</x:v>
      </x:c>
      <x:c r="F708" s="36" t="str">
        <x:f>FRAGEN_MASTER!Q708</x:f>
        <x:v>Welches Recht apostolischer Verkündiger verteidigt Paulus mit mehreren Beispielen?</x:v>
      </x:c>
      <x:c r="G708" s="36" t="str">
        <x:f>FRAGEN_MASTER!R708</x:f>
        <x:v>Das Recht, vom Dienst am Evangelium materiell unterstützt zu werden.</x:v>
      </x:c>
      <x:c r="H708" s="36" t="str">
        <x:f>FRAGEN_MASTER!S708</x:f>
        <x:v>Das Recht, politische Ämter zu übernehmen.</x:v>
      </x:c>
      <x:c r="I708" s="36" t="str">
        <x:f>FRAGEN_MASTER!T708</x:f>
        <x:v>Das Recht, niemals zu arbeiten.</x:v>
      </x:c>
      <x:c r="J708" s="36" t="str">
        <x:f>FRAGEN_MASTER!U708</x:f>
        <x:v>Das Recht, über jede Gemeinde allein zu herrschen.</x:v>
      </x:c>
      <x:c r="K708" s="36" t="n">
        <x:f>FRAGEN_MASTER!V708</x:f>
        <x:v>0</x:v>
      </x:c>
      <x:c r="L708" s="36" t="str">
        <x:f>FRAGEN_MASTER!W708</x:f>
        <x:v>Das Recht, vom Dienst am Evangelium materiell unterstützt zu werden.</x:v>
      </x:c>
      <x:c r="M708" s="36" t="str">
        <x:f>FRAGEN_MASTER!X708</x:f>
        <x:v>1. Korinther 9,7–14</x:v>
      </x:c>
      <x:c r="N708" s="36" t="str">
        <x:f>FRAGEN_MASTER!Y708</x:f>
        <x:v>Paulus begründet aus Alltag, Gesetz und Tempeldienst, dass Verkündiger vom Evangelium leben dürfen.</x:v>
      </x:c>
      <x:c r="O708" s="36" t="str">
        <x:f>FRAGEN_MASTER!AG708</x:f>
        <x:v>FREIGEGEBEN</x:v>
      </x:c>
      <x:c r="P708" s="36" t="str">
        <x:f>FRAGEN_MASTER!AI708</x:f>
        <x:v>FREIGEGEBEN</x:v>
      </x:c>
      <x:c r="Q708" s="36" t="str">
        <x:f>FRAGEN_MASTER!AL708</x:f>
        <x:v>JA</x:v>
      </x:c>
    </x:row>
    <x:row r="709">
      <x:c r="A709" s="36" t="str">
        <x:f>FRAGEN_MASTER!A709</x:f>
        <x:v>FP-0968</x:v>
      </x:c>
      <x:c r="B709" s="36" t="str">
        <x:f>FRAGEN_MASTER!B709</x:f>
        <x:v>1CO</x:v>
      </x:c>
      <x:c r="C709" s="36" t="str">
        <x:f>FRAGEN_MASTER!C709</x:f>
        <x:v>1. Korinther</x:v>
      </x:c>
      <x:c r="D709" s="36" t="n">
        <x:f>FRAGEN_MASTER!D709</x:f>
        <x:v>9</x:v>
      </x:c>
      <x:c r="E709" s="36" t="n">
        <x:f>FRAGEN_MASTER!E709</x:f>
        <x:v>3</x:v>
      </x:c>
      <x:c r="F709" s="36" t="str">
        <x:f>FRAGEN_MASTER!Q709</x:f>
        <x:v>Warum macht Paulus von diesem Recht auf Unterstützung nicht vollständig Gebrauch?</x:v>
      </x:c>
      <x:c r="G709" s="36" t="str">
        <x:f>FRAGEN_MASTER!R709</x:f>
        <x:v>Er hält Unterstützung grundsätzlich für Sünde.</x:v>
      </x:c>
      <x:c r="H709" s="36" t="str">
        <x:f>FRAGEN_MASTER!S709</x:f>
        <x:v>Er möchte dem Evangelium kein Hindernis bereiten und es unentgeltlich verkündigen.</x:v>
      </x:c>
      <x:c r="I709" s="36" t="str">
        <x:f>FRAGEN_MASTER!T709</x:f>
        <x:v>Die Korinther besitzen nichts.</x:v>
      </x:c>
      <x:c r="J709" s="36" t="str">
        <x:f>FRAGEN_MASTER!U709</x:f>
        <x:v>Er darf als Apostel kein Geld annehmen.</x:v>
      </x:c>
      <x:c r="K709" s="36" t="n">
        <x:f>FRAGEN_MASTER!V709</x:f>
        <x:v>1</x:v>
      </x:c>
      <x:c r="L709" s="36" t="str">
        <x:f>FRAGEN_MASTER!W709</x:f>
        <x:v>Er möchte dem Evangelium kein Hindernis bereiten und es unentgeltlich verkündigen.</x:v>
      </x:c>
      <x:c r="M709" s="36" t="str">
        <x:f>FRAGEN_MASTER!X709</x:f>
        <x:v>1. Korinther 9,15–18</x:v>
      </x:c>
      <x:c r="N709" s="36" t="str">
        <x:f>FRAGEN_MASTER!Y709</x:f>
        <x:v>Paulus verzichtet freiwillig auf ein legitimes Recht, um die Verkündigung nicht zu belasten.</x:v>
      </x:c>
      <x:c r="O709" s="36" t="str">
        <x:f>FRAGEN_MASTER!AG709</x:f>
        <x:v>FREIGEGEBEN</x:v>
      </x:c>
      <x:c r="P709" s="36" t="str">
        <x:f>FRAGEN_MASTER!AI709</x:f>
        <x:v>FREIGEGEBEN</x:v>
      </x:c>
      <x:c r="Q709" s="36" t="str">
        <x:f>FRAGEN_MASTER!AL709</x:f>
        <x:v>JA</x:v>
      </x:c>
    </x:row>
    <x:row r="710">
      <x:c r="A710" s="36" t="str">
        <x:f>FRAGEN_MASTER!A710</x:f>
        <x:v>FP-0969</x:v>
      </x:c>
      <x:c r="B710" s="36" t="str">
        <x:f>FRAGEN_MASTER!B710</x:f>
        <x:v>1CO</x:v>
      </x:c>
      <x:c r="C710" s="36" t="str">
        <x:f>FRAGEN_MASTER!C710</x:f>
        <x:v>1. Korinther</x:v>
      </x:c>
      <x:c r="D710" s="36" t="n">
        <x:f>FRAGEN_MASTER!D710</x:f>
        <x:v>9</x:v>
      </x:c>
      <x:c r="E710" s="36" t="n">
        <x:f>FRAGEN_MASTER!E710</x:f>
        <x:v>4</x:v>
      </x:c>
      <x:c r="F710" s="36" t="str">
        <x:f>FRAGEN_MASTER!Q710</x:f>
        <x:v>Was meint Paulus mit „allen alles geworden“?</x:v>
      </x:c>
      <x:c r="G710" s="36" t="str">
        <x:f>FRAGEN_MASTER!R710</x:f>
        <x:v>Er ändert seine Botschaft je nach Publikum vollständig.</x:v>
      </x:c>
      <x:c r="H710" s="36" t="str">
        <x:f>FRAGEN_MASTER!S710</x:f>
        <x:v>Er gibt jede eigene Überzeugung auf.</x:v>
      </x:c>
      <x:c r="I710" s="36" t="str">
        <x:f>FRAGEN_MASTER!T710</x:f>
        <x:v>Er passt sich Menschen soweit möglich an, um einige für das Evangelium zu gewinnen, ohne seinen Auftrag aufzugeben.</x:v>
      </x:c>
      <x:c r="J710" s="36" t="str">
        <x:f>FRAGEN_MASTER!U710</x:f>
        <x:v>Er übernimmt jede religiöse Praxis als wahr.</x:v>
      </x:c>
      <x:c r="K710" s="36" t="n">
        <x:f>FRAGEN_MASTER!V710</x:f>
        <x:v>2</x:v>
      </x:c>
      <x:c r="L710" s="36" t="str">
        <x:f>FRAGEN_MASTER!W710</x:f>
        <x:v>Er passt sich Menschen soweit möglich an, um einige für das Evangelium zu gewinnen, ohne seinen Auftrag aufzugeben.</x:v>
      </x:c>
      <x:c r="M710" s="36" t="str">
        <x:f>FRAGEN_MASTER!X710</x:f>
        <x:v>1. Korinther 9,19–23</x:v>
      </x:c>
      <x:c r="N710" s="36" t="str">
        <x:f>FRAGEN_MASTER!Y710</x:f>
        <x:v>Paulus beschreibt missionarische Anpassungsbereitschaft im Dienst am Evangelium.</x:v>
      </x:c>
      <x:c r="O710" s="36" t="str">
        <x:f>FRAGEN_MASTER!AG710</x:f>
        <x:v>FREIGEGEBEN</x:v>
      </x:c>
      <x:c r="P710" s="36" t="str">
        <x:f>FRAGEN_MASTER!AI710</x:f>
        <x:v>FREIGEGEBEN</x:v>
      </x:c>
      <x:c r="Q710" s="36" t="str">
        <x:f>FRAGEN_MASTER!AL710</x:f>
        <x:v>JA</x:v>
      </x:c>
    </x:row>
    <x:row r="711">
      <x:c r="A711" s="36" t="str">
        <x:f>FRAGEN_MASTER!A711</x:f>
        <x:v>FP-0970</x:v>
      </x:c>
      <x:c r="B711" s="36" t="str">
        <x:f>FRAGEN_MASTER!B711</x:f>
        <x:v>1CO</x:v>
      </x:c>
      <x:c r="C711" s="36" t="str">
        <x:f>FRAGEN_MASTER!C711</x:f>
        <x:v>1. Korinther</x:v>
      </x:c>
      <x:c r="D711" s="36" t="n">
        <x:f>FRAGEN_MASTER!D711</x:f>
        <x:v>9</x:v>
      </x:c>
      <x:c r="E711" s="36" t="n">
        <x:f>FRAGEN_MASTER!E711</x:f>
        <x:v>5</x:v>
      </x:c>
      <x:c r="F711" s="36" t="str">
        <x:f>FRAGEN_MASTER!Q711</x:f>
        <x:v>Was will Paulus mit dem Bild von Läufern und Wettkämpfern vermitteln?</x:v>
      </x:c>
      <x:c r="G711" s="36" t="str">
        <x:f>FRAGEN_MASTER!R711</x:f>
        <x:v>Nur körperlicher Sport zählt vor Gott.</x:v>
      </x:c>
      <x:c r="H711" s="36" t="str">
        <x:f>FRAGEN_MASTER!S711</x:f>
        <x:v>Es gibt im Glauben nur einen geretteten Menschen.</x:v>
      </x:c>
      <x:c r="I711" s="36" t="str">
        <x:f>FRAGEN_MASTER!T711</x:f>
        <x:v>Apostel dürfen keinen Sport treiben.</x:v>
      </x:c>
      <x:c r="J711" s="36" t="str">
        <x:f>FRAGEN_MASTER!U711</x:f>
        <x:v>Christlicher Dienst verlangt Zielorientierung und Selbstbeherrschung.</x:v>
      </x:c>
      <x:c r="K711" s="36" t="n">
        <x:f>FRAGEN_MASTER!V711</x:f>
        <x:v>3</x:v>
      </x:c>
      <x:c r="L711" s="36" t="str">
        <x:f>FRAGEN_MASTER!W711</x:f>
        <x:v>Christlicher Dienst verlangt Zielorientierung und Selbstbeherrschung.</x:v>
      </x:c>
      <x:c r="M711" s="36" t="str">
        <x:f>FRAGEN_MASTER!X711</x:f>
        <x:v>1. Korinther 9,24–27</x:v>
      </x:c>
      <x:c r="N711" s="36" t="str">
        <x:f>FRAGEN_MASTER!Y711</x:f>
        <x:v>Paulus nutzt sportliche Disziplin als Bild für entschlossene und selbstbeherrschte Nachfolge.</x:v>
      </x:c>
      <x:c r="O711" s="36" t="str">
        <x:f>FRAGEN_MASTER!AG711</x:f>
        <x:v>FREIGEGEBEN</x:v>
      </x:c>
      <x:c r="P711" s="36" t="str">
        <x:f>FRAGEN_MASTER!AI711</x:f>
        <x:v>FREIGEGEBEN</x:v>
      </x:c>
      <x:c r="Q711" s="36" t="str">
        <x:f>FRAGEN_MASTER!AL711</x:f>
        <x:v>JA</x:v>
      </x:c>
    </x:row>
    <x:row r="712">
      <x:c r="A712" s="36" t="str">
        <x:f>FRAGEN_MASTER!A712</x:f>
        <x:v>FP-0971</x:v>
      </x:c>
      <x:c r="B712" s="36" t="str">
        <x:f>FRAGEN_MASTER!B712</x:f>
        <x:v>1CO</x:v>
      </x:c>
      <x:c r="C712" s="36" t="str">
        <x:f>FRAGEN_MASTER!C712</x:f>
        <x:v>1. Korinther</x:v>
      </x:c>
      <x:c r="D712" s="36" t="n">
        <x:f>FRAGEN_MASTER!D712</x:f>
        <x:v>10</x:v>
      </x:c>
      <x:c r="E712" s="36" t="n">
        <x:f>FRAGEN_MASTER!E712</x:f>
        <x:v>1</x:v>
      </x:c>
      <x:c r="F712" s="36" t="str">
        <x:f>FRAGEN_MASTER!Q712</x:f>
        <x:v>Warum erinnert Paulus an Israels Erfahrungen in der Wüste?</x:v>
      </x:c>
      <x:c r="G712" s="36" t="str">
        <x:f>FRAGEN_MASTER!R712</x:f>
        <x:v>Sie dienen als warnende Beispiele, damit die Glaubenden nicht nach Bösem verlangen.</x:v>
      </x:c>
      <x:c r="H712" s="36" t="str">
        <x:f>FRAGEN_MASTER!S712</x:f>
        <x:v>Um zu zeigen, dass Israel keine Beziehung zu Gott hatte.</x:v>
      </x:c>
      <x:c r="I712" s="36" t="str">
        <x:f>FRAGEN_MASTER!T712</x:f>
        <x:v>Weil nur historische Details wichtig sind.</x:v>
      </x:c>
      <x:c r="J712" s="36" t="str">
        <x:f>FRAGEN_MASTER!U712</x:f>
        <x:v>Um die Taufe abzuschaffen.</x:v>
      </x:c>
      <x:c r="K712" s="36" t="n">
        <x:f>FRAGEN_MASTER!V712</x:f>
        <x:v>0</x:v>
      </x:c>
      <x:c r="L712" s="36" t="str">
        <x:f>FRAGEN_MASTER!W712</x:f>
        <x:v>Sie dienen als warnende Beispiele, damit die Glaubenden nicht nach Bösem verlangen.</x:v>
      </x:c>
      <x:c r="M712" s="36" t="str">
        <x:f>FRAGEN_MASTER!X712</x:f>
        <x:v>1. Korinther 10,1–6</x:v>
      </x:c>
      <x:c r="N712" s="36" t="str">
        <x:f>FRAGEN_MASTER!Y712</x:f>
        <x:v>Paulus liest Israels Geschichte als Warnung für die Gemeinde.</x:v>
      </x:c>
      <x:c r="O712" s="36" t="str">
        <x:f>FRAGEN_MASTER!AG712</x:f>
        <x:v>FREIGEGEBEN</x:v>
      </x:c>
      <x:c r="P712" s="36" t="str">
        <x:f>FRAGEN_MASTER!AI712</x:f>
        <x:v>FREIGEGEBEN</x:v>
      </x:c>
      <x:c r="Q712" s="36" t="str">
        <x:f>FRAGEN_MASTER!AL712</x:f>
        <x:v>JA</x:v>
      </x:c>
    </x:row>
    <x:row r="713">
      <x:c r="A713" s="36" t="str">
        <x:f>FRAGEN_MASTER!A713</x:f>
        <x:v>FP-0972</x:v>
      </x:c>
      <x:c r="B713" s="36" t="str">
        <x:f>FRAGEN_MASTER!B713</x:f>
        <x:v>1CO</x:v>
      </x:c>
      <x:c r="C713" s="36" t="str">
        <x:f>FRAGEN_MASTER!C713</x:f>
        <x:v>1. Korinther</x:v>
      </x:c>
      <x:c r="D713" s="36" t="n">
        <x:f>FRAGEN_MASTER!D713</x:f>
        <x:v>10</x:v>
      </x:c>
      <x:c r="E713" s="36" t="n">
        <x:f>FRAGEN_MASTER!E713</x:f>
        <x:v>2</x:v>
      </x:c>
      <x:c r="F713" s="36" t="str">
        <x:f>FRAGEN_MASTER!Q713</x:f>
        <x:v>Welche Ermutigung gibt Paulus im Blick auf Versuchung?</x:v>
      </x:c>
      <x:c r="G713" s="36" t="str">
        <x:f>FRAGEN_MASTER!R713</x:f>
        <x:v>Glaubende werden überhaupt nicht versucht.</x:v>
      </x:c>
      <x:c r="H713" s="36" t="str">
        <x:f>FRAGEN_MASTER!S713</x:f>
        <x:v>Gott ist treu und wird keine Versuchung zulassen, die über das Tragbare hinausgeht, sondern auch einen Ausgang schaffen.</x:v>
      </x:c>
      <x:c r="I713" s="36" t="str">
        <x:f>FRAGEN_MASTER!T713</x:f>
        <x:v>Jede Versuchung muss aus eigener Kraft besiegt werden.</x:v>
      </x:c>
      <x:c r="J713" s="36" t="str">
        <x:f>FRAGEN_MASTER!U713</x:f>
        <x:v>Versuchung beweist, dass Gott verlassen hat.</x:v>
      </x:c>
      <x:c r="K713" s="36" t="n">
        <x:f>FRAGEN_MASTER!V713</x:f>
        <x:v>1</x:v>
      </x:c>
      <x:c r="L713" s="36" t="str">
        <x:f>FRAGEN_MASTER!W713</x:f>
        <x:v>Gott ist treu und wird keine Versuchung zulassen, die über das Tragbare hinausgeht, sondern auch einen Ausgang schaffen.</x:v>
      </x:c>
      <x:c r="M713" s="36" t="str">
        <x:f>FRAGEN_MASTER!X713</x:f>
        <x:v>1. Korinther 10,11–13</x:v>
      </x:c>
      <x:c r="N713" s="36" t="str">
        <x:f>FRAGEN_MASTER!Y713</x:f>
        <x:v>Paulus verbindet Wachsamkeit mit der Treue Gottes und einer realen Möglichkeit zum Aushalten.</x:v>
      </x:c>
      <x:c r="O713" s="36" t="str">
        <x:f>FRAGEN_MASTER!AG713</x:f>
        <x:v>FREIGEGEBEN</x:v>
      </x:c>
      <x:c r="P713" s="36" t="str">
        <x:f>FRAGEN_MASTER!AI713</x:f>
        <x:v>FREIGEGEBEN</x:v>
      </x:c>
      <x:c r="Q713" s="36" t="str">
        <x:f>FRAGEN_MASTER!AL713</x:f>
        <x:v>JA</x:v>
      </x:c>
    </x:row>
    <x:row r="714">
      <x:c r="A714" s="36" t="str">
        <x:f>FRAGEN_MASTER!A714</x:f>
        <x:v>FP-0973</x:v>
      </x:c>
      <x:c r="B714" s="36" t="str">
        <x:f>FRAGEN_MASTER!B714</x:f>
        <x:v>1CO</x:v>
      </x:c>
      <x:c r="C714" s="36" t="str">
        <x:f>FRAGEN_MASTER!C714</x:f>
        <x:v>1. Korinther</x:v>
      </x:c>
      <x:c r="D714" s="36" t="n">
        <x:f>FRAGEN_MASTER!D714</x:f>
        <x:v>10</x:v>
      </x:c>
      <x:c r="E714" s="36" t="n">
        <x:f>FRAGEN_MASTER!E714</x:f>
        <x:v>3</x:v>
      </x:c>
      <x:c r="F714" s="36" t="str">
        <x:f>FRAGEN_MASTER!Q714</x:f>
        <x:v>Warum verbindet Paulus das Herrenmahl mit einer Warnung vor Götzendienst?</x:v>
      </x:c>
      <x:c r="G714" s="36" t="str">
        <x:f>FRAGEN_MASTER!R714</x:f>
        <x:v>Weil Brot und Wein selbst Götzen sind.</x:v>
      </x:c>
      <x:c r="H714" s="36" t="str">
        <x:f>FRAGEN_MASTER!S714</x:f>
        <x:v>Weil Christen niemals gemeinsam essen dürfen.</x:v>
      </x:c>
      <x:c r="I714" s="36" t="str">
        <x:f>FRAGEN_MASTER!T714</x:f>
        <x:v>Gemeinschaft am Tisch des Herrn lässt sich nicht mit bewusster Teilnahme am Götzentisch verbinden.</x:v>
      </x:c>
      <x:c r="J714" s="36" t="str">
        <x:f>FRAGEN_MASTER!U714</x:f>
        <x:v>Weil jede Mahlzeit ein Opfer ist.</x:v>
      </x:c>
      <x:c r="K714" s="36" t="n">
        <x:f>FRAGEN_MASTER!V714</x:f>
        <x:v>2</x:v>
      </x:c>
      <x:c r="L714" s="36" t="str">
        <x:f>FRAGEN_MASTER!W714</x:f>
        <x:v>Gemeinschaft am Tisch des Herrn lässt sich nicht mit bewusster Teilnahme am Götzentisch verbinden.</x:v>
      </x:c>
      <x:c r="M714" s="36" t="str">
        <x:f>FRAGEN_MASTER!X714</x:f>
        <x:v>1. Korinther 10,14–22</x:v>
      </x:c>
      <x:c r="N714" s="36" t="str">
        <x:f>FRAGEN_MASTER!Y714</x:f>
        <x:v>Paulus argumentiert aus der Gemeinschaft am Kelch und Brot gegen eine doppelte kultische Zugehörigkeit.</x:v>
      </x:c>
      <x:c r="O714" s="36" t="str">
        <x:f>FRAGEN_MASTER!AG714</x:f>
        <x:v>FREIGEGEBEN</x:v>
      </x:c>
      <x:c r="P714" s="36" t="str">
        <x:f>FRAGEN_MASTER!AI714</x:f>
        <x:v>FREIGEGEBEN</x:v>
      </x:c>
      <x:c r="Q714" s="36" t="str">
        <x:f>FRAGEN_MASTER!AL714</x:f>
        <x:v>JA</x:v>
      </x:c>
    </x:row>
    <x:row r="715">
      <x:c r="A715" s="36" t="str">
        <x:f>FRAGEN_MASTER!A715</x:f>
        <x:v>FP-0974</x:v>
      </x:c>
      <x:c r="B715" s="36" t="str">
        <x:f>FRAGEN_MASTER!B715</x:f>
        <x:v>1CO</x:v>
      </x:c>
      <x:c r="C715" s="36" t="str">
        <x:f>FRAGEN_MASTER!C715</x:f>
        <x:v>1. Korinther</x:v>
      </x:c>
      <x:c r="D715" s="36" t="n">
        <x:f>FRAGEN_MASTER!D715</x:f>
        <x:v>10</x:v>
      </x:c>
      <x:c r="E715" s="36" t="n">
        <x:f>FRAGEN_MASTER!E715</x:f>
        <x:v>4</x:v>
      </x:c>
      <x:c r="F715" s="36" t="str">
        <x:f>FRAGEN_MASTER!Q715</x:f>
        <x:v>Welche Grenze setzt Paulus erneut dem Satz „Alles ist erlaubt“?</x:v>
      </x:c>
      <x:c r="G715" s="36" t="str">
        <x:f>FRAGEN_MASTER!R715</x:f>
        <x:v>Alles Erlaubte ist automatisch gut.</x:v>
      </x:c>
      <x:c r="H715" s="36" t="str">
        <x:f>FRAGEN_MASTER!S715</x:f>
        <x:v>Nur Verbote können Christen leiten.</x:v>
      </x:c>
      <x:c r="I715" s="36" t="str">
        <x:f>FRAGEN_MASTER!T715</x:f>
        <x:v>Die Interessen anderer spielen keine Rolle.</x:v>
      </x:c>
      <x:c r="J715" s="36" t="str">
        <x:f>FRAGEN_MASTER!U715</x:f>
        <x:v>Nicht alles ist nützlich oder baut auf; man soll auch das Wohl des anderen suchen.</x:v>
      </x:c>
      <x:c r="K715" s="36" t="n">
        <x:f>FRAGEN_MASTER!V715</x:f>
        <x:v>3</x:v>
      </x:c>
      <x:c r="L715" s="36" t="str">
        <x:f>FRAGEN_MASTER!W715</x:f>
        <x:v>Nicht alles ist nützlich oder baut auf; man soll auch das Wohl des anderen suchen.</x:v>
      </x:c>
      <x:c r="M715" s="36" t="str">
        <x:f>FRAGEN_MASTER!X715</x:f>
        <x:v>1. Korinther 10,23–24</x:v>
      </x:c>
      <x:c r="N715" s="36" t="str">
        <x:f>FRAGEN_MASTER!Y715</x:f>
        <x:v>Paulus ordnet Freiheit dem Nutzen und der Erbauung anderer unter.</x:v>
      </x:c>
      <x:c r="O715" s="36" t="str">
        <x:f>FRAGEN_MASTER!AG715</x:f>
        <x:v>FREIGEGEBEN</x:v>
      </x:c>
      <x:c r="P715" s="36" t="str">
        <x:f>FRAGEN_MASTER!AI715</x:f>
        <x:v>FREIGEGEBEN</x:v>
      </x:c>
      <x:c r="Q715" s="36" t="str">
        <x:f>FRAGEN_MASTER!AL715</x:f>
        <x:v>JA</x:v>
      </x:c>
    </x:row>
    <x:row r="716">
      <x:c r="A716" s="36" t="str">
        <x:f>FRAGEN_MASTER!A716</x:f>
        <x:v>FP-0975</x:v>
      </x:c>
      <x:c r="B716" s="36" t="str">
        <x:f>FRAGEN_MASTER!B716</x:f>
        <x:v>1CO</x:v>
      </x:c>
      <x:c r="C716" s="36" t="str">
        <x:f>FRAGEN_MASTER!C716</x:f>
        <x:v>1. Korinther</x:v>
      </x:c>
      <x:c r="D716" s="36" t="n">
        <x:f>FRAGEN_MASTER!D716</x:f>
        <x:v>10</x:v>
      </x:c>
      <x:c r="E716" s="36" t="n">
        <x:f>FRAGEN_MASTER!E716</x:f>
        <x:v>5</x:v>
      </x:c>
      <x:c r="F716" s="36" t="str">
        <x:f>FRAGEN_MASTER!Q716</x:f>
        <x:v>Welcher Grundsatz soll Essen, Trinken und jedes andere Handeln bestimmen?</x:v>
      </x:c>
      <x:c r="G716" s="36" t="str">
        <x:f>FRAGEN_MASTER!R716</x:f>
        <x:v>Alles soll zur Ehre Gottes geschehen.</x:v>
      </x:c>
      <x:c r="H716" s="36" t="str">
        <x:f>FRAGEN_MASTER!S716</x:f>
        <x:v>Alles soll dem eigenen Ruf dienen.</x:v>
      </x:c>
      <x:c r="I716" s="36" t="str">
        <x:f>FRAGEN_MASTER!T716</x:f>
        <x:v>Alles soll möglichst verborgen geschehen.</x:v>
      </x:c>
      <x:c r="J716" s="36" t="str">
        <x:f>FRAGEN_MASTER!U716</x:f>
        <x:v>Nur religiöse Tätigkeiten können Gott ehren.</x:v>
      </x:c>
      <x:c r="K716" s="36" t="n">
        <x:f>FRAGEN_MASTER!V716</x:f>
        <x:v>0</x:v>
      </x:c>
      <x:c r="L716" s="36" t="str">
        <x:f>FRAGEN_MASTER!W716</x:f>
        <x:v>Alles soll zur Ehre Gottes geschehen.</x:v>
      </x:c>
      <x:c r="M716" s="36" t="str">
        <x:f>FRAGEN_MASTER!X716</x:f>
        <x:v>1. Korinther 10,31–33</x:v>
      </x:c>
      <x:c r="N716" s="36" t="str">
        <x:f>FRAGEN_MASTER!Y716</x:f>
        <x:v>Paulus weitet die Gottes-Ehre auf den gesamten Alltag aus und verbindet sie mit Rücksicht auf andere.</x:v>
      </x:c>
      <x:c r="O716" s="36" t="str">
        <x:f>FRAGEN_MASTER!AG716</x:f>
        <x:v>FREIGEGEBEN</x:v>
      </x:c>
      <x:c r="P716" s="36" t="str">
        <x:f>FRAGEN_MASTER!AI716</x:f>
        <x:v>FREIGEGEBEN</x:v>
      </x:c>
      <x:c r="Q716" s="36" t="str">
        <x:f>FRAGEN_MASTER!AL716</x:f>
        <x:v>JA</x:v>
      </x:c>
    </x:row>
    <x:row r="717">
      <x:c r="A717" s="36" t="str">
        <x:f>FRAGEN_MASTER!A717</x:f>
        <x:v>FP-0976</x:v>
      </x:c>
      <x:c r="B717" s="36" t="str">
        <x:f>FRAGEN_MASTER!B717</x:f>
        <x:v>1CO</x:v>
      </x:c>
      <x:c r="C717" s="36" t="str">
        <x:f>FRAGEN_MASTER!C717</x:f>
        <x:v>1. Korinther</x:v>
      </x:c>
      <x:c r="D717" s="36" t="n">
        <x:f>FRAGEN_MASTER!D717</x:f>
        <x:v>11</x:v>
      </x:c>
      <x:c r="E717" s="36" t="n">
        <x:f>FRAGEN_MASTER!E717</x:f>
        <x:v>1</x:v>
      </x:c>
      <x:c r="F717" s="36" t="str">
        <x:f>FRAGEN_MASTER!Q717</x:f>
        <x:v>Wofür lobt Paulus die Korinther zu Beginn seiner Ausführungen?</x:v>
      </x:c>
      <x:c r="G717" s="36" t="str">
        <x:f>FRAGEN_MASTER!R717</x:f>
        <x:v>Dass sie niemals Fragen stellen.</x:v>
      </x:c>
      <x:c r="H717" s="36" t="str">
        <x:f>FRAGEN_MASTER!S717</x:f>
        <x:v>Dass sie an ihn denken und die überlieferten Anweisungen festhalten.</x:v>
      </x:c>
      <x:c r="I717" s="36" t="str">
        <x:f>FRAGEN_MASTER!T717</x:f>
        <x:v>Dass sie jede Tradition aus Korinth übernehmen.</x:v>
      </x:c>
      <x:c r="J717" s="36" t="str">
        <x:f>FRAGEN_MASTER!U717</x:f>
        <x:v>Dass sie keine gemeinsamen Gottesdienste mehr feiern.</x:v>
      </x:c>
      <x:c r="K717" s="36" t="n">
        <x:f>FRAGEN_MASTER!V717</x:f>
        <x:v>1</x:v>
      </x:c>
      <x:c r="L717" s="36" t="str">
        <x:f>FRAGEN_MASTER!W717</x:f>
        <x:v>Dass sie an ihn denken und die überlieferten Anweisungen festhalten.</x:v>
      </x:c>
      <x:c r="M717" s="36" t="str">
        <x:f>FRAGEN_MASTER!X717</x:f>
        <x:v>1. Korinther 11,2</x:v>
      </x:c>
      <x:c r="N717" s="36" t="str">
        <x:f>FRAGEN_MASTER!Y717</x:f>
        <x:v>Paulus beginnt mit Anerkennung dafür, dass die Gemeinde die empfangenen Überlieferungen bewahrt.</x:v>
      </x:c>
      <x:c r="O717" s="36" t="str">
        <x:f>FRAGEN_MASTER!AG717</x:f>
        <x:v>FREIGEGEBEN</x:v>
      </x:c>
      <x:c r="P717" s="36" t="str">
        <x:f>FRAGEN_MASTER!AI717</x:f>
        <x:v>FREIGEGEBEN</x:v>
      </x:c>
      <x:c r="Q717" s="36" t="str">
        <x:f>FRAGEN_MASTER!AL717</x:f>
        <x:v>JA</x:v>
      </x:c>
    </x:row>
    <x:row r="718">
      <x:c r="A718" s="36" t="str">
        <x:f>FRAGEN_MASTER!A718</x:f>
        <x:v>FP-0977</x:v>
      </x:c>
      <x:c r="B718" s="36" t="str">
        <x:f>FRAGEN_MASTER!B718</x:f>
        <x:v>1CO</x:v>
      </x:c>
      <x:c r="C718" s="36" t="str">
        <x:f>FRAGEN_MASTER!C718</x:f>
        <x:v>1. Korinther</x:v>
      </x:c>
      <x:c r="D718" s="36" t="n">
        <x:f>FRAGEN_MASTER!D718</x:f>
        <x:v>11</x:v>
      </x:c>
      <x:c r="E718" s="36" t="n">
        <x:f>FRAGEN_MASTER!E718</x:f>
        <x:v>2</x:v>
      </x:c>
      <x:c r="F718" s="36" t="str">
        <x:f>FRAGEN_MASTER!Q718</x:f>
        <x:v>Warum kann Paulus die Zusammenkünfte der Korinther beim Herrenmahl nicht loben?</x:v>
      </x:c>
      <x:c r="G718" s="36" t="str">
        <x:f>FRAGEN_MASTER!R718</x:f>
        <x:v>Weil sie überhaupt gemeinsam essen.</x:v>
      </x:c>
      <x:c r="H718" s="36" t="str">
        <x:f>FRAGEN_MASTER!S718</x:f>
        <x:v>Weil Brot und Wein fehlen.</x:v>
      </x:c>
      <x:c r="I718" s="36" t="str">
        <x:f>FRAGEN_MASTER!T718</x:f>
        <x:v>Weil Spaltungen und soziale Rücksichtslosigkeit dazu führen, dass manche satt oder betrunken sind und andere hungrig bleiben.</x:v>
      </x:c>
      <x:c r="J718" s="36" t="str">
        <x:f>FRAGEN_MASTER!U718</x:f>
        <x:v>Weil nur Apostel am Mahl teilnehmen dürfen.</x:v>
      </x:c>
      <x:c r="K718" s="36" t="n">
        <x:f>FRAGEN_MASTER!V718</x:f>
        <x:v>2</x:v>
      </x:c>
      <x:c r="L718" s="36" t="str">
        <x:f>FRAGEN_MASTER!W718</x:f>
        <x:v>Weil Spaltungen und soziale Rücksichtslosigkeit dazu führen, dass manche satt oder betrunken sind und andere hungrig bleiben.</x:v>
      </x:c>
      <x:c r="M718" s="36" t="str">
        <x:f>FRAGEN_MASTER!X718</x:f>
        <x:v>1. Korinther 11,17–22</x:v>
      </x:c>
      <x:c r="N718" s="36" t="str">
        <x:f>FRAGEN_MASTER!Y718</x:f>
        <x:v>Das Mahl wird durch Spaltungen und beschämende Ungleichheit entstellt.</x:v>
      </x:c>
      <x:c r="O718" s="36" t="str">
        <x:f>FRAGEN_MASTER!AG718</x:f>
        <x:v>FREIGEGEBEN</x:v>
      </x:c>
      <x:c r="P718" s="36" t="str">
        <x:f>FRAGEN_MASTER!AI718</x:f>
        <x:v>FREIGEGEBEN</x:v>
      </x:c>
      <x:c r="Q718" s="36" t="str">
        <x:f>FRAGEN_MASTER!AL718</x:f>
        <x:v>JA</x:v>
      </x:c>
    </x:row>
    <x:row r="719">
      <x:c r="A719" s="36" t="str">
        <x:f>FRAGEN_MASTER!A719</x:f>
        <x:v>FP-0978</x:v>
      </x:c>
      <x:c r="B719" s="36" t="str">
        <x:f>FRAGEN_MASTER!B719</x:f>
        <x:v>1CO</x:v>
      </x:c>
      <x:c r="C719" s="36" t="str">
        <x:f>FRAGEN_MASTER!C719</x:f>
        <x:v>1. Korinther</x:v>
      </x:c>
      <x:c r="D719" s="36" t="n">
        <x:f>FRAGEN_MASTER!D719</x:f>
        <x:v>11</x:v>
      </x:c>
      <x:c r="E719" s="36" t="n">
        <x:f>FRAGEN_MASTER!E719</x:f>
        <x:v>3</x:v>
      </x:c>
      <x:c r="F719" s="36" t="str">
        <x:f>FRAGEN_MASTER!Q719</x:f>
        <x:v>Was verkündigt die Gemeinde nach Paulus jedes Mal, wenn sie beim Herrenmahl Brot isst und den Kelch trinkt?</x:v>
      </x:c>
      <x:c r="G719" s="36" t="str">
        <x:f>FRAGEN_MASTER!R719</x:f>
        <x:v>Die Geburt Jesu.</x:v>
      </x:c>
      <x:c r="H719" s="36" t="str">
        <x:f>FRAGEN_MASTER!S719</x:f>
        <x:v>Die Geschichte Israels am Sinai.</x:v>
      </x:c>
      <x:c r="I719" s="36" t="str">
        <x:f>FRAGEN_MASTER!T719</x:f>
        <x:v>Die Wahl der Apostel.</x:v>
      </x:c>
      <x:c r="J719" s="36" t="str">
        <x:f>FRAGEN_MASTER!U719</x:f>
        <x:v>Den Tod des Herrn, bis er kommt.</x:v>
      </x:c>
      <x:c r="K719" s="36" t="n">
        <x:f>FRAGEN_MASTER!V719</x:f>
        <x:v>3</x:v>
      </x:c>
      <x:c r="L719" s="36" t="str">
        <x:f>FRAGEN_MASTER!W719</x:f>
        <x:v>Den Tod des Herrn, bis er kommt.</x:v>
      </x:c>
      <x:c r="M719" s="36" t="str">
        <x:f>FRAGEN_MASTER!X719</x:f>
        <x:v>1. Korinther 11,23–26</x:v>
      </x:c>
      <x:c r="N719" s="36" t="str">
        <x:f>FRAGEN_MASTER!Y719</x:f>
        <x:v>Paulus überliefert die Worte Jesu und beschreibt das Mahl als Verkündigung seines Todes bis zur Wiederkunft.</x:v>
      </x:c>
      <x:c r="O719" s="36" t="str">
        <x:f>FRAGEN_MASTER!AG719</x:f>
        <x:v>FREIGEGEBEN</x:v>
      </x:c>
      <x:c r="P719" s="36" t="str">
        <x:f>FRAGEN_MASTER!AI719</x:f>
        <x:v>FREIGEGEBEN</x:v>
      </x:c>
      <x:c r="Q719" s="36" t="str">
        <x:f>FRAGEN_MASTER!AL719</x:f>
        <x:v>JA</x:v>
      </x:c>
    </x:row>
    <x:row r="720">
      <x:c r="A720" s="36" t="str">
        <x:f>FRAGEN_MASTER!A720</x:f>
        <x:v>FP-0979</x:v>
      </x:c>
      <x:c r="B720" s="36" t="str">
        <x:f>FRAGEN_MASTER!B720</x:f>
        <x:v>1CO</x:v>
      </x:c>
      <x:c r="C720" s="36" t="str">
        <x:f>FRAGEN_MASTER!C720</x:f>
        <x:v>1. Korinther</x:v>
      </x:c>
      <x:c r="D720" s="36" t="n">
        <x:f>FRAGEN_MASTER!D720</x:f>
        <x:v>11</x:v>
      </x:c>
      <x:c r="E720" s="36" t="n">
        <x:f>FRAGEN_MASTER!E720</x:f>
        <x:v>4</x:v>
      </x:c>
      <x:c r="F720" s="36" t="str">
        <x:f>FRAGEN_MASTER!Q720</x:f>
        <x:v>Welche Haltung fordert Paulus vor der Teilnahme am Herrenmahl?</x:v>
      </x:c>
      <x:c r="G720" s="36" t="str">
        <x:f>FRAGEN_MASTER!R720</x:f>
        <x:v>Der Mensch soll sich selbst prüfen und den Leib des Herrn angemessen unterscheiden.</x:v>
      </x:c>
      <x:c r="H720" s="36" t="str">
        <x:f>FRAGEN_MASTER!S720</x:f>
        <x:v>Niemand soll sich selbst prüfen.</x:v>
      </x:c>
      <x:c r="I720" s="36" t="str">
        <x:f>FRAGEN_MASTER!T720</x:f>
        <x:v>Nur die Leiter tragen Verantwortung.</x:v>
      </x:c>
      <x:c r="J720" s="36" t="str">
        <x:f>FRAGEN_MASTER!U720</x:f>
        <x:v>Die Teilnahme hängt vom gesellschaftlichen Rang ab.</x:v>
      </x:c>
      <x:c r="K720" s="36" t="n">
        <x:f>FRAGEN_MASTER!V720</x:f>
        <x:v>0</x:v>
      </x:c>
      <x:c r="L720" s="36" t="str">
        <x:f>FRAGEN_MASTER!W720</x:f>
        <x:v>Der Mensch soll sich selbst prüfen und den Leib des Herrn angemessen unterscheiden.</x:v>
      </x:c>
      <x:c r="M720" s="36" t="str">
        <x:f>FRAGEN_MASTER!X720</x:f>
        <x:v>1. Korinther 11,27–29</x:v>
      </x:c>
      <x:c r="N720" s="36" t="str">
        <x:f>FRAGEN_MASTER!Y720</x:f>
        <x:v>Paulus verbindet die Teilnahme am Mahl mit Selbstprüfung und verantwortlichem Umgang.</x:v>
      </x:c>
      <x:c r="O720" s="36" t="str">
        <x:f>FRAGEN_MASTER!AG720</x:f>
        <x:v>FREIGEGEBEN</x:v>
      </x:c>
      <x:c r="P720" s="36" t="str">
        <x:f>FRAGEN_MASTER!AI720</x:f>
        <x:v>FREIGEGEBEN</x:v>
      </x:c>
      <x:c r="Q720" s="36" t="str">
        <x:f>FRAGEN_MASTER!AL720</x:f>
        <x:v>JA</x:v>
      </x:c>
    </x:row>
    <x:row r="721">
      <x:c r="A721" s="36" t="str">
        <x:f>FRAGEN_MASTER!A721</x:f>
        <x:v>FP-0980</x:v>
      </x:c>
      <x:c r="B721" s="36" t="str">
        <x:f>FRAGEN_MASTER!B721</x:f>
        <x:v>1CO</x:v>
      </x:c>
      <x:c r="C721" s="36" t="str">
        <x:f>FRAGEN_MASTER!C721</x:f>
        <x:v>1. Korinther</x:v>
      </x:c>
      <x:c r="D721" s="36" t="n">
        <x:f>FRAGEN_MASTER!D721</x:f>
        <x:v>11</x:v>
      </x:c>
      <x:c r="E721" s="36" t="n">
        <x:f>FRAGEN_MASTER!E721</x:f>
        <x:v>5</x:v>
      </x:c>
      <x:c r="F721" s="36" t="str">
        <x:f>FRAGEN_MASTER!Q721</x:f>
        <x:v>Welche praktische Korrektur gibt Paulus für das gemeinsame Essen?</x:v>
      </x:c>
      <x:c r="G721" s="36" t="str">
        <x:f>FRAGEN_MASTER!R721</x:f>
        <x:v>Jeder soll möglichst früh allein essen.</x:v>
      </x:c>
      <x:c r="H721" s="36" t="str">
        <x:f>FRAGEN_MASTER!S721</x:f>
        <x:v>Beim Zusammenkommen sollen sie aufeinander warten; wer nur seinen Hunger stillen will, soll zu Hause essen.</x:v>
      </x:c>
      <x:c r="I721" s="36" t="str">
        <x:f>FRAGEN_MASTER!T721</x:f>
        <x:v>Die Wohlhabenden sollen zuerst essen.</x:v>
      </x:c>
      <x:c r="J721" s="36" t="str">
        <x:f>FRAGEN_MASTER!U721</x:f>
        <x:v>Das gemeinsame Mahl soll vollständig abgeschafft werden.</x:v>
      </x:c>
      <x:c r="K721" s="36" t="n">
        <x:f>FRAGEN_MASTER!V721</x:f>
        <x:v>1</x:v>
      </x:c>
      <x:c r="L721" s="36" t="str">
        <x:f>FRAGEN_MASTER!W721</x:f>
        <x:v>Beim Zusammenkommen sollen sie aufeinander warten; wer nur seinen Hunger stillen will, soll zu Hause essen.</x:v>
      </x:c>
      <x:c r="M721" s="36" t="str">
        <x:f>FRAGEN_MASTER!X721</x:f>
        <x:v>1. Korinther 11,33–34</x:v>
      </x:c>
      <x:c r="N721" s="36" t="str">
        <x:f>FRAGEN_MASTER!Y721</x:f>
        <x:v>Paulus zielt auf Rücksicht und Gemeinschaft statt egoistischer Mahlpraxis.</x:v>
      </x:c>
      <x:c r="O721" s="36" t="str">
        <x:f>FRAGEN_MASTER!AG721</x:f>
        <x:v>FREIGEGEBEN</x:v>
      </x:c>
      <x:c r="P721" s="36" t="str">
        <x:f>FRAGEN_MASTER!AI721</x:f>
        <x:v>FREIGEGEBEN</x:v>
      </x:c>
      <x:c r="Q721" s="36" t="str">
        <x:f>FRAGEN_MASTER!AL721</x:f>
        <x:v>JA</x:v>
      </x:c>
    </x:row>
    <x:row r="722">
      <x:c r="A722" s="36" t="str">
        <x:f>FRAGEN_MASTER!A722</x:f>
        <x:v>FP-0981</x:v>
      </x:c>
      <x:c r="B722" s="36" t="str">
        <x:f>FRAGEN_MASTER!B722</x:f>
        <x:v>1CO</x:v>
      </x:c>
      <x:c r="C722" s="36" t="str">
        <x:f>FRAGEN_MASTER!C722</x:f>
        <x:v>1. Korinther</x:v>
      </x:c>
      <x:c r="D722" s="36" t="n">
        <x:f>FRAGEN_MASTER!D722</x:f>
        <x:v>12</x:v>
      </x:c>
      <x:c r="E722" s="36" t="n">
        <x:f>FRAGEN_MASTER!E722</x:f>
        <x:v>1</x:v>
      </x:c>
      <x:c r="F722" s="36" t="str">
        <x:f>FRAGEN_MASTER!Q722</x:f>
        <x:v>Welche grundlegende Aussage über Jesus verbindet Paulus mit dem Wirken des Heiligen Geistes?</x:v>
      </x:c>
      <x:c r="G722" s="36" t="str">
        <x:f>FRAGEN_MASTER!R722</x:f>
        <x:v>Der Geist lenkt Menschen dazu, Jesus zu verfluchen.</x:v>
      </x:c>
      <x:c r="H722" s="36" t="str">
        <x:f>FRAGEN_MASTER!S722</x:f>
        <x:v>Nur Apostel dürfen Jesus Herr nennen.</x:v>
      </x:c>
      <x:c r="I722" s="36" t="str">
        <x:f>FRAGEN_MASTER!T722</x:f>
        <x:v>Niemand kann wirklich sagen „Jesus ist Herr“ außer durch den Heiligen Geist.</x:v>
      </x:c>
      <x:c r="J722" s="36" t="str">
        <x:f>FRAGEN_MASTER!U722</x:f>
        <x:v>Das Bekenntnis zu Jesus hat mit dem Geist nichts zu tun.</x:v>
      </x:c>
      <x:c r="K722" s="36" t="n">
        <x:f>FRAGEN_MASTER!V722</x:f>
        <x:v>2</x:v>
      </x:c>
      <x:c r="L722" s="36" t="str">
        <x:f>FRAGEN_MASTER!W722</x:f>
        <x:v>Niemand kann wirklich sagen „Jesus ist Herr“ außer durch den Heiligen Geist.</x:v>
      </x:c>
      <x:c r="M722" s="36" t="str">
        <x:f>FRAGEN_MASTER!X722</x:f>
        <x:v>1. Korinther 12,1–3</x:v>
      </x:c>
      <x:c r="N722" s="36" t="str">
        <x:f>FRAGEN_MASTER!Y722</x:f>
        <x:v>Paulus gibt ein grundlegendes Unterscheidungsmerkmal geistlichen Wirkens: das Bekenntnis zu Jesus als Herrn.</x:v>
      </x:c>
      <x:c r="O722" s="36" t="str">
        <x:f>FRAGEN_MASTER!AG722</x:f>
        <x:v>FREIGEGEBEN</x:v>
      </x:c>
      <x:c r="P722" s="36" t="str">
        <x:f>FRAGEN_MASTER!AI722</x:f>
        <x:v>FREIGEGEBEN</x:v>
      </x:c>
      <x:c r="Q722" s="36" t="str">
        <x:f>FRAGEN_MASTER!AL722</x:f>
        <x:v>JA</x:v>
      </x:c>
    </x:row>
    <x:row r="723">
      <x:c r="A723" s="36" t="str">
        <x:f>FRAGEN_MASTER!A723</x:f>
        <x:v>FP-0982</x:v>
      </x:c>
      <x:c r="B723" s="36" t="str">
        <x:f>FRAGEN_MASTER!B723</x:f>
        <x:v>1CO</x:v>
      </x:c>
      <x:c r="C723" s="36" t="str">
        <x:f>FRAGEN_MASTER!C723</x:f>
        <x:v>1. Korinther</x:v>
      </x:c>
      <x:c r="D723" s="36" t="n">
        <x:f>FRAGEN_MASTER!D723</x:f>
        <x:v>12</x:v>
      </x:c>
      <x:c r="E723" s="36" t="n">
        <x:f>FRAGEN_MASTER!E723</x:f>
        <x:v>2</x:v>
      </x:c>
      <x:c r="F723" s="36" t="str">
        <x:f>FRAGEN_MASTER!Q723</x:f>
        <x:v>Was bleibt trotz der Vielfalt geistlicher Gaben gleich?</x:v>
      </x:c>
      <x:c r="G723" s="36" t="str">
        <x:f>FRAGEN_MASTER!R723</x:f>
        <x:v>Jede Gabe stammt von einem anderen Gott.</x:v>
      </x:c>
      <x:c r="H723" s="36" t="str">
        <x:f>FRAGEN_MASTER!S723</x:f>
        <x:v>Alle müssen dieselbe Gabe haben.</x:v>
      </x:c>
      <x:c r="I723" s="36" t="str">
        <x:f>FRAGEN_MASTER!T723</x:f>
        <x:v>Gaben entstehen nur durch menschliches Training.</x:v>
      </x:c>
      <x:c r="J723" s="36" t="str">
        <x:f>FRAGEN_MASTER!U723</x:f>
        <x:v>Derselbe Geist, derselbe Herr und derselbe Gott wirken in der Vielfalt.</x:v>
      </x:c>
      <x:c r="K723" s="36" t="n">
        <x:f>FRAGEN_MASTER!V723</x:f>
        <x:v>3</x:v>
      </x:c>
      <x:c r="L723" s="36" t="str">
        <x:f>FRAGEN_MASTER!W723</x:f>
        <x:v>Derselbe Geist, derselbe Herr und derselbe Gott wirken in der Vielfalt.</x:v>
      </x:c>
      <x:c r="M723" s="36" t="str">
        <x:f>FRAGEN_MASTER!X723</x:f>
        <x:v>1. Korinther 12,4–11</x:v>
      </x:c>
      <x:c r="N723" s="36" t="str">
        <x:f>FRAGEN_MASTER!Y723</x:f>
        <x:v>Paulus betont Vielfalt der Gaben bei Einheit ihres göttlichen Ursprungs und Zweckes.</x:v>
      </x:c>
      <x:c r="O723" s="36" t="str">
        <x:f>FRAGEN_MASTER!AG723</x:f>
        <x:v>FREIGEGEBEN</x:v>
      </x:c>
      <x:c r="P723" s="36" t="str">
        <x:f>FRAGEN_MASTER!AI723</x:f>
        <x:v>FREIGEGEBEN</x:v>
      </x:c>
      <x:c r="Q723" s="36" t="str">
        <x:f>FRAGEN_MASTER!AL723</x:f>
        <x:v>JA</x:v>
      </x:c>
    </x:row>
    <x:row r="724">
      <x:c r="A724" s="36" t="str">
        <x:f>FRAGEN_MASTER!A724</x:f>
        <x:v>FP-0983</x:v>
      </x:c>
      <x:c r="B724" s="36" t="str">
        <x:f>FRAGEN_MASTER!B724</x:f>
        <x:v>1CO</x:v>
      </x:c>
      <x:c r="C724" s="36" t="str">
        <x:f>FRAGEN_MASTER!C724</x:f>
        <x:v>1. Korinther</x:v>
      </x:c>
      <x:c r="D724" s="36" t="n">
        <x:f>FRAGEN_MASTER!D724</x:f>
        <x:v>12</x:v>
      </x:c>
      <x:c r="E724" s="36" t="n">
        <x:f>FRAGEN_MASTER!E724</x:f>
        <x:v>3</x:v>
      </x:c>
      <x:c r="F724" s="36" t="str">
        <x:f>FRAGEN_MASTER!Q724</x:f>
        <x:v>Was soll das Bild vom einen Leib mit vielen Gliedern verdeutlichen?</x:v>
      </x:c>
      <x:c r="G724" s="36" t="str">
        <x:f>FRAGEN_MASTER!R724</x:f>
        <x:v>Die Gemeinde ist trotz vieler unterschiedlicher Glieder ein Leib in Christus.</x:v>
      </x:c>
      <x:c r="H724" s="36" t="str">
        <x:f>FRAGEN_MASTER!S724</x:f>
        <x:v>Alle Gemeindemitglieder müssen dieselbe Aufgabe haben.</x:v>
      </x:c>
      <x:c r="I724" s="36" t="str">
        <x:f>FRAGEN_MASTER!T724</x:f>
        <x:v>Einzelne Glieder können unabhängig vom Leib leben.</x:v>
      </x:c>
      <x:c r="J724" s="36" t="str">
        <x:f>FRAGEN_MASTER!U724</x:f>
        <x:v>Nur besonders sichtbare Gaben gehören zum Leib.</x:v>
      </x:c>
      <x:c r="K724" s="36" t="n">
        <x:f>FRAGEN_MASTER!V724</x:f>
        <x:v>0</x:v>
      </x:c>
      <x:c r="L724" s="36" t="str">
        <x:f>FRAGEN_MASTER!W724</x:f>
        <x:v>Die Gemeinde ist trotz vieler unterschiedlicher Glieder ein Leib in Christus.</x:v>
      </x:c>
      <x:c r="M724" s="36" t="str">
        <x:f>FRAGEN_MASTER!X724</x:f>
        <x:v>1. Korinther 12,12–20</x:v>
      </x:c>
      <x:c r="N724" s="36" t="str">
        <x:f>FRAGEN_MASTER!Y724</x:f>
        <x:v>Paulus verbindet Einheit und Unterschiedlichkeit: viele Glieder gehören durch einen Geist zu einem Leib.</x:v>
      </x:c>
      <x:c r="O724" s="36" t="str">
        <x:f>FRAGEN_MASTER!AG724</x:f>
        <x:v>FREIGEGEBEN</x:v>
      </x:c>
      <x:c r="P724" s="36" t="str">
        <x:f>FRAGEN_MASTER!AI724</x:f>
        <x:v>FREIGEGEBEN</x:v>
      </x:c>
      <x:c r="Q724" s="36" t="str">
        <x:f>FRAGEN_MASTER!AL724</x:f>
        <x:v>JA</x:v>
      </x:c>
    </x:row>
    <x:row r="725">
      <x:c r="A725" s="36" t="str">
        <x:f>FRAGEN_MASTER!A725</x:f>
        <x:v>FP-0984</x:v>
      </x:c>
      <x:c r="B725" s="36" t="str">
        <x:f>FRAGEN_MASTER!B725</x:f>
        <x:v>1CO</x:v>
      </x:c>
      <x:c r="C725" s="36" t="str">
        <x:f>FRAGEN_MASTER!C725</x:f>
        <x:v>1. Korinther</x:v>
      </x:c>
      <x:c r="D725" s="36" t="n">
        <x:f>FRAGEN_MASTER!D725</x:f>
        <x:v>12</x:v>
      </x:c>
      <x:c r="E725" s="36" t="n">
        <x:f>FRAGEN_MASTER!E725</x:f>
        <x:v>4</x:v>
      </x:c>
      <x:c r="F725" s="36" t="str">
        <x:f>FRAGEN_MASTER!Q725</x:f>
        <x:v>Warum kann das Auge nicht zur Hand sagen: „Ich brauche dich nicht“?</x:v>
      </x:c>
      <x:c r="G725" s="36" t="str">
        <x:f>FRAGEN_MASTER!R725</x:f>
        <x:v>Weil nur die Hand geistliche Gaben hat.</x:v>
      </x:c>
      <x:c r="H725" s="36" t="str">
        <x:f>FRAGEN_MASTER!S725</x:f>
        <x:v>Weil auch scheinbar schwächere Glieder notwendig sind und im Leib gegenseitige Fürsorge gelten soll.</x:v>
      </x:c>
      <x:c r="I725" s="36" t="str">
        <x:f>FRAGEN_MASTER!T725</x:f>
        <x:v>Weil jedes Glied völlig unabhängig ist.</x:v>
      </x:c>
      <x:c r="J725" s="36" t="str">
        <x:f>FRAGEN_MASTER!U725</x:f>
        <x:v>Weil nur sichtbare Aufgaben zählen.</x:v>
      </x:c>
      <x:c r="K725" s="36" t="n">
        <x:f>FRAGEN_MASTER!V725</x:f>
        <x:v>1</x:v>
      </x:c>
      <x:c r="L725" s="36" t="str">
        <x:f>FRAGEN_MASTER!W725</x:f>
        <x:v>Weil auch scheinbar schwächere Glieder notwendig sind und im Leib gegenseitige Fürsorge gelten soll.</x:v>
      </x:c>
      <x:c r="M725" s="36" t="str">
        <x:f>FRAGEN_MASTER!X725</x:f>
        <x:v>1. Korinther 12,21–26</x:v>
      </x:c>
      <x:c r="N725" s="36" t="str">
        <x:f>FRAGEN_MASTER!Y725</x:f>
        <x:v>Paulus widerspricht Überheblichkeit und fordert besondere Ehre und Fürsorge für verletzliche Glieder.</x:v>
      </x:c>
      <x:c r="O725" s="36" t="str">
        <x:f>FRAGEN_MASTER!AG725</x:f>
        <x:v>FREIGEGEBEN</x:v>
      </x:c>
      <x:c r="P725" s="36" t="str">
        <x:f>FRAGEN_MASTER!AI725</x:f>
        <x:v>FREIGEGEBEN</x:v>
      </x:c>
      <x:c r="Q725" s="36" t="str">
        <x:f>FRAGEN_MASTER!AL725</x:f>
        <x:v>JA</x:v>
      </x:c>
    </x:row>
    <x:row r="726">
      <x:c r="A726" s="36" t="str">
        <x:f>FRAGEN_MASTER!A726</x:f>
        <x:v>FP-0985</x:v>
      </x:c>
      <x:c r="B726" s="36" t="str">
        <x:f>FRAGEN_MASTER!B726</x:f>
        <x:v>1CO</x:v>
      </x:c>
      <x:c r="C726" s="36" t="str">
        <x:f>FRAGEN_MASTER!C726</x:f>
        <x:v>1. Korinther</x:v>
      </x:c>
      <x:c r="D726" s="36" t="n">
        <x:f>FRAGEN_MASTER!D726</x:f>
        <x:v>12</x:v>
      </x:c>
      <x:c r="E726" s="36" t="n">
        <x:f>FRAGEN_MASTER!E726</x:f>
        <x:v>5</x:v>
      </x:c>
      <x:c r="F726" s="36" t="str">
        <x:f>FRAGEN_MASTER!Q726</x:f>
        <x:v>Wie fasst Paulus die Gemeinde am Ende des Kapitels zusammen?</x:v>
      </x:c>
      <x:c r="G726" s="36" t="str">
        <x:f>FRAGEN_MASTER!R726</x:f>
        <x:v>Nur Apostel gehören zum Leib Christi.</x:v>
      </x:c>
      <x:c r="H726" s="36" t="str">
        <x:f>FRAGEN_MASTER!S726</x:f>
        <x:v>Jede Gemeinde braucht dieselbe Gabenverteilung.</x:v>
      </x:c>
      <x:c r="I726" s="36" t="str">
        <x:f>FRAGEN_MASTER!T726</x:f>
        <x:v>Ihr seid Christi Leib, einzelne Glieder davon, und Gott hat unterschiedliche Dienste und Gaben eingesetzt.</x:v>
      </x:c>
      <x:c r="J726" s="36" t="str">
        <x:f>FRAGEN_MASTER!U726</x:f>
        <x:v>Unterschiedliche Gaben sind ein Zeichen von Uneinigkeit.</x:v>
      </x:c>
      <x:c r="K726" s="36" t="n">
        <x:f>FRAGEN_MASTER!V726</x:f>
        <x:v>2</x:v>
      </x:c>
      <x:c r="L726" s="36" t="str">
        <x:f>FRAGEN_MASTER!W726</x:f>
        <x:v>Ihr seid Christi Leib, einzelne Glieder davon, und Gott hat unterschiedliche Dienste und Gaben eingesetzt.</x:v>
      </x:c>
      <x:c r="M726" s="36" t="str">
        <x:f>FRAGEN_MASTER!X726</x:f>
        <x:v>1. Korinther 12,27–31</x:v>
      </x:c>
      <x:c r="N726" s="36" t="str">
        <x:f>FRAGEN_MASTER!Y726</x:f>
        <x:v>Paulus nennt verschiedene von Gott gesetzte Dienste und führt zur noch besseren Wegweisung der Liebe über.</x:v>
      </x:c>
      <x:c r="O726" s="36" t="str">
        <x:f>FRAGEN_MASTER!AG726</x:f>
        <x:v>FREIGEGEBEN</x:v>
      </x:c>
      <x:c r="P726" s="36" t="str">
        <x:f>FRAGEN_MASTER!AI726</x:f>
        <x:v>FREIGEGEBEN</x:v>
      </x:c>
      <x:c r="Q726" s="36" t="str">
        <x:f>FRAGEN_MASTER!AL726</x:f>
        <x:v>JA</x:v>
      </x:c>
    </x:row>
    <x:row r="727">
      <x:c r="A727" s="36" t="str">
        <x:f>FRAGEN_MASTER!A727</x:f>
        <x:v>FP-0986</x:v>
      </x:c>
      <x:c r="B727" s="36" t="str">
        <x:f>FRAGEN_MASTER!B727</x:f>
        <x:v>1CO</x:v>
      </x:c>
      <x:c r="C727" s="36" t="str">
        <x:f>FRAGEN_MASTER!C727</x:f>
        <x:v>1. Korinther</x:v>
      </x:c>
      <x:c r="D727" s="36" t="n">
        <x:f>FRAGEN_MASTER!D727</x:f>
        <x:v>13</x:v>
      </x:c>
      <x:c r="E727" s="36" t="n">
        <x:f>FRAGEN_MASTER!E727</x:f>
        <x:v>1</x:v>
      </x:c>
      <x:c r="F727" s="36" t="str">
        <x:f>FRAGEN_MASTER!Q727</x:f>
        <x:v>Was sind selbst außergewöhnliche geistliche Fähigkeiten ohne Liebe wert?</x:v>
      </x:c>
      <x:c r="G727" s="36" t="str">
        <x:f>FRAGEN_MASTER!R727</x:f>
        <x:v>Sie sind automatisch größer als Liebe.</x:v>
      </x:c>
      <x:c r="H727" s="36" t="str">
        <x:f>FRAGEN_MASTER!S727</x:f>
        <x:v>Sie ersetzen Charakter und Beziehung.</x:v>
      </x:c>
      <x:c r="I727" s="36" t="str">
        <x:f>FRAGEN_MASTER!T727</x:f>
        <x:v>Nur Sprachenrede braucht Liebe.</x:v>
      </x:c>
      <x:c r="J727" s="36" t="str">
        <x:f>FRAGEN_MASTER!U727</x:f>
        <x:v>Ohne Liebe sind sie letztlich nichts und bringen keinen bleibenden Gewinn.</x:v>
      </x:c>
      <x:c r="K727" s="36" t="n">
        <x:f>FRAGEN_MASTER!V727</x:f>
        <x:v>3</x:v>
      </x:c>
      <x:c r="L727" s="36" t="str">
        <x:f>FRAGEN_MASTER!W727</x:f>
        <x:v>Ohne Liebe sind sie letztlich nichts und bringen keinen bleibenden Gewinn.</x:v>
      </x:c>
      <x:c r="M727" s="36" t="str">
        <x:f>FRAGEN_MASTER!X727</x:f>
        <x:v>1. Korinther 13,1–3</x:v>
      </x:c>
      <x:c r="N727" s="36" t="str">
        <x:f>FRAGEN_MASTER!Y727</x:f>
        <x:v>Paulus nennt Sprachen, Erkenntnis, Glauben und extreme Hingabe und erklärt, dass sie ohne Liebe wertlos bleiben.</x:v>
      </x:c>
      <x:c r="O727" s="36" t="str">
        <x:f>FRAGEN_MASTER!AG727</x:f>
        <x:v>FREIGEGEBEN</x:v>
      </x:c>
      <x:c r="P727" s="36" t="str">
        <x:f>FRAGEN_MASTER!AI727</x:f>
        <x:v>FREIGEGEBEN</x:v>
      </x:c>
      <x:c r="Q727" s="36" t="str">
        <x:f>FRAGEN_MASTER!AL727</x:f>
        <x:v>JA</x:v>
      </x:c>
    </x:row>
    <x:row r="728">
      <x:c r="A728" s="36" t="str">
        <x:f>FRAGEN_MASTER!A728</x:f>
        <x:v>FP-0987</x:v>
      </x:c>
      <x:c r="B728" s="36" t="str">
        <x:f>FRAGEN_MASTER!B728</x:f>
        <x:v>1CO</x:v>
      </x:c>
      <x:c r="C728" s="36" t="str">
        <x:f>FRAGEN_MASTER!C728</x:f>
        <x:v>1. Korinther</x:v>
      </x:c>
      <x:c r="D728" s="36" t="n">
        <x:f>FRAGEN_MASTER!D728</x:f>
        <x:v>13</x:v>
      </x:c>
      <x:c r="E728" s="36" t="n">
        <x:f>FRAGEN_MASTER!E728</x:f>
        <x:v>2</x:v>
      </x:c>
      <x:c r="F728" s="36" t="str">
        <x:f>FRAGEN_MASTER!Q728</x:f>
        <x:v>Welche Beschreibung passt zur Liebe in 1. Korinther 13?</x:v>
      </x:c>
      <x:c r="G728" s="36" t="str">
        <x:f>FRAGEN_MASTER!R728</x:f>
        <x:v>Sie ist geduldig und freundlich, sucht nicht das Ihre und trägt, glaubt, hofft und erduldet.</x:v>
      </x:c>
      <x:c r="H728" s="36" t="str">
        <x:f>FRAGEN_MASTER!S728</x:f>
        <x:v>Sie ist neidisch und sucht Anerkennung.</x:v>
      </x:c>
      <x:c r="I728" s="36" t="str">
        <x:f>FRAGEN_MASTER!T728</x:f>
        <x:v>Sie freut sich über Unrecht.</x:v>
      </x:c>
      <x:c r="J728" s="36" t="str">
        <x:f>FRAGEN_MASTER!U728</x:f>
        <x:v>Sie ist schnell gereizt und nachtragend.</x:v>
      </x:c>
      <x:c r="K728" s="36" t="n">
        <x:f>FRAGEN_MASTER!V728</x:f>
        <x:v>0</x:v>
      </x:c>
      <x:c r="L728" s="36" t="str">
        <x:f>FRAGEN_MASTER!W728</x:f>
        <x:v>Sie ist geduldig und freundlich, sucht nicht das Ihre und trägt, glaubt, hofft und erduldet.</x:v>
      </x:c>
      <x:c r="M728" s="36" t="str">
        <x:f>FRAGEN_MASTER!X728</x:f>
        <x:v>1. Korinther 13,4–7</x:v>
      </x:c>
      <x:c r="N728" s="36" t="str">
        <x:f>FRAGEN_MASTER!Y728</x:f>
        <x:v>Paulus beschreibt Liebe durch konkrete Haltungen und Verhaltensweisen.</x:v>
      </x:c>
      <x:c r="O728" s="36" t="str">
        <x:f>FRAGEN_MASTER!AG728</x:f>
        <x:v>FREIGEGEBEN</x:v>
      </x:c>
      <x:c r="P728" s="36" t="str">
        <x:f>FRAGEN_MASTER!AI728</x:f>
        <x:v>FREIGEGEBEN</x:v>
      </x:c>
      <x:c r="Q728" s="36" t="str">
        <x:f>FRAGEN_MASTER!AL728</x:f>
        <x:v>JA</x:v>
      </x:c>
    </x:row>
    <x:row r="729">
      <x:c r="A729" s="36" t="str">
        <x:f>FRAGEN_MASTER!A729</x:f>
        <x:v>FP-0988</x:v>
      </x:c>
      <x:c r="B729" s="36" t="str">
        <x:f>FRAGEN_MASTER!B729</x:f>
        <x:v>1CO</x:v>
      </x:c>
      <x:c r="C729" s="36" t="str">
        <x:f>FRAGEN_MASTER!C729</x:f>
        <x:v>1. Korinther</x:v>
      </x:c>
      <x:c r="D729" s="36" t="n">
        <x:f>FRAGEN_MASTER!D729</x:f>
        <x:v>13</x:v>
      </x:c>
      <x:c r="E729" s="36" t="n">
        <x:f>FRAGEN_MASTER!E729</x:f>
        <x:v>3</x:v>
      </x:c>
      <x:c r="F729" s="36" t="str">
        <x:f>FRAGEN_MASTER!Q729</x:f>
        <x:v>Warum stellt Paulus die Liebe über Prophetie, Sprachen und Erkenntnis?</x:v>
      </x:c>
      <x:c r="G729" s="36" t="str">
        <x:f>FRAGEN_MASTER!R729</x:f>
        <x:v>Weil geistliche Gaben grundsätzlich falsch sind.</x:v>
      </x:c>
      <x:c r="H729" s="36" t="str">
        <x:f>FRAGEN_MASTER!S729</x:f>
        <x:v>Weil diese begrenzt und vorläufig sind, die Liebe aber nicht aufhört.</x:v>
      </x:c>
      <x:c r="I729" s="36" t="str">
        <x:f>FRAGEN_MASTER!T729</x:f>
        <x:v>Weil Erkenntnis keine Gabe Gottes ist.</x:v>
      </x:c>
      <x:c r="J729" s="36" t="str">
        <x:f>FRAGEN_MASTER!U729</x:f>
        <x:v>Weil Liebe nur für das jetzige Leben gilt.</x:v>
      </x:c>
      <x:c r="K729" s="36" t="n">
        <x:f>FRAGEN_MASTER!V729</x:f>
        <x:v>1</x:v>
      </x:c>
      <x:c r="L729" s="36" t="str">
        <x:f>FRAGEN_MASTER!W729</x:f>
        <x:v>Weil diese begrenzt und vorläufig sind, die Liebe aber nicht aufhört.</x:v>
      </x:c>
      <x:c r="M729" s="36" t="str">
        <x:f>FRAGEN_MASTER!X729</x:f>
        <x:v>1. Korinther 13,8–10</x:v>
      </x:c>
      <x:c r="N729" s="36" t="str">
        <x:f>FRAGEN_MASTER!Y729</x:f>
        <x:v>Paulus kontrastiert die bleibende Liebe mit Gaben, die an eine unvollständige Erkenntnis gebunden sind.</x:v>
      </x:c>
      <x:c r="O729" s="36" t="str">
        <x:f>FRAGEN_MASTER!AG729</x:f>
        <x:v>FREIGEGEBEN</x:v>
      </x:c>
      <x:c r="P729" s="36" t="str">
        <x:f>FRAGEN_MASTER!AI729</x:f>
        <x:v>FREIGEGEBEN</x:v>
      </x:c>
      <x:c r="Q729" s="36" t="str">
        <x:f>FRAGEN_MASTER!AL729</x:f>
        <x:v>JA</x:v>
      </x:c>
    </x:row>
    <x:row r="730">
      <x:c r="A730" s="36" t="str">
        <x:f>FRAGEN_MASTER!A730</x:f>
        <x:v>FP-0989</x:v>
      </x:c>
      <x:c r="B730" s="36" t="str">
        <x:f>FRAGEN_MASTER!B730</x:f>
        <x:v>1CO</x:v>
      </x:c>
      <x:c r="C730" s="36" t="str">
        <x:f>FRAGEN_MASTER!C730</x:f>
        <x:v>1. Korinther</x:v>
      </x:c>
      <x:c r="D730" s="36" t="n">
        <x:f>FRAGEN_MASTER!D730</x:f>
        <x:v>13</x:v>
      </x:c>
      <x:c r="E730" s="36" t="n">
        <x:f>FRAGEN_MASTER!E730</x:f>
        <x:v>4</x:v>
      </x:c>
      <x:c r="F730" s="36" t="str">
        <x:f>FRAGEN_MASTER!Q730</x:f>
        <x:v>Was will Paulus mit den Bildern vom Kindsein und vom Sehen wie in einem Spiegel ausdrücken?</x:v>
      </x:c>
      <x:c r="G730" s="36" t="str">
        <x:f>FRAGEN_MASTER!R730</x:f>
        <x:v>Erwachsene brauchen keinen Glauben mehr.</x:v>
      </x:c>
      <x:c r="H730" s="36" t="str">
        <x:f>FRAGEN_MASTER!S730</x:f>
        <x:v>Kinder verstehen Gott besser als Erwachsene.</x:v>
      </x:c>
      <x:c r="I730" s="36" t="str">
        <x:f>FRAGEN_MASTER!T730</x:f>
        <x:v>Unsere gegenwärtige Erkenntnis ist unvollständig und wird einmal einer volleren Erkenntnis weichen.</x:v>
      </x:c>
      <x:c r="J730" s="36" t="str">
        <x:f>FRAGEN_MASTER!U730</x:f>
        <x:v>Spiegel sind ein Symbol für Sünde.</x:v>
      </x:c>
      <x:c r="K730" s="36" t="n">
        <x:f>FRAGEN_MASTER!V730</x:f>
        <x:v>2</x:v>
      </x:c>
      <x:c r="L730" s="36" t="str">
        <x:f>FRAGEN_MASTER!W730</x:f>
        <x:v>Unsere gegenwärtige Erkenntnis ist unvollständig und wird einmal einer volleren Erkenntnis weichen.</x:v>
      </x:c>
      <x:c r="M730" s="36" t="str">
        <x:f>FRAGEN_MASTER!X730</x:f>
        <x:v>1. Korinther 13,11–12</x:v>
      </x:c>
      <x:c r="N730" s="36" t="str">
        <x:f>FRAGEN_MASTER!Y730</x:f>
        <x:v>Paulus beschreibt die Gegenwart als begrenztes Erkennen im Vergleich zur zukünftigen Vollendung.</x:v>
      </x:c>
      <x:c r="O730" s="36" t="str">
        <x:f>FRAGEN_MASTER!AG730</x:f>
        <x:v>FREIGEGEBEN</x:v>
      </x:c>
      <x:c r="P730" s="36" t="str">
        <x:f>FRAGEN_MASTER!AI730</x:f>
        <x:v>FREIGEGEBEN</x:v>
      </x:c>
      <x:c r="Q730" s="36" t="str">
        <x:f>FRAGEN_MASTER!AL730</x:f>
        <x:v>JA</x:v>
      </x:c>
    </x:row>
    <x:row r="731">
      <x:c r="A731" s="36" t="str">
        <x:f>FRAGEN_MASTER!A731</x:f>
        <x:v>FP-0990</x:v>
      </x:c>
      <x:c r="B731" s="36" t="str">
        <x:f>FRAGEN_MASTER!B731</x:f>
        <x:v>1CO</x:v>
      </x:c>
      <x:c r="C731" s="36" t="str">
        <x:f>FRAGEN_MASTER!C731</x:f>
        <x:v>1. Korinther</x:v>
      </x:c>
      <x:c r="D731" s="36" t="n">
        <x:f>FRAGEN_MASTER!D731</x:f>
        <x:v>13</x:v>
      </x:c>
      <x:c r="E731" s="36" t="n">
        <x:f>FRAGEN_MASTER!E731</x:f>
        <x:v>5</x:v>
      </x:c>
      <x:c r="F731" s="36" t="str">
        <x:f>FRAGEN_MASTER!Q731</x:f>
        <x:v>Welche drei Dinge bleiben nach Paulus, und welches ist das größte?</x:v>
      </x:c>
      <x:c r="G731" s="36" t="str">
        <x:f>FRAGEN_MASTER!R731</x:f>
        <x:v>Glaube, Wissen und Macht; Wissen ist das größte.</x:v>
      </x:c>
      <x:c r="H731" s="36" t="str">
        <x:f>FRAGEN_MASTER!S731</x:f>
        <x:v>Hoffnung, Prophetie und Sprachen; Prophetie ist die größte.</x:v>
      </x:c>
      <x:c r="I731" s="36" t="str">
        <x:f>FRAGEN_MASTER!T731</x:f>
        <x:v>Liebe, Reichtum und Weisheit; Weisheit ist die größte.</x:v>
      </x:c>
      <x:c r="J731" s="36" t="str">
        <x:f>FRAGEN_MASTER!U731</x:f>
        <x:v>Glaube, Hoffnung und Liebe; die Liebe ist die größte.</x:v>
      </x:c>
      <x:c r="K731" s="36" t="n">
        <x:f>FRAGEN_MASTER!V731</x:f>
        <x:v>3</x:v>
      </x:c>
      <x:c r="L731" s="36" t="str">
        <x:f>FRAGEN_MASTER!W731</x:f>
        <x:v>Glaube, Hoffnung und Liebe; die Liebe ist die größte.</x:v>
      </x:c>
      <x:c r="M731" s="36" t="str">
        <x:f>FRAGEN_MASTER!X731</x:f>
        <x:v>1. Korinther 13,13</x:v>
      </x:c>
      <x:c r="N731" s="36" t="str">
        <x:f>FRAGEN_MASTER!Y731</x:f>
        <x:v>Paulus schließt mit Glaube, Hoffnung und Liebe und hebt die Liebe als die größte hervor.</x:v>
      </x:c>
      <x:c r="O731" s="36" t="str">
        <x:f>FRAGEN_MASTER!AG731</x:f>
        <x:v>FREIGEGEBEN</x:v>
      </x:c>
      <x:c r="P731" s="36" t="str">
        <x:f>FRAGEN_MASTER!AI731</x:f>
        <x:v>FREIGEGEBEN</x:v>
      </x:c>
      <x:c r="Q731" s="36" t="str">
        <x:f>FRAGEN_MASTER!AL731</x:f>
        <x:v>JA</x:v>
      </x:c>
    </x:row>
    <x:row r="732">
      <x:c r="A732" s="36" t="str">
        <x:f>FRAGEN_MASTER!A732</x:f>
        <x:v>FP-0991</x:v>
      </x:c>
      <x:c r="B732" s="36" t="str">
        <x:f>FRAGEN_MASTER!B732</x:f>
        <x:v>1CO</x:v>
      </x:c>
      <x:c r="C732" s="36" t="str">
        <x:f>FRAGEN_MASTER!C732</x:f>
        <x:v>1. Korinther</x:v>
      </x:c>
      <x:c r="D732" s="36" t="n">
        <x:f>FRAGEN_MASTER!D732</x:f>
        <x:v>14</x:v>
      </x:c>
      <x:c r="E732" s="36" t="n">
        <x:f>FRAGEN_MASTER!E732</x:f>
        <x:v>1</x:v>
      </x:c>
      <x:c r="F732" s="36" t="str">
        <x:f>FRAGEN_MASTER!Q732</x:f>
        <x:v>Warum bevorzugt Paulus in der versammelten Gemeinde verständliche Prophetie gegenüber nicht ausgelegter Sprachenrede?</x:v>
      </x:c>
      <x:c r="G732" s="36" t="str">
        <x:f>FRAGEN_MASTER!R732</x:f>
        <x:v>Weil verständliche Rede andere Menschen erbaut, ermahnt und tröstet.</x:v>
      </x:c>
      <x:c r="H732" s="36" t="str">
        <x:f>FRAGEN_MASTER!S732</x:f>
        <x:v>Weil Sprachenrede grundsätzlich verboten ist.</x:v>
      </x:c>
      <x:c r="I732" s="36" t="str">
        <x:f>FRAGEN_MASTER!T732</x:f>
        <x:v>Weil nur Propheten den Heiligen Geist besitzen.</x:v>
      </x:c>
      <x:c r="J732" s="36" t="str">
        <x:f>FRAGEN_MASTER!U732</x:f>
        <x:v>Weil persönliche Erbauung immer falsch ist.</x:v>
      </x:c>
      <x:c r="K732" s="36" t="n">
        <x:f>FRAGEN_MASTER!V732</x:f>
        <x:v>0</x:v>
      </x:c>
      <x:c r="L732" s="36" t="str">
        <x:f>FRAGEN_MASTER!W732</x:f>
        <x:v>Weil verständliche Rede andere Menschen erbaut, ermahnt und tröstet.</x:v>
      </x:c>
      <x:c r="M732" s="36" t="str">
        <x:f>FRAGEN_MASTER!X732</x:f>
        <x:v>1. Korinther 14,1–5</x:v>
      </x:c>
      <x:c r="N732" s="36" t="str">
        <x:f>FRAGEN_MASTER!Y732</x:f>
        <x:v>Paulus bewertet Gaben in der Gemeinde danach, ob sie anderen verständlich dienen und aufbauen.</x:v>
      </x:c>
      <x:c r="O732" s="36" t="str">
        <x:f>FRAGEN_MASTER!AG732</x:f>
        <x:v>FREIGEGEBEN</x:v>
      </x:c>
      <x:c r="P732" s="36" t="str">
        <x:f>FRAGEN_MASTER!AI732</x:f>
        <x:v>FREIGEGEBEN</x:v>
      </x:c>
      <x:c r="Q732" s="36" t="str">
        <x:f>FRAGEN_MASTER!AL732</x:f>
        <x:v>JA</x:v>
      </x:c>
    </x:row>
    <x:row r="733">
      <x:c r="A733" s="36" t="str">
        <x:f>FRAGEN_MASTER!A733</x:f>
        <x:v>FP-0992</x:v>
      </x:c>
      <x:c r="B733" s="36" t="str">
        <x:f>FRAGEN_MASTER!B733</x:f>
        <x:v>1CO</x:v>
      </x:c>
      <x:c r="C733" s="36" t="str">
        <x:f>FRAGEN_MASTER!C733</x:f>
        <x:v>1. Korinther</x:v>
      </x:c>
      <x:c r="D733" s="36" t="n">
        <x:f>FRAGEN_MASTER!D733</x:f>
        <x:v>14</x:v>
      </x:c>
      <x:c r="E733" s="36" t="n">
        <x:f>FRAGEN_MASTER!E733</x:f>
        <x:v>2</x:v>
      </x:c>
      <x:c r="F733" s="36" t="str">
        <x:f>FRAGEN_MASTER!Q733</x:f>
        <x:v>Was zeigen Paulus' Beispiele von Flöte, Harfe und Trompete?</x:v>
      </x:c>
      <x:c r="G733" s="36" t="str">
        <x:f>FRAGEN_MASTER!R733</x:f>
        <x:v>Musik ist im Gottesdienst verboten.</x:v>
      </x:c>
      <x:c r="H733" s="36" t="str">
        <x:f>FRAGEN_MASTER!S733</x:f>
        <x:v>Ein unklarer Ton vermittelt keine verständliche Botschaft; ebenso muss Rede verständlich sein, um zu erbauen.</x:v>
      </x:c>
      <x:c r="I733" s="36" t="str">
        <x:f>FRAGEN_MASTER!T733</x:f>
        <x:v>Nur Instrumente können prophetisch sein.</x:v>
      </x:c>
      <x:c r="J733" s="36" t="str">
        <x:f>FRAGEN_MASTER!U733</x:f>
        <x:v>Jede geistliche Gabe braucht ein Musikinstrument.</x:v>
      </x:c>
      <x:c r="K733" s="36" t="n">
        <x:f>FRAGEN_MASTER!V733</x:f>
        <x:v>1</x:v>
      </x:c>
      <x:c r="L733" s="36" t="str">
        <x:f>FRAGEN_MASTER!W733</x:f>
        <x:v>Ein unklarer Ton vermittelt keine verständliche Botschaft; ebenso muss Rede verständlich sein, um zu erbauen.</x:v>
      </x:c>
      <x:c r="M733" s="36" t="str">
        <x:f>FRAGEN_MASTER!X733</x:f>
        <x:v>1. Korinther 14,6–12</x:v>
      </x:c>
      <x:c r="N733" s="36" t="str">
        <x:f>FRAGEN_MASTER!Y733</x:f>
        <x:v>Paulus verwendet akustische Beispiele, um die Bedeutung verständlicher Kommunikation zu erklären.</x:v>
      </x:c>
      <x:c r="O733" s="36" t="str">
        <x:f>FRAGEN_MASTER!AG733</x:f>
        <x:v>FREIGEGEBEN</x:v>
      </x:c>
      <x:c r="P733" s="36" t="str">
        <x:f>FRAGEN_MASTER!AI733</x:f>
        <x:v>FREIGEGEBEN</x:v>
      </x:c>
      <x:c r="Q733" s="36" t="str">
        <x:f>FRAGEN_MASTER!AL733</x:f>
        <x:v>JA</x:v>
      </x:c>
    </x:row>
    <x:row r="734">
      <x:c r="A734" s="36" t="str">
        <x:f>FRAGEN_MASTER!A734</x:f>
        <x:v>FP-0993</x:v>
      </x:c>
      <x:c r="B734" s="36" t="str">
        <x:f>FRAGEN_MASTER!B734</x:f>
        <x:v>1CO</x:v>
      </x:c>
      <x:c r="C734" s="36" t="str">
        <x:f>FRAGEN_MASTER!C734</x:f>
        <x:v>1. Korinther</x:v>
      </x:c>
      <x:c r="D734" s="36" t="n">
        <x:f>FRAGEN_MASTER!D734</x:f>
        <x:v>14</x:v>
      </x:c>
      <x:c r="E734" s="36" t="n">
        <x:f>FRAGEN_MASTER!E734</x:f>
        <x:v>3</x:v>
      </x:c>
      <x:c r="F734" s="36" t="str">
        <x:f>FRAGEN_MASTER!Q734</x:f>
        <x:v>Wie will Paulus selbst beten und singen?</x:v>
      </x:c>
      <x:c r="G734" s="36" t="str">
        <x:f>FRAGEN_MASTER!R734</x:f>
        <x:v>Nur mit dem Verstand.</x:v>
      </x:c>
      <x:c r="H734" s="36" t="str">
        <x:f>FRAGEN_MASTER!S734</x:f>
        <x:v>Nur in einer unbekannten Sprache.</x:v>
      </x:c>
      <x:c r="I734" s="36" t="str">
        <x:f>FRAGEN_MASTER!T734</x:f>
        <x:v>Mit dem Geist und zugleich mit dem Verstand.</x:v>
      </x:c>
      <x:c r="J734" s="36" t="str">
        <x:f>FRAGEN_MASTER!U734</x:f>
        <x:v>Ohne Worte und ohne Verständnis.</x:v>
      </x:c>
      <x:c r="K734" s="36" t="n">
        <x:f>FRAGEN_MASTER!V734</x:f>
        <x:v>2</x:v>
      </x:c>
      <x:c r="L734" s="36" t="str">
        <x:f>FRAGEN_MASTER!W734</x:f>
        <x:v>Mit dem Geist und zugleich mit dem Verstand.</x:v>
      </x:c>
      <x:c r="M734" s="36" t="str">
        <x:f>FRAGEN_MASTER!X734</x:f>
        <x:v>1. Korinther 14,13–19</x:v>
      </x:c>
      <x:c r="N734" s="36" t="str">
        <x:f>FRAGEN_MASTER!Y734</x:f>
        <x:v>Paulus will geistliche Beteiligung und verständlichen Sinn miteinander verbinden.</x:v>
      </x:c>
      <x:c r="O734" s="36" t="str">
        <x:f>FRAGEN_MASTER!AG734</x:f>
        <x:v>FREIGEGEBEN</x:v>
      </x:c>
      <x:c r="P734" s="36" t="str">
        <x:f>FRAGEN_MASTER!AI734</x:f>
        <x:v>FREIGEGEBEN</x:v>
      </x:c>
      <x:c r="Q734" s="36" t="str">
        <x:f>FRAGEN_MASTER!AL734</x:f>
        <x:v>JA</x:v>
      </x:c>
    </x:row>
    <x:row r="735">
      <x:c r="A735" s="36" t="str">
        <x:f>FRAGEN_MASTER!A735</x:f>
        <x:v>FP-0994</x:v>
      </x:c>
      <x:c r="B735" s="36" t="str">
        <x:f>FRAGEN_MASTER!B735</x:f>
        <x:v>1CO</x:v>
      </x:c>
      <x:c r="C735" s="36" t="str">
        <x:f>FRAGEN_MASTER!C735</x:f>
        <x:v>1. Korinther</x:v>
      </x:c>
      <x:c r="D735" s="36" t="n">
        <x:f>FRAGEN_MASTER!D735</x:f>
        <x:v>14</x:v>
      </x:c>
      <x:c r="E735" s="36" t="n">
        <x:f>FRAGEN_MASTER!E735</x:f>
        <x:v>4</x:v>
      </x:c>
      <x:c r="F735" s="36" t="str">
        <x:f>FRAGEN_MASTER!Q735</x:f>
        <x:v>Welcher Grundsatz soll die Beiträge beim Zusammenkommen der Gemeinde bestimmen?</x:v>
      </x:c>
      <x:c r="G735" s="36" t="str">
        <x:f>FRAGEN_MASTER!R735</x:f>
        <x:v>Jeder soll gleichzeitig sprechen.</x:v>
      </x:c>
      <x:c r="H735" s="36" t="str">
        <x:f>FRAGEN_MASTER!S735</x:f>
        <x:v>Nur eine Person darf jemals etwas beitragen.</x:v>
      </x:c>
      <x:c r="I735" s="36" t="str">
        <x:f>FRAGEN_MASTER!T735</x:f>
        <x:v>Spontane Beiträge sind grundsätzlich verboten.</x:v>
      </x:c>
      <x:c r="J735" s="36" t="str">
        <x:f>FRAGEN_MASTER!U735</x:f>
        <x:v>Alles soll zur Erbauung geschehen und in geordneter Weise beitragen.</x:v>
      </x:c>
      <x:c r="K735" s="36" t="n">
        <x:f>FRAGEN_MASTER!V735</x:f>
        <x:v>3</x:v>
      </x:c>
      <x:c r="L735" s="36" t="str">
        <x:f>FRAGEN_MASTER!W735</x:f>
        <x:v>Alles soll zur Erbauung geschehen und in geordneter Weise beitragen.</x:v>
      </x:c>
      <x:c r="M735" s="36" t="str">
        <x:f>FRAGEN_MASTER!X735</x:f>
        <x:v>1. Korinther 14,26–33</x:v>
      </x:c>
      <x:c r="N735" s="36" t="str">
        <x:f>FRAGEN_MASTER!Y735</x:f>
        <x:v>Paulus erlaubt vielfältige Beiträge, ordnet sie aber dem Aufbau und dem Frieden in der Gemeinde unter.</x:v>
      </x:c>
      <x:c r="O735" s="36" t="str">
        <x:f>FRAGEN_MASTER!AG735</x:f>
        <x:v>FREIGEGEBEN</x:v>
      </x:c>
      <x:c r="P735" s="36" t="str">
        <x:f>FRAGEN_MASTER!AI735</x:f>
        <x:v>FREIGEGEBEN</x:v>
      </x:c>
      <x:c r="Q735" s="36" t="str">
        <x:f>FRAGEN_MASTER!AL735</x:f>
        <x:v>JA</x:v>
      </x:c>
    </x:row>
    <x:row r="736">
      <x:c r="A736" s="36" t="str">
        <x:f>FRAGEN_MASTER!A736</x:f>
        <x:v>FP-0995</x:v>
      </x:c>
      <x:c r="B736" s="36" t="str">
        <x:f>FRAGEN_MASTER!B736</x:f>
        <x:v>1CO</x:v>
      </x:c>
      <x:c r="C736" s="36" t="str">
        <x:f>FRAGEN_MASTER!C736</x:f>
        <x:v>1. Korinther</x:v>
      </x:c>
      <x:c r="D736" s="36" t="n">
        <x:f>FRAGEN_MASTER!D736</x:f>
        <x:v>14</x:v>
      </x:c>
      <x:c r="E736" s="36" t="n">
        <x:f>FRAGEN_MASTER!E736</x:f>
        <x:v>5</x:v>
      </x:c>
      <x:c r="F736" s="36" t="str">
        <x:f>FRAGEN_MASTER!Q736</x:f>
        <x:v>Wie fasst Paulus den Umgang mit Prophetie, Sprachenrede und Ordnung zusammen?</x:v>
      </x:c>
      <x:c r="G736" s="36" t="str">
        <x:f>FRAGEN_MASTER!R736</x:f>
        <x:v>Nach Prophetie streben, Sprachenrede nicht verbieten und alles anständig und geordnet geschehen lassen.</x:v>
      </x:c>
      <x:c r="H736" s="36" t="str">
        <x:f>FRAGEN_MASTER!S736</x:f>
        <x:v>Alle geistlichen Gaben abschaffen.</x:v>
      </x:c>
      <x:c r="I736" s="36" t="str">
        <x:f>FRAGEN_MASTER!T736</x:f>
        <x:v>Nur Sprachenrede zulassen.</x:v>
      </x:c>
      <x:c r="J736" s="36" t="str">
        <x:f>FRAGEN_MASTER!U736</x:f>
        <x:v>Ordnung ist weniger wichtig als spontane Unruhe.</x:v>
      </x:c>
      <x:c r="K736" s="36" t="n">
        <x:f>FRAGEN_MASTER!V736</x:f>
        <x:v>0</x:v>
      </x:c>
      <x:c r="L736" s="36" t="str">
        <x:f>FRAGEN_MASTER!W736</x:f>
        <x:v>Nach Prophetie streben, Sprachenrede nicht verbieten und alles anständig und geordnet geschehen lassen.</x:v>
      </x:c>
      <x:c r="M736" s="36" t="str">
        <x:f>FRAGEN_MASTER!X736</x:f>
        <x:v>1. Korinther 14,39–40</x:v>
      </x:c>
      <x:c r="N736" s="36" t="str">
        <x:f>FRAGEN_MASTER!Y736</x:f>
        <x:v>Paulus beendet den Abschnitt weder mit einem Verbot geistlicher Gaben noch mit Beliebigkeit, sondern mit geordneter Freiheit.</x:v>
      </x:c>
      <x:c r="O736" s="36" t="str">
        <x:f>FRAGEN_MASTER!AG736</x:f>
        <x:v>FREIGEGEBEN</x:v>
      </x:c>
      <x:c r="P736" s="36" t="str">
        <x:f>FRAGEN_MASTER!AI736</x:f>
        <x:v>FREIGEGEBEN</x:v>
      </x:c>
      <x:c r="Q736" s="36" t="str">
        <x:f>FRAGEN_MASTER!AL736</x:f>
        <x:v>JA</x:v>
      </x:c>
    </x:row>
    <x:row r="737">
      <x:c r="A737" s="36" t="str">
        <x:f>FRAGEN_MASTER!A737</x:f>
        <x:v>FP-0996</x:v>
      </x:c>
      <x:c r="B737" s="36" t="str">
        <x:f>FRAGEN_MASTER!B737</x:f>
        <x:v>1CO</x:v>
      </x:c>
      <x:c r="C737" s="36" t="str">
        <x:f>FRAGEN_MASTER!C737</x:f>
        <x:v>1. Korinther</x:v>
      </x:c>
      <x:c r="D737" s="36" t="n">
        <x:f>FRAGEN_MASTER!D737</x:f>
        <x:v>15</x:v>
      </x:c>
      <x:c r="E737" s="36" t="n">
        <x:f>FRAGEN_MASTER!E737</x:f>
        <x:v>1</x:v>
      </x:c>
      <x:c r="F737" s="36" t="str">
        <x:f>FRAGEN_MASTER!Q737</x:f>
        <x:v>Welche Ereignisse gehören nach Paulus zum Kern des Evangeliums, das er empfangen und weitergegeben hat?</x:v>
      </x:c>
      <x:c r="G737" s="36" t="str">
        <x:f>FRAGEN_MASTER!R737</x:f>
        <x:v>Jesus lehrte nur eine neue Ethik.</x:v>
      </x:c>
      <x:c r="H737" s="36" t="str">
        <x:f>FRAGEN_MASTER!S737</x:f>
        <x:v>Christus starb für unsere Sünden, wurde begraben, am dritten Tag auferweckt und erschien vielen Zeugen.</x:v>
      </x:c>
      <x:c r="I737" s="36" t="str">
        <x:f>FRAGEN_MASTER!T737</x:f>
        <x:v>Christus starb, blieb aber im Grab.</x:v>
      </x:c>
      <x:c r="J737" s="36" t="str">
        <x:f>FRAGEN_MASTER!U737</x:f>
        <x:v>Die Auferstehung ist lediglich ein Bild für Erinnerung.</x:v>
      </x:c>
      <x:c r="K737" s="36" t="n">
        <x:f>FRAGEN_MASTER!V737</x:f>
        <x:v>1</x:v>
      </x:c>
      <x:c r="L737" s="36" t="str">
        <x:f>FRAGEN_MASTER!W737</x:f>
        <x:v>Christus starb für unsere Sünden, wurde begraben, am dritten Tag auferweckt und erschien vielen Zeugen.</x:v>
      </x:c>
      <x:c r="M737" s="36" t="str">
        <x:f>FRAGEN_MASTER!X737</x:f>
        <x:v>1. Korinther 15,1–8</x:v>
      </x:c>
      <x:c r="N737" s="36" t="str">
        <x:f>FRAGEN_MASTER!Y737</x:f>
        <x:v>Paulus fasst das Evangelium mit Tod, Begräbnis, Auferstehung und Erscheinungen des auferstandenen Christus zusammen.</x:v>
      </x:c>
      <x:c r="O737" s="36" t="str">
        <x:f>FRAGEN_MASTER!AG737</x:f>
        <x:v>FREIGEGEBEN</x:v>
      </x:c>
      <x:c r="P737" s="36" t="str">
        <x:f>FRAGEN_MASTER!AI737</x:f>
        <x:v>FREIGEGEBEN</x:v>
      </x:c>
      <x:c r="Q737" s="36" t="str">
        <x:f>FRAGEN_MASTER!AL737</x:f>
        <x:v>JA</x:v>
      </x:c>
    </x:row>
    <x:row r="738">
      <x:c r="A738" s="36" t="str">
        <x:f>FRAGEN_MASTER!A738</x:f>
        <x:v>FP-0997</x:v>
      </x:c>
      <x:c r="B738" s="36" t="str">
        <x:f>FRAGEN_MASTER!B738</x:f>
        <x:v>1CO</x:v>
      </x:c>
      <x:c r="C738" s="36" t="str">
        <x:f>FRAGEN_MASTER!C738</x:f>
        <x:v>1. Korinther</x:v>
      </x:c>
      <x:c r="D738" s="36" t="n">
        <x:f>FRAGEN_MASTER!D738</x:f>
        <x:v>15</x:v>
      </x:c>
      <x:c r="E738" s="36" t="n">
        <x:f>FRAGEN_MASTER!E738</x:f>
        <x:v>2</x:v>
      </x:c>
      <x:c r="F738" s="36" t="str">
        <x:f>FRAGEN_MASTER!Q738</x:f>
        <x:v>Welche Folgen hätte es nach Paulus, wenn es keine Auferstehung der Toten gäbe?</x:v>
      </x:c>
      <x:c r="G738" s="36" t="str">
        <x:f>FRAGEN_MASTER!R738</x:f>
        <x:v>Nur die Missionsreisen würden überflüssig.</x:v>
      </x:c>
      <x:c r="H738" s="36" t="str">
        <x:f>FRAGEN_MASTER!S738</x:f>
        <x:v>Der Glaube bliebe unverändert.</x:v>
      </x:c>
      <x:c r="I738" s="36" t="str">
        <x:f>FRAGEN_MASTER!T738</x:f>
        <x:v>Dann wäre Christus nicht auferweckt, die Verkündigung und der Glaube wären leer und die Glaubenden noch in ihren Sünden.</x:v>
      </x:c>
      <x:c r="J738" s="36" t="str">
        <x:f>FRAGEN_MASTER!U738</x:f>
        <x:v>Nur die Apostel wären betroffen.</x:v>
      </x:c>
      <x:c r="K738" s="36" t="n">
        <x:f>FRAGEN_MASTER!V738</x:f>
        <x:v>2</x:v>
      </x:c>
      <x:c r="L738" s="36" t="str">
        <x:f>FRAGEN_MASTER!W738</x:f>
        <x:v>Dann wäre Christus nicht auferweckt, die Verkündigung und der Glaube wären leer und die Glaubenden noch in ihren Sünden.</x:v>
      </x:c>
      <x:c r="M738" s="36" t="str">
        <x:f>FRAGEN_MASTER!X738</x:f>
        <x:v>1. Korinther 15,12–19</x:v>
      </x:c>
      <x:c r="N738" s="36" t="str">
        <x:f>FRAGEN_MASTER!Y738</x:f>
        <x:v>Paulus zeigt, dass die leibliche Auferstehung untrennbar mit dem christlichen Evangelium verbunden ist.</x:v>
      </x:c>
      <x:c r="O738" s="36" t="str">
        <x:f>FRAGEN_MASTER!AG738</x:f>
        <x:v>FREIGEGEBEN</x:v>
      </x:c>
      <x:c r="P738" s="36" t="str">
        <x:f>FRAGEN_MASTER!AI738</x:f>
        <x:v>FREIGEGEBEN</x:v>
      </x:c>
      <x:c r="Q738" s="36" t="str">
        <x:f>FRAGEN_MASTER!AL738</x:f>
        <x:v>JA</x:v>
      </x:c>
    </x:row>
    <x:row r="739">
      <x:c r="A739" s="36" t="str">
        <x:f>FRAGEN_MASTER!A739</x:f>
        <x:v>FP-0998</x:v>
      </x:c>
      <x:c r="B739" s="36" t="str">
        <x:f>FRAGEN_MASTER!B739</x:f>
        <x:v>1CO</x:v>
      </x:c>
      <x:c r="C739" s="36" t="str">
        <x:f>FRAGEN_MASTER!C739</x:f>
        <x:v>1. Korinther</x:v>
      </x:c>
      <x:c r="D739" s="36" t="n">
        <x:f>FRAGEN_MASTER!D739</x:f>
        <x:v>15</x:v>
      </x:c>
      <x:c r="E739" s="36" t="n">
        <x:f>FRAGEN_MASTER!E739</x:f>
        <x:v>3</x:v>
      </x:c>
      <x:c r="F739" s="36" t="str">
        <x:f>FRAGEN_MASTER!Q739</x:f>
        <x:v>Was bedeutet es, dass Christus „Erstling“ der Entschlafenen ist?</x:v>
      </x:c>
      <x:c r="G739" s="36" t="str">
        <x:f>FRAGEN_MASTER!R739</x:f>
        <x:v>Nur Christus wird auferstehen.</x:v>
      </x:c>
      <x:c r="H739" s="36" t="str">
        <x:f>FRAGEN_MASTER!S739</x:f>
        <x:v>Er war der erste Mensch, der je wiederbelebt wurde.</x:v>
      </x:c>
      <x:c r="I739" s="36" t="str">
        <x:f>FRAGEN_MASTER!T739</x:f>
        <x:v>Auferstehung ist nur geistige Erinnerung.</x:v>
      </x:c>
      <x:c r="J739" s="36" t="str">
        <x:f>FRAGEN_MASTER!U739</x:f>
        <x:v>Seine Auferstehung eröffnet und garantiert die kommende Auferstehung derer, die zu ihm gehören.</x:v>
      </x:c>
      <x:c r="K739" s="36" t="n">
        <x:f>FRAGEN_MASTER!V739</x:f>
        <x:v>3</x:v>
      </x:c>
      <x:c r="L739" s="36" t="str">
        <x:f>FRAGEN_MASTER!W739</x:f>
        <x:v>Seine Auferstehung eröffnet und garantiert die kommende Auferstehung derer, die zu ihm gehören.</x:v>
      </x:c>
      <x:c r="M739" s="36" t="str">
        <x:f>FRAGEN_MASTER!X739</x:f>
        <x:v>1. Korinther 15,20–28</x:v>
      </x:c>
      <x:c r="N739" s="36" t="str">
        <x:f>FRAGEN_MASTER!Y739</x:f>
        <x:v>Paulus stellt Christus als Anfang einer kommenden Auferstehungsernte dar und ordnet alles auf Gottes endgültige Herrschaft hin.</x:v>
      </x:c>
      <x:c r="O739" s="36" t="str">
        <x:f>FRAGEN_MASTER!AG739</x:f>
        <x:v>FREIGEGEBEN</x:v>
      </x:c>
      <x:c r="P739" s="36" t="str">
        <x:f>FRAGEN_MASTER!AI739</x:f>
        <x:v>FREIGEGEBEN</x:v>
      </x:c>
      <x:c r="Q739" s="36" t="str">
        <x:f>FRAGEN_MASTER!AL739</x:f>
        <x:v>JA</x:v>
      </x:c>
    </x:row>
    <x:row r="740">
      <x:c r="A740" s="36" t="str">
        <x:f>FRAGEN_MASTER!A740</x:f>
        <x:v>FP-0999</x:v>
      </x:c>
      <x:c r="B740" s="36" t="str">
        <x:f>FRAGEN_MASTER!B740</x:f>
        <x:v>1CO</x:v>
      </x:c>
      <x:c r="C740" s="36" t="str">
        <x:f>FRAGEN_MASTER!C740</x:f>
        <x:v>1. Korinther</x:v>
      </x:c>
      <x:c r="D740" s="36" t="n">
        <x:f>FRAGEN_MASTER!D740</x:f>
        <x:v>15</x:v>
      </x:c>
      <x:c r="E740" s="36" t="n">
        <x:f>FRAGEN_MASTER!E740</x:f>
        <x:v>4</x:v>
      </x:c>
      <x:c r="F740" s="36" t="str">
        <x:f>FRAGEN_MASTER!Q740</x:f>
        <x:v>Mit welchem Bild erklärt Paulus, dass der Auferstehungsleib zugleich derselbe Mensch und doch verwandelt sein wird?</x:v>
      </x:c>
      <x:c r="G740" s="36" t="str">
        <x:f>FRAGEN_MASTER!R740</x:f>
        <x:v>Mit einem gesäten Korn, aus dem Gott einen neuen Leib wachsen lässt.</x:v>
      </x:c>
      <x:c r="H740" s="36" t="str">
        <x:f>FRAGEN_MASTER!S740</x:f>
        <x:v>Mit einem Haus, das nur neu gestrichen wird.</x:v>
      </x:c>
      <x:c r="I740" s="36" t="str">
        <x:f>FRAGEN_MASTER!T740</x:f>
        <x:v>Mit einem Kleid, das unverändert bleibt.</x:v>
      </x:c>
      <x:c r="J740" s="36" t="str">
        <x:f>FRAGEN_MASTER!U740</x:f>
        <x:v>Mit einem Schiff, das denselben Hafen verlässt.</x:v>
      </x:c>
      <x:c r="K740" s="36" t="n">
        <x:f>FRAGEN_MASTER!V740</x:f>
        <x:v>0</x:v>
      </x:c>
      <x:c r="L740" s="36" t="str">
        <x:f>FRAGEN_MASTER!W740</x:f>
        <x:v>Mit einem gesäten Korn, aus dem Gott einen neuen Leib wachsen lässt.</x:v>
      </x:c>
      <x:c r="M740" s="36" t="str">
        <x:f>FRAGEN_MASTER!X740</x:f>
        <x:v>1. Korinther 15,35–44</x:v>
      </x:c>
      <x:c r="N740" s="36" t="str">
        <x:f>FRAGEN_MASTER!Y740</x:f>
        <x:v>Das Saatbild verdeutlicht Kontinuität und zugleich tiefgreifende Verwandlung zwischen Vergänglichkeit und Auferstehungsleib.</x:v>
      </x:c>
      <x:c r="O740" s="36" t="str">
        <x:f>FRAGEN_MASTER!AG740</x:f>
        <x:v>FREIGEGEBEN</x:v>
      </x:c>
      <x:c r="P740" s="36" t="str">
        <x:f>FRAGEN_MASTER!AI740</x:f>
        <x:v>FREIGEGEBEN</x:v>
      </x:c>
      <x:c r="Q740" s="36" t="str">
        <x:f>FRAGEN_MASTER!AL740</x:f>
        <x:v>JA</x:v>
      </x:c>
    </x:row>
    <x:row r="741">
      <x:c r="A741" s="36" t="str">
        <x:f>FRAGEN_MASTER!A741</x:f>
        <x:v>FP-1000</x:v>
      </x:c>
      <x:c r="B741" s="36" t="str">
        <x:f>FRAGEN_MASTER!B741</x:f>
        <x:v>1CO</x:v>
      </x:c>
      <x:c r="C741" s="36" t="str">
        <x:f>FRAGEN_MASTER!C741</x:f>
        <x:v>1. Korinther</x:v>
      </x:c>
      <x:c r="D741" s="36" t="n">
        <x:f>FRAGEN_MASTER!D741</x:f>
        <x:v>15</x:v>
      </x:c>
      <x:c r="E741" s="36" t="n">
        <x:f>FRAGEN_MASTER!E741</x:f>
        <x:v>5</x:v>
      </x:c>
      <x:c r="F741" s="36" t="str">
        <x:f>FRAGEN_MASTER!Q741</x:f>
        <x:v>Welche Hoffnung verbindet Paulus mit der letzten Posaune?</x:v>
      </x:c>
      <x:c r="G741" s="36" t="str">
        <x:f>FRAGEN_MASTER!R741</x:f>
        <x:v>Nur die Apostel werden verwandelt.</x:v>
      </x:c>
      <x:c r="H741" s="36" t="str">
        <x:f>FRAGEN_MASTER!S741</x:f>
        <x:v>Die Toten werden unvergänglich auferweckt, die Lebenden verwandelt und der Tod wird im Sieg verschlungen.</x:v>
      </x:c>
      <x:c r="I741" s="36" t="str">
        <x:f>FRAGEN_MASTER!T741</x:f>
        <x:v>Der Tod bleibt für immer Sieger.</x:v>
      </x:c>
      <x:c r="J741" s="36" t="str">
        <x:f>FRAGEN_MASTER!U741</x:f>
        <x:v>Auferstehung betrifft nur die Seele.</x:v>
      </x:c>
      <x:c r="K741" s="36" t="n">
        <x:f>FRAGEN_MASTER!V741</x:f>
        <x:v>1</x:v>
      </x:c>
      <x:c r="L741" s="36" t="str">
        <x:f>FRAGEN_MASTER!W741</x:f>
        <x:v>Die Toten werden unvergänglich auferweckt, die Lebenden verwandelt und der Tod wird im Sieg verschlungen.</x:v>
      </x:c>
      <x:c r="M741" s="36" t="str">
        <x:f>FRAGEN_MASTER!X741</x:f>
        <x:v>1. Korinther 15,51–58</x:v>
      </x:c>
      <x:c r="N741" s="36" t="str">
        <x:f>FRAGEN_MASTER!Y741</x:f>
        <x:v>Paulus beschreibt die endgültige Verwandlung und schließt mit der Aufforderung, standhaft im Werk des Herrn zu bleiben.</x:v>
      </x:c>
      <x:c r="O741" s="36" t="str">
        <x:f>FRAGEN_MASTER!AG741</x:f>
        <x:v>FREIGEGEBEN</x:v>
      </x:c>
      <x:c r="P741" s="36" t="str">
        <x:f>FRAGEN_MASTER!AI741</x:f>
        <x:v>FREIGEGEBEN</x:v>
      </x:c>
      <x:c r="Q741" s="36" t="str">
        <x:f>FRAGEN_MASTER!AL741</x:f>
        <x:v>JA</x:v>
      </x:c>
    </x:row>
    <x:row r="742">
      <x:c r="A742" s="36" t="str">
        <x:f>FRAGEN_MASTER!A742</x:f>
        <x:v>FP-1001</x:v>
      </x:c>
      <x:c r="B742" s="36" t="str">
        <x:f>FRAGEN_MASTER!B742</x:f>
        <x:v>1CO</x:v>
      </x:c>
      <x:c r="C742" s="36" t="str">
        <x:f>FRAGEN_MASTER!C742</x:f>
        <x:v>1. Korinther</x:v>
      </x:c>
      <x:c r="D742" s="36" t="n">
        <x:f>FRAGEN_MASTER!D742</x:f>
        <x:v>16</x:v>
      </x:c>
      <x:c r="E742" s="36" t="n">
        <x:f>FRAGEN_MASTER!E742</x:f>
        <x:v>1</x:v>
      </x:c>
      <x:c r="F742" s="36" t="str">
        <x:f>FRAGEN_MASTER!Q742</x:f>
        <x:v>Wie soll die Sammlung für die Gläubigen organisiert werden?</x:v>
      </x:c>
      <x:c r="G742" s="36" t="str">
        <x:f>FRAGEN_MASTER!R742</x:f>
        <x:v>Nur Paulus soll Geld sammeln.</x:v>
      </x:c>
      <x:c r="H742" s="36" t="str">
        <x:f>FRAGEN_MASTER!S742</x:f>
        <x:v>Die Sammlung soll erst bei Paulus' Ankunft beginnen.</x:v>
      </x:c>
      <x:c r="I742" s="36" t="str">
        <x:f>FRAGEN_MASTER!T742</x:f>
        <x:v>Am ersten Tag jeder Woche soll jeder entsprechend seinem Gelingen etwas zurücklegen.</x:v>
      </x:c>
      <x:c r="J742" s="36" t="str">
        <x:f>FRAGEN_MASTER!U742</x:f>
        <x:v>Nur wohlhabende Menschen dürfen beitragen.</x:v>
      </x:c>
      <x:c r="K742" s="36" t="n">
        <x:f>FRAGEN_MASTER!V742</x:f>
        <x:v>2</x:v>
      </x:c>
      <x:c r="L742" s="36" t="str">
        <x:f>FRAGEN_MASTER!W742</x:f>
        <x:v>Am ersten Tag jeder Woche soll jeder entsprechend seinem Gelingen etwas zurücklegen.</x:v>
      </x:c>
      <x:c r="M742" s="36" t="str">
        <x:f>FRAGEN_MASTER!X742</x:f>
        <x:v>1. Korinther 16,1–4</x:v>
      </x:c>
      <x:c r="N742" s="36" t="str">
        <x:f>FRAGEN_MASTER!Y742</x:f>
        <x:v>Paulus empfiehlt regelmäßiges, vorbereitetes Zurücklegen, damit die Sammlung bei seiner Ankunft nicht erst beginnen muss.</x:v>
      </x:c>
      <x:c r="O742" s="36" t="str">
        <x:f>FRAGEN_MASTER!AG742</x:f>
        <x:v>FREIGEGEBEN</x:v>
      </x:c>
      <x:c r="P742" s="36" t="str">
        <x:f>FRAGEN_MASTER!AI742</x:f>
        <x:v>FREIGEGEBEN</x:v>
      </x:c>
      <x:c r="Q742" s="36" t="str">
        <x:f>FRAGEN_MASTER!AL742</x:f>
        <x:v>JA</x:v>
      </x:c>
    </x:row>
    <x:row r="743">
      <x:c r="A743" s="36" t="str">
        <x:f>FRAGEN_MASTER!A743</x:f>
        <x:v>FP-1002</x:v>
      </x:c>
      <x:c r="B743" s="36" t="str">
        <x:f>FRAGEN_MASTER!B743</x:f>
        <x:v>1CO</x:v>
      </x:c>
      <x:c r="C743" s="36" t="str">
        <x:f>FRAGEN_MASTER!C743</x:f>
        <x:v>1. Korinther</x:v>
      </x:c>
      <x:c r="D743" s="36" t="n">
        <x:f>FRAGEN_MASTER!D743</x:f>
        <x:v>16</x:v>
      </x:c>
      <x:c r="E743" s="36" t="n">
        <x:f>FRAGEN_MASTER!E743</x:f>
        <x:v>2</x:v>
      </x:c>
      <x:c r="F743" s="36" t="str">
        <x:f>FRAGEN_MASTER!Q743</x:f>
        <x:v>Warum möchte Paulus trotz vieler Gegner noch eine Zeit in Ephesus bleiben?</x:v>
      </x:c>
      <x:c r="G743" s="36" t="str">
        <x:f>FRAGEN_MASTER!R743</x:f>
        <x:v>Weil es dort keine Schwierigkeiten gibt.</x:v>
      </x:c>
      <x:c r="H743" s="36" t="str">
        <x:f>FRAGEN_MASTER!S743</x:f>
        <x:v>Weil er seine Missionsarbeit beendet hat.</x:v>
      </x:c>
      <x:c r="I743" s="36" t="str">
        <x:f>FRAGEN_MASTER!T743</x:f>
        <x:v>Weil die Korinther ihn nicht sehen sollen.</x:v>
      </x:c>
      <x:c r="J743" s="36" t="str">
        <x:f>FRAGEN_MASTER!U743</x:f>
        <x:v>Weil sich ihm dort eine große und wirksame Tür zum Dienst geöffnet hat.</x:v>
      </x:c>
      <x:c r="K743" s="36" t="n">
        <x:f>FRAGEN_MASTER!V743</x:f>
        <x:v>3</x:v>
      </x:c>
      <x:c r="L743" s="36" t="str">
        <x:f>FRAGEN_MASTER!W743</x:f>
        <x:v>Weil sich ihm dort eine große und wirksame Tür zum Dienst geöffnet hat.</x:v>
      </x:c>
      <x:c r="M743" s="36" t="str">
        <x:f>FRAGEN_MASTER!X743</x:f>
        <x:v>1. Korinther 16,5–9</x:v>
      </x:c>
      <x:c r="N743" s="36" t="str">
        <x:f>FRAGEN_MASTER!Y743</x:f>
        <x:v>Paulus verbindet eine große Gelegenheit zum Dienst ausdrücklich mit gleichzeitigem Widerstand.</x:v>
      </x:c>
      <x:c r="O743" s="36" t="str">
        <x:f>FRAGEN_MASTER!AG743</x:f>
        <x:v>FREIGEGEBEN</x:v>
      </x:c>
      <x:c r="P743" s="36" t="str">
        <x:f>FRAGEN_MASTER!AI743</x:f>
        <x:v>FREIGEGEBEN</x:v>
      </x:c>
      <x:c r="Q743" s="36" t="str">
        <x:f>FRAGEN_MASTER!AL743</x:f>
        <x:v>JA</x:v>
      </x:c>
    </x:row>
    <x:row r="744">
      <x:c r="A744" s="36" t="str">
        <x:f>FRAGEN_MASTER!A744</x:f>
        <x:v>FP-1003</x:v>
      </x:c>
      <x:c r="B744" s="36" t="str">
        <x:f>FRAGEN_MASTER!B744</x:f>
        <x:v>1CO</x:v>
      </x:c>
      <x:c r="C744" s="36" t="str">
        <x:f>FRAGEN_MASTER!C744</x:f>
        <x:v>1. Korinther</x:v>
      </x:c>
      <x:c r="D744" s="36" t="n">
        <x:f>FRAGEN_MASTER!D744</x:f>
        <x:v>16</x:v>
      </x:c>
      <x:c r="E744" s="36" t="n">
        <x:f>FRAGEN_MASTER!E744</x:f>
        <x:v>3</x:v>
      </x:c>
      <x:c r="F744" s="36" t="str">
        <x:f>FRAGEN_MASTER!Q744</x:f>
        <x:v>Wie sollen die Korinther Timotheus behandeln, wenn er zu ihnen kommt?</x:v>
      </x:c>
      <x:c r="G744" s="36" t="str">
        <x:f>FRAGEN_MASTER!R744</x:f>
        <x:v>Sie sollen dafür sorgen, dass er ohne Furcht bei ihnen sein kann und ihn nicht verachten.</x:v>
      </x:c>
      <x:c r="H744" s="36" t="str">
        <x:f>FRAGEN_MASTER!S744</x:f>
        <x:v>Sie sollen ihn sofort zurückschicken.</x:v>
      </x:c>
      <x:c r="I744" s="36" t="str">
        <x:f>FRAGEN_MASTER!T744</x:f>
        <x:v>Sie sollen ihn nur sprechen lassen, wenn Paulus anwesend ist.</x:v>
      </x:c>
      <x:c r="J744" s="36" t="str">
        <x:f>FRAGEN_MASTER!U744</x:f>
        <x:v>Sie sollen ihn wegen seines Alters ignorieren.</x:v>
      </x:c>
      <x:c r="K744" s="36" t="n">
        <x:f>FRAGEN_MASTER!V744</x:f>
        <x:v>0</x:v>
      </x:c>
      <x:c r="L744" s="36" t="str">
        <x:f>FRAGEN_MASTER!W744</x:f>
        <x:v>Sie sollen dafür sorgen, dass er ohne Furcht bei ihnen sein kann und ihn nicht verachten.</x:v>
      </x:c>
      <x:c r="M744" s="36" t="str">
        <x:f>FRAGEN_MASTER!X744</x:f>
        <x:v>1. Korinther 16,10–12</x:v>
      </x:c>
      <x:c r="N744" s="36" t="str">
        <x:f>FRAGEN_MASTER!Y744</x:f>
        <x:v>Paulus bittet um respektvolle Aufnahme Timotheus, der wie er am Werk des Herrn arbeitet.</x:v>
      </x:c>
      <x:c r="O744" s="36" t="str">
        <x:f>FRAGEN_MASTER!AG744</x:f>
        <x:v>FREIGEGEBEN</x:v>
      </x:c>
      <x:c r="P744" s="36" t="str">
        <x:f>FRAGEN_MASTER!AI744</x:f>
        <x:v>FREIGEGEBEN</x:v>
      </x:c>
      <x:c r="Q744" s="36" t="str">
        <x:f>FRAGEN_MASTER!AL744</x:f>
        <x:v>JA</x:v>
      </x:c>
    </x:row>
    <x:row r="745">
      <x:c r="A745" s="36" t="str">
        <x:f>FRAGEN_MASTER!A745</x:f>
        <x:v>FP-1004</x:v>
      </x:c>
      <x:c r="B745" s="36" t="str">
        <x:f>FRAGEN_MASTER!B745</x:f>
        <x:v>1CO</x:v>
      </x:c>
      <x:c r="C745" s="36" t="str">
        <x:f>FRAGEN_MASTER!C745</x:f>
        <x:v>1. Korinther</x:v>
      </x:c>
      <x:c r="D745" s="36" t="n">
        <x:f>FRAGEN_MASTER!D745</x:f>
        <x:v>16</x:v>
      </x:c>
      <x:c r="E745" s="36" t="n">
        <x:f>FRAGEN_MASTER!E745</x:f>
        <x:v>4</x:v>
      </x:c>
      <x:c r="F745" s="36" t="str">
        <x:f>FRAGEN_MASTER!Q745</x:f>
        <x:v>Welche kurze Aufforderung fasst Paulus in 1. Korinther 16,13–14 zusammen?</x:v>
      </x:c>
      <x:c r="G745" s="36" t="str">
        <x:f>FRAGEN_MASTER!R745</x:f>
        <x:v>Verlasst Korinth und wartet schweigend.</x:v>
      </x:c>
      <x:c r="H745" s="36" t="str">
        <x:f>FRAGEN_MASTER!S745</x:f>
        <x:v>Wacht, steht fest im Glauben, seid mutig und stark, und lasst alles in Liebe geschehen.</x:v>
      </x:c>
      <x:c r="I745" s="36" t="str">
        <x:f>FRAGEN_MASTER!T745</x:f>
        <x:v>Streitet für eure Rechte und gebt niemals nach.</x:v>
      </x:c>
      <x:c r="J745" s="36" t="str">
        <x:f>FRAGEN_MASTER!U745</x:f>
        <x:v>Tut nur das, was euch persönlich nützt.</x:v>
      </x:c>
      <x:c r="K745" s="36" t="n">
        <x:f>FRAGEN_MASTER!V745</x:f>
        <x:v>1</x:v>
      </x:c>
      <x:c r="L745" s="36" t="str">
        <x:f>FRAGEN_MASTER!W745</x:f>
        <x:v>Wacht, steht fest im Glauben, seid mutig und stark, und lasst alles in Liebe geschehen.</x:v>
      </x:c>
      <x:c r="M745" s="36" t="str">
        <x:f>FRAGEN_MASTER!X745</x:f>
        <x:v>1. Korinther 16,13–14</x:v>
      </x:c>
      <x:c r="N745" s="36" t="str">
        <x:f>FRAGEN_MASTER!Y745</x:f>
        <x:v>Paulus verbindet Wachsamkeit und Standhaftigkeit ausdrücklich mit Liebe.</x:v>
      </x:c>
      <x:c r="O745" s="36" t="str">
        <x:f>FRAGEN_MASTER!AG745</x:f>
        <x:v>FREIGEGEBEN</x:v>
      </x:c>
      <x:c r="P745" s="36" t="str">
        <x:f>FRAGEN_MASTER!AI745</x:f>
        <x:v>FREIGEGEBEN</x:v>
      </x:c>
      <x:c r="Q745" s="36" t="str">
        <x:f>FRAGEN_MASTER!AL745</x:f>
        <x:v>JA</x:v>
      </x:c>
    </x:row>
    <x:row r="746">
      <x:c r="A746" s="36" t="str">
        <x:f>FRAGEN_MASTER!A746</x:f>
        <x:v>FP-1005</x:v>
      </x:c>
      <x:c r="B746" s="36" t="str">
        <x:f>FRAGEN_MASTER!B746</x:f>
        <x:v>1CO</x:v>
      </x:c>
      <x:c r="C746" s="36" t="str">
        <x:f>FRAGEN_MASTER!C746</x:f>
        <x:v>1. Korinther</x:v>
      </x:c>
      <x:c r="D746" s="36" t="n">
        <x:f>FRAGEN_MASTER!D746</x:f>
        <x:v>16</x:v>
      </x:c>
      <x:c r="E746" s="36" t="n">
        <x:f>FRAGEN_MASTER!E746</x:f>
        <x:v>5</x:v>
      </x:c>
      <x:c r="F746" s="36" t="str">
        <x:f>FRAGEN_MASTER!Q746</x:f>
        <x:v>Welche Haltung würdigt Paulus am Haus des Stephanas und in seinen Schlussgrüßen?</x:v>
      </x:c>
      <x:c r="G746" s="36" t="str">
        <x:f>FRAGEN_MASTER!R746</x:f>
        <x:v>Rückzug aus jeder Gemeindearbeit.</x:v>
      </x:c>
      <x:c r="H746" s="36" t="str">
        <x:f>FRAGEN_MASTER!S746</x:f>
        <x:v>Überlegenheit einer einzelnen Familie.</x:v>
      </x:c>
      <x:c r="I746" s="36" t="str">
        <x:f>FRAGEN_MASTER!T746</x:f>
        <x:v>Hingabe an den Dienst für die Heiligen, Anerkennung treuer Mitarbeiter und Liebe im Herrn.</x:v>
      </x:c>
      <x:c r="J746" s="36" t="str">
        <x:f>FRAGEN_MASTER!U746</x:f>
        <x:v>Politischen Einfluss in Korinth.</x:v>
      </x:c>
      <x:c r="K746" s="36" t="n">
        <x:f>FRAGEN_MASTER!V746</x:f>
        <x:v>2</x:v>
      </x:c>
      <x:c r="L746" s="36" t="str">
        <x:f>FRAGEN_MASTER!W746</x:f>
        <x:v>Hingabe an den Dienst für die Heiligen, Anerkennung treuer Mitarbeiter und Liebe im Herrn.</x:v>
      </x:c>
      <x:c r="M746" s="36" t="str">
        <x:f>FRAGEN_MASTER!X746</x:f>
        <x:v>1. Korinther 16,15–24</x:v>
      </x:c>
      <x:c r="N746" s="36" t="str">
        <x:f>FRAGEN_MASTER!Y746</x:f>
        <x:v>Paulus hebt den hingebungsvollen Dienst des Hauses Stephanas hervor, nennt Mitarbeiter und beendet den Brief mit persönlicher Liebe in Christus.</x:v>
      </x:c>
      <x:c r="O746" s="36" t="str">
        <x:f>FRAGEN_MASTER!AG746</x:f>
        <x:v>FREIGEGEBEN</x:v>
      </x:c>
      <x:c r="P746" s="36" t="str">
        <x:f>FRAGEN_MASTER!AI746</x:f>
        <x:v>FREIGEGEBEN</x:v>
      </x:c>
      <x:c r="Q746" s="36" t="str">
        <x:f>FRAGEN_MASTER!AL746</x:f>
        <x:v>JA</x:v>
      </x:c>
    </x:row>
    <x:row r="747">
      <x:c r="A747" s="36" t="str">
        <x:f>FRAGEN_MASTER!A747</x:f>
        <x:v>FP-1006</x:v>
      </x:c>
      <x:c r="B747" s="36" t="str">
        <x:f>FRAGEN_MASTER!B747</x:f>
        <x:v>2CO</x:v>
      </x:c>
      <x:c r="C747" s="36" t="str">
        <x:f>FRAGEN_MASTER!C747</x:f>
        <x:v>2. Korinther</x:v>
      </x:c>
      <x:c r="D747" s="36" t="n">
        <x:f>FRAGEN_MASTER!D747</x:f>
        <x:v>1</x:v>
      </x:c>
      <x:c r="E747" s="36" t="n">
        <x:f>FRAGEN_MASTER!E747</x:f>
        <x:v>1</x:v>
      </x:c>
      <x:c r="F747" s="36" t="str">
        <x:f>FRAGEN_MASTER!Q747</x:f>
        <x:v>Warum tröstet Gott Paulus und seine Mitarbeiter in ihren Bedrängnissen?</x:v>
      </x:c>
      <x:c r="G747" s="36" t="str">
        <x:f>FRAGEN_MASTER!R747</x:f>
        <x:v>Damit sie auch andere in deren Bedrängnis mit dem Trost trösten können, den sie selbst von Gott empfangen.</x:v>
      </x:c>
      <x:c r="H747" s="36" t="str">
        <x:f>FRAGEN_MASTER!S747</x:f>
        <x:v>Damit sie künftig keinerlei Leid mehr erleben.</x:v>
      </x:c>
      <x:c r="I747" s="36" t="str">
        <x:f>FRAGEN_MASTER!T747</x:f>
        <x:v>Damit nur die Apostel Trost empfangen.</x:v>
      </x:c>
      <x:c r="J747" s="36" t="str">
        <x:f>FRAGEN_MASTER!U747</x:f>
        <x:v>Damit sie sich von allen Gemeinden zurückziehen.</x:v>
      </x:c>
      <x:c r="K747" s="36" t="n">
        <x:f>FRAGEN_MASTER!V747</x:f>
        <x:v>0</x:v>
      </x:c>
      <x:c r="L747" s="36" t="str">
        <x:f>FRAGEN_MASTER!W747</x:f>
        <x:v>Damit sie auch andere in deren Bedrängnis mit dem Trost trösten können, den sie selbst von Gott empfangen.</x:v>
      </x:c>
      <x:c r="M747" s="36" t="str">
        <x:f>FRAGEN_MASTER!X747</x:f>
        <x:v>2. Korinther 1,3–7</x:v>
      </x:c>
      <x:c r="N747" s="36" t="str">
        <x:f>FRAGEN_MASTER!Y747</x:f>
        <x:v>Paulus beschreibt Gottes Trost nicht nur als persönliche Hilfe, sondern als etwas, das zum Trost anderer weitergegeben wird.</x:v>
      </x:c>
      <x:c r="O747" s="36" t="str">
        <x:f>FRAGEN_MASTER!AG747</x:f>
        <x:v>FREIGEGEBEN</x:v>
      </x:c>
      <x:c r="P747" s="36" t="str">
        <x:f>FRAGEN_MASTER!AI747</x:f>
        <x:v>FREIGEGEBEN</x:v>
      </x:c>
      <x:c r="Q747" s="36" t="str">
        <x:f>FRAGEN_MASTER!AL747</x:f>
        <x:v>JA</x:v>
      </x:c>
    </x:row>
    <x:row r="748">
      <x:c r="A748" s="36" t="str">
        <x:f>FRAGEN_MASTER!A748</x:f>
        <x:v>FP-1007</x:v>
      </x:c>
      <x:c r="B748" s="36" t="str">
        <x:f>FRAGEN_MASTER!B748</x:f>
        <x:v>2CO</x:v>
      </x:c>
      <x:c r="C748" s="36" t="str">
        <x:f>FRAGEN_MASTER!C748</x:f>
        <x:v>2. Korinther</x:v>
      </x:c>
      <x:c r="D748" s="36" t="n">
        <x:f>FRAGEN_MASTER!D748</x:f>
        <x:v>1</x:v>
      </x:c>
      <x:c r="E748" s="36" t="n">
        <x:f>FRAGEN_MASTER!E748</x:f>
        <x:v>2</x:v>
      </x:c>
      <x:c r="F748" s="36" t="str">
        <x:f>FRAGEN_MASTER!Q748</x:f>
        <x:v>Welche Wirkung hatte die schwere Bedrängnis in Asien auf Paulus' Vertrauen?</x:v>
      </x:c>
      <x:c r="G748" s="36" t="str">
        <x:f>FRAGEN_MASTER!R748</x:f>
        <x:v>Sie überzeugte ihn, den Dienst zu beenden.</x:v>
      </x:c>
      <x:c r="H748" s="36" t="str">
        <x:f>FRAGEN_MASTER!S748</x:f>
        <x:v>Sie brachte ihn dazu, nicht auf sich selbst, sondern auf Gott zu vertrauen, der Tote auferweckt.</x:v>
      </x:c>
      <x:c r="I748" s="36" t="str">
        <x:f>FRAGEN_MASTER!T748</x:f>
        <x:v>Sie machte menschliche Hilfe für ihn überflüssig.</x:v>
      </x:c>
      <x:c r="J748" s="36" t="str">
        <x:f>FRAGEN_MASTER!U748</x:f>
        <x:v>Sie führte ihn dazu, nur noch auf seine eigene Kraft zu setzen.</x:v>
      </x:c>
      <x:c r="K748" s="36" t="n">
        <x:f>FRAGEN_MASTER!V748</x:f>
        <x:v>1</x:v>
      </x:c>
      <x:c r="L748" s="36" t="str">
        <x:f>FRAGEN_MASTER!W748</x:f>
        <x:v>Sie brachte ihn dazu, nicht auf sich selbst, sondern auf Gott zu vertrauen, der Tote auferweckt.</x:v>
      </x:c>
      <x:c r="M748" s="36" t="str">
        <x:f>FRAGEN_MASTER!X748</x:f>
        <x:v>2. Korinther 1,8–11</x:v>
      </x:c>
      <x:c r="N748" s="36" t="str">
        <x:f>FRAGEN_MASTER!Y748</x:f>
        <x:v>Die extreme Belastung nahm Paulus die Selbstsicherheit und richtete sein Vertrauen auf den rettenden Gott.</x:v>
      </x:c>
      <x:c r="O748" s="36" t="str">
        <x:f>FRAGEN_MASTER!AG748</x:f>
        <x:v>FREIGEGEBEN</x:v>
      </x:c>
      <x:c r="P748" s="36" t="str">
        <x:f>FRAGEN_MASTER!AI748</x:f>
        <x:v>FREIGEGEBEN</x:v>
      </x:c>
      <x:c r="Q748" s="36" t="str">
        <x:f>FRAGEN_MASTER!AL748</x:f>
        <x:v>JA</x:v>
      </x:c>
    </x:row>
    <x:row r="749">
      <x:c r="A749" s="36" t="str">
        <x:f>FRAGEN_MASTER!A749</x:f>
        <x:v>FP-1008</x:v>
      </x:c>
      <x:c r="B749" s="36" t="str">
        <x:f>FRAGEN_MASTER!B749</x:f>
        <x:v>2CO</x:v>
      </x:c>
      <x:c r="C749" s="36" t="str">
        <x:f>FRAGEN_MASTER!C749</x:f>
        <x:v>2. Korinther</x:v>
      </x:c>
      <x:c r="D749" s="36" t="n">
        <x:f>FRAGEN_MASTER!D749</x:f>
        <x:v>1</x:v>
      </x:c>
      <x:c r="E749" s="36" t="n">
        <x:f>FRAGEN_MASTER!E749</x:f>
        <x:v>3</x:v>
      </x:c>
      <x:c r="F749" s="36" t="str">
        <x:f>FRAGEN_MASTER!Q749</x:f>
        <x:v>Worin besteht nach Paulus sein Ruhm im Blick auf sein Verhalten gegenüber den Korinthern?</x:v>
      </x:c>
      <x:c r="G749" s="36" t="str">
        <x:f>FRAGEN_MASTER!R749</x:f>
        <x:v>In seiner rhetorischen Überlegenheit.</x:v>
      </x:c>
      <x:c r="H749" s="36" t="str">
        <x:f>FRAGEN_MASTER!S749</x:f>
        <x:v>In seiner gesellschaftlichen Stellung.</x:v>
      </x:c>
      <x:c r="I749" s="36" t="str">
        <x:f>FRAGEN_MASTER!T749</x:f>
        <x:v>Im Zeugnis seines Gewissens, dass er in göttlicher Aufrichtigkeit und Gnade gehandelt hat.</x:v>
      </x:c>
      <x:c r="J749" s="36" t="str">
        <x:f>FRAGEN_MASTER!U749</x:f>
        <x:v>In der Zahl seiner Reisen.</x:v>
      </x:c>
      <x:c r="K749" s="36" t="n">
        <x:f>FRAGEN_MASTER!V749</x:f>
        <x:v>2</x:v>
      </x:c>
      <x:c r="L749" s="36" t="str">
        <x:f>FRAGEN_MASTER!W749</x:f>
        <x:v>Im Zeugnis seines Gewissens, dass er in göttlicher Aufrichtigkeit und Gnade gehandelt hat.</x:v>
      </x:c>
      <x:c r="M749" s="36" t="str">
        <x:f>FRAGEN_MASTER!X749</x:f>
        <x:v>2. Korinther 1,12–14</x:v>
      </x:c>
      <x:c r="N749" s="36" t="str">
        <x:f>FRAGEN_MASTER!Y749</x:f>
        <x:v>Paulus beruft sich auf ein Gewissen, das ihm ein aufrichtiges, von Gottes Gnade bestimmtes Verhalten bezeugt.</x:v>
      </x:c>
      <x:c r="O749" s="36" t="str">
        <x:f>FRAGEN_MASTER!AG749</x:f>
        <x:v>FREIGEGEBEN</x:v>
      </x:c>
      <x:c r="P749" s="36" t="str">
        <x:f>FRAGEN_MASTER!AI749</x:f>
        <x:v>FREIGEGEBEN</x:v>
      </x:c>
      <x:c r="Q749" s="36" t="str">
        <x:f>FRAGEN_MASTER!AL749</x:f>
        <x:v>JA</x:v>
      </x:c>
    </x:row>
    <x:row r="750">
      <x:c r="A750" s="36" t="str">
        <x:f>FRAGEN_MASTER!A750</x:f>
        <x:v>FP-1009</x:v>
      </x:c>
      <x:c r="B750" s="36" t="str">
        <x:f>FRAGEN_MASTER!B750</x:f>
        <x:v>2CO</x:v>
      </x:c>
      <x:c r="C750" s="36" t="str">
        <x:f>FRAGEN_MASTER!C750</x:f>
        <x:v>2. Korinther</x:v>
      </x:c>
      <x:c r="D750" s="36" t="n">
        <x:f>FRAGEN_MASTER!D750</x:f>
        <x:v>1</x:v>
      </x:c>
      <x:c r="E750" s="36" t="n">
        <x:f>FRAGEN_MASTER!E750</x:f>
        <x:v>4</x:v>
      </x:c>
      <x:c r="F750" s="36" t="str">
        <x:f>FRAGEN_MASTER!Q750</x:f>
        <x:v>Was bedeutet Paulus' Aussage, dass in Christus Gottes Verheißungen „Ja“ sind?</x:v>
      </x:c>
      <x:c r="G750" s="36" t="str">
        <x:f>FRAGEN_MASTER!R750</x:f>
        <x:v>Christus hebt alle früheren Verheißungen auf.</x:v>
      </x:c>
      <x:c r="H750" s="36" t="str">
        <x:f>FRAGEN_MASTER!S750</x:f>
        <x:v>Nur manche Zusagen Gottes sind verlässlich.</x:v>
      </x:c>
      <x:c r="I750" s="36" t="str">
        <x:f>FRAGEN_MASTER!T750</x:f>
        <x:v>Gottes Verheißungen hängen von Paulus' Reiseplänen ab.</x:v>
      </x:c>
      <x:c r="J750" s="36" t="str">
        <x:f>FRAGEN_MASTER!U750</x:f>
        <x:v>Gottes Zusagen finden in Christus ihre Bestätigung und Erfüllung.</x:v>
      </x:c>
      <x:c r="K750" s="36" t="n">
        <x:f>FRAGEN_MASTER!V750</x:f>
        <x:v>3</x:v>
      </x:c>
      <x:c r="L750" s="36" t="str">
        <x:f>FRAGEN_MASTER!W750</x:f>
        <x:v>Gottes Zusagen finden in Christus ihre Bestätigung und Erfüllung.</x:v>
      </x:c>
      <x:c r="M750" s="36" t="str">
        <x:f>FRAGEN_MASTER!X750</x:f>
        <x:v>2. Korinther 1,18–22</x:v>
      </x:c>
      <x:c r="N750" s="36" t="str">
        <x:f>FRAGEN_MASTER!Y750</x:f>
        <x:v>Paulus begründet Gottes Treue mit Christus: In ihm steht Gottes Ja zu seinen Verheißungen fest.</x:v>
      </x:c>
      <x:c r="O750" s="36" t="str">
        <x:f>FRAGEN_MASTER!AG750</x:f>
        <x:v>FREIGEGEBEN</x:v>
      </x:c>
      <x:c r="P750" s="36" t="str">
        <x:f>FRAGEN_MASTER!AI750</x:f>
        <x:v>FREIGEGEBEN</x:v>
      </x:c>
      <x:c r="Q750" s="36" t="str">
        <x:f>FRAGEN_MASTER!AL750</x:f>
        <x:v>JA</x:v>
      </x:c>
    </x:row>
    <x:row r="751">
      <x:c r="A751" s="36" t="str">
        <x:f>FRAGEN_MASTER!A751</x:f>
        <x:v>FP-1010</x:v>
      </x:c>
      <x:c r="B751" s="36" t="str">
        <x:f>FRAGEN_MASTER!B751</x:f>
        <x:v>2CO</x:v>
      </x:c>
      <x:c r="C751" s="36" t="str">
        <x:f>FRAGEN_MASTER!C751</x:f>
        <x:v>2. Korinther</x:v>
      </x:c>
      <x:c r="D751" s="36" t="n">
        <x:f>FRAGEN_MASTER!D751</x:f>
        <x:v>1</x:v>
      </x:c>
      <x:c r="E751" s="36" t="n">
        <x:f>FRAGEN_MASTER!E751</x:f>
        <x:v>5</x:v>
      </x:c>
      <x:c r="F751" s="36" t="str">
        <x:f>FRAGEN_MASTER!Q751</x:f>
        <x:v>Warum war Paulus nach eigener Aussage nicht erneut nach Korinth gekommen?</x:v>
      </x:c>
      <x:c r="G751" s="36" t="str">
        <x:f>FRAGEN_MASTER!R751</x:f>
        <x:v>Er wollte die Gemeinde schonen und nicht als Herr über ihren Glauben auftreten, sondern an ihrer Freude mitarbeiten.</x:v>
      </x:c>
      <x:c r="H751" s="36" t="str">
        <x:f>FRAGEN_MASTER!S751</x:f>
        <x:v>Er hatte jedes Interesse an Korinth verloren.</x:v>
      </x:c>
      <x:c r="I751" s="36" t="str">
        <x:f>FRAGEN_MASTER!T751</x:f>
        <x:v>Er war von der Gemeinde dauerhaft ausgeschlossen worden.</x:v>
      </x:c>
      <x:c r="J751" s="36" t="str">
        <x:f>FRAGEN_MASTER!U751</x:f>
        <x:v>Er wollte nur noch Gemeinden in Judäa besuchen.</x:v>
      </x:c>
      <x:c r="K751" s="36" t="n">
        <x:f>FRAGEN_MASTER!V751</x:f>
        <x:v>0</x:v>
      </x:c>
      <x:c r="L751" s="36" t="str">
        <x:f>FRAGEN_MASTER!W751</x:f>
        <x:v>Er wollte die Gemeinde schonen und nicht als Herr über ihren Glauben auftreten, sondern an ihrer Freude mitarbeiten.</x:v>
      </x:c>
      <x:c r="M751" s="36" t="str">
        <x:f>FRAGEN_MASTER!X751</x:f>
        <x:v>2. Korinther 1,23–24</x:v>
      </x:c>
      <x:c r="N751" s="36" t="str">
        <x:f>FRAGEN_MASTER!Y751</x:f>
        <x:v>Paulus erklärt die Planänderung als Rücksichtnahme und grenzt apostolischen Dienst von Herrschaft über den Glauben ab.</x:v>
      </x:c>
      <x:c r="O751" s="36" t="str">
        <x:f>FRAGEN_MASTER!AG751</x:f>
        <x:v>FREIGEGEBEN</x:v>
      </x:c>
      <x:c r="P751" s="36" t="str">
        <x:f>FRAGEN_MASTER!AI751</x:f>
        <x:v>FREIGEGEBEN</x:v>
      </x:c>
      <x:c r="Q751" s="36" t="str">
        <x:f>FRAGEN_MASTER!AL751</x:f>
        <x:v>JA</x:v>
      </x:c>
    </x:row>
    <x:row r="752">
      <x:c r="A752" s="36" t="str">
        <x:f>FRAGEN_MASTER!A752</x:f>
        <x:v>FP-1011</x:v>
      </x:c>
      <x:c r="B752" s="36" t="str">
        <x:f>FRAGEN_MASTER!B752</x:f>
        <x:v>2CO</x:v>
      </x:c>
      <x:c r="C752" s="36" t="str">
        <x:f>FRAGEN_MASTER!C752</x:f>
        <x:v>2. Korinther</x:v>
      </x:c>
      <x:c r="D752" s="36" t="n">
        <x:f>FRAGEN_MASTER!D752</x:f>
        <x:v>2</x:v>
      </x:c>
      <x:c r="E752" s="36" t="n">
        <x:f>FRAGEN_MASTER!E752</x:f>
        <x:v>1</x:v>
      </x:c>
      <x:c r="F752" s="36" t="str">
        <x:f>FRAGEN_MASTER!Q752</x:f>
        <x:v>Warum wollte Paulus nicht erneut in Traurigkeit nach Korinth kommen?</x:v>
      </x:c>
      <x:c r="G752" s="36" t="str">
        <x:f>FRAGEN_MASTER!R752</x:f>
        <x:v>Er wollte nie wieder persönlich nach Korinth reisen.</x:v>
      </x:c>
      <x:c r="H752" s="36" t="str">
        <x:f>FRAGEN_MASTER!S752</x:f>
        <x:v>Er wollte nicht gerade die Menschen betrüben, von denen er selbst Freude erwartete.</x:v>
      </x:c>
      <x:c r="I752" s="36" t="str">
        <x:f>FRAGEN_MASTER!T752</x:f>
        <x:v>Er wollte schwierige Themen grundsätzlich vermeiden.</x:v>
      </x:c>
      <x:c r="J752" s="36" t="str">
        <x:f>FRAGEN_MASTER!U752</x:f>
        <x:v>Er durfte Korinth gesetzlich nicht betreten.</x:v>
      </x:c>
      <x:c r="K752" s="36" t="n">
        <x:f>FRAGEN_MASTER!V752</x:f>
        <x:v>1</x:v>
      </x:c>
      <x:c r="L752" s="36" t="str">
        <x:f>FRAGEN_MASTER!W752</x:f>
        <x:v>Er wollte nicht gerade die Menschen betrüben, von denen er selbst Freude erwartete.</x:v>
      </x:c>
      <x:c r="M752" s="36" t="str">
        <x:f>FRAGEN_MASTER!X752</x:f>
        <x:v>2. Korinther 2,1–4</x:v>
      </x:c>
      <x:c r="N752" s="36" t="str">
        <x:f>FRAGEN_MASTER!Y752</x:f>
        <x:v>Paulus erklärt, dass sein schmerzhafter Brief aus großer Liebe entstand und eine weitere traurige Begegnung vermeiden sollte.</x:v>
      </x:c>
      <x:c r="O752" s="36" t="str">
        <x:f>FRAGEN_MASTER!AG752</x:f>
        <x:v>FREIGEGEBEN</x:v>
      </x:c>
      <x:c r="P752" s="36" t="str">
        <x:f>FRAGEN_MASTER!AI752</x:f>
        <x:v>FREIGEGEBEN</x:v>
      </x:c>
      <x:c r="Q752" s="36" t="str">
        <x:f>FRAGEN_MASTER!AL752</x:f>
        <x:v>JA</x:v>
      </x:c>
    </x:row>
    <x:row r="753">
      <x:c r="A753" s="36" t="str">
        <x:f>FRAGEN_MASTER!A753</x:f>
        <x:v>FP-1012</x:v>
      </x:c>
      <x:c r="B753" s="36" t="str">
        <x:f>FRAGEN_MASTER!B753</x:f>
        <x:v>2CO</x:v>
      </x:c>
      <x:c r="C753" s="36" t="str">
        <x:f>FRAGEN_MASTER!C753</x:f>
        <x:v>2. Korinther</x:v>
      </x:c>
      <x:c r="D753" s="36" t="n">
        <x:f>FRAGEN_MASTER!D753</x:f>
        <x:v>2</x:v>
      </x:c>
      <x:c r="E753" s="36" t="n">
        <x:f>FRAGEN_MASTER!E753</x:f>
        <x:v>2</x:v>
      </x:c>
      <x:c r="F753" s="36" t="str">
        <x:f>FRAGEN_MASTER!Q753</x:f>
        <x:v>Wie soll die Gemeinde mit dem bereits zurechtgewiesenen Menschen umgehen?</x:v>
      </x:c>
      <x:c r="G753" s="36" t="str">
        <x:f>FRAGEN_MASTER!R753</x:f>
        <x:v>Ihn dauerhaft aus jeder Gemeinschaft ausschließen.</x:v>
      </x:c>
      <x:c r="H753" s="36" t="str">
        <x:f>FRAGEN_MASTER!S753</x:f>
        <x:v>So tun, als sei nichts geschehen, ohne Vergebung anzusprechen.</x:v>
      </x:c>
      <x:c r="I753" s="36" t="str">
        <x:f>FRAGEN_MASTER!T753</x:f>
        <x:v>Ihm vergeben, ihn trösten und die Liebe zu ihm bestätigen, damit er nicht in übermäßiger Traurigkeit versinkt.</x:v>
      </x:c>
      <x:c r="J753" s="36" t="str">
        <x:f>FRAGEN_MASTER!U753</x:f>
        <x:v>Ihn öffentlich weiter beschämen.</x:v>
      </x:c>
      <x:c r="K753" s="36" t="n">
        <x:f>FRAGEN_MASTER!V753</x:f>
        <x:v>2</x:v>
      </x:c>
      <x:c r="L753" s="36" t="str">
        <x:f>FRAGEN_MASTER!W753</x:f>
        <x:v>Ihm vergeben, ihn trösten und die Liebe zu ihm bestätigen, damit er nicht in übermäßiger Traurigkeit versinkt.</x:v>
      </x:c>
      <x:c r="M753" s="36" t="str">
        <x:f>FRAGEN_MASTER!X753</x:f>
        <x:v>2. Korinther 2,5–8</x:v>
      </x:c>
      <x:c r="N753" s="36" t="str">
        <x:f>FRAGEN_MASTER!Y753</x:f>
        <x:v>Nach ausreichender Zurechtweisung fordert Paulus ausdrücklich Vergebung, Trost und bestätigte Liebe.</x:v>
      </x:c>
      <x:c r="O753" s="36" t="str">
        <x:f>FRAGEN_MASTER!AG753</x:f>
        <x:v>FREIGEGEBEN</x:v>
      </x:c>
      <x:c r="P753" s="36" t="str">
        <x:f>FRAGEN_MASTER!AI753</x:f>
        <x:v>FREIGEGEBEN</x:v>
      </x:c>
      <x:c r="Q753" s="36" t="str">
        <x:f>FRAGEN_MASTER!AL753</x:f>
        <x:v>JA</x:v>
      </x:c>
    </x:row>
    <x:row r="754">
      <x:c r="A754" s="36" t="str">
        <x:f>FRAGEN_MASTER!A754</x:f>
        <x:v>FP-1013</x:v>
      </x:c>
      <x:c r="B754" s="36" t="str">
        <x:f>FRAGEN_MASTER!B754</x:f>
        <x:v>2CO</x:v>
      </x:c>
      <x:c r="C754" s="36" t="str">
        <x:f>FRAGEN_MASTER!C754</x:f>
        <x:v>2. Korinther</x:v>
      </x:c>
      <x:c r="D754" s="36" t="n">
        <x:f>FRAGEN_MASTER!D754</x:f>
        <x:v>2</x:v>
      </x:c>
      <x:c r="E754" s="36" t="n">
        <x:f>FRAGEN_MASTER!E754</x:f>
        <x:v>3</x:v>
      </x:c>
      <x:c r="F754" s="36" t="str">
        <x:f>FRAGEN_MASTER!Q754</x:f>
        <x:v>Warum verbindet Paulus Vergebung mit Wachsamkeit gegenüber Satan?</x:v>
      </x:c>
      <x:c r="G754" s="36" t="str">
        <x:f>FRAGEN_MASTER!R754</x:f>
        <x:v>Weil Vergebung nur Satan betrifft.</x:v>
      </x:c>
      <x:c r="H754" s="36" t="str">
        <x:f>FRAGEN_MASTER!S754</x:f>
        <x:v>Weil jede Zurechtweisung grundsätzlich falsch ist.</x:v>
      </x:c>
      <x:c r="I754" s="36" t="str">
        <x:f>FRAGEN_MASTER!T754</x:f>
        <x:v>Weil Satan Vergebung erzwingen kann.</x:v>
      </x:c>
      <x:c r="J754" s="36" t="str">
        <x:f>FRAGEN_MASTER!U754</x:f>
        <x:v>Damit die Gemeinde nicht durch Unversöhnlichkeit überlistet wird.</x:v>
      </x:c>
      <x:c r="K754" s="36" t="n">
        <x:f>FRAGEN_MASTER!V754</x:f>
        <x:v>3</x:v>
      </x:c>
      <x:c r="L754" s="36" t="str">
        <x:f>FRAGEN_MASTER!W754</x:f>
        <x:v>Damit die Gemeinde nicht durch Unversöhnlichkeit überlistet wird.</x:v>
      </x:c>
      <x:c r="M754" s="36" t="str">
        <x:f>FRAGEN_MASTER!X754</x:f>
        <x:v>2. Korinther 2,10–11</x:v>
      </x:c>
      <x:c r="N754" s="36" t="str">
        <x:f>FRAGEN_MASTER!Y754</x:f>
        <x:v>Paulus sieht verweigerte Vergebung als möglichen Ansatzpunkt für zerstörerisches Wirken.</x:v>
      </x:c>
      <x:c r="O754" s="36" t="str">
        <x:f>FRAGEN_MASTER!AG754</x:f>
        <x:v>FREIGEGEBEN</x:v>
      </x:c>
      <x:c r="P754" s="36" t="str">
        <x:f>FRAGEN_MASTER!AI754</x:f>
        <x:v>FREIGEGEBEN</x:v>
      </x:c>
      <x:c r="Q754" s="36" t="str">
        <x:f>FRAGEN_MASTER!AL754</x:f>
        <x:v>JA</x:v>
      </x:c>
    </x:row>
    <x:row r="755">
      <x:c r="A755" s="36" t="str">
        <x:f>FRAGEN_MASTER!A755</x:f>
        <x:v>FP-1014</x:v>
      </x:c>
      <x:c r="B755" s="36" t="str">
        <x:f>FRAGEN_MASTER!B755</x:f>
        <x:v>2CO</x:v>
      </x:c>
      <x:c r="C755" s="36" t="str">
        <x:f>FRAGEN_MASTER!C755</x:f>
        <x:v>2. Korinther</x:v>
      </x:c>
      <x:c r="D755" s="36" t="n">
        <x:f>FRAGEN_MASTER!D755</x:f>
        <x:v>2</x:v>
      </x:c>
      <x:c r="E755" s="36" t="n">
        <x:f>FRAGEN_MASTER!E755</x:f>
        <x:v>4</x:v>
      </x:c>
      <x:c r="F755" s="36" t="str">
        <x:f>FRAGEN_MASTER!Q755</x:f>
        <x:v>Welches Bild verwendet Paulus für die Wirkung der Verkündigung Christi?</x:v>
      </x:c>
      <x:c r="G755" s="36" t="str">
        <x:f>FRAGEN_MASTER!R755</x:f>
        <x:v>Den Duft beziehungsweise Wohlgeruch der Erkenntnis Christi, der unterschiedlich aufgenommen wird.</x:v>
      </x:c>
      <x:c r="H755" s="36" t="str">
        <x:f>FRAGEN_MASTER!S755</x:f>
        <x:v>Ein verborgenes Licht unter einem Gefäß.</x:v>
      </x:c>
      <x:c r="I755" s="36" t="str">
        <x:f>FRAGEN_MASTER!T755</x:f>
        <x:v>Einen Sturm auf dem Meer.</x:v>
      </x:c>
      <x:c r="J755" s="36" t="str">
        <x:f>FRAGEN_MASTER!U755</x:f>
        <x:v>Einen verschlossenen Tempel.</x:v>
      </x:c>
      <x:c r="K755" s="36" t="n">
        <x:f>FRAGEN_MASTER!V755</x:f>
        <x:v>0</x:v>
      </x:c>
      <x:c r="L755" s="36" t="str">
        <x:f>FRAGEN_MASTER!W755</x:f>
        <x:v>Den Duft beziehungsweise Wohlgeruch der Erkenntnis Christi, der unterschiedlich aufgenommen wird.</x:v>
      </x:c>
      <x:c r="M755" s="36" t="str">
        <x:f>FRAGEN_MASTER!X755</x:f>
        <x:v>2. Korinther 2,14–16</x:v>
      </x:c>
      <x:c r="N755" s="36" t="str">
        <x:f>FRAGEN_MASTER!Y755</x:f>
        <x:v>Paulus beschreibt seinen Dienst als Verbreitung des Duftes der Erkenntnis Christi, der für Menschen unterschiedlich wirkt.</x:v>
      </x:c>
      <x:c r="O755" s="36" t="str">
        <x:f>FRAGEN_MASTER!AG755</x:f>
        <x:v>FREIGEGEBEN</x:v>
      </x:c>
      <x:c r="P755" s="36" t="str">
        <x:f>FRAGEN_MASTER!AI755</x:f>
        <x:v>FREIGEGEBEN</x:v>
      </x:c>
      <x:c r="Q755" s="36" t="str">
        <x:f>FRAGEN_MASTER!AL755</x:f>
        <x:v>JA</x:v>
      </x:c>
    </x:row>
    <x:row r="756">
      <x:c r="A756" s="36" t="str">
        <x:f>FRAGEN_MASTER!A756</x:f>
        <x:v>FP-1015</x:v>
      </x:c>
      <x:c r="B756" s="36" t="str">
        <x:f>FRAGEN_MASTER!B756</x:f>
        <x:v>2CO</x:v>
      </x:c>
      <x:c r="C756" s="36" t="str">
        <x:f>FRAGEN_MASTER!C756</x:f>
        <x:v>2. Korinther</x:v>
      </x:c>
      <x:c r="D756" s="36" t="n">
        <x:f>FRAGEN_MASTER!D756</x:f>
        <x:v>2</x:v>
      </x:c>
      <x:c r="E756" s="36" t="n">
        <x:f>FRAGEN_MASTER!E756</x:f>
        <x:v>5</x:v>
      </x:c>
      <x:c r="F756" s="36" t="str">
        <x:f>FRAGEN_MASTER!Q756</x:f>
        <x:v>Wie grenzt Paulus seinen Umgang mit Gottes Wort von dem vieler anderer ab?</x:v>
      </x:c>
      <x:c r="G756" s="36" t="str">
        <x:f>FRAGEN_MASTER!R756</x:f>
        <x:v>Er verändert die Botschaft, um mehr Zuhörer zu gewinnen.</x:v>
      </x:c>
      <x:c r="H756" s="36" t="str">
        <x:f>FRAGEN_MASTER!S756</x:f>
        <x:v>Er macht kein Geschäft daraus, sondern redet aus Lauterkeit vor Gott in Christus.</x:v>
      </x:c>
      <x:c r="I756" s="36" t="str">
        <x:f>FRAGEN_MASTER!T756</x:f>
        <x:v>Er verlangt grundsätzlich Geld für jede Predigt.</x:v>
      </x:c>
      <x:c r="J756" s="36" t="str">
        <x:f>FRAGEN_MASTER!U756</x:f>
        <x:v>Er spricht nur zu Menschen, die bereits glauben.</x:v>
      </x:c>
      <x:c r="K756" s="36" t="n">
        <x:f>FRAGEN_MASTER!V756</x:f>
        <x:v>1</x:v>
      </x:c>
      <x:c r="L756" s="36" t="str">
        <x:f>FRAGEN_MASTER!W756</x:f>
        <x:v>Er macht kein Geschäft daraus, sondern redet aus Lauterkeit vor Gott in Christus.</x:v>
      </x:c>
      <x:c r="M756" s="36" t="str">
        <x:f>FRAGEN_MASTER!X756</x:f>
        <x:v>2. Korinther 2,17</x:v>
      </x:c>
      <x:c r="N756" s="36" t="str">
        <x:f>FRAGEN_MASTER!Y756</x:f>
        <x:v>Paulus weist eine kommerzielle oder verfälschende Behandlung des Wortes Gottes zurück.</x:v>
      </x:c>
      <x:c r="O756" s="36" t="str">
        <x:f>FRAGEN_MASTER!AG756</x:f>
        <x:v>FREIGEGEBEN</x:v>
      </x:c>
      <x:c r="P756" s="36" t="str">
        <x:f>FRAGEN_MASTER!AI756</x:f>
        <x:v>FREIGEGEBEN</x:v>
      </x:c>
      <x:c r="Q756" s="36" t="str">
        <x:f>FRAGEN_MASTER!AL756</x:f>
        <x:v>JA</x:v>
      </x:c>
    </x:row>
    <x:row r="757">
      <x:c r="A757" s="36" t="str">
        <x:f>FRAGEN_MASTER!A757</x:f>
        <x:v>FP-1016</x:v>
      </x:c>
      <x:c r="B757" s="36" t="str">
        <x:f>FRAGEN_MASTER!B757</x:f>
        <x:v>2CO</x:v>
      </x:c>
      <x:c r="C757" s="36" t="str">
        <x:f>FRAGEN_MASTER!C757</x:f>
        <x:v>2. Korinther</x:v>
      </x:c>
      <x:c r="D757" s="36" t="n">
        <x:f>FRAGEN_MASTER!D757</x:f>
        <x:v>3</x:v>
      </x:c>
      <x:c r="E757" s="36" t="n">
        <x:f>FRAGEN_MASTER!E757</x:f>
        <x:v>1</x:v>
      </x:c>
      <x:c r="F757" s="36" t="str">
        <x:f>FRAGEN_MASTER!Q757</x:f>
        <x:v>Warum nennt Paulus die Korinther einen „Brief Christi“?</x:v>
      </x:c>
      <x:c r="G757" s="36" t="str">
        <x:f>FRAGEN_MASTER!R757</x:f>
        <x:v>Weil sie Paulus viele Briefe geschrieben haben.</x:v>
      </x:c>
      <x:c r="H757" s="36" t="str">
        <x:f>FRAGEN_MASTER!S757</x:f>
        <x:v>Weil jeder Christ einen neuen Gesetzestext verfassen soll.</x:v>
      </x:c>
      <x:c r="I757" s="36" t="str">
        <x:f>FRAGEN_MASTER!T757</x:f>
        <x:v>Weil Gottes Geist seine Wirkung in ihnen sichtbar gemacht hat, nicht mit Tinte auf Stein, sondern in Menschenherzen.</x:v>
      </x:c>
      <x:c r="J757" s="36" t="str">
        <x:f>FRAGEN_MASTER!U757</x:f>
        <x:v>Weil nur schriftliche Zeugnisse den Glauben beweisen.</x:v>
      </x:c>
      <x:c r="K757" s="36" t="n">
        <x:f>FRAGEN_MASTER!V757</x:f>
        <x:v>2</x:v>
      </x:c>
      <x:c r="L757" s="36" t="str">
        <x:f>FRAGEN_MASTER!W757</x:f>
        <x:v>Weil Gottes Geist seine Wirkung in ihnen sichtbar gemacht hat, nicht mit Tinte auf Stein, sondern in Menschenherzen.</x:v>
      </x:c>
      <x:c r="M757" s="36" t="str">
        <x:f>FRAGEN_MASTER!X757</x:f>
        <x:v>2. Korinther 3,2–3</x:v>
      </x:c>
      <x:c r="N757" s="36" t="str">
        <x:f>FRAGEN_MASTER!Y757</x:f>
        <x:v>Die veränderte Gemeinde selbst ist für Paulus ein sichtbares Zeugnis des Wirkens Christi durch den Geist.</x:v>
      </x:c>
      <x:c r="O757" s="36" t="str">
        <x:f>FRAGEN_MASTER!AG757</x:f>
        <x:v>FREIGEGEBEN</x:v>
      </x:c>
      <x:c r="P757" s="36" t="str">
        <x:f>FRAGEN_MASTER!AI757</x:f>
        <x:v>FREIGEGEBEN</x:v>
      </x:c>
      <x:c r="Q757" s="36" t="str">
        <x:f>FRAGEN_MASTER!AL757</x:f>
        <x:v>JA</x:v>
      </x:c>
    </x:row>
    <x:row r="758">
      <x:c r="A758" s="36" t="str">
        <x:f>FRAGEN_MASTER!A758</x:f>
        <x:v>FP-1017</x:v>
      </x:c>
      <x:c r="B758" s="36" t="str">
        <x:f>FRAGEN_MASTER!B758</x:f>
        <x:v>2CO</x:v>
      </x:c>
      <x:c r="C758" s="36" t="str">
        <x:f>FRAGEN_MASTER!C758</x:f>
        <x:v>2. Korinther</x:v>
      </x:c>
      <x:c r="D758" s="36" t="n">
        <x:f>FRAGEN_MASTER!D758</x:f>
        <x:v>3</x:v>
      </x:c>
      <x:c r="E758" s="36" t="n">
        <x:f>FRAGEN_MASTER!E758</x:f>
        <x:v>2</x:v>
      </x:c>
      <x:c r="F758" s="36" t="str">
        <x:f>FRAGEN_MASTER!Q758</x:f>
        <x:v>Woher kommt nach Paulus seine Befähigung zum Dienst des neuen Bundes?</x:v>
      </x:c>
      <x:c r="G758" s="36" t="str">
        <x:f>FRAGEN_MASTER!R758</x:f>
        <x:v>Aus seiner eigenen natürlichen Begabung.</x:v>
      </x:c>
      <x:c r="H758" s="36" t="str">
        <x:f>FRAGEN_MASTER!S758</x:f>
        <x:v>Aus seiner Ausbildung allein.</x:v>
      </x:c>
      <x:c r="I758" s="36" t="str">
        <x:f>FRAGEN_MASTER!T758</x:f>
        <x:v>Von der Gemeinde in Jerusalem.</x:v>
      </x:c>
      <x:c r="J758" s="36" t="str">
        <x:f>FRAGEN_MASTER!U758</x:f>
        <x:v>Von Gott, der zum Dienst des Geistes befähigt.</x:v>
      </x:c>
      <x:c r="K758" s="36" t="n">
        <x:f>FRAGEN_MASTER!V758</x:f>
        <x:v>3</x:v>
      </x:c>
      <x:c r="L758" s="36" t="str">
        <x:f>FRAGEN_MASTER!W758</x:f>
        <x:v>Von Gott, der zum Dienst des Geistes befähigt.</x:v>
      </x:c>
      <x:c r="M758" s="36" t="str">
        <x:f>FRAGEN_MASTER!X758</x:f>
        <x:v>2. Korinther 3,4–6</x:v>
      </x:c>
      <x:c r="N758" s="36" t="str">
        <x:f>FRAGEN_MASTER!Y758</x:f>
        <x:v>Paulus lehnt Selbstgenügsamkeit ab und schreibt seine Tüchtigkeit Gott zu.</x:v>
      </x:c>
      <x:c r="O758" s="36" t="str">
        <x:f>FRAGEN_MASTER!AG758</x:f>
        <x:v>FREIGEGEBEN</x:v>
      </x:c>
      <x:c r="P758" s="36" t="str">
        <x:f>FRAGEN_MASTER!AI758</x:f>
        <x:v>FREIGEGEBEN</x:v>
      </x:c>
      <x:c r="Q758" s="36" t="str">
        <x:f>FRAGEN_MASTER!AL758</x:f>
        <x:v>JA</x:v>
      </x:c>
    </x:row>
    <x:row r="759">
      <x:c r="A759" s="36" t="str">
        <x:f>FRAGEN_MASTER!A759</x:f>
        <x:v>FP-1018</x:v>
      </x:c>
      <x:c r="B759" s="36" t="str">
        <x:f>FRAGEN_MASTER!B759</x:f>
        <x:v>2CO</x:v>
      </x:c>
      <x:c r="C759" s="36" t="str">
        <x:f>FRAGEN_MASTER!C759</x:f>
        <x:v>2. Korinther</x:v>
      </x:c>
      <x:c r="D759" s="36" t="n">
        <x:f>FRAGEN_MASTER!D759</x:f>
        <x:v>3</x:v>
      </x:c>
      <x:c r="E759" s="36" t="n">
        <x:f>FRAGEN_MASTER!E759</x:f>
        <x:v>3</x:v>
      </x:c>
      <x:c r="F759" s="36" t="str">
        <x:f>FRAGEN_MASTER!Q759</x:f>
        <x:v>Wie vergleicht Paulus den Dienst des alten und des neuen Bundes im Blick auf Herrlichkeit?</x:v>
      </x:c>
      <x:c r="G759" s="36" t="str">
        <x:f>FRAGEN_MASTER!R759</x:f>
        <x:v>Wenn schon der in Stein geschriebene Dienst Herrlichkeit hatte, ist der Dienst des Geistes von noch größerer und bleibender Herrlichkeit.</x:v>
      </x:c>
      <x:c r="H759" s="36" t="str">
        <x:f>FRAGEN_MASTER!S759</x:f>
        <x:v>Der neue Bund besitzt keinerlei Herrlichkeit.</x:v>
      </x:c>
      <x:c r="I759" s="36" t="str">
        <x:f>FRAGEN_MASTER!T759</x:f>
        <x:v>Beide Dienste sind vollkommen identisch.</x:v>
      </x:c>
      <x:c r="J759" s="36" t="str">
        <x:f>FRAGEN_MASTER!U759</x:f>
        <x:v>Nur der alte Bund hat mit Gottes Herrlichkeit zu tun.</x:v>
      </x:c>
      <x:c r="K759" s="36" t="n">
        <x:f>FRAGEN_MASTER!V759</x:f>
        <x:v>0</x:v>
      </x:c>
      <x:c r="L759" s="36" t="str">
        <x:f>FRAGEN_MASTER!W759</x:f>
        <x:v>Wenn schon der in Stein geschriebene Dienst Herrlichkeit hatte, ist der Dienst des Geistes von noch größerer und bleibender Herrlichkeit.</x:v>
      </x:c>
      <x:c r="M759" s="36" t="str">
        <x:f>FRAGEN_MASTER!X759</x:f>
        <x:v>2. Korinther 3,7–11</x:v>
      </x:c>
      <x:c r="N759" s="36" t="str">
        <x:f>FRAGEN_MASTER!Y759</x:f>
        <x:v>Paulus argumentiert vom geringeren zum größeren und betont die überragende Herrlichkeit des Dienstes des Geistes.</x:v>
      </x:c>
      <x:c r="O759" s="36" t="str">
        <x:f>FRAGEN_MASTER!AG759</x:f>
        <x:v>FREIGEGEBEN</x:v>
      </x:c>
      <x:c r="P759" s="36" t="str">
        <x:f>FRAGEN_MASTER!AI759</x:f>
        <x:v>FREIGEGEBEN</x:v>
      </x:c>
      <x:c r="Q759" s="36" t="str">
        <x:f>FRAGEN_MASTER!AL759</x:f>
        <x:v>JA</x:v>
      </x:c>
    </x:row>
    <x:row r="760">
      <x:c r="A760" s="36" t="str">
        <x:f>FRAGEN_MASTER!A760</x:f>
        <x:v>FP-1019</x:v>
      </x:c>
      <x:c r="B760" s="36" t="str">
        <x:f>FRAGEN_MASTER!B760</x:f>
        <x:v>2CO</x:v>
      </x:c>
      <x:c r="C760" s="36" t="str">
        <x:f>FRAGEN_MASTER!C760</x:f>
        <x:v>2. Korinther</x:v>
      </x:c>
      <x:c r="D760" s="36" t="n">
        <x:f>FRAGEN_MASTER!D760</x:f>
        <x:v>3</x:v>
      </x:c>
      <x:c r="E760" s="36" t="n">
        <x:f>FRAGEN_MASTER!E760</x:f>
        <x:v>4</x:v>
      </x:c>
      <x:c r="F760" s="36" t="str">
        <x:f>FRAGEN_MASTER!Q760</x:f>
        <x:v>Wann wird nach Paulus die Decke, die das Verständnis verhüllt, weggenommen?</x:v>
      </x:c>
      <x:c r="G760" s="36" t="str">
        <x:f>FRAGEN_MASTER!R760</x:f>
        <x:v>Wenn er genügend Bildung erwirbt.</x:v>
      </x:c>
      <x:c r="H760" s="36" t="str">
        <x:f>FRAGEN_MASTER!S760</x:f>
        <x:v>Wenn sich ein Mensch zum Herrn wendet.</x:v>
      </x:c>
      <x:c r="I760" s="36" t="str">
        <x:f>FRAGEN_MASTER!T760</x:f>
        <x:v>Wenn er nach Jerusalem reist.</x:v>
      </x:c>
      <x:c r="J760" s="36" t="str">
        <x:f>FRAGEN_MASTER!U760</x:f>
        <x:v>Wenn er das Gesetz nie mehr liest.</x:v>
      </x:c>
      <x:c r="K760" s="36" t="n">
        <x:f>FRAGEN_MASTER!V760</x:f>
        <x:v>1</x:v>
      </x:c>
      <x:c r="L760" s="36" t="str">
        <x:f>FRAGEN_MASTER!W760</x:f>
        <x:v>Wenn sich ein Mensch zum Herrn wendet.</x:v>
      </x:c>
      <x:c r="M760" s="36" t="str">
        <x:f>FRAGEN_MASTER!X760</x:f>
        <x:v>2. Korinther 3,12–16</x:v>
      </x:c>
      <x:c r="N760" s="36" t="str">
        <x:f>FRAGEN_MASTER!Y760</x:f>
        <x:v>Paulus beschreibt die Wegnahme der Decke in der Hinwendung zum Herrn.</x:v>
      </x:c>
      <x:c r="O760" s="36" t="str">
        <x:f>FRAGEN_MASTER!AG760</x:f>
        <x:v>FREIGEGEBEN</x:v>
      </x:c>
      <x:c r="P760" s="36" t="str">
        <x:f>FRAGEN_MASTER!AI760</x:f>
        <x:v>FREIGEGEBEN</x:v>
      </x:c>
      <x:c r="Q760" s="36" t="str">
        <x:f>FRAGEN_MASTER!AL760</x:f>
        <x:v>JA</x:v>
      </x:c>
    </x:row>
    <x:row r="761">
      <x:c r="A761" s="36" t="str">
        <x:f>FRAGEN_MASTER!A761</x:f>
        <x:v>FP-1020</x:v>
      </x:c>
      <x:c r="B761" s="36" t="str">
        <x:f>FRAGEN_MASTER!B761</x:f>
        <x:v>2CO</x:v>
      </x:c>
      <x:c r="C761" s="36" t="str">
        <x:f>FRAGEN_MASTER!C761</x:f>
        <x:v>2. Korinther</x:v>
      </x:c>
      <x:c r="D761" s="36" t="n">
        <x:f>FRAGEN_MASTER!D761</x:f>
        <x:v>3</x:v>
      </x:c>
      <x:c r="E761" s="36" t="n">
        <x:f>FRAGEN_MASTER!E761</x:f>
        <x:v>5</x:v>
      </x:c>
      <x:c r="F761" s="36" t="str">
        <x:f>FRAGEN_MASTER!Q761</x:f>
        <x:v>Welche Wirkung verbindet Paulus mit dem Geist des Herrn?</x:v>
      </x:c>
      <x:c r="G761" s="36" t="str">
        <x:f>FRAGEN_MASTER!R761</x:f>
        <x:v>Eine vollständige Freiheit von jeder Verantwortung.</x:v>
      </x:c>
      <x:c r="H761" s="36" t="str">
        <x:f>FRAGEN_MASTER!S761</x:f>
        <x:v>Nur äußere religiöse Veränderungen.</x:v>
      </x:c>
      <x:c r="I761" s="36" t="str">
        <x:f>FRAGEN_MASTER!T761</x:f>
        <x:v>Freiheit und eine fortschreitende Verwandlung in das Bild des Herrn.</x:v>
      </x:c>
      <x:c r="J761" s="36" t="str">
        <x:f>FRAGEN_MASTER!U761</x:f>
        <x:v>Die Abschaffung jeder Gemeinschaft.</x:v>
      </x:c>
      <x:c r="K761" s="36" t="n">
        <x:f>FRAGEN_MASTER!V761</x:f>
        <x:v>2</x:v>
      </x:c>
      <x:c r="L761" s="36" t="str">
        <x:f>FRAGEN_MASTER!W761</x:f>
        <x:v>Freiheit und eine fortschreitende Verwandlung in das Bild des Herrn.</x:v>
      </x:c>
      <x:c r="M761" s="36" t="str">
        <x:f>FRAGEN_MASTER!X761</x:f>
        <x:v>2. Korinther 3,17–18</x:v>
      </x:c>
      <x:c r="N761" s="36" t="str">
        <x:f>FRAGEN_MASTER!Y761</x:f>
        <x:v>Wo der Geist des Herrn ist, ist Freiheit; zugleich beschreibt Paulus eine Verwandlung von Herrlichkeit zu Herrlichkeit.</x:v>
      </x:c>
      <x:c r="O761" s="36" t="str">
        <x:f>FRAGEN_MASTER!AG761</x:f>
        <x:v>FREIGEGEBEN</x:v>
      </x:c>
      <x:c r="P761" s="36" t="str">
        <x:f>FRAGEN_MASTER!AI761</x:f>
        <x:v>FREIGEGEBEN</x:v>
      </x:c>
      <x:c r="Q761" s="36" t="str">
        <x:f>FRAGEN_MASTER!AL761</x:f>
        <x:v>JA</x:v>
      </x:c>
    </x:row>
    <x:row r="762">
      <x:c r="A762" s="36" t="str">
        <x:f>FRAGEN_MASTER!A762</x:f>
        <x:v>FP-1021</x:v>
      </x:c>
      <x:c r="B762" s="36" t="str">
        <x:f>FRAGEN_MASTER!B762</x:f>
        <x:v>2CO</x:v>
      </x:c>
      <x:c r="C762" s="36" t="str">
        <x:f>FRAGEN_MASTER!C762</x:f>
        <x:v>2. Korinther</x:v>
      </x:c>
      <x:c r="D762" s="36" t="n">
        <x:f>FRAGEN_MASTER!D762</x:f>
        <x:v>4</x:v>
      </x:c>
      <x:c r="E762" s="36" t="n">
        <x:f>FRAGEN_MASTER!E762</x:f>
        <x:v>1</x:v>
      </x:c>
      <x:c r="F762" s="36" t="str">
        <x:f>FRAGEN_MASTER!Q762</x:f>
        <x:v>Wie will Paulus seinen Dienst ausüben, weil er ihn aus Gottes Barmherzigkeit empfangen hat?</x:v>
      </x:c>
      <x:c r="G762" s="36" t="str">
        <x:f>FRAGEN_MASTER!R762</x:f>
        <x:v>Mit möglichst vielen geheimen Methoden.</x:v>
      </x:c>
      <x:c r="H762" s="36" t="str">
        <x:f>FRAGEN_MASTER!S762</x:f>
        <x:v>Mit Anpassung der Wahrheit an jedes Publikum.</x:v>
      </x:c>
      <x:c r="I762" s="36" t="str">
        <x:f>FRAGEN_MASTER!T762</x:f>
        <x:v>Nur durch Zeichen ohne Verkündigung.</x:v>
      </x:c>
      <x:c r="J762" s="36" t="str">
        <x:f>FRAGEN_MASTER!U762</x:f>
        <x:v>Ohne Mutlosigkeit, geheime Schande oder Verfälschung des Wortes Gottes, sondern durch offene Wahrheit.</x:v>
      </x:c>
      <x:c r="K762" s="36" t="n">
        <x:f>FRAGEN_MASTER!V762</x:f>
        <x:v>3</x:v>
      </x:c>
      <x:c r="L762" s="36" t="str">
        <x:f>FRAGEN_MASTER!W762</x:f>
        <x:v>Ohne Mutlosigkeit, geheime Schande oder Verfälschung des Wortes Gottes, sondern durch offene Wahrheit.</x:v>
      </x:c>
      <x:c r="M762" s="36" t="str">
        <x:f>FRAGEN_MASTER!X762</x:f>
        <x:v>2. Korinther 4,1–2</x:v>
      </x:c>
      <x:c r="N762" s="36" t="str">
        <x:f>FRAGEN_MASTER!Y762</x:f>
        <x:v>Paulus verbindet Ausdauer im Dienst mit Aufrichtigkeit und offener Darstellung der Wahrheit.</x:v>
      </x:c>
      <x:c r="O762" s="36" t="str">
        <x:f>FRAGEN_MASTER!AG762</x:f>
        <x:v>FREIGEGEBEN</x:v>
      </x:c>
      <x:c r="P762" s="36" t="str">
        <x:f>FRAGEN_MASTER!AI762</x:f>
        <x:v>FREIGEGEBEN</x:v>
      </x:c>
      <x:c r="Q762" s="36" t="str">
        <x:f>FRAGEN_MASTER!AL762</x:f>
        <x:v>JA</x:v>
      </x:c>
    </x:row>
    <x:row r="763">
      <x:c r="A763" s="36" t="str">
        <x:f>FRAGEN_MASTER!A763</x:f>
        <x:v>FP-1022</x:v>
      </x:c>
      <x:c r="B763" s="36" t="str">
        <x:f>FRAGEN_MASTER!B763</x:f>
        <x:v>2CO</x:v>
      </x:c>
      <x:c r="C763" s="36" t="str">
        <x:f>FRAGEN_MASTER!C763</x:f>
        <x:v>2. Korinther</x:v>
      </x:c>
      <x:c r="D763" s="36" t="n">
        <x:f>FRAGEN_MASTER!D763</x:f>
        <x:v>4</x:v>
      </x:c>
      <x:c r="E763" s="36" t="n">
        <x:f>FRAGEN_MASTER!E763</x:f>
        <x:v>2</x:v>
      </x:c>
      <x:c r="F763" s="36" t="str">
        <x:f>FRAGEN_MASTER!Q763</x:f>
        <x:v>Warum bleibt das Evangelium manchen Menschen verhüllt?</x:v>
      </x:c>
      <x:c r="G763" s="36" t="str">
        <x:f>FRAGEN_MASTER!R763</x:f>
        <x:v>Der Gott dieser Weltzeit verblendet den Sinn der Ungläubigen, sodass sie das Licht des Evangeliums von Christi Herrlichkeit nicht sehen.</x:v>
      </x:c>
      <x:c r="H763" s="36" t="str">
        <x:f>FRAGEN_MASTER!S763</x:f>
        <x:v>Weil das Evangelium absichtlich ohne Inhalt verkündigt wird.</x:v>
      </x:c>
      <x:c r="I763" s="36" t="str">
        <x:f>FRAGEN_MASTER!T763</x:f>
        <x:v>Weil nur Apostel es verstehen dürfen.</x:v>
      </x:c>
      <x:c r="J763" s="36" t="str">
        <x:f>FRAGEN_MASTER!U763</x:f>
        <x:v>Weil Christus keine Herrlichkeit besitzt.</x:v>
      </x:c>
      <x:c r="K763" s="36" t="n">
        <x:f>FRAGEN_MASTER!V763</x:f>
        <x:v>0</x:v>
      </x:c>
      <x:c r="L763" s="36" t="str">
        <x:f>FRAGEN_MASTER!W763</x:f>
        <x:v>Der Gott dieser Weltzeit verblendet den Sinn der Ungläubigen, sodass sie das Licht des Evangeliums von Christi Herrlichkeit nicht sehen.</x:v>
      </x:c>
      <x:c r="M763" s="36" t="str">
        <x:f>FRAGEN_MASTER!X763</x:f>
        <x:v>2. Korinther 4,3–4</x:v>
      </x:c>
      <x:c r="N763" s="36" t="str">
        <x:f>FRAGEN_MASTER!Y763</x:f>
        <x:v>Paulus beschreibt geistliche Blindheit als Hindernis für das Erkennen des Evangeliums.</x:v>
      </x:c>
      <x:c r="O763" s="36" t="str">
        <x:f>FRAGEN_MASTER!AG763</x:f>
        <x:v>FREIGEGEBEN</x:v>
      </x:c>
      <x:c r="P763" s="36" t="str">
        <x:f>FRAGEN_MASTER!AI763</x:f>
        <x:v>FREIGEGEBEN</x:v>
      </x:c>
      <x:c r="Q763" s="36" t="str">
        <x:f>FRAGEN_MASTER!AL763</x:f>
        <x:v>JA</x:v>
      </x:c>
    </x:row>
    <x:row r="764">
      <x:c r="A764" s="36" t="str">
        <x:f>FRAGEN_MASTER!A764</x:f>
        <x:v>FP-1023</x:v>
      </x:c>
      <x:c r="B764" s="36" t="str">
        <x:f>FRAGEN_MASTER!B764</x:f>
        <x:v>2CO</x:v>
      </x:c>
      <x:c r="C764" s="36" t="str">
        <x:f>FRAGEN_MASTER!C764</x:f>
        <x:v>2. Korinther</x:v>
      </x:c>
      <x:c r="D764" s="36" t="n">
        <x:f>FRAGEN_MASTER!D764</x:f>
        <x:v>4</x:v>
      </x:c>
      <x:c r="E764" s="36" t="n">
        <x:f>FRAGEN_MASTER!E764</x:f>
        <x:v>3</x:v>
      </x:c>
      <x:c r="F764" s="36" t="str">
        <x:f>FRAGEN_MASTER!Q764</x:f>
        <x:v>Was verkündet Paulus statt sich selbst, und warum spricht er von einem Schatz in irdenen Gefäßen?</x:v>
      </x:c>
      <x:c r="G764" s="36" t="str">
        <x:f>FRAGEN_MASTER!R764</x:f>
        <x:v>Paulus selbst als Vorbild; der Schatz zeigt seinen persönlichen Wert.</x:v>
      </x:c>
      <x:c r="H764" s="36" t="str">
        <x:f>FRAGEN_MASTER!S764</x:f>
        <x:v>Jesus Christus als Herrn; der Schatz in schwachen Gefäßen zeigt, dass die überragende Kraft von Gott kommt.</x:v>
      </x:c>
      <x:c r="I764" s="36" t="str">
        <x:f>FRAGEN_MASTER!T764</x:f>
        <x:v>Menschliche Weisheit; das Gefäß steht für Bildung.</x:v>
      </x:c>
      <x:c r="J764" s="36" t="str">
        <x:f>FRAGEN_MASTER!U764</x:f>
        <x:v>Das Gesetz allein; das Gefäß steht für den Tempel.</x:v>
      </x:c>
      <x:c r="K764" s="36" t="n">
        <x:f>FRAGEN_MASTER!V764</x:f>
        <x:v>1</x:v>
      </x:c>
      <x:c r="L764" s="36" t="str">
        <x:f>FRAGEN_MASTER!W764</x:f>
        <x:v>Jesus Christus als Herrn; der Schatz in schwachen Gefäßen zeigt, dass die überragende Kraft von Gott kommt.</x:v>
      </x:c>
      <x:c r="M764" s="36" t="str">
        <x:f>FRAGEN_MASTER!X764</x:f>
        <x:v>2. Korinther 4,5–7</x:v>
      </x:c>
      <x:c r="N764" s="36" t="str">
        <x:f>FRAGEN_MASTER!Y764</x:f>
        <x:v>Die Schwachheit des menschlichen Trägers soll sichtbar machen, dass die Kraft der Botschaft von Gott stammt.</x:v>
      </x:c>
      <x:c r="O764" s="36" t="str">
        <x:f>FRAGEN_MASTER!AG764</x:f>
        <x:v>FREIGEGEBEN</x:v>
      </x:c>
      <x:c r="P764" s="36" t="str">
        <x:f>FRAGEN_MASTER!AI764</x:f>
        <x:v>FREIGEGEBEN</x:v>
      </x:c>
      <x:c r="Q764" s="36" t="str">
        <x:f>FRAGEN_MASTER!AL764</x:f>
        <x:v>JA</x:v>
      </x:c>
    </x:row>
    <x:row r="765">
      <x:c r="A765" s="36" t="str">
        <x:f>FRAGEN_MASTER!A765</x:f>
        <x:v>FP-1024</x:v>
      </x:c>
      <x:c r="B765" s="36" t="str">
        <x:f>FRAGEN_MASTER!B765</x:f>
        <x:v>2CO</x:v>
      </x:c>
      <x:c r="C765" s="36" t="str">
        <x:f>FRAGEN_MASTER!C765</x:f>
        <x:v>2. Korinther</x:v>
      </x:c>
      <x:c r="D765" s="36" t="n">
        <x:f>FRAGEN_MASTER!D765</x:f>
        <x:v>4</x:v>
      </x:c>
      <x:c r="E765" s="36" t="n">
        <x:f>FRAGEN_MASTER!E765</x:f>
        <x:v>4</x:v>
      </x:c>
      <x:c r="F765" s="36" t="str">
        <x:f>FRAGEN_MASTER!Q765</x:f>
        <x:v>Wie beschreibt Paulus seine Bedrängnisse im Dienst?</x:v>
      </x:c>
      <x:c r="G765" s="36" t="str">
        <x:f>FRAGEN_MASTER!R765</x:f>
        <x:v>Völlig frei von Angst und Leiden.</x:v>
      </x:c>
      <x:c r="H765" s="36" t="str">
        <x:f>FRAGEN_MASTER!S765</x:f>
        <x:v>Ständig siegreich ohne sichtbare Schwäche.</x:v>
      </x:c>
      <x:c r="I765" s="36" t="str">
        <x:f>FRAGEN_MASTER!T765</x:f>
        <x:v>Bedrängt, aber nicht erdrückt; verfolgt, aber nicht verlassen; niedergeworfen, aber nicht vernichtet.</x:v>
      </x:c>
      <x:c r="J765" s="36" t="str">
        <x:f>FRAGEN_MASTER!U765</x:f>
        <x:v>So schwer, dass jeder Dienst unmöglich wird.</x:v>
      </x:c>
      <x:c r="K765" s="36" t="n">
        <x:f>FRAGEN_MASTER!V765</x:f>
        <x:v>2</x:v>
      </x:c>
      <x:c r="L765" s="36" t="str">
        <x:f>FRAGEN_MASTER!W765</x:f>
        <x:v>Bedrängt, aber nicht erdrückt; verfolgt, aber nicht verlassen; niedergeworfen, aber nicht vernichtet.</x:v>
      </x:c>
      <x:c r="M765" s="36" t="str">
        <x:f>FRAGEN_MASTER!X765</x:f>
        <x:v>2. Korinther 4,8–12</x:v>
      </x:c>
      <x:c r="N765" s="36" t="str">
        <x:f>FRAGEN_MASTER!Y765</x:f>
        <x:v>Paulus beschreibt reale Schwachheit und Leiden, aber zugleich Gottes bewahrende Kraft.</x:v>
      </x:c>
      <x:c r="O765" s="36" t="str">
        <x:f>FRAGEN_MASTER!AG765</x:f>
        <x:v>FREIGEGEBEN</x:v>
      </x:c>
      <x:c r="P765" s="36" t="str">
        <x:f>FRAGEN_MASTER!AI765</x:f>
        <x:v>FREIGEGEBEN</x:v>
      </x:c>
      <x:c r="Q765" s="36" t="str">
        <x:f>FRAGEN_MASTER!AL765</x:f>
        <x:v>JA</x:v>
      </x:c>
    </x:row>
    <x:row r="766">
      <x:c r="A766" s="36" t="str">
        <x:f>FRAGEN_MASTER!A766</x:f>
        <x:v>FP-1025</x:v>
      </x:c>
      <x:c r="B766" s="36" t="str">
        <x:f>FRAGEN_MASTER!B766</x:f>
        <x:v>2CO</x:v>
      </x:c>
      <x:c r="C766" s="36" t="str">
        <x:f>FRAGEN_MASTER!C766</x:f>
        <x:v>2. Korinther</x:v>
      </x:c>
      <x:c r="D766" s="36" t="n">
        <x:f>FRAGEN_MASTER!D766</x:f>
        <x:v>4</x:v>
      </x:c>
      <x:c r="E766" s="36" t="n">
        <x:f>FRAGEN_MASTER!E766</x:f>
        <x:v>5</x:v>
      </x:c>
      <x:c r="F766" s="36" t="str">
        <x:f>FRAGEN_MASTER!Q766</x:f>
        <x:v>Warum verliert Paulus trotz des Verfalls des äußeren Menschen nicht den Mut?</x:v>
      </x:c>
      <x:c r="G766" s="36" t="str">
        <x:f>FRAGEN_MASTER!R766</x:f>
        <x:v>Weil der äußere Mensch nie altert.</x:v>
      </x:c>
      <x:c r="H766" s="36" t="str">
        <x:f>FRAGEN_MASTER!S766</x:f>
        <x:v>Weil Leiden für Christen nicht wirklich existiert.</x:v>
      </x:c>
      <x:c r="I766" s="36" t="str">
        <x:f>FRAGEN_MASTER!T766</x:f>
        <x:v>Weil nur Sichtbares für ihn zählt.</x:v>
      </x:c>
      <x:c r="J766" s="36" t="str">
        <x:f>FRAGEN_MASTER!U766</x:f>
        <x:v>Der innere Mensch wird erneuert, und die gegenwärtige Bedrängnis steht einer ewigen Herrlichkeit gegenüber.</x:v>
      </x:c>
      <x:c r="K766" s="36" t="n">
        <x:f>FRAGEN_MASTER!V766</x:f>
        <x:v>3</x:v>
      </x:c>
      <x:c r="L766" s="36" t="str">
        <x:f>FRAGEN_MASTER!W766</x:f>
        <x:v>Der innere Mensch wird erneuert, und die gegenwärtige Bedrängnis steht einer ewigen Herrlichkeit gegenüber.</x:v>
      </x:c>
      <x:c r="M766" s="36" t="str">
        <x:f>FRAGEN_MASTER!X766</x:f>
        <x:v>2. Korinther 4,16–18</x:v>
      </x:c>
      <x:c r="N766" s="36" t="str">
        <x:f>FRAGEN_MASTER!Y766</x:f>
        <x:v>Paulus richtet den Blick vom Sichtbaren und Vergänglichen auf das Unsichtbare und Ewige.</x:v>
      </x:c>
      <x:c r="O766" s="36" t="str">
        <x:f>FRAGEN_MASTER!AG766</x:f>
        <x:v>FREIGEGEBEN</x:v>
      </x:c>
      <x:c r="P766" s="36" t="str">
        <x:f>FRAGEN_MASTER!AI766</x:f>
        <x:v>FREIGEGEBEN</x:v>
      </x:c>
      <x:c r="Q766" s="36" t="str">
        <x:f>FRAGEN_MASTER!AL766</x:f>
        <x:v>JA</x:v>
      </x:c>
    </x:row>
    <x:row r="767">
      <x:c r="A767" s="36" t="str">
        <x:f>FRAGEN_MASTER!A767</x:f>
        <x:v>FP-1026</x:v>
      </x:c>
      <x:c r="B767" s="36" t="str">
        <x:f>FRAGEN_MASTER!B767</x:f>
        <x:v>2CO</x:v>
      </x:c>
      <x:c r="C767" s="36" t="str">
        <x:f>FRAGEN_MASTER!C767</x:f>
        <x:v>2. Korinther</x:v>
      </x:c>
      <x:c r="D767" s="36" t="n">
        <x:f>FRAGEN_MASTER!D767</x:f>
        <x:v>5</x:v>
      </x:c>
      <x:c r="E767" s="36" t="n">
        <x:f>FRAGEN_MASTER!E767</x:f>
        <x:v>1</x:v>
      </x:c>
      <x:c r="F767" s="36" t="str">
        <x:f>FRAGEN_MASTER!Q767</x:f>
        <x:v>Welche Hoffnung beschreibt Paulus mit dem Bild des irdischen Zeltes?</x:v>
      </x:c>
      <x:c r="G767" s="36" t="str">
        <x:f>FRAGEN_MASTER!R767</x:f>
        <x:v>Wenn das irdische Leben endet, gibt Gott eine ewige Behausung, die nicht von Menschen gemacht ist.</x:v>
      </x:c>
      <x:c r="H767" s="36" t="str">
        <x:f>FRAGEN_MASTER!S767</x:f>
        <x:v>Der menschliche Körper ist bedeutungslos und wird ersatzlos aufgegeben.</x:v>
      </x:c>
      <x:c r="I767" s="36" t="str">
        <x:f>FRAGEN_MASTER!T767</x:f>
        <x:v>Nur Apostel erhalten ein zukünftiges Leben.</x:v>
      </x:c>
      <x:c r="J767" s="36" t="str">
        <x:f>FRAGEN_MASTER!U767</x:f>
        <x:v>Die Hoffnung besteht in einem neuen Haus in Jerusalem.</x:v>
      </x:c>
      <x:c r="K767" s="36" t="n">
        <x:f>FRAGEN_MASTER!V767</x:f>
        <x:v>0</x:v>
      </x:c>
      <x:c r="L767" s="36" t="str">
        <x:f>FRAGEN_MASTER!W767</x:f>
        <x:v>Wenn das irdische Leben endet, gibt Gott eine ewige Behausung, die nicht von Menschen gemacht ist.</x:v>
      </x:c>
      <x:c r="M767" s="36" t="str">
        <x:f>FRAGEN_MASTER!X767</x:f>
        <x:v>2. Korinther 5,1–5</x:v>
      </x:c>
      <x:c r="N767" s="36" t="str">
        <x:f>FRAGEN_MASTER!Y767</x:f>
        <x:v>Paulus verwendet Zelt und Gebäude als Bild für gegenwärtige Vergänglichkeit und zukünftige von Gott gegebene Existenz.</x:v>
      </x:c>
      <x:c r="O767" s="36" t="str">
        <x:f>FRAGEN_MASTER!AG767</x:f>
        <x:v>FREIGEGEBEN</x:v>
      </x:c>
      <x:c r="P767" s="36" t="str">
        <x:f>FRAGEN_MASTER!AI767</x:f>
        <x:v>FREIGEGEBEN</x:v>
      </x:c>
      <x:c r="Q767" s="36" t="str">
        <x:f>FRAGEN_MASTER!AL767</x:f>
        <x:v>JA</x:v>
      </x:c>
    </x:row>
    <x:row r="768">
      <x:c r="A768" s="36" t="str">
        <x:f>FRAGEN_MASTER!A768</x:f>
        <x:v>FP-1027</x:v>
      </x:c>
      <x:c r="B768" s="36" t="str">
        <x:f>FRAGEN_MASTER!B768</x:f>
        <x:v>2CO</x:v>
      </x:c>
      <x:c r="C768" s="36" t="str">
        <x:f>FRAGEN_MASTER!C768</x:f>
        <x:v>2. Korinther</x:v>
      </x:c>
      <x:c r="D768" s="36" t="n">
        <x:f>FRAGEN_MASTER!D768</x:f>
        <x:v>5</x:v>
      </x:c>
      <x:c r="E768" s="36" t="n">
        <x:f>FRAGEN_MASTER!E768</x:f>
        <x:v>2</x:v>
      </x:c>
      <x:c r="F768" s="36" t="str">
        <x:f>FRAGEN_MASTER!Q768</x:f>
        <x:v>Welche Haltung verbindet Paulus mit dem Satz „Wir wandeln im Glauben und nicht im Schauen“?</x:v>
      </x:c>
      <x:c r="G768" s="36" t="str">
        <x:f>FRAGEN_MASTER!R768</x:f>
        <x:v>Gleichgültigkeit gegenüber dem eigenen Handeln.</x:v>
      </x:c>
      <x:c r="H768" s="36" t="str">
        <x:f>FRAGEN_MASTER!S768</x:f>
        <x:v>Mut und das Ziel, dem Herrn zu gefallen, im Bewusstsein künftiger Rechenschaft vor Christus.</x:v>
      </x:c>
      <x:c r="I768" s="36" t="str">
        <x:f>FRAGEN_MASTER!T768</x:f>
        <x:v>Ablehnung jeder sichtbaren Wirklichkeit.</x:v>
      </x:c>
      <x:c r="J768" s="36" t="str">
        <x:f>FRAGEN_MASTER!U768</x:f>
        <x:v>Die Sicherheit, nie beurteilt zu werden.</x:v>
      </x:c>
      <x:c r="K768" s="36" t="n">
        <x:f>FRAGEN_MASTER!V768</x:f>
        <x:v>1</x:v>
      </x:c>
      <x:c r="L768" s="36" t="str">
        <x:f>FRAGEN_MASTER!W768</x:f>
        <x:v>Mut und das Ziel, dem Herrn zu gefallen, im Bewusstsein künftiger Rechenschaft vor Christus.</x:v>
      </x:c>
      <x:c r="M768" s="36" t="str">
        <x:f>FRAGEN_MASTER!X768</x:f>
        <x:v>2. Korinther 5,6–10</x:v>
      </x:c>
      <x:c r="N768" s="36" t="str">
        <x:f>FRAGEN_MASTER!Y768</x:f>
        <x:v>Glauben statt Schauen führt bei Paulus nicht zu Passivität, sondern zum Wunsch, Christus zu gefallen.</x:v>
      </x:c>
      <x:c r="O768" s="36" t="str">
        <x:f>FRAGEN_MASTER!AG768</x:f>
        <x:v>FREIGEGEBEN</x:v>
      </x:c>
      <x:c r="P768" s="36" t="str">
        <x:f>FRAGEN_MASTER!AI768</x:f>
        <x:v>FREIGEGEBEN</x:v>
      </x:c>
      <x:c r="Q768" s="36" t="str">
        <x:f>FRAGEN_MASTER!AL768</x:f>
        <x:v>JA</x:v>
      </x:c>
    </x:row>
    <x:row r="769">
      <x:c r="A769" s="36" t="str">
        <x:f>FRAGEN_MASTER!A769</x:f>
        <x:v>FP-1028</x:v>
      </x:c>
      <x:c r="B769" s="36" t="str">
        <x:f>FRAGEN_MASTER!B769</x:f>
        <x:v>2CO</x:v>
      </x:c>
      <x:c r="C769" s="36" t="str">
        <x:f>FRAGEN_MASTER!C769</x:f>
        <x:v>2. Korinther</x:v>
      </x:c>
      <x:c r="D769" s="36" t="n">
        <x:f>FRAGEN_MASTER!D769</x:f>
        <x:v>5</x:v>
      </x:c>
      <x:c r="E769" s="36" t="n">
        <x:f>FRAGEN_MASTER!E769</x:f>
        <x:v>3</x:v>
      </x:c>
      <x:c r="F769" s="36" t="str">
        <x:f>FRAGEN_MASTER!Q769</x:f>
        <x:v>Wozu drängt die Liebe Christi nach Paulus die Glaubenden?</x:v>
      </x:c>
      <x:c r="G769" s="36" t="str">
        <x:f>FRAGEN_MASTER!R769</x:f>
        <x:v>Sich vollständig aus der Welt zurückzuziehen.</x:v>
      </x:c>
      <x:c r="H769" s="36" t="str">
        <x:f>FRAGEN_MASTER!S769</x:f>
        <x:v>Nie wieder eigene Entscheidungen zu treffen.</x:v>
      </x:c>
      <x:c r="I769" s="36" t="str">
        <x:f>FRAGEN_MASTER!T769</x:f>
        <x:v>Nicht mehr für sich selbst zu leben, sondern für den, der für sie gestorben und auferstanden ist.</x:v>
      </x:c>
      <x:c r="J769" s="36" t="str">
        <x:f>FRAGEN_MASTER!U769</x:f>
        <x:v>Nur für die eigene Gemeinde zu leben.</x:v>
      </x:c>
      <x:c r="K769" s="36" t="n">
        <x:f>FRAGEN_MASTER!V769</x:f>
        <x:v>2</x:v>
      </x:c>
      <x:c r="L769" s="36" t="str">
        <x:f>FRAGEN_MASTER!W769</x:f>
        <x:v>Nicht mehr für sich selbst zu leben, sondern für den, der für sie gestorben und auferstanden ist.</x:v>
      </x:c>
      <x:c r="M769" s="36" t="str">
        <x:f>FRAGEN_MASTER!X769</x:f>
        <x:v>2. Korinther 5,14–15</x:v>
      </x:c>
      <x:c r="N769" s="36" t="str">
        <x:f>FRAGEN_MASTER!Y769</x:f>
        <x:v>Christi stellvertretender Tod verändert nach Paulus die Richtung des Lebens.</x:v>
      </x:c>
      <x:c r="O769" s="36" t="str">
        <x:f>FRAGEN_MASTER!AG769</x:f>
        <x:v>FREIGEGEBEN</x:v>
      </x:c>
      <x:c r="P769" s="36" t="str">
        <x:f>FRAGEN_MASTER!AI769</x:f>
        <x:v>FREIGEGEBEN</x:v>
      </x:c>
      <x:c r="Q769" s="36" t="str">
        <x:f>FRAGEN_MASTER!AL769</x:f>
        <x:v>JA</x:v>
      </x:c>
    </x:row>
    <x:row r="770">
      <x:c r="A770" s="36" t="str">
        <x:f>FRAGEN_MASTER!A770</x:f>
        <x:v>FP-1029</x:v>
      </x:c>
      <x:c r="B770" s="36" t="str">
        <x:f>FRAGEN_MASTER!B770</x:f>
        <x:v>2CO</x:v>
      </x:c>
      <x:c r="C770" s="36" t="str">
        <x:f>FRAGEN_MASTER!C770</x:f>
        <x:v>2. Korinther</x:v>
      </x:c>
      <x:c r="D770" s="36" t="n">
        <x:f>FRAGEN_MASTER!D770</x:f>
        <x:v>5</x:v>
      </x:c>
      <x:c r="E770" s="36" t="n">
        <x:f>FRAGEN_MASTER!E770</x:f>
        <x:v>4</x:v>
      </x:c>
      <x:c r="F770" s="36" t="str">
        <x:f>FRAGEN_MASTER!Q770</x:f>
        <x:v>Was bedeutet es nach Paulus, „in Christus“ zu sein?</x:v>
      </x:c>
      <x:c r="G770" s="36" t="str">
        <x:f>FRAGEN_MASTER!R770</x:f>
        <x:v>Nur neue religiöse Regeln zu erhalten.</x:v>
      </x:c>
      <x:c r="H770" s="36" t="str">
        <x:f>FRAGEN_MASTER!S770</x:f>
        <x:v>Die Vergangenheit einfach zu vergessen, ohne Veränderung.</x:v>
      </x:c>
      <x:c r="I770" s="36" t="str">
        <x:f>FRAGEN_MASTER!T770</x:f>
        <x:v>Automatisch frei von jeder Versuchung zu sein.</x:v>
      </x:c>
      <x:c r="J770" s="36" t="str">
        <x:f>FRAGEN_MASTER!U770</x:f>
        <x:v>Eine neue Schöpfung zu sein; Gott versöhnt Menschen durch Christus mit sich und gibt den Dienst der Versöhnung.</x:v>
      </x:c>
      <x:c r="K770" s="36" t="n">
        <x:f>FRAGEN_MASTER!V770</x:f>
        <x:v>3</x:v>
      </x:c>
      <x:c r="L770" s="36" t="str">
        <x:f>FRAGEN_MASTER!W770</x:f>
        <x:v>Eine neue Schöpfung zu sein; Gott versöhnt Menschen durch Christus mit sich und gibt den Dienst der Versöhnung.</x:v>
      </x:c>
      <x:c r="M770" s="36" t="str">
        <x:f>FRAGEN_MASTER!X770</x:f>
        <x:v>2. Korinther 5,17–19</x:v>
      </x:c>
      <x:c r="N770" s="36" t="str">
        <x:f>FRAGEN_MASTER!Y770</x:f>
        <x:v>Paulus verbindet neue Schöpfung und Versöhnung unmittelbar miteinander.</x:v>
      </x:c>
      <x:c r="O770" s="36" t="str">
        <x:f>FRAGEN_MASTER!AG770</x:f>
        <x:v>FREIGEGEBEN</x:v>
      </x:c>
      <x:c r="P770" s="36" t="str">
        <x:f>FRAGEN_MASTER!AI770</x:f>
        <x:v>FREIGEGEBEN</x:v>
      </x:c>
      <x:c r="Q770" s="36" t="str">
        <x:f>FRAGEN_MASTER!AL770</x:f>
        <x:v>JA</x:v>
      </x:c>
    </x:row>
    <x:row r="771">
      <x:c r="A771" s="36" t="str">
        <x:f>FRAGEN_MASTER!A771</x:f>
        <x:v>FP-1030</x:v>
      </x:c>
      <x:c r="B771" s="36" t="str">
        <x:f>FRAGEN_MASTER!B771</x:f>
        <x:v>2CO</x:v>
      </x:c>
      <x:c r="C771" s="36" t="str">
        <x:f>FRAGEN_MASTER!C771</x:f>
        <x:v>2. Korinther</x:v>
      </x:c>
      <x:c r="D771" s="36" t="n">
        <x:f>FRAGEN_MASTER!D771</x:f>
        <x:v>5</x:v>
      </x:c>
      <x:c r="E771" s="36" t="n">
        <x:f>FRAGEN_MASTER!E771</x:f>
        <x:v>5</x:v>
      </x:c>
      <x:c r="F771" s="36" t="str">
        <x:f>FRAGEN_MASTER!Q771</x:f>
        <x:v>Welche Rolle beschreibt Paulus mit dem Bild des Botschafters?</x:v>
      </x:c>
      <x:c r="G771" s="36" t="str">
        <x:f>FRAGEN_MASTER!R771</x:f>
        <x:v>Gott ruft durch die Botschafter Christi zur Versöhnung mit ihm.</x:v>
      </x:c>
      <x:c r="H771" s="36" t="str">
        <x:f>FRAGEN_MASTER!S771</x:f>
        <x:v>Christen vertreten vor allem politische Interessen.</x:v>
      </x:c>
      <x:c r="I771" s="36" t="str">
        <x:f>FRAGEN_MASTER!T771</x:f>
        <x:v>Nur Engel dürfen Gottes Botschaft weitergeben.</x:v>
      </x:c>
      <x:c r="J771" s="36" t="str">
        <x:f>FRAGEN_MASTER!U771</x:f>
        <x:v>Versöhnung ist ausschließlich eine menschliche Leistung.</x:v>
      </x:c>
      <x:c r="K771" s="36" t="n">
        <x:f>FRAGEN_MASTER!V771</x:f>
        <x:v>0</x:v>
      </x:c>
      <x:c r="L771" s="36" t="str">
        <x:f>FRAGEN_MASTER!W771</x:f>
        <x:v>Gott ruft durch die Botschafter Christi zur Versöhnung mit ihm.</x:v>
      </x:c>
      <x:c r="M771" s="36" t="str">
        <x:f>FRAGEN_MASTER!X771</x:f>
        <x:v>2. Korinther 5,20–21</x:v>
      </x:c>
      <x:c r="N771" s="36" t="str">
        <x:f>FRAGEN_MASTER!Y771</x:f>
        <x:v>Paulus versteht seinen Dienst als stellvertretenden Ruf Gottes: „Lasst euch mit Gott versöhnen.“</x:v>
      </x:c>
      <x:c r="O771" s="36" t="str">
        <x:f>FRAGEN_MASTER!AG771</x:f>
        <x:v>FREIGEGEBEN</x:v>
      </x:c>
      <x:c r="P771" s="36" t="str">
        <x:f>FRAGEN_MASTER!AI771</x:f>
        <x:v>FREIGEGEBEN</x:v>
      </x:c>
      <x:c r="Q771" s="36" t="str">
        <x:f>FRAGEN_MASTER!AL771</x:f>
        <x:v>JA</x:v>
      </x:c>
    </x:row>
    <x:row r="772">
      <x:c r="A772" s="36" t="str">
        <x:f>FRAGEN_MASTER!A772</x:f>
        <x:v>FP-1031</x:v>
      </x:c>
      <x:c r="B772" s="36" t="str">
        <x:f>FRAGEN_MASTER!B772</x:f>
        <x:v>2CO</x:v>
      </x:c>
      <x:c r="C772" s="36" t="str">
        <x:f>FRAGEN_MASTER!C772</x:f>
        <x:v>2. Korinther</x:v>
      </x:c>
      <x:c r="D772" s="36" t="n">
        <x:f>FRAGEN_MASTER!D772</x:f>
        <x:v>6</x:v>
      </x:c>
      <x:c r="E772" s="36" t="n">
        <x:f>FRAGEN_MASTER!E772</x:f>
        <x:v>1</x:v>
      </x:c>
      <x:c r="F772" s="36" t="str">
        <x:f>FRAGEN_MASTER!Q772</x:f>
        <x:v>Welche Dringlichkeit verbindet Paulus mit Gottes Gnade?</x:v>
      </x:c>
      <x:c r="G772" s="36" t="str">
        <x:f>FRAGEN_MASTER!R772</x:f>
        <x:v>Für eine Antwort auf Gott bleibt unbegrenzt Zeit.</x:v>
      </x:c>
      <x:c r="H772" s="36" t="str">
        <x:f>FRAGEN_MASTER!S772</x:f>
        <x:v>Jetzt ist die angenehme Zeit, jetzt ist der Tag des Heils; die Gnade soll nicht vergeblich empfangen werden.</x:v>
      </x:c>
      <x:c r="I772" s="36" t="str">
        <x:f>FRAGEN_MASTER!T772</x:f>
        <x:v>Gnade betrifft nur zukünftige Generationen.</x:v>
      </x:c>
      <x:c r="J772" s="36" t="str">
        <x:f>FRAGEN_MASTER!U772</x:f>
        <x:v>Nur Apostel müssen auf Gottes Gnade reagieren.</x:v>
      </x:c>
      <x:c r="K772" s="36" t="n">
        <x:f>FRAGEN_MASTER!V772</x:f>
        <x:v>1</x:v>
      </x:c>
      <x:c r="L772" s="36" t="str">
        <x:f>FRAGEN_MASTER!W772</x:f>
        <x:v>Jetzt ist die angenehme Zeit, jetzt ist der Tag des Heils; die Gnade soll nicht vergeblich empfangen werden.</x:v>
      </x:c>
      <x:c r="M772" s="36" t="str">
        <x:f>FRAGEN_MASTER!X772</x:f>
        <x:v>2. Korinther 6,1–2</x:v>
      </x:c>
      <x:c r="N772" s="36" t="str">
        <x:f>FRAGEN_MASTER!Y772</x:f>
        <x:v>Paulus zitiert die Verheißung und betont die Gegenwart als Zeit der Antwort auf Gottes Heil.</x:v>
      </x:c>
      <x:c r="O772" s="36" t="str">
        <x:f>FRAGEN_MASTER!AG772</x:f>
        <x:v>FREIGEGEBEN</x:v>
      </x:c>
      <x:c r="P772" s="36" t="str">
        <x:f>FRAGEN_MASTER!AI772</x:f>
        <x:v>FREIGEGEBEN</x:v>
      </x:c>
      <x:c r="Q772" s="36" t="str">
        <x:f>FRAGEN_MASTER!AL772</x:f>
        <x:v>JA</x:v>
      </x:c>
    </x:row>
    <x:row r="773">
      <x:c r="A773" s="36" t="str">
        <x:f>FRAGEN_MASTER!A773</x:f>
        <x:v>FP-1032</x:v>
      </x:c>
      <x:c r="B773" s="36" t="str">
        <x:f>FRAGEN_MASTER!B773</x:f>
        <x:v>2CO</x:v>
      </x:c>
      <x:c r="C773" s="36" t="str">
        <x:f>FRAGEN_MASTER!C773</x:f>
        <x:v>2. Korinther</x:v>
      </x:c>
      <x:c r="D773" s="36" t="n">
        <x:f>FRAGEN_MASTER!D773</x:f>
        <x:v>6</x:v>
      </x:c>
      <x:c r="E773" s="36" t="n">
        <x:f>FRAGEN_MASTER!E773</x:f>
        <x:v>2</x:v>
      </x:c>
      <x:c r="F773" s="36" t="str">
        <x:f>FRAGEN_MASTER!Q773</x:f>
        <x:v>Wie empfiehlt Paulus seinen Dienst trotz großer Schwierigkeiten?</x:v>
      </x:c>
      <x:c r="G773" s="36" t="str">
        <x:f>FRAGEN_MASTER!R773</x:f>
        <x:v>Durch völlige Vermeidung jeder Schwierigkeit.</x:v>
      </x:c>
      <x:c r="H773" s="36" t="str">
        <x:f>FRAGEN_MASTER!S773</x:f>
        <x:v>Durch gesellschaftlichen Erfolg allein.</x:v>
      </x:c>
      <x:c r="I773" s="36" t="str">
        <x:f>FRAGEN_MASTER!T773</x:f>
        <x:v>Durch Geduld, Reinheit, Erkenntnis, Liebe und Gottes Kraft mitten in Bedrängnissen und Gegensätzen.</x:v>
      </x:c>
      <x:c r="J773" s="36" t="str">
        <x:f>FRAGEN_MASTER!U773</x:f>
        <x:v>Durch möglichst wenig Kontakt mit Menschen.</x:v>
      </x:c>
      <x:c r="K773" s="36" t="n">
        <x:f>FRAGEN_MASTER!V773</x:f>
        <x:v>2</x:v>
      </x:c>
      <x:c r="L773" s="36" t="str">
        <x:f>FRAGEN_MASTER!W773</x:f>
        <x:v>Durch Geduld, Reinheit, Erkenntnis, Liebe und Gottes Kraft mitten in Bedrängnissen und Gegensätzen.</x:v>
      </x:c>
      <x:c r="M773" s="36" t="str">
        <x:f>FRAGEN_MASTER!X773</x:f>
        <x:v>2. Korinther 6,3–10</x:v>
      </x:c>
      <x:c r="N773" s="36" t="str">
        <x:f>FRAGEN_MASTER!Y773</x:f>
        <x:v>Die lange Liste verbindet äußere Leiden mit inneren und geistlichen Kennzeichen eines Dieners Gottes.</x:v>
      </x:c>
      <x:c r="O773" s="36" t="str">
        <x:f>FRAGEN_MASTER!AG773</x:f>
        <x:v>FREIGEGEBEN</x:v>
      </x:c>
      <x:c r="P773" s="36" t="str">
        <x:f>FRAGEN_MASTER!AI773</x:f>
        <x:v>FREIGEGEBEN</x:v>
      </x:c>
      <x:c r="Q773" s="36" t="str">
        <x:f>FRAGEN_MASTER!AL773</x:f>
        <x:v>JA</x:v>
      </x:c>
    </x:row>
    <x:row r="774">
      <x:c r="A774" s="36" t="str">
        <x:f>FRAGEN_MASTER!A774</x:f>
        <x:v>FP-1033</x:v>
      </x:c>
      <x:c r="B774" s="36" t="str">
        <x:f>FRAGEN_MASTER!B774</x:f>
        <x:v>2CO</x:v>
      </x:c>
      <x:c r="C774" s="36" t="str">
        <x:f>FRAGEN_MASTER!C774</x:f>
        <x:v>2. Korinther</x:v>
      </x:c>
      <x:c r="D774" s="36" t="n">
        <x:f>FRAGEN_MASTER!D774</x:f>
        <x:v>6</x:v>
      </x:c>
      <x:c r="E774" s="36" t="n">
        <x:f>FRAGEN_MASTER!E774</x:f>
        <x:v>3</x:v>
      </x:c>
      <x:c r="F774" s="36" t="str">
        <x:f>FRAGEN_MASTER!Q774</x:f>
        <x:v>Welche Beziehung wünscht Paulus sich von den Korinthern, nachdem er von seinem weit geöffneten Herzen spricht?</x:v>
      </x:c>
      <x:c r="G774" s="36" t="str">
        <x:f>FRAGEN_MASTER!R774</x:f>
        <x:v>Sie sollen möglichst distanziert bleiben.</x:v>
      </x:c>
      <x:c r="H774" s="36" t="str">
        <x:f>FRAGEN_MASTER!S774</x:f>
        <x:v>Sie sollen nur schriftlich mit ihm kommunizieren.</x:v>
      </x:c>
      <x:c r="I774" s="36" t="str">
        <x:f>FRAGEN_MASTER!T774</x:f>
        <x:v>Sie sollen seine Autorität nicht mehr hinterfragen.</x:v>
      </x:c>
      <x:c r="J774" s="36" t="str">
        <x:f>FRAGEN_MASTER!U774</x:f>
        <x:v>Auch sie sollen ihr Herz weit öffnen und seine Zuneigung erwidern.</x:v>
      </x:c>
      <x:c r="K774" s="36" t="n">
        <x:f>FRAGEN_MASTER!V774</x:f>
        <x:v>3</x:v>
      </x:c>
      <x:c r="L774" s="36" t="str">
        <x:f>FRAGEN_MASTER!W774</x:f>
        <x:v>Auch sie sollen ihr Herz weit öffnen und seine Zuneigung erwidern.</x:v>
      </x:c>
      <x:c r="M774" s="36" t="str">
        <x:f>FRAGEN_MASTER!X774</x:f>
        <x:v>2. Korinther 6,11–13</x:v>
      </x:c>
      <x:c r="N774" s="36" t="str">
        <x:f>FRAGEN_MASTER!Y774</x:f>
        <x:v>Paulus beschreibt seine eigene Offenheit und bittet die Gemeinde um entsprechende Weite des Herzens.</x:v>
      </x:c>
      <x:c r="O774" s="36" t="str">
        <x:f>FRAGEN_MASTER!AG774</x:f>
        <x:v>FREIGEGEBEN</x:v>
      </x:c>
      <x:c r="P774" s="36" t="str">
        <x:f>FRAGEN_MASTER!AI774</x:f>
        <x:v>FREIGEGEBEN</x:v>
      </x:c>
      <x:c r="Q774" s="36" t="str">
        <x:f>FRAGEN_MASTER!AL774</x:f>
        <x:v>JA</x:v>
      </x:c>
    </x:row>
    <x:row r="775">
      <x:c r="A775" s="36" t="str">
        <x:f>FRAGEN_MASTER!A775</x:f>
        <x:v>FP-1034</x:v>
      </x:c>
      <x:c r="B775" s="36" t="str">
        <x:f>FRAGEN_MASTER!B775</x:f>
        <x:v>2CO</x:v>
      </x:c>
      <x:c r="C775" s="36" t="str">
        <x:f>FRAGEN_MASTER!C775</x:f>
        <x:v>2. Korinther</x:v>
      </x:c>
      <x:c r="D775" s="36" t="n">
        <x:f>FRAGEN_MASTER!D775</x:f>
        <x:v>6</x:v>
      </x:c>
      <x:c r="E775" s="36" t="n">
        <x:f>FRAGEN_MASTER!E775</x:f>
        <x:v>4</x:v>
      </x:c>
      <x:c r="F775" s="36" t="str">
        <x:f>FRAGEN_MASTER!Q775</x:f>
        <x:v>Welche Unvereinbarkeit betont Paulus mit dem Bild des ungleichen Jochs?</x:v>
      </x:c>
      <x:c r="G775" s="36" t="str">
        <x:f>FRAGEN_MASTER!R775</x:f>
        <x:v>Gerechtigkeit und Gesetzlosigkeit, Licht und Finsternis sowie Christus und Belial sollen nicht miteinander vermischt werden.</x:v>
      </x:c>
      <x:c r="H775" s="36" t="str">
        <x:f>FRAGEN_MASTER!S775</x:f>
        <x:v>Gläubige dürfen keinerlei Kontakt zu Nichtgläubigen haben.</x:v>
      </x:c>
      <x:c r="I775" s="36" t="str">
        <x:f>FRAGEN_MASTER!T775</x:f>
        <x:v>Christen dürfen nur mit Christen arbeiten.</x:v>
      </x:c>
      <x:c r="J775" s="36" t="str">
        <x:f>FRAGEN_MASTER!U775</x:f>
        <x:v>Jede gesellschaftliche Zusammenarbeit ist verboten.</x:v>
      </x:c>
      <x:c r="K775" s="36" t="n">
        <x:f>FRAGEN_MASTER!V775</x:f>
        <x:v>0</x:v>
      </x:c>
      <x:c r="L775" s="36" t="str">
        <x:f>FRAGEN_MASTER!W775</x:f>
        <x:v>Gerechtigkeit und Gesetzlosigkeit, Licht und Finsternis sowie Christus und Belial sollen nicht miteinander vermischt werden.</x:v>
      </x:c>
      <x:c r="M775" s="36" t="str">
        <x:f>FRAGEN_MASTER!X775</x:f>
        <x:v>2. Korinther 6,14–16</x:v>
      </x:c>
      <x:c r="N775" s="36" t="str">
        <x:f>FRAGEN_MASTER!Y775</x:f>
        <x:v>Der Text spricht von unvereinbarer geistlicher beziehungsweise kultischer Gemeinschaft, nicht pauschal von jedem sozialen Kontakt.</x:v>
      </x:c>
      <x:c r="O775" s="36" t="str">
        <x:f>FRAGEN_MASTER!AG775</x:f>
        <x:v>FREIGEGEBEN</x:v>
      </x:c>
      <x:c r="P775" s="36" t="str">
        <x:f>FRAGEN_MASTER!AI775</x:f>
        <x:v>FREIGEGEBEN</x:v>
      </x:c>
      <x:c r="Q775" s="36" t="str">
        <x:f>FRAGEN_MASTER!AL775</x:f>
        <x:v>JA</x:v>
      </x:c>
    </x:row>
    <x:row r="776">
      <x:c r="A776" s="36" t="str">
        <x:f>FRAGEN_MASTER!A776</x:f>
        <x:v>FP-1035</x:v>
      </x:c>
      <x:c r="B776" s="36" t="str">
        <x:f>FRAGEN_MASTER!B776</x:f>
        <x:v>2CO</x:v>
      </x:c>
      <x:c r="C776" s="36" t="str">
        <x:f>FRAGEN_MASTER!C776</x:f>
        <x:v>2. Korinther</x:v>
      </x:c>
      <x:c r="D776" s="36" t="n">
        <x:f>FRAGEN_MASTER!D776</x:f>
        <x:v>6</x:v>
      </x:c>
      <x:c r="E776" s="36" t="n">
        <x:f>FRAGEN_MASTER!E776</x:f>
        <x:v>5</x:v>
      </x:c>
      <x:c r="F776" s="36" t="str">
        <x:f>FRAGEN_MASTER!Q776</x:f>
        <x:v>Welche Identität begründet Paulus mit dem Satz: „Wir sind der Tempel des lebendigen Gottes“?</x:v>
      </x:c>
      <x:c r="G776" s="36" t="str">
        <x:f>FRAGEN_MASTER!R776</x:f>
        <x:v>Jeder Kirchenbau ist automatisch Gottes Tempel.</x:v>
      </x:c>
      <x:c r="H776" s="36" t="str">
        <x:f>FRAGEN_MASTER!S776</x:f>
        <x:v>Gott will unter seinem Volk wohnen und es als sein Volk annehmen.</x:v>
      </x:c>
      <x:c r="I776" s="36" t="str">
        <x:f>FRAGEN_MASTER!T776</x:f>
        <x:v>Nur die Apostel sind Gottes Tempel.</x:v>
      </x:c>
      <x:c r="J776" s="36" t="str">
        <x:f>FRAGEN_MASTER!U776</x:f>
        <x:v>Gottes Gegenwart ist ausschließlich an Jerusalem gebunden.</x:v>
      </x:c>
      <x:c r="K776" s="36" t="n">
        <x:f>FRAGEN_MASTER!V776</x:f>
        <x:v>1</x:v>
      </x:c>
      <x:c r="L776" s="36" t="str">
        <x:f>FRAGEN_MASTER!W776</x:f>
        <x:v>Gott will unter seinem Volk wohnen und es als sein Volk annehmen.</x:v>
      </x:c>
      <x:c r="M776" s="36" t="str">
        <x:f>FRAGEN_MASTER!X776</x:f>
        <x:v>2. Korinther 6,16–18</x:v>
      </x:c>
      <x:c r="N776" s="36" t="str">
        <x:f>FRAGEN_MASTER!Y776</x:f>
        <x:v>Paulus verbindet die Tempelidentität der Gemeinde mit Gottes Bundesverheißung seiner Gegenwart.</x:v>
      </x:c>
      <x:c r="O776" s="36" t="str">
        <x:f>FRAGEN_MASTER!AG776</x:f>
        <x:v>FREIGEGEBEN</x:v>
      </x:c>
      <x:c r="P776" s="36" t="str">
        <x:f>FRAGEN_MASTER!AI776</x:f>
        <x:v>FREIGEGEBEN</x:v>
      </x:c>
      <x:c r="Q776" s="36" t="str">
        <x:f>FRAGEN_MASTER!AL776</x:f>
        <x:v>JA</x:v>
      </x:c>
    </x:row>
    <x:row r="777">
      <x:c r="A777" s="36" t="str">
        <x:f>FRAGEN_MASTER!A777</x:f>
        <x:v>FP-1036</x:v>
      </x:c>
      <x:c r="B777" s="36" t="str">
        <x:f>FRAGEN_MASTER!B777</x:f>
        <x:v>2CO</x:v>
      </x:c>
      <x:c r="C777" s="36" t="str">
        <x:f>FRAGEN_MASTER!C777</x:f>
        <x:v>2. Korinther</x:v>
      </x:c>
      <x:c r="D777" s="36" t="n">
        <x:f>FRAGEN_MASTER!D777</x:f>
        <x:v>7</x:v>
      </x:c>
      <x:c r="E777" s="36" t="n">
        <x:f>FRAGEN_MASTER!E777</x:f>
        <x:v>1</x:v>
      </x:c>
      <x:c r="F777" s="36" t="str">
        <x:f>FRAGEN_MASTER!Q777</x:f>
        <x:v>Wie beschreibt Paulus seine Haltung gegenüber den Korinthern trotz der Spannungen?</x:v>
      </x:c>
      <x:c r="G777" s="36" t="str">
        <x:f>FRAGEN_MASTER!R777</x:f>
        <x:v>Er hat jedes Vertrauen in sie aufgegeben.</x:v>
      </x:c>
      <x:c r="H777" s="36" t="str">
        <x:f>FRAGEN_MASTER!S777</x:f>
        <x:v>Er will mit ihnen nichts mehr zu tun haben.</x:v>
      </x:c>
      <x:c r="I777" s="36" t="str">
        <x:f>FRAGEN_MASTER!T777</x:f>
        <x:v>Sie sind in seinem Herzen; er hat großes Vertrauen zu ihnen und viel Grund zur Freude.</x:v>
      </x:c>
      <x:c r="J777" s="36" t="str">
        <x:f>FRAGEN_MASTER!U777</x:f>
        <x:v>Er spricht nur noch über ihre Fehler.</x:v>
      </x:c>
      <x:c r="K777" s="36" t="n">
        <x:f>FRAGEN_MASTER!V777</x:f>
        <x:v>2</x:v>
      </x:c>
      <x:c r="L777" s="36" t="str">
        <x:f>FRAGEN_MASTER!W777</x:f>
        <x:v>Sie sind in seinem Herzen; er hat großes Vertrauen zu ihnen und viel Grund zur Freude.</x:v>
      </x:c>
      <x:c r="M777" s="36" t="str">
        <x:f>FRAGEN_MASTER!X777</x:f>
        <x:v>2. Korinther 7,2–4</x:v>
      </x:c>
      <x:c r="N777" s="36" t="str">
        <x:f>FRAGEN_MASTER!Y777</x:f>
        <x:v>Paulus bittet um offene Herzen und verbindet Korrektur mit tiefer Verbundenheit und Zuversicht.</x:v>
      </x:c>
      <x:c r="O777" s="36" t="str">
        <x:f>FRAGEN_MASTER!AG777</x:f>
        <x:v>FREIGEGEBEN</x:v>
      </x:c>
      <x:c r="P777" s="36" t="str">
        <x:f>FRAGEN_MASTER!AI777</x:f>
        <x:v>FREIGEGEBEN</x:v>
      </x:c>
      <x:c r="Q777" s="36" t="str">
        <x:f>FRAGEN_MASTER!AL777</x:f>
        <x:v>JA</x:v>
      </x:c>
    </x:row>
    <x:row r="778">
      <x:c r="A778" s="36" t="str">
        <x:f>FRAGEN_MASTER!A778</x:f>
        <x:v>FP-1037</x:v>
      </x:c>
      <x:c r="B778" s="36" t="str">
        <x:f>FRAGEN_MASTER!B778</x:f>
        <x:v>2CO</x:v>
      </x:c>
      <x:c r="C778" s="36" t="str">
        <x:f>FRAGEN_MASTER!C778</x:f>
        <x:v>2. Korinther</x:v>
      </x:c>
      <x:c r="D778" s="36" t="n">
        <x:f>FRAGEN_MASTER!D778</x:f>
        <x:v>7</x:v>
      </x:c>
      <x:c r="E778" s="36" t="n">
        <x:f>FRAGEN_MASTER!E778</x:f>
        <x:v>2</x:v>
      </x:c>
      <x:c r="F778" s="36" t="str">
        <x:f>FRAGEN_MASTER!Q778</x:f>
        <x:v>Wie tröstet Gott Paulus in Mazedonien, als er äußere Kämpfe und innere Ängste erlebt?</x:v>
      </x:c>
      <x:c r="G778" s="36" t="str">
        <x:f>FRAGEN_MASTER!R778</x:f>
        <x:v>Durch das sofortige Ende aller Probleme.</x:v>
      </x:c>
      <x:c r="H778" s="36" t="str">
        <x:f>FRAGEN_MASTER!S778</x:f>
        <x:v>Durch eine Reise zurück nach Tarsus.</x:v>
      </x:c>
      <x:c r="I778" s="36" t="str">
        <x:f>FRAGEN_MASTER!T778</x:f>
        <x:v>Durch den Rückzug aus dem Dienst.</x:v>
      </x:c>
      <x:c r="J778" s="36" t="str">
        <x:f>FRAGEN_MASTER!U778</x:f>
        <x:v>Durch die Ankunft des Titus und dessen gute Nachricht über die Korinther.</x:v>
      </x:c>
      <x:c r="K778" s="36" t="n">
        <x:f>FRAGEN_MASTER!V778</x:f>
        <x:v>3</x:v>
      </x:c>
      <x:c r="L778" s="36" t="str">
        <x:f>FRAGEN_MASTER!W778</x:f>
        <x:v>Durch die Ankunft des Titus und dessen gute Nachricht über die Korinther.</x:v>
      </x:c>
      <x:c r="M778" s="36" t="str">
        <x:f>FRAGEN_MASTER!X778</x:f>
        <x:v>2. Korinther 7,5–7</x:v>
      </x:c>
      <x:c r="N778" s="36" t="str">
        <x:f>FRAGEN_MASTER!Y778</x:f>
        <x:v>Paulus nennt Titus' Ankunft ausdrücklich als Mittel von Gottes Trost.</x:v>
      </x:c>
      <x:c r="O778" s="36" t="str">
        <x:f>FRAGEN_MASTER!AG778</x:f>
        <x:v>FREIGEGEBEN</x:v>
      </x:c>
      <x:c r="P778" s="36" t="str">
        <x:f>FRAGEN_MASTER!AI778</x:f>
        <x:v>FREIGEGEBEN</x:v>
      </x:c>
      <x:c r="Q778" s="36" t="str">
        <x:f>FRAGEN_MASTER!AL778</x:f>
        <x:v>JA</x:v>
      </x:c>
    </x:row>
    <x:row r="779">
      <x:c r="A779" s="36" t="str">
        <x:f>FRAGEN_MASTER!A779</x:f>
        <x:v>FP-1038</x:v>
      </x:c>
      <x:c r="B779" s="36" t="str">
        <x:f>FRAGEN_MASTER!B779</x:f>
        <x:v>2CO</x:v>
      </x:c>
      <x:c r="C779" s="36" t="str">
        <x:f>FRAGEN_MASTER!C779</x:f>
        <x:v>2. Korinther</x:v>
      </x:c>
      <x:c r="D779" s="36" t="n">
        <x:f>FRAGEN_MASTER!D779</x:f>
        <x:v>7</x:v>
      </x:c>
      <x:c r="E779" s="36" t="n">
        <x:f>FRAGEN_MASTER!E779</x:f>
        <x:v>3</x:v>
      </x:c>
      <x:c r="F779" s="36" t="str">
        <x:f>FRAGEN_MASTER!Q779</x:f>
        <x:v>Was unterscheidet „göttliche Traurigkeit“ von weltlicher Traurigkeit?</x:v>
      </x:c>
      <x:c r="G779" s="36" t="str">
        <x:f>FRAGEN_MASTER!R779</x:f>
        <x:v>Göttliche Traurigkeit führt zur Umkehr zum Heil, während weltliche Traurigkeit zum Tod führt.</x:v>
      </x:c>
      <x:c r="H779" s="36" t="str">
        <x:f>FRAGEN_MASTER!S779</x:f>
        <x:v>Göttliche Traurigkeit bedeutet, niemals zu weinen.</x:v>
      </x:c>
      <x:c r="I779" s="36" t="str">
        <x:f>FRAGEN_MASTER!T779</x:f>
        <x:v>Weltliche Traurigkeit führt immer zur Umkehr.</x:v>
      </x:c>
      <x:c r="J779" s="36" t="str">
        <x:f>FRAGEN_MASTER!U779</x:f>
        <x:v>Beide sind nach Paulus völlig gleich.</x:v>
      </x:c>
      <x:c r="K779" s="36" t="n">
        <x:f>FRAGEN_MASTER!V779</x:f>
        <x:v>0</x:v>
      </x:c>
      <x:c r="L779" s="36" t="str">
        <x:f>FRAGEN_MASTER!W779</x:f>
        <x:v>Göttliche Traurigkeit führt zur Umkehr zum Heil, während weltliche Traurigkeit zum Tod führt.</x:v>
      </x:c>
      <x:c r="M779" s="36" t="str">
        <x:f>FRAGEN_MASTER!X779</x:f>
        <x:v>2. Korinther 7,8–10</x:v>
      </x:c>
      <x:c r="N779" s="36" t="str">
        <x:f>FRAGEN_MASTER!Y779</x:f>
        <x:v>Paulus bewertet Traurigkeit nach ihrer Frucht: Umkehr und Heil im Gegensatz zu zerstörerischer Traurigkeit.</x:v>
      </x:c>
      <x:c r="O779" s="36" t="str">
        <x:f>FRAGEN_MASTER!AG779</x:f>
        <x:v>FREIGEGEBEN</x:v>
      </x:c>
      <x:c r="P779" s="36" t="str">
        <x:f>FRAGEN_MASTER!AI779</x:f>
        <x:v>FREIGEGEBEN</x:v>
      </x:c>
      <x:c r="Q779" s="36" t="str">
        <x:f>FRAGEN_MASTER!AL779</x:f>
        <x:v>JA</x:v>
      </x:c>
    </x:row>
    <x:row r="780">
      <x:c r="A780" s="36" t="str">
        <x:f>FRAGEN_MASTER!A780</x:f>
        <x:v>FP-1039</x:v>
      </x:c>
      <x:c r="B780" s="36" t="str">
        <x:f>FRAGEN_MASTER!B780</x:f>
        <x:v>2CO</x:v>
      </x:c>
      <x:c r="C780" s="36" t="str">
        <x:f>FRAGEN_MASTER!C780</x:f>
        <x:v>2. Korinther</x:v>
      </x:c>
      <x:c r="D780" s="36" t="n">
        <x:f>FRAGEN_MASTER!D780</x:f>
        <x:v>7</x:v>
      </x:c>
      <x:c r="E780" s="36" t="n">
        <x:f>FRAGEN_MASTER!E780</x:f>
        <x:v>4</x:v>
      </x:c>
      <x:c r="F780" s="36" t="str">
        <x:f>FRAGEN_MASTER!Q780</x:f>
        <x:v>Woran erkennt Paulus die Echtheit der Umkehr der Korinther?</x:v>
      </x:c>
      <x:c r="G780" s="36" t="str">
        <x:f>FRAGEN_MASTER!R780</x:f>
        <x:v>Nur daran, dass sie traurig waren.</x:v>
      </x:c>
      <x:c r="H780" s="36" t="str">
        <x:f>FRAGEN_MASTER!S780</x:f>
        <x:v>An ihrem Eifer, ihrer Verantwortung, Empörung, Furcht, Sehnsucht und ihrem Bemühen, das Unrecht zu korrigieren.</x:v>
      </x:c>
      <x:c r="I780" s="36" t="str">
        <x:f>FRAGEN_MASTER!T780</x:f>
        <x:v>An einer Geldzahlung an Paulus.</x:v>
      </x:c>
      <x:c r="J780" s="36" t="str">
        <x:f>FRAGEN_MASTER!U780</x:f>
        <x:v>Daran, dass sie den Ort gewechselt haben.</x:v>
      </x:c>
      <x:c r="K780" s="36" t="n">
        <x:f>FRAGEN_MASTER!V780</x:f>
        <x:v>1</x:v>
      </x:c>
      <x:c r="L780" s="36" t="str">
        <x:f>FRAGEN_MASTER!W780</x:f>
        <x:v>An ihrem Eifer, ihrer Verantwortung, Empörung, Furcht, Sehnsucht und ihrem Bemühen, das Unrecht zu korrigieren.</x:v>
      </x:c>
      <x:c r="M780" s="36" t="str">
        <x:f>FRAGEN_MASTER!X780</x:f>
        <x:v>2. Korinther 7,11</x:v>
      </x:c>
      <x:c r="N780" s="36" t="str">
        <x:f>FRAGEN_MASTER!Y780</x:f>
        <x:v>Paulus nennt konkrete Früchte, die aus ihrer gottgemäßen Traurigkeit hervorgegangen sind.</x:v>
      </x:c>
      <x:c r="O780" s="36" t="str">
        <x:f>FRAGEN_MASTER!AG780</x:f>
        <x:v>FREIGEGEBEN</x:v>
      </x:c>
      <x:c r="P780" s="36" t="str">
        <x:f>FRAGEN_MASTER!AI780</x:f>
        <x:v>FREIGEGEBEN</x:v>
      </x:c>
      <x:c r="Q780" s="36" t="str">
        <x:f>FRAGEN_MASTER!AL780</x:f>
        <x:v>JA</x:v>
      </x:c>
    </x:row>
    <x:row r="781">
      <x:c r="A781" s="36" t="str">
        <x:f>FRAGEN_MASTER!A781</x:f>
        <x:v>FP-1040</x:v>
      </x:c>
      <x:c r="B781" s="36" t="str">
        <x:f>FRAGEN_MASTER!B781</x:f>
        <x:v>2CO</x:v>
      </x:c>
      <x:c r="C781" s="36" t="str">
        <x:f>FRAGEN_MASTER!C781</x:f>
        <x:v>2. Korinther</x:v>
      </x:c>
      <x:c r="D781" s="36" t="n">
        <x:f>FRAGEN_MASTER!D781</x:f>
        <x:v>7</x:v>
      </x:c>
      <x:c r="E781" s="36" t="n">
        <x:f>FRAGEN_MASTER!E781</x:f>
        <x:v>5</x:v>
      </x:c>
      <x:c r="F781" s="36" t="str">
        <x:f>FRAGEN_MASTER!Q781</x:f>
        <x:v>Warum freut sich Paulus zusätzlich über Titus?</x:v>
      </x:c>
      <x:c r="G781" s="36" t="str">
        <x:f>FRAGEN_MASTER!R781</x:f>
        <x:v>Weil Titus Korinth dauerhaft verlassen hat.</x:v>
      </x:c>
      <x:c r="H781" s="36" t="str">
        <x:f>FRAGEN_MASTER!S781</x:f>
        <x:v>Weil Titus eine neue Gemeinde gegründet hat.</x:v>
      </x:c>
      <x:c r="I781" s="36" t="str">
        <x:f>FRAGEN_MASTER!T781</x:f>
        <x:v>Weil Titus durch die Begegnung mit den Korinthern ermutigt wurde und sein Vertrauen in sie bestätigt sah.</x:v>
      </x:c>
      <x:c r="J781" s="36" t="str">
        <x:f>FRAGEN_MASTER!U781</x:f>
        <x:v>Weil Titus keine Fragen mehr an Paulus hatte.</x:v>
      </x:c>
      <x:c r="K781" s="36" t="n">
        <x:f>FRAGEN_MASTER!V781</x:f>
        <x:v>2</x:v>
      </x:c>
      <x:c r="L781" s="36" t="str">
        <x:f>FRAGEN_MASTER!W781</x:f>
        <x:v>Weil Titus durch die Begegnung mit den Korinthern ermutigt wurde und sein Vertrauen in sie bestätigt sah.</x:v>
      </x:c>
      <x:c r="M781" s="36" t="str">
        <x:f>FRAGEN_MASTER!X781</x:f>
        <x:v>2. Korinther 7,13–16</x:v>
      </x:c>
      <x:c r="N781" s="36" t="str">
        <x:f>FRAGEN_MASTER!Y781</x:f>
        <x:v>Die gute Aufnahme des Titus und sein erneuertes Vertrauen in die Gemeinde verstärken Paulus' Freude.</x:v>
      </x:c>
      <x:c r="O781" s="36" t="str">
        <x:f>FRAGEN_MASTER!AG781</x:f>
        <x:v>FREIGEGEBEN</x:v>
      </x:c>
      <x:c r="P781" s="36" t="str">
        <x:f>FRAGEN_MASTER!AI781</x:f>
        <x:v>FREIGEGEBEN</x:v>
      </x:c>
      <x:c r="Q781" s="36" t="str">
        <x:f>FRAGEN_MASTER!AL781</x:f>
        <x:v>JA</x:v>
      </x:c>
    </x:row>
    <x:row r="782">
      <x:c r="A782" s="36" t="str">
        <x:f>FRAGEN_MASTER!A782</x:f>
        <x:v>FP-1041</x:v>
      </x:c>
      <x:c r="B782" s="36" t="str">
        <x:f>FRAGEN_MASTER!B782</x:f>
        <x:v>2CO</x:v>
      </x:c>
      <x:c r="C782" s="36" t="str">
        <x:f>FRAGEN_MASTER!C782</x:f>
        <x:v>2. Korinther</x:v>
      </x:c>
      <x:c r="D782" s="36" t="n">
        <x:f>FRAGEN_MASTER!D782</x:f>
        <x:v>8</x:v>
      </x:c>
      <x:c r="E782" s="36" t="n">
        <x:f>FRAGEN_MASTER!E782</x:f>
        <x:v>1</x:v>
      </x:c>
      <x:c r="F782" s="36" t="str">
        <x:f>FRAGEN_MASTER!Q782</x:f>
        <x:v>Was ist an der Großzügigkeit der Gemeinden in Mazedonien besonders?</x:v>
      </x:c>
      <x:c r="G782" s="36" t="str">
        <x:f>FRAGEN_MASTER!R782</x:f>
        <x:v>Sie geben nur aus großem Überfluss.</x:v>
      </x:c>
      <x:c r="H782" s="36" t="str">
        <x:f>FRAGEN_MASTER!S782</x:f>
        <x:v>Sie werden von Paulus dazu gezwungen.</x:v>
      </x:c>
      <x:c r="I782" s="36" t="str">
        <x:f>FRAGEN_MASTER!T782</x:f>
        <x:v>Sie unterstützen ausschließlich ihre eigene Gemeinde.</x:v>
      </x:c>
      <x:c r="J782" s="36" t="str">
        <x:f>FRAGEN_MASTER!U782</x:f>
        <x:v>Trotz schwerer Bedrängnis und tiefer Armut geben sie freiwillig und sogar über ihre Möglichkeiten hinaus.</x:v>
      </x:c>
      <x:c r="K782" s="36" t="n">
        <x:f>FRAGEN_MASTER!V782</x:f>
        <x:v>3</x:v>
      </x:c>
      <x:c r="L782" s="36" t="str">
        <x:f>FRAGEN_MASTER!W782</x:f>
        <x:v>Trotz schwerer Bedrängnis und tiefer Armut geben sie freiwillig und sogar über ihre Möglichkeiten hinaus.</x:v>
      </x:c>
      <x:c r="M782" s="36" t="str">
        <x:f>FRAGEN_MASTER!X782</x:f>
        <x:v>2. Korinther 8,1–5</x:v>
      </x:c>
      <x:c r="N782" s="36" t="str">
        <x:f>FRAGEN_MASTER!Y782</x:f>
        <x:v>Paulus stellt ihre überreiche Freude und freiwillige Hingabe trotz Armut als Beispiel von Gottes Gnade dar.</x:v>
      </x:c>
      <x:c r="O782" s="36" t="str">
        <x:f>FRAGEN_MASTER!AG782</x:f>
        <x:v>FREIGEGEBEN</x:v>
      </x:c>
      <x:c r="P782" s="36" t="str">
        <x:f>FRAGEN_MASTER!AI782</x:f>
        <x:v>FREIGEGEBEN</x:v>
      </x:c>
      <x:c r="Q782" s="36" t="str">
        <x:f>FRAGEN_MASTER!AL782</x:f>
        <x:v>JA</x:v>
      </x:c>
    </x:row>
    <x:row r="783">
      <x:c r="A783" s="36" t="str">
        <x:f>FRAGEN_MASTER!A783</x:f>
        <x:v>FP-1042</x:v>
      </x:c>
      <x:c r="B783" s="36" t="str">
        <x:f>FRAGEN_MASTER!B783</x:f>
        <x:v>2CO</x:v>
      </x:c>
      <x:c r="C783" s="36" t="str">
        <x:f>FRAGEN_MASTER!C783</x:f>
        <x:v>2. Korinther</x:v>
      </x:c>
      <x:c r="D783" s="36" t="n">
        <x:f>FRAGEN_MASTER!D783</x:f>
        <x:v>8</x:v>
      </x:c>
      <x:c r="E783" s="36" t="n">
        <x:f>FRAGEN_MASTER!E783</x:f>
        <x:v>2</x:v>
      </x:c>
      <x:c r="F783" s="36" t="str">
        <x:f>FRAGEN_MASTER!Q783</x:f>
        <x:v>Wie begründet Paulus großzügiges Geben mit dem Beispiel Jesu Christi?</x:v>
      </x:c>
      <x:c r="G783" s="36" t="str">
        <x:f>FRAGEN_MASTER!R783</x:f>
        <x:v>Christus wurde um ihretwillen arm, obwohl er reich war, damit sie durch seine Armut reich würden.</x:v>
      </x:c>
      <x:c r="H783" s="36" t="str">
        <x:f>FRAGEN_MASTER!S783</x:f>
        <x:v>Jesus sammelte möglichst viel persönlichen Besitz.</x:v>
      </x:c>
      <x:c r="I783" s="36" t="str">
        <x:f>FRAGEN_MASTER!T783</x:f>
        <x:v>Christus lehrte, dass Geben nur für Reiche gilt.</x:v>
      </x:c>
      <x:c r="J783" s="36" t="str">
        <x:f>FRAGEN_MASTER!U783</x:f>
        <x:v>Jesu Beispiel hat mit Großzügigkeit nichts zu tun.</x:v>
      </x:c>
      <x:c r="K783" s="36" t="n">
        <x:f>FRAGEN_MASTER!V783</x:f>
        <x:v>0</x:v>
      </x:c>
      <x:c r="L783" s="36" t="str">
        <x:f>FRAGEN_MASTER!W783</x:f>
        <x:v>Christus wurde um ihretwillen arm, obwohl er reich war, damit sie durch seine Armut reich würden.</x:v>
      </x:c>
      <x:c r="M783" s="36" t="str">
        <x:f>FRAGEN_MASTER!X783</x:f>
        <x:v>2. Korinther 8,7–9</x:v>
      </x:c>
      <x:c r="N783" s="36" t="str">
        <x:f>FRAGEN_MASTER!Y783</x:f>
        <x:v>Paulus motiviert nicht nur durch einen Befehl, sondern durch Christi selbsthingebende Gnade.</x:v>
      </x:c>
      <x:c r="O783" s="36" t="str">
        <x:f>FRAGEN_MASTER!AG783</x:f>
        <x:v>FREIGEGEBEN</x:v>
      </x:c>
      <x:c r="P783" s="36" t="str">
        <x:f>FRAGEN_MASTER!AI783</x:f>
        <x:v>FREIGEGEBEN</x:v>
      </x:c>
      <x:c r="Q783" s="36" t="str">
        <x:f>FRAGEN_MASTER!AL783</x:f>
        <x:v>JA</x:v>
      </x:c>
    </x:row>
    <x:row r="784">
      <x:c r="A784" s="36" t="str">
        <x:f>FRAGEN_MASTER!A784</x:f>
        <x:v>FP-1043</x:v>
      </x:c>
      <x:c r="B784" s="36" t="str">
        <x:f>FRAGEN_MASTER!B784</x:f>
        <x:v>2CO</x:v>
      </x:c>
      <x:c r="C784" s="36" t="str">
        <x:f>FRAGEN_MASTER!C784</x:f>
        <x:v>2. Korinther</x:v>
      </x:c>
      <x:c r="D784" s="36" t="n">
        <x:f>FRAGEN_MASTER!D784</x:f>
        <x:v>8</x:v>
      </x:c>
      <x:c r="E784" s="36" t="n">
        <x:f>FRAGEN_MASTER!E784</x:f>
        <x:v>3</x:v>
      </x:c>
      <x:c r="F784" s="36" t="str">
        <x:f>FRAGEN_MASTER!Q784</x:f>
        <x:v>Was zählt nach Paulus bei einer Gabe, wenn echte Bereitschaft vorhanden ist?</x:v>
      </x:c>
      <x:c r="G784" s="36" t="str">
        <x:f>FRAGEN_MASTER!R784</x:f>
        <x:v>Nur große Beträge sind Gott angenehm.</x:v>
      </x:c>
      <x:c r="H784" s="36" t="str">
        <x:f>FRAGEN_MASTER!S784</x:f>
        <x:v>Sie ist nach dem angenommen, was jemand hat, nicht nach dem, was er nicht hat.</x:v>
      </x:c>
      <x:c r="I784" s="36" t="str">
        <x:f>FRAGEN_MASTER!T784</x:f>
        <x:v>Jeder muss denselben Betrag geben.</x:v>
      </x:c>
      <x:c r="J784" s="36" t="str">
        <x:f>FRAGEN_MASTER!U784</x:f>
        <x:v>Bereitschaft ohne Überfluss ist wertlos.</x:v>
      </x:c>
      <x:c r="K784" s="36" t="n">
        <x:f>FRAGEN_MASTER!V784</x:f>
        <x:v>1</x:v>
      </x:c>
      <x:c r="L784" s="36" t="str">
        <x:f>FRAGEN_MASTER!W784</x:f>
        <x:v>Sie ist nach dem angenommen, was jemand hat, nicht nach dem, was er nicht hat.</x:v>
      </x:c>
      <x:c r="M784" s="36" t="str">
        <x:f>FRAGEN_MASTER!X784</x:f>
        <x:v>2. Korinther 8,10–12</x:v>
      </x:c>
      <x:c r="N784" s="36" t="str">
        <x:f>FRAGEN_MASTER!Y784</x:f>
        <x:v>Paulus verbindet die Vollendung des Vorhabens mit einer realistischen Gabe entsprechend den Möglichkeiten.</x:v>
      </x:c>
      <x:c r="O784" s="36" t="str">
        <x:f>FRAGEN_MASTER!AG784</x:f>
        <x:v>FREIGEGEBEN</x:v>
      </x:c>
      <x:c r="P784" s="36" t="str">
        <x:f>FRAGEN_MASTER!AI784</x:f>
        <x:v>FREIGEGEBEN</x:v>
      </x:c>
      <x:c r="Q784" s="36" t="str">
        <x:f>FRAGEN_MASTER!AL784</x:f>
        <x:v>JA</x:v>
      </x:c>
    </x:row>
    <x:row r="785">
      <x:c r="A785" s="36" t="str">
        <x:f>FRAGEN_MASTER!A785</x:f>
        <x:v>FP-1044</x:v>
      </x:c>
      <x:c r="B785" s="36" t="str">
        <x:f>FRAGEN_MASTER!B785</x:f>
        <x:v>2CO</x:v>
      </x:c>
      <x:c r="C785" s="36" t="str">
        <x:f>FRAGEN_MASTER!C785</x:f>
        <x:v>2. Korinther</x:v>
      </x:c>
      <x:c r="D785" s="36" t="n">
        <x:f>FRAGEN_MASTER!D785</x:f>
        <x:v>8</x:v>
      </x:c>
      <x:c r="E785" s="36" t="n">
        <x:f>FRAGEN_MASTER!E785</x:f>
        <x:v>4</x:v>
      </x:c>
      <x:c r="F785" s="36" t="str">
        <x:f>FRAGEN_MASTER!Q785</x:f>
        <x:v>Welches Ziel verfolgt Paulus mit dem Ausgleich zwischen Überfluss und Mangel?</x:v>
      </x:c>
      <x:c r="G785" s="36" t="str">
        <x:f>FRAGEN_MASTER!R785</x:f>
        <x:v>Alle Gemeinden sollen exakt gleich viel besitzen.</x:v>
      </x:c>
      <x:c r="H785" s="36" t="str">
        <x:f>FRAGEN_MASTER!S785</x:f>
        <x:v>Die Korinther sollen selbst in Not geraten.</x:v>
      </x:c>
      <x:c r="I785" s="36" t="str">
        <x:f>FRAGEN_MASTER!T785</x:f>
        <x:v>Nicht die einen zu entlasten und die anderen zu belasten, sondern einen fairen Ausgleich zu schaffen.</x:v>
      </x:c>
      <x:c r="J785" s="36" t="str">
        <x:f>FRAGEN_MASTER!U785</x:f>
        <x:v>Die Empfänger sollen nichts zurückgeben.</x:v>
      </x:c>
      <x:c r="K785" s="36" t="n">
        <x:f>FRAGEN_MASTER!V785</x:f>
        <x:v>2</x:v>
      </x:c>
      <x:c r="L785" s="36" t="str">
        <x:f>FRAGEN_MASTER!W785</x:f>
        <x:v>Nicht die einen zu entlasten und die anderen zu belasten, sondern einen fairen Ausgleich zu schaffen.</x:v>
      </x:c>
      <x:c r="M785" s="36" t="str">
        <x:f>FRAGEN_MASTER!X785</x:f>
        <x:v>2. Korinther 8,13–15</x:v>
      </x:c>
      <x:c r="N785" s="36" t="str">
        <x:f>FRAGEN_MASTER!Y785</x:f>
        <x:v>Paulus spricht von Gleichheit beziehungsweise Ausgleich, sodass gegenwärtiger Überfluss fremden Mangel deckt.</x:v>
      </x:c>
      <x:c r="O785" s="36" t="str">
        <x:f>FRAGEN_MASTER!AG785</x:f>
        <x:v>FREIGEGEBEN</x:v>
      </x:c>
      <x:c r="P785" s="36" t="str">
        <x:f>FRAGEN_MASTER!AI785</x:f>
        <x:v>FREIGEGEBEN</x:v>
      </x:c>
      <x:c r="Q785" s="36" t="str">
        <x:f>FRAGEN_MASTER!AL785</x:f>
        <x:v>JA</x:v>
      </x:c>
    </x:row>
    <x:row r="786">
      <x:c r="A786" s="36" t="str">
        <x:f>FRAGEN_MASTER!A786</x:f>
        <x:v>FP-1045</x:v>
      </x:c>
      <x:c r="B786" s="36" t="str">
        <x:f>FRAGEN_MASTER!B786</x:f>
        <x:v>2CO</x:v>
      </x:c>
      <x:c r="C786" s="36" t="str">
        <x:f>FRAGEN_MASTER!C786</x:f>
        <x:v>2. Korinther</x:v>
      </x:c>
      <x:c r="D786" s="36" t="n">
        <x:f>FRAGEN_MASTER!D786</x:f>
        <x:v>8</x:v>
      </x:c>
      <x:c r="E786" s="36" t="n">
        <x:f>FRAGEN_MASTER!E786</x:f>
        <x:v>5</x:v>
      </x:c>
      <x:c r="F786" s="36" t="str">
        <x:f>FRAGEN_MASTER!Q786</x:f>
        <x:v>Warum sendet Paulus Titus und weitere bewährte Brüder bei der Sammlung mit?</x:v>
      </x:c>
      <x:c r="G786" s="36" t="str">
        <x:f>FRAGEN_MASTER!R786</x:f>
        <x:v>Weil Paulus den Korinthern grundsätzlich misstraut.</x:v>
      </x:c>
      <x:c r="H786" s="36" t="str">
        <x:f>FRAGEN_MASTER!S786</x:f>
        <x:v>Weil nur drei Menschen Geld anfassen dürfen.</x:v>
      </x:c>
      <x:c r="I786" s="36" t="str">
        <x:f>FRAGEN_MASTER!T786</x:f>
        <x:v>Damit Titus allein über die Höhe der Gabe entscheidet.</x:v>
      </x:c>
      <x:c r="J786" s="36" t="str">
        <x:f>FRAGEN_MASTER!U786</x:f>
        <x:v>Damit die großzügige Gabe verantwortungsvoll verwaltet wird und jeder Verdacht im Umgang mit dem Geld vermieden wird.</x:v>
      </x:c>
      <x:c r="K786" s="36" t="n">
        <x:f>FRAGEN_MASTER!V786</x:f>
        <x:v>3</x:v>
      </x:c>
      <x:c r="L786" s="36" t="str">
        <x:f>FRAGEN_MASTER!W786</x:f>
        <x:v>Damit die großzügige Gabe verantwortungsvoll verwaltet wird und jeder Verdacht im Umgang mit dem Geld vermieden wird.</x:v>
      </x:c>
      <x:c r="M786" s="36" t="str">
        <x:f>FRAGEN_MASTER!X786</x:f>
        <x:v>2. Korinther 8,16–24</x:v>
      </x:c>
      <x:c r="N786" s="36" t="str">
        <x:f>FRAGEN_MASTER!Y786</x:f>
        <x:v>Paulus achtet auf Transparenz und darauf, nicht nur vor Gott, sondern auch vor Menschen ehrenhaft mit der Gabe umzugehen.</x:v>
      </x:c>
      <x:c r="O786" s="36" t="str">
        <x:f>FRAGEN_MASTER!AG786</x:f>
        <x:v>FREIGEGEBEN</x:v>
      </x:c>
      <x:c r="P786" s="36" t="str">
        <x:f>FRAGEN_MASTER!AI786</x:f>
        <x:v>FREIGEGEBEN</x:v>
      </x:c>
      <x:c r="Q786" s="36" t="str">
        <x:f>FRAGEN_MASTER!AL786</x:f>
        <x:v>JA</x:v>
      </x:c>
    </x:row>
    <x:row r="787">
      <x:c r="A787" s="36" t="str">
        <x:f>FRAGEN_MASTER!A787</x:f>
        <x:v>FP-1046</x:v>
      </x:c>
      <x:c r="B787" s="36" t="str">
        <x:f>FRAGEN_MASTER!B787</x:f>
        <x:v>2CO</x:v>
      </x:c>
      <x:c r="C787" s="36" t="str">
        <x:f>FRAGEN_MASTER!C787</x:f>
        <x:v>2. Korinther</x:v>
      </x:c>
      <x:c r="D787" s="36" t="n">
        <x:f>FRAGEN_MASTER!D787</x:f>
        <x:v>9</x:v>
      </x:c>
      <x:c r="E787" s="36" t="n">
        <x:f>FRAGEN_MASTER!E787</x:f>
        <x:v>1</x:v>
      </x:c>
      <x:c r="F787" s="36" t="str">
        <x:f>FRAGEN_MASTER!Q787</x:f>
        <x:v>Warum schickt Paulus die Brüder vor seiner eigenen Ankunft nach Korinth?</x:v>
      </x:c>
      <x:c r="G787" s="36" t="str">
        <x:f>FRAGEN_MASTER!R787</x:f>
        <x:v>Damit die angekündigte Gabe vorbereitet ist und seine Zuversicht auf ihre Bereitschaft nicht beschämt wird.</x:v>
      </x:c>
      <x:c r="H787" s="36" t="str">
        <x:f>FRAGEN_MASTER!S787</x:f>
        <x:v>Damit die Gemeinde überrascht wird.</x:v>
      </x:c>
      <x:c r="I787" s="36" t="str">
        <x:f>FRAGEN_MASTER!T787</x:f>
        <x:v>Damit niemand freiwillig geben kann.</x:v>
      </x:c>
      <x:c r="J787" s="36" t="str">
        <x:f>FRAGEN_MASTER!U787</x:f>
        <x:v>Damit Paulus selbst nichts mit der Sammlung zu tun hat.</x:v>
      </x:c>
      <x:c r="K787" s="36" t="n">
        <x:f>FRAGEN_MASTER!V787</x:f>
        <x:v>0</x:v>
      </x:c>
      <x:c r="L787" s="36" t="str">
        <x:f>FRAGEN_MASTER!W787</x:f>
        <x:v>Damit die angekündigte Gabe vorbereitet ist und seine Zuversicht auf ihre Bereitschaft nicht beschämt wird.</x:v>
      </x:c>
      <x:c r="M787" s="36" t="str">
        <x:f>FRAGEN_MASTER!X787</x:f>
        <x:v>2. Korinther 9,1–5</x:v>
      </x:c>
      <x:c r="N787" s="36" t="str">
        <x:f>FRAGEN_MASTER!Y787</x:f>
        <x:v>Die Vorbereitung soll verhindern, dass aus einer zugesagten Gabe eine erzwungene oder peinliche Situation wird.</x:v>
      </x:c>
      <x:c r="O787" s="36" t="str">
        <x:f>FRAGEN_MASTER!AG787</x:f>
        <x:v>FREIGEGEBEN</x:v>
      </x:c>
      <x:c r="P787" s="36" t="str">
        <x:f>FRAGEN_MASTER!AI787</x:f>
        <x:v>FREIGEGEBEN</x:v>
      </x:c>
      <x:c r="Q787" s="36" t="str">
        <x:f>FRAGEN_MASTER!AL787</x:f>
        <x:v>JA</x:v>
      </x:c>
    </x:row>
    <x:row r="788">
      <x:c r="A788" s="36" t="str">
        <x:f>FRAGEN_MASTER!A788</x:f>
        <x:v>FP-1047</x:v>
      </x:c>
      <x:c r="B788" s="36" t="str">
        <x:f>FRAGEN_MASTER!B788</x:f>
        <x:v>2CO</x:v>
      </x:c>
      <x:c r="C788" s="36" t="str">
        <x:f>FRAGEN_MASTER!C788</x:f>
        <x:v>2. Korinther</x:v>
      </x:c>
      <x:c r="D788" s="36" t="n">
        <x:f>FRAGEN_MASTER!D788</x:f>
        <x:v>9</x:v>
      </x:c>
      <x:c r="E788" s="36" t="n">
        <x:f>FRAGEN_MASTER!E788</x:f>
        <x:v>2</x:v>
      </x:c>
      <x:c r="F788" s="36" t="str">
        <x:f>FRAGEN_MASTER!Q788</x:f>
        <x:v>Welche Haltung soll eine Gabe nach 2. Korinther 9 haben?</x:v>
      </x:c>
      <x:c r="G788" s="36" t="str">
        <x:f>FRAGEN_MASTER!R788</x:f>
        <x:v>Jeder soll aus Angst geben.</x:v>
      </x:c>
      <x:c r="H788" s="36" t="str">
        <x:f>FRAGEN_MASTER!S788</x:f>
        <x:v>Jeder soll so geben, wie er es sich im Herzen vorgenommen hat, nicht widerwillig oder aus Zwang, denn Gott liebt einen fröhlichen Geber.</x:v>
      </x:c>
      <x:c r="I788" s="36" t="str">
        <x:f>FRAGEN_MASTER!T788</x:f>
        <x:v>Nur spontane Gaben sind erlaubt.</x:v>
      </x:c>
      <x:c r="J788" s="36" t="str">
        <x:f>FRAGEN_MASTER!U788</x:f>
        <x:v>Die Höhe der Gabe ist wichtiger als die Haltung.</x:v>
      </x:c>
      <x:c r="K788" s="36" t="n">
        <x:f>FRAGEN_MASTER!V788</x:f>
        <x:v>1</x:v>
      </x:c>
      <x:c r="L788" s="36" t="str">
        <x:f>FRAGEN_MASTER!W788</x:f>
        <x:v>Jeder soll so geben, wie er es sich im Herzen vorgenommen hat, nicht widerwillig oder aus Zwang, denn Gott liebt einen fröhlichen Geber.</x:v>
      </x:c>
      <x:c r="M788" s="36" t="str">
        <x:f>FRAGEN_MASTER!X788</x:f>
        <x:v>2. Korinther 9,6–7</x:v>
      </x:c>
      <x:c r="N788" s="36" t="str">
        <x:f>FRAGEN_MASTER!Y788</x:f>
        <x:v>Paulus verbindet Großzügigkeit mit freiwilliger, innerlich bejahter Entscheidung.</x:v>
      </x:c>
      <x:c r="O788" s="36" t="str">
        <x:f>FRAGEN_MASTER!AG788</x:f>
        <x:v>FREIGEGEBEN</x:v>
      </x:c>
      <x:c r="P788" s="36" t="str">
        <x:f>FRAGEN_MASTER!AI788</x:f>
        <x:v>FREIGEGEBEN</x:v>
      </x:c>
      <x:c r="Q788" s="36" t="str">
        <x:f>FRAGEN_MASTER!AL788</x:f>
        <x:v>JA</x:v>
      </x:c>
    </x:row>
    <x:row r="789">
      <x:c r="A789" s="36" t="str">
        <x:f>FRAGEN_MASTER!A789</x:f>
        <x:v>FP-1048</x:v>
      </x:c>
      <x:c r="B789" s="36" t="str">
        <x:f>FRAGEN_MASTER!B789</x:f>
        <x:v>2CO</x:v>
      </x:c>
      <x:c r="C789" s="36" t="str">
        <x:f>FRAGEN_MASTER!C789</x:f>
        <x:v>2. Korinther</x:v>
      </x:c>
      <x:c r="D789" s="36" t="n">
        <x:f>FRAGEN_MASTER!D789</x:f>
        <x:v>9</x:v>
      </x:c>
      <x:c r="E789" s="36" t="n">
        <x:f>FRAGEN_MASTER!E789</x:f>
        <x:v>3</x:v>
      </x:c>
      <x:c r="F789" s="36" t="str">
        <x:f>FRAGEN_MASTER!Q789</x:f>
        <x:v>Warum lässt Gott nach Paulus seine Gnade überreich werden?</x:v>
      </x:c>
      <x:c r="G789" s="36" t="str">
        <x:f>FRAGEN_MASTER!R789</x:f>
        <x:v>Damit sie möglichst viel Besitz für sich ansammeln.</x:v>
      </x:c>
      <x:c r="H789" s="36" t="str">
        <x:f>FRAGEN_MASTER!S789</x:f>
        <x:v>Damit sie nie wieder arbeiten müssen.</x:v>
      </x:c>
      <x:c r="I789" s="36" t="str">
        <x:f>FRAGEN_MASTER!T789</x:f>
        <x:v>Damit die Glaubenden genug haben und zu jedem guten Werk reich sein können.</x:v>
      </x:c>
      <x:c r="J789" s="36" t="str">
        <x:f>FRAGEN_MASTER!U789</x:f>
        <x:v>Damit nur die Gemeinde in Korinth reich wird.</x:v>
      </x:c>
      <x:c r="K789" s="36" t="n">
        <x:f>FRAGEN_MASTER!V789</x:f>
        <x:v>2</x:v>
      </x:c>
      <x:c r="L789" s="36" t="str">
        <x:f>FRAGEN_MASTER!W789</x:f>
        <x:v>Damit die Glaubenden genug haben und zu jedem guten Werk reich sein können.</x:v>
      </x:c>
      <x:c r="M789" s="36" t="str">
        <x:f>FRAGEN_MASTER!X789</x:f>
        <x:v>2. Korinther 9,8–11</x:v>
      </x:c>
      <x:c r="N789" s="36" t="str">
        <x:f>FRAGEN_MASTER!Y789</x:f>
        <x:v>Gottes Versorgung wird bei Paulus auf erneute Großzügigkeit und gute Werke ausgerichtet.</x:v>
      </x:c>
      <x:c r="O789" s="36" t="str">
        <x:f>FRAGEN_MASTER!AG789</x:f>
        <x:v>FREIGEGEBEN</x:v>
      </x:c>
      <x:c r="P789" s="36" t="str">
        <x:f>FRAGEN_MASTER!AI789</x:f>
        <x:v>FREIGEGEBEN</x:v>
      </x:c>
      <x:c r="Q789" s="36" t="str">
        <x:f>FRAGEN_MASTER!AL789</x:f>
        <x:v>JA</x:v>
      </x:c>
    </x:row>
    <x:row r="790">
      <x:c r="A790" s="36" t="str">
        <x:f>FRAGEN_MASTER!A790</x:f>
        <x:v>FP-1049</x:v>
      </x:c>
      <x:c r="B790" s="36" t="str">
        <x:f>FRAGEN_MASTER!B790</x:f>
        <x:v>2CO</x:v>
      </x:c>
      <x:c r="C790" s="36" t="str">
        <x:f>FRAGEN_MASTER!C790</x:f>
        <x:v>2. Korinther</x:v>
      </x:c>
      <x:c r="D790" s="36" t="n">
        <x:f>FRAGEN_MASTER!D790</x:f>
        <x:v>9</x:v>
      </x:c>
      <x:c r="E790" s="36" t="n">
        <x:f>FRAGEN_MASTER!E790</x:f>
        <x:v>4</x:v>
      </x:c>
      <x:c r="F790" s="36" t="str">
        <x:f>FRAGEN_MASTER!Q790</x:f>
        <x:v>Welche Wirkung hat der Dienst der Sammlung über die materielle Hilfe hinaus?</x:v>
      </x:c>
      <x:c r="G790" s="36" t="str">
        <x:f>FRAGEN_MASTER!R790</x:f>
        <x:v>Er macht Gebet überflüssig.</x:v>
      </x:c>
      <x:c r="H790" s="36" t="str">
        <x:f>FRAGEN_MASTER!S790</x:f>
        <x:v>Er führt ausschließlich zu mehr Ansehen für Paulus.</x:v>
      </x:c>
      <x:c r="I790" s="36" t="str">
        <x:f>FRAGEN_MASTER!T790</x:f>
        <x:v>Er ersetzt die Verkündigung des Evangeliums.</x:v>
      </x:c>
      <x:c r="J790" s="36" t="str">
        <x:f>FRAGEN_MASTER!U790</x:f>
        <x:v>Er führt zu Dank und Verherrlichung Gottes und vertieft die Verbundenheit zwischen den Glaubenden.</x:v>
      </x:c>
      <x:c r="K790" s="36" t="n">
        <x:f>FRAGEN_MASTER!V790</x:f>
        <x:v>3</x:v>
      </x:c>
      <x:c r="L790" s="36" t="str">
        <x:f>FRAGEN_MASTER!W790</x:f>
        <x:v>Er führt zu Dank und Verherrlichung Gottes und vertieft die Verbundenheit zwischen den Glaubenden.</x:v>
      </x:c>
      <x:c r="M790" s="36" t="str">
        <x:f>FRAGEN_MASTER!X790</x:f>
        <x:v>2. Korinther 9,12–14</x:v>
      </x:c>
      <x:c r="N790" s="36" t="str">
        <x:f>FRAGEN_MASTER!Y790</x:f>
        <x:v>Die Gabe deckt Not und erzeugt zugleich Dank, Gotteslob und Fürbitte.</x:v>
      </x:c>
      <x:c r="O790" s="36" t="str">
        <x:f>FRAGEN_MASTER!AG790</x:f>
        <x:v>FREIGEGEBEN</x:v>
      </x:c>
      <x:c r="P790" s="36" t="str">
        <x:f>FRAGEN_MASTER!AI790</x:f>
        <x:v>FREIGEGEBEN</x:v>
      </x:c>
      <x:c r="Q790" s="36" t="str">
        <x:f>FRAGEN_MASTER!AL790</x:f>
        <x:v>JA</x:v>
      </x:c>
    </x:row>
    <x:row r="791">
      <x:c r="A791" s="36" t="str">
        <x:f>FRAGEN_MASTER!A791</x:f>
        <x:v>FP-1050</x:v>
      </x:c>
      <x:c r="B791" s="36" t="str">
        <x:f>FRAGEN_MASTER!B791</x:f>
        <x:v>2CO</x:v>
      </x:c>
      <x:c r="C791" s="36" t="str">
        <x:f>FRAGEN_MASTER!C791</x:f>
        <x:v>2. Korinther</x:v>
      </x:c>
      <x:c r="D791" s="36" t="n">
        <x:f>FRAGEN_MASTER!D791</x:f>
        <x:v>9</x:v>
      </x:c>
      <x:c r="E791" s="36" t="n">
        <x:f>FRAGEN_MASTER!E791</x:f>
        <x:v>5</x:v>
      </x:c>
      <x:c r="F791" s="36" t="str">
        <x:f>FRAGEN_MASTER!Q791</x:f>
        <x:v>Womit beendet Paulus den Abschnitt über das Geben?</x:v>
      </x:c>
      <x:c r="G791" s="36" t="str">
        <x:f>FRAGEN_MASTER!R791</x:f>
        <x:v>Mit Dank an Gott für seine unaussprechliche Gabe.</x:v>
      </x:c>
      <x:c r="H791" s="36" t="str">
        <x:f>FRAGEN_MASTER!S791</x:f>
        <x:v>Mit einer genauen Mindestspende.</x:v>
      </x:c>
      <x:c r="I791" s="36" t="str">
        <x:f>FRAGEN_MASTER!T791</x:f>
        <x:v>Mit einem Verbot weiterer Sammlungen.</x:v>
      </x:c>
      <x:c r="J791" s="36" t="str">
        <x:f>FRAGEN_MASTER!U791</x:f>
        <x:v>Mit einem Dank an die römischen Behörden.</x:v>
      </x:c>
      <x:c r="K791" s="36" t="n">
        <x:f>FRAGEN_MASTER!V791</x:f>
        <x:v>0</x:v>
      </x:c>
      <x:c r="L791" s="36" t="str">
        <x:f>FRAGEN_MASTER!W791</x:f>
        <x:v>Mit Dank an Gott für seine unaussprechliche Gabe.</x:v>
      </x:c>
      <x:c r="M791" s="36" t="str">
        <x:f>FRAGEN_MASTER!X791</x:f>
        <x:v>2. Korinther 9,15</x:v>
      </x:c>
      <x:c r="N791" s="36" t="str">
        <x:f>FRAGEN_MASTER!Y791</x:f>
        <x:v>Paulus führt die Gedanken über menschliches Geben zurück zu Gottes eigener unbeschreiblicher Gabe.</x:v>
      </x:c>
      <x:c r="O791" s="36" t="str">
        <x:f>FRAGEN_MASTER!AG791</x:f>
        <x:v>FREIGEGEBEN</x:v>
      </x:c>
      <x:c r="P791" s="36" t="str">
        <x:f>FRAGEN_MASTER!AI791</x:f>
        <x:v>FREIGEGEBEN</x:v>
      </x:c>
      <x:c r="Q791" s="36" t="str">
        <x:f>FRAGEN_MASTER!AL791</x:f>
        <x:v>JA</x:v>
      </x:c>
    </x:row>
    <x:row r="792">
      <x:c r="A792" s="36" t="str">
        <x:f>FRAGEN_MASTER!A792</x:f>
        <x:v>FP-1051</x:v>
      </x:c>
      <x:c r="B792" s="36" t="str">
        <x:f>FRAGEN_MASTER!B792</x:f>
        <x:v>2CO</x:v>
      </x:c>
      <x:c r="C792" s="36" t="str">
        <x:f>FRAGEN_MASTER!C792</x:f>
        <x:v>2. Korinther</x:v>
      </x:c>
      <x:c r="D792" s="36" t="n">
        <x:f>FRAGEN_MASTER!D792</x:f>
        <x:v>10</x:v>
      </x:c>
      <x:c r="E792" s="36" t="n">
        <x:f>FRAGEN_MASTER!E792</x:f>
        <x:v>1</x:v>
      </x:c>
      <x:c r="F792" s="36" t="str">
        <x:f>FRAGEN_MASTER!Q792</x:f>
        <x:v>Wie beschreibt Paulus die Waffen seines geistlichen Kampfes?</x:v>
      </x:c>
      <x:c r="G792" s="36" t="str">
        <x:f>FRAGEN_MASTER!R792</x:f>
        <x:v>Sie bestehen vor allem aus politischer Macht.</x:v>
      </x:c>
      <x:c r="H792" s="36" t="str">
        <x:f>FRAGEN_MASTER!S792</x:f>
        <x:v>Sie sind nicht fleischlich, sondern durch Gott mächtig, Festungen und falsche Gedanken niederzureißen.</x:v>
      </x:c>
      <x:c r="I792" s="36" t="str">
        <x:f>FRAGEN_MASTER!T792</x:f>
        <x:v>Sie sind ausschließlich körperliche Waffen.</x:v>
      </x:c>
      <x:c r="J792" s="36" t="str">
        <x:f>FRAGEN_MASTER!U792</x:f>
        <x:v>Sie dienen dazu, Menschen zu zwingen.</x:v>
      </x:c>
      <x:c r="K792" s="36" t="n">
        <x:f>FRAGEN_MASTER!V792</x:f>
        <x:v>1</x:v>
      </x:c>
      <x:c r="L792" s="36" t="str">
        <x:f>FRAGEN_MASTER!W792</x:f>
        <x:v>Sie sind nicht fleischlich, sondern durch Gott mächtig, Festungen und falsche Gedanken niederzureißen.</x:v>
      </x:c>
      <x:c r="M792" s="36" t="str">
        <x:f>FRAGEN_MASTER!X792</x:f>
        <x:v>2. Korinther 10,1–6</x:v>
      </x:c>
      <x:c r="N792" s="36" t="str">
        <x:f>FRAGEN_MASTER!Y792</x:f>
        <x:v>Paulus spricht von einem geistlichen Kampf gegen Gedanken und Überhebungen, nicht von Gewalt gegen Menschen.</x:v>
      </x:c>
      <x:c r="O792" s="36" t="str">
        <x:f>FRAGEN_MASTER!AG792</x:f>
        <x:v>FREIGEGEBEN</x:v>
      </x:c>
      <x:c r="P792" s="36" t="str">
        <x:f>FRAGEN_MASTER!AI792</x:f>
        <x:v>FREIGEGEBEN</x:v>
      </x:c>
      <x:c r="Q792" s="36" t="str">
        <x:f>FRAGEN_MASTER!AL792</x:f>
        <x:v>JA</x:v>
      </x:c>
    </x:row>
    <x:row r="793">
      <x:c r="A793" s="36" t="str">
        <x:f>FRAGEN_MASTER!A793</x:f>
        <x:v>FP-1052</x:v>
      </x:c>
      <x:c r="B793" s="36" t="str">
        <x:f>FRAGEN_MASTER!B793</x:f>
        <x:v>2CO</x:v>
      </x:c>
      <x:c r="C793" s="36" t="str">
        <x:f>FRAGEN_MASTER!C793</x:f>
        <x:v>2. Korinther</x:v>
      </x:c>
      <x:c r="D793" s="36" t="n">
        <x:f>FRAGEN_MASTER!D793</x:f>
        <x:v>10</x:v>
      </x:c>
      <x:c r="E793" s="36" t="n">
        <x:f>FRAGEN_MASTER!E793</x:f>
        <x:v>2</x:v>
      </x:c>
      <x:c r="F793" s="36" t="str">
        <x:f>FRAGEN_MASTER!Q793</x:f>
        <x:v>Wie reagiert Paulus auf den Vorwurf, seine Briefe seien stark, seine persönliche Gegenwart aber schwach?</x:v>
      </x:c>
      <x:c r="G793" s="36" t="str">
        <x:f>FRAGEN_MASTER!R793</x:f>
        <x:v>Er gibt zu, dass seine Briefe nur Übertreibung sind.</x:v>
      </x:c>
      <x:c r="H793" s="36" t="str">
        <x:f>FRAGEN_MASTER!S793</x:f>
        <x:v>Er verspricht, künftig keine Briefe mehr zu schreiben.</x:v>
      </x:c>
      <x:c r="I793" s="36" t="str">
        <x:f>FRAGEN_MASTER!T793</x:f>
        <x:v>Er sagt, dass sein Handeln in Anwesenheit dem entsprechen wird, was er abwesend in Briefen sagt.</x:v>
      </x:c>
      <x:c r="J793" s="36" t="str">
        <x:f>FRAGEN_MASTER!U793</x:f>
        <x:v>Er erklärt persönliche Begegnungen für unwichtig.</x:v>
      </x:c>
      <x:c r="K793" s="36" t="n">
        <x:f>FRAGEN_MASTER!V793</x:f>
        <x:v>2</x:v>
      </x:c>
      <x:c r="L793" s="36" t="str">
        <x:f>FRAGEN_MASTER!W793</x:f>
        <x:v>Er sagt, dass sein Handeln in Anwesenheit dem entsprechen wird, was er abwesend in Briefen sagt.</x:v>
      </x:c>
      <x:c r="M793" s="36" t="str">
        <x:f>FRAGEN_MASTER!X793</x:f>
        <x:v>2. Korinther 10,7–11</x:v>
      </x:c>
      <x:c r="N793" s="36" t="str">
        <x:f>FRAGEN_MASTER!Y793</x:f>
        <x:v>Paulus weist die Vorstellung zurück, er sei nur aus der Ferne mutig.</x:v>
      </x:c>
      <x:c r="O793" s="36" t="str">
        <x:f>FRAGEN_MASTER!AG793</x:f>
        <x:v>FREIGEGEBEN</x:v>
      </x:c>
      <x:c r="P793" s="36" t="str">
        <x:f>FRAGEN_MASTER!AI793</x:f>
        <x:v>FREIGEGEBEN</x:v>
      </x:c>
      <x:c r="Q793" s="36" t="str">
        <x:f>FRAGEN_MASTER!AL793</x:f>
        <x:v>JA</x:v>
      </x:c>
    </x:row>
    <x:row r="794">
      <x:c r="A794" s="36" t="str">
        <x:f>FRAGEN_MASTER!A794</x:f>
        <x:v>FP-1053</x:v>
      </x:c>
      <x:c r="B794" s="36" t="str">
        <x:f>FRAGEN_MASTER!B794</x:f>
        <x:v>2CO</x:v>
      </x:c>
      <x:c r="C794" s="36" t="str">
        <x:f>FRAGEN_MASTER!C794</x:f>
        <x:v>2. Korinther</x:v>
      </x:c>
      <x:c r="D794" s="36" t="n">
        <x:f>FRAGEN_MASTER!D794</x:f>
        <x:v>10</x:v>
      </x:c>
      <x:c r="E794" s="36" t="n">
        <x:f>FRAGEN_MASTER!E794</x:f>
        <x:v>3</x:v>
      </x:c>
      <x:c r="F794" s="36" t="str">
        <x:f>FRAGEN_MASTER!Q794</x:f>
        <x:v>Was kritisiert Paulus an Menschen, die sich selbst miteinander vergleichen?</x:v>
      </x:c>
      <x:c r="G794" s="36" t="str">
        <x:f>FRAGEN_MASTER!R794</x:f>
        <x:v>Vergleiche sind immer hilfreich.</x:v>
      </x:c>
      <x:c r="H794" s="36" t="str">
        <x:f>FRAGEN_MASTER!S794</x:f>
        <x:v>Sie messen sich zu stark an Paulus.</x:v>
      </x:c>
      <x:c r="I794" s="36" t="str">
        <x:f>FRAGEN_MASTER!T794</x:f>
        <x:v>Nur Apostel dürfen sich vergleichen.</x:v>
      </x:c>
      <x:c r="J794" s="36" t="str">
        <x:f>FRAGEN_MASTER!U794</x:f>
        <x:v>Sie messen sich an sich selbst und zeigen damit mangelnde Einsicht.</x:v>
      </x:c>
      <x:c r="K794" s="36" t="n">
        <x:f>FRAGEN_MASTER!V794</x:f>
        <x:v>3</x:v>
      </x:c>
      <x:c r="L794" s="36" t="str">
        <x:f>FRAGEN_MASTER!W794</x:f>
        <x:v>Sie messen sich an sich selbst und zeigen damit mangelnde Einsicht.</x:v>
      </x:c>
      <x:c r="M794" s="36" t="str">
        <x:f>FRAGEN_MASTER!X794</x:f>
        <x:v>2. Korinther 10,12–13</x:v>
      </x:c>
      <x:c r="N794" s="36" t="str">
        <x:f>FRAGEN_MASTER!Y794</x:f>
        <x:v>Paulus lehnt selbstreferenzielle Maßstäbe und grenzenloses Sich-Rühmen ab.</x:v>
      </x:c>
      <x:c r="O794" s="36" t="str">
        <x:f>FRAGEN_MASTER!AG794</x:f>
        <x:v>FREIGEGEBEN</x:v>
      </x:c>
      <x:c r="P794" s="36" t="str">
        <x:f>FRAGEN_MASTER!AI794</x:f>
        <x:v>FREIGEGEBEN</x:v>
      </x:c>
      <x:c r="Q794" s="36" t="str">
        <x:f>FRAGEN_MASTER!AL794</x:f>
        <x:v>JA</x:v>
      </x:c>
    </x:row>
    <x:row r="795">
      <x:c r="A795" s="36" t="str">
        <x:f>FRAGEN_MASTER!A795</x:f>
        <x:v>FP-1054</x:v>
      </x:c>
      <x:c r="B795" s="36" t="str">
        <x:f>FRAGEN_MASTER!B795</x:f>
        <x:v>2CO</x:v>
      </x:c>
      <x:c r="C795" s="36" t="str">
        <x:f>FRAGEN_MASTER!C795</x:f>
        <x:v>2. Korinther</x:v>
      </x:c>
      <x:c r="D795" s="36" t="n">
        <x:f>FRAGEN_MASTER!D795</x:f>
        <x:v>10</x:v>
      </x:c>
      <x:c r="E795" s="36" t="n">
        <x:f>FRAGEN_MASTER!E795</x:f>
        <x:v>4</x:v>
      </x:c>
      <x:c r="F795" s="36" t="str">
        <x:f>FRAGEN_MASTER!Q795</x:f>
        <x:v>Welche Hoffnung verbindet Paulus mit dem Wachstum des Glaubens der Korinther?</x:v>
      </x:c>
      <x:c r="G795" s="36" t="str">
        <x:f>FRAGEN_MASTER!R795</x:f>
        <x:v>Dass sein Wirkungskreis sich weiter ausdehnen und das Evangelium in noch unerreichte Gebiete getragen werden kann.</x:v>
      </x:c>
      <x:c r="H795" s="36" t="str">
        <x:f>FRAGEN_MASTER!S795</x:f>
        <x:v>Dass er seinen Dienst vollständig beendet.</x:v>
      </x:c>
      <x:c r="I795" s="36" t="str">
        <x:f>FRAGEN_MASTER!T795</x:f>
        <x:v>Dass Korinth die einzige Gemeinde bleibt.</x:v>
      </x:c>
      <x:c r="J795" s="36" t="str">
        <x:f>FRAGEN_MASTER!U795</x:f>
        <x:v>Dass er sich mit der Arbeit anderer rühmen kann.</x:v>
      </x:c>
      <x:c r="K795" s="36" t="n">
        <x:f>FRAGEN_MASTER!V795</x:f>
        <x:v>0</x:v>
      </x:c>
      <x:c r="L795" s="36" t="str">
        <x:f>FRAGEN_MASTER!W795</x:f>
        <x:v>Dass sein Wirkungskreis sich weiter ausdehnen und das Evangelium in noch unerreichte Gebiete getragen werden kann.</x:v>
      </x:c>
      <x:c r="M795" s="36" t="str">
        <x:f>FRAGEN_MASTER!X795</x:f>
        <x:v>2. Korinther 10,15–16</x:v>
      </x:c>
      <x:c r="N795" s="36" t="str">
        <x:f>FRAGEN_MASTER!Y795</x:f>
        <x:v>Paulus will nicht fremde Arbeit beanspruchen, sondern von einer gestärkten Gemeinde aus weiterverkündigen.</x:v>
      </x:c>
      <x:c r="O795" s="36" t="str">
        <x:f>FRAGEN_MASTER!AG795</x:f>
        <x:v>FREIGEGEBEN</x:v>
      </x:c>
      <x:c r="P795" s="36" t="str">
        <x:f>FRAGEN_MASTER!AI795</x:f>
        <x:v>FREIGEGEBEN</x:v>
      </x:c>
      <x:c r="Q795" s="36" t="str">
        <x:f>FRAGEN_MASTER!AL795</x:f>
        <x:v>JA</x:v>
      </x:c>
    </x:row>
    <x:row r="796">
      <x:c r="A796" s="36" t="str">
        <x:f>FRAGEN_MASTER!A796</x:f>
        <x:v>FP-1055</x:v>
      </x:c>
      <x:c r="B796" s="36" t="str">
        <x:f>FRAGEN_MASTER!B796</x:f>
        <x:v>2CO</x:v>
      </x:c>
      <x:c r="C796" s="36" t="str">
        <x:f>FRAGEN_MASTER!C796</x:f>
        <x:v>2. Korinther</x:v>
      </x:c>
      <x:c r="D796" s="36" t="n">
        <x:f>FRAGEN_MASTER!D796</x:f>
        <x:v>10</x:v>
      </x:c>
      <x:c r="E796" s="36" t="n">
        <x:f>FRAGEN_MASTER!E796</x:f>
        <x:v>5</x:v>
      </x:c>
      <x:c r="F796" s="36" t="str">
        <x:f>FRAGEN_MASTER!Q796</x:f>
        <x:v>Welches Rühmen gilt nach Paulus als richtig?</x:v>
      </x:c>
      <x:c r="G796" s="36" t="str">
        <x:f>FRAGEN_MASTER!R796</x:f>
        <x:v>Wer sich selbst am stärksten empfiehlt, ist anerkannt.</x:v>
      </x:c>
      <x:c r="H796" s="36" t="str">
        <x:f>FRAGEN_MASTER!S796</x:f>
        <x:v>Wer sich rühmt, soll sich des Herrn rühmen; entscheidend ist, wen der Herr empfiehlt.</x:v>
      </x:c>
      <x:c r="I796" s="36" t="str">
        <x:f>FRAGEN_MASTER!T796</x:f>
        <x:v>Rühmen ist grundsätzlich immer falsch.</x:v>
      </x:c>
      <x:c r="J796" s="36" t="str">
        <x:f>FRAGEN_MASTER!U796</x:f>
        <x:v>Nur apostolische Titel geben Anerkennung.</x:v>
      </x:c>
      <x:c r="K796" s="36" t="n">
        <x:f>FRAGEN_MASTER!V796</x:f>
        <x:v>1</x:v>
      </x:c>
      <x:c r="L796" s="36" t="str">
        <x:f>FRAGEN_MASTER!W796</x:f>
        <x:v>Wer sich rühmt, soll sich des Herrn rühmen; entscheidend ist, wen der Herr empfiehlt.</x:v>
      </x:c>
      <x:c r="M796" s="36" t="str">
        <x:f>FRAGEN_MASTER!X796</x:f>
        <x:v>2. Korinther 10,17–18</x:v>
      </x:c>
      <x:c r="N796" s="36" t="str">
        <x:f>FRAGEN_MASTER!Y796</x:f>
        <x:v>Paulus ersetzt Selbstempfehlung durch Gottes Urteil als entscheidenden Maßstab.</x:v>
      </x:c>
      <x:c r="O796" s="36" t="str">
        <x:f>FRAGEN_MASTER!AG796</x:f>
        <x:v>FREIGEGEBEN</x:v>
      </x:c>
      <x:c r="P796" s="36" t="str">
        <x:f>FRAGEN_MASTER!AI796</x:f>
        <x:v>FREIGEGEBEN</x:v>
      </x:c>
      <x:c r="Q796" s="36" t="str">
        <x:f>FRAGEN_MASTER!AL796</x:f>
        <x:v>JA</x:v>
      </x:c>
    </x:row>
    <x:row r="797">
      <x:c r="A797" s="36" t="str">
        <x:f>FRAGEN_MASTER!A797</x:f>
        <x:v>FP-1056</x:v>
      </x:c>
      <x:c r="B797" s="36" t="str">
        <x:f>FRAGEN_MASTER!B797</x:f>
        <x:v>2CO</x:v>
      </x:c>
      <x:c r="C797" s="36" t="str">
        <x:f>FRAGEN_MASTER!C797</x:f>
        <x:v>2. Korinther</x:v>
      </x:c>
      <x:c r="D797" s="36" t="n">
        <x:f>FRAGEN_MASTER!D797</x:f>
        <x:v>11</x:v>
      </x:c>
      <x:c r="E797" s="36" t="n">
        <x:f>FRAGEN_MASTER!E797</x:f>
        <x:v>1</x:v>
      </x:c>
      <x:c r="F797" s="36" t="str">
        <x:f>FRAGEN_MASTER!Q797</x:f>
        <x:v>Wovor fürchtet Paulus sich im Blick auf die Korinther?</x:v>
      </x:c>
      <x:c r="G797" s="36" t="str">
        <x:f>FRAGEN_MASTER!R797</x:f>
        <x:v>Dass sie zu viele Briefe lesen.</x:v>
      </x:c>
      <x:c r="H797" s="36" t="str">
        <x:f>FRAGEN_MASTER!S797</x:f>
        <x:v>Dass sie Paulus zu stark unterstützen.</x:v>
      </x:c>
      <x:c r="I797" s="36" t="str">
        <x:f>FRAGEN_MASTER!T797</x:f>
        <x:v>Dass sie von schlichter Hingabe an Christus weggeführt werden und einen anderen Jesus oder ein anderes Evangelium annehmen.</x:v>
      </x:c>
      <x:c r="J797" s="36" t="str">
        <x:f>FRAGEN_MASTER!U797</x:f>
        <x:v>Dass sie nach Jerusalem reisen.</x:v>
      </x:c>
      <x:c r="K797" s="36" t="n">
        <x:f>FRAGEN_MASTER!V797</x:f>
        <x:v>2</x:v>
      </x:c>
      <x:c r="L797" s="36" t="str">
        <x:f>FRAGEN_MASTER!W797</x:f>
        <x:v>Dass sie von schlichter Hingabe an Christus weggeführt werden und einen anderen Jesus oder ein anderes Evangelium annehmen.</x:v>
      </x:c>
      <x:c r="M797" s="36" t="str">
        <x:f>FRAGEN_MASTER!X797</x:f>
        <x:v>2. Korinther 11,1–4</x:v>
      </x:c>
      <x:c r="N797" s="36" t="str">
        <x:f>FRAGEN_MASTER!Y797</x:f>
        <x:v>Paulus beschreibt geistliche Eifersucht und warnt vor einer Verführung weg vom echten Christus.</x:v>
      </x:c>
      <x:c r="O797" s="36" t="str">
        <x:f>FRAGEN_MASTER!AG797</x:f>
        <x:v>FREIGEGEBEN</x:v>
      </x:c>
      <x:c r="P797" s="36" t="str">
        <x:f>FRAGEN_MASTER!AI797</x:f>
        <x:v>FREIGEGEBEN</x:v>
      </x:c>
      <x:c r="Q797" s="36" t="str">
        <x:f>FRAGEN_MASTER!AL797</x:f>
        <x:v>JA</x:v>
      </x:c>
    </x:row>
    <x:row r="798">
      <x:c r="A798" s="36" t="str">
        <x:f>FRAGEN_MASTER!A798</x:f>
        <x:v>FP-1057</x:v>
      </x:c>
      <x:c r="B798" s="36" t="str">
        <x:f>FRAGEN_MASTER!B798</x:f>
        <x:v>2CO</x:v>
      </x:c>
      <x:c r="C798" s="36" t="str">
        <x:f>FRAGEN_MASTER!C798</x:f>
        <x:v>2. Korinther</x:v>
      </x:c>
      <x:c r="D798" s="36" t="n">
        <x:f>FRAGEN_MASTER!D798</x:f>
        <x:v>11</x:v>
      </x:c>
      <x:c r="E798" s="36" t="n">
        <x:f>FRAGEN_MASTER!E798</x:f>
        <x:v>2</x:v>
      </x:c>
      <x:c r="F798" s="36" t="str">
        <x:f>FRAGEN_MASTER!Q798</x:f>
        <x:v>Warum verkündete Paulus den Korinthern das Evangelium ohne Bezahlung von ihnen?</x:v>
      </x:c>
      <x:c r="G798" s="36" t="str">
        <x:f>FRAGEN_MASTER!R798</x:f>
        <x:v>Weil christlicher Dienst niemals unterstützt werden darf.</x:v>
      </x:c>
      <x:c r="H798" s="36" t="str">
        <x:f>FRAGEN_MASTER!S798</x:f>
        <x:v>Weil Korinth keine wohlhabenden Menschen hatte.</x:v>
      </x:c>
      <x:c r="I798" s="36" t="str">
        <x:f>FRAGEN_MASTER!T798</x:f>
        <x:v>Weil er jede finanzielle Unterstützung ablehnte.</x:v>
      </x:c>
      <x:c r="J798" s="36" t="str">
        <x:f>FRAGEN_MASTER!U798</x:f>
        <x:v>Er wollte ihnen nicht zur Last fallen und wurde dafür von anderen Gemeinden unterstützt.</x:v>
      </x:c>
      <x:c r="K798" s="36" t="n">
        <x:f>FRAGEN_MASTER!V798</x:f>
        <x:v>3</x:v>
      </x:c>
      <x:c r="L798" s="36" t="str">
        <x:f>FRAGEN_MASTER!W798</x:f>
        <x:v>Er wollte ihnen nicht zur Last fallen und wurde dafür von anderen Gemeinden unterstützt.</x:v>
      </x:c>
      <x:c r="M798" s="36" t="str">
        <x:f>FRAGEN_MASTER!X798</x:f>
        <x:v>2. Korinther 11,7–9</x:v>
      </x:c>
      <x:c r="N798" s="36" t="str">
        <x:f>FRAGEN_MASTER!Y798</x:f>
        <x:v>Paulus verzichtete in Korinth bewusst auf Unterstützung, obwohl er Hilfe aus anderen Gemeinden erhielt.</x:v>
      </x:c>
      <x:c r="O798" s="36" t="str">
        <x:f>FRAGEN_MASTER!AG798</x:f>
        <x:v>FREIGEGEBEN</x:v>
      </x:c>
      <x:c r="P798" s="36" t="str">
        <x:f>FRAGEN_MASTER!AI798</x:f>
        <x:v>FREIGEGEBEN</x:v>
      </x:c>
      <x:c r="Q798" s="36" t="str">
        <x:f>FRAGEN_MASTER!AL798</x:f>
        <x:v>JA</x:v>
      </x:c>
    </x:row>
    <x:row r="799">
      <x:c r="A799" s="36" t="str">
        <x:f>FRAGEN_MASTER!A799</x:f>
        <x:v>FP-1058</x:v>
      </x:c>
      <x:c r="B799" s="36" t="str">
        <x:f>FRAGEN_MASTER!B799</x:f>
        <x:v>2CO</x:v>
      </x:c>
      <x:c r="C799" s="36" t="str">
        <x:f>FRAGEN_MASTER!C799</x:f>
        <x:v>2. Korinther</x:v>
      </x:c>
      <x:c r="D799" s="36" t="n">
        <x:f>FRAGEN_MASTER!D799</x:f>
        <x:v>11</x:v>
      </x:c>
      <x:c r="E799" s="36" t="n">
        <x:f>FRAGEN_MASTER!E799</x:f>
        <x:v>3</x:v>
      </x:c>
      <x:c r="F799" s="36" t="str">
        <x:f>FRAGEN_MASTER!Q799</x:f>
        <x:v>Warum sind falsche Apostel nach Paulus nicht immer leicht zu erkennen?</x:v>
      </x:c>
      <x:c r="G799" s="36" t="str">
        <x:f>FRAGEN_MASTER!R799</x:f>
        <x:v>Sie können sich als Apostel Christi ausgeben, so wie Satan sich als Engel des Lichts verstellt.</x:v>
      </x:c>
      <x:c r="H799" s="36" t="str">
        <x:f>FRAGEN_MASTER!S799</x:f>
        <x:v>Sie sagen immer offen, dass sie täuschen.</x:v>
      </x:c>
      <x:c r="I799" s="36" t="str">
        <x:f>FRAGEN_MASTER!T799</x:f>
        <x:v>Sie besitzen niemals religiöse Sprache.</x:v>
      </x:c>
      <x:c r="J799" s="36" t="str">
        <x:f>FRAGEN_MASTER!U799</x:f>
        <x:v>Sie wirken ausschließlich außerhalb von Gemeinden.</x:v>
      </x:c>
      <x:c r="K799" s="36" t="n">
        <x:f>FRAGEN_MASTER!V799</x:f>
        <x:v>0</x:v>
      </x:c>
      <x:c r="L799" s="36" t="str">
        <x:f>FRAGEN_MASTER!W799</x:f>
        <x:v>Sie können sich als Apostel Christi ausgeben, so wie Satan sich als Engel des Lichts verstellt.</x:v>
      </x:c>
      <x:c r="M799" s="36" t="str">
        <x:f>FRAGEN_MASTER!X799</x:f>
        <x:v>2. Korinther 11,13–15</x:v>
      </x:c>
      <x:c r="N799" s="36" t="str">
        <x:f>FRAGEN_MASTER!Y799</x:f>
        <x:v>Paulus warnt davor, äußeren Schein mit geistlicher Echtheit gleichzusetzen.</x:v>
      </x:c>
      <x:c r="O799" s="36" t="str">
        <x:f>FRAGEN_MASTER!AG799</x:f>
        <x:v>FREIGEGEBEN</x:v>
      </x:c>
      <x:c r="P799" s="36" t="str">
        <x:f>FRAGEN_MASTER!AI799</x:f>
        <x:v>FREIGEGEBEN</x:v>
      </x:c>
      <x:c r="Q799" s="36" t="str">
        <x:f>FRAGEN_MASTER!AL799</x:f>
        <x:v>JA</x:v>
      </x:c>
    </x:row>
    <x:row r="800">
      <x:c r="A800" s="36" t="str">
        <x:f>FRAGEN_MASTER!A800</x:f>
        <x:v>FP-1059</x:v>
      </x:c>
      <x:c r="B800" s="36" t="str">
        <x:f>FRAGEN_MASTER!B800</x:f>
        <x:v>2CO</x:v>
      </x:c>
      <x:c r="C800" s="36" t="str">
        <x:f>FRAGEN_MASTER!C800</x:f>
        <x:v>2. Korinther</x:v>
      </x:c>
      <x:c r="D800" s="36" t="n">
        <x:f>FRAGEN_MASTER!D800</x:f>
        <x:v>11</x:v>
      </x:c>
      <x:c r="E800" s="36" t="n">
        <x:f>FRAGEN_MASTER!E800</x:f>
        <x:v>4</x:v>
      </x:c>
      <x:c r="F800" s="36" t="str">
        <x:f>FRAGEN_MASTER!Q800</x:f>
        <x:v>Womit begründet Paulus sein ungewöhnliches „Rühmen“ gegenüber den falschen Ansprüchen anderer?</x:v>
      </x:c>
      <x:c r="G800" s="36" t="str">
        <x:f>FRAGEN_MASTER!R800</x:f>
        <x:v>Mit Reichtum, Ansehen und politischer Macht.</x:v>
      </x:c>
      <x:c r="H800" s="36" t="str">
        <x:f>FRAGEN_MASTER!S800</x:f>
        <x:v>Mit einer langen Liste von Leiden, Gefahren, Arbeit und Sorge um die Gemeinden.</x:v>
      </x:c>
      <x:c r="I800" s="36" t="str">
        <x:f>FRAGEN_MASTER!T800</x:f>
        <x:v>Mit seinem römischen Bürgerrecht allein.</x:v>
      </x:c>
      <x:c r="J800" s="36" t="str">
        <x:f>FRAGEN_MASTER!U800</x:f>
        <x:v>Mit der Zahl seiner Bücher.</x:v>
      </x:c>
      <x:c r="K800" s="36" t="n">
        <x:f>FRAGEN_MASTER!V800</x:f>
        <x:v>1</x:v>
      </x:c>
      <x:c r="L800" s="36" t="str">
        <x:f>FRAGEN_MASTER!W800</x:f>
        <x:v>Mit einer langen Liste von Leiden, Gefahren, Arbeit und Sorge um die Gemeinden.</x:v>
      </x:c>
      <x:c r="M800" s="36" t="str">
        <x:f>FRAGEN_MASTER!X800</x:f>
        <x:v>2. Korinther 11,23–28</x:v>
      </x:c>
      <x:c r="N800" s="36" t="str">
        <x:f>FRAGEN_MASTER!Y800</x:f>
        <x:v>Paulus' apostolische „Bilanz“ besteht paradoxerweise vor allem aus Leiden und hingebungsvollem Dienst.</x:v>
      </x:c>
      <x:c r="O800" s="36" t="str">
        <x:f>FRAGEN_MASTER!AG800</x:f>
        <x:v>FREIGEGEBEN</x:v>
      </x:c>
      <x:c r="P800" s="36" t="str">
        <x:f>FRAGEN_MASTER!AI800</x:f>
        <x:v>FREIGEGEBEN</x:v>
      </x:c>
      <x:c r="Q800" s="36" t="str">
        <x:f>FRAGEN_MASTER!AL800</x:f>
        <x:v>JA</x:v>
      </x:c>
    </x:row>
    <x:row r="801">
      <x:c r="A801" s="36" t="str">
        <x:f>FRAGEN_MASTER!A801</x:f>
        <x:v>FP-1060</x:v>
      </x:c>
      <x:c r="B801" s="36" t="str">
        <x:f>FRAGEN_MASTER!B801</x:f>
        <x:v>2CO</x:v>
      </x:c>
      <x:c r="C801" s="36" t="str">
        <x:f>FRAGEN_MASTER!C801</x:f>
        <x:v>2. Korinther</x:v>
      </x:c>
      <x:c r="D801" s="36" t="n">
        <x:f>FRAGEN_MASTER!D801</x:f>
        <x:v>11</x:v>
      </x:c>
      <x:c r="E801" s="36" t="n">
        <x:f>FRAGEN_MASTER!E801</x:f>
        <x:v>5</x:v>
      </x:c>
      <x:c r="F801" s="36" t="str">
        <x:f>FRAGEN_MASTER!Q801</x:f>
        <x:v>Wessen will Paulus sich rühmen, wenn er überhaupt rühmen muss?</x:v>
      </x:c>
      <x:c r="G801" s="36" t="str">
        <x:f>FRAGEN_MASTER!R801</x:f>
        <x:v>Seiner größten Erfolge und Titel.</x:v>
      </x:c>
      <x:c r="H801" s="36" t="str">
        <x:f>FRAGEN_MASTER!S801</x:f>
        <x:v>Seiner gesellschaftlichen Herkunft.</x:v>
      </x:c>
      <x:c r="I801" s="36" t="str">
        <x:f>FRAGEN_MASTER!T801</x:f>
        <x:v>Der Dinge, die seine Schwachheit zeigen.</x:v>
      </x:c>
      <x:c r="J801" s="36" t="str">
        <x:f>FRAGEN_MASTER!U801</x:f>
        <x:v>Seines Einflusses bei Statthaltern.</x:v>
      </x:c>
      <x:c r="K801" s="36" t="n">
        <x:f>FRAGEN_MASTER!V801</x:f>
        <x:v>2</x:v>
      </x:c>
      <x:c r="L801" s="36" t="str">
        <x:f>FRAGEN_MASTER!W801</x:f>
        <x:v>Der Dinge, die seine Schwachheit zeigen.</x:v>
      </x:c>
      <x:c r="M801" s="36" t="str">
        <x:f>FRAGEN_MASTER!X801</x:f>
        <x:v>2. Korinther 11,30–33</x:v>
      </x:c>
      <x:c r="N801" s="36" t="str">
        <x:f>FRAGEN_MASTER!Y801</x:f>
        <x:v>Paulus schließt den Abschnitt mit einem Beispiel eigener Schwäche und Abhängigkeit statt heroischer Selbstdarstellung.</x:v>
      </x:c>
      <x:c r="O801" s="36" t="str">
        <x:f>FRAGEN_MASTER!AG801</x:f>
        <x:v>FREIGEGEBEN</x:v>
      </x:c>
      <x:c r="P801" s="36" t="str">
        <x:f>FRAGEN_MASTER!AI801</x:f>
        <x:v>FREIGEGEBEN</x:v>
      </x:c>
      <x:c r="Q801" s="36" t="str">
        <x:f>FRAGEN_MASTER!AL801</x:f>
        <x:v>JA</x:v>
      </x:c>
    </x:row>
    <x:row r="802">
      <x:c r="A802" s="36" t="str">
        <x:f>FRAGEN_MASTER!A802</x:f>
        <x:v>FP-1061</x:v>
      </x:c>
      <x:c r="B802" s="36" t="str">
        <x:f>FRAGEN_MASTER!B802</x:f>
        <x:v>2CO</x:v>
      </x:c>
      <x:c r="C802" s="36" t="str">
        <x:f>FRAGEN_MASTER!C802</x:f>
        <x:v>2. Korinther</x:v>
      </x:c>
      <x:c r="D802" s="36" t="n">
        <x:f>FRAGEN_MASTER!D802</x:f>
        <x:v>12</x:v>
      </x:c>
      <x:c r="E802" s="36" t="n">
        <x:f>FRAGEN_MASTER!E802</x:f>
        <x:v>1</x:v>
      </x:c>
      <x:c r="F802" s="36" t="str">
        <x:f>FRAGEN_MASTER!Q802</x:f>
        <x:v>Warum erzählt Paulus nur zurückhaltend von außergewöhnlichen Visionen und Offenbarungen?</x:v>
      </x:c>
      <x:c r="G802" s="36" t="str">
        <x:f>FRAGEN_MASTER!R802</x:f>
        <x:v>Er bestreitet, je eine Offenbarung erlebt zu haben.</x:v>
      </x:c>
      <x:c r="H802" s="36" t="str">
        <x:f>FRAGEN_MASTER!S802</x:f>
        <x:v>Er hält Visionen grundsätzlich für falsch.</x:v>
      </x:c>
      <x:c r="I802" s="36" t="str">
        <x:f>FRAGEN_MASTER!T802</x:f>
        <x:v>Er will damit beweisen, dass andere Menschen keine Offenbarungen bekommen können.</x:v>
      </x:c>
      <x:c r="J802" s="36" t="str">
        <x:f>FRAGEN_MASTER!U802</x:f>
        <x:v>Er will sich nicht über das hinaus rühmen, was Menschen tatsächlich an ihm sehen und hören können.</x:v>
      </x:c>
      <x:c r="K802" s="36" t="n">
        <x:f>FRAGEN_MASTER!V802</x:f>
        <x:v>3</x:v>
      </x:c>
      <x:c r="L802" s="36" t="str">
        <x:f>FRAGEN_MASTER!W802</x:f>
        <x:v>Er will sich nicht über das hinaus rühmen, was Menschen tatsächlich an ihm sehen und hören können.</x:v>
      </x:c>
      <x:c r="M802" s="36" t="str">
        <x:f>FRAGEN_MASTER!X802</x:f>
        <x:v>2. Korinther 12,1–5</x:v>
      </x:c>
      <x:c r="N802" s="36" t="str">
        <x:f>FRAGEN_MASTER!Y802</x:f>
        <x:v>Paulus berichtet von außergewöhnlicher Erfahrung, setzt aber bewusst Grenzen für das eigene Rühmen.</x:v>
      </x:c>
      <x:c r="O802" s="36" t="str">
        <x:f>FRAGEN_MASTER!AG802</x:f>
        <x:v>FREIGEGEBEN</x:v>
      </x:c>
      <x:c r="P802" s="36" t="str">
        <x:f>FRAGEN_MASTER!AI802</x:f>
        <x:v>FREIGEGEBEN</x:v>
      </x:c>
      <x:c r="Q802" s="36" t="str">
        <x:f>FRAGEN_MASTER!AL802</x:f>
        <x:v>JA</x:v>
      </x:c>
    </x:row>
    <x:row r="803">
      <x:c r="A803" s="36" t="str">
        <x:f>FRAGEN_MASTER!A803</x:f>
        <x:v>FP-1062</x:v>
      </x:c>
      <x:c r="B803" s="36" t="str">
        <x:f>FRAGEN_MASTER!B803</x:f>
        <x:v>2CO</x:v>
      </x:c>
      <x:c r="C803" s="36" t="str">
        <x:f>FRAGEN_MASTER!C803</x:f>
        <x:v>2. Korinther</x:v>
      </x:c>
      <x:c r="D803" s="36" t="n">
        <x:f>FRAGEN_MASTER!D803</x:f>
        <x:v>12</x:v>
      </x:c>
      <x:c r="E803" s="36" t="n">
        <x:f>FRAGEN_MASTER!E803</x:f>
        <x:v>2</x:v>
      </x:c>
      <x:c r="F803" s="36" t="str">
        <x:f>FRAGEN_MASTER!Q803</x:f>
        <x:v>Welche Antwort erhält Paulus auf seine dreifache Bitte wegen des „Dorns im Fleisch“?</x:v>
      </x:c>
      <x:c r="G803" s="36" t="str">
        <x:f>FRAGEN_MASTER!R803</x:f>
        <x:v>Gottes Gnade genügt ihm, denn Gottes Kraft wird in Schwachheit vollendet.</x:v>
      </x:c>
      <x:c r="H803" s="36" t="str">
        <x:f>FRAGEN_MASTER!S803</x:f>
        <x:v>Der Dorn wird sofort entfernt.</x:v>
      </x:c>
      <x:c r="I803" s="36" t="str">
        <x:f>FRAGEN_MASTER!T803</x:f>
        <x:v>Er müsse nur stärker glauben.</x:v>
      </x:c>
      <x:c r="J803" s="36" t="str">
        <x:f>FRAGEN_MASTER!U803</x:f>
        <x:v>Er solle den Dienst beenden.</x:v>
      </x:c>
      <x:c r="K803" s="36" t="n">
        <x:f>FRAGEN_MASTER!V803</x:f>
        <x:v>0</x:v>
      </x:c>
      <x:c r="L803" s="36" t="str">
        <x:f>FRAGEN_MASTER!W803</x:f>
        <x:v>Gottes Gnade genügt ihm, denn Gottes Kraft wird in Schwachheit vollendet.</x:v>
      </x:c>
      <x:c r="M803" s="36" t="str">
        <x:f>FRAGEN_MASTER!X803</x:f>
        <x:v>2. Korinther 12,7–10</x:v>
      </x:c>
      <x:c r="N803" s="36" t="str">
        <x:f>FRAGEN_MASTER!Y803</x:f>
        <x:v>Die Antwort verschiebt den Fokus von der Beseitigung der Schwachheit auf die genügende Gnade und Kraft Christi.</x:v>
      </x:c>
      <x:c r="O803" s="36" t="str">
        <x:f>FRAGEN_MASTER!AG803</x:f>
        <x:v>FREIGEGEBEN</x:v>
      </x:c>
      <x:c r="P803" s="36" t="str">
        <x:f>FRAGEN_MASTER!AI803</x:f>
        <x:v>FREIGEGEBEN</x:v>
      </x:c>
      <x:c r="Q803" s="36" t="str">
        <x:f>FRAGEN_MASTER!AL803</x:f>
        <x:v>JA</x:v>
      </x:c>
    </x:row>
    <x:row r="804">
      <x:c r="A804" s="36" t="str">
        <x:f>FRAGEN_MASTER!A804</x:f>
        <x:v>FP-1063</x:v>
      </x:c>
      <x:c r="B804" s="36" t="str">
        <x:f>FRAGEN_MASTER!B804</x:f>
        <x:v>2CO</x:v>
      </x:c>
      <x:c r="C804" s="36" t="str">
        <x:f>FRAGEN_MASTER!C804</x:f>
        <x:v>2. Korinther</x:v>
      </x:c>
      <x:c r="D804" s="36" t="n">
        <x:f>FRAGEN_MASTER!D804</x:f>
        <x:v>12</x:v>
      </x:c>
      <x:c r="E804" s="36" t="n">
        <x:f>FRAGEN_MASTER!E804</x:f>
        <x:v>3</x:v>
      </x:c>
      <x:c r="F804" s="36" t="str">
        <x:f>FRAGEN_MASTER!Q804</x:f>
        <x:v>Woran erinnert Paulus die Korinther, um seinen apostolischen Dienst zu verteidigen?</x:v>
      </x:c>
      <x:c r="G804" s="36" t="str">
        <x:f>FRAGEN_MASTER!R804</x:f>
        <x:v>Er habe den größten Besitz aller Apostel.</x:v>
      </x:c>
      <x:c r="H804" s="36" t="str">
        <x:f>FRAGEN_MASTER!S804</x:f>
        <x:v>Zeichen, Wunder und Machttaten wurden unter ihnen mit großer Ausdauer gewirkt.</x:v>
      </x:c>
      <x:c r="I804" s="36" t="str">
        <x:f>FRAGEN_MASTER!T804</x:f>
        <x:v>Er habe als Einziger in Korinth getauft.</x:v>
      </x:c>
      <x:c r="J804" s="36" t="str">
        <x:f>FRAGEN_MASTER!U804</x:f>
        <x:v>Er sei von keinem Menschen kritisiert worden.</x:v>
      </x:c>
      <x:c r="K804" s="36" t="n">
        <x:f>FRAGEN_MASTER!V804</x:f>
        <x:v>1</x:v>
      </x:c>
      <x:c r="L804" s="36" t="str">
        <x:f>FRAGEN_MASTER!W804</x:f>
        <x:v>Zeichen, Wunder und Machttaten wurden unter ihnen mit großer Ausdauer gewirkt.</x:v>
      </x:c>
      <x:c r="M804" s="36" t="str">
        <x:f>FRAGEN_MASTER!X804</x:f>
        <x:v>2. Korinther 12,11–13</x:v>
      </x:c>
      <x:c r="N804" s="36" t="str">
        <x:f>FRAGEN_MASTER!Y804</x:f>
        <x:v>Paulus verweist auf Zeichen eines Apostels, betont aber zugleich seine eigene Nichtigkeit.</x:v>
      </x:c>
      <x:c r="O804" s="36" t="str">
        <x:f>FRAGEN_MASTER!AG804</x:f>
        <x:v>FREIGEGEBEN</x:v>
      </x:c>
      <x:c r="P804" s="36" t="str">
        <x:f>FRAGEN_MASTER!AI804</x:f>
        <x:v>FREIGEGEBEN</x:v>
      </x:c>
      <x:c r="Q804" s="36" t="str">
        <x:f>FRAGEN_MASTER!AL804</x:f>
        <x:v>JA</x:v>
      </x:c>
    </x:row>
    <x:row r="805">
      <x:c r="A805" s="36" t="str">
        <x:f>FRAGEN_MASTER!A805</x:f>
        <x:v>FP-1064</x:v>
      </x:c>
      <x:c r="B805" s="36" t="str">
        <x:f>FRAGEN_MASTER!B805</x:f>
        <x:v>2CO</x:v>
      </x:c>
      <x:c r="C805" s="36" t="str">
        <x:f>FRAGEN_MASTER!C805</x:f>
        <x:v>2. Korinther</x:v>
      </x:c>
      <x:c r="D805" s="36" t="n">
        <x:f>FRAGEN_MASTER!D805</x:f>
        <x:v>12</x:v>
      </x:c>
      <x:c r="E805" s="36" t="n">
        <x:f>FRAGEN_MASTER!E805</x:f>
        <x:v>4</x:v>
      </x:c>
      <x:c r="F805" s="36" t="str">
        <x:f>FRAGEN_MASTER!Q805</x:f>
        <x:v>Warum will Paulus bei seinem dritten Besuch den Korinthern nicht zur Last fallen?</x:v>
      </x:c>
      <x:c r="G805" s="36" t="str">
        <x:f>FRAGEN_MASTER!R805</x:f>
        <x:v>Er will überhaupt keine Beziehung mehr zu ihnen.</x:v>
      </x:c>
      <x:c r="H805" s="36" t="str">
        <x:f>FRAGEN_MASTER!S805</x:f>
        <x:v>Er hält jede Unterstützung von Gemeinden für falsch.</x:v>
      </x:c>
      <x:c r="I805" s="36" t="str">
        <x:f>FRAGEN_MASTER!T805</x:f>
        <x:v>Er sucht nicht ihren Besitz, sondern sie selbst, und vergleicht seine Verantwortung mit Eltern, die für Kinder sorgen.</x:v>
      </x:c>
      <x:c r="J805" s="36" t="str">
        <x:f>FRAGEN_MASTER!U805</x:f>
        <x:v>Er möchte nur von anderen Aposteln versorgt werden.</x:v>
      </x:c>
      <x:c r="K805" s="36" t="n">
        <x:f>FRAGEN_MASTER!V805</x:f>
        <x:v>2</x:v>
      </x:c>
      <x:c r="L805" s="36" t="str">
        <x:f>FRAGEN_MASTER!W805</x:f>
        <x:v>Er sucht nicht ihren Besitz, sondern sie selbst, und vergleicht seine Verantwortung mit Eltern, die für Kinder sorgen.</x:v>
      </x:c>
      <x:c r="M805" s="36" t="str">
        <x:f>FRAGEN_MASTER!X805</x:f>
        <x:v>2. Korinther 12,14–15</x:v>
      </x:c>
      <x:c r="N805" s="36" t="str">
        <x:f>FRAGEN_MASTER!Y805</x:f>
        <x:v>Paulus beschreibt seine Motivation als persönliche Hingabe an die Gemeinde, nicht als Suche nach ihrem Besitz.</x:v>
      </x:c>
      <x:c r="O805" s="36" t="str">
        <x:f>FRAGEN_MASTER!AG805</x:f>
        <x:v>FREIGEGEBEN</x:v>
      </x:c>
      <x:c r="P805" s="36" t="str">
        <x:f>FRAGEN_MASTER!AI805</x:f>
        <x:v>FREIGEGEBEN</x:v>
      </x:c>
      <x:c r="Q805" s="36" t="str">
        <x:f>FRAGEN_MASTER!AL805</x:f>
        <x:v>JA</x:v>
      </x:c>
    </x:row>
    <x:row r="806">
      <x:c r="A806" s="36" t="str">
        <x:f>FRAGEN_MASTER!A806</x:f>
        <x:v>FP-1065</x:v>
      </x:c>
      <x:c r="B806" s="36" t="str">
        <x:f>FRAGEN_MASTER!B806</x:f>
        <x:v>2CO</x:v>
      </x:c>
      <x:c r="C806" s="36" t="str">
        <x:f>FRAGEN_MASTER!C806</x:f>
        <x:v>2. Korinther</x:v>
      </x:c>
      <x:c r="D806" s="36" t="n">
        <x:f>FRAGEN_MASTER!D806</x:f>
        <x:v>12</x:v>
      </x:c>
      <x:c r="E806" s="36" t="n">
        <x:f>FRAGEN_MASTER!E806</x:f>
        <x:v>5</x:v>
      </x:c>
      <x:c r="F806" s="36" t="str">
        <x:f>FRAGEN_MASTER!Q806</x:f>
        <x:v>Was befürchtet Paulus bei seinem nächsten Besuch in Korinth?</x:v>
      </x:c>
      <x:c r="G806" s="36" t="str">
        <x:f>FRAGEN_MASTER!R806</x:f>
        <x:v>Dass die Gemeinde zu friedlich geworden ist.</x:v>
      </x:c>
      <x:c r="H806" s="36" t="str">
        <x:f>FRAGEN_MASTER!S806</x:f>
        <x:v>Dass niemand mehr Gottesdienst feiert, obwohl alle Konflikte geklärt sind.</x:v>
      </x:c>
      <x:c r="I806" s="36" t="str">
        <x:f>FRAGEN_MASTER!T806</x:f>
        <x:v>Dass Titus dort zum Apostel gewählt wurde.</x:v>
      </x:c>
      <x:c r="J806" s="36" t="str">
        <x:f>FRAGEN_MASTER!U806</x:f>
        <x:v>Streit, Eifersucht und andere ungeklärte Sünden könnten noch bestehen und ihn tief beschämen.</x:v>
      </x:c>
      <x:c r="K806" s="36" t="n">
        <x:f>FRAGEN_MASTER!V806</x:f>
        <x:v>3</x:v>
      </x:c>
      <x:c r="L806" s="36" t="str">
        <x:f>FRAGEN_MASTER!W806</x:f>
        <x:v>Streit, Eifersucht und andere ungeklärte Sünden könnten noch bestehen und ihn tief beschämen.</x:v>
      </x:c>
      <x:c r="M806" s="36" t="str">
        <x:f>FRAGEN_MASTER!X806</x:f>
        <x:v>2. Korinther 12,19–21</x:v>
      </x:c>
      <x:c r="N806" s="36" t="str">
        <x:f>FRAGEN_MASTER!Y806</x:f>
        <x:v>Paulus' Verteidigung seines Dienstes dient der Erbauung; zugleich fürchtet er, ungelöste Sünden und Konflikte vorzufinden.</x:v>
      </x:c>
      <x:c r="O806" s="36" t="str">
        <x:f>FRAGEN_MASTER!AG806</x:f>
        <x:v>FREIGEGEBEN</x:v>
      </x:c>
      <x:c r="P806" s="36" t="str">
        <x:f>FRAGEN_MASTER!AI806</x:f>
        <x:v>FREIGEGEBEN</x:v>
      </x:c>
      <x:c r="Q806" s="36" t="str">
        <x:f>FRAGEN_MASTER!AL806</x:f>
        <x:v>JA</x:v>
      </x:c>
    </x:row>
    <x:row r="807">
      <x:c r="A807" s="36" t="str">
        <x:f>FRAGEN_MASTER!A807</x:f>
        <x:v>FP-1066</x:v>
      </x:c>
      <x:c r="B807" s="36" t="str">
        <x:f>FRAGEN_MASTER!B807</x:f>
        <x:v>2CO</x:v>
      </x:c>
      <x:c r="C807" s="36" t="str">
        <x:f>FRAGEN_MASTER!C807</x:f>
        <x:v>2. Korinther</x:v>
      </x:c>
      <x:c r="D807" s="36" t="n">
        <x:f>FRAGEN_MASTER!D807</x:f>
        <x:v>13</x:v>
      </x:c>
      <x:c r="E807" s="36" t="n">
        <x:f>FRAGEN_MASTER!E807</x:f>
        <x:v>1</x:v>
      </x:c>
      <x:c r="F807" s="36" t="str">
        <x:f>FRAGEN_MASTER!Q807</x:f>
        <x:v>Welchen Grundsatz nennt Paulus für die Behandlung von Anschuldigungen bei seinem dritten Besuch?</x:v>
      </x:c>
      <x:c r="G807" s="36" t="str">
        <x:f>FRAGEN_MASTER!R807</x:f>
        <x:v>Eine Sache soll durch die Aussage von zwei oder drei Zeugen bestätigt werden.</x:v>
      </x:c>
      <x:c r="H807" s="36" t="str">
        <x:f>FRAGEN_MASTER!S807</x:f>
        <x:v>Eine einzige Behauptung genügt immer.</x:v>
      </x:c>
      <x:c r="I807" s="36" t="str">
        <x:f>FRAGEN_MASTER!T807</x:f>
        <x:v>Nur Paulus darf über Tatsachen entscheiden.</x:v>
      </x:c>
      <x:c r="J807" s="36" t="str">
        <x:f>FRAGEN_MASTER!U807</x:f>
        <x:v>Zeugen spielen in der Gemeinde keine Rolle.</x:v>
      </x:c>
      <x:c r="K807" s="36" t="n">
        <x:f>FRAGEN_MASTER!V807</x:f>
        <x:v>0</x:v>
      </x:c>
      <x:c r="L807" s="36" t="str">
        <x:f>FRAGEN_MASTER!W807</x:f>
        <x:v>Eine Sache soll durch die Aussage von zwei oder drei Zeugen bestätigt werden.</x:v>
      </x:c>
      <x:c r="M807" s="36" t="str">
        <x:f>FRAGEN_MASTER!X807</x:f>
        <x:v>2. Korinther 13,1–4</x:v>
      </x:c>
      <x:c r="N807" s="36" t="str">
        <x:f>FRAGEN_MASTER!Y807</x:f>
        <x:v>Paulus greift den biblischen Zeugen-Grundsatz auf und verbindet ihn mit der angekündigten Konsequenz bei seinem Besuch.</x:v>
      </x:c>
      <x:c r="O807" s="36" t="str">
        <x:f>FRAGEN_MASTER!AG807</x:f>
        <x:v>FREIGEGEBEN</x:v>
      </x:c>
      <x:c r="P807" s="36" t="str">
        <x:f>FRAGEN_MASTER!AI807</x:f>
        <x:v>FREIGEGEBEN</x:v>
      </x:c>
      <x:c r="Q807" s="36" t="str">
        <x:f>FRAGEN_MASTER!AL807</x:f>
        <x:v>JA</x:v>
      </x:c>
    </x:row>
    <x:row r="808">
      <x:c r="A808" s="36" t="str">
        <x:f>FRAGEN_MASTER!A808</x:f>
        <x:v>FP-1067</x:v>
      </x:c>
      <x:c r="B808" s="36" t="str">
        <x:f>FRAGEN_MASTER!B808</x:f>
        <x:v>2CO</x:v>
      </x:c>
      <x:c r="C808" s="36" t="str">
        <x:f>FRAGEN_MASTER!C808</x:f>
        <x:v>2. Korinther</x:v>
      </x:c>
      <x:c r="D808" s="36" t="n">
        <x:f>FRAGEN_MASTER!D808</x:f>
        <x:v>13</x:v>
      </x:c>
      <x:c r="E808" s="36" t="n">
        <x:f>FRAGEN_MASTER!E808</x:f>
        <x:v>2</x:v>
      </x:c>
      <x:c r="F808" s="36" t="str">
        <x:f>FRAGEN_MASTER!Q808</x:f>
        <x:v>Wozu fordert Paulus die Korinther ausdrücklich auf?</x:v>
      </x:c>
      <x:c r="G808" s="36" t="str">
        <x:f>FRAGEN_MASTER!R808</x:f>
        <x:v>Sie sollen zuerst alle anderen prüfen.</x:v>
      </x:c>
      <x:c r="H808" s="36" t="str">
        <x:f>FRAGEN_MASTER!S808</x:f>
        <x:v>Sie sollen sich selbst prüfen, ob sie im Glauben sind und ob Jesus Christus in ihnen ist.</x:v>
      </x:c>
      <x:c r="I808" s="36" t="str">
        <x:f>FRAGEN_MASTER!T808</x:f>
        <x:v>Sie sollen ihre eigene geistliche Lage niemals hinterfragen.</x:v>
      </x:c>
      <x:c r="J808" s="36" t="str">
        <x:f>FRAGEN_MASTER!U808</x:f>
        <x:v>Sie sollen Paulus als einzigen Maßstab nehmen.</x:v>
      </x:c>
      <x:c r="K808" s="36" t="n">
        <x:f>FRAGEN_MASTER!V808</x:f>
        <x:v>1</x:v>
      </x:c>
      <x:c r="L808" s="36" t="str">
        <x:f>FRAGEN_MASTER!W808</x:f>
        <x:v>Sie sollen sich selbst prüfen, ob sie im Glauben sind und ob Jesus Christus in ihnen ist.</x:v>
      </x:c>
      <x:c r="M808" s="36" t="str">
        <x:f>FRAGEN_MASTER!X808</x:f>
        <x:v>2. Korinther 13,5</x:v>
      </x:c>
      <x:c r="N808" s="36" t="str">
        <x:f>FRAGEN_MASTER!Y808</x:f>
        <x:v>Paulus lenkt die Prüfung weg von seiner Person auf die Selbstprüfung der Gemeinde.</x:v>
      </x:c>
      <x:c r="O808" s="36" t="str">
        <x:f>FRAGEN_MASTER!AG808</x:f>
        <x:v>FREIGEGEBEN</x:v>
      </x:c>
      <x:c r="P808" s="36" t="str">
        <x:f>FRAGEN_MASTER!AI808</x:f>
        <x:v>FREIGEGEBEN</x:v>
      </x:c>
      <x:c r="Q808" s="36" t="str">
        <x:f>FRAGEN_MASTER!AL808</x:f>
        <x:v>JA</x:v>
      </x:c>
    </x:row>
    <x:row r="809">
      <x:c r="A809" s="36" t="str">
        <x:f>FRAGEN_MASTER!A809</x:f>
        <x:v>FP-1068</x:v>
      </x:c>
      <x:c r="B809" s="36" t="str">
        <x:f>FRAGEN_MASTER!B809</x:f>
        <x:v>2CO</x:v>
      </x:c>
      <x:c r="C809" s="36" t="str">
        <x:f>FRAGEN_MASTER!C809</x:f>
        <x:v>2. Korinther</x:v>
      </x:c>
      <x:c r="D809" s="36" t="n">
        <x:f>FRAGEN_MASTER!D809</x:f>
        <x:v>13</x:v>
      </x:c>
      <x:c r="E809" s="36" t="n">
        <x:f>FRAGEN_MASTER!E809</x:f>
        <x:v>3</x:v>
      </x:c>
      <x:c r="F809" s="36" t="str">
        <x:f>FRAGEN_MASTER!Q809</x:f>
        <x:v>Wozu gebraucht Paulus nach eigener Aussage die ihm gegebene Autorität?</x:v>
      </x:c>
      <x:c r="G809" s="36" t="str">
        <x:f>FRAGEN_MASTER!R809</x:f>
        <x:v>Zur persönlichen Machtdemonstration.</x:v>
      </x:c>
      <x:c r="H809" s="36" t="str">
        <x:f>FRAGEN_MASTER!S809</x:f>
        <x:v>Um jede Kritik zu verhindern.</x:v>
      </x:c>
      <x:c r="I809" s="36" t="str">
        <x:f>FRAGEN_MASTER!T809</x:f>
        <x:v>Zur Erbauung und nicht zur Zerstörung der Gemeinde.</x:v>
      </x:c>
      <x:c r="J809" s="36" t="str">
        <x:f>FRAGEN_MASTER!U809</x:f>
        <x:v>Um die Gemeinde finanziell zu kontrollieren.</x:v>
      </x:c>
      <x:c r="K809" s="36" t="n">
        <x:f>FRAGEN_MASTER!V809</x:f>
        <x:v>2</x:v>
      </x:c>
      <x:c r="L809" s="36" t="str">
        <x:f>FRAGEN_MASTER!W809</x:f>
        <x:v>Zur Erbauung und nicht zur Zerstörung der Gemeinde.</x:v>
      </x:c>
      <x:c r="M809" s="36" t="str">
        <x:f>FRAGEN_MASTER!X809</x:f>
        <x:v>2. Korinther 13,7–10</x:v>
      </x:c>
      <x:c r="N809" s="36" t="str">
        <x:f>FRAGEN_MASTER!Y809</x:f>
        <x:v>Paulus wünscht sich, dass strenge Maßnahmen unnötig werden, und beschreibt Autorität als Werkzeug zum Aufbau.</x:v>
      </x:c>
      <x:c r="O809" s="36" t="str">
        <x:f>FRAGEN_MASTER!AG809</x:f>
        <x:v>FREIGEGEBEN</x:v>
      </x:c>
      <x:c r="P809" s="36" t="str">
        <x:f>FRAGEN_MASTER!AI809</x:f>
        <x:v>FREIGEGEBEN</x:v>
      </x:c>
      <x:c r="Q809" s="36" t="str">
        <x:f>FRAGEN_MASTER!AL809</x:f>
        <x:v>JA</x:v>
      </x:c>
    </x:row>
    <x:row r="810">
      <x:c r="A810" s="36" t="str">
        <x:f>FRAGEN_MASTER!A810</x:f>
        <x:v>FP-1069</x:v>
      </x:c>
      <x:c r="B810" s="36" t="str">
        <x:f>FRAGEN_MASTER!B810</x:f>
        <x:v>2CO</x:v>
      </x:c>
      <x:c r="C810" s="36" t="str">
        <x:f>FRAGEN_MASTER!C810</x:f>
        <x:v>2. Korinther</x:v>
      </x:c>
      <x:c r="D810" s="36" t="n">
        <x:f>FRAGEN_MASTER!D810</x:f>
        <x:v>13</x:v>
      </x:c>
      <x:c r="E810" s="36" t="n">
        <x:f>FRAGEN_MASTER!E810</x:f>
        <x:v>4</x:v>
      </x:c>
      <x:c r="F810" s="36" t="str">
        <x:f>FRAGEN_MASTER!Q810</x:f>
        <x:v>Welche abschließenden Aufforderungen gibt Paulus der Gemeinde?</x:v>
      </x:c>
      <x:c r="G810" s="36" t="str">
        <x:f>FRAGEN_MASTER!R810</x:f>
        <x:v>Jede Verbindung zu anderen Gemeinden abzubrechen.</x:v>
      </x:c>
      <x:c r="H810" s="36" t="str">
        <x:f>FRAGEN_MASTER!S810</x:f>
        <x:v>Nur noch schriftlich miteinander zu sprechen.</x:v>
      </x:c>
      <x:c r="I810" s="36" t="str">
        <x:f>FRAGEN_MASTER!T810</x:f>
        <x:v>Alle unterschiedlichen Meinungen öffentlich auszutragen.</x:v>
      </x:c>
      <x:c r="J810" s="36" t="str">
        <x:f>FRAGEN_MASTER!U810</x:f>
        <x:v>Sich zu freuen, nach Wiederherstellung zu streben, sich ermutigen zu lassen, eines Sinnes zu sein und in Frieden zu leben.</x:v>
      </x:c>
      <x:c r="K810" s="36" t="n">
        <x:f>FRAGEN_MASTER!V810</x:f>
        <x:v>3</x:v>
      </x:c>
      <x:c r="L810" s="36" t="str">
        <x:f>FRAGEN_MASTER!W810</x:f>
        <x:v>Sich zu freuen, nach Wiederherstellung zu streben, sich ermutigen zu lassen, eines Sinnes zu sein und in Frieden zu leben.</x:v>
      </x:c>
      <x:c r="M810" s="36" t="str">
        <x:f>FRAGEN_MASTER!X810</x:f>
        <x:v>2. Korinther 13,11</x:v>
      </x:c>
      <x:c r="N810" s="36" t="str">
        <x:f>FRAGEN_MASTER!Y810</x:f>
        <x:v>Paulus beendet den Brief mit einem Bündel von Aufforderungen zu Reife, Trost, Einheit und Frieden.</x:v>
      </x:c>
      <x:c r="O810" s="36" t="str">
        <x:f>FRAGEN_MASTER!AG810</x:f>
        <x:v>FREIGEGEBEN</x:v>
      </x:c>
      <x:c r="P810" s="36" t="str">
        <x:f>FRAGEN_MASTER!AI810</x:f>
        <x:v>FREIGEGEBEN</x:v>
      </x:c>
      <x:c r="Q810" s="36" t="str">
        <x:f>FRAGEN_MASTER!AL810</x:f>
        <x:v>JA</x:v>
      </x:c>
    </x:row>
    <x:row r="811">
      <x:c r="A811" s="36" t="str">
        <x:f>FRAGEN_MASTER!A811</x:f>
        <x:v>FP-1070</x:v>
      </x:c>
      <x:c r="B811" s="36" t="str">
        <x:f>FRAGEN_MASTER!B811</x:f>
        <x:v>2CO</x:v>
      </x:c>
      <x:c r="C811" s="36" t="str">
        <x:f>FRAGEN_MASTER!C811</x:f>
        <x:v>2. Korinther</x:v>
      </x:c>
      <x:c r="D811" s="36" t="n">
        <x:f>FRAGEN_MASTER!D811</x:f>
        <x:v>13</x:v>
      </x:c>
      <x:c r="E811" s="36" t="n">
        <x:f>FRAGEN_MASTER!E811</x:f>
        <x:v>5</x:v>
      </x:c>
      <x:c r="F811" s="36" t="str">
        <x:f>FRAGEN_MASTER!Q811</x:f>
        <x:v>Welche gemeinschaftliche Geste nennt Paulus in den Schlussgrüßen?</x:v>
      </x:c>
      <x:c r="G811" s="36" t="str">
        <x:f>FRAGEN_MASTER!R811</x:f>
        <x:v>Die Glaubenden sollen einander mit einem heiligen Kuss grüßen, und alle Heiligen senden Grüße.</x:v>
      </x:c>
      <x:c r="H811" s="36" t="str">
        <x:f>FRAGEN_MASTER!S811</x:f>
        <x:v>Jeder soll schweigend den Raum verlassen.</x:v>
      </x:c>
      <x:c r="I811" s="36" t="str">
        <x:f>FRAGEN_MASTER!T811</x:f>
        <x:v>Nur die Leiter dürfen einander grüßen.</x:v>
      </x:c>
      <x:c r="J811" s="36" t="str">
        <x:f>FRAGEN_MASTER!U811</x:f>
        <x:v>Die Gemeinde soll keine Grüße an andere Christen senden.</x:v>
      </x:c>
      <x:c r="K811" s="36" t="n">
        <x:f>FRAGEN_MASTER!V811</x:f>
        <x:v>0</x:v>
      </x:c>
      <x:c r="L811" s="36" t="str">
        <x:f>FRAGEN_MASTER!W811</x:f>
        <x:v>Die Glaubenden sollen einander mit einem heiligen Kuss grüßen, und alle Heiligen senden Grüße.</x:v>
      </x:c>
      <x:c r="M811" s="36" t="str">
        <x:f>FRAGEN_MASTER!X811</x:f>
        <x:v>2. Korinther 13,12–13</x:v>
      </x:c>
      <x:c r="N811" s="36" t="str">
        <x:f>FRAGEN_MASTER!Y811</x:f>
        <x:v>Der Brief endet mit einem konkreten Zeichen geschwisterlicher Gemeinschaft und Grüßen der weiteren Glaubensgemeinschaft.</x:v>
      </x:c>
      <x:c r="O811" s="36" t="str">
        <x:f>FRAGEN_MASTER!AG811</x:f>
        <x:v>FREIGEGEBEN</x:v>
      </x:c>
      <x:c r="P811" s="36" t="str">
        <x:f>FRAGEN_MASTER!AI811</x:f>
        <x:v>FREIGEGEBEN</x:v>
      </x:c>
      <x:c r="Q811" s="36" t="str">
        <x:f>FRAGEN_MASTER!AL811</x:f>
        <x:v>JA</x:v>
      </x:c>
    </x:row>
    <x:row r="812">
      <x:c r="A812" s="36" t="str">
        <x:v>FP-1071</x:v>
      </x:c>
      <x:c r="B812" s="36" t="str">
        <x:v>GAL</x:v>
      </x:c>
      <x:c r="C812" s="36" t="str">
        <x:v>Galater</x:v>
      </x:c>
      <x:c r="D812" s="36" t="n">
        <x:v>1</x:v>
      </x:c>
      <x:c r="E812" s="36" t="n">
        <x:v>1</x:v>
      </x:c>
      <x:c r="F812" s="36" t="str">
        <x:v>Worüber wundert sich Paulus zu Beginn des Galaterbriefs?</x:v>
      </x:c>
      <x:c r="G812" s="36" t="str">
        <x:v>Dass die Gemeinden sich so schnell einem anderen Evangelium zuwenden.</x:v>
      </x:c>
      <x:c r="H812" s="36" t="str">
        <x:v>Dass die Gemeinden keine Apostel nach Jerusalem schicken.</x:v>
      </x:c>
      <x:c r="I812" s="36" t="str">
        <x:v>Dass die Gemeinden das Passahfest nicht gemeinsam feiern.</x:v>
      </x:c>
      <x:c r="J812" s="36" t="str">
        <x:v>Dass die Gemeinden keine neuen Synagogen bauen.</x:v>
      </x:c>
      <x:c r="K812" s="36" t="n">
        <x:v>0</x:v>
      </x:c>
      <x:c r="L812" s="36" t="str">
        <x:v>Dass die Gemeinden sich so schnell einem anderen Evangelium zuwenden.</x:v>
      </x:c>
      <x:c r="M812" s="36" t="str">
        <x:v>Galater 1,6–9</x:v>
      </x:c>
      <x:c r="N812" s="36" t="str">
        <x:v>Paulus reagiert scharf darauf, dass sich die Galater von der Gnade Christi abwenden und einer veränderten Botschaft folgen. Für ihn gibt es kein gleichwertiges „anderes Evangelium“.</x:v>
      </x:c>
      <x:c r="O812" s="36" t="str">
        <x:v>FREIGEGEBEN</x:v>
      </x:c>
      <x:c r="P812" s="36" t="str">
        <x:v>FREIGEGEBEN</x:v>
      </x:c>
      <x:c r="Q812" s="36" t="str">
        <x:v>JA</x:v>
      </x:c>
    </x:row>
    <x:row r="813">
      <x:c r="A813" s="36" t="str">
        <x:v>FP-1072</x:v>
      </x:c>
      <x:c r="B813" s="36" t="str">
        <x:v>GAL</x:v>
      </x:c>
      <x:c r="C813" s="36" t="str">
        <x:v>Galater</x:v>
      </x:c>
      <x:c r="D813" s="36" t="n">
        <x:v>1</x:v>
      </x:c>
      <x:c r="E813" s="36" t="n">
        <x:v>2</x:v>
      </x:c>
      <x:c r="F813" s="36" t="str">
        <x:v>Woher stammt das Evangelium, das Paulus nach eigener Aussage verkündigt?</x:v>
      </x:c>
      <x:c r="G813" s="36" t="str">
        <x:v>Von den Aposteln in Jerusalem.</x:v>
      </x:c>
      <x:c r="H813" s="36" t="str">
        <x:v>Aus einer Offenbarung Jesu Christi.</x:v>
      </x:c>
      <x:c r="I813" s="36" t="str">
        <x:v>Aus den Überlieferungen seiner Vorfahren.</x:v>
      </x:c>
      <x:c r="J813" s="36" t="str">
        <x:v>Von den Gemeinden in Judäa.</x:v>
      </x:c>
      <x:c r="K813" s="36" t="n">
        <x:v>1</x:v>
      </x:c>
      <x:c r="L813" s="36" t="str">
        <x:v>Aus einer Offenbarung Jesu Christi.</x:v>
      </x:c>
      <x:c r="M813" s="36" t="str">
        <x:v>Galater 1,11–12</x:v>
      </x:c>
      <x:c r="N813" s="36" t="str">
        <x:v>Paulus betont, dass seine Botschaft nicht menschlichen Ursprungs ist und nicht von Menschen gelehrt wurde, sondern durch die Offenbarung Jesu Christi kam.</x:v>
      </x:c>
      <x:c r="O813" s="36" t="str">
        <x:v>FREIGEGEBEN</x:v>
      </x:c>
      <x:c r="P813" s="36" t="str">
        <x:v>FREIGEGEBEN</x:v>
      </x:c>
      <x:c r="Q813" s="36" t="str">
        <x:v>JA</x:v>
      </x:c>
    </x:row>
    <x:row r="814">
      <x:c r="A814" s="36" t="str">
        <x:v>FP-1073</x:v>
      </x:c>
      <x:c r="B814" s="36" t="str">
        <x:v>GAL</x:v>
      </x:c>
      <x:c r="C814" s="36" t="str">
        <x:v>Galater</x:v>
      </x:c>
      <x:c r="D814" s="36" t="n">
        <x:v>1</x:v>
      </x:c>
      <x:c r="E814" s="36" t="n">
        <x:v>3</x:v>
      </x:c>
      <x:c r="F814" s="36" t="str">
        <x:v>Warum kann Paulus nach Galater 1 nicht einfach danach streben, Menschen zu gefallen?</x:v>
      </x:c>
      <x:c r="G814" s="36" t="str">
        <x:v>Weil er sonst Jerusalem verlassen müsste.</x:v>
      </x:c>
      <x:c r="H814" s="36" t="str">
        <x:v>Weil er dann das Gesetz nicht mehr kennen würde.</x:v>
      </x:c>
      <x:c r="I814" s="36" t="str">
        <x:v>Weil er dann kein Diener Christi wäre.</x:v>
      </x:c>
      <x:c r="J814" s="36" t="str">
        <x:v>Weil er dann nicht mehr zu den Heiden reisen dürfte.</x:v>
      </x:c>
      <x:c r="K814" s="36" t="n">
        <x:v>2</x:v>
      </x:c>
      <x:c r="L814" s="36" t="str">
        <x:v>Weil er dann kein Diener Christi wäre.</x:v>
      </x:c>
      <x:c r="M814" s="36" t="str">
        <x:v>Galater 1,10</x:v>
      </x:c>
      <x:c r="N814" s="36" t="str">
        <x:v>Paulus stellt den Dienst für Christus dem Streben nach menschlicher Zustimmung gegenüber. Seine Loyalität soll nicht von Anerkennung durch Menschen abhängen.</x:v>
      </x:c>
      <x:c r="O814" s="36" t="str">
        <x:v>FREIGEGEBEN</x:v>
      </x:c>
      <x:c r="P814" s="36" t="str">
        <x:v>FREIGEGEBEN</x:v>
      </x:c>
      <x:c r="Q814" s="36" t="str">
        <x:v>JA</x:v>
      </x:c>
    </x:row>
    <x:row r="815">
      <x:c r="A815" s="36" t="str">
        <x:v>FP-1074</x:v>
      </x:c>
      <x:c r="B815" s="36" t="str">
        <x:v>GAL</x:v>
      </x:c>
      <x:c r="C815" s="36" t="str">
        <x:v>Galater</x:v>
      </x:c>
      <x:c r="D815" s="36" t="n">
        <x:v>1</x:v>
      </x:c>
      <x:c r="E815" s="36" t="n">
        <x:v>4</x:v>
      </x:c>
      <x:c r="F815" s="36" t="str">
        <x:v>Welche Veränderung an Paulus führte dazu, dass die Gemeinden in Judäa Gott priesen?</x:v>
      </x:c>
      <x:c r="G815" s="36" t="str">
        <x:v>Paulus wurde Hohepriester in Jerusalem.</x:v>
      </x:c>
      <x:c r="H815" s="36" t="str">
        <x:v>Paulus hörte vollständig auf, unter den Heiden zu predigen.</x:v>
      </x:c>
      <x:c r="I815" s="36" t="str">
        <x:v>Paulus gründete in Judäa eine neue politische Bewegung.</x:v>
      </x:c>
      <x:c r="J815" s="36" t="str">
        <x:v>Der frühere Verfolger verkündigte nun den Glauben, den er zuvor zerstören wollte.</x:v>
      </x:c>
      <x:c r="K815" s="36" t="n">
        <x:v>3</x:v>
      </x:c>
      <x:c r="L815" s="36" t="str">
        <x:v>Der frühere Verfolger verkündigte nun den Glauben, den er zuvor zerstören wollte.</x:v>
      </x:c>
      <x:c r="M815" s="36" t="str">
        <x:v>Galater 1,22–24</x:v>
      </x:c>
      <x:c r="N815" s="36" t="str">
        <x:v>Die Gemeinden kannten Paulus zunächst nicht persönlich, hörten aber von seiner radikalen Umkehr: Aus dem Verfolger war ein Verkündiger des Glaubens geworden.</x:v>
      </x:c>
      <x:c r="O815" s="36" t="str">
        <x:v>FREIGEGEBEN</x:v>
      </x:c>
      <x:c r="P815" s="36" t="str">
        <x:v>FREIGEGEBEN</x:v>
      </x:c>
      <x:c r="Q815" s="36" t="str">
        <x:v>JA</x:v>
      </x:c>
    </x:row>
    <x:row r="816">
      <x:c r="A816" s="36" t="str">
        <x:v>FP-1075</x:v>
      </x:c>
      <x:c r="B816" s="36" t="str">
        <x:v>GAL</x:v>
      </x:c>
      <x:c r="C816" s="36" t="str">
        <x:v>Galater</x:v>
      </x:c>
      <x:c r="D816" s="36" t="n">
        <x:v>1</x:v>
      </x:c>
      <x:c r="E816" s="36" t="n">
        <x:v>5</x:v>
      </x:c>
      <x:c r="F816" s="36" t="str">
        <x:v>Wen traf Paulus bei seinem ersten beschriebenen Besuch in Jerusalem?</x:v>
      </x:c>
      <x:c r="G816" s="36" t="str">
        <x:v>Petrus/Kephas und Jakobus, den Bruder des Herrn.</x:v>
      </x:c>
      <x:c r="H816" s="36" t="str">
        <x:v>Nur Johannes und Barnabas.</x:v>
      </x:c>
      <x:c r="I816" s="36" t="str">
        <x:v>Alle zwölf Apostel gemeinsam.</x:v>
      </x:c>
      <x:c r="J816" s="36" t="str">
        <x:v>Titus und Timotheus.</x:v>
      </x:c>
      <x:c r="K816" s="36" t="n">
        <x:v>0</x:v>
      </x:c>
      <x:c r="L816" s="36" t="str">
        <x:v>Petrus/Kephas und Jakobus, den Bruder des Herrn.</x:v>
      </x:c>
      <x:c r="M816" s="36" t="str">
        <x:v>Galater 1,18–19</x:v>
      </x:c>
      <x:c r="N816" s="36" t="str">
        <x:v>Drei Jahre später ging Paulus nach Jerusalem, blieb fünfzehn Tage bei Petrus/Kephas und sah von den anderen Aposteln nur Jakobus, den Bruder des Herrn.</x:v>
      </x:c>
      <x:c r="O816" s="36" t="str">
        <x:v>FREIGEGEBEN</x:v>
      </x:c>
      <x:c r="P816" s="36" t="str">
        <x:v>FREIGEGEBEN</x:v>
      </x:c>
      <x:c r="Q816" s="36" t="str">
        <x:v>JA</x:v>
      </x:c>
    </x:row>
    <x:row r="817">
      <x:c r="A817" s="36" t="str">
        <x:v>FP-1076</x:v>
      </x:c>
      <x:c r="B817" s="36" t="str">
        <x:v>GAL</x:v>
      </x:c>
      <x:c r="C817" s="36" t="str">
        <x:v>Galater</x:v>
      </x:c>
      <x:c r="D817" s="36" t="n">
        <x:v>2</x:v>
      </x:c>
      <x:c r="E817" s="36" t="n">
        <x:v>1</x:v>
      </x:c>
      <x:c r="F817" s="36" t="str">
        <x:v>Was geschah mit Titus bei Paulus' Besuch in Jerusalem?</x:v>
      </x:c>
      <x:c r="G817" s="36" t="str">
        <x:v>Er wurde zum Apostel für die Juden eingesetzt.</x:v>
      </x:c>
      <x:c r="H817" s="36" t="str">
        <x:v>Er wurde trotz seiner griechischen Herkunft nicht zur Beschneidung gezwungen.</x:v>
      </x:c>
      <x:c r="I817" s="36" t="str">
        <x:v>Er verließ Paulus und schloss sich Petrus an.</x:v>
      </x:c>
      <x:c r="J817" s="36" t="str">
        <x:v>Er wurde beauftragt, ausschließlich in Judäa zu bleiben.</x:v>
      </x:c>
      <x:c r="K817" s="36" t="n">
        <x:v>1</x:v>
      </x:c>
      <x:c r="L817" s="36" t="str">
        <x:v>Er wurde trotz seiner griechischen Herkunft nicht zur Beschneidung gezwungen.</x:v>
      </x:c>
      <x:c r="M817" s="36" t="str">
        <x:v>Galater 2,1–5</x:v>
      </x:c>
      <x:c r="N817" s="36" t="str">
        <x:v>Titus war Grieche. Dass er nicht zur Beschneidung gezwungen wurde, unterstreicht für Paulus die Freiheit des Evangeliums gegenüber den Forderungen der eingeschlichenen Gegner.</x:v>
      </x:c>
      <x:c r="O817" s="36" t="str">
        <x:v>FREIGEGEBEN</x:v>
      </x:c>
      <x:c r="P817" s="36" t="str">
        <x:v>FREIGEGEBEN</x:v>
      </x:c>
      <x:c r="Q817" s="36" t="str">
        <x:v>JA</x:v>
      </x:c>
    </x:row>
    <x:row r="818">
      <x:c r="A818" s="36" t="str">
        <x:v>FP-1077</x:v>
      </x:c>
      <x:c r="B818" s="36" t="str">
        <x:v>GAL</x:v>
      </x:c>
      <x:c r="C818" s="36" t="str">
        <x:v>Galater</x:v>
      </x:c>
      <x:c r="D818" s="36" t="n">
        <x:v>2</x:v>
      </x:c>
      <x:c r="E818" s="36" t="n">
        <x:v>2</x:v>
      </x:c>
      <x:c r="F818" s="36" t="str">
        <x:v>Welche Aufgabenverteilung erkannten Jakobus, Kephas und Johannes an?</x:v>
      </x:c>
      <x:c r="G818" s="36" t="str">
        <x:v>Paulus sollte nur in Jerusalem bleiben, Petrus dagegen nach Rom gehen.</x:v>
      </x:c>
      <x:c r="H818" s="36" t="str">
        <x:v>Alle sollten ausschließlich unter den Heiden arbeiten.</x:v>
      </x:c>
      <x:c r="I818" s="36" t="str">
        <x:v>Paulus und Barnabas sollten zu den Heiden gehen, sie selbst vor allem zu den Beschnittenen.</x:v>
      </x:c>
      <x:c r="J818" s="36" t="str">
        <x:v>Paulus sollte keine Gemeinden mehr gründen.</x:v>
      </x:c>
      <x:c r="K818" s="36" t="n">
        <x:v>2</x:v>
      </x:c>
      <x:c r="L818" s="36" t="str">
        <x:v>Paulus und Barnabas sollten zu den Heiden gehen, sie selbst vor allem zu den Beschnittenen.</x:v>
      </x:c>
      <x:c r="M818" s="36" t="str">
        <x:v>Galater 2,7–10</x:v>
      </x:c>
      <x:c r="N818" s="36" t="str">
        <x:v>Die führenden Apostel erkannten Paulus' Auftrag unter den Heiden an und gaben ihm und Barnabas die rechte Hand der Gemeinschaft. Als gemeinsame Verpflichtung wird besonders das Gedenken an die Armen genannt.</x:v>
      </x:c>
      <x:c r="O818" s="36" t="str">
        <x:v>FREIGEGEBEN</x:v>
      </x:c>
      <x:c r="P818" s="36" t="str">
        <x:v>FREIGEGEBEN</x:v>
      </x:c>
      <x:c r="Q818" s="36" t="str">
        <x:v>JA</x:v>
      </x:c>
    </x:row>
    <x:row r="819">
      <x:c r="A819" s="36" t="str">
        <x:v>FP-1078</x:v>
      </x:c>
      <x:c r="B819" s="36" t="str">
        <x:v>GAL</x:v>
      </x:c>
      <x:c r="C819" s="36" t="str">
        <x:v>Galater</x:v>
      </x:c>
      <x:c r="D819" s="36" t="n">
        <x:v>2</x:v>
      </x:c>
      <x:c r="E819" s="36" t="n">
        <x:v>3</x:v>
      </x:c>
      <x:c r="F819" s="36" t="str">
        <x:v>Warum widersprach Paulus Kephas/Petrus öffentlich in Antiochia?</x:v>
      </x:c>
      <x:c r="G819" s="36" t="str">
        <x:v>Weil Petrus keine Armen unterstützen wollte.</x:v>
      </x:c>
      <x:c r="H819" s="36" t="str">
        <x:v>Weil Petrus Paulus die Reise nach Jerusalem verboten hatte.</x:v>
      </x:c>
      <x:c r="I819" s="36" t="str">
        <x:v>Weil Petrus Titus taufen wollte.</x:v>
      </x:c>
      <x:c r="J819" s="36" t="str">
        <x:v>Weil Petrus sich aus Angst vor der Beschneidungsgruppe von den Heiden zurückzog.</x:v>
      </x:c>
      <x:c r="K819" s="36" t="n">
        <x:v>3</x:v>
      </x:c>
      <x:c r="L819" s="36" t="str">
        <x:v>Weil Petrus sich aus Angst vor der Beschneidungsgruppe von den Heiden zurückzog.</x:v>
      </x:c>
      <x:c r="M819" s="36" t="str">
        <x:v>Galater 2,11–14</x:v>
      </x:c>
      <x:c r="N819" s="36" t="str">
        <x:v>Petrus hatte zuvor mit Heiden gegessen, zog sich aber zurück, als bestimmte Leute kamen. Paulus sah darin ein Verhalten, das nicht der Wahrheit des Evangeliums entsprach.</x:v>
      </x:c>
      <x:c r="O819" s="36" t="str">
        <x:v>FREIGEGEBEN</x:v>
      </x:c>
      <x:c r="P819" s="36" t="str">
        <x:v>FREIGEGEBEN</x:v>
      </x:c>
      <x:c r="Q819" s="36" t="str">
        <x:v>JA</x:v>
      </x:c>
    </x:row>
    <x:row r="820">
      <x:c r="A820" s="36" t="str">
        <x:v>FP-1079</x:v>
      </x:c>
      <x:c r="B820" s="36" t="str">
        <x:v>GAL</x:v>
      </x:c>
      <x:c r="C820" s="36" t="str">
        <x:v>Galater</x:v>
      </x:c>
      <x:c r="D820" s="36" t="n">
        <x:v>2</x:v>
      </x:c>
      <x:c r="E820" s="36" t="n">
        <x:v>4</x:v>
      </x:c>
      <x:c r="F820" s="36" t="str">
        <x:v>Wodurch wird ein Mensch nach Galater 2 gerechtfertigt?</x:v>
      </x:c>
      <x:c r="G820" s="36" t="str">
        <x:v>Durch den Glauben an Jesus Christus, nicht durch Werke des Gesetzes.</x:v>
      </x:c>
      <x:c r="H820" s="36" t="str">
        <x:v>Durch Werke des Gesetzes allein.</x:v>
      </x:c>
      <x:c r="I820" s="36" t="str">
        <x:v>Durch gesellschaftliches Ansehen.</x:v>
      </x:c>
      <x:c r="J820" s="36" t="str">
        <x:v>Durch Abstammung von Abraham ohne Glauben.</x:v>
      </x:c>
      <x:c r="K820" s="36" t="n">
        <x:v>0</x:v>
      </x:c>
      <x:c r="L820" s="36" t="str">
        <x:v>Durch den Glauben an Jesus Christus, nicht durch Werke des Gesetzes.</x:v>
      </x:c>
      <x:c r="M820" s="36" t="str">
        <x:v>Galater 2,15–16</x:v>
      </x:c>
      <x:c r="N820" s="36" t="str">
        <x:v>Paulus stellt die Rechtfertigung durch den Glauben an Christus der Rechtfertigung durch Werke des Gesetzes gegenüber und erklärt, dass durch Gesetzeswerke niemand gerechtfertigt wird.</x:v>
      </x:c>
      <x:c r="O820" s="36" t="str">
        <x:v>FREIGEGEBEN</x:v>
      </x:c>
      <x:c r="P820" s="36" t="str">
        <x:v>FREIGEGEBEN</x:v>
      </x:c>
      <x:c r="Q820" s="36" t="str">
        <x:v>JA</x:v>
      </x:c>
    </x:row>
    <x:row r="821">
      <x:c r="A821" s="36" t="str">
        <x:v>FP-1080</x:v>
      </x:c>
      <x:c r="B821" s="36" t="str">
        <x:v>GAL</x:v>
      </x:c>
      <x:c r="C821" s="36" t="str">
        <x:v>Galater</x:v>
      </x:c>
      <x:c r="D821" s="36" t="n">
        <x:v>2</x:v>
      </x:c>
      <x:c r="E821" s="36" t="n">
        <x:v>5</x:v>
      </x:c>
      <x:c r="F821" s="36" t="str">
        <x:v>Wie beschreibt Paulus sein neues Leben in Galater 2?</x:v>
      </x:c>
      <x:c r="G821" s="36" t="str">
        <x:v>Er lebt unabhängig von Christus aus eigener Kraft.</x:v>
      </x:c>
      <x:c r="H821" s="36" t="str">
        <x:v>Christus lebt in ihm, und er lebt im Glauben an den Sohn Gottes.</x:v>
      </x:c>
      <x:c r="I821" s="36" t="str">
        <x:v>Er lebt nur noch nach den religiösen Traditionen seiner Vorfahren.</x:v>
      </x:c>
      <x:c r="J821" s="36" t="str">
        <x:v>Er betrachtet das Kreuz Christi als überflüssig.</x:v>
      </x:c>
      <x:c r="K821" s="36" t="n">
        <x:v>1</x:v>
      </x:c>
      <x:c r="L821" s="36" t="str">
        <x:v>Christus lebt in ihm, und er lebt im Glauben an den Sohn Gottes.</x:v>
      </x:c>
      <x:c r="M821" s="36" t="str">
        <x:v>Galater 2,19–21</x:v>
      </x:c>
      <x:c r="N821" s="36" t="str">
        <x:v>Paulus beschreibt sein Leben als mit Christus gekreuzigt. Sein gegenwärtiges Leben steht unter dem Glauben an den Sohn Gottes, der ihn geliebt und sich für ihn hingegeben hat.</x:v>
      </x:c>
      <x:c r="O821" s="36" t="str">
        <x:v>FREIGEGEBEN</x:v>
      </x:c>
      <x:c r="P821" s="36" t="str">
        <x:v>FREIGEGEBEN</x:v>
      </x:c>
      <x:c r="Q821" s="36" t="str">
        <x:v>JA</x:v>
      </x:c>
    </x:row>
    <x:row r="822">
      <x:c r="A822" s="36" t="str">
        <x:v>FP-1081</x:v>
      </x:c>
      <x:c r="B822" s="36" t="str">
        <x:v>GAL</x:v>
      </x:c>
      <x:c r="C822" s="36" t="str">
        <x:v>Galater</x:v>
      </x:c>
      <x:c r="D822" s="36" t="n">
        <x:v>3</x:v>
      </x:c>
      <x:c r="E822" s="36" t="n">
        <x:v>1</x:v>
      </x:c>
      <x:c r="F822" s="36" t="str">
        <x:v>Wie hatten die Galater nach Paulus den Geist empfangen?</x:v>
      </x:c>
      <x:c r="G822" s="36" t="str">
        <x:v>Durch Werke des Gesetzes.</x:v>
      </x:c>
      <x:c r="H822" s="36" t="str">
        <x:v>Durch ihre jüdische Abstammung.</x:v>
      </x:c>
      <x:c r="I822" s="36" t="str">
        <x:v>Durch das Hören der Botschaft im Glauben.</x:v>
      </x:c>
      <x:c r="J822" s="36" t="str">
        <x:v>Durch das Einhalten bestimmter Festtage.</x:v>
      </x:c>
      <x:c r="K822" s="36" t="n">
        <x:v>2</x:v>
      </x:c>
      <x:c r="L822" s="36" t="str">
        <x:v>Durch das Hören der Botschaft im Glauben.</x:v>
      </x:c>
      <x:c r="M822" s="36" t="str">
        <x:v>Galater 3,1–5</x:v>
      </x:c>
      <x:c r="N822" s="36" t="str">
        <x:v>Paulus erinnert die Galater daran, dass ihr Beginn im Glauben und im Geist lag. Damit widerspricht er der Vorstellung, die Vollendung müsse nun durch Gesetzeswerke kommen.</x:v>
      </x:c>
      <x:c r="O822" s="36" t="str">
        <x:v>FREIGEGEBEN</x:v>
      </x:c>
      <x:c r="P822" s="36" t="str">
        <x:v>FREIGEGEBEN</x:v>
      </x:c>
      <x:c r="Q822" s="36" t="str">
        <x:v>JA</x:v>
      </x:c>
    </x:row>
    <x:row r="823">
      <x:c r="A823" s="36" t="str">
        <x:v>FP-1082</x:v>
      </x:c>
      <x:c r="B823" s="36" t="str">
        <x:v>GAL</x:v>
      </x:c>
      <x:c r="C823" s="36" t="str">
        <x:v>Galater</x:v>
      </x:c>
      <x:c r="D823" s="36" t="n">
        <x:v>3</x:v>
      </x:c>
      <x:c r="E823" s="36" t="n">
        <x:v>2</x:v>
      </x:c>
      <x:c r="F823" s="36" t="str">
        <x:v>Warum führt Paulus Abraham als Beispiel an?</x:v>
      </x:c>
      <x:c r="G823" s="36" t="str">
        <x:v>Weil Abraham durch militärische Erfolge gerecht wurde.</x:v>
      </x:c>
      <x:c r="H823" s="36" t="str">
        <x:v>Weil Abraham das mosaische Gesetz vollständig schriftlich besaß.</x:v>
      </x:c>
      <x:c r="I823" s="36" t="str">
        <x:v>Weil Abraham nur für Israel und nicht für die Völker Bedeutung hatte.</x:v>
      </x:c>
      <x:c r="J823" s="36" t="str">
        <x:v>Weil Abraham Gott glaubte und ihm das als Gerechtigkeit angerechnet wurde.</x:v>
      </x:c>
      <x:c r="K823" s="36" t="n">
        <x:v>3</x:v>
      </x:c>
      <x:c r="L823" s="36" t="str">
        <x:v>Weil Abraham Gott glaubte und ihm das als Gerechtigkeit angerechnet wurde.</x:v>
      </x:c>
      <x:c r="M823" s="36" t="str">
        <x:v>Galater 3,6–9</x:v>
      </x:c>
      <x:c r="N823" s="36" t="str">
        <x:v>Paulus verbindet Abraham mit dem Glauben und folgert daraus, dass Menschen des Glaubens zu Abrahams Kindern gehören und am zugesagten Segen teilhaben.</x:v>
      </x:c>
      <x:c r="O823" s="36" t="str">
        <x:v>FREIGEGEBEN</x:v>
      </x:c>
      <x:c r="P823" s="36" t="str">
        <x:v>FREIGEGEBEN</x:v>
      </x:c>
      <x:c r="Q823" s="36" t="str">
        <x:v>JA</x:v>
      </x:c>
    </x:row>
    <x:row r="824">
      <x:c r="A824" s="36" t="str">
        <x:v>FP-1083</x:v>
      </x:c>
      <x:c r="B824" s="36" t="str">
        <x:v>GAL</x:v>
      </x:c>
      <x:c r="C824" s="36" t="str">
        <x:v>Galater</x:v>
      </x:c>
      <x:c r="D824" s="36" t="n">
        <x:v>3</x:v>
      </x:c>
      <x:c r="E824" s="36" t="n">
        <x:v>3</x:v>
      </x:c>
      <x:c r="F824" s="36" t="str">
        <x:v>Wozu wurde Christus nach Galater 3 zum Fluch für uns?</x:v>
      </x:c>
      <x:c r="G824" s="36" t="str">
        <x:v>Damit der Segen Abrahams zu den Heiden kommt und der verheißene Geist durch Glauben empfangen wird.</x:v>
      </x:c>
      <x:c r="H824" s="36" t="str">
        <x:v>Damit das Gesetz endgültig als böse bezeichnet wird.</x:v>
      </x:c>
      <x:c r="I824" s="36" t="str">
        <x:v>Damit nur Juden die Verheißung erhalten.</x:v>
      </x:c>
      <x:c r="J824" s="36" t="str">
        <x:v>Damit niemand mehr Glauben braucht.</x:v>
      </x:c>
      <x:c r="K824" s="36" t="n">
        <x:v>0</x:v>
      </x:c>
      <x:c r="L824" s="36" t="str">
        <x:v>Damit der Segen Abrahams zu den Heiden kommt und der verheißene Geist durch Glauben empfangen wird.</x:v>
      </x:c>
      <x:c r="M824" s="36" t="str">
        <x:v>Galater 3,13–14</x:v>
      </x:c>
      <x:c r="N824" s="36" t="str">
        <x:v>Paulus verbindet Christi Erlösung vom Fluch des Gesetzes mit dem Segen Abrahams für die Völker und mit dem Empfang des verheißenen Geistes durch Glauben.</x:v>
      </x:c>
      <x:c r="O824" s="36" t="str">
        <x:v>FREIGEGEBEN</x:v>
      </x:c>
      <x:c r="P824" s="36" t="str">
        <x:v>FREIGEGEBEN</x:v>
      </x:c>
      <x:c r="Q824" s="36" t="str">
        <x:v>JA</x:v>
      </x:c>
    </x:row>
    <x:row r="825">
      <x:c r="A825" s="36" t="str">
        <x:v>FP-1084</x:v>
      </x:c>
      <x:c r="B825" s="36" t="str">
        <x:v>GAL</x:v>
      </x:c>
      <x:c r="C825" s="36" t="str">
        <x:v>Galater</x:v>
      </x:c>
      <x:c r="D825" s="36" t="n">
        <x:v>3</x:v>
      </x:c>
      <x:c r="E825" s="36" t="n">
        <x:v>4</x:v>
      </x:c>
      <x:c r="F825" s="36" t="str">
        <x:v>Welche Aufgabe gibt Paulus dem Gesetz im Verhältnis zu Christus?</x:v>
      </x:c>
      <x:c r="G825" s="36" t="str">
        <x:v>Es sollte die Verheißung an Abraham aufheben.</x:v>
      </x:c>
      <x:c r="H825" s="36" t="str">
        <x:v>Es wurde wegen der Übertretungen hinzugefügt und führte als Aufsicht/Vormund bis zu Christus.</x:v>
      </x:c>
      <x:c r="I825" s="36" t="str">
        <x:v>Es sollte den Glauben dauerhaft ersetzen.</x:v>
      </x:c>
      <x:c r="J825" s="36" t="str">
        <x:v>Es machte die Verheißung erst 430 Jahre später gültig.</x:v>
      </x:c>
      <x:c r="K825" s="36" t="n">
        <x:v>1</x:v>
      </x:c>
      <x:c r="L825" s="36" t="str">
        <x:v>Es wurde wegen der Übertretungen hinzugefügt und führte als Aufsicht/Vormund bis zu Christus.</x:v>
      </x:c>
      <x:c r="M825" s="36" t="str">
        <x:v>Galater 3,17–25</x:v>
      </x:c>
      <x:c r="N825" s="36" t="str">
        <x:v>Paulus sagt, dass das später gegebene Gesetz die frühere Verheißung nicht aufhebt. Es wurde wegen der Übertretungen hinzugefügt und hatte eine begrenzte, auf Christus hinführende Funktion.</x:v>
      </x:c>
      <x:c r="O825" s="36" t="str">
        <x:v>FREIGEGEBEN</x:v>
      </x:c>
      <x:c r="P825" s="36" t="str">
        <x:v>FREIGEGEBEN</x:v>
      </x:c>
      <x:c r="Q825" s="36" t="str">
        <x:v>JA</x:v>
      </x:c>
    </x:row>
    <x:row r="826">
      <x:c r="A826" s="36" t="str">
        <x:v>FP-1085</x:v>
      </x:c>
      <x:c r="B826" s="36" t="str">
        <x:v>GAL</x:v>
      </x:c>
      <x:c r="C826" s="36" t="str">
        <x:v>Galater</x:v>
      </x:c>
      <x:c r="D826" s="36" t="n">
        <x:v>3</x:v>
      </x:c>
      <x:c r="E826" s="36" t="n">
        <x:v>5</x:v>
      </x:c>
      <x:c r="F826" s="36" t="str">
        <x:v>Was verbindet nach Galater 3 alle, die zu Christus gehören?</x:v>
      </x:c>
      <x:c r="G826" s="36" t="str">
        <x:v>Sie müssen dieselbe Herkunft und gesellschaftliche Stellung haben.</x:v>
      </x:c>
      <x:c r="H826" s="36" t="str">
        <x:v>Sie gehören automatisch zum jüdischen Staatswesen.</x:v>
      </x:c>
      <x:c r="I826" s="36" t="str">
        <x:v>Sie sind durch Glauben Gottes Kinder, in Christus eins und Erben der Verheißung.</x:v>
      </x:c>
      <x:c r="J826" s="36" t="str">
        <x:v>Sie stehen weiterhin unter dem Gesetz als Vormund.</x:v>
      </x:c>
      <x:c r="K826" s="36" t="n">
        <x:v>2</x:v>
      </x:c>
      <x:c r="L826" s="36" t="str">
        <x:v>Sie sind durch Glauben Gottes Kinder, in Christus eins und Erben der Verheißung.</x:v>
      </x:c>
      <x:c r="M826" s="36" t="str">
        <x:v>Galater 3,26–29</x:v>
      </x:c>
      <x:c r="N826" s="36" t="str">
        <x:v>Paulus verbindet die Gotteskindschaft durch Glauben mit der Einheit in Christus und der Zugehörigkeit zu Abrahams Verheißung.</x:v>
      </x:c>
      <x:c r="O826" s="36" t="str">
        <x:v>FREIGEGEBEN</x:v>
      </x:c>
      <x:c r="P826" s="36" t="str">
        <x:v>FREIGEGEBEN</x:v>
      </x:c>
      <x:c r="Q826" s="36" t="str">
        <x:v>JA</x:v>
      </x:c>
    </x:row>
    <x:row r="827">
      <x:c r="A827" s="36" t="str">
        <x:v>FP-1086</x:v>
      </x:c>
      <x:c r="B827" s="36" t="str">
        <x:v>GAL</x:v>
      </x:c>
      <x:c r="C827" s="36" t="str">
        <x:v>Galater</x:v>
      </x:c>
      <x:c r="D827" s="36" t="n">
        <x:v>4</x:v>
      </x:c>
      <x:c r="E827" s="36" t="n">
        <x:v>1</x:v>
      </x:c>
      <x:c r="F827" s="36" t="str">
        <x:v>Was geschah nach Galater 4, als die von Gott bestimmte Zeit erfüllt war?</x:v>
      </x:c>
      <x:c r="G827" s="36" t="str">
        <x:v>Gott hob jede Verheißung an Abraham auf.</x:v>
      </x:c>
      <x:c r="H827" s="36" t="str">
        <x:v>Gott setzte die Galater unter neue Vormünder.</x:v>
      </x:c>
      <x:c r="I827" s="36" t="str">
        <x:v>Gott verlangte von allen Heiden zuerst die Beschneidung.</x:v>
      </x:c>
      <x:c r="J827" s="36" t="str">
        <x:v>Gott sandte seinen Sohn, um die unter dem Gesetz zu erlösen und ihnen die Kindschaft zu geben.</x:v>
      </x:c>
      <x:c r="K827" s="36" t="n">
        <x:v>3</x:v>
      </x:c>
      <x:c r="L827" s="36" t="str">
        <x:v>Gott sandte seinen Sohn, um die unter dem Gesetz zu erlösen und ihnen die Kindschaft zu geben.</x:v>
      </x:c>
      <x:c r="M827" s="36" t="str">
        <x:v>Galater 4,4–7</x:v>
      </x:c>
      <x:c r="N827" s="36" t="str">
        <x:v>Paulus beschreibt Gottes Sohn als den, der unter dem Gesetz geboren wurde, um Menschen daraus freizukaufen. Der Geist des Sohnes bestätigt ihre Stellung als Kinder und Erben.</x:v>
      </x:c>
      <x:c r="O827" s="36" t="str">
        <x:v>FREIGEGEBEN</x:v>
      </x:c>
      <x:c r="P827" s="36" t="str">
        <x:v>FREIGEGEBEN</x:v>
      </x:c>
      <x:c r="Q827" s="36" t="str">
        <x:v>JA</x:v>
      </x:c>
    </x:row>
    <x:row r="828">
      <x:c r="A828" s="36" t="str">
        <x:v>FP-1087</x:v>
      </x:c>
      <x:c r="B828" s="36" t="str">
        <x:v>GAL</x:v>
      </x:c>
      <x:c r="C828" s="36" t="str">
        <x:v>Galater</x:v>
      </x:c>
      <x:c r="D828" s="36" t="n">
        <x:v>4</x:v>
      </x:c>
      <x:c r="E828" s="36" t="n">
        <x:v>2</x:v>
      </x:c>
      <x:c r="F828" s="36" t="str">
        <x:v>Welche Rückkehr bereitet Paulus den Galatern Sorge?</x:v>
      </x:c>
      <x:c r="G828" s="36" t="str">
        <x:v>Die Rückkehr zu schwachen und armseligen Grundsätzen, denen sie wieder dienen wollen.</x:v>
      </x:c>
      <x:c r="H828" s="36" t="str">
        <x:v>Die Rückkehr nach Jerusalem.</x:v>
      </x:c>
      <x:c r="I828" s="36" t="str">
        <x:v>Die Rückkehr zu Paulus' früherem Beruf.</x:v>
      </x:c>
      <x:c r="J828" s="36" t="str">
        <x:v>Die Rückkehr zur griechischen Sprache.</x:v>
      </x:c>
      <x:c r="K828" s="36" t="n">
        <x:v>0</x:v>
      </x:c>
      <x:c r="L828" s="36" t="str">
        <x:v>Die Rückkehr zu schwachen und armseligen Grundsätzen, denen sie wieder dienen wollen.</x:v>
      </x:c>
      <x:c r="M828" s="36" t="str">
        <x:v>Galater 4,8–11</x:v>
      </x:c>
      <x:c r="N828" s="36" t="str">
        <x:v>Paulus warnt davor, nach der Erkenntnis Gottes wieder in religiöse Abhängigkeiten zurückzufallen. Als Zeichen nennt er unter anderem das besondere Beachten von Tagen, Monaten, Zeiten und Jahren.</x:v>
      </x:c>
      <x:c r="O828" s="36" t="str">
        <x:v>FREIGEGEBEN</x:v>
      </x:c>
      <x:c r="P828" s="36" t="str">
        <x:v>FREIGEGEBEN</x:v>
      </x:c>
      <x:c r="Q828" s="36" t="str">
        <x:v>JA</x:v>
      </x:c>
    </x:row>
    <x:row r="829">
      <x:c r="A829" s="36" t="str">
        <x:v>FP-1088</x:v>
      </x:c>
      <x:c r="B829" s="36" t="str">
        <x:v>GAL</x:v>
      </x:c>
      <x:c r="C829" s="36" t="str">
        <x:v>Galater</x:v>
      </x:c>
      <x:c r="D829" s="36" t="n">
        <x:v>4</x:v>
      </x:c>
      <x:c r="E829" s="36" t="n">
        <x:v>3</x:v>
      </x:c>
      <x:c r="F829" s="36" t="str">
        <x:v>Wie beschreibt Paulus die veränderte Beziehung der Galater zu ihm?</x:v>
      </x:c>
      <x:c r="G829" s="36" t="str">
        <x:v>Sie hatten ihn früher abgelehnt und akzeptieren ihn jetzt vorbehaltlos.</x:v>
      </x:c>
      <x:c r="H829" s="36" t="str">
        <x:v>Sie hatten ihn trotz seiner Schwäche herzlich aufgenommen, nun fragt er, ob er durch das Sagen der Wahrheit ihr Feind geworden sei.</x:v>
      </x:c>
      <x:c r="I829" s="36" t="str">
        <x:v>Sie kannten ihn bis zum Brief überhaupt nicht.</x:v>
      </x:c>
      <x:c r="J829" s="36" t="str">
        <x:v>Sie hatten ihn immer nur wegen seines gesellschaftlichen Ansehens geehrt.</x:v>
      </x:c>
      <x:c r="K829" s="36" t="n">
        <x:v>1</x:v>
      </x:c>
      <x:c r="L829" s="36" t="str">
        <x:v>Sie hatten ihn trotz seiner Schwäche herzlich aufgenommen, nun fragt er, ob er durch das Sagen der Wahrheit ihr Feind geworden sei.</x:v>
      </x:c>
      <x:c r="M829" s="36" t="str">
        <x:v>Galater 4,12–16</x:v>
      </x:c>
      <x:c r="N829" s="36" t="str">
        <x:v>Paulus erinnert an die frühere Wertschätzung der Galater und stellt sie ihrer jetzigen Distanz gegenüber. Die Wahrheit auszusprechen darf für ihn nicht mit Feindschaft verwechselt werden.</x:v>
      </x:c>
      <x:c r="O829" s="36" t="str">
        <x:v>FREIGEGEBEN</x:v>
      </x:c>
      <x:c r="P829" s="36" t="str">
        <x:v>FREIGEGEBEN</x:v>
      </x:c>
      <x:c r="Q829" s="36" t="str">
        <x:v>JA</x:v>
      </x:c>
    </x:row>
    <x:row r="830">
      <x:c r="A830" s="36" t="str">
        <x:v>FP-1089</x:v>
      </x:c>
      <x:c r="B830" s="36" t="str">
        <x:v>GAL</x:v>
      </x:c>
      <x:c r="C830" s="36" t="str">
        <x:v>Galater</x:v>
      </x:c>
      <x:c r="D830" s="36" t="n">
        <x:v>4</x:v>
      </x:c>
      <x:c r="E830" s="36" t="n">
        <x:v>4</x:v>
      </x:c>
      <x:c r="F830" s="36" t="str">
        <x:v>Was kritisiert Paulus am Eifer der Menschen, die die Galater beeinflussen?</x:v>
      </x:c>
      <x:c r="G830" s="36" t="str">
        <x:v>Sie wollen die Galater für einen guten Zweck zu größerer Selbstständigkeit führen.</x:v>
      </x:c>
      <x:c r="H830" s="36" t="str">
        <x:v>Sie wollen Paulus bei seiner Arbeit finanziell unterstützen.</x:v>
      </x:c>
      <x:c r="I830" s="36" t="str">
        <x:v>Sie wollen die Galater ausgrenzen, damit diese sich um sie bemühen.</x:v>
      </x:c>
      <x:c r="J830" s="36" t="str">
        <x:v>Sie wollen die Gemeinden mit Judäa versöhnen.</x:v>
      </x:c>
      <x:c r="K830" s="36" t="n">
        <x:v>2</x:v>
      </x:c>
      <x:c r="L830" s="36" t="str">
        <x:v>Sie wollen die Galater ausgrenzen, damit diese sich um sie bemühen.</x:v>
      </x:c>
      <x:c r="M830" s="36" t="str">
        <x:v>Galater 4,17–20</x:v>
      </x:c>
      <x:c r="N830" s="36" t="str">
        <x:v>Paulus unterscheidet guten Eifer von manipulativer Bindung. Er wirft seinen Gegnern vor, die Galater von ihm abzusondern, damit sie selbst zum Mittelpunkt ihrer Loyalität werden.</x:v>
      </x:c>
      <x:c r="O830" s="36" t="str">
        <x:v>FREIGEGEBEN</x:v>
      </x:c>
      <x:c r="P830" s="36" t="str">
        <x:v>FREIGEGEBEN</x:v>
      </x:c>
      <x:c r="Q830" s="36" t="str">
        <x:v>JA</x:v>
      </x:c>
    </x:row>
    <x:row r="831">
      <x:c r="A831" s="36" t="str">
        <x:v>FP-1090</x:v>
      </x:c>
      <x:c r="B831" s="36" t="str">
        <x:v>GAL</x:v>
      </x:c>
      <x:c r="C831" s="36" t="str">
        <x:v>Galater</x:v>
      </x:c>
      <x:c r="D831" s="36" t="n">
        <x:v>4</x:v>
      </x:c>
      <x:c r="E831" s="36" t="n">
        <x:v>5</x:v>
      </x:c>
      <x:c r="F831" s="36" t="str">
        <x:v>Welche Schlussfolgerung zieht Paulus aus dem Bild von Hagar und der freien Frau?</x:v>
      </x:c>
      <x:c r="G831" s="36" t="str">
        <x:v>Die Glaubenden sind Kinder der Sklavin und bleiben in Knechtschaft.</x:v>
      </x:c>
      <x:c r="H831" s="36" t="str">
        <x:v>Beide Frauen stehen bei Paulus für dieselbe Form von Knechtschaft.</x:v>
      </x:c>
      <x:c r="I831" s="36" t="str">
        <x:v>Die Verheißung spielt für die Zugehörigkeit zu Gottes Volk keine Rolle.</x:v>
      </x:c>
      <x:c r="J831" s="36" t="str">
        <x:v>Die Glaubenden sind wie Isaak Kinder der Verheißung und Kinder der Freien.</x:v>
      </x:c>
      <x:c r="K831" s="36" t="n">
        <x:v>3</x:v>
      </x:c>
      <x:c r="L831" s="36" t="str">
        <x:v>Die Glaubenden sind wie Isaak Kinder der Verheißung und Kinder der Freien.</x:v>
      </x:c>
      <x:c r="M831" s="36" t="str">
        <x:v>Galater 4,21–31</x:v>
      </x:c>
      <x:c r="N831" s="36" t="str">
        <x:v>Paulus verwendet die Geschichte von Hagar und Sara bildhaft für Knechtschaft und Freiheit. Seine Pointe lautet, dass die Glaubenden zur Verheißung und zur Freiheit gehören.</x:v>
      </x:c>
      <x:c r="O831" s="36" t="str">
        <x:v>FREIGEGEBEN</x:v>
      </x:c>
      <x:c r="P831" s="36" t="str">
        <x:v>FREIGEGEBEN</x:v>
      </x:c>
      <x:c r="Q831" s="36" t="str">
        <x:v>JA</x:v>
      </x:c>
    </x:row>
    <x:row r="832">
      <x:c r="A832" s="36" t="str">
        <x:v>FP-1091</x:v>
      </x:c>
      <x:c r="B832" s="36" t="str">
        <x:v>GAL</x:v>
      </x:c>
      <x:c r="C832" s="36" t="str">
        <x:v>Galater</x:v>
      </x:c>
      <x:c r="D832" s="36" t="n">
        <x:v>5</x:v>
      </x:c>
      <x:c r="E832" s="36" t="n">
        <x:v>1</x:v>
      </x:c>
      <x:c r="F832" s="36" t="str">
        <x:v>Welche Aufforderung steht am Anfang von Galater 5?</x:v>
      </x:c>
      <x:c r="G832" s="36" t="str">
        <x:v>Steht fest in der Freiheit, zu der Christus befreit hat.</x:v>
      </x:c>
      <x:c r="H832" s="36" t="str">
        <x:v>Kehrt freiwillig unter das Joch der Knechtschaft zurück.</x:v>
      </x:c>
      <x:c r="I832" s="36" t="str">
        <x:v>Verlasst jede christliche Gemeinschaft.</x:v>
      </x:c>
      <x:c r="J832" s="36" t="str">
        <x:v>Sucht eure Gerechtigkeit ausschließlich durch das Gesetz.</x:v>
      </x:c>
      <x:c r="K832" s="36" t="n">
        <x:v>0</x:v>
      </x:c>
      <x:c r="L832" s="36" t="str">
        <x:v>Steht fest in der Freiheit, zu der Christus befreit hat.</x:v>
      </x:c>
      <x:c r="M832" s="36" t="str">
        <x:v>Galater 5,1–4</x:v>
      </x:c>
      <x:c r="N832" s="36" t="str">
        <x:v>Paulus verbindet die von Christus geschenkte Freiheit mit der Warnung, sich nicht wieder unter ein Joch der Knechtschaft bringen zu lassen.</x:v>
      </x:c>
      <x:c r="O832" s="36" t="str">
        <x:v>FREIGEGEBEN</x:v>
      </x:c>
      <x:c r="P832" s="36" t="str">
        <x:v>FREIGEGEBEN</x:v>
      </x:c>
      <x:c r="Q832" s="36" t="str">
        <x:v>JA</x:v>
      </x:c>
    </x:row>
    <x:row r="833">
      <x:c r="A833" s="36" t="str">
        <x:v>FP-1092</x:v>
      </x:c>
      <x:c r="B833" s="36" t="str">
        <x:v>GAL</x:v>
      </x:c>
      <x:c r="C833" s="36" t="str">
        <x:v>Galater</x:v>
      </x:c>
      <x:c r="D833" s="36" t="n">
        <x:v>5</x:v>
      </x:c>
      <x:c r="E833" s="36" t="n">
        <x:v>2</x:v>
      </x:c>
      <x:c r="F833" s="36" t="str">
        <x:v>Was zählt nach Galater 5 in Christus entscheidend?</x:v>
      </x:c>
      <x:c r="G833" s="36" t="str">
        <x:v>Beschneidung als äußeres Zeichen.</x:v>
      </x:c>
      <x:c r="H833" s="36" t="str">
        <x:v>Glaube, der durch Liebe wirksam ist.</x:v>
      </x:c>
      <x:c r="I833" s="36" t="str">
        <x:v>Unbeschnittensein als äußeres Zeichen.</x:v>
      </x:c>
      <x:c r="J833" s="36" t="str">
        <x:v>Die Zugehörigkeit zu einer bestimmten Volksgruppe.</x:v>
      </x:c>
      <x:c r="K833" s="36" t="n">
        <x:v>1</x:v>
      </x:c>
      <x:c r="L833" s="36" t="str">
        <x:v>Glaube, der durch Liebe wirksam ist.</x:v>
      </x:c>
      <x:c r="M833" s="36" t="str">
        <x:v>Galater 5,5–6</x:v>
      </x:c>
      <x:c r="N833" s="36" t="str">
        <x:v>Paulus erklärt, dass weder Beschneidung noch Unbeschnittensein entscheidend ist. Maßgeblich ist der Glaube, der sich in Liebe zeigt.</x:v>
      </x:c>
      <x:c r="O833" s="36" t="str">
        <x:v>FREIGEGEBEN</x:v>
      </x:c>
      <x:c r="P833" s="36" t="str">
        <x:v>FREIGEGEBEN</x:v>
      </x:c>
      <x:c r="Q833" s="36" t="str">
        <x:v>JA</x:v>
      </x:c>
    </x:row>
    <x:row r="834">
      <x:c r="A834" s="36" t="str">
        <x:v>FP-1093</x:v>
      </x:c>
      <x:c r="B834" s="36" t="str">
        <x:v>GAL</x:v>
      </x:c>
      <x:c r="C834" s="36" t="str">
        <x:v>Galater</x:v>
      </x:c>
      <x:c r="D834" s="36" t="n">
        <x:v>5</x:v>
      </x:c>
      <x:c r="E834" s="36" t="n">
        <x:v>3</x:v>
      </x:c>
      <x:c r="F834" s="36" t="str">
        <x:v>Wie soll die christliche Freiheit nach Paulus gebraucht werden?</x:v>
      </x:c>
      <x:c r="G834" s="36" t="str">
        <x:v>Als Gelegenheit, nur die eigenen Wünsche auszuleben.</x:v>
      </x:c>
      <x:c r="H834" s="36" t="str">
        <x:v>Um sich über andere Gläubige zu stellen.</x:v>
      </x:c>
      <x:c r="I834" s="36" t="str">
        <x:v>Zum gegenseitigen Dienst durch die Liebe.</x:v>
      </x:c>
      <x:c r="J834" s="36" t="str">
        <x:v>Um jede Verantwortung gegenüber dem Nächsten abzulehnen.</x:v>
      </x:c>
      <x:c r="K834" s="36" t="n">
        <x:v>2</x:v>
      </x:c>
      <x:c r="L834" s="36" t="str">
        <x:v>Zum gegenseitigen Dienst durch die Liebe.</x:v>
      </x:c>
      <x:c r="M834" s="36" t="str">
        <x:v>Galater 5,13–15</x:v>
      </x:c>
      <x:c r="N834" s="36" t="str">
        <x:v>Freiheit ist bei Paulus kein Vorwand für Selbstbezogenheit. Sie soll sich im liebenden Dienst am anderen ausdrücken; dabei verweist er auf das Gebot der Nächstenliebe.</x:v>
      </x:c>
      <x:c r="O834" s="36" t="str">
        <x:v>FREIGEGEBEN</x:v>
      </x:c>
      <x:c r="P834" s="36" t="str">
        <x:v>FREIGEGEBEN</x:v>
      </x:c>
      <x:c r="Q834" s="36" t="str">
        <x:v>JA</x:v>
      </x:c>
    </x:row>
    <x:row r="835">
      <x:c r="A835" s="36" t="str">
        <x:v>FP-1094</x:v>
      </x:c>
      <x:c r="B835" s="36" t="str">
        <x:v>GAL</x:v>
      </x:c>
      <x:c r="C835" s="36" t="str">
        <x:v>Galater</x:v>
      </x:c>
      <x:c r="D835" s="36" t="n">
        <x:v>5</x:v>
      </x:c>
      <x:c r="E835" s="36" t="n">
        <x:v>4</x:v>
      </x:c>
      <x:c r="F835" s="36" t="str">
        <x:v>Wie beschreibt Paulus den Weg, die Begierden des Fleisches nicht zu erfüllen?</x:v>
      </x:c>
      <x:c r="G835" s="36" t="str">
        <x:v>Durch vollständigen Rückzug aus jeder Gemeinschaft.</x:v>
      </x:c>
      <x:c r="H835" s="36" t="str">
        <x:v>Durch möglichst viele zusätzliche Festtage.</x:v>
      </x:c>
      <x:c r="I835" s="36" t="str">
        <x:v>Durch das Vermeiden jeder körperlichen Arbeit.</x:v>
      </x:c>
      <x:c r="J835" s="36" t="str">
        <x:v>Durch ein Leben, das vom Geist bestimmt wird.</x:v>
      </x:c>
      <x:c r="K835" s="36" t="n">
        <x:v>3</x:v>
      </x:c>
      <x:c r="L835" s="36" t="str">
        <x:v>Durch ein Leben, das vom Geist bestimmt wird.</x:v>
      </x:c>
      <x:c r="M835" s="36" t="str">
        <x:v>Galater 5,16–18</x:v>
      </x:c>
      <x:c r="N835" s="36" t="str">
        <x:v>Paulus stellt Fleisch und Geist als gegensätzliche Ausrichtungen dar. Wer im Geist wandelt bzw. sich vom Geist leiten lässt, steht nicht unter der Herrschaft der fleischlichen Begierden.</x:v>
      </x:c>
      <x:c r="O835" s="36" t="str">
        <x:v>FREIGEGEBEN</x:v>
      </x:c>
      <x:c r="P835" s="36" t="str">
        <x:v>FREIGEGEBEN</x:v>
      </x:c>
      <x:c r="Q835" s="36" t="str">
        <x:v>JA</x:v>
      </x:c>
    </x:row>
    <x:row r="836">
      <x:c r="A836" s="36" t="str">
        <x:v>FP-1095</x:v>
      </x:c>
      <x:c r="B836" s="36" t="str">
        <x:v>GAL</x:v>
      </x:c>
      <x:c r="C836" s="36" t="str">
        <x:v>Galater</x:v>
      </x:c>
      <x:c r="D836" s="36" t="n">
        <x:v>5</x:v>
      </x:c>
      <x:c r="E836" s="36" t="n">
        <x:v>5</x:v>
      </x:c>
      <x:c r="F836" s="36" t="str">
        <x:v>Welche Gruppe nennt ausschließlich Merkmale der Frucht des Geistes?</x:v>
      </x:c>
      <x:c r="G836" s="36" t="str">
        <x:v>Liebe, Freude, Friede und Geduld.</x:v>
      </x:c>
      <x:c r="H836" s="36" t="str">
        <x:v>Neid, Streit, Zorn und Spaltungen.</x:v>
      </x:c>
      <x:c r="I836" s="36" t="str">
        <x:v>Trunkenheit, Gelage, Eifersucht und Selbstsucht.</x:v>
      </x:c>
      <x:c r="J836" s="36" t="str">
        <x:v>Götzendienst, Feindschaft, Unreinheit und Hass.</x:v>
      </x:c>
      <x:c r="K836" s="36" t="n">
        <x:v>0</x:v>
      </x:c>
      <x:c r="L836" s="36" t="str">
        <x:v>Liebe, Freude, Friede und Geduld.</x:v>
      </x:c>
      <x:c r="M836" s="36" t="str">
        <x:v>Galater 5,22–23</x:v>
      </x:c>
      <x:c r="N836" s="36" t="str">
        <x:v>Beide FaithPath-Übersetzungen nennen Liebe, Freude, Friede und Geduld als Bestandteile der Frucht des Geistes. Die Frage vermeidet Begriffe, die sich zwischen den Übersetzungen unterschiedlich wiedergeben lassen.</x:v>
      </x:c>
      <x:c r="O836" s="36" t="str">
        <x:v>FREIGEGEBEN</x:v>
      </x:c>
      <x:c r="P836" s="36" t="str">
        <x:v>FREIGEGEBEN</x:v>
      </x:c>
      <x:c r="Q836" s="36" t="str">
        <x:v>JA</x:v>
      </x:c>
    </x:row>
    <x:row r="837">
      <x:c r="A837" s="36" t="str">
        <x:v>FP-1096</x:v>
      </x:c>
      <x:c r="B837" s="36" t="str">
        <x:v>GAL</x:v>
      </x:c>
      <x:c r="C837" s="36" t="str">
        <x:v>Galater</x:v>
      </x:c>
      <x:c r="D837" s="36" t="n">
        <x:v>6</x:v>
      </x:c>
      <x:c r="E837" s="36" t="n">
        <x:v>1</x:v>
      </x:c>
      <x:c r="F837" s="36" t="str">
        <x:v>Wie sollen geistlich Gesinnte mit jemandem umgehen, der von einem Fehltritt überrascht wurde?</x:v>
      </x:c>
      <x:c r="G837" s="36" t="str">
        <x:v>Ihn öffentlich beschämen, damit andere gewarnt sind.</x:v>
      </x:c>
      <x:c r="H837" s="36" t="str">
        <x:v>Ihn mit Sanftmut wieder zurechtbringen und zugleich auf sich selbst achten.</x:v>
      </x:c>
      <x:c r="I837" s="36" t="str">
        <x:v>Jeden Kontakt sofort abbrechen.</x:v>
      </x:c>
      <x:c r="J837" s="36" t="str">
        <x:v>Seinen Fehler ignorieren, unabhängig von den Folgen.</x:v>
      </x:c>
      <x:c r="K837" s="36" t="n">
        <x:v>1</x:v>
      </x:c>
      <x:c r="L837" s="36" t="str">
        <x:v>Ihn mit Sanftmut wieder zurechtbringen und zugleich auf sich selbst achten.</x:v>
      </x:c>
      <x:c r="M837" s="36" t="str">
        <x:v>Galater 6,1</x:v>
      </x:c>
      <x:c r="N837" s="36" t="str">
        <x:v>Paulus verbindet Wiederherstellung mit Sanftmut und Selbstprüfung. Helfen soll nicht aus Überheblichkeit geschehen, weil auch der Helfende versucht werden kann.</x:v>
      </x:c>
      <x:c r="O837" s="36" t="str">
        <x:v>FREIGEGEBEN</x:v>
      </x:c>
      <x:c r="P837" s="36" t="str">
        <x:v>FREIGEGEBEN</x:v>
      </x:c>
      <x:c r="Q837" s="36" t="str">
        <x:v>JA</x:v>
      </x:c>
    </x:row>
    <x:row r="838">
      <x:c r="A838" s="36" t="str">
        <x:v>FP-1097</x:v>
      </x:c>
      <x:c r="B838" s="36" t="str">
        <x:v>GAL</x:v>
      </x:c>
      <x:c r="C838" s="36" t="str">
        <x:v>Galater</x:v>
      </x:c>
      <x:c r="D838" s="36" t="n">
        <x:v>6</x:v>
      </x:c>
      <x:c r="E838" s="36" t="n">
        <x:v>2</x:v>
      </x:c>
      <x:c r="F838" s="36" t="str">
        <x:v>Wie verbindet Galater 6 gegenseitige Hilfe und persönliche Verantwortung?</x:v>
      </x:c>
      <x:c r="G838" s="36" t="str">
        <x:v>Nur Leiter sollen die Lasten anderer tragen.</x:v>
      </x:c>
      <x:c r="H838" s="36" t="str">
        <x:v>Persönliche Verantwortung entfällt vollständig, wenn die Gemeinde hilft.</x:v>
      </x:c>
      <x:c r="I838" s="36" t="str">
        <x:v>Jeder soll die Lasten anderer mittragen und zugleich sein eigenes Handeln prüfen und Verantwortung tragen.</x:v>
      </x:c>
      <x:c r="J838" s="36" t="str">
        <x:v>Gegenseitige Hilfe ist unnötig, weil jeder nur für sich selbst zuständig ist.</x:v>
      </x:c>
      <x:c r="K838" s="36" t="n">
        <x:v>2</x:v>
      </x:c>
      <x:c r="L838" s="36" t="str">
        <x:v>Jeder soll die Lasten anderer mittragen und zugleich sein eigenes Handeln prüfen und Verantwortung tragen.</x:v>
      </x:c>
      <x:c r="M838" s="36" t="str">
        <x:v>Galater 6,2–5</x:v>
      </x:c>
      <x:c r="N838" s="36" t="str">
        <x:v>Paulus fordert beides: die Lasten anderer mitzutragen und zugleich das eigene Werk zu prüfen. Gemeinschaftliche Hilfe und persönliche Verantwortung schließen sich nicht aus.</x:v>
      </x:c>
      <x:c r="O838" s="36" t="str">
        <x:v>FREIGEGEBEN</x:v>
      </x:c>
      <x:c r="P838" s="36" t="str">
        <x:v>FREIGEGEBEN</x:v>
      </x:c>
      <x:c r="Q838" s="36" t="str">
        <x:v>JA</x:v>
      </x:c>
    </x:row>
    <x:row r="839">
      <x:c r="A839" s="36" t="str">
        <x:v>FP-1098</x:v>
      </x:c>
      <x:c r="B839" s="36" t="str">
        <x:v>GAL</x:v>
      </x:c>
      <x:c r="C839" s="36" t="str">
        <x:v>Galater</x:v>
      </x:c>
      <x:c r="D839" s="36" t="n">
        <x:v>6</x:v>
      </x:c>
      <x:c r="E839" s="36" t="n">
        <x:v>3</x:v>
      </x:c>
      <x:c r="F839" s="36" t="str">
        <x:v>Welche Grundregel beschreibt Paulus mit dem Bild von Saat und Ernte?</x:v>
      </x:c>
      <x:c r="G839" s="36" t="str">
        <x:v>Nur materieller Besitz kann geerntet werden.</x:v>
      </x:c>
      <x:c r="H839" s="36" t="str">
        <x:v>Die eigene Lebensführung hat keine Folgen.</x:v>
      </x:c>
      <x:c r="I839" s="36" t="str">
        <x:v>Wer auf den Geist sät, erntet vom Fleisch Verderben.</x:v>
      </x:c>
      <x:c r="J839" s="36" t="str">
        <x:v>Was ein Mensch sät, das wird er auch ernten.</x:v>
      </x:c>
      <x:c r="K839" s="36" t="n">
        <x:v>3</x:v>
      </x:c>
      <x:c r="L839" s="36" t="str">
        <x:v>Was ein Mensch sät, das wird er auch ernten.</x:v>
      </x:c>
      <x:c r="M839" s="36" t="str">
        <x:v>Galater 6,7–8</x:v>
      </x:c>
      <x:c r="N839" s="36" t="str">
        <x:v>Paulus nutzt das Bild von Saat und Ernte, um die Folgen der Lebensausrichtung zu erklären: auf das Fleisch zu säen führt ins Verderben, auf den Geist zu säen zum ewigen Leben.</x:v>
      </x:c>
      <x:c r="O839" s="36" t="str">
        <x:v>FREIGEGEBEN</x:v>
      </x:c>
      <x:c r="P839" s="36" t="str">
        <x:v>FREIGEGEBEN</x:v>
      </x:c>
      <x:c r="Q839" s="36" t="str">
        <x:v>JA</x:v>
      </x:c>
    </x:row>
    <x:row r="840">
      <x:c r="A840" s="36" t="str">
        <x:v>FP-1099</x:v>
      </x:c>
      <x:c r="B840" s="36" t="str">
        <x:v>GAL</x:v>
      </x:c>
      <x:c r="C840" s="36" t="str">
        <x:v>Galater</x:v>
      </x:c>
      <x:c r="D840" s="36" t="n">
        <x:v>6</x:v>
      </x:c>
      <x:c r="E840" s="36" t="n">
        <x:v>4</x:v>
      </x:c>
      <x:c r="F840" s="36" t="str">
        <x:v>Welche Haltung fordert Paulus beim Tun des Guten?</x:v>
      </x:c>
      <x:c r="G840" s="36" t="str">
        <x:v>Nicht müde werden und die vorhandenen Gelegenheiten nutzen, allen Gutes zu tun.</x:v>
      </x:c>
      <x:c r="H840" s="36" t="str">
        <x:v>Nur dann Gutes tun, wenn sofort eine Gegenleistung folgt.</x:v>
      </x:c>
      <x:c r="I840" s="36" t="str">
        <x:v>Gutes ausschließlich für enge Freunde tun.</x:v>
      </x:c>
      <x:c r="J840" s="36" t="str">
        <x:v>Mit guten Werken warten, bis alle Schwierigkeiten verschwunden sind.</x:v>
      </x:c>
      <x:c r="K840" s="36" t="n">
        <x:v>0</x:v>
      </x:c>
      <x:c r="L840" s="36" t="str">
        <x:v>Nicht müde werden und die vorhandenen Gelegenheiten nutzen, allen Gutes zu tun.</x:v>
      </x:c>
      <x:c r="M840" s="36" t="str">
        <x:v>Galater 6,9–10</x:v>
      </x:c>
      <x:c r="N840" s="36" t="str">
        <x:v>Paulus ruft zur Ausdauer im Guten auf und erweitert den Blick ausdrücklich auf alle Menschen, mit besonderer Verantwortung gegenüber der Glaubensgemeinschaft.</x:v>
      </x:c>
      <x:c r="O840" s="36" t="str">
        <x:v>FREIGEGEBEN</x:v>
      </x:c>
      <x:c r="P840" s="36" t="str">
        <x:v>FREIGEGEBEN</x:v>
      </x:c>
      <x:c r="Q840" s="36" t="str">
        <x:v>JA</x:v>
      </x:c>
    </x:row>
    <x:row r="841">
      <x:c r="A841" s="36" t="str">
        <x:v>FP-1100</x:v>
      </x:c>
      <x:c r="B841" s="36" t="str">
        <x:v>GAL</x:v>
      </x:c>
      <x:c r="C841" s="36" t="str">
        <x:v>Galater</x:v>
      </x:c>
      <x:c r="D841" s="36" t="n">
        <x:v>6</x:v>
      </x:c>
      <x:c r="E841" s="36" t="n">
        <x:v>5</x:v>
      </x:c>
      <x:c r="F841" s="36" t="str">
        <x:v>Worauf will Paulus sich am Ende des Briefes allein rühmen?</x:v>
      </x:c>
      <x:c r="G841" s="36" t="str">
        <x:v>Auf seine Herkunft und Ausbildung.</x:v>
      </x:c>
      <x:c r="H841" s="36" t="str">
        <x:v>Auf das Kreuz Jesu Christi; entscheidend ist die neue Schöpfung.</x:v>
      </x:c>
      <x:c r="I841" s="36" t="str">
        <x:v>Auf die Zahl der Menschen, die sich beschneiden lassen.</x:v>
      </x:c>
      <x:c r="J841" s="36" t="str">
        <x:v>Auf seine Anerkennung durch die Gemeinden in Galatien.</x:v>
      </x:c>
      <x:c r="K841" s="36" t="n">
        <x:v>1</x:v>
      </x:c>
      <x:c r="L841" s="36" t="str">
        <x:v>Auf das Kreuz Jesu Christi; entscheidend ist die neue Schöpfung.</x:v>
      </x:c>
      <x:c r="M841" s="36" t="str">
        <x:v>Galater 6,12–15</x:v>
      </x:c>
      <x:c r="N841" s="36" t="str">
        <x:v>Paulus grenzt sich von denen ab, die sich äußerer Zeichen rühmen. Sein Ruhm liegt im Kreuz Christi; weder Beschneidung noch Unbeschnittensein ist entscheidend, sondern neue Schöpfung.</x:v>
      </x:c>
      <x:c r="O841" s="36" t="str">
        <x:v>FREIGEGEBEN</x:v>
      </x:c>
      <x:c r="P841" s="36" t="str">
        <x:v>FREIGEGEBEN</x:v>
      </x:c>
      <x:c r="Q841" s="36" t="str">
        <x:v>JA</x:v>
      </x:c>
    </x:row>
    <x:row r="842">
      <x:c r="A842" s="36" t="str">
        <x:v>FP-1101</x:v>
      </x:c>
      <x:c r="B842" s="36" t="str">
        <x:v>EPH</x:v>
      </x:c>
      <x:c r="C842" s="36" t="str">
        <x:v>Epheser</x:v>
      </x:c>
      <x:c r="D842" s="36" t="n">
        <x:v>1</x:v>
      </x:c>
      <x:c r="E842" s="36" t="n">
        <x:v>1</x:v>
      </x:c>
      <x:c r="F842" s="36" t="str">
        <x:v>Womit hat Gott die Glaubenden nach Epheser 1 in Christus gesegnet?</x:v>
      </x:c>
      <x:c r="G842" s="36" t="str">
        <x:v>Mit jedem geistlichen Segen in den himmlischen Bereichen.</x:v>
      </x:c>
      <x:c r="H842" s="36" t="str">
        <x:v>Mit politischer Herrschaft über alle Völker.</x:v>
      </x:c>
      <x:c r="I842" s="36" t="str">
        <x:v>Mit der Zusage eines leidfreien Lebens.</x:v>
      </x:c>
      <x:c r="J842" s="36" t="str">
        <x:v>Mit dem Besitz des Tempels in Jerusalem.</x:v>
      </x:c>
      <x:c r="K842" s="36" t="n">
        <x:v>0</x:v>
      </x:c>
      <x:c r="L842" s="36" t="str">
        <x:v>Mit jedem geistlichen Segen in den himmlischen Bereichen.</x:v>
      </x:c>
      <x:c r="M842" s="36" t="str">
        <x:v>Epheser 1,3–6</x:v>
      </x:c>
      <x:c r="N842" s="36" t="str">
        <x:v>Paulus beginnt mit einem Lob Gottes und beschreibt die Glaubenden als in Christus erwählt und mit geistlichem Segen beschenkt. Ziel ist ein Leben vor Gott in Heiligkeit und Liebe.</x:v>
      </x:c>
      <x:c r="O842" s="36" t="str">
        <x:v>FREIGEGEBEN</x:v>
      </x:c>
      <x:c r="P842" s="36" t="str">
        <x:v>FREIGEGEBEN</x:v>
      </x:c>
      <x:c r="Q842" s="36" t="str">
        <x:v>JA</x:v>
      </x:c>
    </x:row>
    <x:row r="843">
      <x:c r="A843" s="36" t="str">
        <x:v>FP-1102</x:v>
      </x:c>
      <x:c r="B843" s="36" t="str">
        <x:v>EPH</x:v>
      </x:c>
      <x:c r="C843" s="36" t="str">
        <x:v>Epheser</x:v>
      </x:c>
      <x:c r="D843" s="36" t="n">
        <x:v>1</x:v>
      </x:c>
      <x:c r="E843" s="36" t="n">
        <x:v>2</x:v>
      </x:c>
      <x:c r="F843" s="36" t="str">
        <x:v>Was verbindet Paulus in Epheser 1 unmittelbar mit der Erlösung in Christus?</x:v>
      </x:c>
      <x:c r="G843" s="36" t="str">
        <x:v>Die Befreiung von jeder irdischen Verantwortung.</x:v>
      </x:c>
      <x:c r="H843" s="36" t="str">
        <x:v>Die Vergebung der Sünden nach dem Reichtum von Gottes Gnade.</x:v>
      </x:c>
      <x:c r="I843" s="36" t="str">
        <x:v>Die Rückkehr aller Christen nach Jerusalem.</x:v>
      </x:c>
      <x:c r="J843" s="36" t="str">
        <x:v>Die Verpflichtung zu zusätzlichen Speisegeboten.</x:v>
      </x:c>
      <x:c r="K843" s="36" t="n">
        <x:v>1</x:v>
      </x:c>
      <x:c r="L843" s="36" t="str">
        <x:v>Die Vergebung der Sünden nach dem Reichtum von Gottes Gnade.</x:v>
      </x:c>
      <x:c r="M843" s="36" t="str">
        <x:v>Epheser 1,7–8</x:v>
      </x:c>
      <x:c r="N843" s="36" t="str">
        <x:v>Erlösung und Vergebung gehören bei Paulus zusammen. Beides gründet nicht in menschlicher Leistung, sondern im Reichtum der Gnade Gottes in Christus.</x:v>
      </x:c>
      <x:c r="O843" s="36" t="str">
        <x:v>FREIGEGEBEN</x:v>
      </x:c>
      <x:c r="P843" s="36" t="str">
        <x:v>FREIGEGEBEN</x:v>
      </x:c>
      <x:c r="Q843" s="36" t="str">
        <x:v>JA</x:v>
      </x:c>
    </x:row>
    <x:row r="844">
      <x:c r="A844" s="36" t="str">
        <x:v>FP-1103</x:v>
      </x:c>
      <x:c r="B844" s="36" t="str">
        <x:v>EPH</x:v>
      </x:c>
      <x:c r="C844" s="36" t="str">
        <x:v>Epheser</x:v>
      </x:c>
      <x:c r="D844" s="36" t="n">
        <x:v>1</x:v>
      </x:c>
      <x:c r="E844" s="36" t="n">
        <x:v>3</x:v>
      </x:c>
      <x:c r="F844" s="36" t="str">
        <x:v>Worauf läuft Gottes offenbarter Plan nach Epheser 1 hinaus?</x:v>
      </x:c>
      <x:c r="G844" s="36" t="str">
        <x:v>Israel und die Heiden dauerhaft voneinander zu trennen.</x:v>
      </x:c>
      <x:c r="H844" s="36" t="str">
        <x:v>Die Gemeinde ausschließlich auf Ephesus zu begrenzen.</x:v>
      </x:c>
      <x:c r="I844" s="36" t="str">
        <x:v>Alles im Himmel und auf Erden in Christus zusammenzuführen.</x:v>
      </x:c>
      <x:c r="J844" s="36" t="str">
        <x:v>Alle politischen Reiche unter einen menschlichen Herrscher zu stellen.</x:v>
      </x:c>
      <x:c r="K844" s="36" t="n">
        <x:v>2</x:v>
      </x:c>
      <x:c r="L844" s="36" t="str">
        <x:v>Alles im Himmel und auf Erden in Christus zusammenzuführen.</x:v>
      </x:c>
      <x:c r="M844" s="36" t="str">
        <x:v>Epheser 1,9–10</x:v>
      </x:c>
      <x:c r="N844" s="36" t="str">
        <x:v>Das 'Geheimnis' von Gottes Willen zielt auf Christus: In ihm soll alles zusammengeführt werden, was im Himmel und auf Erden ist.</x:v>
      </x:c>
      <x:c r="O844" s="36" t="str">
        <x:v>FREIGEGEBEN</x:v>
      </x:c>
      <x:c r="P844" s="36" t="str">
        <x:v>FREIGEGEBEN</x:v>
      </x:c>
      <x:c r="Q844" s="36" t="str">
        <x:v>JA</x:v>
      </x:c>
    </x:row>
    <x:row r="845">
      <x:c r="A845" s="36" t="str">
        <x:v>FP-1104</x:v>
      </x:c>
      <x:c r="B845" s="36" t="str">
        <x:v>EPH</x:v>
      </x:c>
      <x:c r="C845" s="36" t="str">
        <x:v>Epheser</x:v>
      </x:c>
      <x:c r="D845" s="36" t="n">
        <x:v>1</x:v>
      </x:c>
      <x:c r="E845" s="36" t="n">
        <x:v>4</x:v>
      </x:c>
      <x:c r="F845" s="36" t="str">
        <x:v>Was geschieht nach Epheser 1 mit Menschen, die das Evangelium hören und glauben?</x:v>
      </x:c>
      <x:c r="G845" s="36" t="str">
        <x:v>Sie erhalten automatisch ein kirchliches Leitungsamt.</x:v>
      </x:c>
      <x:c r="H845" s="36" t="str">
        <x:v>Sie müssen Ephesus verlassen.</x:v>
      </x:c>
      <x:c r="I845" s="36" t="str">
        <x:v>Sie werden von allen zukünftigen Prüfungen bewahrt.</x:v>
      </x:c>
      <x:c r="J845" s="36" t="str">
        <x:v>Sie werden mit dem verheißenen Heiligen Geist versiegelt.</x:v>
      </x:c>
      <x:c r="K845" s="36" t="n">
        <x:v>3</x:v>
      </x:c>
      <x:c r="L845" s="36" t="str">
        <x:v>Sie werden mit dem verheißenen Heiligen Geist versiegelt.</x:v>
      </x:c>
      <x:c r="M845" s="36" t="str">
        <x:v>Epheser 1,13–14</x:v>
      </x:c>
      <x:c r="N845" s="36" t="str">
        <x:v>Paulus beschreibt den Heiligen Geist als Siegel und Unterpfand des Erbes. Damit verbindet er Glauben, Zugehörigkeit zu Gott und die Hoffnung auf die endgültige Erlösung.</x:v>
      </x:c>
      <x:c r="O845" s="36" t="str">
        <x:v>FREIGEGEBEN</x:v>
      </x:c>
      <x:c r="P845" s="36" t="str">
        <x:v>FREIGEGEBEN</x:v>
      </x:c>
      <x:c r="Q845" s="36" t="str">
        <x:v>JA</x:v>
      </x:c>
    </x:row>
    <x:row r="846">
      <x:c r="A846" s="36" t="str">
        <x:v>FP-1105</x:v>
      </x:c>
      <x:c r="B846" s="36" t="str">
        <x:v>EPH</x:v>
      </x:c>
      <x:c r="C846" s="36" t="str">
        <x:v>Epheser</x:v>
      </x:c>
      <x:c r="D846" s="36" t="n">
        <x:v>1</x:v>
      </x:c>
      <x:c r="E846" s="36" t="n">
        <x:v>5</x:v>
      </x:c>
      <x:c r="F846" s="36" t="str">
        <x:v>Wofür betet Paulus, wenn er von den 'erleuchteten Augen' der Glaubenden spricht?</x:v>
      </x:c>
      <x:c r="G846" s="36" t="str">
        <x:v>Dass sie Hoffnung, Erbe und die Größe von Gottes Kraft besser erkennen.</x:v>
      </x:c>
      <x:c r="H846" s="36" t="str">
        <x:v>Dass sie genaue Termine für zukünftige Ereignisse berechnen.</x:v>
      </x:c>
      <x:c r="I846" s="36" t="str">
        <x:v>Dass sie keinerlei Fragen mehr zum Glauben haben.</x:v>
      </x:c>
      <x:c r="J846" s="36" t="str">
        <x:v>Dass sie gesellschaftlich über allen anderen stehen.</x:v>
      </x:c>
      <x:c r="K846" s="36" t="n">
        <x:v>0</x:v>
      </x:c>
      <x:c r="L846" s="36" t="str">
        <x:v>Dass sie Hoffnung, Erbe und die Größe von Gottes Kraft besser erkennen.</x:v>
      </x:c>
      <x:c r="M846" s="36" t="str">
        <x:v>Epheser 1,17–23</x:v>
      </x:c>
      <x:c r="N846" s="36" t="str">
        <x:v>Paulus bittet nicht nur um mehr Information, sondern um geistliche Erkenntnis: Die Glaubenden sollen ihre Hoffnung, Gottes Erbe und seine an ihnen wirkende Kraft erfassen.</x:v>
      </x:c>
      <x:c r="O846" s="36" t="str">
        <x:v>FREIGEGEBEN</x:v>
      </x:c>
      <x:c r="P846" s="36" t="str">
        <x:v>FREIGEGEBEN</x:v>
      </x:c>
      <x:c r="Q846" s="36" t="str">
        <x:v>JA</x:v>
      </x:c>
    </x:row>
    <x:row r="847">
      <x:c r="A847" s="36" t="str">
        <x:v>FP-1106</x:v>
      </x:c>
      <x:c r="B847" s="36" t="str">
        <x:v>EPH</x:v>
      </x:c>
      <x:c r="C847" s="36" t="str">
        <x:v>Epheser</x:v>
      </x:c>
      <x:c r="D847" s="36" t="n">
        <x:v>2</x:v>
      </x:c>
      <x:c r="E847" s="36" t="n">
        <x:v>1</x:v>
      </x:c>
      <x:c r="F847" s="36" t="str">
        <x:v>Wie beschreibt Paulus den früheren Zustand der Glaubenden zu Beginn von Epheser 2?</x:v>
      </x:c>
      <x:c r="G847" s="36" t="str">
        <x:v>Als vollkommen gerecht durch eigene Werke.</x:v>
      </x:c>
      <x:c r="H847" s="36" t="str">
        <x:v>Als geistlich tot in Übertretungen und Sünden.</x:v>
      </x:c>
      <x:c r="I847" s="36" t="str">
        <x:v>Als unwissend, aber bereits ohne Sünde.</x:v>
      </x:c>
      <x:c r="J847" s="36" t="str">
        <x:v>Als außerhalb jeder Verantwortung vor Gott.</x:v>
      </x:c>
      <x:c r="K847" s="36" t="n">
        <x:v>1</x:v>
      </x:c>
      <x:c r="L847" s="36" t="str">
        <x:v>Als geistlich tot in Übertretungen und Sünden.</x:v>
      </x:c>
      <x:c r="M847" s="36" t="str">
        <x:v>Epheser 2,1–3</x:v>
      </x:c>
      <x:c r="N847" s="36" t="str">
        <x:v>Paulus zeichnet bewusst einen starken Kontrast: Früher waren sie von Sünde und den Maßstäben dieser Welt geprägt; anschließend stellt er Gottes Barmherzigkeit und neues Leben in Christus dagegen.</x:v>
      </x:c>
      <x:c r="O847" s="36" t="str">
        <x:v>FREIGEGEBEN</x:v>
      </x:c>
      <x:c r="P847" s="36" t="str">
        <x:v>FREIGEGEBEN</x:v>
      </x:c>
      <x:c r="Q847" s="36" t="str">
        <x:v>JA</x:v>
      </x:c>
    </x:row>
    <x:row r="848">
      <x:c r="A848" s="36" t="str">
        <x:v>FP-1107</x:v>
      </x:c>
      <x:c r="B848" s="36" t="str">
        <x:v>EPH</x:v>
      </x:c>
      <x:c r="C848" s="36" t="str">
        <x:v>Epheser</x:v>
      </x:c>
      <x:c r="D848" s="36" t="n">
        <x:v>2</x:v>
      </x:c>
      <x:c r="E848" s="36" t="n">
        <x:v>2</x:v>
      </x:c>
      <x:c r="F848" s="36" t="str">
        <x:v>Wie beschreibt Epheser 2 die Rettung des Menschen?</x:v>
      </x:c>
      <x:c r="G848" s="36" t="str">
        <x:v>Als Lohn für ausreichend viele gute Werke.</x:v>
      </x:c>
      <x:c r="H848" s="36" t="str">
        <x:v>Als Folge der richtigen ethnischen Abstammung.</x:v>
      </x:c>
      <x:c r="I848" s="36" t="str">
        <x:v>Aus Gnade durch Glauben als Gottes Gabe, nicht als Verdienst aus Werken.</x:v>
      </x:c>
      <x:c r="J848" s="36" t="str">
        <x:v>Als Ergebnis besonderer religiöser Titel.</x:v>
      </x:c>
      <x:c r="K848" s="36" t="n">
        <x:v>2</x:v>
      </x:c>
      <x:c r="L848" s="36" t="str">
        <x:v>Aus Gnade durch Glauben als Gottes Gabe, nicht als Verdienst aus Werken.</x:v>
      </x:c>
      <x:c r="M848" s="36" t="str">
        <x:v>Epheser 2,4–9</x:v>
      </x:c>
      <x:c r="N848" s="36" t="str">
        <x:v>Epheser 2 betont Gottes Initiative: Rettung ist Gnade und Geschenk. Werke sind nicht die Grundlage, auf die ein Mensch sich vor Gott berufen könnte.</x:v>
      </x:c>
      <x:c r="O848" s="36" t="str">
        <x:v>FREIGEGEBEN</x:v>
      </x:c>
      <x:c r="P848" s="36" t="str">
        <x:v>FREIGEGEBEN</x:v>
      </x:c>
      <x:c r="Q848" s="36" t="str">
        <x:v>JA</x:v>
      </x:c>
    </x:row>
    <x:row r="849">
      <x:c r="A849" s="36" t="str">
        <x:v>FP-1108</x:v>
      </x:c>
      <x:c r="B849" s="36" t="str">
        <x:v>EPH</x:v>
      </x:c>
      <x:c r="C849" s="36" t="str">
        <x:v>Epheser</x:v>
      </x:c>
      <x:c r="D849" s="36" t="n">
        <x:v>2</x:v>
      </x:c>
      <x:c r="E849" s="36" t="n">
        <x:v>3</x:v>
      </x:c>
      <x:c r="F849" s="36" t="str">
        <x:v>Welche Rolle haben gute Werke nach Epheser 2,10?</x:v>
      </x:c>
      <x:c r="G849" s="36" t="str">
        <x:v>Sie ersetzen den Glauben und verdienen die Rettung.</x:v>
      </x:c>
      <x:c r="H849" s="36" t="str">
        <x:v>Sie sind für Christen grundsätzlich bedeutungslos.</x:v>
      </x:c>
      <x:c r="I849" s="36" t="str">
        <x:v>Sie gelten nur für Menschen jüdischer Herkunft.</x:v>
      </x:c>
      <x:c r="J849" s="36" t="str">
        <x:v>Sie sind der von Gott vorbereitete Weg eines in Christus neu geschaffenen Lebens.</x:v>
      </x:c>
      <x:c r="K849" s="36" t="n">
        <x:v>3</x:v>
      </x:c>
      <x:c r="L849" s="36" t="str">
        <x:v>Sie sind der von Gott vorbereitete Weg eines in Christus neu geschaffenen Lebens.</x:v>
      </x:c>
      <x:c r="M849" s="36" t="str">
        <x:v>Epheser 2,10</x:v>
      </x:c>
      <x:c r="N849" s="36" t="str">
        <x:v>Direkt nach der Aussage über Rettung aus Gnade nennt Paulus gute Werke als Folge des neuen Lebens: Die Glaubenden sind Gottes Werk und sollen in den vorbereiteten guten Werken leben.</x:v>
      </x:c>
      <x:c r="O849" s="36" t="str">
        <x:v>FREIGEGEBEN</x:v>
      </x:c>
      <x:c r="P849" s="36" t="str">
        <x:v>FREIGEGEBEN</x:v>
      </x:c>
      <x:c r="Q849" s="36" t="str">
        <x:v>JA</x:v>
      </x:c>
    </x:row>
    <x:row r="850">
      <x:c r="A850" s="36" t="str">
        <x:v>FP-1109</x:v>
      </x:c>
      <x:c r="B850" s="36" t="str">
        <x:v>EPH</x:v>
      </x:c>
      <x:c r="C850" s="36" t="str">
        <x:v>Epheser</x:v>
      </x:c>
      <x:c r="D850" s="36" t="n">
        <x:v>2</x:v>
      </x:c>
      <x:c r="E850" s="36" t="n">
        <x:v>4</x:v>
      </x:c>
      <x:c r="F850" s="36" t="str">
        <x:v>Was hat Christus nach Epheser 2 für die zuvor 'Fernen' und 'Nahen' bewirkt?</x:v>
      </x:c>
      <x:c r="G850" s="36" t="str">
        <x:v>Er hat Frieden geschaffen und beide in einem Leib mit Gott versöhnt.</x:v>
      </x:c>
      <x:c r="H850" s="36" t="str">
        <x:v>Er hat ihre Trennung dauerhaft religiös festgeschrieben.</x:v>
      </x:c>
      <x:c r="I850" s="36" t="str">
        <x:v>Er hat nur den Fernen Zugang zu Gott gegeben.</x:v>
      </x:c>
      <x:c r="J850" s="36" t="str">
        <x:v>Er hat den Zugang zum Vater an die Herkunft gebunden.</x:v>
      </x:c>
      <x:c r="K850" s="36" t="n">
        <x:v>0</x:v>
      </x:c>
      <x:c r="L850" s="36" t="str">
        <x:v>Er hat Frieden geschaffen und beide in einem Leib mit Gott versöhnt.</x:v>
      </x:c>
      <x:c r="M850" s="36" t="str">
        <x:v>Epheser 2,13–18</x:v>
      </x:c>
      <x:c r="N850" s="36" t="str">
        <x:v>Christus wird als 'unser Friede' beschrieben. Der Text betont die Überwindung von Feindschaft und den gemeinsamen Zugang zum Vater durch einen Geist.</x:v>
      </x:c>
      <x:c r="O850" s="36" t="str">
        <x:v>FREIGEGEBEN</x:v>
      </x:c>
      <x:c r="P850" s="36" t="str">
        <x:v>FREIGEGEBEN</x:v>
      </x:c>
      <x:c r="Q850" s="36" t="str">
        <x:v>JA</x:v>
      </x:c>
    </x:row>
    <x:row r="851">
      <x:c r="A851" s="36" t="str">
        <x:v>FP-1110</x:v>
      </x:c>
      <x:c r="B851" s="36" t="str">
        <x:v>EPH</x:v>
      </x:c>
      <x:c r="C851" s="36" t="str">
        <x:v>Epheser</x:v>
      </x:c>
      <x:c r="D851" s="36" t="n">
        <x:v>2</x:v>
      </x:c>
      <x:c r="E851" s="36" t="n">
        <x:v>5</x:v>
      </x:c>
      <x:c r="F851" s="36" t="str">
        <x:v>Mit welchem Bild beschreibt Paulus die neue Zugehörigkeit der Glaubenden am Ende von Epheser 2?</x:v>
      </x:c>
      <x:c r="G851" s="36" t="str">
        <x:v>Als voneinander getrennte Einzelhäuser ohne gemeinsames Fundament.</x:v>
      </x:c>
      <x:c r="H851" s="36" t="str">
        <x:v>Als Mitbürger und Hausgenossen Gottes, aufgebaut auf einem Fundament mit Christus als Eckstein.</x:v>
      </x:c>
      <x:c r="I851" s="36" t="str">
        <x:v>Als politische Beamte eines irdischen Reiches.</x:v>
      </x:c>
      <x:c r="J851" s="36" t="str">
        <x:v>Als Besucher, die dauerhaft Fremde bleiben.</x:v>
      </x:c>
      <x:c r="K851" s="36" t="n">
        <x:v>1</x:v>
      </x:c>
      <x:c r="L851" s="36" t="str">
        <x:v>Als Mitbürger und Hausgenossen Gottes, aufgebaut auf einem Fundament mit Christus als Eckstein.</x:v>
      </x:c>
      <x:c r="M851" s="36" t="str">
        <x:v>Epheser 2,19–22</x:v>
      </x:c>
      <x:c r="N851" s="36" t="str">
        <x:v>Aus Fremden werden Mitbürger und Angehörige von Gottes Haus. Das Bild steigert sich zu einem gemeinsamen Bau, dessen Eckstein Christus ist und der zu einer Wohnung Gottes im Geist wächst.</x:v>
      </x:c>
      <x:c r="O851" s="36" t="str">
        <x:v>FREIGEGEBEN</x:v>
      </x:c>
      <x:c r="P851" s="36" t="str">
        <x:v>FREIGEGEBEN</x:v>
      </x:c>
      <x:c r="Q851" s="36" t="str">
        <x:v>JA</x:v>
      </x:c>
    </x:row>
    <x:row r="852">
      <x:c r="A852" s="36" t="str">
        <x:v>FP-1111</x:v>
      </x:c>
      <x:c r="B852" s="36" t="str">
        <x:v>EPH</x:v>
      </x:c>
      <x:c r="C852" s="36" t="str">
        <x:v>Epheser</x:v>
      </x:c>
      <x:c r="D852" s="36" t="n">
        <x:v>3</x:v>
      </x:c>
      <x:c r="E852" s="36" t="n">
        <x:v>1</x:v>
      </x:c>
      <x:c r="F852" s="36" t="str">
        <x:v>Was ist das in Epheser 3 beschriebene 'Geheimnis' Christi?</x:v>
      </x:c>
      <x:c r="G852" s="36" t="str">
        <x:v>Dass nur eine bestimmte Volksgruppe Gottes Verheißung empfangen kann.</x:v>
      </x:c>
      <x:c r="H852" s="36" t="str">
        <x:v>Dass Paulus die Gemeinde in Ephesus politisch leiten soll.</x:v>
      </x:c>
      <x:c r="I852" s="36" t="str">
        <x:v>Dass die Heiden durch das Evangelium Miterben, Mitglieder desselben Leibes und Mitteilhaber der Verheißung sind.</x:v>
      </x:c>
      <x:c r="J852" s="36" t="str">
        <x:v>Dass das Evangelium nur den Aposteln bekannt sein darf.</x:v>
      </x:c>
      <x:c r="K852" s="36" t="n">
        <x:v>2</x:v>
      </x:c>
      <x:c r="L852" s="36" t="str">
        <x:v>Dass die Heiden durch das Evangelium Miterben, Mitglieder desselben Leibes und Mitteilhaber der Verheißung sind.</x:v>
      </x:c>
      <x:c r="M852" s="36" t="str">
        <x:v>Epheser 3,3–6</x:v>
      </x:c>
      <x:c r="N852" s="36" t="str">
        <x:v>Paulus nennt ausdrücklich die Einbeziehung der Heiden: In Christus gehören sie durch das Evangelium gemeinsam zum Erbe, zum Leib und zur Verheißung.</x:v>
      </x:c>
      <x:c r="O852" s="36" t="str">
        <x:v>FREIGEGEBEN</x:v>
      </x:c>
      <x:c r="P852" s="36" t="str">
        <x:v>FREIGEGEBEN</x:v>
      </x:c>
      <x:c r="Q852" s="36" t="str">
        <x:v>JA</x:v>
      </x:c>
    </x:row>
    <x:row r="853">
      <x:c r="A853" s="36" t="str">
        <x:v>FP-1112</x:v>
      </x:c>
      <x:c r="B853" s="36" t="str">
        <x:v>EPH</x:v>
      </x:c>
      <x:c r="C853" s="36" t="str">
        <x:v>Epheser</x:v>
      </x:c>
      <x:c r="D853" s="36" t="n">
        <x:v>3</x:v>
      </x:c>
      <x:c r="E853" s="36" t="n">
        <x:v>2</x:v>
      </x:c>
      <x:c r="F853" s="36" t="str">
        <x:v>Welchen Auftrag verbindet Paulus mit der ihm gegebenen Gnade?</x:v>
      </x:c>
      <x:c r="G853" s="36" t="str">
        <x:v>Nur über seine eigene Biografie zu sprechen.</x:v>
      </x:c>
      <x:c r="H853" s="36" t="str">
        <x:v>Die Gemeinden von allen Nichtjuden abzuschotten.</x:v>
      </x:c>
      <x:c r="I853" s="36" t="str">
        <x:v>Die Botschaft möglichst geheim zu halten.</x:v>
      </x:c>
      <x:c r="J853" s="36" t="str">
        <x:v>Den Heiden den unergründlichen Reichtum Christi zu verkündigen.</x:v>
      </x:c>
      <x:c r="K853" s="36" t="n">
        <x:v>3</x:v>
      </x:c>
      <x:c r="L853" s="36" t="str">
        <x:v>Den Heiden den unergründlichen Reichtum Christi zu verkündigen.</x:v>
      </x:c>
      <x:c r="M853" s="36" t="str">
        <x:v>Epheser 3,7–9</x:v>
      </x:c>
      <x:c r="N853" s="36" t="str">
        <x:v>Paulus versteht seinen Dienst als Gnadengabe. Sein Auftrag ist, Christus unter den Heiden zu verkündigen und die Bedeutung des lange verborgenen göttlichen Plans sichtbar zu machen.</x:v>
      </x:c>
      <x:c r="O853" s="36" t="str">
        <x:v>FREIGEGEBEN</x:v>
      </x:c>
      <x:c r="P853" s="36" t="str">
        <x:v>FREIGEGEBEN</x:v>
      </x:c>
      <x:c r="Q853" s="36" t="str">
        <x:v>JA</x:v>
      </x:c>
    </x:row>
    <x:row r="854">
      <x:c r="A854" s="36" t="str">
        <x:v>FP-1113</x:v>
      </x:c>
      <x:c r="B854" s="36" t="str">
        <x:v>EPH</x:v>
      </x:c>
      <x:c r="C854" s="36" t="str">
        <x:v>Epheser</x:v>
      </x:c>
      <x:c r="D854" s="36" t="n">
        <x:v>3</x:v>
      </x:c>
      <x:c r="E854" s="36" t="n">
        <x:v>3</x:v>
      </x:c>
      <x:c r="F854" s="36" t="str">
        <x:v>Was soll nach Epheser 3 durch die Gemeinde sichtbar werden?</x:v>
      </x:c>
      <x:c r="G854" s="36" t="str">
        <x:v>Die vielfältige Weisheit Gottes.</x:v>
      </x:c>
      <x:c r="H854" s="36" t="str">
        <x:v>Die militärische Stärke der Christen.</x:v>
      </x:c>
      <x:c r="I854" s="36" t="str">
        <x:v>Die Überlegenheit einer bestimmten Kultur.</x:v>
      </x:c>
      <x:c r="J854" s="36" t="str">
        <x:v>Die Unabhängigkeit der Gemeinde von Christus.</x:v>
      </x:c>
      <x:c r="K854" s="36" t="n">
        <x:v>0</x:v>
      </x:c>
      <x:c r="L854" s="36" t="str">
        <x:v>Die vielfältige Weisheit Gottes.</x:v>
      </x:c>
      <x:c r="M854" s="36" t="str">
        <x:v>Epheser 3,10–11</x:v>
      </x:c>
      <x:c r="N854" s="36" t="str">
        <x:v>Paulus beschreibt die Gemeinde selbst als Teil von Gottes Offenbarung: An ihr soll die vielfältige Weisheit Gottes sogar den Mächten in den himmlischen Bereichen bekannt werden.</x:v>
      </x:c>
      <x:c r="O854" s="36" t="str">
        <x:v>FREIGEGEBEN</x:v>
      </x:c>
      <x:c r="P854" s="36" t="str">
        <x:v>FREIGEGEBEN</x:v>
      </x:c>
      <x:c r="Q854" s="36" t="str">
        <x:v>JA</x:v>
      </x:c>
    </x:row>
    <x:row r="855">
      <x:c r="A855" s="36" t="str">
        <x:v>FP-1114</x:v>
      </x:c>
      <x:c r="B855" s="36" t="str">
        <x:v>EPH</x:v>
      </x:c>
      <x:c r="C855" s="36" t="str">
        <x:v>Epheser</x:v>
      </x:c>
      <x:c r="D855" s="36" t="n">
        <x:v>3</x:v>
      </x:c>
      <x:c r="E855" s="36" t="n">
        <x:v>4</x:v>
      </x:c>
      <x:c r="F855" s="36" t="str">
        <x:v>Was haben Glaubende nach Epheser 3 in Christus durch den Glauben?</x:v>
      </x:c>
      <x:c r="G855" s="36" t="str">
        <x:v>Anspruch auf ein Leben ohne Leiden.</x:v>
      </x:c>
      <x:c r="H855" s="36" t="str">
        <x:v>Freimütigen und vertrauensvollen Zugang zu Gott.</x:v>
      </x:c>
      <x:c r="I855" s="36" t="str">
        <x:v>Automatisch mehr geistliches Ansehen als andere.</x:v>
      </x:c>
      <x:c r="J855" s="36" t="str">
        <x:v>Die Pflicht, sich von allen Nichtchristen zurückzuziehen.</x:v>
      </x:c>
      <x:c r="K855" s="36" t="n">
        <x:v>1</x:v>
      </x:c>
      <x:c r="L855" s="36" t="str">
        <x:v>Freimütigen und vertrauensvollen Zugang zu Gott.</x:v>
      </x:c>
      <x:c r="M855" s="36" t="str">
        <x:v>Epheser 3,11–12</x:v>
      </x:c>
      <x:c r="N855" s="36" t="str">
        <x:v>Der ewige Vorsatz Gottes ist in Christus verwirklicht. Deshalb spricht Paulus von Freimut und vertrauensvollem Zugang zu Gott durch den Glauben an Christus.</x:v>
      </x:c>
      <x:c r="O855" s="36" t="str">
        <x:v>FREIGEGEBEN</x:v>
      </x:c>
      <x:c r="P855" s="36" t="str">
        <x:v>FREIGEGEBEN</x:v>
      </x:c>
      <x:c r="Q855" s="36" t="str">
        <x:v>JA</x:v>
      </x:c>
    </x:row>
    <x:row r="856">
      <x:c r="A856" s="36" t="str">
        <x:v>FP-1115</x:v>
      </x:c>
      <x:c r="B856" s="36" t="str">
        <x:v>EPH</x:v>
      </x:c>
      <x:c r="C856" s="36" t="str">
        <x:v>Epheser</x:v>
      </x:c>
      <x:c r="D856" s="36" t="n">
        <x:v>3</x:v>
      </x:c>
      <x:c r="E856" s="36" t="n">
        <x:v>5</x:v>
      </x:c>
      <x:c r="F856" s="36" t="str">
        <x:v>Worauf zielt Paulus' Gebet am Ende von Epheser 3?</x:v>
      </x:c>
      <x:c r="G856" s="36" t="str">
        <x:v>Auf genaue Kenntnis aller zukünftigen politischen Ereignisse.</x:v>
      </x:c>
      <x:c r="H856" s="36" t="str">
        <x:v>Auf vollständige Unabhängigkeit von der Gemeinde.</x:v>
      </x:c>
      <x:c r="I856" s="36" t="str">
        <x:v>Auf innere Stärkung durch den Geist, Verwurzelung in Liebe und tiefere Erkenntnis der Liebe Christi.</x:v>
      </x:c>
      <x:c r="J856" s="36" t="str">
        <x:v>Auf die Fähigkeit, Gottes Liebe vollständig begrifflich auszuschöpfen.</x:v>
      </x:c>
      <x:c r="K856" s="36" t="n">
        <x:v>2</x:v>
      </x:c>
      <x:c r="L856" s="36" t="str">
        <x:v>Auf innere Stärkung durch den Geist, Verwurzelung in Liebe und tiefere Erkenntnis der Liebe Christi.</x:v>
      </x:c>
      <x:c r="M856" s="36" t="str">
        <x:v>Epheser 3,14–21</x:v>
      </x:c>
      <x:c r="N856" s="36" t="str">
        <x:v>Paulus bittet um Kraft im inneren Menschen, um Christi Wohnen im Herzen und um Verwurzelung in Liebe. Dabei bezeichnet er die Liebe Christi zugleich als größer als menschliches Erkennen.</x:v>
      </x:c>
      <x:c r="O856" s="36" t="str">
        <x:v>FREIGEGEBEN</x:v>
      </x:c>
      <x:c r="P856" s="36" t="str">
        <x:v>FREIGEGEBEN</x:v>
      </x:c>
      <x:c r="Q856" s="36" t="str">
        <x:v>JA</x:v>
      </x:c>
    </x:row>
    <x:row r="857">
      <x:c r="A857" s="36" t="str">
        <x:v>FP-1116</x:v>
      </x:c>
      <x:c r="B857" s="36" t="str">
        <x:v>EPH</x:v>
      </x:c>
      <x:c r="C857" s="36" t="str">
        <x:v>Epheser</x:v>
      </x:c>
      <x:c r="D857" s="36" t="n">
        <x:v>4</x:v>
      </x:c>
      <x:c r="E857" s="36" t="n">
        <x:v>1</x:v>
      </x:c>
      <x:c r="F857" s="36" t="str">
        <x:v>Welche Haltung gehört nach Epheser 4 zu einem Leben, das der Berufung würdig ist?</x:v>
      </x:c>
      <x:c r="G857" s="36" t="str">
        <x:v>Ständiger Wettbewerb um die wichtigste Position.</x:v>
      </x:c>
      <x:c r="H857" s="36" t="str">
        <x:v>Distanz zu allen Menschen mit anderer Meinung.</x:v>
      </x:c>
      <x:c r="I857" s="36" t="str">
        <x:v>Härte als wichtigste Form geistlicher Reife.</x:v>
      </x:c>
      <x:c r="J857" s="36" t="str">
        <x:v>Demut, Sanftmut, Geduld und liebevolles Ertragen.</x:v>
      </x:c>
      <x:c r="K857" s="36" t="n">
        <x:v>3</x:v>
      </x:c>
      <x:c r="L857" s="36" t="str">
        <x:v>Demut, Sanftmut, Geduld und liebevolles Ertragen.</x:v>
      </x:c>
      <x:c r="M857" s="36" t="str">
        <x:v>Epheser 4,1–3</x:v>
      </x:c>
      <x:c r="N857" s="36" t="str">
        <x:v>Paulus verbindet die Berufung mit konkretem Verhalten. Die genannten Haltungen dienen ausdrücklich dazu, die Einheit des Geistes im Band des Friedens zu bewahren.</x:v>
      </x:c>
      <x:c r="O857" s="36" t="str">
        <x:v>FREIGEGEBEN</x:v>
      </x:c>
      <x:c r="P857" s="36" t="str">
        <x:v>FREIGEGEBEN</x:v>
      </x:c>
      <x:c r="Q857" s="36" t="str">
        <x:v>JA</x:v>
      </x:c>
    </x:row>
    <x:row r="858">
      <x:c r="A858" s="36" t="str">
        <x:v>FP-1117</x:v>
      </x:c>
      <x:c r="B858" s="36" t="str">
        <x:v>EPH</x:v>
      </x:c>
      <x:c r="C858" s="36" t="str">
        <x:v>Epheser</x:v>
      </x:c>
      <x:c r="D858" s="36" t="n">
        <x:v>4</x:v>
      </x:c>
      <x:c r="E858" s="36" t="n">
        <x:v>2</x:v>
      </x:c>
      <x:c r="F858" s="36" t="str">
        <x:v>Wozu dienen die verschiedenen Gaben und Dienste in Epheser 4?</x:v>
      </x:c>
      <x:c r="G858" s="36" t="str">
        <x:v>Zur Zurüstung der Heiligen, zum Dienst und zum Aufbau des Leibes Christi.</x:v>
      </x:c>
      <x:c r="H858" s="36" t="str">
        <x:v>Damit einzelne Personen dauerhaft über der Gemeinde stehen.</x:v>
      </x:c>
      <x:c r="I858" s="36" t="str">
        <x:v>Damit jeder unabhängig von den anderen wirken kann.</x:v>
      </x:c>
      <x:c r="J858" s="36" t="str">
        <x:v>Damit nur Apostel geistlich wachsen.</x:v>
      </x:c>
      <x:c r="K858" s="36" t="n">
        <x:v>0</x:v>
      </x:c>
      <x:c r="L858" s="36" t="str">
        <x:v>Zur Zurüstung der Heiligen, zum Dienst und zum Aufbau des Leibes Christi.</x:v>
      </x:c>
      <x:c r="M858" s="36" t="str">
        <x:v>Epheser 4,7–13</x:v>
      </x:c>
      <x:c r="N858" s="36" t="str">
        <x:v>Die verschiedenen Dienste haben ein gemeinsames Ziel: die Glaubenden auszurüsten und den Leib Christi aufzubauen, bis Einheit, Erkenntnis und geistliche Reife wachsen.</x:v>
      </x:c>
      <x:c r="O858" s="36" t="str">
        <x:v>FREIGEGEBEN</x:v>
      </x:c>
      <x:c r="P858" s="36" t="str">
        <x:v>FREIGEGEBEN</x:v>
      </x:c>
      <x:c r="Q858" s="36" t="str">
        <x:v>JA</x:v>
      </x:c>
    </x:row>
    <x:row r="859">
      <x:c r="A859" s="36" t="str">
        <x:v>FP-1118</x:v>
      </x:c>
      <x:c r="B859" s="36" t="str">
        <x:v>EPH</x:v>
      </x:c>
      <x:c r="C859" s="36" t="str">
        <x:v>Epheser</x:v>
      </x:c>
      <x:c r="D859" s="36" t="n">
        <x:v>4</x:v>
      </x:c>
      <x:c r="E859" s="36" t="n">
        <x:v>3</x:v>
      </x:c>
      <x:c r="F859" s="36" t="str">
        <x:v>Woran zeigt sich nach Epheser 4 geistliche Reife?</x:v>
      </x:c>
      <x:c r="G859" s="36" t="str">
        <x:v>Keine Fragen mehr stellen zu dürfen.</x:v>
      </x:c>
      <x:c r="H859" s="36" t="str">
        <x:v>Nicht von jeder Lehre hin- und hergeworfen zu werden, sondern in Liebe zur Wahrheit hin zu Christus zu wachsen.</x:v>
      </x:c>
      <x:c r="I859" s="36" t="str">
        <x:v>Sich von allen anderen Gliedern der Gemeinde unabhängig zu machen.</x:v>
      </x:c>
      <x:c r="J859" s="36" t="str">
        <x:v>Jede neue Aussage ungeprüft anzunehmen.</x:v>
      </x:c>
      <x:c r="K859" s="36" t="n">
        <x:v>1</x:v>
      </x:c>
      <x:c r="L859" s="36" t="str">
        <x:v>Nicht von jeder Lehre hin- und hergeworfen zu werden, sondern in Liebe zur Wahrheit hin zu Christus zu wachsen.</x:v>
      </x:c>
      <x:c r="M859" s="36" t="str">
        <x:v>Epheser 4,13–16</x:v>
      </x:c>
      <x:c r="N859" s="36" t="str">
        <x:v>Paulus stellt Unmündigkeit der Reife gegenüber. Wachstum geschieht auf Christus, das Haupt, hin und innerhalb eines Leibes, dessen Glieder einander dienen.</x:v>
      </x:c>
      <x:c r="O859" s="36" t="str">
        <x:v>FREIGEGEBEN</x:v>
      </x:c>
      <x:c r="P859" s="36" t="str">
        <x:v>FREIGEGEBEN</x:v>
      </x:c>
      <x:c r="Q859" s="36" t="str">
        <x:v>JA</x:v>
      </x:c>
    </x:row>
    <x:row r="860">
      <x:c r="A860" s="36" t="str">
        <x:v>FP-1119</x:v>
      </x:c>
      <x:c r="B860" s="36" t="str">
        <x:v>EPH</x:v>
      </x:c>
      <x:c r="C860" s="36" t="str">
        <x:v>Epheser</x:v>
      </x:c>
      <x:c r="D860" s="36" t="n">
        <x:v>4</x:v>
      </x:c>
      <x:c r="E860" s="36" t="n">
        <x:v>4</x:v>
      </x:c>
      <x:c r="F860" s="36" t="str">
        <x:v>Wie beschreibt Paulus die grundlegende Veränderung des christlichen Lebens in Epheser 4?</x:v>
      </x:c>
      <x:c r="G860" s="36" t="str">
        <x:v>Nur äußerliche religiöse Regeln ergänzen.</x:v>
      </x:c>
      <x:c r="H860" s="36" t="str">
        <x:v>Die eigene Vergangenheit vollständig leugnen.</x:v>
      </x:c>
      <x:c r="I860" s="36" t="str">
        <x:v>Den alten Menschen ablegen, im Denken erneuert werden und den neuen Menschen anziehen.</x:v>
      </x:c>
      <x:c r="J860" s="36" t="str">
        <x:v>Sich allein durch gesellschaftliche Anerkennung verändern.</x:v>
      </x:c>
      <x:c r="K860" s="36" t="n">
        <x:v>2</x:v>
      </x:c>
      <x:c r="L860" s="36" t="str">
        <x:v>Den alten Menschen ablegen, im Denken erneuert werden und den neuen Menschen anziehen.</x:v>
      </x:c>
      <x:c r="M860" s="36" t="str">
        <x:v>Epheser 4,20–24</x:v>
      </x:c>
      <x:c r="N860" s="36" t="str">
        <x:v>Paulus beschreibt Veränderung als tiefgreifende Erneuerung: Der alte Lebensstil wird abgelegt, das Denken erneuert und ein neues, an Gottes Gerechtigkeit und Heiligkeit orientiertes Leben angezogen.</x:v>
      </x:c>
      <x:c r="O860" s="36" t="str">
        <x:v>FREIGEGEBEN</x:v>
      </x:c>
      <x:c r="P860" s="36" t="str">
        <x:v>FREIGEGEBEN</x:v>
      </x:c>
      <x:c r="Q860" s="36" t="str">
        <x:v>JA</x:v>
      </x:c>
    </x:row>
    <x:row r="861">
      <x:c r="A861" s="36" t="str">
        <x:v>FP-1120</x:v>
      </x:c>
      <x:c r="B861" s="36" t="str">
        <x:v>EPH</x:v>
      </x:c>
      <x:c r="C861" s="36" t="str">
        <x:v>Epheser</x:v>
      </x:c>
      <x:c r="D861" s="36" t="n">
        <x:v>4</x:v>
      </x:c>
      <x:c r="E861" s="36" t="n">
        <x:v>5</x:v>
      </x:c>
      <x:c r="F861" s="36" t="str">
        <x:v>Welche Art von Worten sollen nach Epheser 4 aus dem Mund der Glaubenden kommen?</x:v>
      </x:c>
      <x:c r="G861" s="36" t="str">
        <x:v>Nur Worte, die möglichst hart klingen.</x:v>
      </x:c>
      <x:c r="H861" s="36" t="str">
        <x:v>Ausschließlich Kritik an anderen.</x:v>
      </x:c>
      <x:c r="I861" s="36" t="str">
        <x:v>Worte ohne Rücksicht auf ihre Wirkung.</x:v>
      </x:c>
      <x:c r="J861" s="36" t="str">
        <x:v>Worte, die dort aufbauen, wo es nötig ist, und den Hörenden Gutes vermitteln.</x:v>
      </x:c>
      <x:c r="K861" s="36" t="n">
        <x:v>3</x:v>
      </x:c>
      <x:c r="L861" s="36" t="str">
        <x:v>Worte, die dort aufbauen, wo es nötig ist, und den Hörenden Gutes vermitteln.</x:v>
      </x:c>
      <x:c r="M861" s="36" t="str">
        <x:v>Epheser 4,29–32</x:v>
      </x:c>
      <x:c r="N861" s="36" t="str">
        <x:v>Paulus stellt zerstörerischer Rede eine Sprache gegenüber, die aufbaut und Gnade vermittelt. Der Abschnitt endet entsprechend mit Freundlichkeit, Barmherzigkeit und gegenseitiger Vergebung.</x:v>
      </x:c>
      <x:c r="O861" s="36" t="str">
        <x:v>FREIGEGEBEN</x:v>
      </x:c>
      <x:c r="P861" s="36" t="str">
        <x:v>FREIGEGEBEN</x:v>
      </x:c>
      <x:c r="Q861" s="36" t="str">
        <x:v>JA</x:v>
      </x:c>
    </x:row>
    <x:row r="862">
      <x:c r="A862" s="36" t="str">
        <x:v>FP-1121</x:v>
      </x:c>
      <x:c r="B862" s="36" t="str">
        <x:v>EPH</x:v>
      </x:c>
      <x:c r="C862" s="36" t="str">
        <x:v>Epheser</x:v>
      </x:c>
      <x:c r="D862" s="36" t="n">
        <x:v>5</x:v>
      </x:c>
      <x:c r="E862" s="36" t="n">
        <x:v>1</x:v>
      </x:c>
      <x:c r="F862" s="36" t="str">
        <x:v>Woran soll sich der Weg der Liebe nach Epheser 5 orientieren?</x:v>
      </x:c>
      <x:c r="G862" s="36" t="str">
        <x:v>An Christus, der geliebt und sich selbst hingegeben hat.</x:v>
      </x:c>
      <x:c r="H862" s="36" t="str">
        <x:v>An möglichst großer gesellschaftlicher Anerkennung.</x:v>
      </x:c>
      <x:c r="I862" s="36" t="str">
        <x:v>An der Durchsetzung eigener Interessen.</x:v>
      </x:c>
      <x:c r="J862" s="36" t="str">
        <x:v>An der Vermeidung jeder persönlichen Hingabe.</x:v>
      </x:c>
      <x:c r="K862" s="36" t="n">
        <x:v>0</x:v>
      </x:c>
      <x:c r="L862" s="36" t="str">
        <x:v>An Christus, der geliebt und sich selbst hingegeben hat.</x:v>
      </x:c>
      <x:c r="M862" s="36" t="str">
        <x:v>Epheser 5,1–2</x:v>
      </x:c>
      <x:c r="N862" s="36" t="str">
        <x:v>Paulus verbindet die Aufforderung, Gott nachzuahmen, unmittelbar mit einem Leben in Liebe. Maßstab dafür ist Christi selbsthingebende Liebe.</x:v>
      </x:c>
      <x:c r="O862" s="36" t="str">
        <x:v>FREIGEGEBEN</x:v>
      </x:c>
      <x:c r="P862" s="36" t="str">
        <x:v>FREIGEGEBEN</x:v>
      </x:c>
      <x:c r="Q862" s="36" t="str">
        <x:v>JA</x:v>
      </x:c>
    </x:row>
    <x:row r="863">
      <x:c r="A863" s="36" t="str">
        <x:v>FP-1122</x:v>
      </x:c>
      <x:c r="B863" s="36" t="str">
        <x:v>EPH</x:v>
      </x:c>
      <x:c r="C863" s="36" t="str">
        <x:v>Epheser</x:v>
      </x:c>
      <x:c r="D863" s="36" t="n">
        <x:v>5</x:v>
      </x:c>
      <x:c r="E863" s="36" t="n">
        <x:v>2</x:v>
      </x:c>
      <x:c r="F863" s="36" t="str">
        <x:v>Wie sollen Menschen leben, die nach Epheser 5 'Licht im Herrn' sind?</x:v>
      </x:c>
      <x:c r="G863" s="36" t="str">
        <x:v>So, als hätte ihr Verhalten keine Bedeutung.</x:v>
      </x:c>
      <x:c r="H863" s="36" t="str">
        <x:v>Als Kinder des Lichts und prüfend, was dem Herrn gefällt.</x:v>
      </x:c>
      <x:c r="I863" s="36" t="str">
        <x:v>Nur verborgen und ohne Bezug zu anderen.</x:v>
      </x:c>
      <x:c r="J863" s="36" t="str">
        <x:v>Indem sie alles übernehmen, was ihre Umgebung tut.</x:v>
      </x:c>
      <x:c r="K863" s="36" t="n">
        <x:v>1</x:v>
      </x:c>
      <x:c r="L863" s="36" t="str">
        <x:v>Als Kinder des Lichts und prüfend, was dem Herrn gefällt.</x:v>
      </x:c>
      <x:c r="M863" s="36" t="str">
        <x:v>Epheser 5,8–10</x:v>
      </x:c>
      <x:c r="N863" s="36" t="str">
        <x:v>Paulus stellt frühere Finsternis und neues Licht einander gegenüber. Das neue Leben soll sich in Güte, Gerechtigkeit und Wahrheit zeigen und bewusst danach fragen, was Gott gefällt.</x:v>
      </x:c>
      <x:c r="O863" s="36" t="str">
        <x:v>FREIGEGEBEN</x:v>
      </x:c>
      <x:c r="P863" s="36" t="str">
        <x:v>FREIGEGEBEN</x:v>
      </x:c>
      <x:c r="Q863" s="36" t="str">
        <x:v>JA</x:v>
      </x:c>
    </x:row>
    <x:row r="864">
      <x:c r="A864" s="36" t="str">
        <x:v>FP-1123</x:v>
      </x:c>
      <x:c r="B864" s="36" t="str">
        <x:v>EPH</x:v>
      </x:c>
      <x:c r="C864" s="36" t="str">
        <x:v>Epheser</x:v>
      </x:c>
      <x:c r="D864" s="36" t="n">
        <x:v>5</x:v>
      </x:c>
      <x:c r="E864" s="36" t="n">
        <x:v>3</x:v>
      </x:c>
      <x:c r="F864" s="36" t="str">
        <x:v>Was kennzeichnet nach Epheser 5 einen weisen Umgang mit dem Leben?</x:v>
      </x:c>
      <x:c r="G864" s="36" t="str">
        <x:v>Sich mit Wein zu berauschen, um Sorgen zu vergessen.</x:v>
      </x:c>
      <x:c r="H864" s="36" t="str">
        <x:v>Alle Entscheidungen spontan und ohne Prüfung zu treffen.</x:v>
      </x:c>
      <x:c r="I864" s="36" t="str">
        <x:v>Die Zeit gut zu nutzen, Gottes Willen verstehen zu wollen und sich vom Geist erfüllen zu lassen.</x:v>
      </x:c>
      <x:c r="J864" s="36" t="str">
        <x:v>Sich aus jedem gemeinschaftlichen Leben zurückzuziehen.</x:v>
      </x:c>
      <x:c r="K864" s="36" t="n">
        <x:v>2</x:v>
      </x:c>
      <x:c r="L864" s="36" t="str">
        <x:v>Die Zeit gut zu nutzen, Gottes Willen verstehen zu wollen und sich vom Geist erfüllen zu lassen.</x:v>
      </x:c>
      <x:c r="M864" s="36" t="str">
        <x:v>Epheser 5,15–20</x:v>
      </x:c>
      <x:c r="N864" s="36" t="str">
        <x:v>Paulus verbindet sorgfältiges und weises Leben mit dem Auskaufen der Zeit, dem Verstehen von Gottes Willen und dem Erfülltsein vom Geist statt von berauschendem Wein.</x:v>
      </x:c>
      <x:c r="O864" s="36" t="str">
        <x:v>FREIGEGEBEN</x:v>
      </x:c>
      <x:c r="P864" s="36" t="str">
        <x:v>FREIGEGEBEN</x:v>
      </x:c>
      <x:c r="Q864" s="36" t="str">
        <x:v>JA</x:v>
      </x:c>
    </x:row>
    <x:row r="865">
      <x:c r="A865" s="36" t="str">
        <x:v>FP-1124</x:v>
      </x:c>
      <x:c r="B865" s="36" t="str">
        <x:v>EPH</x:v>
      </x:c>
      <x:c r="C865" s="36" t="str">
        <x:v>Epheser</x:v>
      </x:c>
      <x:c r="D865" s="36" t="n">
        <x:v>5</x:v>
      </x:c>
      <x:c r="E865" s="36" t="n">
        <x:v>4</x:v>
      </x:c>
      <x:c r="F865" s="36" t="str">
        <x:v>Welche Aufforderung steht in Epheser 5 unmittelbar vor den Anweisungen an Frauen und Männer?</x:v>
      </x:c>
      <x:c r="G865" s="36" t="str">
        <x:v>Meidet jede Gemeinschaft mit Ungläubigen.</x:v>
      </x:c>
      <x:c r="H865" s="36" t="str">
        <x:v>Prüft alle Geister.</x:v>
      </x:c>
      <x:c r="I865" s="36" t="str">
        <x:v>Vergeltet Böses mit Bösem.</x:v>
      </x:c>
      <x:c r="J865" s="36" t="str">
        <x:v>Ordnet euch einander unter.</x:v>
      </x:c>
      <x:c r="K865" s="36" t="n">
        <x:v>3</x:v>
      </x:c>
      <x:c r="L865" s="36" t="str">
        <x:v>Ordnet euch einander unter.</x:v>
      </x:c>
      <x:c r="M865" s="36" t="str">
        <x:v>Epheser 5,21</x:v>
      </x:c>
      <x:c r="N865" s="36" t="str">
        <x:v>Direkt vor dem Abschnitt über Frauen und Männer steht die gegenseitige Unterordnung. So bleibt die Frage in Luther 1912 und OTB eindeutig, ohne von der unterschiedlich wiedergegebenen Formulierung des anschließenden Ehrfurcht-Bezugs abzuhängen.</x:v>
      </x:c>
      <x:c r="O865" s="36" t="str">
        <x:v>FREIGEGEBEN</x:v>
      </x:c>
      <x:c r="P865" s="36" t="str">
        <x:v>FREIGEGEBEN</x:v>
      </x:c>
      <x:c r="Q865" s="36" t="str">
        <x:v>JA</x:v>
      </x:c>
    </x:row>
    <x:row r="866">
      <x:c r="A866" s="36" t="str">
        <x:v>FP-1125</x:v>
      </x:c>
      <x:c r="B866" s="36" t="str">
        <x:v>EPH</x:v>
      </x:c>
      <x:c r="C866" s="36" t="str">
        <x:v>Epheser</x:v>
      </x:c>
      <x:c r="D866" s="36" t="n">
        <x:v>5</x:v>
      </x:c>
      <x:c r="E866" s="36" t="n">
        <x:v>5</x:v>
      </x:c>
      <x:c r="F866" s="36" t="str">
        <x:v>Welchen Maßstab nennt Paulus ausdrücklich für die Liebe des Mannes zu seiner Frau?</x:v>
      </x:c>
      <x:c r="G866" s="36" t="str">
        <x:v>Christus, der die Gemeinde liebte und sich selbst für sie hingab.</x:v>
      </x:c>
      <x:c r="H866" s="36" t="str">
        <x:v>Den gesellschaftlichen Rang des Mannes.</x:v>
      </x:c>
      <x:c r="I866" s="36" t="str">
        <x:v>Den finanziellen Nutzen der Ehe.</x:v>
      </x:c>
      <x:c r="J866" s="36" t="str">
        <x:v>Die Zustimmung der Umgebung.</x:v>
      </x:c>
      <x:c r="K866" s="36" t="n">
        <x:v>0</x:v>
      </x:c>
      <x:c r="L866" s="36" t="str">
        <x:v>Christus, der die Gemeinde liebte und sich selbst für sie hingab.</x:v>
      </x:c>
      <x:c r="M866" s="36" t="str">
        <x:v>Epheser 5,25–33</x:v>
      </x:c>
      <x:c r="N866" s="36" t="str">
        <x:v>Paulus setzt für die Liebe des Mannes einen selbsthingebenden Maßstab: Christi Liebe zur Gemeinde. Der Text verbindet dies zusätzlich mit Fürsorge wie für den eigenen Leib.</x:v>
      </x:c>
      <x:c r="O866" s="36" t="str">
        <x:v>FREIGEGEBEN</x:v>
      </x:c>
      <x:c r="P866" s="36" t="str">
        <x:v>FREIGEGEBEN</x:v>
      </x:c>
      <x:c r="Q866" s="36" t="str">
        <x:v>JA</x:v>
      </x:c>
    </x:row>
    <x:row r="867">
      <x:c r="A867" s="36" t="str">
        <x:v>FP-1126</x:v>
      </x:c>
      <x:c r="B867" s="36" t="str">
        <x:v>EPH</x:v>
      </x:c>
      <x:c r="C867" s="36" t="str">
        <x:v>Epheser</x:v>
      </x:c>
      <x:c r="D867" s="36" t="n">
        <x:v>6</x:v>
      </x:c>
      <x:c r="E867" s="36" t="n">
        <x:v>1</x:v>
      </x:c>
      <x:c r="F867" s="36" t="str">
        <x:v>Welche doppelte Verantwortung nennt Epheser 6 im Verhältnis von Kindern und Eltern?</x:v>
      </x:c>
      <x:c r="G867" s="36" t="str">
        <x:v>Kinder sollen allein entscheiden; Eltern dürfen sie nie anleiten.</x:v>
      </x:c>
      <x:c r="H867" s="36" t="str">
        <x:v>Kinder sollen gehorchen und ehren; Väter sollen ihre Kinder nicht zum Zorn reizen, sondern sie im Herrn erziehen.</x:v>
      </x:c>
      <x:c r="I867" s="36" t="str">
        <x:v>Nur Kinder tragen Verantwortung für ein gutes Familienleben.</x:v>
      </x:c>
      <x:c r="J867" s="36" t="str">
        <x:v>Eltern sollen vor allem durch Drohungen erziehen.</x:v>
      </x:c>
      <x:c r="K867" s="36" t="n">
        <x:v>1</x:v>
      </x:c>
      <x:c r="L867" s="36" t="str">
        <x:v>Kinder sollen gehorchen und ehren; Väter sollen ihre Kinder nicht zum Zorn reizen, sondern sie im Herrn erziehen.</x:v>
      </x:c>
      <x:c r="M867" s="36" t="str">
        <x:v>Epheser 6,1–4</x:v>
      </x:c>
      <x:c r="N867" s="36" t="str">
        <x:v>Paulus spricht beide Seiten an: Kinder sollen Eltern gehorchen und sie ehren; Väter sollen nicht provozieren, sondern verantwortlich erziehen und anleiten.</x:v>
      </x:c>
      <x:c r="O867" s="36" t="str">
        <x:v>FREIGEGEBEN</x:v>
      </x:c>
      <x:c r="P867" s="36" t="str">
        <x:v>FREIGEGEBEN</x:v>
      </x:c>
      <x:c r="Q867" s="36" t="str">
        <x:v>JA</x:v>
      </x:c>
    </x:row>
    <x:row r="868">
      <x:c r="A868" s="36" t="str">
        <x:v>FP-1127</x:v>
      </x:c>
      <x:c r="B868" s="36" t="str">
        <x:v>EPH</x:v>
      </x:c>
      <x:c r="C868" s="36" t="str">
        <x:v>Epheser</x:v>
      </x:c>
      <x:c r="D868" s="36" t="n">
        <x:v>6</x:v>
      </x:c>
      <x:c r="E868" s="36" t="n">
        <x:v>2</x:v>
      </x:c>
      <x:c r="F868" s="36" t="str">
        <x:v>Welche Wahrheit relativiert in Epheser 6 die Macht irdischer Herren über andere Menschen?</x:v>
      </x:c>
      <x:c r="G868" s="36" t="str">
        <x:v>Sie dürfen jederzeit ohne Verantwortung drohen.</x:v>
      </x:c>
      <x:c r="H868" s="36" t="str">
        <x:v>Ihr gesellschaftlicher Rang entscheidet über Gottes Urteil.</x:v>
      </x:c>
      <x:c r="I868" s="36" t="str">
        <x:v>Auch sie haben einen Herrn im Himmel, bei dem es kein Ansehen der Person gibt.</x:v>
      </x:c>
      <x:c r="J868" s="36" t="str">
        <x:v>Nur freie Menschen können Gott dienen.</x:v>
      </x:c>
      <x:c r="K868" s="36" t="n">
        <x:v>2</x:v>
      </x:c>
      <x:c r="L868" s="36" t="str">
        <x:v>Auch sie haben einen Herrn im Himmel, bei dem es kein Ansehen der Person gibt.</x:v>
      </x:c>
      <x:c r="M868" s="36" t="str">
        <x:v>Epheser 6,5–9</x:v>
      </x:c>
      <x:c r="N868" s="36" t="str">
        <x:v>Der Abschnitt spricht Menschen innerhalb der damaligen sozialen Ordnung an, stellt aber beide Seiten unter denselben himmlischen Herrn. Vor Gott gilt keine Bevorzugung aufgrund des gesellschaftlichen Status.</x:v>
      </x:c>
      <x:c r="O868" s="36" t="str">
        <x:v>FREIGEGEBEN</x:v>
      </x:c>
      <x:c r="P868" s="36" t="str">
        <x:v>FREIGEGEBEN</x:v>
      </x:c>
      <x:c r="Q868" s="36" t="str">
        <x:v>JA</x:v>
      </x:c>
    </x:row>
    <x:row r="869">
      <x:c r="A869" s="36" t="str">
        <x:v>FP-1128</x:v>
      </x:c>
      <x:c r="B869" s="36" t="str">
        <x:v>EPH</x:v>
      </x:c>
      <x:c r="C869" s="36" t="str">
        <x:v>Epheser</x:v>
      </x:c>
      <x:c r="D869" s="36" t="n">
        <x:v>6</x:v>
      </x:c>
      <x:c r="E869" s="36" t="n">
        <x:v>3</x:v>
      </x:c>
      <x:c r="F869" s="36" t="str">
        <x:v>Warum sollen Glaubende nach Epheser 6 die ganze Waffenrüstung Gottes anziehen?</x:v>
      </x:c>
      <x:c r="G869" s="36" t="str">
        <x:v>Damit sie politische Gegner mit Gewalt bekämpfen.</x:v>
      </x:c>
      <x:c r="H869" s="36" t="str">
        <x:v>Damit sie sich körperlich gegen jede Kritik verteidigen.</x:v>
      </x:c>
      <x:c r="I869" s="36" t="str">
        <x:v>Damit sie anderen ihre geistliche Überlegenheit zeigen.</x:v>
      </x:c>
      <x:c r="J869" s="36" t="str">
        <x:v>Damit sie gegen die listigen Angriffe des Bösen standhalten können, denn der Kampf ist nicht bloß gegen Menschen gerichtet.</x:v>
      </x:c>
      <x:c r="K869" s="36" t="n">
        <x:v>3</x:v>
      </x:c>
      <x:c r="L869" s="36" t="str">
        <x:v>Damit sie gegen die listigen Angriffe des Bösen standhalten können, denn der Kampf ist nicht bloß gegen Menschen gerichtet.</x:v>
      </x:c>
      <x:c r="M869" s="36" t="str">
        <x:v>Epheser 6,10–13</x:v>
      </x:c>
      <x:c r="N869" s="36" t="str">
        <x:v>Paulus beschreibt den Konflikt ausdrücklich als geistlich und nicht als Kampf gegen 'Fleisch und Blut'. Die Waffenrüstung dient deshalb dem Standhalten, nicht menschlicher Gewalt.</x:v>
      </x:c>
      <x:c r="O869" s="36" t="str">
        <x:v>FREIGEGEBEN</x:v>
      </x:c>
      <x:c r="P869" s="36" t="str">
        <x:v>FREIGEGEBEN</x:v>
      </x:c>
      <x:c r="Q869" s="36" t="str">
        <x:v>JA</x:v>
      </x:c>
    </x:row>
    <x:row r="870">
      <x:c r="A870" s="36" t="str">
        <x:v>FP-1129</x:v>
      </x:c>
      <x:c r="B870" s="36" t="str">
        <x:v>EPH</x:v>
      </x:c>
      <x:c r="C870" s="36" t="str">
        <x:v>Epheser</x:v>
      </x:c>
      <x:c r="D870" s="36" t="n">
        <x:v>6</x:v>
      </x:c>
      <x:c r="E870" s="36" t="n">
        <x:v>4</x:v>
      </x:c>
      <x:c r="F870" s="36" t="str">
        <x:v>Welche Zuordnung zur Waffenrüstung Gottes nennt Epheser 6 ausdrücklich?</x:v>
      </x:c>
      <x:c r="G870" s="36" t="str">
        <x:v>Schild des Glaubens und Schwert des Geistes, das Gottes Wort ist.</x:v>
      </x:c>
      <x:c r="H870" s="36" t="str">
        <x:v>Krone des Erfolgs und Mantel des Wohlstands.</x:v>
      </x:c>
      <x:c r="I870" s="36" t="str">
        <x:v>Speer der Vergeltung und Schild der Angst.</x:v>
      </x:c>
      <x:c r="J870" s="36" t="str">
        <x:v>Stab der Herrschaft und Helm des Ansehens.</x:v>
      </x:c>
      <x:c r="K870" s="36" t="n">
        <x:v>0</x:v>
      </x:c>
      <x:c r="L870" s="36" t="str">
        <x:v>Schild des Glaubens und Schwert des Geistes, das Gottes Wort ist.</x:v>
      </x:c>
      <x:c r="M870" s="36" t="str">
        <x:v>Epheser 6,14–17</x:v>
      </x:c>
      <x:c r="N870" s="36" t="str">
        <x:v>Der Text ordnet mehreren Ausrüstungsteilen geistliche Bedeutungen zu. Besonders ausdrücklich werden der Schild des Glaubens und das Schwert des Geistes genannt, das als Wort Gottes erklärt wird.</x:v>
      </x:c>
      <x:c r="O870" s="36" t="str">
        <x:v>FREIGEGEBEN</x:v>
      </x:c>
      <x:c r="P870" s="36" t="str">
        <x:v>FREIGEGEBEN</x:v>
      </x:c>
      <x:c r="Q870" s="36" t="str">
        <x:v>JA</x:v>
      </x:c>
    </x:row>
    <x:row r="871">
      <x:c r="A871" s="36" t="str">
        <x:v>FP-1130</x:v>
      </x:c>
      <x:c r="B871" s="36" t="str">
        <x:v>EPH</x:v>
      </x:c>
      <x:c r="C871" s="36" t="str">
        <x:v>Epheser</x:v>
      </x:c>
      <x:c r="D871" s="36" t="n">
        <x:v>6</x:v>
      </x:c>
      <x:c r="E871" s="36" t="n">
        <x:v>5</x:v>
      </x:c>
      <x:c r="F871" s="36" t="str">
        <x:v>Worum bittet Paulus die Gemeinde im Zusammenhang mit dem Gebet für ihn?</x:v>
      </x:c>
      <x:c r="G871" s="36" t="str">
        <x:v>Dass er nie wieder Widerstand erlebt.</x:v>
      </x:c>
      <x:c r="H871" s="36" t="str">
        <x:v>Dass ihm Worte und Freimut gegeben werden, das Geheimnis des Evangeliums bekannt zu machen.</x:v>
      </x:c>
      <x:c r="I871" s="36" t="str">
        <x:v>Dass er sofort aus jeder Verantwortung entlassen wird.</x:v>
      </x:c>
      <x:c r="J871" s="36" t="str">
        <x:v>Dass die Gemeinde aufhört, für andere Gläubige zu beten.</x:v>
      </x:c>
      <x:c r="K871" s="36" t="n">
        <x:v>1</x:v>
      </x:c>
      <x:c r="L871" s="36" t="str">
        <x:v>Dass ihm Worte und Freimut gegeben werden, das Geheimnis des Evangeliums bekannt zu machen.</x:v>
      </x:c>
      <x:c r="M871" s="36" t="str">
        <x:v>Epheser 6,18–20</x:v>
      </x:c>
      <x:c r="N871" s="36" t="str">
        <x:v>Paulus verbindet die Waffenrüstung mit anhaltendem Gebet. Für sich selbst bittet er nicht zuerst um Bequemlichkeit, sondern um Worte und Mut, das Evangelium als 'Botschafter in Ketten' klar zu verkündigen.</x:v>
      </x:c>
      <x:c r="O871" s="36" t="str">
        <x:v>FREIGEGEBEN</x:v>
      </x:c>
      <x:c r="P871" s="36" t="str">
        <x:v>FREIGEGEBEN</x:v>
      </x:c>
      <x:c r="Q871" s="36" t="str">
        <x:v>JA</x:v>
      </x:c>
    </x:row>
    <x:row r="872">
      <x:c r="A872" s="36" t="str">
        <x:v>FP-1131</x:v>
      </x:c>
      <x:c r="B872" s="36" t="str">
        <x:v>PHP</x:v>
      </x:c>
      <x:c r="C872" s="36" t="str">
        <x:v>Philipper</x:v>
      </x:c>
      <x:c r="D872" s="36" t="n">
        <x:v>1</x:v>
      </x:c>
      <x:c r="E872" s="36" t="n">
        <x:v>1</x:v>
      </x:c>
      <x:c r="F872" s="36" t="str">
        <x:v>Worum betet Paulus zu Beginn des Philipperbriefs für die Gemeinde?</x:v>
      </x:c>
      <x:c r="G872" s="36" t="str">
        <x:v>Dass ihre Liebe immer mehr wächst und von Erkenntnis und Einsicht begleitet wird.</x:v>
      </x:c>
      <x:c r="H872" s="36" t="str">
        <x:v>Dass sie möglichst schnell politischen Einfluss gewinnt.</x:v>
      </x:c>
      <x:c r="I872" s="36" t="str">
        <x:v>Dass sie keinerlei Prüfungen mehr erleben muss.</x:v>
      </x:c>
      <x:c r="J872" s="36" t="str">
        <x:v>Dass alle Gemeindeglieder dieselbe Aufgabe übernehmen.</x:v>
      </x:c>
      <x:c r="K872" s="36" t="n">
        <x:v>0</x:v>
      </x:c>
      <x:c r="L872" s="36" t="str">
        <x:v>Dass ihre Liebe immer mehr wächst und von Erkenntnis und Einsicht begleitet wird.</x:v>
      </x:c>
      <x:c r="M872" s="36" t="str">
        <x:v>Philipper 1,9–11</x:v>
      </x:c>
      <x:c r="N872" s="36" t="str">
        <x:v>Paulus verbindet Liebe mit Erkenntnis und geistlicher Unterscheidung. Ziel ist, das Wesentliche prüfen zu können und ein Leben zu führen, das Gott ehrt.</x:v>
      </x:c>
      <x:c r="O872" s="36" t="str">
        <x:v>FREIGEGEBEN</x:v>
      </x:c>
      <x:c r="P872" s="36" t="str">
        <x:v>FREIGEGEBEN</x:v>
      </x:c>
      <x:c r="Q872" s="36" t="str">
        <x:v>JA</x:v>
      </x:c>
    </x:row>
    <x:row r="873">
      <x:c r="A873" s="36" t="str">
        <x:v>FP-1132</x:v>
      </x:c>
      <x:c r="B873" s="36" t="str">
        <x:v>PHP</x:v>
      </x:c>
      <x:c r="C873" s="36" t="str">
        <x:v>Philipper</x:v>
      </x:c>
      <x:c r="D873" s="36" t="n">
        <x:v>1</x:v>
      </x:c>
      <x:c r="E873" s="36" t="n">
        <x:v>2</x:v>
      </x:c>
      <x:c r="F873" s="36" t="str">
        <x:v>Welche unerwartete Wirkung hatten Paulus' Gefangenschaft und seine Fesseln?</x:v>
      </x:c>
      <x:c r="G873" s="36" t="str">
        <x:v>Sie führten dazu, dass die Gemeinde in Philippi das Evangelium aufgab.</x:v>
      </x:c>
      <x:c r="H873" s="36" t="str">
        <x:v>Sie trugen zur Förderung des Evangeliums bei und machten andere mutiger, das Wort zu verkündigen.</x:v>
      </x:c>
      <x:c r="I873" s="36" t="str">
        <x:v>Sie verhinderten jede weitere Verkündigung.</x:v>
      </x:c>
      <x:c r="J873" s="36" t="str">
        <x:v>Sie bewiesen, dass Paulus seine Berufung verloren hatte.</x:v>
      </x:c>
      <x:c r="K873" s="36" t="n">
        <x:v>1</x:v>
      </x:c>
      <x:c r="L873" s="36" t="str">
        <x:v>Sie trugen zur Förderung des Evangeliums bei und machten andere mutiger, das Wort zu verkündigen.</x:v>
      </x:c>
      <x:c r="M873" s="36" t="str">
        <x:v>Philipper 1,12–14</x:v>
      </x:c>
      <x:c r="N873" s="36" t="str">
        <x:v>Paulus deutet seine schwierige Lage nicht nur als Hindernis. Seine Gefangenschaft machte seine Bindung an Christus sichtbar und ermutigte andere zu freimütiger Verkündigung.</x:v>
      </x:c>
      <x:c r="O873" s="36" t="str">
        <x:v>FREIGEGEBEN</x:v>
      </x:c>
      <x:c r="P873" s="36" t="str">
        <x:v>FREIGEGEBEN</x:v>
      </x:c>
      <x:c r="Q873" s="36" t="str">
        <x:v>JA</x:v>
      </x:c>
    </x:row>
    <x:row r="874">
      <x:c r="A874" s="36" t="str">
        <x:v>FP-1133</x:v>
      </x:c>
      <x:c r="B874" s="36" t="str">
        <x:v>PHP</x:v>
      </x:c>
      <x:c r="C874" s="36" t="str">
        <x:v>Philipper</x:v>
      </x:c>
      <x:c r="D874" s="36" t="n">
        <x:v>1</x:v>
      </x:c>
      <x:c r="E874" s="36" t="n">
        <x:v>3</x:v>
      </x:c>
      <x:c r="F874" s="36" t="str">
        <x:v>Wie reagiert Paulus darauf, dass manche Christus aus falschen Motiven verkündigen?</x:v>
      </x:c>
      <x:c r="G874" s="36" t="str">
        <x:v>Er verlangt, dass jede Verkündigung sofort eingestellt wird.</x:v>
      </x:c>
      <x:c r="H874" s="36" t="str">
        <x:v>Er erklärt jede Predigt außerhalb seiner eigenen Arbeit für ungültig.</x:v>
      </x:c>
      <x:c r="I874" s="36" t="str">
        <x:v>Er freut sich dennoch darüber, dass Christus verkündigt wird.</x:v>
      </x:c>
      <x:c r="J874" s="36" t="str">
        <x:v>Er verlässt deshalb seine Aufgabe.</x:v>
      </x:c>
      <x:c r="K874" s="36" t="n">
        <x:v>2</x:v>
      </x:c>
      <x:c r="L874" s="36" t="str">
        <x:v>Er freut sich dennoch darüber, dass Christus verkündigt wird.</x:v>
      </x:c>
      <x:c r="M874" s="36" t="str">
        <x:v>Philipper 1,15–18</x:v>
      </x:c>
      <x:c r="N874" s="36" t="str">
        <x:v>Paulus unterscheidet klar zwischen guten und eigennützigen Motiven, stellt aber zugleich fest, dass Christus tatsächlich verkündigt wird. Darüber kann er sich freuen, ohne die schlechten Motive gutzuheißen.</x:v>
      </x:c>
      <x:c r="O874" s="36" t="str">
        <x:v>FREIGEGEBEN</x:v>
      </x:c>
      <x:c r="P874" s="36" t="str">
        <x:v>FREIGEGEBEN</x:v>
      </x:c>
      <x:c r="Q874" s="36" t="str">
        <x:v>JA</x:v>
      </x:c>
    </x:row>
    <x:row r="875">
      <x:c r="A875" s="36" t="str">
        <x:v>FP-1134</x:v>
      </x:c>
      <x:c r="B875" s="36" t="str">
        <x:v>PHP</x:v>
      </x:c>
      <x:c r="C875" s="36" t="str">
        <x:v>Philipper</x:v>
      </x:c>
      <x:c r="D875" s="36" t="n">
        <x:v>1</x:v>
      </x:c>
      <x:c r="E875" s="36" t="n">
        <x:v>4</x:v>
      </x:c>
      <x:c r="F875" s="36" t="str">
        <x:v>Wie beschreibt Paulus sein Verhältnis zu Leben und Sterben in Philipper 1?</x:v>
      </x:c>
      <x:c r="G875" s="36" t="str">
        <x:v>Für ihn ist nur das irdische Leben von Bedeutung.</x:v>
      </x:c>
      <x:c r="H875" s="36" t="str">
        <x:v>Er betrachtet Sterben als endgültige Trennung von Christus.</x:v>
      </x:c>
      <x:c r="I875" s="36" t="str">
        <x:v>Er sieht keinen Sinn mehr darin, für die Gemeinde zu leben.</x:v>
      </x:c>
      <x:c r="J875" s="36" t="str">
        <x:v>Für ihn ist das Leben Christus und das Sterben Gewinn.</x:v>
      </x:c>
      <x:c r="K875" s="36" t="n">
        <x:v>3</x:v>
      </x:c>
      <x:c r="L875" s="36" t="str">
        <x:v>Für ihn ist das Leben Christus und das Sterben Gewinn.</x:v>
      </x:c>
      <x:c r="M875" s="36" t="str">
        <x:v>Philipper 1,20–24</x:v>
      </x:c>
      <x:c r="N875" s="36" t="str">
        <x:v>Paulus sieht sowohl Leben als auch Sterben aus der Beziehung zu Christus. Bei Christus zu sein wäre für ihn Gewinn, zugleich erkennt er, dass sein Weiterleben der Gemeinde dient.</x:v>
      </x:c>
      <x:c r="O875" s="36" t="str">
        <x:v>FREIGEGEBEN</x:v>
      </x:c>
      <x:c r="P875" s="36" t="str">
        <x:v>FREIGEGEBEN</x:v>
      </x:c>
      <x:c r="Q875" s="36" t="str">
        <x:v>JA</x:v>
      </x:c>
    </x:row>
    <x:row r="876">
      <x:c r="A876" s="36" t="str">
        <x:v>FP-1135</x:v>
      </x:c>
      <x:c r="B876" s="36" t="str">
        <x:v>PHP</x:v>
      </x:c>
      <x:c r="C876" s="36" t="str">
        <x:v>Philipper</x:v>
      </x:c>
      <x:c r="D876" s="36" t="n">
        <x:v>1</x:v>
      </x:c>
      <x:c r="E876" s="36" t="n">
        <x:v>5</x:v>
      </x:c>
      <x:c r="F876" s="36" t="str">
        <x:v>Wie sollen die Philipper nach Paulus leben, unabhängig davon, ob er zu ihnen kommt?</x:v>
      </x:c>
      <x:c r="G876" s="36" t="str">
        <x:v>Würdig des Evangeliums, fest in einem Geist und gemeinsam für den Glauben kämpfend.</x:v>
      </x:c>
      <x:c r="H876" s="36" t="str">
        <x:v>Nur dann treu, wenn Paulus persönlich anwesend ist.</x:v>
      </x:c>
      <x:c r="I876" s="36" t="str">
        <x:v>Ohne Rücksicht auf andere Christen.</x:v>
      </x:c>
      <x:c r="J876" s="36" t="str">
        <x:v>Möglichst angepasst an jede gegnerische Meinung.</x:v>
      </x:c>
      <x:c r="K876" s="36" t="n">
        <x:v>0</x:v>
      </x:c>
      <x:c r="L876" s="36" t="str">
        <x:v>Würdig des Evangeliums, fest in einem Geist und gemeinsam für den Glauben kämpfend.</x:v>
      </x:c>
      <x:c r="M876" s="36" t="str">
        <x:v>Philipper 1,27–30</x:v>
      </x:c>
      <x:c r="N876" s="36" t="str">
        <x:v>Paulus fordert eine standhafte, gemeinschaftliche Lebensweise, die zum Evangelium passt. Diese Treue soll nicht von seiner persönlichen Anwesenheit abhängen.</x:v>
      </x:c>
      <x:c r="O876" s="36" t="str">
        <x:v>FREIGEGEBEN</x:v>
      </x:c>
      <x:c r="P876" s="36" t="str">
        <x:v>FREIGEGEBEN</x:v>
      </x:c>
      <x:c r="Q876" s="36" t="str">
        <x:v>JA</x:v>
      </x:c>
    </x:row>
    <x:row r="877">
      <x:c r="A877" s="36" t="str">
        <x:v>FP-1136</x:v>
      </x:c>
      <x:c r="B877" s="36" t="str">
        <x:v>PHP</x:v>
      </x:c>
      <x:c r="C877" s="36" t="str">
        <x:v>Philipper</x:v>
      </x:c>
      <x:c r="D877" s="36" t="n">
        <x:v>2</x:v>
      </x:c>
      <x:c r="E877" s="36" t="n">
        <x:v>1</x:v>
      </x:c>
      <x:c r="F877" s="36" t="str">
        <x:v>Welche Haltung fordert Paulus im Umgang miteinander in Philipper 2?</x:v>
      </x:c>
      <x:c r="G877" s="36" t="str">
        <x:v>Ständigen Wettbewerb um Anerkennung.</x:v>
      </x:c>
      <x:c r="H877" s="36" t="str">
        <x:v>Demut, in der man nicht nur auf die eigenen Interessen, sondern auch auf die der anderen achtet.</x:v>
      </x:c>
      <x:c r="I877" s="36" t="str">
        <x:v>Gleichgültigkeit gegenüber den Bedürfnissen anderer.</x:v>
      </x:c>
      <x:c r="J877" s="36" t="str">
        <x:v>Die eigene Meinung immer über die der anderen zu stellen.</x:v>
      </x:c>
      <x:c r="K877" s="36" t="n">
        <x:v>1</x:v>
      </x:c>
      <x:c r="L877" s="36" t="str">
        <x:v>Demut, in der man nicht nur auf die eigenen Interessen, sondern auch auf die der anderen achtet.</x:v>
      </x:c>
      <x:c r="M877" s="36" t="str">
        <x:v>Philipper 2,1–4</x:v>
      </x:c>
      <x:c r="N877" s="36" t="str">
        <x:v>Paulus verbindet Einheit mit Demut und uneigennütziger Rücksicht. Die Gemeinde soll nicht aus Ehrgeiz oder Eitelkeit handeln, sondern das Wohl anderer mitsehen.</x:v>
      </x:c>
      <x:c r="O877" s="36" t="str">
        <x:v>FREIGEGEBEN</x:v>
      </x:c>
      <x:c r="P877" s="36" t="str">
        <x:v>FREIGEGEBEN</x:v>
      </x:c>
      <x:c r="Q877" s="36" t="str">
        <x:v>JA</x:v>
      </x:c>
    </x:row>
    <x:row r="878">
      <x:c r="A878" s="36" t="str">
        <x:v>FP-1137</x:v>
      </x:c>
      <x:c r="B878" s="36" t="str">
        <x:v>PHP</x:v>
      </x:c>
      <x:c r="C878" s="36" t="str">
        <x:v>Philipper</x:v>
      </x:c>
      <x:c r="D878" s="36" t="n">
        <x:v>2</x:v>
      </x:c>
      <x:c r="E878" s="36" t="n">
        <x:v>2</x:v>
      </x:c>
      <x:c r="F878" s="36" t="str">
        <x:v>Worin zeigt sich nach Philipper 2 die Gesinnung Christi besonders?</x:v>
      </x:c>
      <x:c r="G878" s="36" t="str">
        <x:v>Er suchte möglichst viel menschliche Anerkennung.</x:v>
      </x:c>
      <x:c r="H878" s="36" t="str">
        <x:v>Er vermied jede Form von Dienst.</x:v>
      </x:c>
      <x:c r="I878" s="36" t="str">
        <x:v>Er erniedrigte sich selbst und wurde gehorsam bis zum Tod am Kreuz.</x:v>
      </x:c>
      <x:c r="J878" s="36" t="str">
        <x:v>Er setzte seine Stellung ein, um andere zu beherrschen.</x:v>
      </x:c>
      <x:c r="K878" s="36" t="n">
        <x:v>2</x:v>
      </x:c>
      <x:c r="L878" s="36" t="str">
        <x:v>Er erniedrigte sich selbst und wurde gehorsam bis zum Tod am Kreuz.</x:v>
      </x:c>
      <x:c r="M878" s="36" t="str">
        <x:v>Philipper 2,5–8</x:v>
      </x:c>
      <x:c r="N878" s="36" t="str">
        <x:v>Paulus stellt Christus als Vorbild selbsthingebender Demut dar. Die Bewegung geht von göttlicher Herrlichkeit über Knechtsgestalt bis zum Gehorsam am Kreuz.</x:v>
      </x:c>
      <x:c r="O878" s="36" t="str">
        <x:v>FREIGEGEBEN</x:v>
      </x:c>
      <x:c r="P878" s="36" t="str">
        <x:v>FREIGEGEBEN</x:v>
      </x:c>
      <x:c r="Q878" s="36" t="str">
        <x:v>JA</x:v>
      </x:c>
    </x:row>
    <x:row r="879">
      <x:c r="A879" s="36" t="str">
        <x:v>FP-1138</x:v>
      </x:c>
      <x:c r="B879" s="36" t="str">
        <x:v>PHP</x:v>
      </x:c>
      <x:c r="C879" s="36" t="str">
        <x:v>Philipper</x:v>
      </x:c>
      <x:c r="D879" s="36" t="n">
        <x:v>2</x:v>
      </x:c>
      <x:c r="E879" s="36" t="n">
        <x:v>3</x:v>
      </x:c>
      <x:c r="F879" s="36" t="str">
        <x:v>Wie reagiert Gott auf Christi Erniedrigung nach Philipper 2?</x:v>
      </x:c>
      <x:c r="G879" s="36" t="str">
        <x:v>Er lässt ihn ohne Antwort.</x:v>
      </x:c>
      <x:c r="H879" s="36" t="str">
        <x:v>Er macht ihn nur zu einem Lehrer unter vielen.</x:v>
      </x:c>
      <x:c r="I879" s="36" t="str">
        <x:v>Er überträgt seine Herrschaft dauerhaft an andere.</x:v>
      </x:c>
      <x:c r="J879" s="36" t="str">
        <x:v>Er erhöht ihn und gibt ihm den Namen über alle Namen.</x:v>
      </x:c>
      <x:c r="K879" s="36" t="n">
        <x:v>3</x:v>
      </x:c>
      <x:c r="L879" s="36" t="str">
        <x:v>Er erhöht ihn und gibt ihm den Namen über alle Namen.</x:v>
      </x:c>
      <x:c r="M879" s="36" t="str">
        <x:v>Philipper 2,9–11</x:v>
      </x:c>
      <x:c r="N879" s="36" t="str">
        <x:v>Auf die Erniedrigung Christi folgt die Erhöhung durch Gott. Ziel ist das universale Bekenntnis, dass Jesus Christus Herr ist, zur Ehre Gottes des Vaters.</x:v>
      </x:c>
      <x:c r="O879" s="36" t="str">
        <x:v>FREIGEGEBEN</x:v>
      </x:c>
      <x:c r="P879" s="36" t="str">
        <x:v>FREIGEGEBEN</x:v>
      </x:c>
      <x:c r="Q879" s="36" t="str">
        <x:v>JA</x:v>
      </x:c>
    </x:row>
    <x:row r="880">
      <x:c r="A880" s="36" t="str">
        <x:v>FP-1139</x:v>
      </x:c>
      <x:c r="B880" s="36" t="str">
        <x:v>PHP</x:v>
      </x:c>
      <x:c r="C880" s="36" t="str">
        <x:v>Philipper</x:v>
      </x:c>
      <x:c r="D880" s="36" t="n">
        <x:v>2</x:v>
      </x:c>
      <x:c r="E880" s="36" t="n">
        <x:v>4</x:v>
      </x:c>
      <x:c r="F880" s="36" t="str">
        <x:v>Wie verbindet Philipper 2 menschliche Verantwortung und Gottes Wirken?</x:v>
      </x:c>
      <x:c r="G880" s="36" t="str">
        <x:v>Die Glaubenden sollen ihre Rettung ernsthaft leben, weil Gott in ihnen Wollen und Vollbringen wirkt.</x:v>
      </x:c>
      <x:c r="H880" s="36" t="str">
        <x:v>Gottes Wirken macht jedes eigene Handeln überflüssig.</x:v>
      </x:c>
      <x:c r="I880" s="36" t="str">
        <x:v>Die Glaubenden müssen alles allein ohne Gottes Hilfe schaffen.</x:v>
      </x:c>
      <x:c r="J880" s="36" t="str">
        <x:v>Nur Paulus trägt Verantwortung für das geistliche Leben der Gemeinde.</x:v>
      </x:c>
      <x:c r="K880" s="36" t="n">
        <x:v>0</x:v>
      </x:c>
      <x:c r="L880" s="36" t="str">
        <x:v>Die Glaubenden sollen ihre Rettung ernsthaft leben, weil Gott in ihnen Wollen und Vollbringen wirkt.</x:v>
      </x:c>
      <x:c r="M880" s="36" t="str">
        <x:v>Philipper 2,12–13</x:v>
      </x:c>
      <x:c r="N880" s="36" t="str">
        <x:v>Paulus stellt menschliches Handeln und Gottes Wirken nicht gegeneinander. Gerade weil Gott wirkt, sollen die Glaubenden ihr Leben in ehrfürchtigem Gehorsam gestalten.</x:v>
      </x:c>
      <x:c r="O880" s="36" t="str">
        <x:v>FREIGEGEBEN</x:v>
      </x:c>
      <x:c r="P880" s="36" t="str">
        <x:v>FREIGEGEBEN</x:v>
      </x:c>
      <x:c r="Q880" s="36" t="str">
        <x:v>JA</x:v>
      </x:c>
    </x:row>
    <x:row r="881">
      <x:c r="A881" s="36" t="str">
        <x:v>FP-1140</x:v>
      </x:c>
      <x:c r="B881" s="36" t="str">
        <x:v>PHP</x:v>
      </x:c>
      <x:c r="C881" s="36" t="str">
        <x:v>Philipper</x:v>
      </x:c>
      <x:c r="D881" s="36" t="n">
        <x:v>2</x:v>
      </x:c>
      <x:c r="E881" s="36" t="n">
        <x:v>5</x:v>
      </x:c>
      <x:c r="F881" s="36" t="str">
        <x:v>Warum sollen die Philipper Epaphroditus mit Freude aufnehmen und Menschen wie ihn ehren?</x:v>
      </x:c>
      <x:c r="G881" s="36" t="str">
        <x:v>Weil er eine hohe politische Stellung hatte.</x:v>
      </x:c>
      <x:c r="H881" s="36" t="str">
        <x:v>Weil er für das Werk Christi sein Leben aufs Spiel gesetzt und Paulus gedient hat.</x:v>
      </x:c>
      <x:c r="I881" s="36" t="str">
        <x:v>Weil er Paulus aus dem Gefängnis befreit hatte.</x:v>
      </x:c>
      <x:c r="J881" s="36" t="str">
        <x:v>Weil er der Gründer der Gemeinde in Philippi war.</x:v>
      </x:c>
      <x:c r="K881" s="36" t="n">
        <x:v>1</x:v>
      </x:c>
      <x:c r="L881" s="36" t="str">
        <x:v>Weil er für das Werk Christi sein Leben aufs Spiel gesetzt und Paulus gedient hat.</x:v>
      </x:c>
      <x:c r="M881" s="36" t="str">
        <x:v>Philipper 2,25–30</x:v>
      </x:c>
      <x:c r="N881" s="36" t="str">
        <x:v>Epaphroditus wird als Bruder, Mitarbeiter und Mitstreiter beschrieben. Seine schwere Krankheit entstand im Zusammenhang mit seinem Dienst, weshalb Paulus seine Hingabe ausdrücklich würdigt.</x:v>
      </x:c>
      <x:c r="O881" s="36" t="str">
        <x:v>FREIGEGEBEN</x:v>
      </x:c>
      <x:c r="P881" s="36" t="str">
        <x:v>FREIGEGEBEN</x:v>
      </x:c>
      <x:c r="Q881" s="36" t="str">
        <x:v>JA</x:v>
      </x:c>
    </x:row>
    <x:row r="882">
      <x:c r="A882" s="36" t="str">
        <x:v>FP-1141</x:v>
      </x:c>
      <x:c r="B882" s="36" t="str">
        <x:v>PHP</x:v>
      </x:c>
      <x:c r="C882" s="36" t="str">
        <x:v>Philipper</x:v>
      </x:c>
      <x:c r="D882" s="36" t="n">
        <x:v>3</x:v>
      </x:c>
      <x:c r="E882" s="36" t="n">
        <x:v>1</x:v>
      </x:c>
      <x:c r="F882" s="36" t="str">
        <x:v>Worauf will Paulus trotz seiner religiösen Herkunft und Leistungen nicht vertrauen?</x:v>
      </x:c>
      <x:c r="G882" s="36" t="str">
        <x:v>Auf Christus.</x:v>
      </x:c>
      <x:c r="H882" s="36" t="str">
        <x:v>Auf die Auferstehung.</x:v>
      </x:c>
      <x:c r="I882" s="36" t="str">
        <x:v>Auf menschliche Vorzüge und Leistungen 'nach dem Fleisch'.</x:v>
      </x:c>
      <x:c r="J882" s="36" t="str">
        <x:v>Auf Gottes Gnade.</x:v>
      </x:c>
      <x:c r="K882" s="36" t="n">
        <x:v>2</x:v>
      </x:c>
      <x:c r="L882" s="36" t="str">
        <x:v>Auf menschliche Vorzüge und Leistungen 'nach dem Fleisch'.</x:v>
      </x:c>
      <x:c r="M882" s="36" t="str">
        <x:v>Philipper 3,3–7</x:v>
      </x:c>
      <x:c r="N882" s="36" t="str">
        <x:v>Paulus zählt mehrere Gründe auf, auf die er menschlich stolz sein könnte, erklärt sie aber im Blick auf Christus für Verlust. Sein Vertrauen soll nicht auf Herkunft oder Leistung ruhen.</x:v>
      </x:c>
      <x:c r="O882" s="36" t="str">
        <x:v>FREIGEGEBEN</x:v>
      </x:c>
      <x:c r="P882" s="36" t="str">
        <x:v>FREIGEGEBEN</x:v>
      </x:c>
      <x:c r="Q882" s="36" t="str">
        <x:v>JA</x:v>
      </x:c>
    </x:row>
    <x:row r="883">
      <x:c r="A883" s="36" t="str">
        <x:v>FP-1142</x:v>
      </x:c>
      <x:c r="B883" s="36" t="str">
        <x:v>PHP</x:v>
      </x:c>
      <x:c r="C883" s="36" t="str">
        <x:v>Philipper</x:v>
      </x:c>
      <x:c r="D883" s="36" t="n">
        <x:v>3</x:v>
      </x:c>
      <x:c r="E883" s="36" t="n">
        <x:v>2</x:v>
      </x:c>
      <x:c r="F883" s="36" t="str">
        <x:v>Welche Gerechtigkeit sucht Paulus nach Philipper 3?</x:v>
      </x:c>
      <x:c r="G883" s="36" t="str">
        <x:v>Eine Gerechtigkeit, die allein aus Gesetzesleistung stammt.</x:v>
      </x:c>
      <x:c r="H883" s="36" t="str">
        <x:v>Eine Gerechtigkeit durch gesellschaftliches Ansehen.</x:v>
      </x:c>
      <x:c r="I883" s="36" t="str">
        <x:v>Eine Gerechtigkeit, die ohne Beziehung zu Christus auskommt.</x:v>
      </x:c>
      <x:c r="J883" s="36" t="str">
        <x:v>Die Gerechtigkeit von Gott aufgrund des Glaubens an Christus.</x:v>
      </x:c>
      <x:c r="K883" s="36" t="n">
        <x:v>3</x:v>
      </x:c>
      <x:c r="L883" s="36" t="str">
        <x:v>Die Gerechtigkeit von Gott aufgrund des Glaubens an Christus.</x:v>
      </x:c>
      <x:c r="M883" s="36" t="str">
        <x:v>Philipper 3,8–9</x:v>
      </x:c>
      <x:c r="N883" s="36" t="str">
        <x:v>Paulus stellt seine eigene, aus Gesetzesleistung abgeleitete Gerechtigkeit der Gerechtigkeit gegenüber, die von Gott kommt und im Glauben an Christus empfangen wird.</x:v>
      </x:c>
      <x:c r="O883" s="36" t="str">
        <x:v>FREIGEGEBEN</x:v>
      </x:c>
      <x:c r="P883" s="36" t="str">
        <x:v>FREIGEGEBEN</x:v>
      </x:c>
      <x:c r="Q883" s="36" t="str">
        <x:v>JA</x:v>
      </x:c>
    </x:row>
    <x:row r="884">
      <x:c r="A884" s="36" t="str">
        <x:v>FP-1143</x:v>
      </x:c>
      <x:c r="B884" s="36" t="str">
        <x:v>PHP</x:v>
      </x:c>
      <x:c r="C884" s="36" t="str">
        <x:v>Philipper</x:v>
      </x:c>
      <x:c r="D884" s="36" t="n">
        <x:v>3</x:v>
      </x:c>
      <x:c r="E884" s="36" t="n">
        <x:v>3</x:v>
      </x:c>
      <x:c r="F884" s="36" t="str">
        <x:v>Was möchte Paulus nach Philipper 3 in Bezug auf Christus tiefer erfahren?</x:v>
      </x:c>
      <x:c r="G884" s="36" t="str">
        <x:v>Christus selbst, die Kraft seiner Auferstehung und die Gemeinschaft seiner Leiden.</x:v>
      </x:c>
      <x:c r="H884" s="36" t="str">
        <x:v>Nur seine eigene religiöse Vergangenheit.</x:v>
      </x:c>
      <x:c r="I884" s="36" t="str">
        <x:v>Vor allem politische Macht.</x:v>
      </x:c>
      <x:c r="J884" s="36" t="str">
        <x:v>Die Vermeidung jeder Form von Leiden.</x:v>
      </x:c>
      <x:c r="K884" s="36" t="n">
        <x:v>0</x:v>
      </x:c>
      <x:c r="L884" s="36" t="str">
        <x:v>Christus selbst, die Kraft seiner Auferstehung und die Gemeinschaft seiner Leiden.</x:v>
      </x:c>
      <x:c r="M884" s="36" t="str">
        <x:v>Philipper 3,10–11</x:v>
      </x:c>
      <x:c r="N884" s="36" t="str">
        <x:v>Paulus beschreibt sein Ziel nicht bloß als Wissen über Christus, sondern als tiefere Teilhabe an ihm, an seiner Auferstehungskraft und sogar an seinen Leiden.</x:v>
      </x:c>
      <x:c r="O884" s="36" t="str">
        <x:v>FREIGEGEBEN</x:v>
      </x:c>
      <x:c r="P884" s="36" t="str">
        <x:v>FREIGEGEBEN</x:v>
      </x:c>
      <x:c r="Q884" s="36" t="str">
        <x:v>JA</x:v>
      </x:c>
    </x:row>
    <x:row r="885">
      <x:c r="A885" s="36" t="str">
        <x:v>FP-1144</x:v>
      </x:c>
      <x:c r="B885" s="36" t="str">
        <x:v>PHP</x:v>
      </x:c>
      <x:c r="C885" s="36" t="str">
        <x:v>Philipper</x:v>
      </x:c>
      <x:c r="D885" s="36" t="n">
        <x:v>3</x:v>
      </x:c>
      <x:c r="E885" s="36" t="n">
        <x:v>4</x:v>
      </x:c>
      <x:c r="F885" s="36" t="str">
        <x:v>Wie beschreibt Paulus sein geistliches Vorwärtsstreben?</x:v>
      </x:c>
      <x:c r="G885" s="36" t="str">
        <x:v>Er hält sich bereits für vollkommen und angekommen.</x:v>
      </x:c>
      <x:c r="H885" s="36" t="str">
        <x:v>Er vergisst, was hinter ihm liegt, streckt sich nach vorn aus und jagt dem Ziel entgegen.</x:v>
      </x:c>
      <x:c r="I885" s="36" t="str">
        <x:v>Er kehrt bewusst zu seinen früheren Maßstäben zurück.</x:v>
      </x:c>
      <x:c r="J885" s="36" t="str">
        <x:v>Er wartet passiv darauf, dass andere für ihn handeln.</x:v>
      </x:c>
      <x:c r="K885" s="36" t="n">
        <x:v>1</x:v>
      </x:c>
      <x:c r="L885" s="36" t="str">
        <x:v>Er vergisst, was hinter ihm liegt, streckt sich nach vorn aus und jagt dem Ziel entgegen.</x:v>
      </x:c>
      <x:c r="M885" s="36" t="str">
        <x:v>Philipper 3,12–14</x:v>
      </x:c>
      <x:c r="N885" s="36" t="str">
        <x:v>Paulus betont ausdrücklich, dass er das Ziel noch nicht erreicht hat. Das Bild ist dynamisch: Er richtet sich nach vorn auf Gottes Berufung in Christus aus.</x:v>
      </x:c>
      <x:c r="O885" s="36" t="str">
        <x:v>FREIGEGEBEN</x:v>
      </x:c>
      <x:c r="P885" s="36" t="str">
        <x:v>FREIGEGEBEN</x:v>
      </x:c>
      <x:c r="Q885" s="36" t="str">
        <x:v>JA</x:v>
      </x:c>
    </x:row>
    <x:row r="886">
      <x:c r="A886" s="36" t="str">
        <x:v>FP-1145</x:v>
      </x:c>
      <x:c r="B886" s="36" t="str">
        <x:v>PHP</x:v>
      </x:c>
      <x:c r="C886" s="36" t="str">
        <x:v>Philipper</x:v>
      </x:c>
      <x:c r="D886" s="36" t="n">
        <x:v>3</x:v>
      </x:c>
      <x:c r="E886" s="36" t="n">
        <x:v>5</x:v>
      </x:c>
      <x:c r="F886" s="36" t="str">
        <x:v>Welche Hoffnung verbindet Paulus mit der himmlischen Bürgerschaft der Glaubenden?</x:v>
      </x:c>
      <x:c r="G886" s="36" t="str">
        <x:v>Sie werden von jeder Verantwortung auf der Erde befreit.</x:v>
      </x:c>
      <x:c r="H886" s="36" t="str">
        <x:v>Sie müssen nicht mehr auf Christus warten.</x:v>
      </x:c>
      <x:c r="I886" s="36" t="str">
        <x:v>Sie erwarten Jesus Christus als Retter, der ihren niedrigen Leib verwandeln wird.</x:v>
      </x:c>
      <x:c r="J886" s="36" t="str">
        <x:v>Sie erhalten automatisch politische Herrschaft.</x:v>
      </x:c>
      <x:c r="K886" s="36" t="n">
        <x:v>2</x:v>
      </x:c>
      <x:c r="L886" s="36" t="str">
        <x:v>Sie erwarten Jesus Christus als Retter, der ihren niedrigen Leib verwandeln wird.</x:v>
      </x:c>
      <x:c r="M886" s="36" t="str">
        <x:v>Philipper 3,20–21</x:v>
      </x:c>
      <x:c r="N886" s="36" t="str">
        <x:v>Paulus verbindet die himmlische Zugehörigkeit mit konkreter Zukunftshoffnung: Christus wird wiederkommen und den vergänglichen Leib der Glaubenden seiner Herrlichkeit angleichen.</x:v>
      </x:c>
      <x:c r="O886" s="36" t="str">
        <x:v>FREIGEGEBEN</x:v>
      </x:c>
      <x:c r="P886" s="36" t="str">
        <x:v>FREIGEGEBEN</x:v>
      </x:c>
      <x:c r="Q886" s="36" t="str">
        <x:v>JA</x:v>
      </x:c>
    </x:row>
    <x:row r="887">
      <x:c r="A887" s="36" t="str">
        <x:v>FP-1146</x:v>
      </x:c>
      <x:c r="B887" s="36" t="str">
        <x:v>PHP</x:v>
      </x:c>
      <x:c r="C887" s="36" t="str">
        <x:v>Philipper</x:v>
      </x:c>
      <x:c r="D887" s="36" t="n">
        <x:v>4</x:v>
      </x:c>
      <x:c r="E887" s="36" t="n">
        <x:v>1</x:v>
      </x:c>
      <x:c r="F887" s="36" t="str">
        <x:v>Was fordert Paulus von Euodia und Syntyche?</x:v>
      </x:c>
      <x:c r="G887" s="36" t="str">
        <x:v>Dass eine von beiden die Gemeinde verlässt.</x:v>
      </x:c>
      <x:c r="H887" s="36" t="str">
        <x:v>Dass sie ihren Konflikt öffentlich verschärfen.</x:v>
      </x:c>
      <x:c r="I887" s="36" t="str">
        <x:v>Dass sie nicht mehr am Evangelium mitarbeiten.</x:v>
      </x:c>
      <x:c r="J887" s="36" t="str">
        <x:v>Dass sie im Herrn wieder eines Sinnes sind.</x:v>
      </x:c>
      <x:c r="K887" s="36" t="n">
        <x:v>3</x:v>
      </x:c>
      <x:c r="L887" s="36" t="str">
        <x:v>Dass sie im Herrn wieder eines Sinnes sind.</x:v>
      </x:c>
      <x:c r="M887" s="36" t="str">
        <x:v>Philipper 4,2–3</x:v>
      </x:c>
      <x:c r="N887" s="36" t="str">
        <x:v>Paulus spricht beide Frauen direkt an und bittet zusätzlich einen treuen Mitarbeiter, ihnen zu helfen. Der Konflikt soll innerhalb der gemeinsamen Zugehörigkeit zum Herrn überwunden werden.</x:v>
      </x:c>
      <x:c r="O887" s="36" t="str">
        <x:v>FREIGEGEBEN</x:v>
      </x:c>
      <x:c r="P887" s="36" t="str">
        <x:v>FREIGEGEBEN</x:v>
      </x:c>
      <x:c r="Q887" s="36" t="str">
        <x:v>JA</x:v>
      </x:c>
    </x:row>
    <x:row r="888">
      <x:c r="A888" s="36" t="str">
        <x:v>FP-1147</x:v>
      </x:c>
      <x:c r="B888" s="36" t="str">
        <x:v>PHP</x:v>
      </x:c>
      <x:c r="C888" s="36" t="str">
        <x:v>Philipper</x:v>
      </x:c>
      <x:c r="D888" s="36" t="n">
        <x:v>4</x:v>
      </x:c>
      <x:c r="E888" s="36" t="n">
        <x:v>2</x:v>
      </x:c>
      <x:c r="F888" s="36" t="str">
        <x:v>Wie sollen Glaubende nach Philipper 4 mit Sorgen umgehen?</x:v>
      </x:c>
      <x:c r="G888" s="36" t="str">
        <x:v>Ihre Anliegen in Gebet und Flehen mit Danksagung vor Gott bringen.</x:v>
      </x:c>
      <x:c r="H888" s="36" t="str">
        <x:v>Sorgen vollständig verdrängen und nie aussprechen.</x:v>
      </x:c>
      <x:c r="I888" s="36" t="str">
        <x:v>Alle Probleme allein lösen, bevor sie beten.</x:v>
      </x:c>
      <x:c r="J888" s="36" t="str">
        <x:v>Sich nur dann an Gott wenden, wenn alle anderen Möglichkeiten gescheitert sind.</x:v>
      </x:c>
      <x:c r="K888" s="36" t="n">
        <x:v>0</x:v>
      </x:c>
      <x:c r="L888" s="36" t="str">
        <x:v>Ihre Anliegen in Gebet und Flehen mit Danksagung vor Gott bringen.</x:v>
      </x:c>
      <x:c r="M888" s="36" t="str">
        <x:v>Philipper 4,4–7</x:v>
      </x:c>
      <x:c r="N888" s="36" t="str">
        <x:v>Paulus verbindet die Aufforderung, sich nicht von Sorge beherrschen zu lassen, mit Gebet, konkreten Bitten und Dank. Darauf folgt die Zusage von Gottes Frieden, der Herz und Gedanken bewahrt.</x:v>
      </x:c>
      <x:c r="O888" s="36" t="str">
        <x:v>FREIGEGEBEN</x:v>
      </x:c>
      <x:c r="P888" s="36" t="str">
        <x:v>FREIGEGEBEN</x:v>
      </x:c>
      <x:c r="Q888" s="36" t="str">
        <x:v>JA</x:v>
      </x:c>
    </x:row>
    <x:row r="889">
      <x:c r="A889" s="36" t="str">
        <x:v>FP-1148</x:v>
      </x:c>
      <x:c r="B889" s="36" t="str">
        <x:v>PHP</x:v>
      </x:c>
      <x:c r="C889" s="36" t="str">
        <x:v>Philipper</x:v>
      </x:c>
      <x:c r="D889" s="36" t="n">
        <x:v>4</x:v>
      </x:c>
      <x:c r="E889" s="36" t="n">
        <x:v>3</x:v>
      </x:c>
      <x:c r="F889" s="36" t="str">
        <x:v>Worauf sollen die Philipper ihre Gedanken nach Philipper 4 besonders richten?</x:v>
      </x:c>
      <x:c r="G889" s="36" t="str">
        <x:v>Auf möglichst viele negative Entwicklungen.</x:v>
      </x:c>
      <x:c r="H889" s="36" t="str">
        <x:v>Auf das, was wahr, ehrbar, gerecht, rein, liebenswert und lobenswert ist.</x:v>
      </x:c>
      <x:c r="I889" s="36" t="str">
        <x:v>Nur auf materielle Gewinne.</x:v>
      </x:c>
      <x:c r="J889" s="36" t="str">
        <x:v>Auf Gerüchte über andere Gemeinden.</x:v>
      </x:c>
      <x:c r="K889" s="36" t="n">
        <x:v>1</x:v>
      </x:c>
      <x:c r="L889" s="36" t="str">
        <x:v>Auf das, was wahr, ehrbar, gerecht, rein, liebenswert und lobenswert ist.</x:v>
      </x:c>
      <x:c r="M889" s="36" t="str">
        <x:v>Philipper 4,8–9</x:v>
      </x:c>
      <x:c r="N889" s="36" t="str">
        <x:v>Paulus macht deutlich, dass geistliches Leben auch die Ausrichtung der Gedanken betrifft. Das Gute soll nicht nur bedacht, sondern das Gelernte auch praktisch umgesetzt werden.</x:v>
      </x:c>
      <x:c r="O889" s="36" t="str">
        <x:v>FREIGEGEBEN</x:v>
      </x:c>
      <x:c r="P889" s="36" t="str">
        <x:v>FREIGEGEBEN</x:v>
      </x:c>
      <x:c r="Q889" s="36" t="str">
        <x:v>JA</x:v>
      </x:c>
    </x:row>
    <x:row r="890">
      <x:c r="A890" s="36" t="str">
        <x:v>FP-1149</x:v>
      </x:c>
      <x:c r="B890" s="36" t="str">
        <x:v>PHP</x:v>
      </x:c>
      <x:c r="C890" s="36" t="str">
        <x:v>Philipper</x:v>
      </x:c>
      <x:c r="D890" s="36" t="n">
        <x:v>4</x:v>
      </x:c>
      <x:c r="E890" s="36" t="n">
        <x:v>4</x:v>
      </x:c>
      <x:c r="F890" s="36" t="str">
        <x:v>Was meint Paulus im Zusammenhang mit 'Ich vermag alles durch den, der mich stärkt'?</x:v>
      </x:c>
      <x:c r="G890" s="36" t="str">
        <x:v>Er kann jede beliebige persönliche Wunschvorstellung garantiert verwirklichen.</x:v>
      </x:c>
      <x:c r="H890" s="36" t="str">
        <x:v>Er wird nie wieder Hunger oder Schwierigkeiten erleben.</x:v>
      </x:c>
      <x:c r="I890" s="36" t="str">
        <x:v>Er hat gelernt, in sehr unterschiedlichen Lebenslagen – Mangel oder Fülle – durch Christus zufrieden und standhaft zu sein.</x:v>
      </x:c>
      <x:c r="J890" s="36" t="str">
        <x:v>Er benötigt keine Unterstützung anderer Christen mehr.</x:v>
      </x:c>
      <x:c r="K890" s="36" t="n">
        <x:v>2</x:v>
      </x:c>
      <x:c r="L890" s="36" t="str">
        <x:v>Er hat gelernt, in sehr unterschiedlichen Lebenslagen – Mangel oder Fülle – durch Christus zufrieden und standhaft zu sein.</x:v>
      </x:c>
      <x:c r="M890" s="36" t="str">
        <x:v>Philipper 4,10–13</x:v>
      </x:c>
      <x:c r="N890" s="36" t="str">
        <x:v>Der bekannte Satz steht im Kontext von Zufriedenheit in wechselnden Lebensumständen. Paulus spricht von Kraft durch Christus, sowohl Überfluss als auch Mangel tragen zu können.</x:v>
      </x:c>
      <x:c r="O890" s="36" t="str">
        <x:v>FREIGEGEBEN</x:v>
      </x:c>
      <x:c r="P890" s="36" t="str">
        <x:v>FREIGEGEBEN</x:v>
      </x:c>
      <x:c r="Q890" s="36" t="str">
        <x:v>JA</x:v>
      </x:c>
    </x:row>
    <x:row r="891">
      <x:c r="A891" s="36" t="str">
        <x:v>FP-1150</x:v>
      </x:c>
      <x:c r="B891" s="36" t="str">
        <x:v>PHP</x:v>
      </x:c>
      <x:c r="C891" s="36" t="str">
        <x:v>Philipper</x:v>
      </x:c>
      <x:c r="D891" s="36" t="n">
        <x:v>4</x:v>
      </x:c>
      <x:c r="E891" s="36" t="n">
        <x:v>5</x:v>
      </x:c>
      <x:c r="F891" s="36" t="str">
        <x:v>Wie bewertet Paulus die Unterstützung, die ihm die Philipper durch Epaphroditus geschickt haben?</x:v>
      </x:c>
      <x:c r="G891" s="36" t="str">
        <x:v>Als unnötige Hilfe, die er ablehnt.</x:v>
      </x:c>
      <x:c r="H891" s="36" t="str">
        <x:v>Als Zahlung für geistliche Leistungen.</x:v>
      </x:c>
      <x:c r="I891" s="36" t="str">
        <x:v>Als Beweis dafür, dass nur reiche Gemeinden Gott gefallen.</x:v>
      </x:c>
      <x:c r="J891" s="36" t="str">
        <x:v>Als Gott wohlgefälliges Opfer und zugleich als Frucht, die den Gebenden zugutekommt.</x:v>
      </x:c>
      <x:c r="K891" s="36" t="n">
        <x:v>3</x:v>
      </x:c>
      <x:c r="L891" s="36" t="str">
        <x:v>Als Gott wohlgefälliges Opfer und zugleich als Frucht, die den Gebenden zugutekommt.</x:v>
      </x:c>
      <x:c r="M891" s="36" t="str">
        <x:v>Philipper 4,14–19</x:v>
      </x:c>
      <x:c r="N891" s="36" t="str">
        <x:v>Paulus dankt für die Hilfe, macht aber klar, dass er nicht bloß das Geschenk sucht. Er sieht darin geistliche Frucht und beschreibt die Gabe als Gott wohlgefälliges Opfer.</x:v>
      </x:c>
      <x:c r="O891" s="36" t="str">
        <x:v>FREIGEGEBEN</x:v>
      </x:c>
      <x:c r="P891" s="36" t="str">
        <x:v>FREIGEGEBEN</x:v>
      </x:c>
      <x:c r="Q891" s="36" t="str">
        <x:v>JA</x:v>
      </x:c>
    </x:row>
    <x:row r="892">
      <x:c r="A892" s="36" t="str">
        <x:v>FP-1151</x:v>
      </x:c>
      <x:c r="B892" s="36" t="str">
        <x:v>COL</x:v>
      </x:c>
      <x:c r="C892" s="36" t="str">
        <x:v>Kolosser</x:v>
      </x:c>
      <x:c r="D892" s="36" t="n">
        <x:v>1</x:v>
      </x:c>
      <x:c r="E892" s="36" t="n">
        <x:v>1</x:v>
      </x:c>
      <x:c r="F892" s="36" t="str">
        <x:v>Wofür betet Paulus nach Kolosser 1 besonders für die Gemeinde?</x:v>
      </x:c>
      <x:c r="G892" s="36" t="str">
        <x:v>Dass sie mit der Erkenntnis von Gottes Willen erfüllt werden und entsprechend leben.</x:v>
      </x:c>
      <x:c r="H892" s="36" t="str">
        <x:v>Dass sie möglichst schnell politische Macht erlangen.</x:v>
      </x:c>
      <x:c r="I892" s="36" t="str">
        <x:v>Dass sie keinerlei Widerstand mehr erleben.</x:v>
      </x:c>
      <x:c r="J892" s="36" t="str">
        <x:v>Dass sie nur noch über ihre eigenen Bedürfnisse nachdenken.</x:v>
      </x:c>
      <x:c r="K892" s="36" t="n">
        <x:v>0</x:v>
      </x:c>
      <x:c r="L892" s="36" t="str">
        <x:v>Dass sie mit der Erkenntnis von Gottes Willen erfüllt werden und entsprechend leben.</x:v>
      </x:c>
      <x:c r="M892" s="36" t="str">
        <x:v>Kolosser 1,9–12</x:v>
      </x:c>
      <x:c r="N892" s="36" t="str">
        <x:v>Paulus verbindet Erkenntnis mit Praxis: Die Gemeinde soll Gottes Willen verstehen, würdig leben, in guten Werken Frucht bringen, wachsen und mit Kraft zu Geduld und Ausdauer gestärkt werden.</x:v>
      </x:c>
      <x:c r="O892" s="36" t="str">
        <x:v>FREIGEGEBEN</x:v>
      </x:c>
      <x:c r="P892" s="36" t="str">
        <x:v>FREIGEGEBEN</x:v>
      </x:c>
      <x:c r="Q892" s="36" t="str">
        <x:v>JA</x:v>
      </x:c>
    </x:row>
    <x:row r="893">
      <x:c r="A893" s="36" t="str">
        <x:v>FP-1152</x:v>
      </x:c>
      <x:c r="B893" s="36" t="str">
        <x:v>COL</x:v>
      </x:c>
      <x:c r="C893" s="36" t="str">
        <x:v>Kolosser</x:v>
      </x:c>
      <x:c r="D893" s="36" t="n">
        <x:v>1</x:v>
      </x:c>
      <x:c r="E893" s="36" t="n">
        <x:v>2</x:v>
      </x:c>
      <x:c r="F893" s="36" t="str">
        <x:v>Wie beschreibt Paulus den Wechsel, den Gott für die Glaubenden bewirkt hat?</x:v>
      </x:c>
      <x:c r="G893" s="36" t="str">
        <x:v>Er hat sie aus Kolossä nach Jerusalem versetzt.</x:v>
      </x:c>
      <x:c r="H893" s="36" t="str">
        <x:v>Er hat sie aus der Herrschaft der Finsternis gerettet und in das Reich seines geliebten Sohnes versetzt.</x:v>
      </x:c>
      <x:c r="I893" s="36" t="str">
        <x:v>Er hat ihnen jede irdische Verantwortung genommen.</x:v>
      </x:c>
      <x:c r="J893" s="36" t="str">
        <x:v>Er hat sie unter die Herrschaft menschlicher Traditionen gestellt.</x:v>
      </x:c>
      <x:c r="K893" s="36" t="n">
        <x:v>1</x:v>
      </x:c>
      <x:c r="L893" s="36" t="str">
        <x:v>Er hat sie aus der Herrschaft der Finsternis gerettet und in das Reich seines geliebten Sohnes versetzt.</x:v>
      </x:c>
      <x:c r="M893" s="36" t="str">
        <x:v>Kolosser 1,12–14</x:v>
      </x:c>
      <x:c r="N893" s="36" t="str">
        <x:v>Paulus beschreibt Rettung als Herrschaftswechsel: weg von der Finsternis, hinein in das Reich des Sohnes. Mit Christus verbindet er Erlösung und Vergebung.</x:v>
      </x:c>
      <x:c r="O893" s="36" t="str">
        <x:v>FREIGEGEBEN</x:v>
      </x:c>
      <x:c r="P893" s="36" t="str">
        <x:v>FREIGEGEBEN</x:v>
      </x:c>
      <x:c r="Q893" s="36" t="str">
        <x:v>JA</x:v>
      </x:c>
    </x:row>
    <x:row r="894">
      <x:c r="A894" s="36" t="str">
        <x:v>FP-1153</x:v>
      </x:c>
      <x:c r="B894" s="36" t="str">
        <x:v>COL</x:v>
      </x:c>
      <x:c r="C894" s="36" t="str">
        <x:v>Kolosser</x:v>
      </x:c>
      <x:c r="D894" s="36" t="n">
        <x:v>1</x:v>
      </x:c>
      <x:c r="E894" s="36" t="n">
        <x:v>3</x:v>
      </x:c>
      <x:c r="F894" s="36" t="str">
        <x:v>Welche Stellung hat Christus nach Kolosser 1 gegenüber der Schöpfung?</x:v>
      </x:c>
      <x:c r="G894" s="36" t="str">
        <x:v>Er ist nur ein Teil der geschaffenen Welt ohne besondere Stellung.</x:v>
      </x:c>
      <x:c r="H894" s="36" t="str">
        <x:v>Er wirkt nur innerhalb der Gemeinde, nicht aber in Bezug auf die Schöpfung.</x:v>
      </x:c>
      <x:c r="I894" s="36" t="str">
        <x:v>Alles ist durch ihn und für ihn geschaffen, und alles besteht in ihm.</x:v>
      </x:c>
      <x:c r="J894" s="36" t="str">
        <x:v>Er erhält seine Vollmacht erst durch menschliche Anerkennung.</x:v>
      </x:c>
      <x:c r="K894" s="36" t="n">
        <x:v>2</x:v>
      </x:c>
      <x:c r="L894" s="36" t="str">
        <x:v>Alles ist durch ihn und für ihn geschaffen, und alles besteht in ihm.</x:v>
      </x:c>
      <x:c r="M894" s="36" t="str">
        <x:v>Kolosser 1,15–17</x:v>
      </x:c>
      <x:c r="N894" s="36" t="str">
        <x:v>Der Abschnitt beschreibt Christus in außergewöhnlicher Vorrangstellung: Die gesamte sichtbare und unsichtbare Schöpfung ist durch ihn und auf ihn hin geschaffen, und in ihm hat sie Bestand.</x:v>
      </x:c>
      <x:c r="O894" s="36" t="str">
        <x:v>FREIGEGEBEN</x:v>
      </x:c>
      <x:c r="P894" s="36" t="str">
        <x:v>FREIGEGEBEN</x:v>
      </x:c>
      <x:c r="Q894" s="36" t="str">
        <x:v>JA</x:v>
      </x:c>
    </x:row>
    <x:row r="895">
      <x:c r="A895" s="36" t="str">
        <x:v>FP-1154</x:v>
      </x:c>
      <x:c r="B895" s="36" t="str">
        <x:v>COL</x:v>
      </x:c>
      <x:c r="C895" s="36" t="str">
        <x:v>Kolosser</x:v>
      </x:c>
      <x:c r="D895" s="36" t="n">
        <x:v>1</x:v>
      </x:c>
      <x:c r="E895" s="36" t="n">
        <x:v>4</x:v>
      </x:c>
      <x:c r="F895" s="36" t="str">
        <x:v>Wie wird die Versöhnung durch Christus in Kolosser 1 beschrieben?</x:v>
      </x:c>
      <x:c r="G895" s="36" t="str">
        <x:v>Durch politische Einigung zwischen verschiedenen Völkern.</x:v>
      </x:c>
      <x:c r="H895" s="36" t="str">
        <x:v>Durch zusätzliche religiöse Vorschriften.</x:v>
      </x:c>
      <x:c r="I895" s="36" t="str">
        <x:v>Durch die Abschaffung jeder moralischen Verantwortung.</x:v>
      </x:c>
      <x:c r="J895" s="36" t="str">
        <x:v>Durch seinen Tod und das Blut am Kreuz schafft er Frieden und versöhnt.</x:v>
      </x:c>
      <x:c r="K895" s="36" t="n">
        <x:v>3</x:v>
      </x:c>
      <x:c r="L895" s="36" t="str">
        <x:v>Durch seinen Tod und das Blut am Kreuz schafft er Frieden und versöhnt.</x:v>
      </x:c>
      <x:c r="M895" s="36" t="str">
        <x:v>Kolosser 1,18–22</x:v>
      </x:c>
      <x:c r="N895" s="36" t="str">
        <x:v>Paulus verbindet Christi Vorrang mit seinem Kreuz: Durch ihn will Gott versöhnen und Frieden schaffen. Auch die zuvor entfremdeten Menschen werden durch Christi Tod versöhnt.</x:v>
      </x:c>
      <x:c r="O895" s="36" t="str">
        <x:v>FREIGEGEBEN</x:v>
      </x:c>
      <x:c r="P895" s="36" t="str">
        <x:v>FREIGEGEBEN</x:v>
      </x:c>
      <x:c r="Q895" s="36" t="str">
        <x:v>JA</x:v>
      </x:c>
    </x:row>
    <x:row r="896">
      <x:c r="A896" s="36" t="str">
        <x:v>FP-1155</x:v>
      </x:c>
      <x:c r="B896" s="36" t="str">
        <x:v>COL</x:v>
      </x:c>
      <x:c r="C896" s="36" t="str">
        <x:v>Kolosser</x:v>
      </x:c>
      <x:c r="D896" s="36" t="n">
        <x:v>1</x:v>
      </x:c>
      <x:c r="E896" s="36" t="n">
        <x:v>5</x:v>
      </x:c>
      <x:c r="F896" s="36" t="str">
        <x:v>Wie fasst Paulus das lange verborgene und nun offenbarte Geheimnis unter den Heiden zusammen?</x:v>
      </x:c>
      <x:c r="G896" s="36" t="str">
        <x:v>Christus in euch – die Hoffnung der Herrlichkeit.</x:v>
      </x:c>
      <x:c r="H896" s="36" t="str">
        <x:v>Die Rückkehr aller Menschen nach Jerusalem.</x:v>
      </x:c>
      <x:c r="I896" s="36" t="str">
        <x:v>Die vollständige Vermeidung von Leiden.</x:v>
      </x:c>
      <x:c r="J896" s="36" t="str">
        <x:v>Die Erkenntnis geheimer menschlicher Traditionen.</x:v>
      </x:c>
      <x:c r="K896" s="36" t="n">
        <x:v>0</x:v>
      </x:c>
      <x:c r="L896" s="36" t="str">
        <x:v>Christus in euch – die Hoffnung der Herrlichkeit.</x:v>
      </x:c>
      <x:c r="M896" s="36" t="str">
        <x:v>Kolosser 1,24–29</x:v>
      </x:c>
      <x:c r="N896" s="36" t="str">
        <x:v>Paulus versteht seinen Dienst darin, das offenbarte Geheimnis bekannt zu machen. Sein Kern ist die Gegenwart Christi unter den Glaubenden und die daraus kommende Hoffnung der Herrlichkeit.</x:v>
      </x:c>
      <x:c r="O896" s="36" t="str">
        <x:v>FREIGEGEBEN</x:v>
      </x:c>
      <x:c r="P896" s="36" t="str">
        <x:v>FREIGEGEBEN</x:v>
      </x:c>
      <x:c r="Q896" s="36" t="str">
        <x:v>JA</x:v>
      </x:c>
    </x:row>
    <x:row r="897">
      <x:c r="A897" s="36" t="str">
        <x:v>FP-1156</x:v>
      </x:c>
      <x:c r="B897" s="36" t="str">
        <x:v>COL</x:v>
      </x:c>
      <x:c r="C897" s="36" t="str">
        <x:v>Kolosser</x:v>
      </x:c>
      <x:c r="D897" s="36" t="n">
        <x:v>2</x:v>
      </x:c>
      <x:c r="E897" s="36" t="n">
        <x:v>1</x:v>
      </x:c>
      <x:c r="F897" s="36" t="str">
        <x:v>Wovor warnt Paulus die Kolosser in Kolosser 2 ausdrücklich?</x:v>
      </x:c>
      <x:c r="G897" s="36" t="str">
        <x:v>Zu oft in der Schrift zu lesen.</x:v>
      </x:c>
      <x:c r="H897" s="36" t="str">
        <x:v>Sich durch überzeugend klingende Argumente und menschliche Lehren von Christus wegführen zu lassen.</x:v>
      </x:c>
      <x:c r="I897" s="36" t="str">
        <x:v>Zu dankbar zu sein.</x:v>
      </x:c>
      <x:c r="J897" s="36" t="str">
        <x:v>Gemeinsam im Glauben festzustehen.</x:v>
      </x:c>
      <x:c r="K897" s="36" t="n">
        <x:v>1</x:v>
      </x:c>
      <x:c r="L897" s="36" t="str">
        <x:v>Sich durch überzeugend klingende Argumente und menschliche Lehren von Christus wegführen zu lassen.</x:v>
      </x:c>
      <x:c r="M897" s="36" t="str">
        <x:v>Kolosser 2,4–8</x:v>
      </x:c>
      <x:c r="N897" s="36" t="str">
        <x:v>Paulus will die Gemeinde vor Täuschung schützen. Maßstab ist Christus, nicht eine Lehre, die sich auf menschliche Überlieferung oder Grundprinzipien der Welt statt auf ihn stützt.</x:v>
      </x:c>
      <x:c r="O897" s="36" t="str">
        <x:v>FREIGEGEBEN</x:v>
      </x:c>
      <x:c r="P897" s="36" t="str">
        <x:v>FREIGEGEBEN</x:v>
      </x:c>
      <x:c r="Q897" s="36" t="str">
        <x:v>JA</x:v>
      </x:c>
    </x:row>
    <x:row r="898">
      <x:c r="A898" s="36" t="str">
        <x:v>FP-1157</x:v>
      </x:c>
      <x:c r="B898" s="36" t="str">
        <x:v>COL</x:v>
      </x:c>
      <x:c r="C898" s="36" t="str">
        <x:v>Kolosser</x:v>
      </x:c>
      <x:c r="D898" s="36" t="n">
        <x:v>2</x:v>
      </x:c>
      <x:c r="E898" s="36" t="n">
        <x:v>2</x:v>
      </x:c>
      <x:c r="F898" s="36" t="str">
        <x:v>Warum braucht die Gemeinde nach Kolosser 2 ihre geistliche Fülle nicht außerhalb von Christus zu suchen?</x:v>
      </x:c>
      <x:c r="G898" s="36" t="str">
        <x:v>Weil jede Form von Erkenntnis unwichtig ist.</x:v>
      </x:c>
      <x:c r="H898" s="36" t="str">
        <x:v>Weil menschliche Traditionen dieselbe Autorität wie Christus haben.</x:v>
      </x:c>
      <x:c r="I898" s="36" t="str">
        <x:v>Weil in Christus die ganze Fülle der Gottheit wohnt und die Glaubenden in ihm zur Fülle gebracht sind.</x:v>
      </x:c>
      <x:c r="J898" s="36" t="str">
        <x:v>Weil nur Apostel Zugang zu geistlicher Fülle haben.</x:v>
      </x:c>
      <x:c r="K898" s="36" t="n">
        <x:v>2</x:v>
      </x:c>
      <x:c r="L898" s="36" t="str">
        <x:v>Weil in Christus die ganze Fülle der Gottheit wohnt und die Glaubenden in ihm zur Fülle gebracht sind.</x:v>
      </x:c>
      <x:c r="M898" s="36" t="str">
        <x:v>Kolosser 2,9–10</x:v>
      </x:c>
      <x:c r="N898" s="36" t="str">
        <x:v>Paulus begründet die Christuszentrierung mit Christi einzigartiger Stellung: In ihm wohnt die Fülle der Gottheit, und die Glaubenden haben ihre Fülle in ihm.</x:v>
      </x:c>
      <x:c r="O898" s="36" t="str">
        <x:v>FREIGEGEBEN</x:v>
      </x:c>
      <x:c r="P898" s="36" t="str">
        <x:v>FREIGEGEBEN</x:v>
      </x:c>
      <x:c r="Q898" s="36" t="str">
        <x:v>JA</x:v>
      </x:c>
    </x:row>
    <x:row r="899">
      <x:c r="A899" s="36" t="str">
        <x:v>FP-1158</x:v>
      </x:c>
      <x:c r="B899" s="36" t="str">
        <x:v>COL</x:v>
      </x:c>
      <x:c r="C899" s="36" t="str">
        <x:v>Kolosser</x:v>
      </x:c>
      <x:c r="D899" s="36" t="n">
        <x:v>2</x:v>
      </x:c>
      <x:c r="E899" s="36" t="n">
        <x:v>3</x:v>
      </x:c>
      <x:c r="F899" s="36" t="str">
        <x:v>Was verbindet Paulus in Kolosser 2 mit Taufe, Glauben und neuem Leben?</x:v>
      </x:c>
      <x:c r="G899" s="36" t="str">
        <x:v>Durch Taufe automatisch jede zukünftige Sünde unmöglich zu machen.</x:v>
      </x:c>
      <x:c r="H899" s="36" t="str">
        <x:v>Nur äußerlich zu einer religiösen Gruppe zu gehören.</x:v>
      </x:c>
      <x:c r="I899" s="36" t="str">
        <x:v>Die Auferstehung ausschließlich als Bild ohne Bezug auf Gottes Wirken zu verstehen.</x:v>
      </x:c>
      <x:c r="J899" s="36" t="str">
        <x:v>Mit Christus begraben und durch den Glauben an Gottes Wirken mit ihm auferweckt zu sein.</x:v>
      </x:c>
      <x:c r="K899" s="36" t="n">
        <x:v>3</x:v>
      </x:c>
      <x:c r="L899" s="36" t="str">
        <x:v>Mit Christus begraben und durch den Glauben an Gottes Wirken mit ihm auferweckt zu sein.</x:v>
      </x:c>
      <x:c r="M899" s="36" t="str">
        <x:v>Kolosser 2,11–13</x:v>
      </x:c>
      <x:c r="N899" s="36" t="str">
        <x:v>Paulus verbindet die Taufe mit Teilhabe an Christi Tod und Auferstehung. Entscheidend ist Gottes Wirken, das auch Christus von den Toten auferweckt hat.</x:v>
      </x:c>
      <x:c r="O899" s="36" t="str">
        <x:v>FREIGEGEBEN</x:v>
      </x:c>
      <x:c r="P899" s="36" t="str">
        <x:v>FREIGEGEBEN</x:v>
      </x:c>
      <x:c r="Q899" s="36" t="str">
        <x:v>JA</x:v>
      </x:c>
    </x:row>
    <x:row r="900">
      <x:c r="A900" s="36" t="str">
        <x:v>FP-1159</x:v>
      </x:c>
      <x:c r="B900" s="36" t="str">
        <x:v>COL</x:v>
      </x:c>
      <x:c r="C900" s="36" t="str">
        <x:v>Kolosser</x:v>
      </x:c>
      <x:c r="D900" s="36" t="n">
        <x:v>2</x:v>
      </x:c>
      <x:c r="E900" s="36" t="n">
        <x:v>4</x:v>
      </x:c>
      <x:c r="F900" s="36" t="str">
        <x:v>Was geschieht nach Kolosser 2 mit der gegen uns stehenden Schuldschrift?</x:v>
      </x:c>
      <x:c r="G900" s="36" t="str">
        <x:v>Sie wird beseitigt und bildlich ans Kreuz geheftet.</x:v>
      </x:c>
      <x:c r="H900" s="36" t="str">
        <x:v>Sie wird lediglich verschoben und später wieder eingesetzt.</x:v>
      </x:c>
      <x:c r="I900" s="36" t="str">
        <x:v>Sie wird durch neue menschliche Vorschriften ersetzt.</x:v>
      </x:c>
      <x:c r="J900" s="36" t="str">
        <x:v>Sie bleibt trotz Christi Werk unverändert bestehen.</x:v>
      </x:c>
      <x:c r="K900" s="36" t="n">
        <x:v>0</x:v>
      </x:c>
      <x:c r="L900" s="36" t="str">
        <x:v>Sie wird beseitigt und bildlich ans Kreuz geheftet.</x:v>
      </x:c>
      <x:c r="M900" s="36" t="str">
        <x:v>Kolosser 2,13–15</x:v>
      </x:c>
      <x:c r="N900" s="36" t="str">
        <x:v>Paulus beschreibt Gottes Vergebung bildhaft: Die gegen den Menschen stehende Schuldschrift wird ausgelöscht und ans Kreuz geheftet. Zugleich spricht er vom Triumph über Mächte und Gewalten.</x:v>
      </x:c>
      <x:c r="O900" s="36" t="str">
        <x:v>FREIGEGEBEN</x:v>
      </x:c>
      <x:c r="P900" s="36" t="str">
        <x:v>FREIGEGEBEN</x:v>
      </x:c>
      <x:c r="Q900" s="36" t="str">
        <x:v>JA</x:v>
      </x:c>
    </x:row>
    <x:row r="901">
      <x:c r="A901" s="36" t="str">
        <x:v>FP-1160</x:v>
      </x:c>
      <x:c r="B901" s="36" t="str">
        <x:v>COL</x:v>
      </x:c>
      <x:c r="C901" s="36" t="str">
        <x:v>Kolosser</x:v>
      </x:c>
      <x:c r="D901" s="36" t="n">
        <x:v>2</x:v>
      </x:c>
      <x:c r="E901" s="36" t="n">
        <x:v>5</x:v>
      </x:c>
      <x:c r="F901" s="36" t="str">
        <x:v>Warum sollen sich die Kolosser nicht wegen Speise, Trank oder bestimmter Festtage verurteilen lassen?</x:v>
      </x:c>
      <x:c r="G901" s="36" t="str">
        <x:v>Weil jede religiöse Praxis grundsätzlich wertlos ist.</x:v>
      </x:c>
      <x:c r="H901" s="36" t="str">
        <x:v>Weil diese Dinge als Schatten bezeichnet werden, während die Wirklichkeit in Christus liegt.</x:v>
      </x:c>
      <x:c r="I901" s="36" t="str">
        <x:v>Weil nur Paulus über solche Fragen entscheiden darf.</x:v>
      </x:c>
      <x:c r="J901" s="36" t="str">
        <x:v>Weil alle Feste und Sabbate für Menschen verboten sind.</x:v>
      </x:c>
      <x:c r="K901" s="36" t="n">
        <x:v>1</x:v>
      </x:c>
      <x:c r="L901" s="36" t="str">
        <x:v>Weil diese Dinge als Schatten bezeichnet werden, während die Wirklichkeit in Christus liegt.</x:v>
      </x:c>
      <x:c r="M901" s="36" t="str">
        <x:v>Kolosser 2,16–19</x:v>
      </x:c>
      <x:c r="N901" s="36" t="str">
        <x:v>Paulus verschiebt den Fokus von äußeren Vorschriften auf Christus. Die genannten Dinge bezeichnet er als Schatten; entscheidend ist, am Haupt – Christus – festzuhalten.</x:v>
      </x:c>
      <x:c r="O901" s="36" t="str">
        <x:v>FREIGEGEBEN</x:v>
      </x:c>
      <x:c r="P901" s="36" t="str">
        <x:v>FREIGEGEBEN</x:v>
      </x:c>
      <x:c r="Q901" s="36" t="str">
        <x:v>JA</x:v>
      </x:c>
    </x:row>
    <x:row r="902">
      <x:c r="A902" s="36" t="str">
        <x:v>FP-1161</x:v>
      </x:c>
      <x:c r="B902" s="36" t="str">
        <x:v>COL</x:v>
      </x:c>
      <x:c r="C902" s="36" t="str">
        <x:v>Kolosser</x:v>
      </x:c>
      <x:c r="D902" s="36" t="n">
        <x:v>3</x:v>
      </x:c>
      <x:c r="E902" s="36" t="n">
        <x:v>1</x:v>
      </x:c>
      <x:c r="F902" s="36" t="str">
        <x:v>Worauf sollen Menschen ihren Sinn richten, wenn sie mit Christus auferweckt sind?</x:v>
      </x:c>
      <x:c r="G902" s="36" t="str">
        <x:v>Ausschließlich auf irdischen Besitz.</x:v>
      </x:c>
      <x:c r="H902" s="36" t="str">
        <x:v>Nur auf gesellschaftlichen Einfluss.</x:v>
      </x:c>
      <x:c r="I902" s="36" t="str">
        <x:v>Auf das, was oben ist, wo Christus ist.</x:v>
      </x:c>
      <x:c r="J902" s="36" t="str">
        <x:v>Auf die Anerkennung durch andere.</x:v>
      </x:c>
      <x:c r="K902" s="36" t="n">
        <x:v>2</x:v>
      </x:c>
      <x:c r="L902" s="36" t="str">
        <x:v>Auf das, was oben ist, wo Christus ist.</x:v>
      </x:c>
      <x:c r="M902" s="36" t="str">
        <x:v>Kolosser 3,1–4</x:v>
      </x:c>
      <x:c r="N902" s="36" t="str">
        <x:v>Paulus leitet aus der Verbindung mit Christus eine neue Ausrichtung ab. Das verborgene Leben mit Christus bestimmt, worauf die Glaubenden ihr Denken und ihre Hoffnung richten.</x:v>
      </x:c>
      <x:c r="O902" s="36" t="str">
        <x:v>FREIGEGEBEN</x:v>
      </x:c>
      <x:c r="P902" s="36" t="str">
        <x:v>FREIGEGEBEN</x:v>
      </x:c>
      <x:c r="Q902" s="36" t="str">
        <x:v>JA</x:v>
      </x:c>
    </x:row>
    <x:row r="903">
      <x:c r="A903" s="36" t="str">
        <x:v>FP-1162</x:v>
      </x:c>
      <x:c r="B903" s="36" t="str">
        <x:v>COL</x:v>
      </x:c>
      <x:c r="C903" s="36" t="str">
        <x:v>Kolosser</x:v>
      </x:c>
      <x:c r="D903" s="36" t="n">
        <x:v>3</x:v>
      </x:c>
      <x:c r="E903" s="36" t="n">
        <x:v>2</x:v>
      </x:c>
      <x:c r="F903" s="36" t="str">
        <x:v>Welches Bild verwendet Paulus für die Veränderung des Lebens in Kolosser 3?</x:v>
      </x:c>
      <x:c r="G903" s="36" t="str">
        <x:v>Ein neues Haus kaufen.</x:v>
      </x:c>
      <x:c r="H903" s="36" t="str">
        <x:v>Alle bisherigen Beziehungen abbrechen.</x:v>
      </x:c>
      <x:c r="I903" s="36" t="str">
        <x:v>Eine neue politische Identität annehmen.</x:v>
      </x:c>
      <x:c r="J903" s="36" t="str">
        <x:v>Den alten Menschen ausziehen und den neuen anziehen.</x:v>
      </x:c>
      <x:c r="K903" s="36" t="n">
        <x:v>3</x:v>
      </x:c>
      <x:c r="L903" s="36" t="str">
        <x:v>Den alten Menschen ausziehen und den neuen anziehen.</x:v>
      </x:c>
      <x:c r="M903" s="36" t="str">
        <x:v>Kolosser 3,5–11</x:v>
      </x:c>
      <x:c r="N903" s="36" t="str">
        <x:v>Paulus beschreibt ethische Veränderung mit dem Bild des Aus- und Anziehens. Alte Verhaltensweisen wie Lüge, Zorn und Bosheit sollen abgelegt werden; der neue Mensch wird nach dem Bild seines Schöpfers erneuert.</x:v>
      </x:c>
      <x:c r="O903" s="36" t="str">
        <x:v>FREIGEGEBEN</x:v>
      </x:c>
      <x:c r="P903" s="36" t="str">
        <x:v>FREIGEGEBEN</x:v>
      </x:c>
      <x:c r="Q903" s="36" t="str">
        <x:v>JA</x:v>
      </x:c>
    </x:row>
    <x:row r="904">
      <x:c r="A904" s="36" t="str">
        <x:v>FP-1163</x:v>
      </x:c>
      <x:c r="B904" s="36" t="str">
        <x:v>COL</x:v>
      </x:c>
      <x:c r="C904" s="36" t="str">
        <x:v>Kolosser</x:v>
      </x:c>
      <x:c r="D904" s="36" t="n">
        <x:v>3</x:v>
      </x:c>
      <x:c r="E904" s="36" t="n">
        <x:v>3</x:v>
      </x:c>
      <x:c r="F904" s="36" t="str">
        <x:v>Welche Haltung soll nach Kolosser 3 besonders über allem stehen und die Gemeinschaft verbinden?</x:v>
      </x:c>
      <x:c r="G904" s="36" t="str">
        <x:v>Die Liebe als Band der Vollkommenheit.</x:v>
      </x:c>
      <x:c r="H904" s="36" t="str">
        <x:v>Der Wettbewerb um Anerkennung.</x:v>
      </x:c>
      <x:c r="I904" s="36" t="str">
        <x:v>Die Angst vor Fehlern.</x:v>
      </x:c>
      <x:c r="J904" s="36" t="str">
        <x:v>Die strikte Trennung voneinander.</x:v>
      </x:c>
      <x:c r="K904" s="36" t="n">
        <x:v>0</x:v>
      </x:c>
      <x:c r="L904" s="36" t="str">
        <x:v>Die Liebe als Band der Vollkommenheit.</x:v>
      </x:c>
      <x:c r="M904" s="36" t="str">
        <x:v>Kolosser 3,12–14</x:v>
      </x:c>
      <x:c r="N904" s="36" t="str">
        <x:v>Nach Erbarmen, Freundlichkeit, Demut, Sanftmut, Geduld und Vergebung nennt Paulus die Liebe als das verbindende Element über allem.</x:v>
      </x:c>
      <x:c r="O904" s="36" t="str">
        <x:v>FREIGEGEBEN</x:v>
      </x:c>
      <x:c r="P904" s="36" t="str">
        <x:v>FREIGEGEBEN</x:v>
      </x:c>
      <x:c r="Q904" s="36" t="str">
        <x:v>JA</x:v>
      </x:c>
    </x:row>
    <x:row r="905">
      <x:c r="A905" s="36" t="str">
        <x:v>FP-1164</x:v>
      </x:c>
      <x:c r="B905" s="36" t="str">
        <x:v>COL</x:v>
      </x:c>
      <x:c r="C905" s="36" t="str">
        <x:v>Kolosser</x:v>
      </x:c>
      <x:c r="D905" s="36" t="n">
        <x:v>3</x:v>
      </x:c>
      <x:c r="E905" s="36" t="n">
        <x:v>4</x:v>
      </x:c>
      <x:c r="F905" s="36" t="str">
        <x:v>Wie soll das Wort Christi nach Kolosser 3 in der Gemeinde wirken?</x:v>
      </x:c>
      <x:c r="G905" s="36" t="str">
        <x:v>Es soll nur von wenigen Leitern gekannt werden.</x:v>
      </x:c>
      <x:c r="H905" s="36" t="str">
        <x:v>Es soll reichlich unter ihnen wohnen, sodass sie einander in Weisheit lehren und ermahnen.</x:v>
      </x:c>
      <x:c r="I905" s="36" t="str">
        <x:v>Es soll ausschließlich privat gelesen werden.</x:v>
      </x:c>
      <x:c r="J905" s="36" t="str">
        <x:v>Es soll durch menschliche Überlieferung ersetzt werden.</x:v>
      </x:c>
      <x:c r="K905" s="36" t="n">
        <x:v>1</x:v>
      </x:c>
      <x:c r="L905" s="36" t="str">
        <x:v>Es soll reichlich unter ihnen wohnen, sodass sie einander in Weisheit lehren und ermahnen.</x:v>
      </x:c>
      <x:c r="M905" s="36" t="str">
        <x:v>Kolosser 3,15–17</x:v>
      </x:c>
      <x:c r="N905" s="36" t="str">
        <x:v>Paulus verbindet den Frieden Christi, Dankbarkeit und das reichliche Wohnen des Wortes Christi. Lehren, Ermahnen, Singen und Handeln sollen auf Christus ausgerichtet sein.</x:v>
      </x:c>
      <x:c r="O905" s="36" t="str">
        <x:v>FREIGEGEBEN</x:v>
      </x:c>
      <x:c r="P905" s="36" t="str">
        <x:v>FREIGEGEBEN</x:v>
      </x:c>
      <x:c r="Q905" s="36" t="str">
        <x:v>JA</x:v>
      </x:c>
    </x:row>
    <x:row r="906">
      <x:c r="A906" s="36" t="str">
        <x:v>FP-1165</x:v>
      </x:c>
      <x:c r="B906" s="36" t="str">
        <x:v>COL</x:v>
      </x:c>
      <x:c r="C906" s="36" t="str">
        <x:v>Kolosser</x:v>
      </x:c>
      <x:c r="D906" s="36" t="n">
        <x:v>3</x:v>
      </x:c>
      <x:c r="E906" s="36" t="n">
        <x:v>5</x:v>
      </x:c>
      <x:c r="F906" s="36" t="str">
        <x:v>Welche Grundhaltung nennt Paulus für das eigene Tun in Kolosser 3?</x:v>
      </x:c>
      <x:c r="G906" s="36" t="str">
        <x:v>Nur dann sorgfältig zu arbeiten, wenn jemand zusieht.</x:v>
      </x:c>
      <x:c r="H906" s="36" t="str">
        <x:v>Anerkennung durch Menschen zum höchsten Ziel zu machen.</x:v>
      </x:c>
      <x:c r="I906" s="36" t="str">
        <x:v>Von Herzen zu handeln wie für den Herrn und nicht nur für Menschen.</x:v>
      </x:c>
      <x:c r="J906" s="36" t="str">
        <x:v>Verantwortung nur zu übernehmen, wenn eine Belohnung garantiert ist.</x:v>
      </x:c>
      <x:c r="K906" s="36" t="n">
        <x:v>2</x:v>
      </x:c>
      <x:c r="L906" s="36" t="str">
        <x:v>Von Herzen zu handeln wie für den Herrn und nicht nur für Menschen.</x:v>
      </x:c>
      <x:c r="M906" s="36" t="str">
        <x:v>Kolosser 3,22–25</x:v>
      </x:c>
      <x:c r="N906" s="36" t="str">
        <x:v>Der damalige soziale Kontext wird nicht verschwiegen, doch Paulus richtet die Motivation auf Christus: Arbeit soll aufrichtig und von Herzen geschehen, weil letztlich dem Herrn gedient wird.</x:v>
      </x:c>
      <x:c r="O906" s="36" t="str">
        <x:v>FREIGEGEBEN</x:v>
      </x:c>
      <x:c r="P906" s="36" t="str">
        <x:v>FREIGEGEBEN</x:v>
      </x:c>
      <x:c r="Q906" s="36" t="str">
        <x:v>JA</x:v>
      </x:c>
    </x:row>
    <x:row r="907">
      <x:c r="A907" s="36" t="str">
        <x:v>FP-1166</x:v>
      </x:c>
      <x:c r="B907" s="36" t="str">
        <x:v>COL</x:v>
      </x:c>
      <x:c r="C907" s="36" t="str">
        <x:v>Kolosser</x:v>
      </x:c>
      <x:c r="D907" s="36" t="n">
        <x:v>4</x:v>
      </x:c>
      <x:c r="E907" s="36" t="n">
        <x:v>1</x:v>
      </x:c>
      <x:c r="F907" s="36" t="str">
        <x:v>Woran erinnert Paulus irdische Herren in Kolosser 4?</x:v>
      </x:c>
      <x:c r="G907" s="36" t="str">
        <x:v>Sie dürfen ihre Stellung ohne Einschränkung ausnutzen.</x:v>
      </x:c>
      <x:c r="H907" s="36" t="str">
        <x:v>Vor Gott zählt gesellschaftlicher Rang mehr als Gerechtigkeit.</x:v>
      </x:c>
      <x:c r="I907" s="36" t="str">
        <x:v>Nur Untergebene tragen moralische Verantwortung.</x:v>
      </x:c>
      <x:c r="J907" s="36" t="str">
        <x:v>Sie sollen gerecht und fair handeln, weil auch sie einen Herrn im Himmel haben.</x:v>
      </x:c>
      <x:c r="K907" s="36" t="n">
        <x:v>3</x:v>
      </x:c>
      <x:c r="L907" s="36" t="str">
        <x:v>Sie sollen gerecht und fair handeln, weil auch sie einen Herrn im Himmel haben.</x:v>
      </x:c>
      <x:c r="M907" s="36" t="str">
        <x:v>Kolosser 4,1</x:v>
      </x:c>
      <x:c r="N907" s="36" t="str">
        <x:v>Paulus stellt auch Menschen mit gesellschaftlicher Macht unter eine höhere Rechenschaft: Sie selbst haben einen Herrn im Himmel und sollen deshalb gerecht handeln.</x:v>
      </x:c>
      <x:c r="O907" s="36" t="str">
        <x:v>FREIGEGEBEN</x:v>
      </x:c>
      <x:c r="P907" s="36" t="str">
        <x:v>FREIGEGEBEN</x:v>
      </x:c>
      <x:c r="Q907" s="36" t="str">
        <x:v>JA</x:v>
      </x:c>
    </x:row>
    <x:row r="908">
      <x:c r="A908" s="36" t="str">
        <x:v>FP-1167</x:v>
      </x:c>
      <x:c r="B908" s="36" t="str">
        <x:v>COL</x:v>
      </x:c>
      <x:c r="C908" s="36" t="str">
        <x:v>Kolosser</x:v>
      </x:c>
      <x:c r="D908" s="36" t="n">
        <x:v>4</x:v>
      </x:c>
      <x:c r="E908" s="36" t="n">
        <x:v>2</x:v>
      </x:c>
      <x:c r="F908" s="36" t="str">
        <x:v>Welche Haltung fordert Paulus beim Gebet in Kolosser 4?</x:v>
      </x:c>
      <x:c r="G908" s="36" t="str">
        <x:v>Ausdauer, Wachsamkeit und Dankbarkeit.</x:v>
      </x:c>
      <x:c r="H908" s="36" t="str">
        <x:v>Nur spontane Gebete in Krisen.</x:v>
      </x:c>
      <x:c r="I908" s="36" t="str">
        <x:v>Gebet ohne Bezug zu anderen Menschen.</x:v>
      </x:c>
      <x:c r="J908" s="36" t="str">
        <x:v>Gebet ausschließlich für persönlichen Erfolg.</x:v>
      </x:c>
      <x:c r="K908" s="36" t="n">
        <x:v>0</x:v>
      </x:c>
      <x:c r="L908" s="36" t="str">
        <x:v>Ausdauer, Wachsamkeit und Dankbarkeit.</x:v>
      </x:c>
      <x:c r="M908" s="36" t="str">
        <x:v>Kolosser 4,2–4</x:v>
      </x:c>
      <x:c r="N908" s="36" t="str">
        <x:v>Paulus fordert beständiges, wachsames und dankbares Gebet. Zugleich bittet er um Fürbitte, damit Gott eine Tür für die Verkündigung öffnet und er das Geheimnis Christi klar sagen kann.</x:v>
      </x:c>
      <x:c r="O908" s="36" t="str">
        <x:v>FREIGEGEBEN</x:v>
      </x:c>
      <x:c r="P908" s="36" t="str">
        <x:v>FREIGEGEBEN</x:v>
      </x:c>
      <x:c r="Q908" s="36" t="str">
        <x:v>JA</x:v>
      </x:c>
    </x:row>
    <x:row r="909">
      <x:c r="A909" s="36" t="str">
        <x:v>FP-1168</x:v>
      </x:c>
      <x:c r="B909" s="36" t="str">
        <x:v>COL</x:v>
      </x:c>
      <x:c r="C909" s="36" t="str">
        <x:v>Kolosser</x:v>
      </x:c>
      <x:c r="D909" s="36" t="n">
        <x:v>4</x:v>
      </x:c>
      <x:c r="E909" s="36" t="n">
        <x:v>3</x:v>
      </x:c>
      <x:c r="F909" s="36" t="str">
        <x:v>Wie sollen Christen nach Kolosser 4 mit Menschen außerhalb der Gemeinde umgehen?</x:v>
      </x:c>
      <x:c r="G909" s="36" t="str">
        <x:v>Jeden Kontakt möglichst vermeiden.</x:v>
      </x:c>
      <x:c r="H909" s="36" t="str">
        <x:v>Weise leben, Gelegenheiten nutzen und mit einer gnädigen, passenden Rede antworten.</x:v>
      </x:c>
      <x:c r="I909" s="36" t="str">
        <x:v>Immer möglichst scharf und konfrontativ sprechen.</x:v>
      </x:c>
      <x:c r="J909" s="36" t="str">
        <x:v>Nur auf Fragen antworten, wenn sie dieselbe Überzeugung teilen.</x:v>
      </x:c>
      <x:c r="K909" s="36" t="n">
        <x:v>1</x:v>
      </x:c>
      <x:c r="L909" s="36" t="str">
        <x:v>Weise leben, Gelegenheiten nutzen und mit einer gnädigen, passenden Rede antworten.</x:v>
      </x:c>
      <x:c r="M909" s="36" t="str">
        <x:v>Kolosser 4,5–6</x:v>
      </x:c>
      <x:c r="N909" s="36" t="str">
        <x:v>Paulus verbindet weises Verhalten mit guter Kommunikation. Die Rede soll von Gnade geprägt und zugleich 'mit Salz gewürzt' sein – also passend und nicht belanglos.</x:v>
      </x:c>
      <x:c r="O909" s="36" t="str">
        <x:v>FREIGEGEBEN</x:v>
      </x:c>
      <x:c r="P909" s="36" t="str">
        <x:v>FREIGEGEBEN</x:v>
      </x:c>
      <x:c r="Q909" s="36" t="str">
        <x:v>JA</x:v>
      </x:c>
    </x:row>
    <x:row r="910">
      <x:c r="A910" s="36" t="str">
        <x:v>FP-1169</x:v>
      </x:c>
      <x:c r="B910" s="36" t="str">
        <x:v>COL</x:v>
      </x:c>
      <x:c r="C910" s="36" t="str">
        <x:v>Kolosser</x:v>
      </x:c>
      <x:c r="D910" s="36" t="n">
        <x:v>4</x:v>
      </x:c>
      <x:c r="E910" s="36" t="n">
        <x:v>4</x:v>
      </x:c>
      <x:c r="F910" s="36" t="str">
        <x:v>Wofür wird Epaphras am Ende des Kolosserbriefs besonders hervorgehoben?</x:v>
      </x:c>
      <x:c r="G910" s="36" t="str">
        <x:v>Er verwaltet das Gefängnis von Paulus.</x:v>
      </x:c>
      <x:c r="H910" s="36" t="str">
        <x:v>Er ist der römische Statthalter von Kolossä.</x:v>
      </x:c>
      <x:c r="I910" s="36" t="str">
        <x:v>Er ringt beständig im Gebet dafür, dass die Gemeinde reif und fest in Gottes Willen steht.</x:v>
      </x:c>
      <x:c r="J910" s="36" t="str">
        <x:v>Er soll die Gemeinde verlassen und nach Rom ziehen.</x:v>
      </x:c>
      <x:c r="K910" s="36" t="n">
        <x:v>2</x:v>
      </x:c>
      <x:c r="L910" s="36" t="str">
        <x:v>Er ringt beständig im Gebet dafür, dass die Gemeinde reif und fest in Gottes Willen steht.</x:v>
      </x:c>
      <x:c r="M910" s="36" t="str">
        <x:v>Kolosser 4,12–13</x:v>
      </x:c>
      <x:c r="N910" s="36" t="str">
        <x:v>Epaphras wird als einer aus ihrer eigenen Gemeinde beschrieben, der sich intensiv im Gebet für sie einsetzt. Sein Ziel ist ihre Reife und feste Ausrichtung auf Gottes Willen.</x:v>
      </x:c>
      <x:c r="O910" s="36" t="str">
        <x:v>FREIGEGEBEN</x:v>
      </x:c>
      <x:c r="P910" s="36" t="str">
        <x:v>FREIGEGEBEN</x:v>
      </x:c>
      <x:c r="Q910" s="36" t="str">
        <x:v>JA</x:v>
      </x:c>
    </x:row>
    <x:row r="911">
      <x:c r="A911" s="36" t="str">
        <x:v>FP-1170</x:v>
      </x:c>
      <x:c r="B911" s="36" t="str">
        <x:v>COL</x:v>
      </x:c>
      <x:c r="C911" s="36" t="str">
        <x:v>Kolosser</x:v>
      </x:c>
      <x:c r="D911" s="36" t="n">
        <x:v>4</x:v>
      </x:c>
      <x:c r="E911" s="36" t="n">
        <x:v>5</x:v>
      </x:c>
      <x:c r="F911" s="36" t="str">
        <x:v>Was zeigt die Anweisung zum Austausch der Briefe zwischen Kolossä und Laodizea?</x:v>
      </x:c>
      <x:c r="G911" s="36" t="str">
        <x:v>Jede Gemeinde sollte alle anderen vollständig ignorieren.</x:v>
      </x:c>
      <x:c r="H911" s="36" t="str">
        <x:v>Der Kolosserbrief war nur für Paulus persönlich bestimmt.</x:v>
      </x:c>
      <x:c r="I911" s="36" t="str">
        <x:v>Laodizea sollte keine apostolischen Briefe lesen.</x:v>
      </x:c>
      <x:c r="J911" s="36" t="str">
        <x:v>Die Gemeinden sollten die apostolische Lehre miteinander teilen und voneinander profitieren.</x:v>
      </x:c>
      <x:c r="K911" s="36" t="n">
        <x:v>3</x:v>
      </x:c>
      <x:c r="L911" s="36" t="str">
        <x:v>Die Gemeinden sollten die apostolische Lehre miteinander teilen und voneinander profitieren.</x:v>
      </x:c>
      <x:c r="M911" s="36" t="str">
        <x:v>Kolosser 4,15–17</x:v>
      </x:c>
      <x:c r="N911" s="36" t="str">
        <x:v>Paulus ordnet an, dass der Brief auch in Laodizea gelesen wird und umgekehrt ein Brief aus Laodizea in Kolossä. Das macht den übergemeindlichen Charakter der apostolischen Unterweisung sichtbar.</x:v>
      </x:c>
      <x:c r="O911" s="36" t="str">
        <x:v>FREIGEGEBEN</x:v>
      </x:c>
      <x:c r="P911" s="36" t="str">
        <x:v>FREIGEGEBEN</x:v>
      </x:c>
      <x:c r="Q911" s="36" t="str">
        <x:v>JA</x:v>
      </x:c>
    </x:row>
    <x:row r="912">
      <x:c r="A912" s="36" t="str">
        <x:v>FP-1171</x:v>
      </x:c>
      <x:c r="B912" s="36" t="str">
        <x:v>1TH</x:v>
      </x:c>
      <x:c r="C912" s="36" t="str">
        <x:v>1. Thessalonicher</x:v>
      </x:c>
      <x:c r="D912" s="36" t="n">
        <x:v>1</x:v>
      </x:c>
      <x:c r="E912" s="36" t="n">
        <x:v>1</x:v>
      </x:c>
      <x:c r="F912" s="36" t="str">
        <x:v>Woran erinnert Paulus, wenn er für die Thessalonicher dankt?</x:v>
      </x:c>
      <x:c r="G912" s="36" t="str">
        <x:v>An ihre genaue Kenntnis religiöser Vorschriften.</x:v>
      </x:c>
      <x:c r="H912" s="36" t="str">
        <x:v>An ihr Werk des Glaubens, ihre Mühe der Liebe und ihr Ausharren in der Hoffnung auf Jesus Christus.</x:v>
      </x:c>
      <x:c r="I912" s="36" t="str">
        <x:v>An ihren politischen Einfluss in Mazedonien.</x:v>
      </x:c>
      <x:c r="J912" s="36" t="str">
        <x:v>An ihre Freiheit von jeder Bedrängnis.</x:v>
      </x:c>
      <x:c r="K912" s="36" t="n">
        <x:v>1</x:v>
      </x:c>
      <x:c r="L912" s="36" t="str">
        <x:v>An ihr Werk des Glaubens, ihre Mühe der Liebe und ihr Ausharren in der Hoffnung auf Jesus Christus.</x:v>
      </x:c>
      <x:c r="M912" s="36" t="str">
        <x:v>1. Thessalonicher 1,2–3</x:v>
      </x:c>
      <x:c r="N912" s="36" t="str">
        <x:v>Paulus nennt drei sichtbare Kennzeichen ihres Glaubens: Glauben, Liebe und Hoffnung zeigen sich in Werk, Mühe und Ausharren.</x:v>
      </x:c>
      <x:c r="O912" s="36" t="str">
        <x:v>FREIGEGEBEN</x:v>
      </x:c>
      <x:c r="P912" s="36" t="str">
        <x:v>FREIGEGEBEN</x:v>
      </x:c>
      <x:c r="Q912" s="36" t="str">
        <x:v>JA</x:v>
      </x:c>
    </x:row>
    <x:row r="913">
      <x:c r="A913" s="36" t="str">
        <x:v>FP-1172</x:v>
      </x:c>
      <x:c r="B913" s="36" t="str">
        <x:v>1TH</x:v>
      </x:c>
      <x:c r="C913" s="36" t="str">
        <x:v>1. Thessalonicher</x:v>
      </x:c>
      <x:c r="D913" s="36" t="n">
        <x:v>1</x:v>
      </x:c>
      <x:c r="E913" s="36" t="n">
        <x:v>2</x:v>
      </x:c>
      <x:c r="F913" s="36" t="str">
        <x:v>Wie war das Evangelium nach Paulus zu den Thessalonichern gekommen?</x:v>
      </x:c>
      <x:c r="G913" s="36" t="str">
        <x:v>Nur als überzeugende menschliche Rede.</x:v>
      </x:c>
      <x:c r="H913" s="36" t="str">
        <x:v>Vor allem durch gesellschaftlichen Druck.</x:v>
      </x:c>
      <x:c r="I913" s="36" t="str">
        <x:v>Ausschließlich durch schriftliche Anweisungen.</x:v>
      </x:c>
      <x:c r="J913" s="36" t="str">
        <x:v>Nicht nur im Wort, sondern auch in Kraft, im Heiligen Geist und mit großer Gewissheit.</x:v>
      </x:c>
      <x:c r="K913" s="36" t="n">
        <x:v>3</x:v>
      </x:c>
      <x:c r="L913" s="36" t="str">
        <x:v>Nicht nur im Wort, sondern auch in Kraft, im Heiligen Geist und mit großer Gewissheit.</x:v>
      </x:c>
      <x:c r="M913" s="36" t="str">
        <x:v>1. Thessalonicher 1,4–5</x:v>
      </x:c>
      <x:c r="N913" s="36" t="str">
        <x:v>Paulus beschreibt die Verkündigung als mehr als bloße Worte. Gottes Kraft, der Heilige Geist und Gewissheit begleiteten die Botschaft.</x:v>
      </x:c>
      <x:c r="O913" s="36" t="str">
        <x:v>FREIGEGEBEN</x:v>
      </x:c>
      <x:c r="P913" s="36" t="str">
        <x:v>FREIGEGEBEN</x:v>
      </x:c>
      <x:c r="Q913" s="36" t="str">
        <x:v>JA</x:v>
      </x:c>
    </x:row>
    <x:row r="914">
      <x:c r="A914" s="36" t="str">
        <x:v>FP-1173</x:v>
      </x:c>
      <x:c r="B914" s="36" t="str">
        <x:v>1TH</x:v>
      </x:c>
      <x:c r="C914" s="36" t="str">
        <x:v>1. Thessalonicher</x:v>
      </x:c>
      <x:c r="D914" s="36" t="n">
        <x:v>1</x:v>
      </x:c>
      <x:c r="E914" s="36" t="n">
        <x:v>3</x:v>
      </x:c>
      <x:c r="F914" s="36" t="str">
        <x:v>Was war bemerkenswert daran, wie die Thessalonicher das Wort aufgenommen hatten?</x:v>
      </x:c>
      <x:c r="G914" s="36" t="str">
        <x:v>Sie nahmen es trotz großer Bedrängnis mit Freude im Heiligen Geist auf und wurden zum Vorbild für andere.</x:v>
      </x:c>
      <x:c r="H914" s="36" t="str">
        <x:v>Sie warteten damit, bis jede Verfolgung aufgehört hatte.</x:v>
      </x:c>
      <x:c r="I914" s="36" t="str">
        <x:v>Sie hielten ihren Glauben vollständig geheim.</x:v>
      </x:c>
      <x:c r="J914" s="36" t="str">
        <x:v>Sie lehnten jedes Vorbild anderer Christen ab.</x:v>
      </x:c>
      <x:c r="K914" s="36" t="n">
        <x:v>0</x:v>
      </x:c>
      <x:c r="L914" s="36" t="str">
        <x:v>Sie nahmen es trotz großer Bedrängnis mit Freude im Heiligen Geist auf und wurden zum Vorbild für andere.</x:v>
      </x:c>
      <x:c r="M914" s="36" t="str">
        <x:v>1. Thessalonicher 1,6–8</x:v>
      </x:c>
      <x:c r="N914" s="36" t="str">
        <x:v>Bedrängnis und Freude stehen im Text nebeneinander. Gerade darin wurde ihr Glaube sichtbar und für andere Gemeinden beispielhaft.</x:v>
      </x:c>
      <x:c r="O914" s="36" t="str">
        <x:v>FREIGEGEBEN</x:v>
      </x:c>
      <x:c r="P914" s="36" t="str">
        <x:v>FREIGEGEBEN</x:v>
      </x:c>
      <x:c r="Q914" s="36" t="str">
        <x:v>JA</x:v>
      </x:c>
    </x:row>
    <x:row r="915">
      <x:c r="A915" s="36" t="str">
        <x:v>FP-1174</x:v>
      </x:c>
      <x:c r="B915" s="36" t="str">
        <x:v>1TH</x:v>
      </x:c>
      <x:c r="C915" s="36" t="str">
        <x:v>1. Thessalonicher</x:v>
      </x:c>
      <x:c r="D915" s="36" t="n">
        <x:v>1</x:v>
      </x:c>
      <x:c r="E915" s="36" t="n">
        <x:v>4</x:v>
      </x:c>
      <x:c r="F915" s="36" t="str">
        <x:v>Wie beschreibt das Kapitel die Bekehrung der Thessalonicher?</x:v>
      </x:c>
      <x:c r="G915" s="36" t="str">
        <x:v>Sie wechselten lediglich von einer Stadtgemeinde in eine andere.</x:v>
      </x:c>
      <x:c r="H915" s="36" t="str">
        <x:v>Sie übernahmen zusätzliche religiöse Feste.</x:v>
      </x:c>
      <x:c r="I915" s="36" t="str">
        <x:v>Sie wandten sich von den Götzen zu Gott, um dem lebendigen und wahren Gott zu dienen.</x:v>
      </x:c>
      <x:c r="J915" s="36" t="str">
        <x:v>Sie verzichteten auf jede Beziehung zur übrigen Gesellschaft.</x:v>
      </x:c>
      <x:c r="K915" s="36" t="n">
        <x:v>2</x:v>
      </x:c>
      <x:c r="L915" s="36" t="str">
        <x:v>Sie wandten sich von den Götzen zu Gott, um dem lebendigen und wahren Gott zu dienen.</x:v>
      </x:c>
      <x:c r="M915" s="36" t="str">
        <x:v>1. Thessalonicher 1,9</x:v>
      </x:c>
      <x:c r="N915" s="36" t="str">
        <x:v>Die Umkehr wird als klare Neuorientierung beschrieben: weg von Götzen und hin zum Dienst für den lebendigen und wahren Gott.</x:v>
      </x:c>
      <x:c r="O915" s="36" t="str">
        <x:v>FREIGEGEBEN</x:v>
      </x:c>
      <x:c r="P915" s="36" t="str">
        <x:v>FREIGEGEBEN</x:v>
      </x:c>
      <x:c r="Q915" s="36" t="str">
        <x:v>JA</x:v>
      </x:c>
    </x:row>
    <x:row r="916">
      <x:c r="A916" s="36" t="str">
        <x:v>FP-1175</x:v>
      </x:c>
      <x:c r="B916" s="36" t="str">
        <x:v>1TH</x:v>
      </x:c>
      <x:c r="C916" s="36" t="str">
        <x:v>1. Thessalonicher</x:v>
      </x:c>
      <x:c r="D916" s="36" t="n">
        <x:v>1</x:v>
      </x:c>
      <x:c r="E916" s="36" t="n">
        <x:v>5</x:v>
      </x:c>
      <x:c r="F916" s="36" t="str">
        <x:v>Welche Zukunftshoffnung gehört nach 1. Thessalonicher 1 zum neuen Leben der Gemeinde?</x:v>
      </x:c>
      <x:c r="G916" s="36" t="str">
        <x:v>Auf die Wiederherstellung des römischen Reiches zu warten.</x:v>
      </x:c>
      <x:c r="H916" s="36" t="str">
        <x:v>Auf Gottes Sohn vom Himmel zu warten, den Gott von den Toten auferweckt hat.</x:v>
      </x:c>
      <x:c r="I916" s="36" t="str">
        <x:v>Darauf zu hoffen, nie wieder Schwierigkeiten zu erleben.</x:v>
      </x:c>
      <x:c r="J916" s="36" t="str">
        <x:v>Die Zukunft grundsätzlich nicht zu beachten.</x:v>
      </x:c>
      <x:c r="K916" s="36" t="n">
        <x:v>1</x:v>
      </x:c>
      <x:c r="L916" s="36" t="str">
        <x:v>Auf Gottes Sohn vom Himmel zu warten, den Gott von den Toten auferweckt hat.</x:v>
      </x:c>
      <x:c r="M916" s="36" t="str">
        <x:v>1. Thessalonicher 1,10</x:v>
      </x:c>
      <x:c r="N916" s="36" t="str">
        <x:v>Zum Glauben gehört hier eine konkrete Hoffnung: Die Gemeinde erwartet Jesus, den von Gott auferweckten Sohn, der vom kommenden Zorn rettet.</x:v>
      </x:c>
      <x:c r="O916" s="36" t="str">
        <x:v>FREIGEGEBEN</x:v>
      </x:c>
      <x:c r="P916" s="36" t="str">
        <x:v>FREIGEGEBEN</x:v>
      </x:c>
      <x:c r="Q916" s="36" t="str">
        <x:v>JA</x:v>
      </x:c>
    </x:row>
    <x:row r="917">
      <x:c r="A917" s="36" t="str">
        <x:v>FP-1176</x:v>
      </x:c>
      <x:c r="B917" s="36" t="str">
        <x:v>1TH</x:v>
      </x:c>
      <x:c r="C917" s="36" t="str">
        <x:v>1. Thessalonicher</x:v>
      </x:c>
      <x:c r="D917" s="36" t="n">
        <x:v>2</x:v>
      </x:c>
      <x:c r="E917" s="36" t="n">
        <x:v>1</x:v>
      </x:c>
      <x:c r="F917" s="36" t="str">
        <x:v>Wem wollte Paulus mit seiner Verkündigung in erster Linie gefallen?</x:v>
      </x:c>
      <x:c r="G917" s="36" t="str">
        <x:v>Den einflussreichsten Menschen in Thessalonich.</x:v>
      </x:c>
      <x:c r="H917" s="36" t="str">
        <x:v>Der größtmöglichen Zahl an Zuhörern.</x:v>
      </x:c>
      <x:c r="I917" s="36" t="str">
        <x:v>Gott, der die Herzen prüft.</x:v>
      </x:c>
      <x:c r="J917" s="36" t="str">
        <x:v>Nur seinen eigenen Mitarbeitern.</x:v>
      </x:c>
      <x:c r="K917" s="36" t="n">
        <x:v>2</x:v>
      </x:c>
      <x:c r="L917" s="36" t="str">
        <x:v>Gott, der die Herzen prüft.</x:v>
      </x:c>
      <x:c r="M917" s="36" t="str">
        <x:v>1. Thessalonicher 2,3–6</x:v>
      </x:c>
      <x:c r="N917" s="36" t="str">
        <x:v>Paulus grenzt seine Motivation von Täuschung, Schmeichelei, Habgier und menschlicher Ehre ab. Maßstab ist Gott, der das Herz prüft.</x:v>
      </x:c>
      <x:c r="O917" s="36" t="str">
        <x:v>FREIGEGEBEN</x:v>
      </x:c>
      <x:c r="P917" s="36" t="str">
        <x:v>FREIGEGEBEN</x:v>
      </x:c>
      <x:c r="Q917" s="36" t="str">
        <x:v>JA</x:v>
      </x:c>
    </x:row>
    <x:row r="918">
      <x:c r="A918" s="36" t="str">
        <x:v>FP-1177</x:v>
      </x:c>
      <x:c r="B918" s="36" t="str">
        <x:v>1TH</x:v>
      </x:c>
      <x:c r="C918" s="36" t="str">
        <x:v>1. Thessalonicher</x:v>
      </x:c>
      <x:c r="D918" s="36" t="n">
        <x:v>2</x:v>
      </x:c>
      <x:c r="E918" s="36" t="n">
        <x:v>2</x:v>
      </x:c>
      <x:c r="F918" s="36" t="str">
        <x:v>Mit welchem Bild beschreibt Paulus seine fürsorgliche Haltung gegenüber der Gemeinde?</x:v>
      </x:c>
      <x:c r="G918" s="36" t="str">
        <x:v>Wie eine stillende Mutter, die liebevoll für ihre Kinder sorgt.</x:v>
      </x:c>
      <x:c r="H918" s="36" t="str">
        <x:v>Wie ein Richter, der vor allem Strafen verteilt.</x:v>
      </x:c>
      <x:c r="I918" s="36" t="str">
        <x:v>Wie ein Händler, der seinen Gewinn maximiert.</x:v>
      </x:c>
      <x:c r="J918" s="36" t="str">
        <x:v>Wie ein Feldherr, der Gehorsam erzwingt.</x:v>
      </x:c>
      <x:c r="K918" s="36" t="n">
        <x:v>0</x:v>
      </x:c>
      <x:c r="L918" s="36" t="str">
        <x:v>Wie eine stillende Mutter, die liebevoll für ihre Kinder sorgt.</x:v>
      </x:c>
      <x:c r="M918" s="36" t="str">
        <x:v>1. Thessalonicher 2,7–8</x:v>
      </x:c>
      <x:c r="N918" s="36" t="str">
        <x:v>Paulus gebraucht ein sehr nahes Fürsorgebild. Er wollte nicht nur das Evangelium weitergeben, sondern war bereit, sein eigenes Leben mit ihnen zu teilen.</x:v>
      </x:c>
      <x:c r="O918" s="36" t="str">
        <x:v>FREIGEGEBEN</x:v>
      </x:c>
      <x:c r="P918" s="36" t="str">
        <x:v>FREIGEGEBEN</x:v>
      </x:c>
      <x:c r="Q918" s="36" t="str">
        <x:v>JA</x:v>
      </x:c>
    </x:row>
    <x:row r="919">
      <x:c r="A919" s="36" t="str">
        <x:v>FP-1178</x:v>
      </x:c>
      <x:c r="B919" s="36" t="str">
        <x:v>1TH</x:v>
      </x:c>
      <x:c r="C919" s="36" t="str">
        <x:v>1. Thessalonicher</x:v>
      </x:c>
      <x:c r="D919" s="36" t="n">
        <x:v>2</x:v>
      </x:c>
      <x:c r="E919" s="36" t="n">
        <x:v>3</x:v>
      </x:c>
      <x:c r="F919" s="36" t="str">
        <x:v>Warum erinnert Paulus an seine Arbeit bei Tag und Nacht?</x:v>
      </x:c>
      <x:c r="G919" s="36" t="str">
        <x:v>Um zu zeigen, dass körperliche Arbeit wichtiger als das Evangelium ist.</x:v>
      </x:c>
      <x:c r="H919" s="36" t="str">
        <x:v>Weil er nur nachts predigen durfte.</x:v>
      </x:c>
      <x:c r="I919" s="36" t="str">
        <x:v>Um seinen Anspruch auf besondere Ehre zu begründen.</x:v>
      </x:c>
      <x:c r="J919" s="36" t="str">
        <x:v>Weil er niemandem zur Last fallen wollte, während er das Evangelium verkündigte.</x:v>
      </x:c>
      <x:c r="K919" s="36" t="n">
        <x:v>3</x:v>
      </x:c>
      <x:c r="L919" s="36" t="str">
        <x:v>Weil er niemandem zur Last fallen wollte, während er das Evangelium verkündigte.</x:v>
      </x:c>
      <x:c r="M919" s="36" t="str">
        <x:v>1. Thessalonicher 2,9–12</x:v>
      </x:c>
      <x:c r="N919" s="36" t="str">
        <x:v>Paulus verbindet Verkündigung mit einem glaubwürdigen Lebensstil. Er arbeitete, um die Gemeinde nicht unnötig zu belasten, und ermutigte sie zu einem Gott würdigen Leben.</x:v>
      </x:c>
      <x:c r="O919" s="36" t="str">
        <x:v>FREIGEGEBEN</x:v>
      </x:c>
      <x:c r="P919" s="36" t="str">
        <x:v>FREIGEGEBEN</x:v>
      </x:c>
      <x:c r="Q919" s="36" t="str">
        <x:v>JA</x:v>
      </x:c>
    </x:row>
    <x:row r="920">
      <x:c r="A920" s="36" t="str">
        <x:v>FP-1179</x:v>
      </x:c>
      <x:c r="B920" s="36" t="str">
        <x:v>1TH</x:v>
      </x:c>
      <x:c r="C920" s="36" t="str">
        <x:v>1. Thessalonicher</x:v>
      </x:c>
      <x:c r="D920" s="36" t="n">
        <x:v>2</x:v>
      </x:c>
      <x:c r="E920" s="36" t="n">
        <x:v>4</x:v>
      </x:c>
      <x:c r="F920" s="36" t="str">
        <x:v>Wie hatten die Thessalonicher die von Paulus verkündigte Botschaft aufgenommen?</x:v>
      </x:c>
      <x:c r="G920" s="36" t="str">
        <x:v>Als interessante, aber unverbindliche Meinung.</x:v>
      </x:c>
      <x:c r="H920" s="36" t="str">
        <x:v>Nicht als Menschenwort, sondern als Gottes Wort, das in den Glaubenden wirkt.</x:v>
      </x:c>
      <x:c r="I920" s="36" t="str">
        <x:v>Nur als Tradition aus Judäa.</x:v>
      </x:c>
      <x:c r="J920" s="36" t="str">
        <x:v>Als politische Botschaft gegen Rom.</x:v>
      </x:c>
      <x:c r="K920" s="36" t="n">
        <x:v>1</x:v>
      </x:c>
      <x:c r="L920" s="36" t="str">
        <x:v>Nicht als Menschenwort, sondern als Gottes Wort, das in den Glaubenden wirkt.</x:v>
      </x:c>
      <x:c r="M920" s="36" t="str">
        <x:v>1. Thessalonicher 2,13</x:v>
      </x:c>
      <x:c r="N920" s="36" t="str">
        <x:v>Paulus dankt dafür, dass die Gemeinde die Botschaft ihrem Anspruch entsprechend als Gottes Wort annahm. Er betont zugleich, dass dieses Wort in den Glaubenden wirkt.</x:v>
      </x:c>
      <x:c r="O920" s="36" t="str">
        <x:v>FREIGEGEBEN</x:v>
      </x:c>
      <x:c r="P920" s="36" t="str">
        <x:v>FREIGEGEBEN</x:v>
      </x:c>
      <x:c r="Q920" s="36" t="str">
        <x:v>JA</x:v>
      </x:c>
    </x:row>
    <x:row r="921">
      <x:c r="A921" s="36" t="str">
        <x:v>FP-1180</x:v>
      </x:c>
      <x:c r="B921" s="36" t="str">
        <x:v>1TH</x:v>
      </x:c>
      <x:c r="C921" s="36" t="str">
        <x:v>1. Thessalonicher</x:v>
      </x:c>
      <x:c r="D921" s="36" t="n">
        <x:v>2</x:v>
      </x:c>
      <x:c r="E921" s="36" t="n">
        <x:v>5</x:v>
      </x:c>
      <x:c r="F921" s="36" t="str">
        <x:v>Wie beschreibt Paulus die Thessalonicher im Blick auf die Wiederkunft Jesu?</x:v>
      </x:c>
      <x:c r="G921" s="36" t="str">
        <x:v>Als eine Gemeinde, die ihm gleichgültig geworden ist.</x:v>
      </x:c>
      <x:c r="H921" s="36" t="str">
        <x:v>Als Menschen, die er erst noch kennenlernen möchte.</x:v>
      </x:c>
      <x:c r="I921" s="36" t="str">
        <x:v>Als seine Hoffnung, Freude und Krone des Ruhmes.</x:v>
      </x:c>
      <x:c r="J921" s="36" t="str">
        <x:v>Als Hindernis für seine weitere Arbeit.</x:v>
      </x:c>
      <x:c r="K921" s="36" t="n">
        <x:v>2</x:v>
      </x:c>
      <x:c r="L921" s="36" t="str">
        <x:v>Als seine Hoffnung, Freude und Krone des Ruhmes.</x:v>
      </x:c>
      <x:c r="M921" s="36" t="str">
        <x:v>1. Thessalonicher 2,17–20</x:v>
      </x:c>
      <x:c r="N921" s="36" t="str">
        <x:v>Die starke Sehnsucht nach einem Wiedersehen mündet in diese persönliche Aussage: Die Gemeinde selbst ist für Paulus Freude und Ruhm vor Christus bei dessen Kommen.</x:v>
      </x:c>
      <x:c r="O921" s="36" t="str">
        <x:v>FREIGEGEBEN</x:v>
      </x:c>
      <x:c r="P921" s="36" t="str">
        <x:v>FREIGEGEBEN</x:v>
      </x:c>
      <x:c r="Q921" s="36" t="str">
        <x:v>JA</x:v>
      </x:c>
    </x:row>
    <x:row r="922">
      <x:c r="A922" s="36" t="str">
        <x:v>FP-1181</x:v>
      </x:c>
      <x:c r="B922" s="36" t="str">
        <x:v>1TH</x:v>
      </x:c>
      <x:c r="C922" s="36" t="str">
        <x:v>1. Thessalonicher</x:v>
      </x:c>
      <x:c r="D922" s="36" t="n">
        <x:v>3</x:v>
      </x:c>
      <x:c r="E922" s="36" t="n">
        <x:v>1</x:v>
      </x:c>
      <x:c r="F922" s="36" t="str">
        <x:v>Warum sandten Paulus und seine Mitarbeiter Timotheus nach Thessalonich?</x:v>
      </x:c>
      <x:c r="G922" s="36" t="str">
        <x:v>Um die Gemeinde im Glauben zu stärken und zu ermutigen, damit sie durch Bedrängnisse nicht ins Wanken gerät.</x:v>
      </x:c>
      <x:c r="H922" s="36" t="str">
        <x:v>Um die Gemeinde aufzulösen.</x:v>
      </x:c>
      <x:c r="I922" s="36" t="str">
        <x:v>Um Geld für Paulus einzusammeln.</x:v>
      </x:c>
      <x:c r="J922" s="36" t="str">
        <x:v>Um neue politische Leiter einzusetzen.</x:v>
      </x:c>
      <x:c r="K922" s="36" t="n">
        <x:v>0</x:v>
      </x:c>
      <x:c r="L922" s="36" t="str">
        <x:v>Um die Gemeinde im Glauben zu stärken und zu ermutigen, damit sie durch Bedrängnisse nicht ins Wanken gerät.</x:v>
      </x:c>
      <x:c r="M922" s="36" t="str">
        <x:v>1. Thessalonicher 3,1–4</x:v>
      </x:c>
      <x:c r="N922" s="36" t="str">
        <x:v>Timotheus wurde nicht als Kontrolleur geschickt, sondern zur Stärkung und Ermutigung. Die Gemeinde sollte in vorher angekündigten Bedrängnissen festbleiben.</x:v>
      </x:c>
      <x:c r="O922" s="36" t="str">
        <x:v>FREIGEGEBEN</x:v>
      </x:c>
      <x:c r="P922" s="36" t="str">
        <x:v>FREIGEGEBEN</x:v>
      </x:c>
      <x:c r="Q922" s="36" t="str">
        <x:v>JA</x:v>
      </x:c>
    </x:row>
    <x:row r="923">
      <x:c r="A923" s="36" t="str">
        <x:v>FP-1182</x:v>
      </x:c>
      <x:c r="B923" s="36" t="str">
        <x:v>1TH</x:v>
      </x:c>
      <x:c r="C923" s="36" t="str">
        <x:v>1. Thessalonicher</x:v>
      </x:c>
      <x:c r="D923" s="36" t="n">
        <x:v>3</x:v>
      </x:c>
      <x:c r="E923" s="36" t="n">
        <x:v>2</x:v>
      </x:c>
      <x:c r="F923" s="36" t="str">
        <x:v>Was befürchtete Paulus, als er Timotheus nach dem Glauben der Gemeinde sehen ließ?</x:v>
      </x:c>
      <x:c r="G923" s="36" t="str">
        <x:v>Dass die Gemeinde zu viele neue Mitglieder aufgenommen hatte.</x:v>
      </x:c>
      <x:c r="H923" s="36" t="str">
        <x:v>Dass Paulus selbst seinen Glauben verlieren würde.</x:v>
      </x:c>
      <x:c r="I923" s="36" t="str">
        <x:v>Dass der Versucher sie zu Fall gebracht und die bisherige Arbeit vergeblich gemacht haben könnte.</x:v>
      </x:c>
      <x:c r="J923" s="36" t="str">
        <x:v>Dass Timotheus nicht nach Athen zurückkehren würde.</x:v>
      </x:c>
      <x:c r="K923" s="36" t="n">
        <x:v>2</x:v>
      </x:c>
      <x:c r="L923" s="36" t="str">
        <x:v>Dass der Versucher sie zu Fall gebracht und die bisherige Arbeit vergeblich gemacht haben könnte.</x:v>
      </x:c>
      <x:c r="M923" s="36" t="str">
        <x:v>1. Thessalonicher 3,5</x:v>
      </x:c>
      <x:c r="N923" s="36" t="str">
        <x:v>Paulus' Sorge gilt der geistlichen Standfestigkeit der Gemeinde. Bedrängnis könnte zur Versuchung werden, weshalb er Gewissheit über ihren Glauben suchte.</x:v>
      </x:c>
      <x:c r="O923" s="36" t="str">
        <x:v>FREIGEGEBEN</x:v>
      </x:c>
      <x:c r="P923" s="36" t="str">
        <x:v>FREIGEGEBEN</x:v>
      </x:c>
      <x:c r="Q923" s="36" t="str">
        <x:v>JA</x:v>
      </x:c>
    </x:row>
    <x:row r="924">
      <x:c r="A924" s="36" t="str">
        <x:v>FP-1183</x:v>
      </x:c>
      <x:c r="B924" s="36" t="str">
        <x:v>1TH</x:v>
      </x:c>
      <x:c r="C924" s="36" t="str">
        <x:v>1. Thessalonicher</x:v>
      </x:c>
      <x:c r="D924" s="36" t="n">
        <x:v>3</x:v>
      </x:c>
      <x:c r="E924" s="36" t="n">
        <x:v>3</x:v>
      </x:c>
      <x:c r="F924" s="36" t="str">
        <x:v>Welche Nachricht brachte Timotheus zurück?</x:v>
      </x:c>
      <x:c r="G924" s="36" t="str">
        <x:v>Dass die Gemeinde Paulus vergessen hatte.</x:v>
      </x:c>
      <x:c r="H924" s="36" t="str">
        <x:v>Gute Nachricht über ihren Glauben und ihre Liebe sowie ihre Sehnsucht nach einem Wiedersehen.</x:v>
      </x:c>
      <x:c r="I924" s="36" t="str">
        <x:v>Dass sie beschlossen hatte, Thessalonich zu verlassen.</x:v>
      </x:c>
      <x:c r="J924" s="36" t="str">
        <x:v>Dass sie das Evangelium nicht mehr hören wollte.</x:v>
      </x:c>
      <x:c r="K924" s="36" t="n">
        <x:v>1</x:v>
      </x:c>
      <x:c r="L924" s="36" t="str">
        <x:v>Gute Nachricht über ihren Glauben und ihre Liebe sowie ihre Sehnsucht nach einem Wiedersehen.</x:v>
      </x:c>
      <x:c r="M924" s="36" t="str">
        <x:v>1. Thessalonicher 3,6–8</x:v>
      </x:c>
      <x:c r="N924" s="36" t="str">
        <x:v>Timotheus' Bericht tröstet Paulus mitten in eigener Not. Besonders wichtig ist ihm, dass die Thessalonicher fest im Herrn stehen.</x:v>
      </x:c>
      <x:c r="O924" s="36" t="str">
        <x:v>FREIGEGEBEN</x:v>
      </x:c>
      <x:c r="P924" s="36" t="str">
        <x:v>FREIGEGEBEN</x:v>
      </x:c>
      <x:c r="Q924" s="36" t="str">
        <x:v>JA</x:v>
      </x:c>
    </x:row>
    <x:row r="925">
      <x:c r="A925" s="36" t="str">
        <x:v>FP-1184</x:v>
      </x:c>
      <x:c r="B925" s="36" t="str">
        <x:v>1TH</x:v>
      </x:c>
      <x:c r="C925" s="36" t="str">
        <x:v>1. Thessalonicher</x:v>
      </x:c>
      <x:c r="D925" s="36" t="n">
        <x:v>3</x:v>
      </x:c>
      <x:c r="E925" s="36" t="n">
        <x:v>4</x:v>
      </x:c>
      <x:c r="F925" s="36" t="str">
        <x:v>Wofür betet Paulus Tag und Nacht im Blick auf ein mögliches Wiedersehen?</x:v>
      </x:c>
      <x:c r="G925" s="36" t="str">
        <x:v>Dass er ihnen neue politische Kontakte vermitteln kann.</x:v>
      </x:c>
      <x:c r="H925" s="36" t="str">
        <x:v>Dass alle Schwierigkeiten sofort verschwinden.</x:v>
      </x:c>
      <x:c r="I925" s="36" t="str">
        <x:v>Dass er nur einen kurzen Brief statt eines Besuchs senden muss.</x:v>
      </x:c>
      <x:c r="J925" s="36" t="str">
        <x:v>Dass er sie persönlich sehen und ergänzen kann, was ihrem Glauben noch fehlt.</x:v>
      </x:c>
      <x:c r="K925" s="36" t="n">
        <x:v>3</x:v>
      </x:c>
      <x:c r="L925" s="36" t="str">
        <x:v>Dass er sie persönlich sehen und ergänzen kann, was ihrem Glauben noch fehlt.</x:v>
      </x:c>
      <x:c r="M925" s="36" t="str">
        <x:v>1. Thessalonicher 3,9–11</x:v>
      </x:c>
      <x:c r="N925" s="36" t="str">
        <x:v>Paulus freut sich über ihren Glauben, betrachtet Wachstum aber nicht als abgeschlossen. Er möchte sie wiedersehen und weiter im Glauben stärken.</x:v>
      </x:c>
      <x:c r="O925" s="36" t="str">
        <x:v>FREIGEGEBEN</x:v>
      </x:c>
      <x:c r="P925" s="36" t="str">
        <x:v>FREIGEGEBEN</x:v>
      </x:c>
      <x:c r="Q925" s="36" t="str">
        <x:v>JA</x:v>
      </x:c>
    </x:row>
    <x:row r="926">
      <x:c r="A926" s="36" t="str">
        <x:v>FP-1185</x:v>
      </x:c>
      <x:c r="B926" s="36" t="str">
        <x:v>1TH</x:v>
      </x:c>
      <x:c r="C926" s="36" t="str">
        <x:v>1. Thessalonicher</x:v>
      </x:c>
      <x:c r="D926" s="36" t="n">
        <x:v>3</x:v>
      </x:c>
      <x:c r="E926" s="36" t="n">
        <x:v>5</x:v>
      </x:c>
      <x:c r="F926" s="36" t="str">
        <x:v>Wozu soll der Herr die Liebe der Thessalonicher wachsen lassen?</x:v>
      </x:c>
      <x:c r="G926" s="36" t="str">
        <x:v>Damit ihre Herzen gestärkt und in Heiligkeit vor Gott gefestigt werden bei der Ankunft Jesu.</x:v>
      </x:c>
      <x:c r="H926" s="36" t="str">
        <x:v>Damit sie sich von allen anderen Menschen abgrenzen.</x:v>
      </x:c>
      <x:c r="I926" s="36" t="str">
        <x:v>Damit sie keine weitere geistliche Entwicklung mehr brauchen.</x:v>
      </x:c>
      <x:c r="J926" s="36" t="str">
        <x:v>Damit ihre Gemeinde gesellschaftlich die mächtigste wird.</x:v>
      </x:c>
      <x:c r="K926" s="36" t="n">
        <x:v>0</x:v>
      </x:c>
      <x:c r="L926" s="36" t="str">
        <x:v>Damit ihre Herzen gestärkt und in Heiligkeit vor Gott gefestigt werden bei der Ankunft Jesu.</x:v>
      </x:c>
      <x:c r="M926" s="36" t="str">
        <x:v>1. Thessalonicher 3,12–13</x:v>
      </x:c>
      <x:c r="N926" s="36" t="str">
        <x:v>Wachsende Liebe zu Glaubenden und zu allen Menschen wird mit innerer Festigkeit und Heiligkeit im Blick auf die Wiederkunft Christi verbunden.</x:v>
      </x:c>
      <x:c r="O926" s="36" t="str">
        <x:v>FREIGEGEBEN</x:v>
      </x:c>
      <x:c r="P926" s="36" t="str">
        <x:v>FREIGEGEBEN</x:v>
      </x:c>
      <x:c r="Q926" s="36" t="str">
        <x:v>JA</x:v>
      </x:c>
    </x:row>
    <x:row r="927">
      <x:c r="A927" s="36" t="str">
        <x:v>FP-1186</x:v>
      </x:c>
      <x:c r="B927" s="36" t="str">
        <x:v>1TH</x:v>
      </x:c>
      <x:c r="C927" s="36" t="str">
        <x:v>1. Thessalonicher</x:v>
      </x:c>
      <x:c r="D927" s="36" t="n">
        <x:v>4</x:v>
      </x:c>
      <x:c r="E927" s="36" t="n">
        <x:v>1</x:v>
      </x:c>
      <x:c r="F927" s="36" t="str">
        <x:v>Was nennt Paulus ausdrücklich als Teil von Gottes Willen für die Glaubenden?</x:v>
      </x:c>
      <x:c r="G927" s="36" t="str">
        <x:v>Möglichst großen materiellen Wohlstand.</x:v>
      </x:c>
      <x:c r="H927" s="36" t="str">
        <x:v>Heiligung und das Meiden sexueller Unmoral.</x:v>
      </x:c>
      <x:c r="I927" s="36" t="str">
        <x:v>Die vollständige Aufgabe jeder Arbeit.</x:v>
      </x:c>
      <x:c r="J927" s="36" t="str">
        <x:v>Die Trennung von allen Menschen außerhalb der Gemeinde.</x:v>
      </x:c>
      <x:c r="K927" s="36" t="n">
        <x:v>1</x:v>
      </x:c>
      <x:c r="L927" s="36" t="str">
        <x:v>Heiligung und das Meiden sexueller Unmoral.</x:v>
      </x:c>
      <x:c r="M927" s="36" t="str">
        <x:v>1. Thessalonicher 4,1–8</x:v>
      </x:c>
      <x:c r="N927" s="36" t="str">
        <x:v>Der Abschnitt nennt Heiligung ausdrücklich als Gottes Willen. Sie zeigt sich unter anderem in einem verantwortlichen, ehrbaren Umgang mit Sexualität und anderen Menschen.</x:v>
      </x:c>
      <x:c r="O927" s="36" t="str">
        <x:v>FREIGEGEBEN</x:v>
      </x:c>
      <x:c r="P927" s="36" t="str">
        <x:v>FREIGEGEBEN</x:v>
      </x:c>
      <x:c r="Q927" s="36" t="str">
        <x:v>JA</x:v>
      </x:c>
    </x:row>
    <x:row r="928">
      <x:c r="A928" s="36" t="str">
        <x:v>FP-1187</x:v>
      </x:c>
      <x:c r="B928" s="36" t="str">
        <x:v>1TH</x:v>
      </x:c>
      <x:c r="C928" s="36" t="str">
        <x:v>1. Thessalonicher</x:v>
      </x:c>
      <x:c r="D928" s="36" t="n">
        <x:v>4</x:v>
      </x:c>
      <x:c r="E928" s="36" t="n">
        <x:v>2</x:v>
      </x:c>
      <x:c r="F928" s="36" t="str">
        <x:v>Welche Lebensweise empfiehlt Paulus neben wachsender Bruderliebe?</x:v>
      </x:c>
      <x:c r="G928" s="36" t="str">
        <x:v>Ein ruhiges Leben anzustreben, die eigenen Angelegenheiten zu besorgen und mit den eigenen Händen zu arbeiten.</x:v>
      </x:c>
      <x:c r="H928" s="36" t="str">
        <x:v>Jede gewöhnliche Arbeit zu vermeiden.</x:v>
      </x:c>
      <x:c r="I928" s="36" t="str">
        <x:v>Sich ständig in fremde Angelegenheiten einzumischen.</x:v>
      </x:c>
      <x:c r="J928" s="36" t="str">
        <x:v>Von anderen Gemeinden dauerhaft finanziell abhängig zu werden.</x:v>
      </x:c>
      <x:c r="K928" s="36" t="n">
        <x:v>0</x:v>
      </x:c>
      <x:c r="L928" s="36" t="str">
        <x:v>Ein ruhiges Leben anzustreben, die eigenen Angelegenheiten zu besorgen und mit den eigenen Händen zu arbeiten.</x:v>
      </x:c>
      <x:c r="M928" s="36" t="str">
        <x:v>1. Thessalonicher 4,9–12</x:v>
      </x:c>
      <x:c r="N928" s="36" t="str">
        <x:v>Bruderliebe soll weiter wachsen. Gleichzeitig ermutigt Paulus zu einem ruhigen, verantwortlichen Alltag, der auch gegenüber Außenstehenden glaubwürdig ist.</x:v>
      </x:c>
      <x:c r="O928" s="36" t="str">
        <x:v>FREIGEGEBEN</x:v>
      </x:c>
      <x:c r="P928" s="36" t="str">
        <x:v>FREIGEGEBEN</x:v>
      </x:c>
      <x:c r="Q928" s="36" t="str">
        <x:v>JA</x:v>
      </x:c>
    </x:row>
    <x:row r="929">
      <x:c r="A929" s="36" t="str">
        <x:v>FP-1188</x:v>
      </x:c>
      <x:c r="B929" s="36" t="str">
        <x:v>1TH</x:v>
      </x:c>
      <x:c r="C929" s="36" t="str">
        <x:v>1. Thessalonicher</x:v>
      </x:c>
      <x:c r="D929" s="36" t="n">
        <x:v>4</x:v>
      </x:c>
      <x:c r="E929" s="36" t="n">
        <x:v>3</x:v>
      </x:c>
      <x:c r="F929" s="36" t="str">
        <x:v>Warum sollen Christen über Verstorbene nicht trauern wie Menschen ohne Hoffnung?</x:v>
      </x:c>
      <x:c r="G929" s="36" t="str">
        <x:v>Weil Trauer für Christen grundsätzlich verboten ist.</x:v>
      </x:c>
      <x:c r="H929" s="36" t="str">
        <x:v>Weil Christen den Tod nicht ernst nehmen müssen.</x:v>
      </x:c>
      <x:c r="I929" s="36" t="str">
        <x:v>Weil der Glaube an Jesu Tod und Auferstehung Hoffnung für die in Christus Entschlafenen gibt.</x:v>
      </x:c>
      <x:c r="J929" s="36" t="str">
        <x:v>Weil alle Verstorbenen bereits sichtbar auf die Erde zurückgekehrt sind.</x:v>
      </x:c>
      <x:c r="K929" s="36" t="n">
        <x:v>2</x:v>
      </x:c>
      <x:c r="L929" s="36" t="str">
        <x:v>Weil der Glaube an Jesu Tod und Auferstehung Hoffnung für die in Christus Entschlafenen gibt.</x:v>
      </x:c>
      <x:c r="M929" s="36" t="str">
        <x:v>1. Thessalonicher 4,13–14</x:v>
      </x:c>
      <x:c r="N929" s="36" t="str">
        <x:v>Paulus verbietet Trauer nicht. Er unterscheidet vielmehr zwischen Trauer ohne Hoffnung und christlicher Trauer, die von Jesu Tod und Auferstehung geprägt ist.</x:v>
      </x:c>
      <x:c r="O929" s="36" t="str">
        <x:v>FREIGEGEBEN</x:v>
      </x:c>
      <x:c r="P929" s="36" t="str">
        <x:v>FREIGEGEBEN</x:v>
      </x:c>
      <x:c r="Q929" s="36" t="str">
        <x:v>JA</x:v>
      </x:c>
    </x:row>
    <x:row r="930">
      <x:c r="A930" s="36" t="str">
        <x:v>FP-1189</x:v>
      </x:c>
      <x:c r="B930" s="36" t="str">
        <x:v>1TH</x:v>
      </x:c>
      <x:c r="C930" s="36" t="str">
        <x:v>1. Thessalonicher</x:v>
      </x:c>
      <x:c r="D930" s="36" t="n">
        <x:v>4</x:v>
      </x:c>
      <x:c r="E930" s="36" t="n">
        <x:v>4</x:v>
      </x:c>
      <x:c r="F930" s="36" t="str">
        <x:v>Welche Reihenfolge beschreibt Paulus bei der Ankunft des Herrn?</x:v>
      </x:c>
      <x:c r="G930" s="36" t="str">
        <x:v>Zuerst werden alle Lebenden verwandelt und danach Christus auferweckt.</x:v>
      </x:c>
      <x:c r="H930" s="36" t="str">
        <x:v>Zuerst verlassen die Lebenden die Gemeinde, dann werden die Toten vergessen.</x:v>
      </x:c>
      <x:c r="I930" s="36" t="str">
        <x:v>Die Verstorbenen haben keinen Anteil an der Ankunft des Herrn.</x:v>
      </x:c>
      <x:c r="J930" s="36" t="str">
        <x:v>Der Herr kommt herab, die Toten in Christus stehen zuerst auf, danach werden die Lebenden zusammen mit ihnen dem Herrn begegnen.</x:v>
      </x:c>
      <x:c r="K930" s="36" t="n">
        <x:v>3</x:v>
      </x:c>
      <x:c r="L930" s="36" t="str">
        <x:v>Der Herr kommt herab, die Toten in Christus stehen zuerst auf, danach werden die Lebenden zusammen mit ihnen dem Herrn begegnen.</x:v>
      </x:c>
      <x:c r="M930" s="36" t="str">
        <x:v>1. Thessalonicher 4,15–17</x:v>
      </x:c>
      <x:c r="N930" s="36" t="str">
        <x:v>Paulus will gerade verhindern, dass die Lebenden gegenüber den bereits Verstorbenen als bevorzugt gelten. Beide Gruppen werden schließlich gemeinsam beim Herrn sein.</x:v>
      </x:c>
      <x:c r="O930" s="36" t="str">
        <x:v>FREIGEGEBEN</x:v>
      </x:c>
      <x:c r="P930" s="36" t="str">
        <x:v>FREIGEGEBEN</x:v>
      </x:c>
      <x:c r="Q930" s="36" t="str">
        <x:v>JA</x:v>
      </x:c>
    </x:row>
    <x:row r="931">
      <x:c r="A931" s="36" t="str">
        <x:v>FP-1190</x:v>
      </x:c>
      <x:c r="B931" s="36" t="str">
        <x:v>1TH</x:v>
      </x:c>
      <x:c r="C931" s="36" t="str">
        <x:v>1. Thessalonicher</x:v>
      </x:c>
      <x:c r="D931" s="36" t="n">
        <x:v>4</x:v>
      </x:c>
      <x:c r="E931" s="36" t="n">
        <x:v>5</x:v>
      </x:c>
      <x:c r="F931" s="36" t="str">
        <x:v>Was sollen die Thessalonicher mit den Aussagen über die Auferstehung und das Kommen des Herrn tun?</x:v>
      </x:c>
      <x:c r="G931" s="36" t="str">
        <x:v>Sie ausschließlich für Berechnungen von Zeitpunkten verwenden.</x:v>
      </x:c>
      <x:c r="H931" s="36" t="str">
        <x:v>Einander damit ermutigen und trösten.</x:v>
      </x:c>
      <x:c r="I931" s="36" t="str">
        <x:v>Sie nur den Gemeindeleitern mitteilen.</x:v>
      </x:c>
      <x:c r="J931" s="36" t="str">
        <x:v>Darüber grundsätzlich nicht sprechen.</x:v>
      </x:c>
      <x:c r="K931" s="36" t="n">
        <x:v>1</x:v>
      </x:c>
      <x:c r="L931" s="36" t="str">
        <x:v>Einander damit ermutigen und trösten.</x:v>
      </x:c>
      <x:c r="M931" s="36" t="str">
        <x:v>1. Thessalonicher 4,18</x:v>
      </x:c>
      <x:c r="N931" s="36" t="str">
        <x:v>Der praktische Zweck des Abschnitts ist ausdrücklich Trost und Ermutigung. Die Hoffnung soll der Gemeinde im Umgang mit Tod und Trauer dienen.</x:v>
      </x:c>
      <x:c r="O931" s="36" t="str">
        <x:v>FREIGEGEBEN</x:v>
      </x:c>
      <x:c r="P931" s="36" t="str">
        <x:v>FREIGEGEBEN</x:v>
      </x:c>
      <x:c r="Q931" s="36" t="str">
        <x:v>JA</x:v>
      </x:c>
    </x:row>
    <x:row r="932">
      <x:c r="A932" s="36" t="str">
        <x:v>FP-1191</x:v>
      </x:c>
      <x:c r="B932" s="36" t="str">
        <x:v>1TH</x:v>
      </x:c>
      <x:c r="C932" s="36" t="str">
        <x:v>1. Thessalonicher</x:v>
      </x:c>
      <x:c r="D932" s="36" t="n">
        <x:v>5</x:v>
      </x:c>
      <x:c r="E932" s="36" t="n">
        <x:v>1</x:v>
      </x:c>
      <x:c r="F932" s="36" t="str">
        <x:v>Welche Konsequenz zieht Paulus daraus, dass der Tag des Herrn unerwartet kommt?</x:v>
      </x:c>
      <x:c r="G932" s="36" t="str">
        <x:v>Christen sollen genaue Termine errechnen.</x:v>
      </x:c>
      <x:c r="H932" s="36" t="str">
        <x:v>Als Kinder des Lichts sollen sie wachsam und nüchtern leben.</x:v>
      </x:c>
      <x:c r="I932" s="36" t="str">
        <x:v>Sie sollen ihre normalen Aufgaben vollständig einstellen.</x:v>
      </x:c>
      <x:c r="J932" s="36" t="str">
        <x:v>Sie brauchen sich mit der Zukunft überhaupt nicht zu beschäftigen.</x:v>
      </x:c>
      <x:c r="K932" s="36" t="n">
        <x:v>1</x:v>
      </x:c>
      <x:c r="L932" s="36" t="str">
        <x:v>Als Kinder des Lichts sollen sie wachsam und nüchtern leben.</x:v>
      </x:c>
      <x:c r="M932" s="36" t="str">
        <x:v>1. Thessalonicher 5,1–8</x:v>
      </x:c>
      <x:c r="N932" s="36" t="str">
        <x:v>Der Vergleich mit einem Dieb in der Nacht führt nicht zu Datumsberechnungen, sondern zu Wachsamkeit. Glaubende gehören zum Licht und sollen entsprechend nüchtern leben.</x:v>
      </x:c>
      <x:c r="O932" s="36" t="str">
        <x:v>FREIGEGEBEN</x:v>
      </x:c>
      <x:c r="P932" s="36" t="str">
        <x:v>FREIGEGEBEN</x:v>
      </x:c>
      <x:c r="Q932" s="36" t="str">
        <x:v>JA</x:v>
      </x:c>
    </x:row>
    <x:row r="933">
      <x:c r="A933" s="36" t="str">
        <x:v>FP-1192</x:v>
      </x:c>
      <x:c r="B933" s="36" t="str">
        <x:v>1TH</x:v>
      </x:c>
      <x:c r="C933" s="36" t="str">
        <x:v>1. Thessalonicher</x:v>
      </x:c>
      <x:c r="D933" s="36" t="n">
        <x:v>5</x:v>
      </x:c>
      <x:c r="E933" s="36" t="n">
        <x:v>2</x:v>
      </x:c>
      <x:c r="F933" s="36" t="str">
        <x:v>Welche geistliche Ausrüstung nennt Paulus für die 'Kinder des Tages'?</x:v>
      </x:c>
      <x:c r="G933" s="36" t="str">
        <x:v>Den Brustpanzer des Glaubens und der Liebe sowie den Helm der Hoffnung auf das Heil.</x:v>
      </x:c>
      <x:c r="H933" s="36" t="str">
        <x:v>Das Schwert politischer Macht und den Schild gesellschaftlicher Anerkennung.</x:v>
      </x:c>
      <x:c r="I933" s="36" t="str">
        <x:v>Die Krone menschlicher Weisheit und den Mantel des Reichtums.</x:v>
      </x:c>
      <x:c r="J933" s="36" t="str">
        <x:v>Nur den Helm des Wissens ohne Glauben und Liebe.</x:v>
      </x:c>
      <x:c r="K933" s="36" t="n">
        <x:v>0</x:v>
      </x:c>
      <x:c r="L933" s="36" t="str">
        <x:v>Den Brustpanzer des Glaubens und der Liebe sowie den Helm der Hoffnung auf das Heil.</x:v>
      </x:c>
      <x:c r="M933" s="36" t="str">
        <x:v>1. Thessalonicher 5,8–11</x:v>
      </x:c>
      <x:c r="N933" s="36" t="str">
        <x:v>Paulus fasst erneut Glauben, Liebe und Hoffnung zusammen. Diese Haltungen dienen hier als Bild für nüchterne Bereitschaft und gegenseitige Ermutigung.</x:v>
      </x:c>
      <x:c r="O933" s="36" t="str">
        <x:v>FREIGEGEBEN</x:v>
      </x:c>
      <x:c r="P933" s="36" t="str">
        <x:v>FREIGEGEBEN</x:v>
      </x:c>
      <x:c r="Q933" s="36" t="str">
        <x:v>JA</x:v>
      </x:c>
    </x:row>
    <x:row r="934">
      <x:c r="A934" s="36" t="str">
        <x:v>FP-1193</x:v>
      </x:c>
      <x:c r="B934" s="36" t="str">
        <x:v>1TH</x:v>
      </x:c>
      <x:c r="C934" s="36" t="str">
        <x:v>1. Thessalonicher</x:v>
      </x:c>
      <x:c r="D934" s="36" t="n">
        <x:v>5</x:v>
      </x:c>
      <x:c r="E934" s="36" t="n">
        <x:v>3</x:v>
      </x:c>
      <x:c r="F934" s="36" t="str">
        <x:v>Wie soll die Gemeinde nach 1. Thessalonicher 5 mit unterschiedlichen Bedürfnissen umgehen?</x:v>
      </x:c>
      <x:c r="G934" s="36" t="str">
        <x:v>Alle Menschen unabhängig von ihrer Situation gleich streng behandeln.</x:v>
      </x:c>
      <x:c r="H934" s="36" t="str">
        <x:v>Nur die Starken unterstützen.</x:v>
      </x:c>
      <x:c r="I934" s="36" t="str">
        <x:v>Schwache Menschen aus Verantwortung entlassen und ignorieren.</x:v>
      </x:c>
      <x:c r="J934" s="36" t="str">
        <x:v>Unordentliche zurechtweisen, Mutlose ermutigen, Schwachen helfen und mit allen geduldig sein.</x:v>
      </x:c>
      <x:c r="K934" s="36" t="n">
        <x:v>3</x:v>
      </x:c>
      <x:c r="L934" s="36" t="str">
        <x:v>Unordentliche zurechtweisen, Mutlose ermutigen, Schwachen helfen und mit allen geduldig sein.</x:v>
      </x:c>
      <x:c r="M934" s="36" t="str">
        <x:v>1. Thessalonicher 5,12–15</x:v>
      </x:c>
      <x:c r="N934" s="36" t="str">
        <x:v>Paulus fordert keine Einheitsreaktion. Je nach Situation braucht es Korrektur, Ermutigung, Unterstützung oder Geduld – und grundsätzlich das Streben nach dem Guten.</x:v>
      </x:c>
      <x:c r="O934" s="36" t="str">
        <x:v>FREIGEGEBEN</x:v>
      </x:c>
      <x:c r="P934" s="36" t="str">
        <x:v>FREIGEGEBEN</x:v>
      </x:c>
      <x:c r="Q934" s="36" t="str">
        <x:v>JA</x:v>
      </x:c>
    </x:row>
    <x:row r="935">
      <x:c r="A935" s="36" t="str">
        <x:v>FP-1194</x:v>
      </x:c>
      <x:c r="B935" s="36" t="str">
        <x:v>1TH</x:v>
      </x:c>
      <x:c r="C935" s="36" t="str">
        <x:v>1. Thessalonicher</x:v>
      </x:c>
      <x:c r="D935" s="36" t="n">
        <x:v>5</x:v>
      </x:c>
      <x:c r="E935" s="36" t="n">
        <x:v>4</x:v>
      </x:c>
      <x:c r="F935" s="36" t="str">
        <x:v>Welche Kombination entspricht den kurzen Aufforderungen am Ende des Briefes?</x:v>
      </x:c>
      <x:c r="G935" s="36" t="str">
        <x:v>Freude vermeiden, selten beten und nur bei Erfolg danken.</x:v>
      </x:c>
      <x:c r="H935" s="36" t="str">
        <x:v>Jede geistliche Aussage ungeprüft übernehmen.</x:v>
      </x:c>
      <x:c r="I935" s="36" t="str">
        <x:v>Sich immer freuen, ohne Unterlass beten, in allem danken und zugleich alles prüfen und das Gute behalten.</x:v>
      </x:c>
      <x:c r="J935" s="36" t="str">
        <x:v>Prophetische Rede grundsätzlich verachten.</x:v>
      </x:c>
      <x:c r="K935" s="36" t="n">
        <x:v>2</x:v>
      </x:c>
      <x:c r="L935" s="36" t="str">
        <x:v>Sich immer freuen, ohne Unterlass beten, in allem danken und zugleich alles prüfen und das Gute behalten.</x:v>
      </x:c>
      <x:c r="M935" s="36" t="str">
        <x:v>1. Thessalonicher 5,16–22</x:v>
      </x:c>
      <x:c r="N935" s="36" t="str">
        <x:v>Der Abschnitt verbindet Freude, Gebet und Dank mit geistlicher Offenheit und Prüfung. 'Alles prüfen' verhindert sowohl unkritische Leichtgläubigkeit als auch pauschale Ablehnung.</x:v>
      </x:c>
      <x:c r="O935" s="36" t="str">
        <x:v>FREIGEGEBEN</x:v>
      </x:c>
      <x:c r="P935" s="36" t="str">
        <x:v>FREIGEGEBEN</x:v>
      </x:c>
      <x:c r="Q935" s="36" t="str">
        <x:v>JA</x:v>
      </x:c>
    </x:row>
    <x:row r="936">
      <x:c r="A936" s="36" t="str">
        <x:v>FP-1195</x:v>
      </x:c>
      <x:c r="B936" s="36" t="str">
        <x:v>1TH</x:v>
      </x:c>
      <x:c r="C936" s="36" t="str">
        <x:v>1. Thessalonicher</x:v>
      </x:c>
      <x:c r="D936" s="36" t="n">
        <x:v>5</x:v>
      </x:c>
      <x:c r="E936" s="36" t="n">
        <x:v>5</x:v>
      </x:c>
      <x:c r="F936" s="36" t="str">
        <x:v>Worauf gründet die Hoffnung, dass die Glaubenden bis zur Ankunft Jesu bewahrt werden?</x:v>
      </x:c>
      <x:c r="G936" s="36" t="str">
        <x:v>Auf ihre Fähigkeit, nie wieder einen Fehler zu machen.</x:v>
      </x:c>
      <x:c r="H936" s="36" t="str">
        <x:v>Auf die Stärke ihrer Gemeindeorganisation.</x:v>
      </x:c>
      <x:c r="I936" s="36" t="str">
        <x:v>Auf ihre genaue Kenntnis zukünftiger Zeitpunkte.</x:v>
      </x:c>
      <x:c r="J936" s="36" t="str">
        <x:v>Auf die Treue Gottes, der sie beruft und sein Werk auch vollenden wird.</x:v>
      </x:c>
      <x:c r="K936" s="36" t="n">
        <x:v>3</x:v>
      </x:c>
      <x:c r="L936" s="36" t="str">
        <x:v>Auf die Treue Gottes, der sie beruft und sein Werk auch vollenden wird.</x:v>
      </x:c>
      <x:c r="M936" s="36" t="str">
        <x:v>1. Thessalonicher 5,23–24</x:v>
      </x:c>
      <x:c r="N936" s="36" t="str">
        <x:v>Paulus bittet um umfassende Heiligung und Bewahrung, setzt die letzte Zuversicht aber auf Gott selbst: Der Berufende ist treu und wird handeln.</x:v>
      </x:c>
      <x:c r="O936" s="36" t="str">
        <x:v>FREIGEGEBEN</x:v>
      </x:c>
      <x:c r="P936" s="36" t="str">
        <x:v>FREIGEGEBEN</x:v>
      </x:c>
      <x:c r="Q936" s="36" t="str">
        <x:v>JA</x:v>
      </x:c>
    </x:row>
    <x:row r="937">
      <x:c r="A937" s="36" t="str">
        <x:v>FP-1196</x:v>
      </x:c>
      <x:c r="B937" s="36" t="str">
        <x:v>2TH</x:v>
      </x:c>
      <x:c r="C937" s="36" t="str">
        <x:v>2. Thessalonicher</x:v>
      </x:c>
      <x:c r="D937" s="36" t="n">
        <x:v>1</x:v>
      </x:c>
      <x:c r="E937" s="36" t="n">
        <x:v>1</x:v>
      </x:c>
      <x:c r="F937" s="36" t="str">
        <x:v>Wofür dankt Paulus zu Beginn des zweiten Thessalonicherbriefs besonders?</x:v>
      </x:c>
      <x:c r="G937" s="36" t="str">
        <x:v>Für ihren stark wachsenden Glauben und die zunehmende Liebe zueinander.</x:v>
      </x:c>
      <x:c r="H937" s="36" t="str">
        <x:v>Für ihre wachsende politische Bedeutung.</x:v>
      </x:c>
      <x:c r="I937" s="36" t="str">
        <x:v>Für das Ende aller Verfolgungen.</x:v>
      </x:c>
      <x:c r="J937" s="36" t="str">
        <x:v>Für ihre besonders großen Gebäude.</x:v>
      </x:c>
      <x:c r="K937" s="36" t="n">
        <x:v>0</x:v>
      </x:c>
      <x:c r="L937" s="36" t="str">
        <x:v>Für ihren stark wachsenden Glauben und die zunehmende Liebe zueinander.</x:v>
      </x:c>
      <x:c r="M937" s="36" t="str">
        <x:v>2. Thessalonicher 1,3–4</x:v>
      </x:c>
      <x:c r="N937" s="36" t="str">
        <x:v>Paulus sieht im Wachstum von Glauben, Liebe und standhaftem Ausharren einen Grund zu anhaltendem Dank.</x:v>
      </x:c>
      <x:c r="O937" s="36" t="str">
        <x:v>FREIGEGEBEN</x:v>
      </x:c>
      <x:c r="P937" s="36" t="str">
        <x:v>FREIGEGEBEN</x:v>
      </x:c>
      <x:c r="Q937" s="36" t="str">
        <x:v>JA</x:v>
      </x:c>
    </x:row>
    <x:row r="938">
      <x:c r="A938" s="36" t="str">
        <x:v>FP-1197</x:v>
      </x:c>
      <x:c r="B938" s="36" t="str">
        <x:v>2TH</x:v>
      </x:c>
      <x:c r="C938" s="36" t="str">
        <x:v>2. Thessalonicher</x:v>
      </x:c>
      <x:c r="D938" s="36" t="n">
        <x:v>1</x:v>
      </x:c>
      <x:c r="E938" s="36" t="n">
        <x:v>2</x:v>
      </x:c>
      <x:c r="F938" s="36" t="str">
        <x:v>Wie deutet Paulus das Ausharren der Gemeinde in Verfolgungen und Bedrängnissen?</x:v>
      </x:c>
      <x:c r="G938" s="36" t="str">
        <x:v>Als Zeichen dafür, dass Gott sie verlassen hat.</x:v>
      </x:c>
      <x:c r="H938" s="36" t="str">
        <x:v>Als Hinweis darauf, dass Gott gerecht richten und den Bedrängten schließlich Ruhe geben wird.</x:v>
      </x:c>
      <x:c r="I938" s="36" t="str">
        <x:v>Als Beweis, dass Christen Leiden grundsätzlich suchen sollen.</x:v>
      </x:c>
      <x:c r="J938" s="36" t="str">
        <x:v>Als Grund, die Verkündigung einzustellen.</x:v>
      </x:c>
      <x:c r="K938" s="36" t="n">
        <x:v>1</x:v>
      </x:c>
      <x:c r="L938" s="36" t="str">
        <x:v>Als Hinweis darauf, dass Gott gerecht richten und den Bedrängten schließlich Ruhe geben wird.</x:v>
      </x:c>
      <x:c r="M938" s="36" t="str">
        <x:v>2. Thessalonicher 1,4–7</x:v>
      </x:c>
      <x:c r="N938" s="36" t="str">
        <x:v>Der Text verbindet gegenwärtiges Ausharren mit Gottes zukünftigem gerechten Urteil und mit Ruhe für die Bedrängten.</x:v>
      </x:c>
      <x:c r="O938" s="36" t="str">
        <x:v>FREIGEGEBEN</x:v>
      </x:c>
      <x:c r="P938" s="36" t="str">
        <x:v>FREIGEGEBEN</x:v>
      </x:c>
      <x:c r="Q938" s="36" t="str">
        <x:v>JA</x:v>
      </x:c>
    </x:row>
    <x:row r="939">
      <x:c r="A939" s="36" t="str">
        <x:v>FP-1198</x:v>
      </x:c>
      <x:c r="B939" s="36" t="str">
        <x:v>2TH</x:v>
      </x:c>
      <x:c r="C939" s="36" t="str">
        <x:v>2. Thessalonicher</x:v>
      </x:c>
      <x:c r="D939" s="36" t="n">
        <x:v>1</x:v>
      </x:c>
      <x:c r="E939" s="36" t="n">
        <x:v>3</x:v>
      </x:c>
      <x:c r="F939" s="36" t="str">
        <x:v>Was steht im Mittelpunkt der Zukunftsperspektive in 2. Thessalonicher 1?</x:v>
      </x:c>
      <x:c r="G939" s="36" t="str">
        <x:v>Die dauerhafte Herrschaft des Römischen Reiches.</x:v>
      </x:c>
      <x:c r="H939" s="36" t="str">
        <x:v>Die Rückkehr aller Christen nach Thessalonich.</x:v>
      </x:c>
      <x:c r="I939" s="36" t="str">
        <x:v>Die Offenbarung des Herrn Jesus, bei der Gottes gerechtes Urteil sichtbar wird.</x:v>
      </x:c>
      <x:c r="J939" s="36" t="str">
        <x:v>Die Abschaffung jeder irdischen Verantwortung.</x:v>
      </x:c>
      <x:c r="K939" s="36" t="n">
        <x:v>2</x:v>
      </x:c>
      <x:c r="L939" s="36" t="str">
        <x:v>Die Offenbarung des Herrn Jesus, bei der Gottes gerechtes Urteil sichtbar wird.</x:v>
      </x:c>
      <x:c r="M939" s="36" t="str">
        <x:v>2. Thessalonicher 1,7–10</x:v>
      </x:c>
      <x:c r="N939" s="36" t="str">
        <x:v>Paulus richtet den Blick auf die Offenbarung Jesu. Dabei werden Gottes Gerechtigkeit und die Verherrlichung Christi bei seinen Glaubenden sichtbar.</x:v>
      </x:c>
      <x:c r="O939" s="36" t="str">
        <x:v>FREIGEGEBEN</x:v>
      </x:c>
      <x:c r="P939" s="36" t="str">
        <x:v>FREIGEGEBEN</x:v>
      </x:c>
      <x:c r="Q939" s="36" t="str">
        <x:v>JA</x:v>
      </x:c>
    </x:row>
    <x:row r="940">
      <x:c r="A940" s="36" t="str">
        <x:v>FP-1199</x:v>
      </x:c>
      <x:c r="B940" s="36" t="str">
        <x:v>2TH</x:v>
      </x:c>
      <x:c r="C940" s="36" t="str">
        <x:v>2. Thessalonicher</x:v>
      </x:c>
      <x:c r="D940" s="36" t="n">
        <x:v>1</x:v>
      </x:c>
      <x:c r="E940" s="36" t="n">
        <x:v>4</x:v>
      </x:c>
      <x:c r="F940" s="36" t="str">
        <x:v>Worum betet Paulus am Ende von 2. Thessalonicher 1?</x:v>
      </x:c>
      <x:c r="G940" s="36" t="str">
        <x:v>Dass sie keinerlei Entscheidungen mehr selbst treffen müssen.</x:v>
      </x:c>
      <x:c r="H940" s="36" t="str">
        <x:v>Dass nur ihre äußere Religiosität wächst.</x:v>
      </x:c>
      <x:c r="I940" s="36" t="str">
        <x:v>Dass sie von jeder Arbeit befreit werden.</x:v>
      </x:c>
      <x:c r="J940" s="36" t="str">
        <x:v>Dass Gott die Glaubenden ihrer Berufung würdig mache und ihr gutes Wollen und Glaubenswerk mit Kraft erfülle.</x:v>
      </x:c>
      <x:c r="K940" s="36" t="n">
        <x:v>3</x:v>
      </x:c>
      <x:c r="L940" s="36" t="str">
        <x:v>Dass Gott die Glaubenden ihrer Berufung würdig mache und ihr gutes Wollen und Glaubenswerk mit Kraft erfülle.</x:v>
      </x:c>
      <x:c r="M940" s="36" t="str">
        <x:v>2. Thessalonicher 1,11</x:v>
      </x:c>
      <x:c r="N940" s="36" t="str">
        <x:v>Paulus bittet darum, dass Gottes Kraft den Glauben praktisch wirksam macht und die Berufung im Leben Gestalt gewinnt.</x:v>
      </x:c>
      <x:c r="O940" s="36" t="str">
        <x:v>FREIGEGEBEN</x:v>
      </x:c>
      <x:c r="P940" s="36" t="str">
        <x:v>FREIGEGEBEN</x:v>
      </x:c>
      <x:c r="Q940" s="36" t="str">
        <x:v>JA</x:v>
      </x:c>
    </x:row>
    <x:row r="941">
      <x:c r="A941" s="36" t="str">
        <x:v>FP-1200</x:v>
      </x:c>
      <x:c r="B941" s="36" t="str">
        <x:v>2TH</x:v>
      </x:c>
      <x:c r="C941" s="36" t="str">
        <x:v>2. Thessalonicher</x:v>
      </x:c>
      <x:c r="D941" s="36" t="n">
        <x:v>1</x:v>
      </x:c>
      <x:c r="E941" s="36" t="n">
        <x:v>5</x:v>
      </x:c>
      <x:c r="F941" s="36" t="str">
        <x:v>Welches Ziel verbindet Paulus mit diesem Gebet?</x:v>
      </x:c>
      <x:c r="G941" s="36" t="str">
        <x:v>Dass der Name Jesu in den Glaubenden verherrlicht wird und sie in ihm – nach Gottes Gnade.</x:v>
      </x:c>
      <x:c r="H941" s="36" t="str">
        <x:v>Dass Paulus persönlich mehr Ansehen gewinnt.</x:v>
      </x:c>
      <x:c r="I941" s="36" t="str">
        <x:v>Dass die Gemeinde über andere Gemeinden herrscht.</x:v>
      </x:c>
      <x:c r="J941" s="36" t="str">
        <x:v>Dass niemand mehr auf Gottes Gnade angewiesen ist.</x:v>
      </x:c>
      <x:c r="K941" s="36" t="n">
        <x:v>0</x:v>
      </x:c>
      <x:c r="L941" s="36" t="str">
        <x:v>Dass der Name Jesu in den Glaubenden verherrlicht wird und sie in ihm – nach Gottes Gnade.</x:v>
      </x:c>
      <x:c r="M941" s="36" t="str">
        <x:v>2. Thessalonicher 1,11–12</x:v>
      </x:c>
      <x:c r="N941" s="36" t="str">
        <x:v>Das Ziel ist nicht menschliche Selbstdarstellung, sondern die Verherrlichung Jesu in einem von Gnade getragenen Leben.</x:v>
      </x:c>
      <x:c r="O941" s="36" t="str">
        <x:v>FREIGEGEBEN</x:v>
      </x:c>
      <x:c r="P941" s="36" t="str">
        <x:v>FREIGEGEBEN</x:v>
      </x:c>
      <x:c r="Q941" s="36" t="str">
        <x:v>JA</x:v>
      </x:c>
    </x:row>
    <x:row r="942">
      <x:c r="A942" s="36" t="str">
        <x:v>FP-1201</x:v>
      </x:c>
      <x:c r="B942" s="36" t="str">
        <x:v>2TH</x:v>
      </x:c>
      <x:c r="C942" s="36" t="str">
        <x:v>2. Thessalonicher</x:v>
      </x:c>
      <x:c r="D942" s="36" t="n">
        <x:v>2</x:v>
      </x:c>
      <x:c r="E942" s="36" t="n">
        <x:v>1</x:v>
      </x:c>
      <x:c r="F942" s="36" t="str">
        <x:v>Wie sollen die Thessalonicher auf die Behauptung reagieren, der Tag des Herrn sei bereits da?</x:v>
      </x:c>
      <x:c r="G942" s="36" t="str">
        <x:v>Sie sollen sofort jeden Alltag einstellen.</x:v>
      </x:c>
      <x:c r="H942" s="36" t="str">
        <x:v>Sie sollen sich nicht vorschnell erschüttern oder erschrecken lassen.</x:v>
      </x:c>
      <x:c r="I942" s="36" t="str">
        <x:v>Sie sollen jedem angeblich apostolischen Brief ungeprüft glauben.</x:v>
      </x:c>
      <x:c r="J942" s="36" t="str">
        <x:v>Sie sollen selbst einen genauen Termin berechnen.</x:v>
      </x:c>
      <x:c r="K942" s="36" t="n">
        <x:v>1</x:v>
      </x:c>
      <x:c r="L942" s="36" t="str">
        <x:v>Sie sollen sich nicht vorschnell erschüttern oder erschrecken lassen.</x:v>
      </x:c>
      <x:c r="M942" s="36" t="str">
        <x:v>2. Thessalonicher 2,1–2</x:v>
      </x:c>
      <x:c r="N942" s="36" t="str">
        <x:v>Paulus will die Gemeinde vor religiöser Panik und vorschnellen Behauptungen über den Tag des Herrn schützen.</x:v>
      </x:c>
      <x:c r="O942" s="36" t="str">
        <x:v>FREIGEGEBEN</x:v>
      </x:c>
      <x:c r="P942" s="36" t="str">
        <x:v>FREIGEGEBEN</x:v>
      </x:c>
      <x:c r="Q942" s="36" t="str">
        <x:v>JA</x:v>
      </x:c>
    </x:row>
    <x:row r="943">
      <x:c r="A943" s="36" t="str">
        <x:v>FP-1202</x:v>
      </x:c>
      <x:c r="B943" s="36" t="str">
        <x:v>2TH</x:v>
      </x:c>
      <x:c r="C943" s="36" t="str">
        <x:v>2. Thessalonicher</x:v>
      </x:c>
      <x:c r="D943" s="36" t="n">
        <x:v>2</x:v>
      </x:c>
      <x:c r="E943" s="36" t="n">
        <x:v>2</x:v>
      </x:c>
      <x:c r="F943" s="36" t="str">
        <x:v>Was nennt Paulus als etwas, das vor diesem Tag geschehen wird?</x:v>
      </x:c>
      <x:c r="G943" s="36" t="str">
        <x:v>Die vollständige Bekehrung des Römischen Reiches.</x:v>
      </x:c>
      <x:c r="H943" s="36" t="str">
        <x:v>Die Wiedererrichtung des salomonischen Tempels als ausdrücklich genanntes Zeichen.</x:v>
      </x:c>
      <x:c r="I943" s="36" t="str">
        <x:v>Den Abfall und die Offenbarung des Menschen der Gesetzlosigkeit.</x:v>
      </x:c>
      <x:c r="J943" s="36" t="str">
        <x:v>Das Ende jeder falschen Lehre in der Gemeinde.</x:v>
      </x:c>
      <x:c r="K943" s="36" t="n">
        <x:v>2</x:v>
      </x:c>
      <x:c r="L943" s="36" t="str">
        <x:v>Den Abfall und die Offenbarung des Menschen der Gesetzlosigkeit.</x:v>
      </x:c>
      <x:c r="M943" s="36" t="str">
        <x:v>2. Thessalonicher 2,3–4</x:v>
      </x:c>
      <x:c r="N943" s="36" t="str">
        <x:v>Paulus nennt den Abfall und die Offenbarung des gesetzlosen Widersachers als Ereignisse, die der Gemeinde zeigen sollen, dass sie sich nicht täuschen lassen darf.</x:v>
      </x:c>
      <x:c r="O943" s="36" t="str">
        <x:v>FREIGEGEBEN</x:v>
      </x:c>
      <x:c r="P943" s="36" t="str">
        <x:v>FREIGEGEBEN</x:v>
      </x:c>
      <x:c r="Q943" s="36" t="str">
        <x:v>JA</x:v>
      </x:c>
    </x:row>
    <x:row r="944">
      <x:c r="A944" s="36" t="str">
        <x:v>FP-1203</x:v>
      </x:c>
      <x:c r="B944" s="36" t="str">
        <x:v>2TH</x:v>
      </x:c>
      <x:c r="C944" s="36" t="str">
        <x:v>2. Thessalonicher</x:v>
      </x:c>
      <x:c r="D944" s="36" t="n">
        <x:v>2</x:v>
      </x:c>
      <x:c r="E944" s="36" t="n">
        <x:v>3</x:v>
      </x:c>
      <x:c r="F944" s="36" t="str">
        <x:v>Wie endet nach Paulus die Macht des Gesetzlosen?</x:v>
      </x:c>
      <x:c r="G944" s="36" t="str">
        <x:v>Er besiegt Jesus am Ende.</x:v>
      </x:c>
      <x:c r="H944" s="36" t="str">
        <x:v>Er verschwindet allein durch menschliche Politik.</x:v>
      </x:c>
      <x:c r="I944" s="36" t="str">
        <x:v>Seine Macht bleibt neben Christus dauerhaft bestehen.</x:v>
      </x:c>
      <x:c r="J944" s="36" t="str">
        <x:v>Der Herr Jesus wird ihm durch die Erscheinung seiner Ankunft ein Ende machen.</x:v>
      </x:c>
      <x:c r="K944" s="36" t="n">
        <x:v>3</x:v>
      </x:c>
      <x:c r="L944" s="36" t="str">
        <x:v>Der Herr Jesus wird ihm durch die Erscheinung seiner Ankunft ein Ende machen.</x:v>
      </x:c>
      <x:c r="M944" s="36" t="str">
        <x:v>2. Thessalonicher 2,8</x:v>
      </x:c>
      <x:c r="N944" s="36" t="str">
        <x:v>Die endgültige Überlegenheit liegt im Text eindeutig bei Christus; seine Erscheinung beendet die Macht des Gesetzlosen.</x:v>
      </x:c>
      <x:c r="O944" s="36" t="str">
        <x:v>FREIGEGEBEN</x:v>
      </x:c>
      <x:c r="P944" s="36" t="str">
        <x:v>FREIGEGEBEN</x:v>
      </x:c>
      <x:c r="Q944" s="36" t="str">
        <x:v>JA</x:v>
      </x:c>
    </x:row>
    <x:row r="945">
      <x:c r="A945" s="36" t="str">
        <x:v>FP-1204</x:v>
      </x:c>
      <x:c r="B945" s="36" t="str">
        <x:v>2TH</x:v>
      </x:c>
      <x:c r="C945" s="36" t="str">
        <x:v>2. Thessalonicher</x:v>
      </x:c>
      <x:c r="D945" s="36" t="n">
        <x:v>2</x:v>
      </x:c>
      <x:c r="E945" s="36" t="n">
        <x:v>4</x:v>
      </x:c>
      <x:c r="F945" s="36" t="str">
        <x:v>Warum fallen Menschen nach 2. Thessalonicher 2 der Verführung zum Opfer?</x:v>
      </x:c>
      <x:c r="G945" s="36" t="str">
        <x:v>Weil sie die Liebe zur Wahrheit nicht angenommen haben.</x:v>
      </x:c>
      <x:c r="H945" s="36" t="str">
        <x:v>Weil sie zu wenig politische Bildung besitzen.</x:v>
      </x:c>
      <x:c r="I945" s="36" t="str">
        <x:v>Weil sie keine bestimmten Speisen meiden.</x:v>
      </x:c>
      <x:c r="J945" s="36" t="str">
        <x:v>Weil sie den Zeitpunkt der Wiederkunft nicht berechnet haben.</x:v>
      </x:c>
      <x:c r="K945" s="36" t="n">
        <x:v>0</x:v>
      </x:c>
      <x:c r="L945" s="36" t="str">
        <x:v>Weil sie die Liebe zur Wahrheit nicht angenommen haben.</x:v>
      </x:c>
      <x:c r="M945" s="36" t="str">
        <x:v>2. Thessalonicher 2,9–12</x:v>
      </x:c>
      <x:c r="N945" s="36" t="str">
        <x:v>Der entscheidende Gegensatz ist Wahrheit gegen Täuschung. Paulus beschreibt eine verweigerte Liebe zur Wahrheit als Kern des Problems.</x:v>
      </x:c>
      <x:c r="O945" s="36" t="str">
        <x:v>FREIGEGEBEN</x:v>
      </x:c>
      <x:c r="P945" s="36" t="str">
        <x:v>FREIGEGEBEN</x:v>
      </x:c>
      <x:c r="Q945" s="36" t="str">
        <x:v>JA</x:v>
      </x:c>
    </x:row>
    <x:row r="946">
      <x:c r="A946" s="36" t="str">
        <x:v>FP-1205</x:v>
      </x:c>
      <x:c r="B946" s="36" t="str">
        <x:v>2TH</x:v>
      </x:c>
      <x:c r="C946" s="36" t="str">
        <x:v>2. Thessalonicher</x:v>
      </x:c>
      <x:c r="D946" s="36" t="n">
        <x:v>2</x:v>
      </x:c>
      <x:c r="E946" s="36" t="n">
        <x:v>5</x:v>
      </x:c>
      <x:c r="F946" s="36" t="str">
        <x:v>Welche Reaktion fordert Paulus von den Glaubenden nach seinen Aussagen über Verführung und Zukunft?</x:v>
      </x:c>
      <x:c r="G946" s="36" t="str">
        <x:v>Sich aus jeder Gemeinschaft zurückzuziehen.</x:v>
      </x:c>
      <x:c r="H946" s="36" t="str">
        <x:v>Festzustehen und an der empfangenen apostolischen Unterweisung festzuhalten.</x:v>
      </x:c>
      <x:c r="I946" s="36" t="str">
        <x:v>Nur noch über Endzeitfragen zu sprechen.</x:v>
      </x:c>
      <x:c r="J946" s="36" t="str">
        <x:v>Alle früheren Unterweisungen zu verwerfen.</x:v>
      </x:c>
      <x:c r="K946" s="36" t="n">
        <x:v>1</x:v>
      </x:c>
      <x:c r="L946" s="36" t="str">
        <x:v>Festzustehen und an der empfangenen apostolischen Unterweisung festzuhalten.</x:v>
      </x:c>
      <x:c r="M946" s="36" t="str">
        <x:v>2. Thessalonicher 2,13–17</x:v>
      </x:c>
      <x:c r="N946" s="36" t="str">
        <x:v>Die praktische Antwort auf Verunsicherung ist Standfestigkeit. Paulus verbindet sie mit Gottes Liebe, Trost, Hoffnung und Stärkung zu guten Werken und Worten.</x:v>
      </x:c>
      <x:c r="O946" s="36" t="str">
        <x:v>FREIGEGEBEN</x:v>
      </x:c>
      <x:c r="P946" s="36" t="str">
        <x:v>FREIGEGEBEN</x:v>
      </x:c>
      <x:c r="Q946" s="36" t="str">
        <x:v>JA</x:v>
      </x:c>
    </x:row>
    <x:row r="947">
      <x:c r="A947" s="36" t="str">
        <x:v>FP-1206</x:v>
      </x:c>
      <x:c r="B947" s="36" t="str">
        <x:v>2TH</x:v>
      </x:c>
      <x:c r="C947" s="36" t="str">
        <x:v>2. Thessalonicher</x:v>
      </x:c>
      <x:c r="D947" s="36" t="n">
        <x:v>3</x:v>
      </x:c>
      <x:c r="E947" s="36" t="n">
        <x:v>1</x:v>
      </x:c>
      <x:c r="F947" s="36" t="str">
        <x:v>Wofür bittet Paulus die Gemeinde zu beten?</x:v>
      </x:c>
      <x:c r="G947" s="36" t="str">
        <x:v>Dass Paulus nie wieder auf Widerstand trifft.</x:v>
      </x:c>
      <x:c r="H947" s="36" t="str">
        <x:v>Dass nur Thessalonich das Evangelium hören darf.</x:v>
      </x:c>
      <x:c r="I947" s="36" t="str">
        <x:v>Dass sich das Wort des Herrn schnell verbreitet und geehrt wird.</x:v>
      </x:c>
      <x:c r="J947" s="36" t="str">
        <x:v>Dass alle Gegner sofort politisch entmachtet werden.</x:v>
      </x:c>
      <x:c r="K947" s="36" t="n">
        <x:v>2</x:v>
      </x:c>
      <x:c r="L947" s="36" t="str">
        <x:v>Dass sich das Wort des Herrn schnell verbreitet und geehrt wird.</x:v>
      </x:c>
      <x:c r="M947" s="36" t="str">
        <x:v>2. Thessalonicher 3,1–2</x:v>
      </x:c>
      <x:c r="N947" s="36" t="str">
        <x:v>Paulus bittet um Fürbitte für die Ausbreitung des Evangeliums und zugleich um Bewahrung vor bösen Menschen.</x:v>
      </x:c>
      <x:c r="O947" s="36" t="str">
        <x:v>FREIGEGEBEN</x:v>
      </x:c>
      <x:c r="P947" s="36" t="str">
        <x:v>FREIGEGEBEN</x:v>
      </x:c>
      <x:c r="Q947" s="36" t="str">
        <x:v>JA</x:v>
      </x:c>
    </x:row>
    <x:row r="948">
      <x:c r="A948" s="36" t="str">
        <x:v>FP-1207</x:v>
      </x:c>
      <x:c r="B948" s="36" t="str">
        <x:v>2TH</x:v>
      </x:c>
      <x:c r="C948" s="36" t="str">
        <x:v>2. Thessalonicher</x:v>
      </x:c>
      <x:c r="D948" s="36" t="n">
        <x:v>3</x:v>
      </x:c>
      <x:c r="E948" s="36" t="n">
        <x:v>2</x:v>
      </x:c>
      <x:c r="F948" s="36" t="str">
        <x:v>Worauf gründet Paulus seine Zuversicht für die Gemeinde?</x:v>
      </x:c>
      <x:c r="G948" s="36" t="str">
        <x:v>Auf die Fehlerlosigkeit der Thessalonicher.</x:v>
      </x:c>
      <x:c r="H948" s="36" t="str">
        <x:v>Auf die Stärke ihrer wirtschaftlichen Lage.</x:v>
      </x:c>
      <x:c r="I948" s="36" t="str">
        <x:v>Auf die Abwesenheit jeder Versuchung.</x:v>
      </x:c>
      <x:c r="J948" s="36" t="str">
        <x:v>Auf die Treue des Herrn, der sie stärken und vor dem Bösen bewahren wird.</x:v>
      </x:c>
      <x:c r="K948" s="36" t="n">
        <x:v>3</x:v>
      </x:c>
      <x:c r="L948" s="36" t="str">
        <x:v>Auf die Treue des Herrn, der sie stärken und vor dem Bösen bewahren wird.</x:v>
      </x:c>
      <x:c r="M948" s="36" t="str">
        <x:v>2. Thessalonicher 3,3–5</x:v>
      </x:c>
      <x:c r="N948" s="36" t="str">
        <x:v>Paulus richtet die letzte Zuversicht nicht auf menschliche Leistung, sondern auf die Treue des Herrn.</x:v>
      </x:c>
      <x:c r="O948" s="36" t="str">
        <x:v>FREIGEGEBEN</x:v>
      </x:c>
      <x:c r="P948" s="36" t="str">
        <x:v>FREIGEGEBEN</x:v>
      </x:c>
      <x:c r="Q948" s="36" t="str">
        <x:v>JA</x:v>
      </x:c>
    </x:row>
    <x:row r="949">
      <x:c r="A949" s="36" t="str">
        <x:v>FP-1208</x:v>
      </x:c>
      <x:c r="B949" s="36" t="str">
        <x:v>2TH</x:v>
      </x:c>
      <x:c r="C949" s="36" t="str">
        <x:v>2. Thessalonicher</x:v>
      </x:c>
      <x:c r="D949" s="36" t="n">
        <x:v>3</x:v>
      </x:c>
      <x:c r="E949" s="36" t="n">
        <x:v>3</x:v>
      </x:c>
      <x:c r="F949" s="36" t="str">
        <x:v>Warum erinnert Paulus an seine eigene Arbeit bei Tag und Nacht?</x:v>
      </x:c>
      <x:c r="G949" s="36" t="str">
        <x:v>Er wollte der Gemeinde nicht zur Last fallen und ihr zugleich ein Vorbild geben.</x:v>
      </x:c>
      <x:c r="H949" s="36" t="str">
        <x:v>Er hielt Verkündigung für weniger wichtig als Arbeit.</x:v>
      </x:c>
      <x:c r="I949" s="36" t="str">
        <x:v>Er durfte Unterstützung grundsätzlich nie annehmen.</x:v>
      </x:c>
      <x:c r="J949" s="36" t="str">
        <x:v>Er wollte beweisen, dass nur körperlich Arbeitende Christen sein können.</x:v>
      </x:c>
      <x:c r="K949" s="36" t="n">
        <x:v>0</x:v>
      </x:c>
      <x:c r="L949" s="36" t="str">
        <x:v>Er wollte der Gemeinde nicht zur Last fallen und ihr zugleich ein Vorbild geben.</x:v>
      </x:c>
      <x:c r="M949" s="36" t="str">
        <x:v>2. Thessalonicher 3,6–10</x:v>
      </x:c>
      <x:c r="N949" s="36" t="str">
        <x:v>Paulus hatte grundsätzlich ein Recht auf Unterstützung, verzichtete aber darauf, um der Gemeinde ein glaubwürdiges Beispiel zu geben.</x:v>
      </x:c>
      <x:c r="O949" s="36" t="str">
        <x:v>FREIGEGEBEN</x:v>
      </x:c>
      <x:c r="P949" s="36" t="str">
        <x:v>FREIGEGEBEN</x:v>
      </x:c>
      <x:c r="Q949" s="36" t="str">
        <x:v>JA</x:v>
      </x:c>
    </x:row>
    <x:row r="950">
      <x:c r="A950" s="36" t="str">
        <x:v>FP-1209</x:v>
      </x:c>
      <x:c r="B950" s="36" t="str">
        <x:v>2TH</x:v>
      </x:c>
      <x:c r="C950" s="36" t="str">
        <x:v>2. Thessalonicher</x:v>
      </x:c>
      <x:c r="D950" s="36" t="n">
        <x:v>3</x:v>
      </x:c>
      <x:c r="E950" s="36" t="n">
        <x:v>4</x:v>
      </x:c>
      <x:c r="F950" s="36" t="str">
        <x:v>Was sollen diejenigen tun, die ungeordnet leben und nicht arbeiten, sondern sich in fremde Angelegenheiten einmischen?</x:v>
      </x:c>
      <x:c r="G950" s="36" t="str">
        <x:v>Von der Arbeit der anderen leben.</x:v>
      </x:c>
      <x:c r="H950" s="36" t="str">
        <x:v>Ruhig arbeiten und ihr eigenes Brot essen.</x:v>
      </x:c>
      <x:c r="I950" s="36" t="str">
        <x:v>Noch stärker in fremde Angelegenheiten eingreifen.</x:v>
      </x:c>
      <x:c r="J950" s="36" t="str">
        <x:v>Die Gemeinde verlassen und nie zurückkehren.</x:v>
      </x:c>
      <x:c r="K950" s="36" t="n">
        <x:v>1</x:v>
      </x:c>
      <x:c r="L950" s="36" t="str">
        <x:v>Ruhig arbeiten und ihr eigenes Brot essen.</x:v>
      </x:c>
      <x:c r="M950" s="36" t="str">
        <x:v>2. Thessalonicher 3,11–12</x:v>
      </x:c>
      <x:c r="N950" s="36" t="str">
        <x:v>Paulus verbindet einen ruhigen Lebensstil mit eigener Arbeit und Verantwortung.</x:v>
      </x:c>
      <x:c r="O950" s="36" t="str">
        <x:v>FREIGEGEBEN</x:v>
      </x:c>
      <x:c r="P950" s="36" t="str">
        <x:v>FREIGEGEBEN</x:v>
      </x:c>
      <x:c r="Q950" s="36" t="str">
        <x:v>JA</x:v>
      </x:c>
    </x:row>
    <x:row r="951">
      <x:c r="A951" s="36" t="str">
        <x:v>FP-1210</x:v>
      </x:c>
      <x:c r="B951" s="36" t="str">
        <x:v>2TH</x:v>
      </x:c>
      <x:c r="C951" s="36" t="str">
        <x:v>2. Thessalonicher</x:v>
      </x:c>
      <x:c r="D951" s="36" t="n">
        <x:v>3</x:v>
      </x:c>
      <x:c r="E951" s="36" t="n">
        <x:v>5</x:v>
      </x:c>
      <x:c r="F951" s="36" t="str">
        <x:v>Wie soll die Gemeinde mit jemandem umgehen, der die apostolische Anweisung hartnäckig nicht beachtet?</x:v>
      </x:c>
      <x:c r="G951" s="36" t="str">
        <x:v>Sie soll ihn wie einen persönlichen Feind behandeln.</x:v>
      </x:c>
      <x:c r="H951" s="36" t="str">
        <x:v>Sie soll sein Verhalten vollständig ignorieren.</x:v>
      </x:c>
      <x:c r="I951" s="36" t="str">
        <x:v>Sie soll Distanz markieren, ihn aber nicht als Feind behandeln, sondern als Bruder ermahnen.</x:v>
      </x:c>
      <x:c r="J951" s="36" t="str">
        <x:v>Sie soll ihm jede Möglichkeit zur Umkehr verwehren.</x:v>
      </x:c>
      <x:c r="K951" s="36" t="n">
        <x:v>2</x:v>
      </x:c>
      <x:c r="L951" s="36" t="str">
        <x:v>Sie soll Distanz markieren, ihn aber nicht als Feind behandeln, sondern als Bruder ermahnen.</x:v>
      </x:c>
      <x:c r="M951" s="36" t="str">
        <x:v>2. Thessalonicher 3,13–15</x:v>
      </x:c>
      <x:c r="N951" s="36" t="str">
        <x:v>Gemeindedisziplin hat hier ein korrigierendes Ziel. Paulus verbindet klare Grenze und brüderliche Ermahnung.</x:v>
      </x:c>
      <x:c r="O951" s="36" t="str">
        <x:v>FREIGEGEBEN</x:v>
      </x:c>
      <x:c r="P951" s="36" t="str">
        <x:v>FREIGEGEBEN</x:v>
      </x:c>
      <x:c r="Q951" s="36" t="str">
        <x:v>JA</x:v>
      </x:c>
    </x:row>
    <x:row r="952">
      <x:c r="A952" s="36" t="str">
        <x:v>FP-1211</x:v>
      </x:c>
      <x:c r="B952" s="36" t="str">
        <x:v>1TI</x:v>
      </x:c>
      <x:c r="C952" s="36" t="str">
        <x:v>1. Timotheus</x:v>
      </x:c>
      <x:c r="D952" s="36" t="n">
        <x:v>1</x:v>
      </x:c>
      <x:c r="E952" s="36" t="n">
        <x:v>1</x:v>
      </x:c>
      <x:c r="F952" s="36" t="str">
        <x:v>Warum sollte Timotheus in Ephesus bleiben?</x:v>
      </x:c>
      <x:c r="G952" s="36" t="str">
        <x:v>Damit er dort eine politische Verwaltung aufbaut.</x:v>
      </x:c>
      <x:c r="H952" s="36" t="str">
        <x:v>Damit er jede Diskussion in der Gemeinde verbietet.</x:v>
      </x:c>
      <x:c r="I952" s="36" t="str">
        <x:v>Damit er nur noch über Stammbäume predigt.</x:v>
      </x:c>
      <x:c r="J952" s="36" t="str">
        <x:v>Damit er bestimmten Personen gebietet, keine fremden Lehren zu verbreiten und sich nicht in endlosen Spekulationen zu verlieren.</x:v>
      </x:c>
      <x:c r="K952" s="36" t="n">
        <x:v>3</x:v>
      </x:c>
      <x:c r="L952" s="36" t="str">
        <x:v>Damit er bestimmten Personen gebietet, keine fremden Lehren zu verbreiten und sich nicht in endlosen Spekulationen zu verlieren.</x:v>
      </x:c>
      <x:c r="M952" s="36" t="str">
        <x:v>1. Timotheus 1,3–4</x:v>
      </x:c>
      <x:c r="N952" s="36" t="str">
        <x:v>Timotheus soll Lehre schützen. Paulus stellt spekulative Streitfragen dem Glauben fördernden Auftrag Gottes gegenüber.</x:v>
      </x:c>
      <x:c r="O952" s="36" t="str">
        <x:v>FREIGEGEBEN</x:v>
      </x:c>
      <x:c r="P952" s="36" t="str">
        <x:v>FREIGEGEBEN</x:v>
      </x:c>
      <x:c r="Q952" s="36" t="str">
        <x:v>JA</x:v>
      </x:c>
    </x:row>
    <x:row r="953">
      <x:c r="A953" s="36" t="str">
        <x:v>FP-1212</x:v>
      </x:c>
      <x:c r="B953" s="36" t="str">
        <x:v>1TI</x:v>
      </x:c>
      <x:c r="C953" s="36" t="str">
        <x:v>1. Timotheus</x:v>
      </x:c>
      <x:c r="D953" s="36" t="n">
        <x:v>1</x:v>
      </x:c>
      <x:c r="E953" s="36" t="n">
        <x:v>2</x:v>
      </x:c>
      <x:c r="F953" s="36" t="str">
        <x:v>Was ist nach 1. Timotheus 1 das Ziel der Unterweisung?</x:v>
      </x:c>
      <x:c r="G953" s="36" t="str">
        <x:v>Liebe aus reinem Herzen, gutem Gewissen und ungeheucheltem Glauben.</x:v>
      </x:c>
      <x:c r="H953" s="36" t="str">
        <x:v>Möglichst viele komplizierte Streitfragen.</x:v>
      </x:c>
      <x:c r="I953" s="36" t="str">
        <x:v>Persönlicher Ruhm für die Lehrenden.</x:v>
      </x:c>
      <x:c r="J953" s="36" t="str">
        <x:v>Eine möglichst strenge Außendarstellung.</x:v>
      </x:c>
      <x:c r="K953" s="36" t="n">
        <x:v>0</x:v>
      </x:c>
      <x:c r="L953" s="36" t="str">
        <x:v>Liebe aus reinem Herzen, gutem Gewissen und ungeheucheltem Glauben.</x:v>
      </x:c>
      <x:c r="M953" s="36" t="str">
        <x:v>1. Timotheus 1,5</x:v>
      </x:c>
      <x:c r="N953" s="36" t="str">
        <x:v>Gesunde Lehre zielt für Paulus nicht auf bloßes Rechthaben, sondern auf Liebe, ein gutes Gewissen und echten Glauben.</x:v>
      </x:c>
      <x:c r="O953" s="36" t="str">
        <x:v>FREIGEGEBEN</x:v>
      </x:c>
      <x:c r="P953" s="36" t="str">
        <x:v>FREIGEGEBEN</x:v>
      </x:c>
      <x:c r="Q953" s="36" t="str">
        <x:v>JA</x:v>
      </x:c>
    </x:row>
    <x:row r="954">
      <x:c r="A954" s="36" t="str">
        <x:v>FP-1213</x:v>
      </x:c>
      <x:c r="B954" s="36" t="str">
        <x:v>1TI</x:v>
      </x:c>
      <x:c r="C954" s="36" t="str">
        <x:v>1. Timotheus</x:v>
      </x:c>
      <x:c r="D954" s="36" t="n">
        <x:v>1</x:v>
      </x:c>
      <x:c r="E954" s="36" t="n">
        <x:v>3</x:v>
      </x:c>
      <x:c r="F954" s="36" t="str">
        <x:v>Wie bewertet Paulus das Gesetz?</x:v>
      </x:c>
      <x:c r="G954" s="36" t="str">
        <x:v>Es ist grundsätzlich böse.</x:v>
      </x:c>
      <x:c r="H954" s="36" t="str">
        <x:v>Es ist gut, wenn es recht gebraucht wird und im Einklang mit der gesunden Lehre steht.</x:v>
      </x:c>
      <x:c r="I954" s="36" t="str">
        <x:v>Es darf nur von Aposteln gelesen werden.</x:v>
      </x:c>
      <x:c r="J954" s="36" t="str">
        <x:v>Es ersetzt das Evangelium.</x:v>
      </x:c>
      <x:c r="K954" s="36" t="n">
        <x:v>1</x:v>
      </x:c>
      <x:c r="L954" s="36" t="str">
        <x:v>Es ist gut, wenn es recht gebraucht wird und im Einklang mit der gesunden Lehre steht.</x:v>
      </x:c>
      <x:c r="M954" s="36" t="str">
        <x:v>1. Timotheus 1,8–11</x:v>
      </x:c>
      <x:c r="N954" s="36" t="str">
        <x:v>Paulus verwirft das Gesetz nicht, sondern unterscheidet zwischen richtigem und falschem Gebrauch.</x:v>
      </x:c>
      <x:c r="O954" s="36" t="str">
        <x:v>FREIGEGEBEN</x:v>
      </x:c>
      <x:c r="P954" s="36" t="str">
        <x:v>FREIGEGEBEN</x:v>
      </x:c>
      <x:c r="Q954" s="36" t="str">
        <x:v>JA</x:v>
      </x:c>
    </x:row>
    <x:row r="955">
      <x:c r="A955" s="36" t="str">
        <x:v>FP-1214</x:v>
      </x:c>
      <x:c r="B955" s="36" t="str">
        <x:v>1TI</x:v>
      </x:c>
      <x:c r="C955" s="36" t="str">
        <x:v>1. Timotheus</x:v>
      </x:c>
      <x:c r="D955" s="36" t="n">
        <x:v>1</x:v>
      </x:c>
      <x:c r="E955" s="36" t="n">
        <x:v>4</x:v>
      </x:c>
      <x:c r="F955" s="36" t="str">
        <x:v>Warum nennt Paulus seine eigene Geschichte als Beispiel für Barmherzigkeit?</x:v>
      </x:c>
      <x:c r="G955" s="36" t="str">
        <x:v>Weil Paulus nie schwer gesündigt hatte.</x:v>
      </x:c>
      <x:c r="H955" s="36" t="str">
        <x:v>Weil seine frühere Verfolgung der Gemeinde gerecht gewesen sei.</x:v>
      </x:c>
      <x:c r="I955" s="36" t="str">
        <x:v>Weil Christus an einem früheren Lästerer und Verfolger seine große Geduld zeigen konnte.</x:v>
      </x:c>
      <x:c r="J955" s="36" t="str">
        <x:v>Weil Barmherzigkeit nur Aposteln gilt.</x:v>
      </x:c>
      <x:c r="K955" s="36" t="n">
        <x:v>2</x:v>
      </x:c>
      <x:c r="L955" s="36" t="str">
        <x:v>Weil Christus an einem früheren Lästerer und Verfolger seine große Geduld zeigen konnte.</x:v>
      </x:c>
      <x:c r="M955" s="36" t="str">
        <x:v>1. Timotheus 1,12–16</x:v>
      </x:c>
      <x:c r="N955" s="36" t="str">
        <x:v>Paulus stellt seine Vergangenheit und Christi Barmherzigkeit nebeneinander. Seine Geschichte soll anderen Glaubenden Hoffnung machen.</x:v>
      </x:c>
      <x:c r="O955" s="36" t="str">
        <x:v>FREIGEGEBEN</x:v>
      </x:c>
      <x:c r="P955" s="36" t="str">
        <x:v>FREIGEGEBEN</x:v>
      </x:c>
      <x:c r="Q955" s="36" t="str">
        <x:v>JA</x:v>
      </x:c>
    </x:row>
    <x:row r="956">
      <x:c r="A956" s="36" t="str">
        <x:v>FP-1215</x:v>
      </x:c>
      <x:c r="B956" s="36" t="str">
        <x:v>1TI</x:v>
      </x:c>
      <x:c r="C956" s="36" t="str">
        <x:v>1. Timotheus</x:v>
      </x:c>
      <x:c r="D956" s="36" t="n">
        <x:v>1</x:v>
      </x:c>
      <x:c r="E956" s="36" t="n">
        <x:v>5</x:v>
      </x:c>
      <x:c r="F956" s="36" t="str">
        <x:v>Was soll Timotheus bewahren, während er den 'guten Kampf' führt?</x:v>
      </x:c>
      <x:c r="G956" s="36" t="str">
        <x:v>Nur seinen öffentlichen Ruf.</x:v>
      </x:c>
      <x:c r="H956" s="36" t="str">
        <x:v>Seine Unabhängigkeit von jeder Gemeinde.</x:v>
      </x:c>
      <x:c r="I956" s="36" t="str">
        <x:v>Die Zustimmung aller Menschen.</x:v>
      </x:c>
      <x:c r="J956" s="36" t="str">
        <x:v>Den Glauben und ein gutes Gewissen.</x:v>
      </x:c>
      <x:c r="K956" s="36" t="n">
        <x:v>3</x:v>
      </x:c>
      <x:c r="L956" s="36" t="str">
        <x:v>Den Glauben und ein gutes Gewissen.</x:v>
      </x:c>
      <x:c r="M956" s="36" t="str">
        <x:v>1. Timotheus 1,18–20</x:v>
      </x:c>
      <x:c r="N956" s="36" t="str">
        <x:v>Paulus verbindet geistliche Standfestigkeit mit Glauben und Gewissen und warnt vor dem Schiffbruch des Glaubens.</x:v>
      </x:c>
      <x:c r="O956" s="36" t="str">
        <x:v>FREIGEGEBEN</x:v>
      </x:c>
      <x:c r="P956" s="36" t="str">
        <x:v>FREIGEGEBEN</x:v>
      </x:c>
      <x:c r="Q956" s="36" t="str">
        <x:v>JA</x:v>
      </x:c>
    </x:row>
    <x:row r="957">
      <x:c r="A957" s="36" t="str">
        <x:v>FP-1216</x:v>
      </x:c>
      <x:c r="B957" s="36" t="str">
        <x:v>1TI</x:v>
      </x:c>
      <x:c r="C957" s="36" t="str">
        <x:v>1. Timotheus</x:v>
      </x:c>
      <x:c r="D957" s="36" t="n">
        <x:v>2</x:v>
      </x:c>
      <x:c r="E957" s="36" t="n">
        <x:v>1</x:v>
      </x:c>
      <x:c r="F957" s="36" t="str">
        <x:v>Für wen sollen nach 1. Timotheus 2 Bitten, Gebete, Fürbitten und Danksagungen dargebracht werden?</x:v>
      </x:c>
      <x:c r="G957" s="36" t="str">
        <x:v>Für alle Menschen, ausdrücklich auch für Könige und andere Verantwortungsträger.</x:v>
      </x:c>
      <x:c r="H957" s="36" t="str">
        <x:v>Nur für Gemeindeleiter.</x:v>
      </x:c>
      <x:c r="I957" s="36" t="str">
        <x:v>Nur für Menschen, die bereits glauben.</x:v>
      </x:c>
      <x:c r="J957" s="36" t="str">
        <x:v>Ausschließlich für die eigene Familie.</x:v>
      </x:c>
      <x:c r="K957" s="36" t="n">
        <x:v>0</x:v>
      </x:c>
      <x:c r="L957" s="36" t="str">
        <x:v>Für alle Menschen, ausdrücklich auch für Könige und andere Verantwortungsträger.</x:v>
      </x:c>
      <x:c r="M957" s="36" t="str">
        <x:v>1. Timotheus 2,1–2</x:v>
      </x:c>
      <x:c r="N957" s="36" t="str">
        <x:v>Das Gebet wird weit gefasst. Auch öffentliche Verantwortungsträger werden eingeschlossen, mit dem Ziel eines ruhigen und gottesfürchtigen Lebens.</x:v>
      </x:c>
      <x:c r="O957" s="36" t="str">
        <x:v>FREIGEGEBEN</x:v>
      </x:c>
      <x:c r="P957" s="36" t="str">
        <x:v>FREIGEGEBEN</x:v>
      </x:c>
      <x:c r="Q957" s="36" t="str">
        <x:v>JA</x:v>
      </x:c>
    </x:row>
    <x:row r="958">
      <x:c r="A958" s="36" t="str">
        <x:v>FP-1217</x:v>
      </x:c>
      <x:c r="B958" s="36" t="str">
        <x:v>1TI</x:v>
      </x:c>
      <x:c r="C958" s="36" t="str">
        <x:v>1. Timotheus</x:v>
      </x:c>
      <x:c r="D958" s="36" t="n">
        <x:v>2</x:v>
      </x:c>
      <x:c r="E958" s="36" t="n">
        <x:v>2</x:v>
      </x:c>
      <x:c r="F958" s="36" t="str">
        <x:v>Welche Aussage verbindet Paulus mit Gottes Rettungswillen?</x:v>
      </x:c>
      <x:c r="G958" s="36" t="str">
        <x:v>Jeder Mensch ist sein eigener Mittler.</x:v>
      </x:c>
      <x:c r="H958" s="36" t="str">
        <x:v>Es gibt einen Gott und einen Mittler zwischen Gott und Menschen: Christus Jesus, der sich als Lösegeld gab.</x:v>
      </x:c>
      <x:c r="I958" s="36" t="str">
        <x:v>Es gibt viele gleichrangige Mittler.</x:v>
      </x:c>
      <x:c r="J958" s="36" t="str">
        <x:v>Rettung hängt vom politischen Rang ab.</x:v>
      </x:c>
      <x:c r="K958" s="36" t="n">
        <x:v>1</x:v>
      </x:c>
      <x:c r="L958" s="36" t="str">
        <x:v>Es gibt einen Gott und einen Mittler zwischen Gott und Menschen: Christus Jesus, der sich als Lösegeld gab.</x:v>
      </x:c>
      <x:c r="M958" s="36" t="str">
        <x:v>1. Timotheus 2,3–6</x:v>
      </x:c>
      <x:c r="N958" s="36" t="str">
        <x:v>Paulus verbindet Gottes Wunsch, dass Menschen zur Erkenntnis der Wahrheit kommen, mit Christus als dem einen Mittler.</x:v>
      </x:c>
      <x:c r="O958" s="36" t="str">
        <x:v>FREIGEGEBEN</x:v>
      </x:c>
      <x:c r="P958" s="36" t="str">
        <x:v>FREIGEGEBEN</x:v>
      </x:c>
      <x:c r="Q958" s="36" t="str">
        <x:v>JA</x:v>
      </x:c>
    </x:row>
    <x:row r="959">
      <x:c r="A959" s="36" t="str">
        <x:v>FP-1218</x:v>
      </x:c>
      <x:c r="B959" s="36" t="str">
        <x:v>1TI</x:v>
      </x:c>
      <x:c r="C959" s="36" t="str">
        <x:v>1. Timotheus</x:v>
      </x:c>
      <x:c r="D959" s="36" t="n">
        <x:v>2</x:v>
      </x:c>
      <x:c r="E959" s="36" t="n">
        <x:v>3</x:v>
      </x:c>
      <x:c r="F959" s="36" t="str">
        <x:v>Welche Haltung nennt Paulus ausdrücklich für das Gebet der Männer?</x:v>
      </x:c>
      <x:c r="G959" s="36" t="str">
        <x:v>Sie sollen nur schweigend beten.</x:v>
      </x:c>
      <x:c r="H959" s="36" t="str">
        <x:v>Sie sollen zuerst alle Gegner besiegen.</x:v>
      </x:c>
      <x:c r="I959" s="36" t="str">
        <x:v>Sie sollen beten, ohne Zorn und Streit.</x:v>
      </x:c>
      <x:c r="J959" s="36" t="str">
        <x:v>Sie dürfen nur im Tempel beten.</x:v>
      </x:c>
      <x:c r="K959" s="36" t="n">
        <x:v>2</x:v>
      </x:c>
      <x:c r="L959" s="36" t="str">
        <x:v>Sie sollen beten, ohne Zorn und Streit.</x:v>
      </x:c>
      <x:c r="M959" s="36" t="str">
        <x:v>1. Timotheus 2,8</x:v>
      </x:c>
      <x:c r="N959" s="36" t="str">
        <x:v>Gebet und zwischenmenschliche Haltung werden verbunden: Zorn und Streit passen nicht zu der beschriebenen Gebetshaltung.</x:v>
      </x:c>
      <x:c r="O959" s="36" t="str">
        <x:v>FREIGEGEBEN</x:v>
      </x:c>
      <x:c r="P959" s="36" t="str">
        <x:v>FREIGEGEBEN</x:v>
      </x:c>
      <x:c r="Q959" s="36" t="str">
        <x:v>JA</x:v>
      </x:c>
    </x:row>
    <x:row r="960">
      <x:c r="A960" s="36" t="str">
        <x:v>FP-1219</x:v>
      </x:c>
      <x:c r="B960" s="36" t="str">
        <x:v>1TI</x:v>
      </x:c>
      <x:c r="C960" s="36" t="str">
        <x:v>1. Timotheus</x:v>
      </x:c>
      <x:c r="D960" s="36" t="n">
        <x:v>2</x:v>
      </x:c>
      <x:c r="E960" s="36" t="n">
        <x:v>4</x:v>
      </x:c>
      <x:c r="F960" s="36" t="str">
        <x:v>Womit soll sich gelebte Gottesfurcht nach Paulus besonders zeigen?</x:v>
      </x:c>
      <x:c r="G960" s="36" t="str">
        <x:v>Vor allem mit kostspieliger Kleidung.</x:v>
      </x:c>
      <x:c r="H960" s="36" t="str">
        <x:v>Mit möglichst auffälligem Schmuck.</x:v>
      </x:c>
      <x:c r="I960" s="36" t="str">
        <x:v>Durch gesellschaftliche Stellung.</x:v>
      </x:c>
      <x:c r="J960" s="36" t="str">
        <x:v>Mit guten Werken statt durch demonstrativen Luxus.</x:v>
      </x:c>
      <x:c r="K960" s="36" t="n">
        <x:v>3</x:v>
      </x:c>
      <x:c r="L960" s="36" t="str">
        <x:v>Mit guten Werken statt durch demonstrativen Luxus.</x:v>
      </x:c>
      <x:c r="M960" s="36" t="str">
        <x:v>1. Timotheus 2,9–10</x:v>
      </x:c>
      <x:c r="N960" s="36" t="str">
        <x:v>Der Kontrast des Abschnitts liegt zwischen äußerer Selbstdarstellung und einem Leben, das Gottesfurcht durch gute Werke sichtbar macht.</x:v>
      </x:c>
      <x:c r="O960" s="36" t="str">
        <x:v>FREIGEGEBEN</x:v>
      </x:c>
      <x:c r="P960" s="36" t="str">
        <x:v>FREIGEGEBEN</x:v>
      </x:c>
      <x:c r="Q960" s="36" t="str">
        <x:v>JA</x:v>
      </x:c>
    </x:row>
    <x:row r="961">
      <x:c r="A961" s="36" t="str">
        <x:v>FP-1220</x:v>
      </x:c>
      <x:c r="B961" s="36" t="str">
        <x:v>1TI</x:v>
      </x:c>
      <x:c r="C961" s="36" t="str">
        <x:v>1. Timotheus</x:v>
      </x:c>
      <x:c r="D961" s="36" t="n">
        <x:v>2</x:v>
      </x:c>
      <x:c r="E961" s="36" t="n">
        <x:v>5</x:v>
      </x:c>
      <x:c r="F961" s="36" t="str">
        <x:v>Welche Eigenschaften nennt der Schluss des Kapitels zusammen mit der Aussage über das Kindergebären?</x:v>
      </x:c>
      <x:c r="G961" s="36" t="str">
        <x:v>Glaube, Liebe, Heiligkeit und Selbstbeherrschung.</x:v>
      </x:c>
      <x:c r="H961" s="36" t="str">
        <x:v>Macht, Reichtum, Einfluss und Ruhm.</x:v>
      </x:c>
      <x:c r="I961" s="36" t="str">
        <x:v>Fasten, Pilgern, Schweigen und Armut.</x:v>
      </x:c>
      <x:c r="J961" s="36" t="str">
        <x:v>Wissen, Herkunft, Amt und Alter.</x:v>
      </x:c>
      <x:c r="K961" s="36" t="n">
        <x:v>0</x:v>
      </x:c>
      <x:c r="L961" s="36" t="str">
        <x:v>Glaube, Liebe, Heiligkeit und Selbstbeherrschung.</x:v>
      </x:c>
      <x:c r="M961" s="36" t="str">
        <x:v>1. Timotheus 2,15</x:v>
      </x:c>
      <x:c r="N961" s="36" t="str">
        <x:v>Unabhängig von weitergehenden Auslegungsfragen nennt der Vers ausdrücklich das Bleiben in Glauben, Liebe, Heiligkeit und Selbstbeherrschung.</x:v>
      </x:c>
      <x:c r="O961" s="36" t="str">
        <x:v>FREIGEGEBEN</x:v>
      </x:c>
      <x:c r="P961" s="36" t="str">
        <x:v>FREIGEGEBEN</x:v>
      </x:c>
      <x:c r="Q961" s="36" t="str">
        <x:v>JA</x:v>
      </x:c>
    </x:row>
    <x:row r="962">
      <x:c r="A962" s="36" t="str">
        <x:v>FP-1221</x:v>
      </x:c>
      <x:c r="B962" s="36" t="str">
        <x:v>1TI</x:v>
      </x:c>
      <x:c r="C962" s="36" t="str">
        <x:v>1. Timotheus</x:v>
      </x:c>
      <x:c r="D962" s="36" t="n">
        <x:v>3</x:v>
      </x:c>
      <x:c r="E962" s="36" t="n">
        <x:v>1</x:v>
      </x:c>
      <x:c r="F962" s="36" t="str">
        <x:v>Wie bewertet Paulus den Wunsch, Verantwortung als Aufseher zu übernehmen?</x:v>
      </x:c>
      <x:c r="G962" s="36" t="str">
        <x:v>Als grundsätzlich falschen Ehrgeiz.</x:v>
      </x:c>
      <x:c r="H962" s="36" t="str">
        <x:v>Als Wunsch nach einer guten beziehungsweise edlen Aufgabe.</x:v>
      </x:c>
      <x:c r="I962" s="36" t="str">
        <x:v>Als Aufgabe, die niemand anstreben darf.</x:v>
      </x:c>
      <x:c r="J962" s="36" t="str">
        <x:v>Als rein politische Funktion.</x:v>
      </x:c>
      <x:c r="K962" s="36" t="n">
        <x:v>1</x:v>
      </x:c>
      <x:c r="L962" s="36" t="str">
        <x:v>Als Wunsch nach einer guten beziehungsweise edlen Aufgabe.</x:v>
      </x:c>
      <x:c r="M962" s="36" t="str">
        <x:v>1. Timotheus 3,1</x:v>
      </x:c>
      <x:c r="N962" s="36" t="str">
        <x:v>Der Dienst wird positiv bewertet, unmittelbar danach aber an einen anspruchsvollen Charaktermaßstab gebunden.</x:v>
      </x:c>
      <x:c r="O962" s="36" t="str">
        <x:v>FREIGEGEBEN</x:v>
      </x:c>
      <x:c r="P962" s="36" t="str">
        <x:v>FREIGEGEBEN</x:v>
      </x:c>
      <x:c r="Q962" s="36" t="str">
        <x:v>JA</x:v>
      </x:c>
    </x:row>
    <x:row r="963">
      <x:c r="A963" s="36" t="str">
        <x:v>FP-1222</x:v>
      </x:c>
      <x:c r="B963" s="36" t="str">
        <x:v>1TI</x:v>
      </x:c>
      <x:c r="C963" s="36" t="str">
        <x:v>1. Timotheus</x:v>
      </x:c>
      <x:c r="D963" s="36" t="n">
        <x:v>3</x:v>
      </x:c>
      <x:c r="E963" s="36" t="n">
        <x:v>2</x:v>
      </x:c>
      <x:c r="F963" s="36" t="str">
        <x:v>Welche Gruppe von Eigenschaften passt zu den Anforderungen an einen Aufseher?</x:v>
      </x:c>
      <x:c r="G963" s="36" t="str">
        <x:v>Jähzornig, streitsüchtig und auf Gewinn bedacht.</x:v>
      </x:c>
      <x:c r="H963" s="36" t="str">
        <x:v>Unbekannt außerhalb der Gemeinde und unerfahren im Glauben.</x:v>
      </x:c>
      <x:c r="I963" s="36" t="str">
        <x:v>Besonnen, gastfreundlich, lehrfähig, nicht gewalttätig und nicht geldgierig.</x:v>
      </x:c>
      <x:c r="J963" s="36" t="str">
        <x:v>Möglichst mächtig, reich und gesellschaftlich einflussreich.</x:v>
      </x:c>
      <x:c r="K963" s="36" t="n">
        <x:v>2</x:v>
      </x:c>
      <x:c r="L963" s="36" t="str">
        <x:v>Besonnen, gastfreundlich, lehrfähig, nicht gewalttätig und nicht geldgierig.</x:v>
      </x:c>
      <x:c r="M963" s="36" t="str">
        <x:v>1. Timotheus 3,2–7</x:v>
      </x:c>
      <x:c r="N963" s="36" t="str">
        <x:v>Die Kriterien betonen Charakter, Selbstbeherrschung, Beziehungsfähigkeit, Lehre und einen guten Ruf.</x:v>
      </x:c>
      <x:c r="O963" s="36" t="str">
        <x:v>FREIGEGEBEN</x:v>
      </x:c>
      <x:c r="P963" s="36" t="str">
        <x:v>FREIGEGEBEN</x:v>
      </x:c>
      <x:c r="Q963" s="36" t="str">
        <x:v>JA</x:v>
      </x:c>
    </x:row>
    <x:row r="964">
      <x:c r="A964" s="36" t="str">
        <x:v>FP-1223</x:v>
      </x:c>
      <x:c r="B964" s="36" t="str">
        <x:v>1TI</x:v>
      </x:c>
      <x:c r="C964" s="36" t="str">
        <x:v>1. Timotheus</x:v>
      </x:c>
      <x:c r="D964" s="36" t="n">
        <x:v>3</x:v>
      </x:c>
      <x:c r="E964" s="36" t="n">
        <x:v>3</x:v>
      </x:c>
      <x:c r="F964" s="36" t="str">
        <x:v>Warum spielt der Umgang mit dem eigenen Haushalt bei Gemeindeleitung eine Rolle?</x:v>
      </x:c>
      <x:c r="G964" s="36" t="str">
        <x:v>Weil nur große Familien leiten dürfen.</x:v>
      </x:c>
      <x:c r="H964" s="36" t="str">
        <x:v>Weil Gemeindeleitung ausschließlich Familienverwaltung ist.</x:v>
      </x:c>
      <x:c r="I964" s="36" t="str">
        <x:v>Weil kinderlose Menschen grundsätzlich vom Glauben ausgeschlossen sind.</x:v>
      </x:c>
      <x:c r="J964" s="36" t="str">
        <x:v>Weil Paulus fragt, wie jemand für Gottes Gemeinde sorgen soll, wenn er den eigenen Haushalt nicht gut führen kann.</x:v>
      </x:c>
      <x:c r="K964" s="36" t="n">
        <x:v>3</x:v>
      </x:c>
      <x:c r="L964" s="36" t="str">
        <x:v>Weil Paulus fragt, wie jemand für Gottes Gemeinde sorgen soll, wenn er den eigenen Haushalt nicht gut führen kann.</x:v>
      </x:c>
      <x:c r="M964" s="36" t="str">
        <x:v>1. Timotheus 3,4–5</x:v>
      </x:c>
      <x:c r="N964" s="36" t="str">
        <x:v>Paulus verwendet den Haushalt als Prüfstein für verantwortliche Fürsorge und Leitung.</x:v>
      </x:c>
      <x:c r="O964" s="36" t="str">
        <x:v>FREIGEGEBEN</x:v>
      </x:c>
      <x:c r="P964" s="36" t="str">
        <x:v>FREIGEGEBEN</x:v>
      </x:c>
      <x:c r="Q964" s="36" t="str">
        <x:v>JA</x:v>
      </x:c>
    </x:row>
    <x:row r="965">
      <x:c r="A965" s="36" t="str">
        <x:v>FP-1224</x:v>
      </x:c>
      <x:c r="B965" s="36" t="str">
        <x:v>1TI</x:v>
      </x:c>
      <x:c r="C965" s="36" t="str">
        <x:v>1. Timotheus</x:v>
      </x:c>
      <x:c r="D965" s="36" t="n">
        <x:v>3</x:v>
      </x:c>
      <x:c r="E965" s="36" t="n">
        <x:v>4</x:v>
      </x:c>
      <x:c r="F965" s="36" t="str">
        <x:v>Welche Aussage gehört zu den Anforderungen an Diakone beziehungsweise Dienende?</x:v>
      </x:c>
      <x:c r="G965" s="36" t="str">
        <x:v>Sie sollen geprüft werden und den Glauben mit reinem Gewissen bewahren.</x:v>
      </x:c>
      <x:c r="H965" s="36" t="str">
        <x:v>Sie brauchen keine charakterliche Prüfung.</x:v>
      </x:c>
      <x:c r="I965" s="36" t="str">
        <x:v>Sie dürfen unehrlichen Gewinn suchen.</x:v>
      </x:c>
      <x:c r="J965" s="36" t="str">
        <x:v>Ihre Lehre und ihr Lebensstil spielen keine Rolle.</x:v>
      </x:c>
      <x:c r="K965" s="36" t="n">
        <x:v>0</x:v>
      </x:c>
      <x:c r="L965" s="36" t="str">
        <x:v>Sie sollen geprüft werden und den Glauben mit reinem Gewissen bewahren.</x:v>
      </x:c>
      <x:c r="M965" s="36" t="str">
        <x:v>1. Timotheus 3,8–13</x:v>
      </x:c>
      <x:c r="N965" s="36" t="str">
        <x:v>Auch für diesen Dienst nennt Paulus überprüfbaren Charakter und ein glaubwürdiges Verhältnis zum Glauben.</x:v>
      </x:c>
      <x:c r="O965" s="36" t="str">
        <x:v>FREIGEGEBEN</x:v>
      </x:c>
      <x:c r="P965" s="36" t="str">
        <x:v>FREIGEGEBEN</x:v>
      </x:c>
      <x:c r="Q965" s="36" t="str">
        <x:v>JA</x:v>
      </x:c>
    </x:row>
    <x:row r="966">
      <x:c r="A966" s="36" t="str">
        <x:v>FP-1225</x:v>
      </x:c>
      <x:c r="B966" s="36" t="str">
        <x:v>1TI</x:v>
      </x:c>
      <x:c r="C966" s="36" t="str">
        <x:v>1. Timotheus</x:v>
      </x:c>
      <x:c r="D966" s="36" t="n">
        <x:v>3</x:v>
      </x:c>
      <x:c r="E966" s="36" t="n">
        <x:v>5</x:v>
      </x:c>
      <x:c r="F966" s="36" t="str">
        <x:v>Wie beschreibt Paulus die Gemeinde in 1. Timotheus 3?</x:v>
      </x:c>
      <x:c r="G966" s="36" t="str">
        <x:v>Als rein private Interessengruppe.</x:v>
      </x:c>
      <x:c r="H966" s="36" t="str">
        <x:v>Als Haus des lebendigen Gottes sowie Säule und Stütze der Wahrheit.</x:v>
      </x:c>
      <x:c r="I966" s="36" t="str">
        <x:v>Als politische Behörde.</x:v>
      </x:c>
      <x:c r="J966" s="36" t="str">
        <x:v>Als Gemeinschaft ohne Bezug zur Wahrheit.</x:v>
      </x:c>
      <x:c r="K966" s="36" t="n">
        <x:v>1</x:v>
      </x:c>
      <x:c r="L966" s="36" t="str">
        <x:v>Als Haus des lebendigen Gottes sowie Säule und Stütze der Wahrheit.</x:v>
      </x:c>
      <x:c r="M966" s="36" t="str">
        <x:v>1. Timotheus 3,14–16</x:v>
      </x:c>
      <x:c r="N966" s="36" t="str">
        <x:v>Paulus erklärt, warum seine Anweisungen wichtig sind: Es geht um angemessenes Verhalten in Gottes Haus, der Gemeinde.</x:v>
      </x:c>
      <x:c r="O966" s="36" t="str">
        <x:v>FREIGEGEBEN</x:v>
      </x:c>
      <x:c r="P966" s="36" t="str">
        <x:v>FREIGEGEBEN</x:v>
      </x:c>
      <x:c r="Q966" s="36" t="str">
        <x:v>JA</x:v>
      </x:c>
    </x:row>
    <x:row r="967">
      <x:c r="A967" s="36" t="str">
        <x:v>FP-1226</x:v>
      </x:c>
      <x:c r="B967" s="36" t="str">
        <x:v>1TI</x:v>
      </x:c>
      <x:c r="C967" s="36" t="str">
        <x:v>1. Timotheus</x:v>
      </x:c>
      <x:c r="D967" s="36" t="n">
        <x:v>4</x:v>
      </x:c>
      <x:c r="E967" s="36" t="n">
        <x:v>1</x:v>
      </x:c>
      <x:c r="F967" s="36" t="str">
        <x:v>Welche Art falscher Lehre nennt Paulus als Beispiel für spätere Abkehr vom Glauben?</x:v>
      </x:c>
      <x:c r="G967" s="36" t="str">
        <x:v>Die Ermutigung zu Dankbarkeit.</x:v>
      </x:c>
      <x:c r="H967" s="36" t="str">
        <x:v>Die öffentliche Lesung der Schrift.</x:v>
      </x:c>
      <x:c r="I967" s="36" t="str">
        <x:v>Das Verbieten von Ehe und bestimmten von Gott geschaffenen Speisen.</x:v>
      </x:c>
      <x:c r="J967" s="36" t="str">
        <x:v>Das Streben nach einem vorbildlichen Leben.</x:v>
      </x:c>
      <x:c r="K967" s="36" t="n">
        <x:v>2</x:v>
      </x:c>
      <x:c r="L967" s="36" t="str">
        <x:v>Das Verbieten von Ehe und bestimmten von Gott geschaffenen Speisen.</x:v>
      </x:c>
      <x:c r="M967" s="36" t="str">
        <x:v>1. Timotheus 4,1–3</x:v>
      </x:c>
      <x:c r="N967" s="36" t="str">
        <x:v>Der Text nennt asketische Verbote als konkrete Beispiele für irreführende Lehre.</x:v>
      </x:c>
      <x:c r="O967" s="36" t="str">
        <x:v>FREIGEGEBEN</x:v>
      </x:c>
      <x:c r="P967" s="36" t="str">
        <x:v>FREIGEGEBEN</x:v>
      </x:c>
      <x:c r="Q967" s="36" t="str">
        <x:v>JA</x:v>
      </x:c>
    </x:row>
    <x:row r="968">
      <x:c r="A968" s="36" t="str">
        <x:v>FP-1227</x:v>
      </x:c>
      <x:c r="B968" s="36" t="str">
        <x:v>1TI</x:v>
      </x:c>
      <x:c r="C968" s="36" t="str">
        <x:v>1. Timotheus</x:v>
      </x:c>
      <x:c r="D968" s="36" t="n">
        <x:v>4</x:v>
      </x:c>
      <x:c r="E968" s="36" t="n">
        <x:v>2</x:v>
      </x:c>
      <x:c r="F968" s="36" t="str">
        <x:v>Warum sollen von Gott geschaffene Speisen nicht pauschal verworfen werden?</x:v>
      </x:c>
      <x:c r="G968" s="36" t="str">
        <x:v>Weil Ernährung keinerlei moralische Bedeutung haben kann.</x:v>
      </x:c>
      <x:c r="H968" s="36" t="str">
        <x:v>Weil Dankbarkeit nur für besondere Speisen gilt.</x:v>
      </x:c>
      <x:c r="I968" s="36" t="str">
        <x:v>Weil Gebet Speisen erst zu Gottes Schöpfung macht.</x:v>
      </x:c>
      <x:c r="J968" s="36" t="str">
        <x:v>Weil Gottes Schöpfung gut ist und mit Dankbarkeit empfangen werden kann.</x:v>
      </x:c>
      <x:c r="K968" s="36" t="n">
        <x:v>3</x:v>
      </x:c>
      <x:c r="L968" s="36" t="str">
        <x:v>Weil Gottes Schöpfung gut ist und mit Dankbarkeit empfangen werden kann.</x:v>
      </x:c>
      <x:c r="M968" s="36" t="str">
        <x:v>1. Timotheus 4,3–5</x:v>
      </x:c>
      <x:c r="N968" s="36" t="str">
        <x:v>Paulus verbindet Schöpfung, Dankbarkeit, Gottes Wort und Gebet und widerspricht damit pauschalen Verboten.</x:v>
      </x:c>
      <x:c r="O968" s="36" t="str">
        <x:v>FREIGEGEBEN</x:v>
      </x:c>
      <x:c r="P968" s="36" t="str">
        <x:v>FREIGEGEBEN</x:v>
      </x:c>
      <x:c r="Q968" s="36" t="str">
        <x:v>JA</x:v>
      </x:c>
    </x:row>
    <x:row r="969">
      <x:c r="A969" s="36" t="str">
        <x:v>FP-1228</x:v>
      </x:c>
      <x:c r="B969" s="36" t="str">
        <x:v>1TI</x:v>
      </x:c>
      <x:c r="C969" s="36" t="str">
        <x:v>1. Timotheus</x:v>
      </x:c>
      <x:c r="D969" s="36" t="n">
        <x:v>4</x:v>
      </x:c>
      <x:c r="E969" s="36" t="n">
        <x:v>3</x:v>
      </x:c>
      <x:c r="F969" s="36" t="str">
        <x:v>Worin soll Timotheus sich besonders 'üben'?</x:v>
      </x:c>
      <x:c r="G969" s="36" t="str">
        <x:v>In Gottesfurcht beziehungsweise einem gottesfürchtigen Leben.</x:v>
      </x:c>
      <x:c r="H969" s="36" t="str">
        <x:v>Im Sammeln religiöser Mythen.</x:v>
      </x:c>
      <x:c r="I969" s="36" t="str">
        <x:v>Im Vermeiden jeder körperlichen Bewegung.</x:v>
      </x:c>
      <x:c r="J969" s="36" t="str">
        <x:v>Im Gewinnen theologischer Wortkämpfe.</x:v>
      </x:c>
      <x:c r="K969" s="36" t="n">
        <x:v>0</x:v>
      </x:c>
      <x:c r="L969" s="36" t="str">
        <x:v>In Gottesfurcht beziehungsweise einem gottesfürchtigen Leben.</x:v>
      </x:c>
      <x:c r="M969" s="36" t="str">
        <x:v>1. Timotheus 4,7–10</x:v>
      </x:c>
      <x:c r="N969" s="36" t="str">
        <x:v>Paulus nutzt das Bild des Trainings. Körperliches Training hat einen begrenzten Wert, Gottesfurcht dagegen Bedeutung für Gegenwart und Zukunft.</x:v>
      </x:c>
      <x:c r="O969" s="36" t="str">
        <x:v>FREIGEGEBEN</x:v>
      </x:c>
      <x:c r="P969" s="36" t="str">
        <x:v>FREIGEGEBEN</x:v>
      </x:c>
      <x:c r="Q969" s="36" t="str">
        <x:v>JA</x:v>
      </x:c>
    </x:row>
    <x:row r="970">
      <x:c r="A970" s="36" t="str">
        <x:v>FP-1229</x:v>
      </x:c>
      <x:c r="B970" s="36" t="str">
        <x:v>1TI</x:v>
      </x:c>
      <x:c r="C970" s="36" t="str">
        <x:v>1. Timotheus</x:v>
      </x:c>
      <x:c r="D970" s="36" t="n">
        <x:v>4</x:v>
      </x:c>
      <x:c r="E970" s="36" t="n">
        <x:v>4</x:v>
      </x:c>
      <x:c r="F970" s="36" t="str">
        <x:v>Wie soll Timotheus darauf reagieren, dass andere auf seine Jugend herabsehen könnten?</x:v>
      </x:c>
      <x:c r="G970" s="36" t="str">
        <x:v>Er soll sein Alter verbergen.</x:v>
      </x:c>
      <x:c r="H970" s="36" t="str">
        <x:v>Er soll den Glaubenden in Rede, Verhalten, Liebe, Glauben und Reinheit ein Vorbild sein.</x:v>
      </x:c>
      <x:c r="I970" s="36" t="str">
        <x:v>Er soll ältere Menschen grundsätzlich meiden.</x:v>
      </x:c>
      <x:c r="J970" s="36" t="str">
        <x:v>Er soll Autorität durch Härte erzwingen.</x:v>
      </x:c>
      <x:c r="K970" s="36" t="n">
        <x:v>1</x:v>
      </x:c>
      <x:c r="L970" s="36" t="str">
        <x:v>Er soll den Glaubenden in Rede, Verhalten, Liebe, Glauben und Reinheit ein Vorbild sein.</x:v>
      </x:c>
      <x:c r="M970" s="36" t="str">
        <x:v>1. Timotheus 4,11–12</x:v>
      </x:c>
      <x:c r="N970" s="36" t="str">
        <x:v>Paulus beantwortet mögliche Geringschätzung nicht mit Selbstdarstellung, sondern mit einem glaubwürdigen Vorbild.</x:v>
      </x:c>
      <x:c r="O970" s="36" t="str">
        <x:v>FREIGEGEBEN</x:v>
      </x:c>
      <x:c r="P970" s="36" t="str">
        <x:v>FREIGEGEBEN</x:v>
      </x:c>
      <x:c r="Q970" s="36" t="str">
        <x:v>JA</x:v>
      </x:c>
    </x:row>
    <x:row r="971">
      <x:c r="A971" s="36" t="str">
        <x:v>FP-1230</x:v>
      </x:c>
      <x:c r="B971" s="36" t="str">
        <x:v>1TI</x:v>
      </x:c>
      <x:c r="C971" s="36" t="str">
        <x:v>1. Timotheus</x:v>
      </x:c>
      <x:c r="D971" s="36" t="n">
        <x:v>4</x:v>
      </x:c>
      <x:c r="E971" s="36" t="n">
        <x:v>5</x:v>
      </x:c>
      <x:c r="F971" s="36" t="str">
        <x:v>Worauf soll Timotheus bis zu Paulus' Kommen besonders achten?</x:v>
      </x:c>
      <x:c r="G971" s="36" t="str">
        <x:v>Auf den Aufbau persönlichen Reichtums.</x:v>
      </x:c>
      <x:c r="H971" s="36" t="str">
        <x:v>Auf möglichst viele Reisen außerhalb der Gemeinde.</x:v>
      </x:c>
      <x:c r="I971" s="36" t="str">
        <x:v>Auf öffentliche Schriftlesung, Ermahnung und Lehre sowie auf sein eigenes Leben und seine Lehre.</x:v>
      </x:c>
      <x:c r="J971" s="36" t="str">
        <x:v>Auf das Vermeiden jeder Korrektur.</x:v>
      </x:c>
      <x:c r="K971" s="36" t="n">
        <x:v>2</x:v>
      </x:c>
      <x:c r="L971" s="36" t="str">
        <x:v>Auf öffentliche Schriftlesung, Ermahnung und Lehre sowie auf sein eigenes Leben und seine Lehre.</x:v>
      </x:c>
      <x:c r="M971" s="36" t="str">
        <x:v>1. Timotheus 4,13–16</x:v>
      </x:c>
      <x:c r="N971" s="36" t="str">
        <x:v>Dienst und persönliches Leben gehören zusammen. Timotheus soll seine Gabe nicht vernachlässigen und in Lehre und Lebensführung beharrlich bleiben.</x:v>
      </x:c>
      <x:c r="O971" s="36" t="str">
        <x:v>FREIGEGEBEN</x:v>
      </x:c>
      <x:c r="P971" s="36" t="str">
        <x:v>FREIGEGEBEN</x:v>
      </x:c>
      <x:c r="Q971" s="36" t="str">
        <x:v>JA</x:v>
      </x:c>
    </x:row>
    <x:row r="972">
      <x:c r="A972" s="36" t="str">
        <x:v>FP-1231</x:v>
      </x:c>
      <x:c r="B972" s="36" t="str">
        <x:v>1TI</x:v>
      </x:c>
      <x:c r="C972" s="36" t="str">
        <x:v>1. Timotheus</x:v>
      </x:c>
      <x:c r="D972" s="36" t="n">
        <x:v>5</x:v>
      </x:c>
      <x:c r="E972" s="36" t="n">
        <x:v>1</x:v>
      </x:c>
      <x:c r="F972" s="36" t="str">
        <x:v>Welches Grundbild verwendet Paulus für den respektvollen Umgang mit unterschiedlichen Altersgruppen in der Gemeinde?</x:v>
      </x:c>
      <x:c r="G972" s="36" t="str">
        <x:v>Alle Menschen wie Untergebene behandeln.</x:v>
      </x:c>
      <x:c r="H972" s="36" t="str">
        <x:v>Nur Gleichaltrige ernst nehmen.</x:v>
      </x:c>
      <x:c r="I972" s="36" t="str">
        <x:v>Ältere grundsätzlich nicht ansprechen.</x:v>
      </x:c>
      <x:c r="J972" s="36" t="str">
        <x:v>Ältere wie Vater und Mutter, Jüngere wie Brüder und Schwestern – bei den jüngeren Frauen mit aller Reinheit.</x:v>
      </x:c>
      <x:c r="K972" s="36" t="n">
        <x:v>3</x:v>
      </x:c>
      <x:c r="L972" s="36" t="str">
        <x:v>Ältere wie Vater und Mutter, Jüngere wie Brüder und Schwestern – bei den jüngeren Frauen mit aller Reinheit.</x:v>
      </x:c>
      <x:c r="M972" s="36" t="str">
        <x:v>1. Timotheus 5,1–2</x:v>
      </x:c>
      <x:c r="N972" s="36" t="str">
        <x:v>Paulus beschreibt Gemeindebeziehungen mit familiären Kategorien und verbindet Nähe mit Respekt und Reinheit.</x:v>
      </x:c>
      <x:c r="O972" s="36" t="str">
        <x:v>FREIGEGEBEN</x:v>
      </x:c>
      <x:c r="P972" s="36" t="str">
        <x:v>FREIGEGEBEN</x:v>
      </x:c>
      <x:c r="Q972" s="36" t="str">
        <x:v>JA</x:v>
      </x:c>
    </x:row>
    <x:row r="973">
      <x:c r="A973" s="36" t="str">
        <x:v>FP-1232</x:v>
      </x:c>
      <x:c r="B973" s="36" t="str">
        <x:v>1TI</x:v>
      </x:c>
      <x:c r="C973" s="36" t="str">
        <x:v>1. Timotheus</x:v>
      </x:c>
      <x:c r="D973" s="36" t="n">
        <x:v>5</x:v>
      </x:c>
      <x:c r="E973" s="36" t="n">
        <x:v>2</x:v>
      </x:c>
      <x:c r="F973" s="36" t="str">
        <x:v>Wer soll nach 1. Timotheus 5 zuerst für bedürftige Witwen aus der eigenen Familie sorgen?</x:v>
      </x:c>
      <x:c r="G973" s="36" t="str">
        <x:v>Ihre Kinder oder Enkel beziehungsweise gläubige Angehörige.</x:v>
      </x:c>
      <x:c r="H973" s="36" t="str">
        <x:v>Immer ausschließlich die Gesamtgemeinde.</x:v>
      </x:c>
      <x:c r="I973" s="36" t="str">
        <x:v>Die römische Verwaltung.</x:v>
      </x:c>
      <x:c r="J973" s="36" t="str">
        <x:v>Niemand, weil Hilfe Abhängigkeit fördert.</x:v>
      </x:c>
      <x:c r="K973" s="36" t="n">
        <x:v>0</x:v>
      </x:c>
      <x:c r="L973" s="36" t="str">
        <x:v>Ihre Kinder oder Enkel beziehungsweise gläubige Angehörige.</x:v>
      </x:c>
      <x:c r="M973" s="36" t="str">
        <x:v>1. Timotheus 5,3–8.16</x:v>
      </x:c>
      <x:c r="N973" s="36" t="str">
        <x:v>Familiäre Verantwortung soll wahrgenommen werden, damit die Gemeinde ihre Hilfe auf wirklich alleinstehende Bedürftige konzentrieren kann.</x:v>
      </x:c>
      <x:c r="O973" s="36" t="str">
        <x:v>FREIGEGEBEN</x:v>
      </x:c>
      <x:c r="P973" s="36" t="str">
        <x:v>FREIGEGEBEN</x:v>
      </x:c>
      <x:c r="Q973" s="36" t="str">
        <x:v>JA</x:v>
      </x:c>
    </x:row>
    <x:row r="974">
      <x:c r="A974" s="36" t="str">
        <x:v>FP-1233</x:v>
      </x:c>
      <x:c r="B974" s="36" t="str">
        <x:v>1TI</x:v>
      </x:c>
      <x:c r="C974" s="36" t="str">
        <x:v>1. Timotheus</x:v>
      </x:c>
      <x:c r="D974" s="36" t="n">
        <x:v>5</x:v>
      </x:c>
      <x:c r="E974" s="36" t="n">
        <x:v>3</x:v>
      </x:c>
      <x:c r="F974" s="36" t="str">
        <x:v>Wie sollen Älteste behandelt werden, die gut leiten und besonders in Wort und Lehre arbeiten?</x:v>
      </x:c>
      <x:c r="G974" s="36" t="str">
        <x:v>Sie sollen grundsätzlich ohne Unterstützung dienen.</x:v>
      </x:c>
      <x:c r="H974" s="36" t="str">
        <x:v>Sie sollen besonderer beziehungsweise doppelter Ehre würdig geachtet werden.</x:v>
      </x:c>
      <x:c r="I974" s="36" t="str">
        <x:v>Sie dürfen niemals geprüft werden.</x:v>
      </x:c>
      <x:c r="J974" s="36" t="str">
        <x:v>Sie sollen nur nach ihrem Alter beurteilt werden.</x:v>
      </x:c>
      <x:c r="K974" s="36" t="n">
        <x:v>1</x:v>
      </x:c>
      <x:c r="L974" s="36" t="str">
        <x:v>Sie sollen besonderer beziehungsweise doppelter Ehre würdig geachtet werden.</x:v>
      </x:c>
      <x:c r="M974" s="36" t="str">
        <x:v>1. Timotheus 5,17–18</x:v>
      </x:c>
      <x:c r="N974" s="36" t="str">
        <x:v>Paulus verbindet verantwortliche Leitung und Lehrarbeit mit Anerkennung und verwendet dafür Schriftbelege über angemessene Entlohnung.</x:v>
      </x:c>
      <x:c r="O974" s="36" t="str">
        <x:v>FREIGEGEBEN</x:v>
      </x:c>
      <x:c r="P974" s="36" t="str">
        <x:v>FREIGEGEBEN</x:v>
      </x:c>
      <x:c r="Q974" s="36" t="str">
        <x:v>JA</x:v>
      </x:c>
    </x:row>
    <x:row r="975">
      <x:c r="A975" s="36" t="str">
        <x:v>FP-1234</x:v>
      </x:c>
      <x:c r="B975" s="36" t="str">
        <x:v>1TI</x:v>
      </x:c>
      <x:c r="C975" s="36" t="str">
        <x:v>1. Timotheus</x:v>
      </x:c>
      <x:c r="D975" s="36" t="n">
        <x:v>5</x:v>
      </x:c>
      <x:c r="E975" s="36" t="n">
        <x:v>4</x:v>
      </x:c>
      <x:c r="F975" s="36" t="str">
        <x:v>Welche Schutzregel nennt Paulus bei einer Anklage gegen einen Ältesten?</x:v>
      </x:c>
      <x:c r="G975" s="36" t="str">
        <x:v>Jedes Gerücht reicht für eine Verurteilung.</x:v>
      </x:c>
      <x:c r="H975" s="36" t="str">
        <x:v>Älteste dürfen überhaupt nie kritisiert werden.</x:v>
      </x:c>
      <x:c r="I975" s="36" t="str">
        <x:v>Eine Anklage soll nicht ohne zwei oder drei Zeugen angenommen werden.</x:v>
      </x:c>
      <x:c r="J975" s="36" t="str">
        <x:v>Nur ein anonymer Vorwurf ist zulässig.</x:v>
      </x:c>
      <x:c r="K975" s="36" t="n">
        <x:v>2</x:v>
      </x:c>
      <x:c r="L975" s="36" t="str">
        <x:v>Eine Anklage soll nicht ohne zwei oder drei Zeugen angenommen werden.</x:v>
      </x:c>
      <x:c r="M975" s="36" t="str">
        <x:v>1. Timotheus 5,19–21</x:v>
      </x:c>
      <x:c r="N975" s="36" t="str">
        <x:v>Der Abschnitt verbindet Rechenschaft mit Schutz vor willkürlicher Beschuldigung und fordert unparteiisches Handeln.</x:v>
      </x:c>
      <x:c r="O975" s="36" t="str">
        <x:v>FREIGEGEBEN</x:v>
      </x:c>
      <x:c r="P975" s="36" t="str">
        <x:v>FREIGEGEBEN</x:v>
      </x:c>
      <x:c r="Q975" s="36" t="str">
        <x:v>JA</x:v>
      </x:c>
    </x:row>
    <x:row r="976">
      <x:c r="A976" s="36" t="str">
        <x:v>FP-1235</x:v>
      </x:c>
      <x:c r="B976" s="36" t="str">
        <x:v>1TI</x:v>
      </x:c>
      <x:c r="C976" s="36" t="str">
        <x:v>1. Timotheus</x:v>
      </x:c>
      <x:c r="D976" s="36" t="n">
        <x:v>5</x:v>
      </x:c>
      <x:c r="E976" s="36" t="n">
        <x:v>5</x:v>
      </x:c>
      <x:c r="F976" s="36" t="str">
        <x:v>Was bedeutet die Aufforderung, niemandem vorschnell die Hände aufzulegen, im Zusammenhang des Kapitels?</x:v>
      </x:c>
      <x:c r="G976" s="36" t="str">
        <x:v>Er soll grundsätzlich niemanden mehr segnen.</x:v>
      </x:c>
      <x:c r="H976" s="36" t="str">
        <x:v>Er soll jede Leitungsentscheidung spontan treffen.</x:v>
      </x:c>
      <x:c r="I976" s="36" t="str">
        <x:v>Er soll nur Menschen aus seiner Familie einsetzen.</x:v>
      </x:c>
      <x:c r="J976" s="36" t="str">
        <x:v>Timotheus soll bei Anerkennung und Verantwortung nicht übereilt handeln und sich nicht an fremder Sünde beteiligen.</x:v>
      </x:c>
      <x:c r="K976" s="36" t="n">
        <x:v>3</x:v>
      </x:c>
      <x:c r="L976" s="36" t="str">
        <x:v>Timotheus soll bei Anerkennung und Verantwortung nicht übereilt handeln und sich nicht an fremder Sünde beteiligen.</x:v>
      </x:c>
      <x:c r="M976" s="36" t="str">
        <x:v>1. Timotheus 5,21–25</x:v>
      </x:c>
      <x:c r="N976" s="36" t="str">
        <x:v>Paulus fordert sorgfältige, unparteiische Beurteilung. Manche Dinge sind sofort sichtbar, andere erst mit der Zeit.</x:v>
      </x:c>
      <x:c r="O976" s="36" t="str">
        <x:v>FREIGEGEBEN</x:v>
      </x:c>
      <x:c r="P976" s="36" t="str">
        <x:v>FREIGEGEBEN</x:v>
      </x:c>
      <x:c r="Q976" s="36" t="str">
        <x:v>JA</x:v>
      </x:c>
    </x:row>
    <x:row r="977">
      <x:c r="A977" s="36" t="str">
        <x:v>FP-1236</x:v>
      </x:c>
      <x:c r="B977" s="36" t="str">
        <x:v>1TI</x:v>
      </x:c>
      <x:c r="C977" s="36" t="str">
        <x:v>1. Timotheus</x:v>
      </x:c>
      <x:c r="D977" s="36" t="n">
        <x:v>6</x:v>
      </x:c>
      <x:c r="E977" s="36" t="n">
        <x:v>1</x:v>
      </x:c>
      <x:c r="F977" s="36" t="str">
        <x:v>Welchen Gegensatz stellt Paulus zwischen falscher Frömmigkeit und echter Genügsamkeit her?</x:v>
      </x:c>
      <x:c r="G977" s="36" t="str">
        <x:v>Manche behandeln Gottesfurcht als Mittel zum Gewinn; wirklicher Gewinn ist Gottesfurcht mit Genügsamkeit.</x:v>
      </x:c>
      <x:c r="H977" s="36" t="str">
        <x:v>Gottesfurcht ist nur dann sinnvoll, wenn sie reich macht.</x:v>
      </x:c>
      <x:c r="I977" s="36" t="str">
        <x:v>Genügsamkeit bedeutet, gute Werke zu vermeiden.</x:v>
      </x:c>
      <x:c r="J977" s="36" t="str">
        <x:v>Finanzieller Erfolg beweist immer gesunde Lehre.</x:v>
      </x:c>
      <x:c r="K977" s="36" t="n">
        <x:v>0</x:v>
      </x:c>
      <x:c r="L977" s="36" t="str">
        <x:v>Manche behandeln Gottesfurcht als Mittel zum Gewinn; wirklicher Gewinn ist Gottesfurcht mit Genügsamkeit.</x:v>
      </x:c>
      <x:c r="M977" s="36" t="str">
        <x:v>1. Timotheus 6,3–8</x:v>
      </x:c>
      <x:c r="N977" s="36" t="str">
        <x:v>Paulus kritisiert Religion als Geschäftsmodell und verbindet echten Gewinn mit Gottesfurcht und Zufriedenheit.</x:v>
      </x:c>
      <x:c r="O977" s="36" t="str">
        <x:v>FREIGEGEBEN</x:v>
      </x:c>
      <x:c r="P977" s="36" t="str">
        <x:v>FREIGEGEBEN</x:v>
      </x:c>
      <x:c r="Q977" s="36" t="str">
        <x:v>JA</x:v>
      </x:c>
    </x:row>
    <x:row r="978">
      <x:c r="A978" s="36" t="str">
        <x:v>FP-1237</x:v>
      </x:c>
      <x:c r="B978" s="36" t="str">
        <x:v>1TI</x:v>
      </x:c>
      <x:c r="C978" s="36" t="str">
        <x:v>1. Timotheus</x:v>
      </x:c>
      <x:c r="D978" s="36" t="n">
        <x:v>6</x:v>
      </x:c>
      <x:c r="E978" s="36" t="n">
        <x:v>2</x:v>
      </x:c>
      <x:c r="F978" s="36" t="str">
        <x:v>Wovor warnt Paulus Menschen, die unbedingt reich werden wollen?</x:v>
      </x:c>
      <x:c r="G978" s="36" t="str">
        <x:v>Vor jeder Form bezahlter Arbeit.</x:v>
      </x:c>
      <x:c r="H978" s="36" t="str">
        <x:v>Vor Versuchung, Fallen und schädlichen Begierden; die Liebe zum Geld kann vom Glauben wegführen.</x:v>
      </x:c>
      <x:c r="I978" s="36" t="str">
        <x:v>Vor Besitz von Nahrung und Kleidung.</x:v>
      </x:c>
      <x:c r="J978" s="36" t="str">
        <x:v>Vor Großzügigkeit gegenüber anderen.</x:v>
      </x:c>
      <x:c r="K978" s="36" t="n">
        <x:v>1</x:v>
      </x:c>
      <x:c r="L978" s="36" t="str">
        <x:v>Vor Versuchung, Fallen und schädlichen Begierden; die Liebe zum Geld kann vom Glauben wegführen.</x:v>
      </x:c>
      <x:c r="M978" s="36" t="str">
        <x:v>1. Timotheus 6,9–10</x:v>
      </x:c>
      <x:c r="N978" s="36" t="str">
        <x:v>Nicht Geld an sich, sondern die Liebe zum Geld und das zwanghafte Reichwerdenwollen werden als geistlich gefährlich beschrieben.</x:v>
      </x:c>
      <x:c r="O978" s="36" t="str">
        <x:v>FREIGEGEBEN</x:v>
      </x:c>
      <x:c r="P978" s="36" t="str">
        <x:v>FREIGEGEBEN</x:v>
      </x:c>
      <x:c r="Q978" s="36" t="str">
        <x:v>JA</x:v>
      </x:c>
    </x:row>
    <x:row r="979">
      <x:c r="A979" s="36" t="str">
        <x:v>FP-1238</x:v>
      </x:c>
      <x:c r="B979" s="36" t="str">
        <x:v>1TI</x:v>
      </x:c>
      <x:c r="C979" s="36" t="str">
        <x:v>1. Timotheus</x:v>
      </x:c>
      <x:c r="D979" s="36" t="n">
        <x:v>6</x:v>
      </x:c>
      <x:c r="E979" s="36" t="n">
        <x:v>3</x:v>
      </x:c>
      <x:c r="F979" s="36" t="str">
        <x:v>Wonach soll der 'Mensch Gottes' statt nach Geldgier streben?</x:v>
      </x:c>
      <x:c r="G979" s="36" t="str">
        <x:v>Nach möglichst großem gesellschaftlichem Rang.</x:v>
      </x:c>
      <x:c r="H979" s="36" t="str">
        <x:v>Nach Streitfragen und Wortgefechten.</x:v>
      </x:c>
      <x:c r="I979" s="36" t="str">
        <x:v>Nach Gerechtigkeit, Gottesfurcht, Glauben, Liebe, Ausdauer und Sanftmut.</x:v>
      </x:c>
      <x:c r="J979" s="36" t="str">
        <x:v>Nach persönlicher Unabhängigkeit von Gott.</x:v>
      </x:c>
      <x:c r="K979" s="36" t="n">
        <x:v>2</x:v>
      </x:c>
      <x:c r="L979" s="36" t="str">
        <x:v>Nach Gerechtigkeit, Gottesfurcht, Glauben, Liebe, Ausdauer und Sanftmut.</x:v>
      </x:c>
      <x:c r="M979" s="36" t="str">
        <x:v>1. Timotheus 6,11–12</x:v>
      </x:c>
      <x:c r="N979" s="36" t="str">
        <x:v>Paulus stellt der Geldgier einen positiven Weg gegenüber und verbindet ihn mit dem 'guten Kampf des Glaubens'.</x:v>
      </x:c>
      <x:c r="O979" s="36" t="str">
        <x:v>FREIGEGEBEN</x:v>
      </x:c>
      <x:c r="P979" s="36" t="str">
        <x:v>FREIGEGEBEN</x:v>
      </x:c>
      <x:c r="Q979" s="36" t="str">
        <x:v>JA</x:v>
      </x:c>
    </x:row>
    <x:row r="980">
      <x:c r="A980" s="36" t="str">
        <x:v>FP-1239</x:v>
      </x:c>
      <x:c r="B980" s="36" t="str">
        <x:v>1TI</x:v>
      </x:c>
      <x:c r="C980" s="36" t="str">
        <x:v>1. Timotheus</x:v>
      </x:c>
      <x:c r="D980" s="36" t="n">
        <x:v>6</x:v>
      </x:c>
      <x:c r="E980" s="36" t="n">
        <x:v>4</x:v>
      </x:c>
      <x:c r="F980" s="36" t="str">
        <x:v>Welche Haltung sollen Reiche nach 1. Timotheus 6 einnehmen?</x:v>
      </x:c>
      <x:c r="G980" s="36" t="str">
        <x:v>Ihren Reichtum als Beweis besonderer Frömmigkeit betrachten.</x:v>
      </x:c>
      <x:c r="H980" s="36" t="str">
        <x:v>Sich vollständig von Bedürftigen fernhalten.</x:v>
      </x:c>
      <x:c r="I980" s="36" t="str">
        <x:v>Nur für sich selbst zukünftige Sicherheit aufbauen.</x:v>
      </x:c>
      <x:c r="J980" s="36" t="str">
        <x:v>Nicht auf unsicheren Reichtum hoffen, sondern auf Gott, Gutes tun, großzügig sein und teilen.</x:v>
      </x:c>
      <x:c r="K980" s="36" t="n">
        <x:v>3</x:v>
      </x:c>
      <x:c r="L980" s="36" t="str">
        <x:v>Nicht auf unsicheren Reichtum hoffen, sondern auf Gott, Gutes tun, großzügig sein und teilen.</x:v>
      </x:c>
      <x:c r="M980" s="36" t="str">
        <x:v>1. Timotheus 6,17–19</x:v>
      </x:c>
      <x:c r="N980" s="36" t="str">
        <x:v>Reichtum soll nicht zur Grundlage von Stolz oder Sicherheit werden. Paulus lenkt die Hoffnung auf Gott und das Vermögen in Richtung Großzügigkeit.</x:v>
      </x:c>
      <x:c r="O980" s="36" t="str">
        <x:v>FREIGEGEBEN</x:v>
      </x:c>
      <x:c r="P980" s="36" t="str">
        <x:v>FREIGEGEBEN</x:v>
      </x:c>
      <x:c r="Q980" s="36" t="str">
        <x:v>JA</x:v>
      </x:c>
    </x:row>
    <x:row r="981">
      <x:c r="A981" s="36" t="str">
        <x:v>FP-1240</x:v>
      </x:c>
      <x:c r="B981" s="36" t="str">
        <x:v>1TI</x:v>
      </x:c>
      <x:c r="C981" s="36" t="str">
        <x:v>1. Timotheus</x:v>
      </x:c>
      <x:c r="D981" s="36" t="n">
        <x:v>6</x:v>
      </x:c>
      <x:c r="E981" s="36" t="n">
        <x:v>5</x:v>
      </x:c>
      <x:c r="F981" s="36" t="str">
        <x:v>Womit endet Paulus' persönlicher Auftrag an Timotheus?</x:v>
      </x:c>
      <x:c r="G981" s="36" t="str">
        <x:v>Er soll das anvertraute Gut bewahren und leeres Geschwätz sowie fälschlich so genannte Erkenntnis meiden.</x:v>
      </x:c>
      <x:c r="H981" s="36" t="str">
        <x:v>Er soll jede weitere Lehre einstellen.</x:v>
      </x:c>
      <x:c r="I981" s="36" t="str">
        <x:v>Er soll Ephesus sofort verlassen.</x:v>
      </x:c>
      <x:c r="J981" s="36" t="str">
        <x:v>Er soll alle philosophischen Fragen unabhängig vom Inhalt verbieten.</x:v>
      </x:c>
      <x:c r="K981" s="36" t="n">
        <x:v>0</x:v>
      </x:c>
      <x:c r="L981" s="36" t="str">
        <x:v>Er soll das anvertraute Gut bewahren und leeres Geschwätz sowie fälschlich so genannte Erkenntnis meiden.</x:v>
      </x:c>
      <x:c r="M981" s="36" t="str">
        <x:v>1. Timotheus 6,20–21</x:v>
      </x:c>
      <x:c r="N981" s="36" t="str">
        <x:v>Der Brief endet mit einem Schutzauftrag: das Empfangene bewahren und sich nicht von leeren oder irreführenden Gegenpositionen vom Glauben wegziehen lassen.</x:v>
      </x:c>
      <x:c r="O981" s="36" t="str">
        <x:v>FREIGEGEBEN</x:v>
      </x:c>
      <x:c r="P981" s="36" t="str">
        <x:v>FREIGEGEBEN</x:v>
      </x:c>
      <x:c r="Q981" s="36" t="str">
        <x:v>JA</x:v>
      </x:c>
    </x:row>
    <x:row r="982">
      <x:c r="A982" s="36" t="str">
        <x:v>FP-1241</x:v>
      </x:c>
      <x:c r="B982" s="36" t="str">
        <x:v>2TI</x:v>
      </x:c>
      <x:c r="C982" s="36" t="str">
        <x:v>2. Timotheus</x:v>
      </x:c>
      <x:c r="D982" s="36" t="n">
        <x:v>1</x:v>
      </x:c>
      <x:c r="E982" s="36" t="n">
        <x:v>1</x:v>
      </x:c>
      <x:c r="F982" s="36" t="str">
        <x:v>An wessen Glauben erinnert Paulus, als er Timotheus' ungeheuchelten Glauben beschreibt?</x:v>
      </x:c>
      <x:c r="G982" s="36" t="str">
        <x:v>An Petrus und Johannes.</x:v>
      </x:c>
      <x:c r="H982" s="36" t="str">
        <x:v>An den Glauben seiner Großmutter Lois und seiner Mutter Eunike.</x:v>
      </x:c>
      <x:c r="I982" s="36" t="str">
        <x:v>An Aquila und Prisca.</x:v>
      </x:c>
      <x:c r="J982" s="36" t="str">
        <x:v>An Barnabas und Markus.</x:v>
      </x:c>
      <x:c r="K982" s="36" t="n">
        <x:v>1</x:v>
      </x:c>
      <x:c r="L982" s="36" t="str">
        <x:v>An den Glauben seiner Großmutter Lois und seiner Mutter Eunike.</x:v>
      </x:c>
      <x:c r="M982" s="36" t="str">
        <x:v>2. Timotheus 1,3–5</x:v>
      </x:c>
      <x:c r="N982" s="36" t="str">
        <x:v>Paulus erinnert an eine Glaubensgeschichte über Generationen hinweg: zuerst Lois, dann Eunike und nun Timotheus.</x:v>
      </x:c>
      <x:c r="O982" s="36" t="str">
        <x:v>FREIGEGEBEN</x:v>
      </x:c>
      <x:c r="P982" s="36" t="str">
        <x:v>FREIGEGEBEN</x:v>
      </x:c>
      <x:c r="Q982" s="36" t="str">
        <x:v>JA</x:v>
      </x:c>
    </x:row>
    <x:row r="983">
      <x:c r="A983" s="36" t="str">
        <x:v>FP-1242</x:v>
      </x:c>
      <x:c r="B983" s="36" t="str">
        <x:v>2TI</x:v>
      </x:c>
      <x:c r="C983" s="36" t="str">
        <x:v>2. Timotheus</x:v>
      </x:c>
      <x:c r="D983" s="36" t="n">
        <x:v>1</x:v>
      </x:c>
      <x:c r="E983" s="36" t="n">
        <x:v>2</x:v>
      </x:c>
      <x:c r="F983" s="36" t="str">
        <x:v>Warum soll Timotheus die Gabe Gottes neu entfachen?</x:v>
      </x:c>
      <x:c r="G983" s="36" t="str">
        <x:v>Weil geistliche Gaben ohne öffentliche Anerkennung verschwinden.</x:v>
      </x:c>
      <x:c r="H983" s="36" t="str">
        <x:v>Weil Timotheus älter als alle anderen Leiter war.</x:v>
      </x:c>
      <x:c r="I983" s="36" t="str">
        <x:v>Weil Gott nicht einen Geist der Furchtsamkeit gegeben hat, sondern der Kraft, Liebe und Selbstbeherrschung.</x:v>
      </x:c>
      <x:c r="J983" s="36" t="str">
        <x:v>Weil Leiden ein Zeichen fehlender Berufung ist.</x:v>
      </x:c>
      <x:c r="K983" s="36" t="n">
        <x:v>2</x:v>
      </x:c>
      <x:c r="L983" s="36" t="str">
        <x:v>Weil Gott nicht einen Geist der Furchtsamkeit gegeben hat, sondern der Kraft, Liebe und Selbstbeherrschung.</x:v>
      </x:c>
      <x:c r="M983" s="36" t="str">
        <x:v>2. Timotheus 1,6–7</x:v>
      </x:c>
      <x:c r="N983" s="36" t="str">
        <x:v>Paulus stellt Furchtsamkeit den von Gott gegebenen Ressourcen Kraft, Liebe und Selbstbeherrschung gegenüber.</x:v>
      </x:c>
      <x:c r="O983" s="36" t="str">
        <x:v>FREIGEGEBEN</x:v>
      </x:c>
      <x:c r="P983" s="36" t="str">
        <x:v>FREIGEGEBEN</x:v>
      </x:c>
      <x:c r="Q983" s="36" t="str">
        <x:v>JA</x:v>
      </x:c>
    </x:row>
    <x:row r="984">
      <x:c r="A984" s="36" t="str">
        <x:v>FP-1243</x:v>
      </x:c>
      <x:c r="B984" s="36" t="str">
        <x:v>2TI</x:v>
      </x:c>
      <x:c r="C984" s="36" t="str">
        <x:v>2. Timotheus</x:v>
      </x:c>
      <x:c r="D984" s="36" t="n">
        <x:v>1</x:v>
      </x:c>
      <x:c r="E984" s="36" t="n">
        <x:v>3</x:v>
      </x:c>
      <x:c r="F984" s="36" t="str">
        <x:v>Wozu fordert Paulus Timotheus angesichts seiner eigenen Gefangenschaft auf?</x:v>
      </x:c>
      <x:c r="G984" s="36" t="str">
        <x:v>Den Kontakt zu Paulus aus Sicherheitsgründen abzubrechen.</x:v>
      </x:c>
      <x:c r="H984" s="36" t="str">
        <x:v>Das Evangelium nur noch privat zu vertreten.</x:v>
      </x:c>
      <x:c r="I984" s="36" t="str">
        <x:v>Leiden grundsätzlich als Niederlage zu betrachten.</x:v>
      </x:c>
      <x:c r="J984" s="36" t="str">
        <x:v>Sich des Zeugnisses von Jesus und Paulus' Gefangenschaft nicht zu schämen, sondern für das Evangelium mitzuleiden.</x:v>
      </x:c>
      <x:c r="K984" s="36" t="n">
        <x:v>3</x:v>
      </x:c>
      <x:c r="L984" s="36" t="str">
        <x:v>Sich des Zeugnisses von Jesus und Paulus' Gefangenschaft nicht zu schämen, sondern für das Evangelium mitzuleiden.</x:v>
      </x:c>
      <x:c r="M984" s="36" t="str">
        <x:v>2. Timotheus 1,8</x:v>
      </x:c>
      <x:c r="N984" s="36" t="str">
        <x:v>Timotheus soll sich nicht von Scham oder Angst bestimmen lassen, sondern das Evangelium auch unter Kosten treu vertreten.</x:v>
      </x:c>
      <x:c r="O984" s="36" t="str">
        <x:v>FREIGEGEBEN</x:v>
      </x:c>
      <x:c r="P984" s="36" t="str">
        <x:v>FREIGEGEBEN</x:v>
      </x:c>
      <x:c r="Q984" s="36" t="str">
        <x:v>JA</x:v>
      </x:c>
    </x:row>
    <x:row r="985">
      <x:c r="A985" s="36" t="str">
        <x:v>FP-1244</x:v>
      </x:c>
      <x:c r="B985" s="36" t="str">
        <x:v>2TI</x:v>
      </x:c>
      <x:c r="C985" s="36" t="str">
        <x:v>2. Timotheus</x:v>
      </x:c>
      <x:c r="D985" s="36" t="n">
        <x:v>1</x:v>
      </x:c>
      <x:c r="E985" s="36" t="n">
        <x:v>4</x:v>
      </x:c>
      <x:c r="F985" s="36" t="str">
        <x:v>Worauf gründet Gottes rettende Berufung nach 2. Timotheus 1?</x:v>
      </x:c>
      <x:c r="G985" s="36" t="str">
        <x:v>Auf Gottes eigenen Vorsatz und seine Gnade, nicht auf unsere Werke.</x:v>
      </x:c>
      <x:c r="H985" s="36" t="str">
        <x:v>Auf menschliche Leistung allein.</x:v>
      </x:c>
      <x:c r="I985" s="36" t="str">
        <x:v>Auf familiäre Herkunft.</x:v>
      </x:c>
      <x:c r="J985" s="36" t="str">
        <x:v>Auf politischen Einfluss.</x:v>
      </x:c>
      <x:c r="K985" s="36" t="n">
        <x:v>0</x:v>
      </x:c>
      <x:c r="L985" s="36" t="str">
        <x:v>Auf Gottes eigenen Vorsatz und seine Gnade, nicht auf unsere Werke.</x:v>
      </x:c>
      <x:c r="M985" s="36" t="str">
        <x:v>2. Timotheus 1,9–10</x:v>
      </x:c>
      <x:c r="N985" s="36" t="str">
        <x:v>Paulus verbindet Rettung und Berufung mit Gnade, die in Christus gegeben und durch sein Erscheinen sichtbar wurde.</x:v>
      </x:c>
      <x:c r="O985" s="36" t="str">
        <x:v>FREIGEGEBEN</x:v>
      </x:c>
      <x:c r="P985" s="36" t="str">
        <x:v>FREIGEGEBEN</x:v>
      </x:c>
      <x:c r="Q985" s="36" t="str">
        <x:v>JA</x:v>
      </x:c>
    </x:row>
    <x:row r="986">
      <x:c r="A986" s="36" t="str">
        <x:v>FP-1245</x:v>
      </x:c>
      <x:c r="B986" s="36" t="str">
        <x:v>2TI</x:v>
      </x:c>
      <x:c r="C986" s="36" t="str">
        <x:v>2. Timotheus</x:v>
      </x:c>
      <x:c r="D986" s="36" t="n">
        <x:v>1</x:v>
      </x:c>
      <x:c r="E986" s="36" t="n">
        <x:v>5</x:v>
      </x:c>
      <x:c r="F986" s="36" t="str">
        <x:v>Warum hebt Paulus Onesiphorus positiv hervor?</x:v>
      </x:c>
      <x:c r="G986" s="36" t="str">
        <x:v>Er sorgte dafür, dass Paulus nie gefangen wurde.</x:v>
      </x:c>
      <x:c r="H986" s="36" t="str">
        <x:v>Er erquickte Paulus oft, schämte sich seiner Ketten nicht und suchte ihn in Rom eifrig auf.</x:v>
      </x:c>
      <x:c r="I986" s="36" t="str">
        <x:v>Er war der römische Richter in Paulus' Prozess.</x:v>
      </x:c>
      <x:c r="J986" s="36" t="str">
        <x:v>Er ersetzte Timotheus dauerhaft als Apostel.</x:v>
      </x:c>
      <x:c r="K986" s="36" t="n">
        <x:v>1</x:v>
      </x:c>
      <x:c r="L986" s="36" t="str">
        <x:v>Er erquickte Paulus oft, schämte sich seiner Ketten nicht und suchte ihn in Rom eifrig auf.</x:v>
      </x:c>
      <x:c r="M986" s="36" t="str">
        <x:v>2. Timotheus 1,15–18</x:v>
      </x:c>
      <x:c r="N986" s="36" t="str">
        <x:v>Onesiphorus steht als Gegenbild zu denen, die Paulus verlassen hatten: Er blieb loyal und suchte konkrete Nähe zum Gefangenen.</x:v>
      </x:c>
      <x:c r="O986" s="36" t="str">
        <x:v>FREIGEGEBEN</x:v>
      </x:c>
      <x:c r="P986" s="36" t="str">
        <x:v>FREIGEGEBEN</x:v>
      </x:c>
      <x:c r="Q986" s="36" t="str">
        <x:v>JA</x:v>
      </x:c>
    </x:row>
    <x:row r="987">
      <x:c r="A987" s="36" t="str">
        <x:v>FP-1246</x:v>
      </x:c>
      <x:c r="B987" s="36" t="str">
        <x:v>2TI</x:v>
      </x:c>
      <x:c r="C987" s="36" t="str">
        <x:v>2. Timotheus</x:v>
      </x:c>
      <x:c r="D987" s="36" t="n">
        <x:v>2</x:v>
      </x:c>
      <x:c r="E987" s="36" t="n">
        <x:v>1</x:v>
      </x:c>
      <x:c r="F987" s="36" t="str">
        <x:v>Wie soll Timotheus die empfangene Lehre weitergeben?</x:v>
      </x:c>
      <x:c r="G987" s="36" t="str">
        <x:v>Er soll sie als persönliches Geheimwissen bewahren.</x:v>
      </x:c>
      <x:c r="H987" s="36" t="str">
        <x:v>Er soll sie nur innerhalb seiner Familie weitergeben.</x:v>
      </x:c>
      <x:c r="I987" s="36" t="str">
        <x:v>Er soll sie treuen Menschen anvertrauen, die wiederum fähig sind, andere zu lehren.</x:v>
      </x:c>
      <x:c r="J987" s="36" t="str">
        <x:v>Er soll auf jede strukturierte Weitergabe verzichten.</x:v>
      </x:c>
      <x:c r="K987" s="36" t="n">
        <x:v>2</x:v>
      </x:c>
      <x:c r="L987" s="36" t="str">
        <x:v>Er soll sie treuen Menschen anvertrauen, die wiederum fähig sind, andere zu lehren.</x:v>
      </x:c>
      <x:c r="M987" s="36" t="str">
        <x:v>2. Timotheus 2,1–2</x:v>
      </x:c>
      <x:c r="N987" s="36" t="str">
        <x:v>Paulus beschreibt eine Kette verantwortlicher Weitergabe: von ihm zu Timotheus, zu treuen Lehrenden und von dort zu weiteren Menschen.</x:v>
      </x:c>
      <x:c r="O987" s="36" t="str">
        <x:v>FREIGEGEBEN</x:v>
      </x:c>
      <x:c r="P987" s="36" t="str">
        <x:v>FREIGEGEBEN</x:v>
      </x:c>
      <x:c r="Q987" s="36" t="str">
        <x:v>JA</x:v>
      </x:c>
    </x:row>
    <x:row r="988">
      <x:c r="A988" s="36" t="str">
        <x:v>FP-1247</x:v>
      </x:c>
      <x:c r="B988" s="36" t="str">
        <x:v>2TI</x:v>
      </x:c>
      <x:c r="C988" s="36" t="str">
        <x:v>2. Timotheus</x:v>
      </x:c>
      <x:c r="D988" s="36" t="n">
        <x:v>2</x:v>
      </x:c>
      <x:c r="E988" s="36" t="n">
        <x:v>2</x:v>
      </x:c>
      <x:c r="F988" s="36" t="str">
        <x:v>Was verbindet die Bilder vom Soldaten, Wettkämpfer und Bauern?</x:v>
      </x:c>
      <x:c r="G988" s="36" t="str">
        <x:v>Sie zeigen drei Wege, schnell reich zu werden.</x:v>
      </x:c>
      <x:c r="H988" s="36" t="str">
        <x:v>Sie erklären, dass christlicher Dienst ohne Mühe geschieht.</x:v>
      </x:c>
      <x:c r="I988" s="36" t="str">
        <x:v>Sie ersetzen die Erinnerung an Jesus Christus.</x:v>
      </x:c>
      <x:c r="J988" s="36" t="str">
        <x:v>Sie veranschaulichen Hingabe, regelgerechtes Handeln und ausdauernde Arbeit.</x:v>
      </x:c>
      <x:c r="K988" s="36" t="n">
        <x:v>3</x:v>
      </x:c>
      <x:c r="L988" s="36" t="str">
        <x:v>Sie veranschaulichen Hingabe, regelgerechtes Handeln und ausdauernde Arbeit.</x:v>
      </x:c>
      <x:c r="M988" s="36" t="str">
        <x:v>2. Timotheus 2,3–7</x:v>
      </x:c>
      <x:c r="N988" s="36" t="str">
        <x:v>Die drei Bilder beleuchten unterschiedliche Seiten treuen Dienstes: Fokus, Disziplin und geduldige Arbeit.</x:v>
      </x:c>
      <x:c r="O988" s="36" t="str">
        <x:v>FREIGEGEBEN</x:v>
      </x:c>
      <x:c r="P988" s="36" t="str">
        <x:v>FREIGEGEBEN</x:v>
      </x:c>
      <x:c r="Q988" s="36" t="str">
        <x:v>JA</x:v>
      </x:c>
    </x:row>
    <x:row r="989">
      <x:c r="A989" s="36" t="str">
        <x:v>FP-1248</x:v>
      </x:c>
      <x:c r="B989" s="36" t="str">
        <x:v>2TI</x:v>
      </x:c>
      <x:c r="C989" s="36" t="str">
        <x:v>2. Timotheus</x:v>
      </x:c>
      <x:c r="D989" s="36" t="n">
        <x:v>2</x:v>
      </x:c>
      <x:c r="E989" s="36" t="n">
        <x:v>3</x:v>
      </x:c>
      <x:c r="F989" s="36" t="str">
        <x:v>Was soll Timotheus trotz Paulus' Fesseln im Gedächtnis behalten?</x:v>
      </x:c>
      <x:c r="G989" s="36" t="str">
        <x:v>Jesus Christus ist von den Toten auferstanden, und Gottes Wort ist nicht gebunden.</x:v>
      </x:c>
      <x:c r="H989" s="36" t="str">
        <x:v>Das Evangelium ist durch Paulus' Gefangenschaft wirkungslos geworden.</x:v>
      </x:c>
      <x:c r="I989" s="36" t="str">
        <x:v>Nur freie Menschen können Gottes Wort verkündigen.</x:v>
      </x:c>
      <x:c r="J989" s="36" t="str">
        <x:v>Auferstehung ist bereits nur symbolisch abgeschlossen.</x:v>
      </x:c>
      <x:c r="K989" s="36" t="n">
        <x:v>0</x:v>
      </x:c>
      <x:c r="L989" s="36" t="str">
        <x:v>Jesus Christus ist von den Toten auferstanden, und Gottes Wort ist nicht gebunden.</x:v>
      </x:c>
      <x:c r="M989" s="36" t="str">
        <x:v>2. Timotheus 2,8–10</x:v>
      </x:c>
      <x:c r="N989" s="36" t="str">
        <x:v>Paulus sitzt in Fesseln, stellt aber die Freiheit von Gottes Wort und die Auferstehung Christi in den Mittelpunkt.</x:v>
      </x:c>
      <x:c r="O989" s="36" t="str">
        <x:v>FREIGEGEBEN</x:v>
      </x:c>
      <x:c r="P989" s="36" t="str">
        <x:v>FREIGEGEBEN</x:v>
      </x:c>
      <x:c r="Q989" s="36" t="str">
        <x:v>JA</x:v>
      </x:c>
    </x:row>
    <x:row r="990">
      <x:c r="A990" s="36" t="str">
        <x:v>FP-1249</x:v>
      </x:c>
      <x:c r="B990" s="36" t="str">
        <x:v>2TI</x:v>
      </x:c>
      <x:c r="C990" s="36" t="str">
        <x:v>2. Timotheus</x:v>
      </x:c>
      <x:c r="D990" s="36" t="n">
        <x:v>2</x:v>
      </x:c>
      <x:c r="E990" s="36" t="n">
        <x:v>4</x:v>
      </x:c>
      <x:c r="F990" s="36" t="str">
        <x:v>Wie soll sich Timotheus als bewährter Arbeiter im Umgang mit Lehre verhalten?</x:v>
      </x:c>
      <x:c r="G990" s="36" t="str">
        <x:v>Jeden Wortstreit gewinnen.</x:v>
      </x:c>
      <x:c r="H990" s="36" t="str">
        <x:v>Das Wort der Wahrheit richtig behandeln und leeres, gottloses Geschwätz meiden.</x:v>
      </x:c>
      <x:c r="I990" s="36" t="str">
        <x:v>Schwierige Themen grundsätzlich verschweigen.</x:v>
      </x:c>
      <x:c r="J990" s="36" t="str">
        <x:v>Die Wahrheit an die Erwartungen des Publikums anpassen.</x:v>
      </x:c>
      <x:c r="K990" s="36" t="n">
        <x:v>1</x:v>
      </x:c>
      <x:c r="L990" s="36" t="str">
        <x:v>Das Wort der Wahrheit richtig behandeln und leeres, gottloses Geschwätz meiden.</x:v>
      </x:c>
      <x:c r="M990" s="36" t="str">
        <x:v>2. Timotheus 2,14–18</x:v>
      </x:c>
      <x:c r="N990" s="36" t="str">
        <x:v>Paulus kontrastiert sorgfältigen Umgang mit der Wahrheit und zerstörerische Wortstreitigkeiten.</x:v>
      </x:c>
      <x:c r="O990" s="36" t="str">
        <x:v>FREIGEGEBEN</x:v>
      </x:c>
      <x:c r="P990" s="36" t="str">
        <x:v>FREIGEGEBEN</x:v>
      </x:c>
      <x:c r="Q990" s="36" t="str">
        <x:v>JA</x:v>
      </x:c>
    </x:row>
    <x:row r="991">
      <x:c r="A991" s="36" t="str">
        <x:v>FP-1250</x:v>
      </x:c>
      <x:c r="B991" s="36" t="str">
        <x:v>2TI</x:v>
      </x:c>
      <x:c r="C991" s="36" t="str">
        <x:v>2. Timotheus</x:v>
      </x:c>
      <x:c r="D991" s="36" t="n">
        <x:v>2</x:v>
      </x:c>
      <x:c r="E991" s="36" t="n">
        <x:v>5</x:v>
      </x:c>
      <x:c r="F991" s="36" t="str">
        <x:v>Wie soll ein Diener des Herrn mit Widersachern umgehen?</x:v>
      </x:c>
      <x:c r="G991" s="36" t="str">
        <x:v>Mit möglichst scharfer persönlicher Herabsetzung.</x:v>
      </x:c>
      <x:c r="H991" s="36" t="str">
        <x:v>Indem er jede falsche Aussage ignoriert.</x:v>
      </x:c>
      <x:c r="I991" s="36" t="str">
        <x:v>Nicht streitsüchtig, sondern freundlich, lehrfähig, geduldig und sanft korrigierend.</x:v>
      </x:c>
      <x:c r="J991" s="36" t="str">
        <x:v>Mit Gewalt, wenn Argumente nicht ausreichen.</x:v>
      </x:c>
      <x:c r="K991" s="36" t="n">
        <x:v>2</x:v>
      </x:c>
      <x:c r="L991" s="36" t="str">
        <x:v>Nicht streitsüchtig, sondern freundlich, lehrfähig, geduldig und sanft korrigierend.</x:v>
      </x:c>
      <x:c r="M991" s="36" t="str">
        <x:v>2. Timotheus 2,22–26</x:v>
      </x:c>
      <x:c r="N991" s="36" t="str">
        <x:v>Korrektur bleibt nötig, soll aber mit Sanftmut geschehen und auf Umkehr und Erkenntnis der Wahrheit zielen.</x:v>
      </x:c>
      <x:c r="O991" s="36" t="str">
        <x:v>FREIGEGEBEN</x:v>
      </x:c>
      <x:c r="P991" s="36" t="str">
        <x:v>FREIGEGEBEN</x:v>
      </x:c>
      <x:c r="Q991" s="36" t="str">
        <x:v>JA</x:v>
      </x:c>
    </x:row>
    <x:row r="992">
      <x:c r="A992" s="36" t="str">
        <x:v>FP-1251</x:v>
      </x:c>
      <x:c r="B992" s="36" t="str">
        <x:v>2TI</x:v>
      </x:c>
      <x:c r="C992" s="36" t="str">
        <x:v>2. Timotheus</x:v>
      </x:c>
      <x:c r="D992" s="36" t="n">
        <x:v>3</x:v>
      </x:c>
      <x:c r="E992" s="36" t="n">
        <x:v>1</x:v>
      </x:c>
      <x:c r="F992" s="36" t="str">
        <x:v>Was kennzeichnet nach Paulus die 'schweren Zeiten' der letzten Tage?</x:v>
      </x:c>
      <x:c r="G992" s="36" t="str">
        <x:v>Alle Menschen werden automatisch gläubig.</x:v>
      </x:c>
      <x:c r="H992" s="36" t="str">
        <x:v>Es wird keine religiöse Sprache mehr geben.</x:v>
      </x:c>
      <x:c r="I992" s="36" t="str">
        <x:v>Verfolgung von Christen wird vollständig enden.</x:v>
      </x:c>
      <x:c r="J992" s="36" t="str">
        <x:v>Menschen können eine Form der Gottesfurcht zeigen, ihre Kraft aber verleugnen, während Selbstsucht und andere zerstörerische Haltungen zunehmen.</x:v>
      </x:c>
      <x:c r="K992" s="36" t="n">
        <x:v>3</x:v>
      </x:c>
      <x:c r="L992" s="36" t="str">
        <x:v>Menschen können eine Form der Gottesfurcht zeigen, ihre Kraft aber verleugnen, während Selbstsucht und andere zerstörerische Haltungen zunehmen.</x:v>
      </x:c>
      <x:c r="M992" s="36" t="str">
        <x:v>2. Timotheus 3,1–5</x:v>
      </x:c>
      <x:c r="N992" s="36" t="str">
        <x:v>Paulus warnt nicht nur vor offenem Unglauben, sondern auch vor einer äußeren Form von Frömmigkeit ohne entsprechende Wirklichkeit.</x:v>
      </x:c>
      <x:c r="O992" s="36" t="str">
        <x:v>FREIGEGEBEN</x:v>
      </x:c>
      <x:c r="P992" s="36" t="str">
        <x:v>FREIGEGEBEN</x:v>
      </x:c>
      <x:c r="Q992" s="36" t="str">
        <x:v>JA</x:v>
      </x:c>
    </x:row>
    <x:row r="993">
      <x:c r="A993" s="36" t="str">
        <x:v>FP-1252</x:v>
      </x:c>
      <x:c r="B993" s="36" t="str">
        <x:v>2TI</x:v>
      </x:c>
      <x:c r="C993" s="36" t="str">
        <x:v>2. Timotheus</x:v>
      </x:c>
      <x:c r="D993" s="36" t="n">
        <x:v>3</x:v>
      </x:c>
      <x:c r="E993" s="36" t="n">
        <x:v>2</x:v>
      </x:c>
      <x:c r="F993" s="36" t="str">
        <x:v>Worin hatte Timotheus Paulus nach dessen Aussage genau beobachtet?</x:v>
      </x:c>
      <x:c r="G993" s="36" t="str">
        <x:v>In Lehre, Lebensführung, Ziel, Glauben, Geduld, Liebe, Ausharren sowie in Verfolgungen und Leiden.</x:v>
      </x:c>
      <x:c r="H993" s="36" t="str">
        <x:v>Nur in seiner Rhetorik.</x:v>
      </x:c>
      <x:c r="I993" s="36" t="str">
        <x:v>Nur in seinen Reiseplänen.</x:v>
      </x:c>
      <x:c r="J993" s="36" t="str">
        <x:v>Nur in seinem Umgang mit Geld.</x:v>
      </x:c>
      <x:c r="K993" s="36" t="n">
        <x:v>0</x:v>
      </x:c>
      <x:c r="L993" s="36" t="str">
        <x:v>In Lehre, Lebensführung, Ziel, Glauben, Geduld, Liebe, Ausharren sowie in Verfolgungen und Leiden.</x:v>
      </x:c>
      <x:c r="M993" s="36" t="str">
        <x:v>2. Timotheus 3,10–11</x:v>
      </x:c>
      <x:c r="N993" s="36" t="str">
        <x:v>Paulus verweist auf ein ganzes Lebensmuster, nicht nur auf Inhalte. Lehre und Lebensführung gehören zusammen.</x:v>
      </x:c>
      <x:c r="O993" s="36" t="str">
        <x:v>FREIGEGEBEN</x:v>
      </x:c>
      <x:c r="P993" s="36" t="str">
        <x:v>FREIGEGEBEN</x:v>
      </x:c>
      <x:c r="Q993" s="36" t="str">
        <x:v>JA</x:v>
      </x:c>
    </x:row>
    <x:row r="994">
      <x:c r="A994" s="36" t="str">
        <x:v>FP-1253</x:v>
      </x:c>
      <x:c r="B994" s="36" t="str">
        <x:v>2TI</x:v>
      </x:c>
      <x:c r="C994" s="36" t="str">
        <x:v>2. Timotheus</x:v>
      </x:c>
      <x:c r="D994" s="36" t="n">
        <x:v>3</x:v>
      </x:c>
      <x:c r="E994" s="36" t="n">
        <x:v>3</x:v>
      </x:c>
      <x:c r="F994" s="36" t="str">
        <x:v>Welche Erwartung nennt Paulus für Menschen, die gottesfürchtig in Christus Jesus leben wollen?</x:v>
      </x:c>
      <x:c r="G994" s="36" t="str">
        <x:v>Sie werden automatisch gesellschaftlich erfolgreich.</x:v>
      </x:c>
      <x:c r="H994" s="36" t="str">
        <x:v>Sie werden Verfolgung erleben.</x:v>
      </x:c>
      <x:c r="I994" s="36" t="str">
        <x:v>Sie werden nie wieder Widerstand erfahren.</x:v>
      </x:c>
      <x:c r="J994" s="36" t="str">
        <x:v>Sie werden keine Geduld mehr benötigen.</x:v>
      </x:c>
      <x:c r="K994" s="36" t="n">
        <x:v>1</x:v>
      </x:c>
      <x:c r="L994" s="36" t="str">
        <x:v>Sie werden Verfolgung erleben.</x:v>
      </x:c>
      <x:c r="M994" s="36" t="str">
        <x:v>2. Timotheus 3,12–13</x:v>
      </x:c>
      <x:c r="N994" s="36" t="str">
        <x:v>Paulus zeichnet keinen Weg ohne Widerstand. Er stellt Timotheus auf Verfolgung und zunehmende Täuschung ein.</x:v>
      </x:c>
      <x:c r="O994" s="36" t="str">
        <x:v>FREIGEGEBEN</x:v>
      </x:c>
      <x:c r="P994" s="36" t="str">
        <x:v>FREIGEGEBEN</x:v>
      </x:c>
      <x:c r="Q994" s="36" t="str">
        <x:v>JA</x:v>
      </x:c>
    </x:row>
    <x:row r="995">
      <x:c r="A995" s="36" t="str">
        <x:v>FP-1254</x:v>
      </x:c>
      <x:c r="B995" s="36" t="str">
        <x:v>2TI</x:v>
      </x:c>
      <x:c r="C995" s="36" t="str">
        <x:v>2. Timotheus</x:v>
      </x:c>
      <x:c r="D995" s="36" t="n">
        <x:v>3</x:v>
      </x:c>
      <x:c r="E995" s="36" t="n">
        <x:v>4</x:v>
      </x:c>
      <x:c r="F995" s="36" t="str">
        <x:v>Welche Bedeutung haben die heiligen Schriften, die Timotheus von Kindheit an kennt?</x:v>
      </x:c>
      <x:c r="G995" s="36" t="str">
        <x:v>Sie machen den Glauben an Christus überflüssig.</x:v>
      </x:c>
      <x:c r="H995" s="36" t="str">
        <x:v>Sie dienen nur historischen Informationen.</x:v>
      </x:c>
      <x:c r="I995" s="36" t="str">
        <x:v>Sie können Weisheit zur Rettung durch den Glauben an Christus Jesus geben.</x:v>
      </x:c>
      <x:c r="J995" s="36" t="str">
        <x:v>Sie sind ausschließlich für Gemeindeleiter bestimmt.</x:v>
      </x:c>
      <x:c r="K995" s="36" t="n">
        <x:v>2</x:v>
      </x:c>
      <x:c r="L995" s="36" t="str">
        <x:v>Sie können Weisheit zur Rettung durch den Glauben an Christus Jesus geben.</x:v>
      </x:c>
      <x:c r="M995" s="36" t="str">
        <x:v>2. Timotheus 3,14–15</x:v>
      </x:c>
      <x:c r="N995" s="36" t="str">
        <x:v>Paulus verbindet die Schriften ausdrücklich mit Weisheit zur Rettung durch den Glauben an Christus.</x:v>
      </x:c>
      <x:c r="O995" s="36" t="str">
        <x:v>FREIGEGEBEN</x:v>
      </x:c>
      <x:c r="P995" s="36" t="str">
        <x:v>FREIGEGEBEN</x:v>
      </x:c>
      <x:c r="Q995" s="36" t="str">
        <x:v>JA</x:v>
      </x:c>
    </x:row>
    <x:row r="996">
      <x:c r="A996" s="36" t="str">
        <x:v>FP-1255</x:v>
      </x:c>
      <x:c r="B996" s="36" t="str">
        <x:v>2TI</x:v>
      </x:c>
      <x:c r="C996" s="36" t="str">
        <x:v>2. Timotheus</x:v>
      </x:c>
      <x:c r="D996" s="36" t="n">
        <x:v>3</x:v>
      </x:c>
      <x:c r="E996" s="36" t="n">
        <x:v>5</x:v>
      </x:c>
      <x:c r="F996" s="36" t="str">
        <x:v>Wozu ist die von Gott eingegebene Schrift nach 2. Timotheus 3 nützlich?</x:v>
      </x:c>
      <x:c r="G996" s="36" t="str">
        <x:v>Nur zur privaten Ermutigung ohne Korrektur.</x:v>
      </x:c>
      <x:c r="H996" s="36" t="str">
        <x:v>Zum Ersetzen jedes persönlichen Urteilsvermögens.</x:v>
      </x:c>
      <x:c r="I996" s="36" t="str">
        <x:v>Vor allem zur Berechnung zukünftiger Termine.</x:v>
      </x:c>
      <x:c r="J996" s="36" t="str">
        <x:v>Zur Lehre, Überführung, Zurechtweisung und Erziehung in Gerechtigkeit, damit der Mensch Gottes zu guten Werken ausgerüstet ist.</x:v>
      </x:c>
      <x:c r="K996" s="36" t="n">
        <x:v>3</x:v>
      </x:c>
      <x:c r="L996" s="36" t="str">
        <x:v>Zur Lehre, Überführung, Zurechtweisung und Erziehung in Gerechtigkeit, damit der Mensch Gottes zu guten Werken ausgerüstet ist.</x:v>
      </x:c>
      <x:c r="M996" s="36" t="str">
        <x:v>2. Timotheus 3,16–17</x:v>
      </x:c>
      <x:c r="N996" s="36" t="str">
        <x:v>Der Zweck wird praktisch formuliert: Schrift soll formen und ausrüsten, damit Menschen Gottes zu guten Werken bereit sind.</x:v>
      </x:c>
      <x:c r="O996" s="36" t="str">
        <x:v>FREIGEGEBEN</x:v>
      </x:c>
      <x:c r="P996" s="36" t="str">
        <x:v>FREIGEGEBEN</x:v>
      </x:c>
      <x:c r="Q996" s="36" t="str">
        <x:v>JA</x:v>
      </x:c>
    </x:row>
    <x:row r="997">
      <x:c r="A997" s="36" t="str">
        <x:v>FP-1256</x:v>
      </x:c>
      <x:c r="B997" s="36" t="str">
        <x:v>2TI</x:v>
      </x:c>
      <x:c r="C997" s="36" t="str">
        <x:v>2. Timotheus</x:v>
      </x:c>
      <x:c r="D997" s="36" t="n">
        <x:v>4</x:v>
      </x:c>
      <x:c r="E997" s="36" t="n">
        <x:v>1</x:v>
      </x:c>
      <x:c r="F997" s="36" t="str">
        <x:v>Welchen zentralen Auftrag gibt Paulus Timotheus angesichts von Christi Gericht und Reich?</x:v>
      </x:c>
      <x:c r="G997" s="36" t="str">
        <x:v>Das Wort zu verkündigen und mit Geduld und Lehre zurechtzuweisen, zu tadeln und zu ermahnen.</x:v>
      </x:c>
      <x:c r="H997" s="36" t="str">
        <x:v>Nur dann zu lehren, wenn niemand widerspricht.</x:v>
      </x:c>
      <x:c r="I997" s="36" t="str">
        <x:v>Die Verkündigung anderen vollständig zu überlassen.</x:v>
      </x:c>
      <x:c r="J997" s="36" t="str">
        <x:v>Vor allem seine eigene Person zu verteidigen.</x:v>
      </x:c>
      <x:c r="K997" s="36" t="n">
        <x:v>0</x:v>
      </x:c>
      <x:c r="L997" s="36" t="str">
        <x:v>Das Wort zu verkündigen und mit Geduld und Lehre zurechtzuweisen, zu tadeln und zu ermahnen.</x:v>
      </x:c>
      <x:c r="M997" s="36" t="str">
        <x:v>2. Timotheus 4,1–2</x:v>
      </x:c>
      <x:c r="N997" s="36" t="str">
        <x:v>Paulus fordert Beharrlichkeit in der Verkündigung, verbunden mit Geduld und sorgfältiger Lehre.</x:v>
      </x:c>
      <x:c r="O997" s="36" t="str">
        <x:v>FREIGEGEBEN</x:v>
      </x:c>
      <x:c r="P997" s="36" t="str">
        <x:v>FREIGEGEBEN</x:v>
      </x:c>
      <x:c r="Q997" s="36" t="str">
        <x:v>JA</x:v>
      </x:c>
    </x:row>
    <x:row r="998">
      <x:c r="A998" s="36" t="str">
        <x:v>FP-1257</x:v>
      </x:c>
      <x:c r="B998" s="36" t="str">
        <x:v>2TI</x:v>
      </x:c>
      <x:c r="C998" s="36" t="str">
        <x:v>2. Timotheus</x:v>
      </x:c>
      <x:c r="D998" s="36" t="n">
        <x:v>4</x:v>
      </x:c>
      <x:c r="E998" s="36" t="n">
        <x:v>2</x:v>
      </x:c>
      <x:c r="F998" s="36" t="str">
        <x:v>Warum braucht Timotheus nach Paulus besondere Ausdauer in der Lehre?</x:v>
      </x:c>
      <x:c r="G998" s="36" t="str">
        <x:v>Weil niemand mehr religiöse Lehrer hören wird.</x:v>
      </x:c>
      <x:c r="H998" s="36" t="str">
        <x:v>Weil Menschen eine Zeitlang gesunde Lehre nicht ertragen und sich Lehrer nach ihren eigenen Wünschen suchen werden.</x:v>
      </x:c>
      <x:c r="I998" s="36" t="str">
        <x:v>Weil die Wahrheit sich ständig ändern soll.</x:v>
      </x:c>
      <x:c r="J998" s="36" t="str">
        <x:v>Weil Timotheus grundsätzlich nicht lehren darf.</x:v>
      </x:c>
      <x:c r="K998" s="36" t="n">
        <x:v>1</x:v>
      </x:c>
      <x:c r="L998" s="36" t="str">
        <x:v>Weil Menschen eine Zeitlang gesunde Lehre nicht ertragen und sich Lehrer nach ihren eigenen Wünschen suchen werden.</x:v>
      </x:c>
      <x:c r="M998" s="36" t="str">
        <x:v>2. Timotheus 4,3–5</x:v>
      </x:c>
      <x:c r="N998" s="36" t="str">
        <x:v>Paulus warnt vor selektivem Hören: Menschen können sich Lehre suchen, die ihren Begierden entspricht, statt sich an der Wahrheit auszurichten.</x:v>
      </x:c>
      <x:c r="O998" s="36" t="str">
        <x:v>FREIGEGEBEN</x:v>
      </x:c>
      <x:c r="P998" s="36" t="str">
        <x:v>FREIGEGEBEN</x:v>
      </x:c>
      <x:c r="Q998" s="36" t="str">
        <x:v>JA</x:v>
      </x:c>
    </x:row>
    <x:row r="999">
      <x:c r="A999" s="36" t="str">
        <x:v>FP-1258</x:v>
      </x:c>
      <x:c r="B999" s="36" t="str">
        <x:v>2TI</x:v>
      </x:c>
      <x:c r="C999" s="36" t="str">
        <x:v>2. Timotheus</x:v>
      </x:c>
      <x:c r="D999" s="36" t="n">
        <x:v>4</x:v>
      </x:c>
      <x:c r="E999" s="36" t="n">
        <x:v>3</x:v>
      </x:c>
      <x:c r="F999" s="36" t="str">
        <x:v>Wie blickt Paulus kurz vor seinem erwarteten Abschied auf seinen Dienst zurück?</x:v>
      </x:c>
      <x:c r="G999" s="36" t="str">
        <x:v>Er erklärt seinen Dienst für gescheitert.</x:v>
      </x:c>
      <x:c r="H999" s="36" t="str">
        <x:v>Er bereut, das Evangelium verkündigt zu haben.</x:v>
      </x:c>
      <x:c r="I999" s="36" t="str">
        <x:v>Er hat den guten Kampf gekämpft, den Lauf vollendet und den Glauben bewahrt.</x:v>
      </x:c>
      <x:c r="J999" s="36" t="str">
        <x:v>Er sagt, er habe jede Schwierigkeit vermieden.</x:v>
      </x:c>
      <x:c r="K999" s="36" t="n">
        <x:v>2</x:v>
      </x:c>
      <x:c r="L999" s="36" t="str">
        <x:v>Er hat den guten Kampf gekämpft, den Lauf vollendet und den Glauben bewahrt.</x:v>
      </x:c>
      <x:c r="M999" s="36" t="str">
        <x:v>2. Timotheus 4,6–8</x:v>
      </x:c>
      <x:c r="N999" s="36" t="str">
        <x:v>Paulus verwendet Bilder von Kampf und Lauf und verbindet sie mit Treue bis zum Ende sowie der Hoffnung auf die Krone der Gerechtigkeit.</x:v>
      </x:c>
      <x:c r="O999" s="36" t="str">
        <x:v>FREIGEGEBEN</x:v>
      </x:c>
      <x:c r="P999" s="36" t="str">
        <x:v>FREIGEGEBEN</x:v>
      </x:c>
      <x:c r="Q999" s="36" t="str">
        <x:v>JA</x:v>
      </x:c>
    </x:row>
    <x:row r="1000">
      <x:c r="A1000" s="36" t="str">
        <x:v>FP-1259</x:v>
      </x:c>
      <x:c r="B1000" s="36" t="str">
        <x:v>2TI</x:v>
      </x:c>
      <x:c r="C1000" s="36" t="str">
        <x:v>2. Timotheus</x:v>
      </x:c>
      <x:c r="D1000" s="36" t="n">
        <x:v>4</x:v>
      </x:c>
      <x:c r="E1000" s="36" t="n">
        <x:v>4</x:v>
      </x:c>
      <x:c r="F1000" s="36" t="str">
        <x:v>Welche Aussage trifft auf die Mitarbeiter-Situation am Ende des Briefes zu?</x:v>
      </x:c>
      <x:c r="G1000" s="36" t="str">
        <x:v>Alle Mitarbeiter waren bei Paulus geblieben.</x:v>
      </x:c>
      <x:c r="H1000" s="36" t="str">
        <x:v>Markus sollte ausdrücklich fernbleiben.</x:v>
      </x:c>
      <x:c r="I1000" s="36" t="str">
        <x:v>Lukas hatte Paulus wegen der Liebe zur Welt verlassen.</x:v>
      </x:c>
      <x:c r="J1000" s="36" t="str">
        <x:v>Demas hatte Paulus verlassen, Lukas war bei ihm, und Markus sollte mitgebracht werden, weil er nützlich zum Dienst war.</x:v>
      </x:c>
      <x:c r="K1000" s="36" t="n">
        <x:v>3</x:v>
      </x:c>
      <x:c r="L1000" s="36" t="str">
        <x:v>Demas hatte Paulus verlassen, Lukas war bei ihm, und Markus sollte mitgebracht werden, weil er nützlich zum Dienst war.</x:v>
      </x:c>
      <x:c r="M1000" s="36" t="str">
        <x:v>2. Timotheus 4,9–13</x:v>
      </x:c>
      <x:c r="N1000" s="36" t="str">
        <x:v>Der Schluss ist sehr persönlich: Paulus nennt Enttäuschung, verbliebene Unterstützung und den Wunsch nach Markus' Hilfe.</x:v>
      </x:c>
      <x:c r="O1000" s="36" t="str">
        <x:v>FREIGEGEBEN</x:v>
      </x:c>
      <x:c r="P1000" s="36" t="str">
        <x:v>FREIGEGEBEN</x:v>
      </x:c>
      <x:c r="Q1000" s="36" t="str">
        <x:v>JA</x:v>
      </x:c>
    </x:row>
    <x:row r="1001">
      <x:c r="A1001" s="36" t="str">
        <x:v>FP-1260</x:v>
      </x:c>
      <x:c r="B1001" s="36" t="str">
        <x:v>2TI</x:v>
      </x:c>
      <x:c r="C1001" s="36" t="str">
        <x:v>2. Timotheus</x:v>
      </x:c>
      <x:c r="D1001" s="36" t="n">
        <x:v>4</x:v>
      </x:c>
      <x:c r="E1001" s="36" t="n">
        <x:v>5</x:v>
      </x:c>
      <x:c r="F1001" s="36" t="str">
        <x:v>Was geschah bei Paulus' erster Verteidigung, als Menschen ihn im Stich ließen?</x:v>
      </x:c>
      <x:c r="G1001" s="36" t="str">
        <x:v>Der Herr stand ihm bei und stärkte ihn, damit die Botschaft vollständig verkündigt wurde.</x:v>
      </x:c>
      <x:c r="H1001" s="36" t="str">
        <x:v>Paulus gab seine Botschaft auf.</x:v>
      </x:c>
      <x:c r="I1001" s="36" t="str">
        <x:v>Er erklärte alle Menschen zu Feinden.</x:v>
      </x:c>
      <x:c r="J1001" s="36" t="str">
        <x:v>Er wurde nur durch politischen Einfluss gerettet.</x:v>
      </x:c>
      <x:c r="K1001" s="36" t="n">
        <x:v>0</x:v>
      </x:c>
      <x:c r="L1001" s="36" t="str">
        <x:v>Der Herr stand ihm bei und stärkte ihn, damit die Botschaft vollständig verkündigt wurde.</x:v>
      </x:c>
      <x:c r="M1001" s="36" t="str">
        <x:v>2. Timotheus 4,16–18</x:v>
      </x:c>
      <x:c r="N1001" s="36" t="str">
        <x:v>Paulus verschweigt das Verlassenwerden nicht, setzt ihm aber Gottes Gegenwart und Stärkung entgegen.</x:v>
      </x:c>
      <x:c r="O1001" s="36" t="str">
        <x:v>FREIGEGEBEN</x:v>
      </x:c>
      <x:c r="P1001" s="36" t="str">
        <x:v>FREIGEGEBEN</x:v>
      </x:c>
      <x:c r="Q1001" s="36" t="str">
        <x:v>JA</x:v>
      </x:c>
    </x:row>
    <x:row r="1002">
      <x:c r="A1002" s="36" t="str">
        <x:v>FP-1261</x:v>
      </x:c>
      <x:c r="B1002" s="36" t="str">
        <x:v>TIT</x:v>
      </x:c>
      <x:c r="C1002" s="36" t="str">
        <x:v>Titus</x:v>
      </x:c>
      <x:c r="D1002" s="36" t="n">
        <x:v>1</x:v>
      </x:c>
      <x:c r="E1002" s="36" t="n">
        <x:v>1</x:v>
      </x:c>
      <x:c r="F1002" s="36" t="str">
        <x:v>Warum ließ Paulus Titus auf Kreta zurück?</x:v>
      </x:c>
      <x:c r="G1002" s="36" t="str">
        <x:v>Damit er eine neue Hauptstadt gründet.</x:v>
      </x:c>
      <x:c r="H1002" s="36" t="str">
        <x:v>Damit er Unvollendetes ordnet und in den Städten Älteste einsetzt.</x:v>
      </x:c>
      <x:c r="I1002" s="36" t="str">
        <x:v>Damit er jede Gemeinde auf Kreta schließt.</x:v>
      </x:c>
      <x:c r="J1002" s="36" t="str">
        <x:v>Damit er nur persönliche Briefe verteilt.</x:v>
      </x:c>
      <x:c r="K1002" s="36" t="n">
        <x:v>1</x:v>
      </x:c>
      <x:c r="L1002" s="36" t="str">
        <x:v>Damit er Unvollendetes ordnet und in den Städten Älteste einsetzt.</x:v>
      </x:c>
      <x:c r="M1002" s="36" t="str">
        <x:v>Titus 1,5</x:v>
      </x:c>
      <x:c r="N1002" s="36" t="str">
        <x:v>Titus erhält einen konkreten Ordnungs- und Leitungsauftrag für die Gemeinden auf Kreta.</x:v>
      </x:c>
      <x:c r="O1002" s="36" t="str">
        <x:v>FREIGEGEBEN</x:v>
      </x:c>
      <x:c r="P1002" s="36" t="str">
        <x:v>FREIGEGEBEN</x:v>
      </x:c>
      <x:c r="Q1002" s="36" t="str">
        <x:v>JA</x:v>
      </x:c>
    </x:row>
    <x:row r="1003">
      <x:c r="A1003" s="36" t="str">
        <x:v>FP-1262</x:v>
      </x:c>
      <x:c r="B1003" s="36" t="str">
        <x:v>TIT</x:v>
      </x:c>
      <x:c r="C1003" s="36" t="str">
        <x:v>Titus</x:v>
      </x:c>
      <x:c r="D1003" s="36" t="n">
        <x:v>1</x:v>
      </x:c>
      <x:c r="E1003" s="36" t="n">
        <x:v>2</x:v>
      </x:c>
      <x:c r="F1003" s="36" t="str">
        <x:v>Welche Eigenschaft ist für Älteste besonders mit ihrer Lehrverantwortung verbunden?</x:v>
      </x:c>
      <x:c r="G1003" s="36" t="str">
        <x:v>Sie sollen jede Diskussion vermeiden.</x:v>
      </x:c>
      <x:c r="H1003" s="36" t="str">
        <x:v>Sie brauchen den Inhalt der Lehre nicht zu kennen.</x:v>
      </x:c>
      <x:c r="I1003" s="36" t="str">
        <x:v>Sie sollen am zuverlässigen Wort festhalten, um mit gesunder Lehre zu ermutigen und Widersprechende zu widerlegen.</x:v>
      </x:c>
      <x:c r="J1003" s="36" t="str">
        <x:v>Sie sollen vor allem wirtschaftlich erfolgreich sein.</x:v>
      </x:c>
      <x:c r="K1003" s="36" t="n">
        <x:v>2</x:v>
      </x:c>
      <x:c r="L1003" s="36" t="str">
        <x:v>Sie sollen am zuverlässigen Wort festhalten, um mit gesunder Lehre zu ermutigen und Widersprechende zu widerlegen.</x:v>
      </x:c>
      <x:c r="M1003" s="36" t="str">
        <x:v>Titus 1,6–9</x:v>
      </x:c>
      <x:c r="N1003" s="36" t="str">
        <x:v>Charakter und Lehre gehören zusammen. Ein Leiter soll an der verlässlichen Botschaft festhalten und sie verantwortungsvoll anwenden.</x:v>
      </x:c>
      <x:c r="O1003" s="36" t="str">
        <x:v>FREIGEGEBEN</x:v>
      </x:c>
      <x:c r="P1003" s="36" t="str">
        <x:v>FREIGEGEBEN</x:v>
      </x:c>
      <x:c r="Q1003" s="36" t="str">
        <x:v>JA</x:v>
      </x:c>
    </x:row>
    <x:row r="1004">
      <x:c r="A1004" s="36" t="str">
        <x:v>FP-1263</x:v>
      </x:c>
      <x:c r="B1004" s="36" t="str">
        <x:v>TIT</x:v>
      </x:c>
      <x:c r="C1004" s="36" t="str">
        <x:v>Titus</x:v>
      </x:c>
      <x:c r="D1004" s="36" t="n">
        <x:v>1</x:v>
      </x:c>
      <x:c r="E1004" s="36" t="n">
        <x:v>3</x:v>
      </x:c>
      <x:c r="F1004" s="36" t="str">
        <x:v>Warum müssen bestimmte irreführende Lehrer zum Schweigen gebracht werden?</x:v>
      </x:c>
      <x:c r="G1004" s="36" t="str">
        <x:v>Weil sie aus einer anderen Stadt kommen.</x:v>
      </x:c>
      <x:c r="H1004" s="36" t="str">
        <x:v>Weil jede Meinungsverschiedenheit verboten ist.</x:v>
      </x:c>
      <x:c r="I1004" s="36" t="str">
        <x:v>Weil sie zu wenig öffentlich auftreten.</x:v>
      </x:c>
      <x:c r="J1004" s="36" t="str">
        <x:v>Weil sie ganze Haushalte durcheinanderbringen und um unehrlichen Gewinns willen lehren, was sie nicht sollen.</x:v>
      </x:c>
      <x:c r="K1004" s="36" t="n">
        <x:v>3</x:v>
      </x:c>
      <x:c r="L1004" s="36" t="str">
        <x:v>Weil sie ganze Haushalte durcheinanderbringen und um unehrlichen Gewinns willen lehren, was sie nicht sollen.</x:v>
      </x:c>
      <x:c r="M1004" s="36" t="str">
        <x:v>Titus 1,10–11</x:v>
      </x:c>
      <x:c r="N1004" s="36" t="str">
        <x:v>Paulus nennt sowohl die schädliche Wirkung als auch das falsche Motiv dieser Lehre.</x:v>
      </x:c>
      <x:c r="O1004" s="36" t="str">
        <x:v>FREIGEGEBEN</x:v>
      </x:c>
      <x:c r="P1004" s="36" t="str">
        <x:v>FREIGEGEBEN</x:v>
      </x:c>
      <x:c r="Q1004" s="36" t="str">
        <x:v>JA</x:v>
      </x:c>
    </x:row>
    <x:row r="1005">
      <x:c r="A1005" s="36" t="str">
        <x:v>FP-1264</x:v>
      </x:c>
      <x:c r="B1005" s="36" t="str">
        <x:v>TIT</x:v>
      </x:c>
      <x:c r="C1005" s="36" t="str">
        <x:v>Titus</x:v>
      </x:c>
      <x:c r="D1005" s="36" t="n">
        <x:v>1</x:v>
      </x:c>
      <x:c r="E1005" s="36" t="n">
        <x:v>4</x:v>
      </x:c>
      <x:c r="F1005" s="36" t="str">
        <x:v>Welches Ziel hat die scharfe Zurechtweisung in Titus 1?</x:v>
      </x:c>
      <x:c r="G1005" s="36" t="str">
        <x:v>Dass die Betroffenen gesund im Glauben werden und sich nicht an Mythen und menschengeprägte Gebote hängen.</x:v>
      </x:c>
      <x:c r="H1005" s="36" t="str">
        <x:v>Dass sie dauerhaft beschämt bleiben.</x:v>
      </x:c>
      <x:c r="I1005" s="36" t="str">
        <x:v>Dass sie nie wieder Teil einer Gemeinde sein können.</x:v>
      </x:c>
      <x:c r="J1005" s="36" t="str">
        <x:v>Dass Titus seine persönliche Autorität demonstriert.</x:v>
      </x:c>
      <x:c r="K1005" s="36" t="n">
        <x:v>0</x:v>
      </x:c>
      <x:c r="L1005" s="36" t="str">
        <x:v>Dass die Betroffenen gesund im Glauben werden und sich nicht an Mythen und menschengeprägte Gebote hängen.</x:v>
      </x:c>
      <x:c r="M1005" s="36" t="str">
        <x:v>Titus 1,12–14</x:v>
      </x:c>
      <x:c r="N1005" s="36" t="str">
        <x:v>Die Korrektur hat ein Wiederherstellungsziel: gesunder Glaube und Abkehr von irreführenden Geschichten und Geboten.</x:v>
      </x:c>
      <x:c r="O1005" s="36" t="str">
        <x:v>FREIGEGEBEN</x:v>
      </x:c>
      <x:c r="P1005" s="36" t="str">
        <x:v>FREIGEGEBEN</x:v>
      </x:c>
      <x:c r="Q1005" s="36" t="str">
        <x:v>JA</x:v>
      </x:c>
    </x:row>
    <x:row r="1006">
      <x:c r="A1006" s="36" t="str">
        <x:v>FP-1265</x:v>
      </x:c>
      <x:c r="B1006" s="36" t="str">
        <x:v>TIT</x:v>
      </x:c>
      <x:c r="C1006" s="36" t="str">
        <x:v>Titus</x:v>
      </x:c>
      <x:c r="D1006" s="36" t="n">
        <x:v>1</x:v>
      </x:c>
      <x:c r="E1006" s="36" t="n">
        <x:v>5</x:v>
      </x:c>
      <x:c r="F1006" s="36" t="str">
        <x:v>Woran erkennt Paulus den Widerspruch bei Menschen, die behaupten, Gott zu kennen?</x:v>
      </x:c>
      <x:c r="G1006" s="36" t="str">
        <x:v>Ihre Herkunft ist entscheidend.</x:v>
      </x:c>
      <x:c r="H1006" s="36" t="str">
        <x:v>Ihre Taten können ihr Bekenntnis verleugnen.</x:v>
      </x:c>
      <x:c r="I1006" s="36" t="str">
        <x:v>Sie besitzen zu wenig religiöse Literatur.</x:v>
      </x:c>
      <x:c r="J1006" s="36" t="str">
        <x:v>Sie verwenden die falsche Sprache.</x:v>
      </x:c>
      <x:c r="K1006" s="36" t="n">
        <x:v>1</x:v>
      </x:c>
      <x:c r="L1006" s="36" t="str">
        <x:v>Ihre Taten können ihr Bekenntnis verleugnen.</x:v>
      </x:c>
      <x:c r="M1006" s="36" t="str">
        <x:v>Titus 1,15–16</x:v>
      </x:c>
      <x:c r="N1006" s="36" t="str">
        <x:v>Der Abschnitt stellt Bekenntnis und Lebenspraxis gegenüber. Ein bloßer Anspruch, Gott zu kennen, genügt nicht.</x:v>
      </x:c>
      <x:c r="O1006" s="36" t="str">
        <x:v>FREIGEGEBEN</x:v>
      </x:c>
      <x:c r="P1006" s="36" t="str">
        <x:v>FREIGEGEBEN</x:v>
      </x:c>
      <x:c r="Q1006" s="36" t="str">
        <x:v>JA</x:v>
      </x:c>
    </x:row>
    <x:row r="1007">
      <x:c r="A1007" s="36" t="str">
        <x:v>FP-1266</x:v>
      </x:c>
      <x:c r="B1007" s="36" t="str">
        <x:v>TIT</x:v>
      </x:c>
      <x:c r="C1007" s="36" t="str">
        <x:v>Titus</x:v>
      </x:c>
      <x:c r="D1007" s="36" t="n">
        <x:v>2</x:v>
      </x:c>
      <x:c r="E1007" s="36" t="n">
        <x:v>1</x:v>
      </x:c>
      <x:c r="F1007" s="36" t="str">
        <x:v>Was zieht sich durch die Anweisungen an ältere und jüngere Menschen in Titus 2?</x:v>
      </x:c>
      <x:c r="G1007" s="36" t="str">
        <x:v>Möglichst identische Aufgaben für jede Altersgruppe.</x:v>
      </x:c>
      <x:c r="H1007" s="36" t="str">
        <x:v>Rückzug aus jeder gesellschaftlichen Beziehung.</x:v>
      </x:c>
      <x:c r="I1007" s="36" t="str">
        <x:v>Ein glaubwürdiges, besonnenes Leben, das zur gesunden Lehre passt.</x:v>
      </x:c>
      <x:c r="J1007" s="36" t="str">
        <x:v>Das Streben nach möglichst viel öffentlichem Ansehen.</x:v>
      </x:c>
      <x:c r="K1007" s="36" t="n">
        <x:v>2</x:v>
      </x:c>
      <x:c r="L1007" s="36" t="str">
        <x:v>Ein glaubwürdiges, besonnenes Leben, das zur gesunden Lehre passt.</x:v>
      </x:c>
      <x:c r="M1007" s="36" t="str">
        <x:v>Titus 2,1–6</x:v>
      </x:c>
      <x:c r="N1007" s="36" t="str">
        <x:v>Die konkreten Akzente unterscheiden sich, aber Selbstbeherrschung, Glaubwürdigkeit und ein zur Lehre passender Lebensstil verbinden die Gruppen.</x:v>
      </x:c>
      <x:c r="O1007" s="36" t="str">
        <x:v>FREIGEGEBEN</x:v>
      </x:c>
      <x:c r="P1007" s="36" t="str">
        <x:v>FREIGEGEBEN</x:v>
      </x:c>
      <x:c r="Q1007" s="36" t="str">
        <x:v>JA</x:v>
      </x:c>
    </x:row>
    <x:row r="1008">
      <x:c r="A1008" s="36" t="str">
        <x:v>FP-1267</x:v>
      </x:c>
      <x:c r="B1008" s="36" t="str">
        <x:v>TIT</x:v>
      </x:c>
      <x:c r="C1008" s="36" t="str">
        <x:v>Titus</x:v>
      </x:c>
      <x:c r="D1008" s="36" t="n">
        <x:v>2</x:v>
      </x:c>
      <x:c r="E1008" s="36" t="n">
        <x:v>2</x:v>
      </x:c>
      <x:c r="F1008" s="36" t="str">
        <x:v>Wie soll Titus selbst seine Lehre glaubwürdig machen?</x:v>
      </x:c>
      <x:c r="G1008" s="36" t="str">
        <x:v>Durch möglichst harte Sprache.</x:v>
      </x:c>
      <x:c r="H1008" s="36" t="str">
        <x:v>Durch Verzicht auf jedes praktische Vorbild.</x:v>
      </x:c>
      <x:c r="I1008" s="36" t="str">
        <x:v>Durch Anpassung der Lehre an jede Kritik.</x:v>
      </x:c>
      <x:c r="J1008" s="36" t="str">
        <x:v>Durch ein Vorbild guter Werke, unverfälschte Lehre und gesunde, nicht angreifbare Rede.</x:v>
      </x:c>
      <x:c r="K1008" s="36" t="n">
        <x:v>3</x:v>
      </x:c>
      <x:c r="L1008" s="36" t="str">
        <x:v>Durch ein Vorbild guter Werke, unverfälschte Lehre und gesunde, nicht angreifbare Rede.</x:v>
      </x:c>
      <x:c r="M1008" s="36" t="str">
        <x:v>Titus 2,7–8</x:v>
      </x:c>
      <x:c r="N1008" s="36" t="str">
        <x:v>Titus soll Inhalt und Lebensführung zusammenbringen, damit Gegner keinen berechtigten Anlass zu Anklage haben.</x:v>
      </x:c>
      <x:c r="O1008" s="36" t="str">
        <x:v>FREIGEGEBEN</x:v>
      </x:c>
      <x:c r="P1008" s="36" t="str">
        <x:v>FREIGEGEBEN</x:v>
      </x:c>
      <x:c r="Q1008" s="36" t="str">
        <x:v>JA</x:v>
      </x:c>
    </x:row>
    <x:row r="1009">
      <x:c r="A1009" s="36" t="str">
        <x:v>FP-1268</x:v>
      </x:c>
      <x:c r="B1009" s="36" t="str">
        <x:v>TIT</x:v>
      </x:c>
      <x:c r="C1009" s="36" t="str">
        <x:v>Titus</x:v>
      </x:c>
      <x:c r="D1009" s="36" t="n">
        <x:v>2</x:v>
      </x:c>
      <x:c r="E1009" s="36" t="n">
        <x:v>3</x:v>
      </x:c>
      <x:c r="F1009" s="36" t="str">
        <x:v>Was bewirkt Gottes rettende Gnade nach Titus 2 im gegenwärtigen Leben?</x:v>
      </x:c>
      <x:c r="G1009" s="36" t="str">
        <x:v>Sie erzieht dazu, Gottlosigkeit und weltliche Begierden abzulehnen und besonnen, gerecht und gottesfürchtig zu leben.</x:v>
      </x:c>
      <x:c r="H1009" s="36" t="str">
        <x:v>Sie macht jede Lebensveränderung überflüssig.</x:v>
      </x:c>
      <x:c r="I1009" s="36" t="str">
        <x:v>Sie betrifft nur die Zukunft nach dem Tod.</x:v>
      </x:c>
      <x:c r="J1009" s="36" t="str">
        <x:v>Sie erlaubt jede Begierde, solange man glaubt.</x:v>
      </x:c>
      <x:c r="K1009" s="36" t="n">
        <x:v>0</x:v>
      </x:c>
      <x:c r="L1009" s="36" t="str">
        <x:v>Sie erzieht dazu, Gottlosigkeit und weltliche Begierden abzulehnen und besonnen, gerecht und gottesfürchtig zu leben.</x:v>
      </x:c>
      <x:c r="M1009" s="36" t="str">
        <x:v>Titus 2,11–12</x:v>
      </x:c>
      <x:c r="N1009" s="36" t="str">
        <x:v>Gnade wird nicht nur als Vergebung beschrieben, sondern als erziehende Kraft zu einem veränderten Leben.</x:v>
      </x:c>
      <x:c r="O1009" s="36" t="str">
        <x:v>FREIGEGEBEN</x:v>
      </x:c>
      <x:c r="P1009" s="36" t="str">
        <x:v>FREIGEGEBEN</x:v>
      </x:c>
      <x:c r="Q1009" s="36" t="str">
        <x:v>JA</x:v>
      </x:c>
    </x:row>
    <x:row r="1010">
      <x:c r="A1010" s="36" t="str">
        <x:v>FP-1269</x:v>
      </x:c>
      <x:c r="B1010" s="36" t="str">
        <x:v>TIT</x:v>
      </x:c>
      <x:c r="C1010" s="36" t="str">
        <x:v>Titus</x:v>
      </x:c>
      <x:c r="D1010" s="36" t="n">
        <x:v>2</x:v>
      </x:c>
      <x:c r="E1010" s="36" t="n">
        <x:v>4</x:v>
      </x:c>
      <x:c r="F1010" s="36" t="str">
        <x:v>Worauf sollen Glaubende nach Titus 2 warten?</x:v>
      </x:c>
      <x:c r="G1010" s="36" t="str">
        <x:v>Auf eine Zeit ohne jede irdische Verantwortung.</x:v>
      </x:c>
      <x:c r="H1010" s="36" t="str">
        <x:v>Auf die selige Hoffnung und die Erscheinung der Herrlichkeit Jesu Christi.</x:v>
      </x:c>
      <x:c r="I1010" s="36" t="str">
        <x:v>Auf den Aufbau eines politischen Gottesstaates auf Kreta.</x:v>
      </x:c>
      <x:c r="J1010" s="36" t="str">
        <x:v>Auf die Rückkehr zu früheren Begierden.</x:v>
      </x:c>
      <x:c r="K1010" s="36" t="n">
        <x:v>1</x:v>
      </x:c>
      <x:c r="L1010" s="36" t="str">
        <x:v>Auf die selige Hoffnung und die Erscheinung der Herrlichkeit Jesu Christi.</x:v>
      </x:c>
      <x:c r="M1010" s="36" t="str">
        <x:v>Titus 2,13</x:v>
      </x:c>
      <x:c r="N1010" s="36" t="str">
        <x:v>Das gegenwärtige Leben wird mit einer Zukunftshoffnung verbunden: der Erscheinung Christi.</x:v>
      </x:c>
      <x:c r="O1010" s="36" t="str">
        <x:v>FREIGEGEBEN</x:v>
      </x:c>
      <x:c r="P1010" s="36" t="str">
        <x:v>FREIGEGEBEN</x:v>
      </x:c>
      <x:c r="Q1010" s="36" t="str">
        <x:v>JA</x:v>
      </x:c>
    </x:row>
    <x:row r="1011">
      <x:c r="A1011" s="36" t="str">
        <x:v>FP-1270</x:v>
      </x:c>
      <x:c r="B1011" s="36" t="str">
        <x:v>TIT</x:v>
      </x:c>
      <x:c r="C1011" s="36" t="str">
        <x:v>Titus</x:v>
      </x:c>
      <x:c r="D1011" s="36" t="n">
        <x:v>2</x:v>
      </x:c>
      <x:c r="E1011" s="36" t="n">
        <x:v>5</x:v>
      </x:c>
      <x:c r="F1011" s="36" t="str">
        <x:v>Wozu hat Christus sich nach Titus 2 selbst gegeben?</x:v>
      </x:c>
      <x:c r="G1011" s="36" t="str">
        <x:v>Um gute Werke grundsätzlich unnötig zu machen.</x:v>
      </x:c>
      <x:c r="H1011" s="36" t="str">
        <x:v>Um nur eine kleine gesellschaftliche Elite zu retten.</x:v>
      </x:c>
      <x:c r="I1011" s="36" t="str">
        <x:v>Um von Gesetzlosigkeit zu erlösen und sich ein eigenes Volk zu reinigen, das eifrig gute Werke tut.</x:v>
      </x:c>
      <x:c r="J1011" s="36" t="str">
        <x:v>Um menschliche Leistung an die Stelle von Gnade zu setzen.</x:v>
      </x:c>
      <x:c r="K1011" s="36" t="n">
        <x:v>2</x:v>
      </x:c>
      <x:c r="L1011" s="36" t="str">
        <x:v>Um von Gesetzlosigkeit zu erlösen und sich ein eigenes Volk zu reinigen, das eifrig gute Werke tut.</x:v>
      </x:c>
      <x:c r="M1011" s="36" t="str">
        <x:v>Titus 2,14</x:v>
      </x:c>
      <x:c r="N1011" s="36" t="str">
        <x:v>Erlösung, Reinigung und ein Leben voller guter Werke werden im Text eng miteinander verbunden.</x:v>
      </x:c>
      <x:c r="O1011" s="36" t="str">
        <x:v>FREIGEGEBEN</x:v>
      </x:c>
      <x:c r="P1011" s="36" t="str">
        <x:v>FREIGEGEBEN</x:v>
      </x:c>
      <x:c r="Q1011" s="36" t="str">
        <x:v>JA</x:v>
      </x:c>
    </x:row>
    <x:row r="1012">
      <x:c r="A1012" s="36" t="str">
        <x:v>FP-1271</x:v>
      </x:c>
      <x:c r="B1012" s="36" t="str">
        <x:v>TIT</x:v>
      </x:c>
      <x:c r="C1012" s="36" t="str">
        <x:v>Titus</x:v>
      </x:c>
      <x:c r="D1012" s="36" t="n">
        <x:v>3</x:v>
      </x:c>
      <x:c r="E1012" s="36" t="n">
        <x:v>1</x:v>
      </x:c>
      <x:c r="F1012" s="36" t="str">
        <x:v>Wie sollen Christen nach Titus 3 gegenüber anderen Menschen auftreten?</x:v>
      </x:c>
      <x:c r="G1012" s="36" t="str">
        <x:v>Aggressiv gegenüber allen Andersdenkenden.</x:v>
      </x:c>
      <x:c r="H1012" s="36" t="str">
        <x:v>Nur gegenüber Christen höflich.</x:v>
      </x:c>
      <x:c r="I1012" s="36" t="str">
        <x:v>Grundsätzlich unbeteiligt an guten Werken.</x:v>
      </x:c>
      <x:c r="J1012" s="36" t="str">
        <x:v>Bereit zu guten Werken, nicht verleumderisch oder streitsüchtig, sondern freundlich und sanft.</x:v>
      </x:c>
      <x:c r="K1012" s="36" t="n">
        <x:v>3</x:v>
      </x:c>
      <x:c r="L1012" s="36" t="str">
        <x:v>Bereit zu guten Werken, nicht verleumderisch oder streitsüchtig, sondern freundlich und sanft.</x:v>
      </x:c>
      <x:c r="M1012" s="36" t="str">
        <x:v>Titus 3,1–2</x:v>
      </x:c>
      <x:c r="N1012" s="36" t="str">
        <x:v>Paulus verbindet gesellschaftliche Verantwortlichkeit mit einer nicht streitsüchtigen, sanften Haltung gegenüber allen Menschen.</x:v>
      </x:c>
      <x:c r="O1012" s="36" t="str">
        <x:v>FREIGEGEBEN</x:v>
      </x:c>
      <x:c r="P1012" s="36" t="str">
        <x:v>FREIGEGEBEN</x:v>
      </x:c>
      <x:c r="Q1012" s="36" t="str">
        <x:v>JA</x:v>
      </x:c>
    </x:row>
    <x:row r="1013">
      <x:c r="A1013" s="36" t="str">
        <x:v>FP-1272</x:v>
      </x:c>
      <x:c r="B1013" s="36" t="str">
        <x:v>TIT</x:v>
      </x:c>
      <x:c r="C1013" s="36" t="str">
        <x:v>Titus</x:v>
      </x:c>
      <x:c r="D1013" s="36" t="n">
        <x:v>3</x:v>
      </x:c>
      <x:c r="E1013" s="36" t="n">
        <x:v>2</x:v>
      </x:c>
      <x:c r="F1013" s="36" t="str">
        <x:v>Worauf gründet die Rettung nach Titus 3 ausdrücklich nicht?</x:v>
      </x:c>
      <x:c r="G1013" s="36" t="str">
        <x:v>Auf Werken der Gerechtigkeit, die wir selbst getan hätten.</x:v>
      </x:c>
      <x:c r="H1013" s="36" t="str">
        <x:v>Auf Gottes Barmherzigkeit.</x:v>
      </x:c>
      <x:c r="I1013" s="36" t="str">
        <x:v>Auf die Erneuerung durch den Heiligen Geist.</x:v>
      </x:c>
      <x:c r="J1013" s="36" t="str">
        <x:v>Auf Gottes Gnade.</x:v>
      </x:c>
      <x:c r="K1013" s="36" t="n">
        <x:v>0</x:v>
      </x:c>
      <x:c r="L1013" s="36" t="str">
        <x:v>Auf Werken der Gerechtigkeit, die wir selbst getan hätten.</x:v>
      </x:c>
      <x:c r="M1013" s="36" t="str">
        <x:v>Titus 3,3–7</x:v>
      </x:c>
      <x:c r="N1013" s="36" t="str">
        <x:v>Der Abschnitt setzt einen klaren Kontrast: Rettung geschieht aus Gottes Barmherzigkeit und Gnade, nicht als Verdienst eigener gerechter Werke.</x:v>
      </x:c>
      <x:c r="O1013" s="36" t="str">
        <x:v>FREIGEGEBEN</x:v>
      </x:c>
      <x:c r="P1013" s="36" t="str">
        <x:v>FREIGEGEBEN</x:v>
      </x:c>
      <x:c r="Q1013" s="36" t="str">
        <x:v>JA</x:v>
      </x:c>
    </x:row>
    <x:row r="1014">
      <x:c r="A1014" s="36" t="str">
        <x:v>FP-1273</x:v>
      </x:c>
      <x:c r="B1014" s="36" t="str">
        <x:v>TIT</x:v>
      </x:c>
      <x:c r="C1014" s="36" t="str">
        <x:v>Titus</x:v>
      </x:c>
      <x:c r="D1014" s="36" t="n">
        <x:v>3</x:v>
      </x:c>
      <x:c r="E1014" s="36" t="n">
        <x:v>3</x:v>
      </x:c>
      <x:c r="F1014" s="36" t="str">
        <x:v>Welche Folge verbindet Paulus mit der Rechtfertigung aus Gnade?</x:v>
      </x:c>
      <x:c r="G1014" s="36" t="str">
        <x:v>Sie erhalten automatisch politischen Einfluss.</x:v>
      </x:c>
      <x:c r="H1014" s="36" t="str">
        <x:v>Die Glaubenden werden Erben entsprechend der Hoffnung auf ewiges Leben.</x:v>
      </x:c>
      <x:c r="I1014" s="36" t="str">
        <x:v>Sie brauchen keine Veränderung mehr.</x:v>
      </x:c>
      <x:c r="J1014" s="36" t="str">
        <x:v>Sie werden unabhängig von Gott.</x:v>
      </x:c>
      <x:c r="K1014" s="36" t="n">
        <x:v>1</x:v>
      </x:c>
      <x:c r="L1014" s="36" t="str">
        <x:v>Die Glaubenden werden Erben entsprechend der Hoffnung auf ewiges Leben.</x:v>
      </x:c>
      <x:c r="M1014" s="36" t="str">
        <x:v>Titus 3,5–7</x:v>
      </x:c>
      <x:c r="N1014" s="36" t="str">
        <x:v>Gnade führt im Text zu einer neuen Stellung: gerechtfertigt und Erben mit der Hoffnung auf ewiges Leben.</x:v>
      </x:c>
      <x:c r="O1014" s="36" t="str">
        <x:v>FREIGEGEBEN</x:v>
      </x:c>
      <x:c r="P1014" s="36" t="str">
        <x:v>FREIGEGEBEN</x:v>
      </x:c>
      <x:c r="Q1014" s="36" t="str">
        <x:v>JA</x:v>
      </x:c>
    </x:row>
    <x:row r="1015">
      <x:c r="A1015" s="36" t="str">
        <x:v>FP-1274</x:v>
      </x:c>
      <x:c r="B1015" s="36" t="str">
        <x:v>TIT</x:v>
      </x:c>
      <x:c r="C1015" s="36" t="str">
        <x:v>Titus</x:v>
      </x:c>
      <x:c r="D1015" s="36" t="n">
        <x:v>3</x:v>
      </x:c>
      <x:c r="E1015" s="36" t="n">
        <x:v>4</x:v>
      </x:c>
      <x:c r="F1015" s="36" t="str">
        <x:v>Warum soll Titus darauf bestehen, dass Glaubende sich guten Werken widmen?</x:v>
      </x:c>
      <x:c r="G1015" s="36" t="str">
        <x:v>Weil sie dadurch Gottes Gnade verdienen.</x:v>
      </x:c>
      <x:c r="H1015" s="36" t="str">
        <x:v>Weil gute Werke das Evangelium ersetzen.</x:v>
      </x:c>
      <x:c r="I1015" s="36" t="str">
        <x:v>Weil solche Werke gut und nützlich für Menschen sind.</x:v>
      </x:c>
      <x:c r="J1015" s="36" t="str">
        <x:v>Weil nur öffentliche Werke zählen.</x:v>
      </x:c>
      <x:c r="K1015" s="36" t="n">
        <x:v>2</x:v>
      </x:c>
      <x:c r="L1015" s="36" t="str">
        <x:v>Weil solche Werke gut und nützlich für Menschen sind.</x:v>
      </x:c>
      <x:c r="M1015" s="36" t="str">
        <x:v>Titus 3,8</x:v>
      </x:c>
      <x:c r="N1015" s="36" t="str">
        <x:v>Gute Werke sind nicht die Grundlage der Rettung, werden aber als sinnvolle Frucht des Glaubens ausdrücklich betont.</x:v>
      </x:c>
      <x:c r="O1015" s="36" t="str">
        <x:v>FREIGEGEBEN</x:v>
      </x:c>
      <x:c r="P1015" s="36" t="str">
        <x:v>FREIGEGEBEN</x:v>
      </x:c>
      <x:c r="Q1015" s="36" t="str">
        <x:v>JA</x:v>
      </x:c>
    </x:row>
    <x:row r="1016">
      <x:c r="A1016" s="36" t="str">
        <x:v>FP-1275</x:v>
      </x:c>
      <x:c r="B1016" s="36" t="str">
        <x:v>TIT</x:v>
      </x:c>
      <x:c r="C1016" s="36" t="str">
        <x:v>Titus</x:v>
      </x:c>
      <x:c r="D1016" s="36" t="n">
        <x:v>3</x:v>
      </x:c>
      <x:c r="E1016" s="36" t="n">
        <x:v>5</x:v>
      </x:c>
      <x:c r="F1016" s="36" t="str">
        <x:v>Wie soll Titus mit törichten Streitfragen und einem hartnäckig spaltenden Menschen umgehen?</x:v>
      </x:c>
      <x:c r="G1016" s="36" t="str">
        <x:v>Jeden Streit möglichst lange fortsetzen.</x:v>
      </x:c>
      <x:c r="H1016" s="36" t="str">
        <x:v>Einen Menschen ohne vorherige Ermahnung sofort verurteilen.</x:v>
      </x:c>
      <x:c r="I1016" s="36" t="str">
        <x:v>Spaltungen ignorieren, solange die Lehre interessant klingt.</x:v>
      </x:c>
      <x:c r="J1016" s="36" t="str">
        <x:v>Streitfragen meiden; einen spaltenden Menschen nach wiederholter Ermahnung schließlich meiden.</x:v>
      </x:c>
      <x:c r="K1016" s="36" t="n">
        <x:v>3</x:v>
      </x:c>
      <x:c r="L1016" s="36" t="str">
        <x:v>Streitfragen meiden; einen spaltenden Menschen nach wiederholter Ermahnung schließlich meiden.</x:v>
      </x:c>
      <x:c r="M1016" s="36" t="str">
        <x:v>Titus 3,9–11</x:v>
      </x:c>
      <x:c r="N1016" s="36" t="str">
        <x:v>Paulus will nutzlose Streitspiralen beenden. Bei einem spaltenden Menschen nennt er zuerst Ermahnung und danach eine klare Grenze.</x:v>
      </x:c>
      <x:c r="O1016" s="36" t="str">
        <x:v>FREIGEGEBEN</x:v>
      </x:c>
      <x:c r="P1016" s="36" t="str">
        <x:v>FREIGEGEBEN</x:v>
      </x:c>
      <x:c r="Q1016" s="36" t="str">
        <x:v>JA</x:v>
      </x:c>
    </x:row>
    <x:row r="1017">
      <x:c r="A1017" s="36" t="str">
        <x:v>FP-1276</x:v>
      </x:c>
      <x:c r="B1017" s="36" t="str">
        <x:v>PHM</x:v>
      </x:c>
      <x:c r="C1017" s="36" t="str">
        <x:v>Philemon</x:v>
      </x:c>
      <x:c r="D1017" s="36" t="n">
        <x:v>1</x:v>
      </x:c>
      <x:c r="E1017" s="36" t="n">
        <x:v>1</x:v>
      </x:c>
      <x:c r="F1017" s="36" t="str">
        <x:v>Warum bereitet Philemons Liebe Paulus Freude und Trost?</x:v>
      </x:c>
      <x:c r="G1017" s="36" t="str">
        <x:v>Weil durch Philemon die Herzen der Heiligen erquickt worden sind.</x:v>
      </x:c>
      <x:c r="H1017" s="36" t="str">
        <x:v>Weil Philemon Paulus aus dem Gefängnis befreit hat.</x:v>
      </x:c>
      <x:c r="I1017" s="36" t="str">
        <x:v>Weil Philemon eine hohe politische Position besitzt.</x:v>
      </x:c>
      <x:c r="J1017" s="36" t="str">
        <x:v>Weil Philemon nie Hilfe von anderen brauchte.</x:v>
      </x:c>
      <x:c r="K1017" s="36" t="n">
        <x:v>0</x:v>
      </x:c>
      <x:c r="L1017" s="36" t="str">
        <x:v>Weil durch Philemon die Herzen der Heiligen erquickt worden sind.</x:v>
      </x:c>
      <x:c r="M1017" s="36" t="str">
        <x:v>Philemon 4–7</x:v>
      </x:c>
      <x:c r="N1017" s="36" t="str">
        <x:v>Paulus würdigt Philemons Glauben und Liebe nicht abstrakt, sondern weil andere Glaubende durch ihn konkrete Ermutigung erfahren.</x:v>
      </x:c>
      <x:c r="O1017" s="36" t="str">
        <x:v>FREIGEGEBEN</x:v>
      </x:c>
      <x:c r="P1017" s="36" t="str">
        <x:v>FREIGEGEBEN</x:v>
      </x:c>
      <x:c r="Q1017" s="36" t="str">
        <x:v>JA</x:v>
      </x:c>
    </x:row>
    <x:row r="1018">
      <x:c r="A1018" s="36" t="str">
        <x:v>FP-1277</x:v>
      </x:c>
      <x:c r="B1018" s="36" t="str">
        <x:v>PHM</x:v>
      </x:c>
      <x:c r="C1018" s="36" t="str">
        <x:v>Philemon</x:v>
      </x:c>
      <x:c r="D1018" s="36" t="n">
        <x:v>1</x:v>
      </x:c>
      <x:c r="E1018" s="36" t="n">
        <x:v>2</x:v>
      </x:c>
      <x:c r="F1018" s="36" t="str">
        <x:v>Warum bittet Paulus Philemon, obwohl er ihm auch etwas gebieten könnte?</x:v>
      </x:c>
      <x:c r="G1018" s="36" t="str">
        <x:v>Er hat keinerlei Vertrauen zu Philemon.</x:v>
      </x:c>
      <x:c r="H1018" s="36" t="str">
        <x:v>Er zieht es um der Liebe willen vor, an Philemon zu appellieren.</x:v>
      </x:c>
      <x:c r="I1018" s="36" t="str">
        <x:v>Er weiß nicht, worum es in der Sache geht.</x:v>
      </x:c>
      <x:c r="J1018" s="36" t="str">
        <x:v>Er will Onesimus heimlich bei sich behalten.</x:v>
      </x:c>
      <x:c r="K1018" s="36" t="n">
        <x:v>1</x:v>
      </x:c>
      <x:c r="L1018" s="36" t="str">
        <x:v>Er zieht es um der Liebe willen vor, an Philemon zu appellieren.</x:v>
      </x:c>
      <x:c r="M1018" s="36" t="str">
        <x:v>Philemon 8–9</x:v>
      </x:c>
      <x:c r="N1018" s="36" t="str">
        <x:v>Paulus setzt bewusst auf eine freiwillige Antwort aus Liebe statt auf bloßen Zwang durch Autorität.</x:v>
      </x:c>
      <x:c r="O1018" s="36" t="str">
        <x:v>FREIGEGEBEN</x:v>
      </x:c>
      <x:c r="P1018" s="36" t="str">
        <x:v>FREIGEGEBEN</x:v>
      </x:c>
      <x:c r="Q1018" s="36" t="str">
        <x:v>JA</x:v>
      </x:c>
    </x:row>
    <x:row r="1019">
      <x:c r="A1019" s="36" t="str">
        <x:v>FP-1278</x:v>
      </x:c>
      <x:c r="B1019" s="36" t="str">
        <x:v>PHM</x:v>
      </x:c>
      <x:c r="C1019" s="36" t="str">
        <x:v>Philemon</x:v>
      </x:c>
      <x:c r="D1019" s="36" t="n">
        <x:v>1</x:v>
      </x:c>
      <x:c r="E1019" s="36" t="n">
        <x:v>3</x:v>
      </x:c>
      <x:c r="F1019" s="36" t="str">
        <x:v>Wie beschreibt Paulus die Veränderung bei Onesimus?</x:v>
      </x:c>
      <x:c r="G1019" s="36" t="str">
        <x:v>Onesimus ist römischer Beamter geworden.</x:v>
      </x:c>
      <x:c r="H1019" s="36" t="str">
        <x:v>Onesimus hat jede Beziehung zu Philemon abgebrochen.</x:v>
      </x:c>
      <x:c r="I1019" s="36" t="str">
        <x:v>Der früher für Philemon 'unnütze' Onesimus ist nun für Philemon und Paulus nützlich und Paulus geistlich zum Sohn geworden.</x:v>
      </x:c>
      <x:c r="J1019" s="36" t="str">
        <x:v>Onesimus soll nie wieder nach Philemon zurückkehren.</x:v>
      </x:c>
      <x:c r="K1019" s="36" t="n">
        <x:v>2</x:v>
      </x:c>
      <x:c r="L1019" s="36" t="str">
        <x:v>Der früher für Philemon 'unnütze' Onesimus ist nun für Philemon und Paulus nützlich und Paulus geistlich zum Sohn geworden.</x:v>
      </x:c>
      <x:c r="M1019" s="36" t="str">
        <x:v>Philemon 10–13</x:v>
      </x:c>
      <x:c r="N1019" s="36" t="str">
        <x:v>Paulus benutzt ein Wortspiel mit Onesimus' Nutzen und beschreibt zugleich eine neue geistliche Beziehung, die während seiner Gefangenschaft entstanden ist.</x:v>
      </x:c>
      <x:c r="O1019" s="36" t="str">
        <x:v>FREIGEGEBEN</x:v>
      </x:c>
      <x:c r="P1019" s="36" t="str">
        <x:v>FREIGEGEBEN</x:v>
      </x:c>
      <x:c r="Q1019" s="36" t="str">
        <x:v>JA</x:v>
      </x:c>
    </x:row>
    <x:row r="1020">
      <x:c r="A1020" s="36" t="str">
        <x:v>FP-1279</x:v>
      </x:c>
      <x:c r="B1020" s="36" t="str">
        <x:v>PHM</x:v>
      </x:c>
      <x:c r="C1020" s="36" t="str">
        <x:v>Philemon</x:v>
      </x:c>
      <x:c r="D1020" s="36" t="n">
        <x:v>1</x:v>
      </x:c>
      <x:c r="E1020" s="36" t="n">
        <x:v>4</x:v>
      </x:c>
      <x:c r="F1020" s="36" t="str">
        <x:v>Wie soll Philemon Onesimus nach Paulus aufnehmen?</x:v>
      </x:c>
      <x:c r="G1020" s="36" t="str">
        <x:v>Als persönlichen Feind.</x:v>
      </x:c>
      <x:c r="H1020" s="36" t="str">
        <x:v>Nur als wirtschaftlichen Besitz ohne neue Beziehung.</x:v>
      </x:c>
      <x:c r="I1020" s="36" t="str">
        <x:v>Als Fremden ohne Verbindung zur Gemeinde.</x:v>
      </x:c>
      <x:c r="J1020" s="36" t="str">
        <x:v>Nicht nur als Diener, sondern als geliebten Bruder – und so, wie er Paulus selbst aufnehmen würde.</x:v>
      </x:c>
      <x:c r="K1020" s="36" t="n">
        <x:v>3</x:v>
      </x:c>
      <x:c r="L1020" s="36" t="str">
        <x:v>Nicht nur als Diener, sondern als geliebten Bruder – und so, wie er Paulus selbst aufnehmen würde.</x:v>
      </x:c>
      <x:c r="M1020" s="36" t="str">
        <x:v>Philemon 15–17</x:v>
      </x:c>
      <x:c r="N1020" s="36" t="str">
        <x:v>Paulus verändert die Beziehungsperspektive ausdrücklich: Onesimus soll als geliebter Bruder und in enger Verbundenheit mit Paulus aufgenommen werden.</x:v>
      </x:c>
      <x:c r="O1020" s="36" t="str">
        <x:v>FREIGEGEBEN</x:v>
      </x:c>
      <x:c r="P1020" s="36" t="str">
        <x:v>FREIGEGEBEN</x:v>
      </x:c>
      <x:c r="Q1020" s="36" t="str">
        <x:v>JA</x:v>
      </x:c>
    </x:row>
    <x:row r="1021">
      <x:c r="A1021" s="36" t="str">
        <x:v>FP-1280</x:v>
      </x:c>
      <x:c r="B1021" s="36" t="str">
        <x:v>PHM</x:v>
      </x:c>
      <x:c r="C1021" s="36" t="str">
        <x:v>Philemon</x:v>
      </x:c>
      <x:c r="D1021" s="36" t="n">
        <x:v>1</x:v>
      </x:c>
      <x:c r="E1021" s="36" t="n">
        <x:v>5</x:v>
      </x:c>
      <x:c r="F1021" s="36" t="str">
        <x:v>Was bietet Paulus an, falls Onesimus Philemon geschädigt hat oder ihm etwas schuldet?</x:v>
      </x:c>
      <x:c r="G1021" s="36" t="str">
        <x:v>Philemon soll es Paulus anrechnen; Paulus erklärt sich bereit, dafür einzustehen.</x:v>
      </x:c>
      <x:c r="H1021" s="36" t="str">
        <x:v>Philemon soll die Schuld ignorieren und niemand übernimmt Verantwortung.</x:v>
      </x:c>
      <x:c r="I1021" s="36" t="str">
        <x:v>Onesimus soll ohne jede Vermittlung verurteilt werden.</x:v>
      </x:c>
      <x:c r="J1021" s="36" t="str">
        <x:v>Die Gemeinde soll die Schuld unter allen Mitgliedern aufteilen.</x:v>
      </x:c>
      <x:c r="K1021" s="36" t="n">
        <x:v>0</x:v>
      </x:c>
      <x:c r="L1021" s="36" t="str">
        <x:v>Philemon soll es Paulus anrechnen; Paulus erklärt sich bereit, dafür einzustehen.</x:v>
      </x:c>
      <x:c r="M1021" s="36" t="str">
        <x:v>Philemon 18–21</x:v>
      </x:c>
      <x:c r="N1021" s="36" t="str">
        <x:v>Paulus verbindet Versöhnung mit konkreter Verantwortungsübernahme. Zugleich vertraut er darauf, dass Philemon freiwillig sogar mehr tun wird als er bittet.</x:v>
      </x:c>
      <x:c r="O1021" s="36" t="str">
        <x:v>FREIGEGEBEN</x:v>
      </x:c>
      <x:c r="P1021" s="36" t="str">
        <x:v>FREIGEGEBEN</x:v>
      </x:c>
      <x:c r="Q1021" s="36" t="str">
        <x:v>JA</x:v>
      </x:c>
    </x:row>
    <x:row r="1022">
      <x:c r="A1022" s="36" t="str">
        <x:v>FP-1281</x:v>
      </x:c>
      <x:c r="B1022" s="36" t="str">
        <x:v>HEB</x:v>
      </x:c>
      <x:c r="C1022" s="36" t="str">
        <x:v>Hebräer</x:v>
      </x:c>
      <x:c r="D1022" s="36" t="n">
        <x:v>1</x:v>
      </x:c>
      <x:c r="E1022" s="36" t="n">
        <x:v>1</x:v>
      </x:c>
      <x:c r="F1022" s="36" t="str">
        <x:v>Wie beschreibt Hebräer 1 den Unterschied zwischen Gottes früherem und seinem jetzigen Reden?</x:v>
      </x:c>
      <x:c r="G1022" s="36" t="str">
        <x:v>Früher redete Gott auf vielfältige Weise durch die Propheten; in diesen letzten Tagen hat er durch den Sohn geredet.</x:v>
      </x:c>
      <x:c r="H1022" s="36" t="str">
        <x:v>Gott redete früher nur durch Engel und heute nur durch Träume.</x:v>
      </x:c>
      <x:c r="I1022" s="36" t="str">
        <x:v>Früher redete Gott direkt zu allen Menschen; heute nur noch zu Priestern.</x:v>
      </x:c>
      <x:c r="J1022" s="36" t="str">
        <x:v>Gottes Reden hat sich überhaupt nicht verändert.</x:v>
      </x:c>
      <x:c r="K1022" s="36" t="n">
        <x:v>0</x:v>
      </x:c>
      <x:c r="L1022" s="36" t="str">
        <x:v>Früher redete Gott auf vielfältige Weise durch die Propheten; in diesen letzten Tagen hat er durch den Sohn geredet.</x:v>
      </x:c>
      <x:c r="M1022" s="36" t="str">
        <x:v>Hebräer 1,1–2</x:v>
      </x:c>
      <x:c r="N1022" s="36" t="str">
        <x:v>Der Brief beginnt mit einer heilsgeschichtlichen Steigerung: Auf das vielfältige Reden durch die Propheten folgt Gottes Reden durch den Sohn.</x:v>
      </x:c>
      <x:c r="O1022" s="36" t="str">
        <x:v>FREIGEGEBEN</x:v>
      </x:c>
      <x:c r="P1022" s="36" t="str">
        <x:v>FREIGEGEBEN</x:v>
      </x:c>
      <x:c r="Q1022" s="36" t="str">
        <x:v>JA</x:v>
      </x:c>
    </x:row>
    <x:row r="1023">
      <x:c r="A1023" s="36" t="str">
        <x:v>FP-1282</x:v>
      </x:c>
      <x:c r="B1023" s="36" t="str">
        <x:v>HEB</x:v>
      </x:c>
      <x:c r="C1023" s="36" t="str">
        <x:v>Hebräer</x:v>
      </x:c>
      <x:c r="D1023" s="36" t="n">
        <x:v>1</x:v>
      </x:c>
      <x:c r="E1023" s="36" t="n">
        <x:v>2</x:v>
      </x:c>
      <x:c r="F1023" s="36" t="str">
        <x:v>Welche Aussage macht Hebräer 1 über die Stellung des Sohnes zur Schöpfung?</x:v>
      </x:c>
      <x:c r="G1023" s="36" t="str">
        <x:v>Der Sohn ist erst nach der Schöpfung in Gottes Plan aufgenommen worden.</x:v>
      </x:c>
      <x:c r="H1023" s="36" t="str">
        <x:v>Durch ihn hat Gott die Welt geschaffen, und er trägt alle Dinge durch sein mächtiges Wort.</x:v>
      </x:c>
      <x:c r="I1023" s="36" t="str">
        <x:v>Der Sohn wirkt nur innerhalb der Gemeinde, nicht in Bezug auf die Schöpfung.</x:v>
      </x:c>
      <x:c r="J1023" s="36" t="str">
        <x:v>Die Schöpfung besteht unabhängig von ihm.</x:v>
      </x:c>
      <x:c r="K1023" s="36" t="n">
        <x:v>1</x:v>
      </x:c>
      <x:c r="L1023" s="36" t="str">
        <x:v>Durch ihn hat Gott die Welt geschaffen, und er trägt alle Dinge durch sein mächtiges Wort.</x:v>
      </x:c>
      <x:c r="M1023" s="36" t="str">
        <x:v>Hebräer 1,2–3</x:v>
      </x:c>
      <x:c r="N1023" s="36" t="str">
        <x:v>Der Sohn wird als Schöpfungsmittler und Erhalter beschrieben. Das unterstreicht seine einzigartige Stellung.</x:v>
      </x:c>
      <x:c r="O1023" s="36" t="str">
        <x:v>FREIGEGEBEN</x:v>
      </x:c>
      <x:c r="P1023" s="36" t="str">
        <x:v>FREIGEGEBEN</x:v>
      </x:c>
      <x:c r="Q1023" s="36" t="str">
        <x:v>JA</x:v>
      </x:c>
    </x:row>
    <x:row r="1024">
      <x:c r="A1024" s="36" t="str">
        <x:v>FP-1283</x:v>
      </x:c>
      <x:c r="B1024" s="36" t="str">
        <x:v>HEB</x:v>
      </x:c>
      <x:c r="C1024" s="36" t="str">
        <x:v>Hebräer</x:v>
      </x:c>
      <x:c r="D1024" s="36" t="n">
        <x:v>1</x:v>
      </x:c>
      <x:c r="E1024" s="36" t="n">
        <x:v>3</x:v>
      </x:c>
      <x:c r="F1024" s="36" t="str">
        <x:v>Was tat der Sohn nach der Reinigung von den Sünden?</x:v>
      </x:c>
      <x:c r="G1024" s="36" t="str">
        <x:v>Er zog sich aus Gottes Gegenwart zurück.</x:v>
      </x:c>
      <x:c r="H1024" s="36" t="str">
        <x:v>Er übergab seine Aufgabe vollständig den Engeln.</x:v>
      </x:c>
      <x:c r="I1024" s="36" t="str">
        <x:v>Er setzte sich zur Rechten der Majestät in der Höhe.</x:v>
      </x:c>
      <x:c r="J1024" s="36" t="str">
        <x:v>Er begann erst dann, die Schöpfung zu tragen.</x:v>
      </x:c>
      <x:c r="K1024" s="36" t="n">
        <x:v>2</x:v>
      </x:c>
      <x:c r="L1024" s="36" t="str">
        <x:v>Er setzte sich zur Rechten der Majestät in der Höhe.</x:v>
      </x:c>
      <x:c r="M1024" s="36" t="str">
        <x:v>Hebräer 1,3</x:v>
      </x:c>
      <x:c r="N1024" s="36" t="str">
        <x:v>Die vollbrachte Reinigung der Sünden wird mit der Erhöhung des Sohnes zur Rechten Gottes verbunden.</x:v>
      </x:c>
      <x:c r="O1024" s="36" t="str">
        <x:v>FREIGEGEBEN</x:v>
      </x:c>
      <x:c r="P1024" s="36" t="str">
        <x:v>FREIGEGEBEN</x:v>
      </x:c>
      <x:c r="Q1024" s="36" t="str">
        <x:v>JA</x:v>
      </x:c>
    </x:row>
    <x:row r="1025">
      <x:c r="A1025" s="36" t="str">
        <x:v>FP-1284</x:v>
      </x:c>
      <x:c r="B1025" s="36" t="str">
        <x:v>HEB</x:v>
      </x:c>
      <x:c r="C1025" s="36" t="str">
        <x:v>Hebräer</x:v>
      </x:c>
      <x:c r="D1025" s="36" t="n">
        <x:v>1</x:v>
      </x:c>
      <x:c r="E1025" s="36" t="n">
        <x:v>4</x:v>
      </x:c>
      <x:c r="F1025" s="36" t="str">
        <x:v>Warum wird der Sohn in Hebräer 1 über die Engel gestellt?</x:v>
      </x:c>
      <x:c r="G1025" s="36" t="str">
        <x:v>Weil Engel grundsätzlich böse Wesen seien.</x:v>
      </x:c>
      <x:c r="H1025" s="36" t="str">
        <x:v>Weil der Sohn selbst nur der höchste Engel sei.</x:v>
      </x:c>
      <x:c r="I1025" s="36" t="str">
        <x:v>Weil Engel keine Aufgabe im Dienst Gottes hätten.</x:v>
      </x:c>
      <x:c r="J1025" s="36" t="str">
        <x:v>Er besitzt einen höheren Namen und wird als Sohn, Herr und ewiger König beschrieben.</x:v>
      </x:c>
      <x:c r="K1025" s="36" t="n">
        <x:v>3</x:v>
      </x:c>
      <x:c r="L1025" s="36" t="str">
        <x:v>Er besitzt einen höheren Namen und wird als Sohn, Herr und ewiger König beschrieben.</x:v>
      </x:c>
      <x:c r="M1025" s="36" t="str">
        <x:v>Hebräer 1,4–13</x:v>
      </x:c>
      <x:c r="N1025" s="36" t="str">
        <x:v>Mehrere Schriftzitate unterscheiden den Sohn deutlich von den Engeln und weisen ihm eine einzigartige, königliche Stellung zu.</x:v>
      </x:c>
      <x:c r="O1025" s="36" t="str">
        <x:v>FREIGEGEBEN</x:v>
      </x:c>
      <x:c r="P1025" s="36" t="str">
        <x:v>FREIGEGEBEN</x:v>
      </x:c>
      <x:c r="Q1025" s="36" t="str">
        <x:v>JA</x:v>
      </x:c>
    </x:row>
    <x:row r="1026">
      <x:c r="A1026" s="36" t="str">
        <x:v>FP-1285</x:v>
      </x:c>
      <x:c r="B1026" s="36" t="str">
        <x:v>HEB</x:v>
      </x:c>
      <x:c r="C1026" s="36" t="str">
        <x:v>Hebräer</x:v>
      </x:c>
      <x:c r="D1026" s="36" t="n">
        <x:v>1</x:v>
      </x:c>
      <x:c r="E1026" s="36" t="n">
        <x:v>5</x:v>
      </x:c>
      <x:c r="F1026" s="36" t="str">
        <x:v>Welche Rolle haben Engel am Ende von Hebräer 1?</x:v>
      </x:c>
      <x:c r="G1026" s="36" t="str">
        <x:v>Sie sind dienstbare Geister, ausgesandt zum Dienst für die, die das Heil erben sollen.</x:v>
      </x:c>
      <x:c r="H1026" s="36" t="str">
        <x:v>Sie regieren unabhängig von Gott über die Gemeinde.</x:v>
      </x:c>
      <x:c r="I1026" s="36" t="str">
        <x:v>Sie vermitteln anstelle des Sohnes die endgültige Rettung.</x:v>
      </x:c>
      <x:c r="J1026" s="36" t="str">
        <x:v>Sie sollen selbst angebetet werden.</x:v>
      </x:c>
      <x:c r="K1026" s="36" t="n">
        <x:v>0</x:v>
      </x:c>
      <x:c r="L1026" s="36" t="str">
        <x:v>Sie sind dienstbare Geister, ausgesandt zum Dienst für die, die das Heil erben sollen.</x:v>
      </x:c>
      <x:c r="M1026" s="36" t="str">
        <x:v>Hebräer 1,14</x:v>
      </x:c>
      <x:c r="N1026" s="36" t="str">
        <x:v>Engel haben eine echte, aber dienende Rolle. Der Sohn steht über ihnen.</x:v>
      </x:c>
      <x:c r="O1026" s="36" t="str">
        <x:v>FREIGEGEBEN</x:v>
      </x:c>
      <x:c r="P1026" s="36" t="str">
        <x:v>FREIGEGEBEN</x:v>
      </x:c>
      <x:c r="Q1026" s="36" t="str">
        <x:v>JA</x:v>
      </x:c>
    </x:row>
    <x:row r="1027">
      <x:c r="A1027" s="36" t="str">
        <x:v>FP-1286</x:v>
      </x:c>
      <x:c r="B1027" s="36" t="str">
        <x:v>HEB</x:v>
      </x:c>
      <x:c r="C1027" s="36" t="str">
        <x:v>Hebräer</x:v>
      </x:c>
      <x:c r="D1027" s="36" t="n">
        <x:v>2</x:v>
      </x:c>
      <x:c r="E1027" s="36" t="n">
        <x:v>1</x:v>
      </x:c>
      <x:c r="F1027" s="36" t="str">
        <x:v>Warum sollen die Glaubenden besonders aufmerksam auf das Gehörte achten?</x:v>
      </x:c>
      <x:c r="G1027" s="36" t="str">
        <x:v>Damit sie jedes neue religiöse Gerücht übernehmen.</x:v>
      </x:c>
      <x:c r="H1027" s="36" t="str">
        <x:v>Damit sie nicht davon abdriften und eine so große Rettung vernachlässigen.</x:v>
      </x:c>
      <x:c r="I1027" s="36" t="str">
        <x:v>Damit sie sich ausschließlich mit Engeln beschäftigen.</x:v>
      </x:c>
      <x:c r="J1027" s="36" t="str">
        <x:v>Damit sie keine Fragen mehr stellen.</x:v>
      </x:c>
      <x:c r="K1027" s="36" t="n">
        <x:v>1</x:v>
      </x:c>
      <x:c r="L1027" s="36" t="str">
        <x:v>Damit sie nicht davon abdriften und eine so große Rettung vernachlässigen.</x:v>
      </x:c>
      <x:c r="M1027" s="36" t="str">
        <x:v>Hebräer 2,1–4</x:v>
      </x:c>
      <x:c r="N1027" s="36" t="str">
        <x:v>Die Größe der durch den Herrn verkündeten und von Gott bestätigten Rettung macht Gleichgültigkeit besonders ernst.</x:v>
      </x:c>
      <x:c r="O1027" s="36" t="str">
        <x:v>FREIGEGEBEN</x:v>
      </x:c>
      <x:c r="P1027" s="36" t="str">
        <x:v>FREIGEGEBEN</x:v>
      </x:c>
      <x:c r="Q1027" s="36" t="str">
        <x:v>JA</x:v>
      </x:c>
    </x:row>
    <x:row r="1028">
      <x:c r="A1028" s="36" t="str">
        <x:v>FP-1287</x:v>
      </x:c>
      <x:c r="B1028" s="36" t="str">
        <x:v>HEB</x:v>
      </x:c>
      <x:c r="C1028" s="36" t="str">
        <x:v>Hebräer</x:v>
      </x:c>
      <x:c r="D1028" s="36" t="n">
        <x:v>2</x:v>
      </x:c>
      <x:c r="E1028" s="36" t="n">
        <x:v>2</x:v>
      </x:c>
      <x:c r="F1028" s="36" t="str">
        <x:v>Warum wurde Jesus für kurze Zeit niedriger als die Engel?</x:v>
      </x:c>
      <x:c r="G1028" s="36" t="str">
        <x:v>Damit er dauerhaft unter den Engeln bleibe.</x:v>
      </x:c>
      <x:c r="H1028" s="36" t="str">
        <x:v>Damit er seine göttliche Sendung aufgebe.</x:v>
      </x:c>
      <x:c r="I1028" s="36" t="str">
        <x:v>Damit er durch Gottes Gnade für alle den Tod schmecke und durch sein Leiden mit Herrlichkeit gekrönt werde.</x:v>
      </x:c>
      <x:c r="J1028" s="36" t="str">
        <x:v>Damit Engel statt seiner die Menschheit retten.</x:v>
      </x:c>
      <x:c r="K1028" s="36" t="n">
        <x:v>2</x:v>
      </x:c>
      <x:c r="L1028" s="36" t="str">
        <x:v>Damit er durch Gottes Gnade für alle den Tod schmecke und durch sein Leiden mit Herrlichkeit gekrönt werde.</x:v>
      </x:c>
      <x:c r="M1028" s="36" t="str">
        <x:v>Hebräer 2,7–9</x:v>
      </x:c>
      <x:c r="N1028" s="36" t="str">
        <x:v>Die Erniedrigung Jesu wird mit seinem Tod verbunden, seine Erhöhung mit dem vollbrachten Leiden.</x:v>
      </x:c>
      <x:c r="O1028" s="36" t="str">
        <x:v>FREIGEGEBEN</x:v>
      </x:c>
      <x:c r="P1028" s="36" t="str">
        <x:v>FREIGEGEBEN</x:v>
      </x:c>
      <x:c r="Q1028" s="36" t="str">
        <x:v>JA</x:v>
      </x:c>
    </x:row>
    <x:row r="1029">
      <x:c r="A1029" s="36" t="str">
        <x:v>FP-1288</x:v>
      </x:c>
      <x:c r="B1029" s="36" t="str">
        <x:v>HEB</x:v>
      </x:c>
      <x:c r="C1029" s="36" t="str">
        <x:v>Hebräer</x:v>
      </x:c>
      <x:c r="D1029" s="36" t="n">
        <x:v>2</x:v>
      </x:c>
      <x:c r="E1029" s="36" t="n">
        <x:v>3</x:v>
      </x:c>
      <x:c r="F1029" s="36" t="str">
        <x:v>Warum nahm Jesus nach Hebräer 2 an Fleisch und Blut teil?</x:v>
      </x:c>
      <x:c r="G1029" s="36" t="str">
        <x:v>Um selbst dauerhaft der Todesfurcht unterworfen zu bleiben.</x:v>
      </x:c>
      <x:c r="H1029" s="36" t="str">
        <x:v>Um die menschliche Natur grundsätzlich abzulehnen.</x:v>
      </x:c>
      <x:c r="I1029" s="36" t="str">
        <x:v>Um lediglich ein moralisches Beispiel ohne Erlösungsbedeutung zu geben.</x:v>
      </x:c>
      <x:c r="J1029" s="36" t="str">
        <x:v>Um durch den Tod die Macht des Todes zu brechen und Menschen aus der Knechtschaft der Todesfurcht zu befreien.</x:v>
      </x:c>
      <x:c r="K1029" s="36" t="n">
        <x:v>3</x:v>
      </x:c>
      <x:c r="L1029" s="36" t="str">
        <x:v>Um durch den Tod die Macht des Todes zu brechen und Menschen aus der Knechtschaft der Todesfurcht zu befreien.</x:v>
      </x:c>
      <x:c r="M1029" s="36" t="str">
        <x:v>Hebräer 2,14–15</x:v>
      </x:c>
      <x:c r="N1029" s="36" t="str">
        <x:v>Jesu wirkliche Teilhabe am Menschsein steht im Dienst von Sieg, Befreiung und Erlösung.</x:v>
      </x:c>
      <x:c r="O1029" s="36" t="str">
        <x:v>FREIGEGEBEN</x:v>
      </x:c>
      <x:c r="P1029" s="36" t="str">
        <x:v>FREIGEGEBEN</x:v>
      </x:c>
      <x:c r="Q1029" s="36" t="str">
        <x:v>JA</x:v>
      </x:c>
    </x:row>
    <x:row r="1030">
      <x:c r="A1030" s="36" t="str">
        <x:v>FP-1289</x:v>
      </x:c>
      <x:c r="B1030" s="36" t="str">
        <x:v>HEB</x:v>
      </x:c>
      <x:c r="C1030" s="36" t="str">
        <x:v>Hebräer</x:v>
      </x:c>
      <x:c r="D1030" s="36" t="n">
        <x:v>2</x:v>
      </x:c>
      <x:c r="E1030" s="36" t="n">
        <x:v>4</x:v>
      </x:c>
      <x:c r="F1030" s="36" t="str">
        <x:v>Warum musste Jesus seinen Brüdern in allem gleich werden?</x:v>
      </x:c>
      <x:c r="G1030" s="36" t="str">
        <x:v>Damit er ein barmherziger und treuer Hohepriester werde und für die Sünden des Volkes Sühne schaffe.</x:v>
      </x:c>
      <x:c r="H1030" s="36" t="str">
        <x:v>Damit er selbst zuerst von Sünde gereinigt werden müsse.</x:v>
      </x:c>
      <x:c r="I1030" s="36" t="str">
        <x:v>Damit er das Priestertum Aarons unverändert fortsetze.</x:v>
      </x:c>
      <x:c r="J1030" s="36" t="str">
        <x:v>Damit er nur Menschen jüdischer Herkunft helfen könne.</x:v>
      </x:c>
      <x:c r="K1030" s="36" t="n">
        <x:v>0</x:v>
      </x:c>
      <x:c r="L1030" s="36" t="str">
        <x:v>Damit er ein barmherziger und treuer Hohepriester werde und für die Sünden des Volkes Sühne schaffe.</x:v>
      </x:c>
      <x:c r="M1030" s="36" t="str">
        <x:v>Hebräer 2,16–17</x:v>
      </x:c>
      <x:c r="N1030" s="36" t="str">
        <x:v>Die Menschwerdung wird direkt mit Jesu priesterlichem Dienst und seiner Barmherzigkeit verbunden.</x:v>
      </x:c>
      <x:c r="O1030" s="36" t="str">
        <x:v>FREIGEGEBEN</x:v>
      </x:c>
      <x:c r="P1030" s="36" t="str">
        <x:v>FREIGEGEBEN</x:v>
      </x:c>
      <x:c r="Q1030" s="36" t="str">
        <x:v>JA</x:v>
      </x:c>
    </x:row>
    <x:row r="1031">
      <x:c r="A1031" s="36" t="str">
        <x:v>FP-1290</x:v>
      </x:c>
      <x:c r="B1031" s="36" t="str">
        <x:v>HEB</x:v>
      </x:c>
      <x:c r="C1031" s="36" t="str">
        <x:v>Hebräer</x:v>
      </x:c>
      <x:c r="D1031" s="36" t="n">
        <x:v>2</x:v>
      </x:c>
      <x:c r="E1031" s="36" t="n">
        <x:v>5</x:v>
      </x:c>
      <x:c r="F1031" s="36" t="str">
        <x:v>Warum kann Jesus denen helfen, die versucht werden?</x:v>
      </x:c>
      <x:c r="G1031" s="36" t="str">
        <x:v>Weil er Versuchung nur theoretisch kennt.</x:v>
      </x:c>
      <x:c r="H1031" s="36" t="str">
        <x:v>Weil er selbst gelitten hat und versucht worden ist.</x:v>
      </x:c>
      <x:c r="I1031" s="36" t="str">
        <x:v>Weil er jede menschliche Schwachheit ablehnt.</x:v>
      </x:c>
      <x:c r="J1031" s="36" t="str">
        <x:v>Weil Versuchung für Glaubende keine Rolle mehr spielt.</x:v>
      </x:c>
      <x:c r="K1031" s="36" t="n">
        <x:v>1</x:v>
      </x:c>
      <x:c r="L1031" s="36" t="str">
        <x:v>Weil er selbst gelitten hat und versucht worden ist.</x:v>
      </x:c>
      <x:c r="M1031" s="36" t="str">
        <x:v>Hebräer 2,18</x:v>
      </x:c>
      <x:c r="N1031" s="36" t="str">
        <x:v>Hebräer begründet Jesu Hilfe mit seiner eigenen Erfahrung von Leiden und Versuchung.</x:v>
      </x:c>
      <x:c r="O1031" s="36" t="str">
        <x:v>FREIGEGEBEN</x:v>
      </x:c>
      <x:c r="P1031" s="36" t="str">
        <x:v>FREIGEGEBEN</x:v>
      </x:c>
      <x:c r="Q1031" s="36" t="str">
        <x:v>JA</x:v>
      </x:c>
    </x:row>
    <x:row r="1032">
      <x:c r="A1032" s="36" t="str">
        <x:v>FP-1291</x:v>
      </x:c>
      <x:c r="B1032" s="36" t="str">
        <x:v>HEB</x:v>
      </x:c>
      <x:c r="C1032" s="36" t="str">
        <x:v>Hebräer</x:v>
      </x:c>
      <x:c r="D1032" s="36" t="n">
        <x:v>3</x:v>
      </x:c>
      <x:c r="E1032" s="36" t="n">
        <x:v>1</x:v>
      </x:c>
      <x:c r="F1032" s="36" t="str">
        <x:v>Wie wird Jesus im Vergleich zu Mose beschrieben?</x:v>
      </x:c>
      <x:c r="G1032" s="36" t="str">
        <x:v>Mose wird als Sohn über Christus gestellt.</x:v>
      </x:c>
      <x:c r="H1032" s="36" t="str">
        <x:v>Beide erhalten im Kapitel exakt dieselbe Stellung.</x:v>
      </x:c>
      <x:c r="I1032" s="36" t="str">
        <x:v>Mose war treu als Diener in Gottes Haus; Christus ist treu als Sohn über Gottes Haus.</x:v>
      </x:c>
      <x:c r="J1032" s="36" t="str">
        <x:v>Christus wird nur als späterer Prophet wie Mose beschrieben.</x:v>
      </x:c>
      <x:c r="K1032" s="36" t="n">
        <x:v>2</x:v>
      </x:c>
      <x:c r="L1032" s="36" t="str">
        <x:v>Mose war treu als Diener in Gottes Haus; Christus ist treu als Sohn über Gottes Haus.</x:v>
      </x:c>
      <x:c r="M1032" s="36" t="str">
        <x:v>Hebräer 3,1–6</x:v>
      </x:c>
      <x:c r="N1032" s="36" t="str">
        <x:v>Der Brief würdigt Moses Treue, stellt Christus aber als Sohn über das Haus höher.</x:v>
      </x:c>
      <x:c r="O1032" s="36" t="str">
        <x:v>FREIGEGEBEN</x:v>
      </x:c>
      <x:c r="P1032" s="36" t="str">
        <x:v>FREIGEGEBEN</x:v>
      </x:c>
      <x:c r="Q1032" s="36" t="str">
        <x:v>JA</x:v>
      </x:c>
    </x:row>
    <x:row r="1033">
      <x:c r="A1033" s="36" t="str">
        <x:v>FP-1292</x:v>
      </x:c>
      <x:c r="B1033" s="36" t="str">
        <x:v>HEB</x:v>
      </x:c>
      <x:c r="C1033" s="36" t="str">
        <x:v>Hebräer</x:v>
      </x:c>
      <x:c r="D1033" s="36" t="n">
        <x:v>3</x:v>
      </x:c>
      <x:c r="E1033" s="36" t="n">
        <x:v>2</x:v>
      </x:c>
      <x:c r="F1033" s="36" t="str">
        <x:v>Welche Aufforderung wird aus Israels Erfahrung in der Wüste gezogen?</x:v>
      </x:c>
      <x:c r="G1033" s="36" t="str">
        <x:v>Die Wüstenerfahrung als bedeutungslos betrachten.</x:v>
      </x:c>
      <x:c r="H1033" s="36" t="str">
        <x:v>Nur auf zukünftige Generationen achten.</x:v>
      </x:c>
      <x:c r="I1033" s="36" t="str">
        <x:v>Ungehorsam nicht weiter ernst nehmen.</x:v>
      </x:c>
      <x:c r="J1033" s="36" t="str">
        <x:v>Heute Gottes Stimme hören und das Herz nicht verhärten.</x:v>
      </x:c>
      <x:c r="K1033" s="36" t="n">
        <x:v>3</x:v>
      </x:c>
      <x:c r="L1033" s="36" t="str">
        <x:v>Heute Gottes Stimme hören und das Herz nicht verhärten.</x:v>
      </x:c>
      <x:c r="M1033" s="36" t="str">
        <x:v>Hebräer 3,7–11</x:v>
      </x:c>
      <x:c r="N1033" s="36" t="str">
        <x:v>Das Zitat aus den Psalmen wird direkt auf die Gegenwart der Leser bezogen: 'Heute' ist die Zeit zum Hören.</x:v>
      </x:c>
      <x:c r="O1033" s="36" t="str">
        <x:v>FREIGEGEBEN</x:v>
      </x:c>
      <x:c r="P1033" s="36" t="str">
        <x:v>FREIGEGEBEN</x:v>
      </x:c>
      <x:c r="Q1033" s="36" t="str">
        <x:v>JA</x:v>
      </x:c>
    </x:row>
    <x:row r="1034">
      <x:c r="A1034" s="36" t="str">
        <x:v>FP-1293</x:v>
      </x:c>
      <x:c r="B1034" s="36" t="str">
        <x:v>HEB</x:v>
      </x:c>
      <x:c r="C1034" s="36" t="str">
        <x:v>Hebräer</x:v>
      </x:c>
      <x:c r="D1034" s="36" t="n">
        <x:v>3</x:v>
      </x:c>
      <x:c r="E1034" s="36" t="n">
        <x:v>3</x:v>
      </x:c>
      <x:c r="F1034" s="36" t="str">
        <x:v>Was sollen die Glaubenden täglich füreinander tun?</x:v>
      </x:c>
      <x:c r="G1034" s="36" t="str">
        <x:v>Einander ermutigen, damit niemand durch den Betrug der Sünde verhärtet wird.</x:v>
      </x:c>
      <x:c r="H1034" s="36" t="str">
        <x:v>Einander nur dann ansprechen, wenn ein schwerer Konflikt entsteht.</x:v>
      </x:c>
      <x:c r="I1034" s="36" t="str">
        <x:v>Sich aus dem Leben anderer vollständig heraushalten.</x:v>
      </x:c>
      <x:c r="J1034" s="36" t="str">
        <x:v>Einander vor allem nach gesellschaftlichem Erfolg beurteilen.</x:v>
      </x:c>
      <x:c r="K1034" s="36" t="n">
        <x:v>0</x:v>
      </x:c>
      <x:c r="L1034" s="36" t="str">
        <x:v>Einander ermutigen, damit niemand durch den Betrug der Sünde verhärtet wird.</x:v>
      </x:c>
      <x:c r="M1034" s="36" t="str">
        <x:v>Hebräer 3,12–13</x:v>
      </x:c>
      <x:c r="N1034" s="36" t="str">
        <x:v>Gemeinschaft dient hier der geistlichen Bewahrung: regelmäßige Ermutigung soll Verhärtung entgegenwirken.</x:v>
      </x:c>
      <x:c r="O1034" s="36" t="str">
        <x:v>FREIGEGEBEN</x:v>
      </x:c>
      <x:c r="P1034" s="36" t="str">
        <x:v>FREIGEGEBEN</x:v>
      </x:c>
      <x:c r="Q1034" s="36" t="str">
        <x:v>JA</x:v>
      </x:c>
    </x:row>
    <x:row r="1035">
      <x:c r="A1035" s="36" t="str">
        <x:v>FP-1294</x:v>
      </x:c>
      <x:c r="B1035" s="36" t="str">
        <x:v>HEB</x:v>
      </x:c>
      <x:c r="C1035" s="36" t="str">
        <x:v>Hebräer</x:v>
      </x:c>
      <x:c r="D1035" s="36" t="n">
        <x:v>3</x:v>
      </x:c>
      <x:c r="E1035" s="36" t="n">
        <x:v>4</x:v>
      </x:c>
      <x:c r="F1035" s="36" t="str">
        <x:v>Welche Bedingung verbindet Hebräer 3 mit der Teilhabe an Christus?</x:v>
      </x:c>
      <x:c r="G1035" s="36" t="str">
        <x:v>Möglichst viele religiöse Leistungen zu sammeln.</x:v>
      </x:c>
      <x:c r="H1035" s="36" t="str">
        <x:v>Das anfängliche Vertrauen bis zum Ende festzuhalten.</x:v>
      </x:c>
      <x:c r="I1035" s="36" t="str">
        <x:v>Nie wieder mit Zweifel konfrontiert zu werden.</x:v>
      </x:c>
      <x:c r="J1035" s="36" t="str">
        <x:v>Sich nur auf die eigene Vergangenheit zu berufen.</x:v>
      </x:c>
      <x:c r="K1035" s="36" t="n">
        <x:v>1</x:v>
      </x:c>
      <x:c r="L1035" s="36" t="str">
        <x:v>Das anfängliche Vertrauen bis zum Ende festzuhalten.</x:v>
      </x:c>
      <x:c r="M1035" s="36" t="str">
        <x:v>Hebräer 3,14</x:v>
      </x:c>
      <x:c r="N1035" s="36" t="str">
        <x:v>Der Text betont beharrliches Festhalten statt bloß eines vergangenen Anfangs.</x:v>
      </x:c>
      <x:c r="O1035" s="36" t="str">
        <x:v>FREIGEGEBEN</x:v>
      </x:c>
      <x:c r="P1035" s="36" t="str">
        <x:v>FREIGEGEBEN</x:v>
      </x:c>
      <x:c r="Q1035" s="36" t="str">
        <x:v>JA</x:v>
      </x:c>
    </x:row>
    <x:row r="1036">
      <x:c r="A1036" s="36" t="str">
        <x:v>FP-1295</x:v>
      </x:c>
      <x:c r="B1036" s="36" t="str">
        <x:v>HEB</x:v>
      </x:c>
      <x:c r="C1036" s="36" t="str">
        <x:v>Hebräer</x:v>
      </x:c>
      <x:c r="D1036" s="36" t="n">
        <x:v>3</x:v>
      </x:c>
      <x:c r="E1036" s="36" t="n">
        <x:v>5</x:v>
      </x:c>
      <x:c r="F1036" s="36" t="str">
        <x:v>Warum konnte die ungehorsame Generation nicht in Gottes Ruhe eingehen?</x:v>
      </x:c>
      <x:c r="G1036" s="36" t="str">
        <x:v>Weil Mose zu früh starb.</x:v>
      </x:c>
      <x:c r="H1036" s="36" t="str">
        <x:v>Weil die Engel sie daran hinderten.</x:v>
      </x:c>
      <x:c r="I1036" s="36" t="str">
        <x:v>Wegen ihres Unglaubens.</x:v>
      </x:c>
      <x:c r="J1036" s="36" t="str">
        <x:v>Weil ihnen keine Verheißung gegeben worden war.</x:v>
      </x:c>
      <x:c r="K1036" s="36" t="n">
        <x:v>2</x:v>
      </x:c>
      <x:c r="L1036" s="36" t="str">
        <x:v>Wegen ihres Unglaubens.</x:v>
      </x:c>
      <x:c r="M1036" s="36" t="str">
        <x:v>Hebräer 3,16–19</x:v>
      </x:c>
      <x:c r="N1036" s="36" t="str">
        <x:v>Der Abschnitt fasst das Scheitern der Wüstengeneration mit Unglauben und Ungehorsam zusammen.</x:v>
      </x:c>
      <x:c r="O1036" s="36" t="str">
        <x:v>FREIGEGEBEN</x:v>
      </x:c>
      <x:c r="P1036" s="36" t="str">
        <x:v>FREIGEGEBEN</x:v>
      </x:c>
      <x:c r="Q1036" s="36" t="str">
        <x:v>JA</x:v>
      </x:c>
    </x:row>
    <x:row r="1037">
      <x:c r="A1037" s="36" t="str">
        <x:v>FP-1296</x:v>
      </x:c>
      <x:c r="B1037" s="36" t="str">
        <x:v>HEB</x:v>
      </x:c>
      <x:c r="C1037" s="36" t="str">
        <x:v>Hebräer</x:v>
      </x:c>
      <x:c r="D1037" s="36" t="n">
        <x:v>4</x:v>
      </x:c>
      <x:c r="E1037" s="36" t="n">
        <x:v>1</x:v>
      </x:c>
      <x:c r="F1037" s="36" t="str">
        <x:v>Welche Hoffnung besteht nach Hebräer 4 weiterhin für Gottes Volk?</x:v>
      </x:c>
      <x:c r="G1037" s="36" t="str">
        <x:v>Eine Garantie auf ein Leben ohne Arbeit.</x:v>
      </x:c>
      <x:c r="H1037" s="36" t="str">
        <x:v>Die Rückkehr in die Wüste.</x:v>
      </x:c>
      <x:c r="I1037" s="36" t="str">
        <x:v>Eine Ruhe, die bereits durch Josua vollständig erfüllt worden sei.</x:v>
      </x:c>
      <x:c r="J1037" s="36" t="str">
        <x:v>Die Verheißung, in Gottes Ruhe einzugehen.</x:v>
      </x:c>
      <x:c r="K1037" s="36" t="n">
        <x:v>3</x:v>
      </x:c>
      <x:c r="L1037" s="36" t="str">
        <x:v>Die Verheißung, in Gottes Ruhe einzugehen.</x:v>
      </x:c>
      <x:c r="M1037" s="36" t="str">
        <x:v>Hebräer 4,1–9</x:v>
      </x:c>
      <x:c r="N1037" s="36" t="str">
        <x:v>Der Brief argumentiert, dass nach Josua noch von einem 'Heute' und einer bleibenden Ruhe gesprochen wird.</x:v>
      </x:c>
      <x:c r="O1037" s="36" t="str">
        <x:v>FREIGEGEBEN</x:v>
      </x:c>
      <x:c r="P1037" s="36" t="str">
        <x:v>FREIGEGEBEN</x:v>
      </x:c>
      <x:c r="Q1037" s="36" t="str">
        <x:v>JA</x:v>
      </x:c>
    </x:row>
    <x:row r="1038">
      <x:c r="A1038" s="36" t="str">
        <x:v>FP-1297</x:v>
      </x:c>
      <x:c r="B1038" s="36" t="str">
        <x:v>HEB</x:v>
      </x:c>
      <x:c r="C1038" s="36" t="str">
        <x:v>Hebräer</x:v>
      </x:c>
      <x:c r="D1038" s="36" t="n">
        <x:v>4</x:v>
      </x:c>
      <x:c r="E1038" s="36" t="n">
        <x:v>2</x:v>
      </x:c>
      <x:c r="F1038" s="36" t="str">
        <x:v>Warum nützte die verkündigte Botschaft der Wüstengeneration nicht?</x:v>
      </x:c>
      <x:c r="G1038" s="36" t="str">
        <x:v>Weil das Gehörte nicht mit Glauben verbunden war.</x:v>
      </x:c>
      <x:c r="H1038" s="36" t="str">
        <x:v>Weil die Botschaft selbst falsch war.</x:v>
      </x:c>
      <x:c r="I1038" s="36" t="str">
        <x:v>Weil Gott keine Ruhe verheißen hatte.</x:v>
      </x:c>
      <x:c r="J1038" s="36" t="str">
        <x:v>Weil sie zu wenig über Engel wussten.</x:v>
      </x:c>
      <x:c r="K1038" s="36" t="n">
        <x:v>0</x:v>
      </x:c>
      <x:c r="L1038" s="36" t="str">
        <x:v>Weil das Gehörte nicht mit Glauben verbunden war.</x:v>
      </x:c>
      <x:c r="M1038" s="36" t="str">
        <x:v>Hebräer 4,2–6</x:v>
      </x:c>
      <x:c r="N1038" s="36" t="str">
        <x:v>Hören allein genügt nicht; der Text stellt die Verbindung von Botschaft und Glauben heraus.</x:v>
      </x:c>
      <x:c r="O1038" s="36" t="str">
        <x:v>FREIGEGEBEN</x:v>
      </x:c>
      <x:c r="P1038" s="36" t="str">
        <x:v>FREIGEGEBEN</x:v>
      </x:c>
      <x:c r="Q1038" s="36" t="str">
        <x:v>JA</x:v>
      </x:c>
    </x:row>
    <x:row r="1039">
      <x:c r="A1039" s="36" t="str">
        <x:v>FP-1298</x:v>
      </x:c>
      <x:c r="B1039" s="36" t="str">
        <x:v>HEB</x:v>
      </x:c>
      <x:c r="C1039" s="36" t="str">
        <x:v>Hebräer</x:v>
      </x:c>
      <x:c r="D1039" s="36" t="n">
        <x:v>4</x:v>
      </x:c>
      <x:c r="E1039" s="36" t="n">
        <x:v>3</x:v>
      </x:c>
      <x:c r="F1039" s="36" t="str">
        <x:v>Wie beschreibt Hebräer 4 das Wort Gottes?</x:v>
      </x:c>
      <x:c r="G1039" s="36" t="str">
        <x:v>Als rein historische Information ohne Gegenwartsbezug.</x:v>
      </x:c>
      <x:c r="H1039" s="36" t="str">
        <x:v>Als lebendig und wirksam, das Gedanken und Absichten des Herzens beurteilt.</x:v>
      </x:c>
      <x:c r="I1039" s="36" t="str">
        <x:v>Als verborgen und für Menschen grundsätzlich unverständlich.</x:v>
      </x:c>
      <x:c r="J1039" s="36" t="str">
        <x:v>Als nur für Priester wirksam.</x:v>
      </x:c>
      <x:c r="K1039" s="36" t="n">
        <x:v>1</x:v>
      </x:c>
      <x:c r="L1039" s="36" t="str">
        <x:v>Als lebendig und wirksam, das Gedanken und Absichten des Herzens beurteilt.</x:v>
      </x:c>
      <x:c r="M1039" s="36" t="str">
        <x:v>Hebräer 4,12–13</x:v>
      </x:c>
      <x:c r="N1039" s="36" t="str">
        <x:v>Das Wort Gottes dringt nach dem Bild des Textes tief und legt das Innere des Menschen offen.</x:v>
      </x:c>
      <x:c r="O1039" s="36" t="str">
        <x:v>FREIGEGEBEN</x:v>
      </x:c>
      <x:c r="P1039" s="36" t="str">
        <x:v>FREIGEGEBEN</x:v>
      </x:c>
      <x:c r="Q1039" s="36" t="str">
        <x:v>JA</x:v>
      </x:c>
    </x:row>
    <x:row r="1040">
      <x:c r="A1040" s="36" t="str">
        <x:v>FP-1299</x:v>
      </x:c>
      <x:c r="B1040" s="36" t="str">
        <x:v>HEB</x:v>
      </x:c>
      <x:c r="C1040" s="36" t="str">
        <x:v>Hebräer</x:v>
      </x:c>
      <x:c r="D1040" s="36" t="n">
        <x:v>4</x:v>
      </x:c>
      <x:c r="E1040" s="36" t="n">
        <x:v>4</x:v>
      </x:c>
      <x:c r="F1040" s="36" t="str">
        <x:v>Warum können Glaubende an ihrem Bekenntnis festhalten?</x:v>
      </x:c>
      <x:c r="G1040" s="36" t="str">
        <x:v>Weil sie keine Schwächen mehr besitzen.</x:v>
      </x:c>
      <x:c r="H1040" s="36" t="str">
        <x:v>Weil das Priestertum Jesu nur symbolisch sei.</x:v>
      </x:c>
      <x:c r="I1040" s="36" t="str">
        <x:v>Weil sie in Jesus, dem Sohn Gottes, einen großen Hohenpriester haben, der die Himmel durchschritten hat.</x:v>
      </x:c>
      <x:c r="J1040" s="36" t="str">
        <x:v>Weil sie keinen Mittler mehr brauchen.</x:v>
      </x:c>
      <x:c r="K1040" s="36" t="n">
        <x:v>2</x:v>
      </x:c>
      <x:c r="L1040" s="36" t="str">
        <x:v>Weil sie in Jesus, dem Sohn Gottes, einen großen Hohenpriester haben, der die Himmel durchschritten hat.</x:v>
      </x:c>
      <x:c r="M1040" s="36" t="str">
        <x:v>Hebräer 4,14</x:v>
      </x:c>
      <x:c r="N1040" s="36" t="str">
        <x:v>Das Festhalten wird mit Jesu gegenwärtigem priesterlichem Dienst begründet.</x:v>
      </x:c>
      <x:c r="O1040" s="36" t="str">
        <x:v>FREIGEGEBEN</x:v>
      </x:c>
      <x:c r="P1040" s="36" t="str">
        <x:v>FREIGEGEBEN</x:v>
      </x:c>
      <x:c r="Q1040" s="36" t="str">
        <x:v>JA</x:v>
      </x:c>
    </x:row>
    <x:row r="1041">
      <x:c r="A1041" s="36" t="str">
        <x:v>FP-1300</x:v>
      </x:c>
      <x:c r="B1041" s="36" t="str">
        <x:v>HEB</x:v>
      </x:c>
      <x:c r="C1041" s="36" t="str">
        <x:v>Hebräer</x:v>
      </x:c>
      <x:c r="D1041" s="36" t="n">
        <x:v>4</x:v>
      </x:c>
      <x:c r="E1041" s="36" t="n">
        <x:v>5</x:v>
      </x:c>
      <x:c r="F1041" s="36" t="str">
        <x:v>Warum dürfen Glaubende mit Zuversicht zum Thron der Gnade kommen?</x:v>
      </x:c>
      <x:c r="G1041" s="36" t="str">
        <x:v>Weil Sünde vor Gott keine Bedeutung hat.</x:v>
      </x:c>
      <x:c r="H1041" s="36" t="str">
        <x:v>Weil sie aus eigener Leistung Anspruch auf Hilfe haben.</x:v>
      </x:c>
      <x:c r="I1041" s="36" t="str">
        <x:v>Weil Versuchung Jesus völlig unbekannt war.</x:v>
      </x:c>
      <x:c r="J1041" s="36" t="str">
        <x:v>Weil Jesus mit ihren Schwächen mitfühlen kann und doch ohne Sünde blieb.</x:v>
      </x:c>
      <x:c r="K1041" s="36" t="n">
        <x:v>3</x:v>
      </x:c>
      <x:c r="L1041" s="36" t="str">
        <x:v>Weil Jesus mit ihren Schwächen mitfühlen kann und doch ohne Sünde blieb.</x:v>
      </x:c>
      <x:c r="M1041" s="36" t="str">
        <x:v>Hebräer 4,15–16</x:v>
      </x:c>
      <x:c r="N1041" s="36" t="str">
        <x:v>Jesu Sündlosigkeit und sein Mitgefühl begründen den freien Zugang zu Barmherzigkeit und rechtzeitiger Gnade.</x:v>
      </x:c>
      <x:c r="O1041" s="36" t="str">
        <x:v>FREIGEGEBEN</x:v>
      </x:c>
      <x:c r="P1041" s="36" t="str">
        <x:v>FREIGEGEBEN</x:v>
      </x:c>
      <x:c r="Q1041" s="36" t="str">
        <x:v>JA</x:v>
      </x:c>
    </x:row>
    <x:row r="1042">
      <x:c r="A1042" s="36" t="str">
        <x:v>FP-1301</x:v>
      </x:c>
      <x:c r="B1042" s="36" t="str">
        <x:v>HEB</x:v>
      </x:c>
      <x:c r="C1042" s="36" t="str">
        <x:v>Hebräer</x:v>
      </x:c>
      <x:c r="D1042" s="36" t="n">
        <x:v>5</x:v>
      </x:c>
      <x:c r="E1042" s="36" t="n">
        <x:v>1</x:v>
      </x:c>
      <x:c r="F1042" s="36" t="str">
        <x:v>Wie gelangt jemand nach Hebräer 5 zum hohenpriesterlichen Dienst?</x:v>
      </x:c>
      <x:c r="G1042" s="36" t="str">
        <x:v>Nicht durch Selbsternennung, sondern durch Berufung von Gott.</x:v>
      </x:c>
      <x:c r="H1042" s="36" t="str">
        <x:v>Durch gesellschaftliche Wahl allein.</x:v>
      </x:c>
      <x:c r="I1042" s="36" t="str">
        <x:v>Durch möglichst großen Reichtum.</x:v>
      </x:c>
      <x:c r="J1042" s="36" t="str">
        <x:v>Durch persönliche Selbsterhöhung.</x:v>
      </x:c>
      <x:c r="K1042" s="36" t="n">
        <x:v>0</x:v>
      </x:c>
      <x:c r="L1042" s="36" t="str">
        <x:v>Nicht durch Selbsternennung, sondern durch Berufung von Gott.</x:v>
      </x:c>
      <x:c r="M1042" s="36" t="str">
        <x:v>Hebräer 5,1–4</x:v>
      </x:c>
      <x:c r="N1042" s="36" t="str">
        <x:v>Der hohepriesterliche Dienst wird als von Gott verliehene Berufung beschrieben.</x:v>
      </x:c>
      <x:c r="O1042" s="36" t="str">
        <x:v>FREIGEGEBEN</x:v>
      </x:c>
      <x:c r="P1042" s="36" t="str">
        <x:v>FREIGEGEBEN</x:v>
      </x:c>
      <x:c r="Q1042" s="36" t="str">
        <x:v>JA</x:v>
      </x:c>
    </x:row>
    <x:row r="1043">
      <x:c r="A1043" s="36" t="str">
        <x:v>FP-1302</x:v>
      </x:c>
      <x:c r="B1043" s="36" t="str">
        <x:v>HEB</x:v>
      </x:c>
      <x:c r="C1043" s="36" t="str">
        <x:v>Hebräer</x:v>
      </x:c>
      <x:c r="D1043" s="36" t="n">
        <x:v>5</x:v>
      </x:c>
      <x:c r="E1043" s="36" t="n">
        <x:v>2</x:v>
      </x:c>
      <x:c r="F1043" s="36" t="str">
        <x:v>Wie wird Christi Hohepriestertum begründet?</x:v>
      </x:c>
      <x:c r="G1043" s="36" t="str">
        <x:v>Christus übernimmt das Amt ohne Gottes Berufung.</x:v>
      </x:c>
      <x:c r="H1043" s="36" t="str">
        <x:v>Gott beruft ihn und bezeichnet ihn als Priester in Ewigkeit nach der Ordnung Melchisedeks.</x:v>
      </x:c>
      <x:c r="I1043" s="36" t="str">
        <x:v>Er stammt aus dem levitischen Priestergeschlecht Aarons.</x:v>
      </x:c>
      <x:c r="J1043" s="36" t="str">
        <x:v>Er erhält sein Amt nur für eine begrenzte Zeit.</x:v>
      </x:c>
      <x:c r="K1043" s="36" t="n">
        <x:v>1</x:v>
      </x:c>
      <x:c r="L1043" s="36" t="str">
        <x:v>Gott beruft ihn und bezeichnet ihn als Priester in Ewigkeit nach der Ordnung Melchisedeks.</x:v>
      </x:c>
      <x:c r="M1043" s="36" t="str">
        <x:v>Hebräer 5,5–6</x:v>
      </x:c>
      <x:c r="N1043" s="36" t="str">
        <x:v>Der Autor verbindet Sohnschaft und die priesterliche Ordnung Melchisedeks mit Gottes Berufung Christi.</x:v>
      </x:c>
      <x:c r="O1043" s="36" t="str">
        <x:v>FREIGEGEBEN</x:v>
      </x:c>
      <x:c r="P1043" s="36" t="str">
        <x:v>FREIGEGEBEN</x:v>
      </x:c>
      <x:c r="Q1043" s="36" t="str">
        <x:v>JA</x:v>
      </x:c>
    </x:row>
    <x:row r="1044">
      <x:c r="A1044" s="36" t="str">
        <x:v>FP-1303</x:v>
      </x:c>
      <x:c r="B1044" s="36" t="str">
        <x:v>HEB</x:v>
      </x:c>
      <x:c r="C1044" s="36" t="str">
        <x:v>Hebräer</x:v>
      </x:c>
      <x:c r="D1044" s="36" t="n">
        <x:v>5</x:v>
      </x:c>
      <x:c r="E1044" s="36" t="n">
        <x:v>3</x:v>
      </x:c>
      <x:c r="F1044" s="36" t="str">
        <x:v>Was lernte Christus nach Hebräer 5 durch das, was er litt?</x:v>
      </x:c>
      <x:c r="G1044" s="36" t="str">
        <x:v>Misstrauen gegenüber Gott.</x:v>
      </x:c>
      <x:c r="H1044" s="36" t="str">
        <x:v>Wie man Leiden grundsätzlich vermeidet.</x:v>
      </x:c>
      <x:c r="I1044" s="36" t="str">
        <x:v>Gehorsam.</x:v>
      </x:c>
      <x:c r="J1044" s="36" t="str">
        <x:v>Dass seine Sendung beendet werden müsse.</x:v>
      </x:c>
      <x:c r="K1044" s="36" t="n">
        <x:v>2</x:v>
      </x:c>
      <x:c r="L1044" s="36" t="str">
        <x:v>Gehorsam.</x:v>
      </x:c>
      <x:c r="M1044" s="36" t="str">
        <x:v>Hebräer 5,7–9</x:v>
      </x:c>
      <x:c r="N1044" s="36" t="str">
        <x:v>Der Text beschreibt Jesu Weg des gehorsamen Leidens und verbindet ihn mit seiner vollendeten Heilsfunktion.</x:v>
      </x:c>
      <x:c r="O1044" s="36" t="str">
        <x:v>FREIGEGEBEN</x:v>
      </x:c>
      <x:c r="P1044" s="36" t="str">
        <x:v>FREIGEGEBEN</x:v>
      </x:c>
      <x:c r="Q1044" s="36" t="str">
        <x:v>JA</x:v>
      </x:c>
    </x:row>
    <x:row r="1045">
      <x:c r="A1045" s="36" t="str">
        <x:v>FP-1304</x:v>
      </x:c>
      <x:c r="B1045" s="36" t="str">
        <x:v>HEB</x:v>
      </x:c>
      <x:c r="C1045" s="36" t="str">
        <x:v>Hebräer</x:v>
      </x:c>
      <x:c r="D1045" s="36" t="n">
        <x:v>5</x:v>
      </x:c>
      <x:c r="E1045" s="36" t="n">
        <x:v>4</x:v>
      </x:c>
      <x:c r="F1045" s="36" t="str">
        <x:v>Für wen wird Christus in Hebräer 5 zur Quelle ewigen Heils?</x:v>
      </x:c>
      <x:c r="G1045" s="36" t="str">
        <x:v>Nur für Hohepriester.</x:v>
      </x:c>
      <x:c r="H1045" s="36" t="str">
        <x:v>Nur für Menschen ohne jede Schwäche.</x:v>
      </x:c>
      <x:c r="I1045" s="36" t="str">
        <x:v>Nur für diejenigen, die aus Levi stammen.</x:v>
      </x:c>
      <x:c r="J1045" s="36" t="str">
        <x:v>Für alle, die ihm gehorchen.</x:v>
      </x:c>
      <x:c r="K1045" s="36" t="n">
        <x:v>3</x:v>
      </x:c>
      <x:c r="L1045" s="36" t="str">
        <x:v>Für alle, die ihm gehorchen.</x:v>
      </x:c>
      <x:c r="M1045" s="36" t="str">
        <x:v>Hebräer 5,9–10</x:v>
      </x:c>
      <x:c r="N1045" s="36" t="str">
        <x:v>Die Aussage verbindet Jesu vollendeten priesterlichen Dienst mit ewigem Heil für die, die ihm folgen.</x:v>
      </x:c>
      <x:c r="O1045" s="36" t="str">
        <x:v>FREIGEGEBEN</x:v>
      </x:c>
      <x:c r="P1045" s="36" t="str">
        <x:v>FREIGEGEBEN</x:v>
      </x:c>
      <x:c r="Q1045" s="36" t="str">
        <x:v>JA</x:v>
      </x:c>
    </x:row>
    <x:row r="1046">
      <x:c r="A1046" s="36" t="str">
        <x:v>FP-1305</x:v>
      </x:c>
      <x:c r="B1046" s="36" t="str">
        <x:v>HEB</x:v>
      </x:c>
      <x:c r="C1046" s="36" t="str">
        <x:v>Hebräer</x:v>
      </x:c>
      <x:c r="D1046" s="36" t="n">
        <x:v>5</x:v>
      </x:c>
      <x:c r="E1046" s="36" t="n">
        <x:v>5</x:v>
      </x:c>
      <x:c r="F1046" s="36" t="str">
        <x:v>Woran erkennt man nach Hebräer 5 geistliche Reife?</x:v>
      </x:c>
      <x:c r="G1046" s="36" t="str">
        <x:v>An durch Übung geschultem Unterscheidungsvermögen zwischen Gut und Böse.</x:v>
      </x:c>
      <x:c r="H1046" s="36" t="str">
        <x:v>Daran, nur noch einfache Grundlagen hören zu wollen.</x:v>
      </x:c>
      <x:c r="I1046" s="36" t="str">
        <x:v>Daran, niemals mehr lernen zu müssen.</x:v>
      </x:c>
      <x:c r="J1046" s="36" t="str">
        <x:v>Daran, möglichst viele Streitfragen zu kennen.</x:v>
      </x:c>
      <x:c r="K1046" s="36" t="n">
        <x:v>0</x:v>
      </x:c>
      <x:c r="L1046" s="36" t="str">
        <x:v>An durch Übung geschultem Unterscheidungsvermögen zwischen Gut und Böse.</x:v>
      </x:c>
      <x:c r="M1046" s="36" t="str">
        <x:v>Hebräer 5,11–14</x:v>
      </x:c>
      <x:c r="N1046" s="36" t="str">
        <x:v>Feste Nahrung steht für Reife; entscheidend ist eingeübte geistliche Unterscheidung.</x:v>
      </x:c>
      <x:c r="O1046" s="36" t="str">
        <x:v>FREIGEGEBEN</x:v>
      </x:c>
      <x:c r="P1046" s="36" t="str">
        <x:v>FREIGEGEBEN</x:v>
      </x:c>
      <x:c r="Q1046" s="36" t="str">
        <x:v>JA</x:v>
      </x:c>
    </x:row>
    <x:row r="1047">
      <x:c r="A1047" s="36" t="str">
        <x:v>FP-1306</x:v>
      </x:c>
      <x:c r="B1047" s="36" t="str">
        <x:v>HEB</x:v>
      </x:c>
      <x:c r="C1047" s="36" t="str">
        <x:v>Hebräer</x:v>
      </x:c>
      <x:c r="D1047" s="36" t="n">
        <x:v>6</x:v>
      </x:c>
      <x:c r="E1047" s="36" t="n">
        <x:v>1</x:v>
      </x:c>
      <x:c r="F1047" s="36" t="str">
        <x:v>Wozu fordert Hebräer 6 nach den grundlegenden Lehren auf?</x:v>
      </x:c>
      <x:c r="G1047" s="36" t="str">
        <x:v>Immer wieder ausschließlich beim Anfang zu bleiben.</x:v>
      </x:c>
      <x:c r="H1047" s="36" t="str">
        <x:v>Zur Reife weiterzugehen.</x:v>
      </x:c>
      <x:c r="I1047" s="36" t="str">
        <x:v>Die Grundlagen des Glaubens zu verwerfen.</x:v>
      </x:c>
      <x:c r="J1047" s="36" t="str">
        <x:v>Nur noch über Spekulationen zu sprechen.</x:v>
      </x:c>
      <x:c r="K1047" s="36" t="n">
        <x:v>1</x:v>
      </x:c>
      <x:c r="L1047" s="36" t="str">
        <x:v>Zur Reife weiterzugehen.</x:v>
      </x:c>
      <x:c r="M1047" s="36" t="str">
        <x:v>Hebräer 6,1–3</x:v>
      </x:c>
      <x:c r="N1047" s="36" t="str">
        <x:v>Der Autor will die Grundlagen nicht abwerten, sondern auf ihnen zu geistlicher Reife weiterbauen.</x:v>
      </x:c>
      <x:c r="O1047" s="36" t="str">
        <x:v>FREIGEGEBEN</x:v>
      </x:c>
      <x:c r="P1047" s="36" t="str">
        <x:v>FREIGEGEBEN</x:v>
      </x:c>
      <x:c r="Q1047" s="36" t="str">
        <x:v>JA</x:v>
      </x:c>
    </x:row>
    <x:row r="1048">
      <x:c r="A1048" s="36" t="str">
        <x:v>FP-1307</x:v>
      </x:c>
      <x:c r="B1048" s="36" t="str">
        <x:v>HEB</x:v>
      </x:c>
      <x:c r="C1048" s="36" t="str">
        <x:v>Hebräer</x:v>
      </x:c>
      <x:c r="D1048" s="36" t="n">
        <x:v>6</x:v>
      </x:c>
      <x:c r="E1048" s="36" t="n">
        <x:v>2</x:v>
      </x:c>
      <x:c r="F1048" s="36" t="str">
        <x:v>Welchen ernsten Punkt macht die Warnpassage in Hebräer 6?</x:v>
      </x:c>
      <x:c r="G1048" s="36" t="str">
        <x:v>Jede einzelne Sünde sei automatisch unvergebbar.</x:v>
      </x:c>
      <x:c r="H1048" s="36" t="str">
        <x:v>Jeder Zweifel bedeute bereits endgültigen Abfall.</x:v>
      </x:c>
      <x:c r="I1048" s="36" t="str">
        <x:v>Bewusster Abfall nach tiefgreifender Teilhabe an den Gaben Gottes wird als äußerst ernst und nicht leicht rückgängig zu machen beschrieben.</x:v>
      </x:c>
      <x:c r="J1048" s="36" t="str">
        <x:v>Gott verweigere grundsätzlich jede Buße.</x:v>
      </x:c>
      <x:c r="K1048" s="36" t="n">
        <x:v>2</x:v>
      </x:c>
      <x:c r="L1048" s="36" t="str">
        <x:v>Bewusster Abfall nach tiefgreifender Teilhabe an den Gaben Gottes wird als äußerst ernst und nicht leicht rückgängig zu machen beschrieben.</x:v>
      </x:c>
      <x:c r="M1048" s="36" t="str">
        <x:v>Hebräer 6,4–8</x:v>
      </x:c>
      <x:c r="N1048" s="36" t="str">
        <x:v>Die Passage ist bewusst scharf formuliert und warnt vor entschiedener Abkehr, nicht vor jedem einzelnen Versagen oder jeder Anfechtung.</x:v>
      </x:c>
      <x:c r="O1048" s="36" t="str">
        <x:v>FREIGEGEBEN</x:v>
      </x:c>
      <x:c r="P1048" s="36" t="str">
        <x:v>FREIGEGEBEN</x:v>
      </x:c>
      <x:c r="Q1048" s="36" t="str">
        <x:v>JA</x:v>
      </x:c>
    </x:row>
    <x:row r="1049">
      <x:c r="A1049" s="36" t="str">
        <x:v>FP-1308</x:v>
      </x:c>
      <x:c r="B1049" s="36" t="str">
        <x:v>HEB</x:v>
      </x:c>
      <x:c r="C1049" s="36" t="str">
        <x:v>Hebräer</x:v>
      </x:c>
      <x:c r="D1049" s="36" t="n">
        <x:v>6</x:v>
      </x:c>
      <x:c r="E1049" s="36" t="n">
        <x:v>3</x:v>
      </x:c>
      <x:c r="F1049" s="36" t="str">
        <x:v>Warum ist der Autor trotz seiner Warnung zuversichtlich im Blick auf die Leser?</x:v>
      </x:c>
      <x:c r="G1049" s="36" t="str">
        <x:v>Weil ihre Zukunft unabhängig von ihrem Leben garantiert sei.</x:v>
      </x:c>
      <x:c r="H1049" s="36" t="str">
        <x:v>Weil sie keinerlei weitere Ausdauer brauchen.</x:v>
      </x:c>
      <x:c r="I1049" s="36" t="str">
        <x:v>Weil gute Werke Gottes Gnade ersetzen.</x:v>
      </x:c>
      <x:c r="J1049" s="36" t="str">
        <x:v>Weil Gott ihre Arbeit und die Liebe nicht vergisst, die sie im Dienst an den Heiligen gezeigt haben.</x:v>
      </x:c>
      <x:c r="K1049" s="36" t="n">
        <x:v>3</x:v>
      </x:c>
      <x:c r="L1049" s="36" t="str">
        <x:v>Weil Gott ihre Arbeit und die Liebe nicht vergisst, die sie im Dienst an den Heiligen gezeigt haben.</x:v>
      </x:c>
      <x:c r="M1049" s="36" t="str">
        <x:v>Hebräer 6,9–10</x:v>
      </x:c>
      <x:c r="N1049" s="36" t="str">
        <x:v>Nach der Warnung folgt bewusste Ermutigung: gelebte Liebe und Dienst werden von Gott nicht übersehen.</x:v>
      </x:c>
      <x:c r="O1049" s="36" t="str">
        <x:v>FREIGEGEBEN</x:v>
      </x:c>
      <x:c r="P1049" s="36" t="str">
        <x:v>FREIGEGEBEN</x:v>
      </x:c>
      <x:c r="Q1049" s="36" t="str">
        <x:v>JA</x:v>
      </x:c>
    </x:row>
    <x:row r="1050">
      <x:c r="A1050" s="36" t="str">
        <x:v>FP-1309</x:v>
      </x:c>
      <x:c r="B1050" s="36" t="str">
        <x:v>HEB</x:v>
      </x:c>
      <x:c r="C1050" s="36" t="str">
        <x:v>Hebräer</x:v>
      </x:c>
      <x:c r="D1050" s="36" t="n">
        <x:v>6</x:v>
      </x:c>
      <x:c r="E1050" s="36" t="n">
        <x:v>4</x:v>
      </x:c>
      <x:c r="F1050" s="36" t="str">
        <x:v>Wen sollen die Glaubenden nachahmen?</x:v>
      </x:c>
      <x:c r="G1050" s="36" t="str">
        <x:v>Diejenigen, die durch Glauben und Geduld die Verheißungen erben.</x:v>
      </x:c>
      <x:c r="H1050" s="36" t="str">
        <x:v>Menschen, die jede Schwierigkeit vermeiden.</x:v>
      </x:c>
      <x:c r="I1050" s="36" t="str">
        <x:v>Nur besonders bekannte Leiter.</x:v>
      </x:c>
      <x:c r="J1050" s="36" t="str">
        <x:v>Menschen, die ihre Hoffnung aufgeben.</x:v>
      </x:c>
      <x:c r="K1050" s="36" t="n">
        <x:v>0</x:v>
      </x:c>
      <x:c r="L1050" s="36" t="str">
        <x:v>Diejenigen, die durch Glauben und Geduld die Verheißungen erben.</x:v>
      </x:c>
      <x:c r="M1050" s="36" t="str">
        <x:v>Hebräer 6,11–15</x:v>
      </x:c>
      <x:c r="N1050" s="36" t="str">
        <x:v>Glaube und Geduld gehören im Kapitel zusammen; Abraham dient dafür als Beispiel.</x:v>
      </x:c>
      <x:c r="O1050" s="36" t="str">
        <x:v>FREIGEGEBEN</x:v>
      </x:c>
      <x:c r="P1050" s="36" t="str">
        <x:v>FREIGEGEBEN</x:v>
      </x:c>
      <x:c r="Q1050" s="36" t="str">
        <x:v>JA</x:v>
      </x:c>
    </x:row>
    <x:row r="1051">
      <x:c r="A1051" s="36" t="str">
        <x:v>FP-1310</x:v>
      </x:c>
      <x:c r="B1051" s="36" t="str">
        <x:v>HEB</x:v>
      </x:c>
      <x:c r="C1051" s="36" t="str">
        <x:v>Hebräer</x:v>
      </x:c>
      <x:c r="D1051" s="36" t="n">
        <x:v>6</x:v>
      </x:c>
      <x:c r="E1051" s="36" t="n">
        <x:v>5</x:v>
      </x:c>
      <x:c r="F1051" s="36" t="str">
        <x:v>Welches Bild verwendet Hebräer 6 für die Hoffnung?</x:v>
      </x:c>
      <x:c r="G1051" s="36" t="str">
        <x:v>Ein wechselndes Gefühl ohne festen Grund.</x:v>
      </x:c>
      <x:c r="H1051" s="36" t="str">
        <x:v>Einen sicheren und festen Anker der Seele, der bis hinter den Vorhang reicht, wohin Jesus vorausgegangen ist.</x:v>
      </x:c>
      <x:c r="I1051" s="36" t="str">
        <x:v>Ein Schiff ohne Anker.</x:v>
      </x:c>
      <x:c r="J1051" s="36" t="str">
        <x:v>Eine Erinnerung nur an vergangene Ereignisse.</x:v>
      </x:c>
      <x:c r="K1051" s="36" t="n">
        <x:v>1</x:v>
      </x:c>
      <x:c r="L1051" s="36" t="str">
        <x:v>Einen sicheren und festen Anker der Seele, der bis hinter den Vorhang reicht, wohin Jesus vorausgegangen ist.</x:v>
      </x:c>
      <x:c r="M1051" s="36" t="str">
        <x:v>Hebräer 6,17–20</x:v>
      </x:c>
      <x:c r="N1051" s="36" t="str">
        <x:v>Die Hoffnung ist fest, weil sie in Gottes unveränderlicher Verheißung und Jesu priesterlichem Zugang gründet.</x:v>
      </x:c>
      <x:c r="O1051" s="36" t="str">
        <x:v>FREIGEGEBEN</x:v>
      </x:c>
      <x:c r="P1051" s="36" t="str">
        <x:v>FREIGEGEBEN</x:v>
      </x:c>
      <x:c r="Q1051" s="36" t="str">
        <x:v>JA</x:v>
      </x:c>
    </x:row>
    <x:row r="1052">
      <x:c r="A1052" s="36" t="str">
        <x:v>FP-1311</x:v>
      </x:c>
      <x:c r="B1052" s="36" t="str">
        <x:v>HEB</x:v>
      </x:c>
      <x:c r="C1052" s="36" t="str">
        <x:v>Hebräer</x:v>
      </x:c>
      <x:c r="D1052" s="36" t="n">
        <x:v>7</x:v>
      </x:c>
      <x:c r="E1052" s="36" t="n">
        <x:v>1</x:v>
      </x:c>
      <x:c r="F1052" s="36" t="str">
        <x:v>Wie wird Melchisedek zu Beginn von Hebräer 7 vorgestellt?</x:v>
      </x:c>
      <x:c r="G1052" s="36" t="str">
        <x:v>Als Sohn Aarons.</x:v>
      </x:c>
      <x:c r="H1052" s="36" t="str">
        <x:v>Als König von Ägypten.</x:v>
      </x:c>
      <x:c r="I1052" s="36" t="str">
        <x:v>Als König von Salem und Priester des höchsten Gottes, der Abraham segnete.</x:v>
      </x:c>
      <x:c r="J1052" s="36" t="str">
        <x:v>Als einer der zwölf Apostel.</x:v>
      </x:c>
      <x:c r="K1052" s="36" t="n">
        <x:v>2</x:v>
      </x:c>
      <x:c r="L1052" s="36" t="str">
        <x:v>Als König von Salem und Priester des höchsten Gottes, der Abraham segnete.</x:v>
      </x:c>
      <x:c r="M1052" s="36" t="str">
        <x:v>Hebräer 7,1–3</x:v>
      </x:c>
      <x:c r="N1052" s="36" t="str">
        <x:v>Der Autor greift die Begegnung Abrahams mit Melchisedek auf und nutzt sie für den Vergleich des Priestertums.</x:v>
      </x:c>
      <x:c r="O1052" s="36" t="str">
        <x:v>FREIGEGEBEN</x:v>
      </x:c>
      <x:c r="P1052" s="36" t="str">
        <x:v>FREIGEGEBEN</x:v>
      </x:c>
      <x:c r="Q1052" s="36" t="str">
        <x:v>JA</x:v>
      </x:c>
    </x:row>
    <x:row r="1053">
      <x:c r="A1053" s="36" t="str">
        <x:v>FP-1312</x:v>
      </x:c>
      <x:c r="B1053" s="36" t="str">
        <x:v>HEB</x:v>
      </x:c>
      <x:c r="C1053" s="36" t="str">
        <x:v>Hebräer</x:v>
      </x:c>
      <x:c r="D1053" s="36" t="n">
        <x:v>7</x:v>
      </x:c>
      <x:c r="E1053" s="36" t="n">
        <x:v>2</x:v>
      </x:c>
      <x:c r="F1053" s="36" t="str">
        <x:v>Was soll Abrahams Zehntgabe an Melchisedek verdeutlichen?</x:v>
      </x:c>
      <x:c r="G1053" s="36" t="str">
        <x:v>Dass Abraham Priester nach der Ordnung Aarons war.</x:v>
      </x:c>
      <x:c r="H1053" s="36" t="str">
        <x:v>Dass Melchisedek von Abraham abhängig war.</x:v>
      </x:c>
      <x:c r="I1053" s="36" t="str">
        <x:v>Dass der Zehnte im Kapitel als bedeutungslos gilt.</x:v>
      </x:c>
      <x:c r="J1053" s="36" t="str">
        <x:v>Die besondere Größe und Vorrangstellung Melchisedeks gegenüber Abraham.</x:v>
      </x:c>
      <x:c r="K1053" s="36" t="n">
        <x:v>3</x:v>
      </x:c>
      <x:c r="L1053" s="36" t="str">
        <x:v>Die besondere Größe und Vorrangstellung Melchisedeks gegenüber Abraham.</x:v>
      </x:c>
      <x:c r="M1053" s="36" t="str">
        <x:v>Hebräer 7,4–10</x:v>
      </x:c>
      <x:c r="N1053" s="36" t="str">
        <x:v>Dass Abraham den Zehnten gibt und von Melchisedek gesegnet wird, dient dem Argument seiner Vorrangstellung.</x:v>
      </x:c>
      <x:c r="O1053" s="36" t="str">
        <x:v>FREIGEGEBEN</x:v>
      </x:c>
      <x:c r="P1053" s="36" t="str">
        <x:v>FREIGEGEBEN</x:v>
      </x:c>
      <x:c r="Q1053" s="36" t="str">
        <x:v>JA</x:v>
      </x:c>
    </x:row>
    <x:row r="1054">
      <x:c r="A1054" s="36" t="str">
        <x:v>FP-1313</x:v>
      </x:c>
      <x:c r="B1054" s="36" t="str">
        <x:v>HEB</x:v>
      </x:c>
      <x:c r="C1054" s="36" t="str">
        <x:v>Hebräer</x:v>
      </x:c>
      <x:c r="D1054" s="36" t="n">
        <x:v>7</x:v>
      </x:c>
      <x:c r="E1054" s="36" t="n">
        <x:v>3</x:v>
      </x:c>
      <x:c r="F1054" s="36" t="str">
        <x:v>Warum ist nach Hebräer 7 ein anderes Priestertum nötig?</x:v>
      </x:c>
      <x:c r="G1054" s="36" t="str">
        <x:v>Weil das levitische Priestertum die Vollkommenheit nicht hervorbringen konnte.</x:v>
      </x:c>
      <x:c r="H1054" s="36" t="str">
        <x:v>Weil die Leviten überhaupt keinen Dienst ausgeübt hätten.</x:v>
      </x:c>
      <x:c r="I1054" s="36" t="str">
        <x:v>Weil Mose das Priestertum vollständig verboten hatte.</x:v>
      </x:c>
      <x:c r="J1054" s="36" t="str">
        <x:v>Weil Jesus aus dem Stamm Levi stammt.</x:v>
      </x:c>
      <x:c r="K1054" s="36" t="n">
        <x:v>0</x:v>
      </x:c>
      <x:c r="L1054" s="36" t="str">
        <x:v>Weil das levitische Priestertum die Vollkommenheit nicht hervorbringen konnte.</x:v>
      </x:c>
      <x:c r="M1054" s="36" t="str">
        <x:v>Hebräer 7,11–19</x:v>
      </x:c>
      <x:c r="N1054" s="36" t="str">
        <x:v>Der Wechsel zum Priestertum nach der Ordnung Melchisedeks wird mit der Unzulänglichkeit des bisherigen Systems begründet.</x:v>
      </x:c>
      <x:c r="O1054" s="36" t="str">
        <x:v>FREIGEGEBEN</x:v>
      </x:c>
      <x:c r="P1054" s="36" t="str">
        <x:v>FREIGEGEBEN</x:v>
      </x:c>
      <x:c r="Q1054" s="36" t="str">
        <x:v>JA</x:v>
      </x:c>
    </x:row>
    <x:row r="1055">
      <x:c r="A1055" s="36" t="str">
        <x:v>FP-1314</x:v>
      </x:c>
      <x:c r="B1055" s="36" t="str">
        <x:v>HEB</x:v>
      </x:c>
      <x:c r="C1055" s="36" t="str">
        <x:v>Hebräer</x:v>
      </x:c>
      <x:c r="D1055" s="36" t="n">
        <x:v>7</x:v>
      </x:c>
      <x:c r="E1055" s="36" t="n">
        <x:v>4</x:v>
      </x:c>
      <x:c r="F1055" s="36" t="str">
        <x:v>Was unterscheidet Jesu Priestertum wesentlich von den vielen früheren Priestern?</x:v>
      </x:c>
      <x:c r="G1055" s="36" t="str">
        <x:v>Jesus muss sein Amt regelmäßig weitergeben.</x:v>
      </x:c>
      <x:c r="H1055" s="36" t="str">
        <x:v>Jesus lebt für immer und besitzt deshalb ein bleibendes Priestertum.</x:v>
      </x:c>
      <x:c r="I1055" s="36" t="str">
        <x:v>Sein Priestertum endet mit seinem Tod.</x:v>
      </x:c>
      <x:c r="J1055" s="36" t="str">
        <x:v>Er ist nur für eine Generation Priester.</x:v>
      </x:c>
      <x:c r="K1055" s="36" t="n">
        <x:v>1</x:v>
      </x:c>
      <x:c r="L1055" s="36" t="str">
        <x:v>Jesus lebt für immer und besitzt deshalb ein bleibendes Priestertum.</x:v>
      </x:c>
      <x:c r="M1055" s="36" t="str">
        <x:v>Hebräer 7,23–25</x:v>
      </x:c>
      <x:c r="N1055" s="36" t="str">
        <x:v>Der Tod begrenzte frühere Priester; Jesu unvergängliches Leben macht seinen Dienst dauerhaft.</x:v>
      </x:c>
      <x:c r="O1055" s="36" t="str">
        <x:v>FREIGEGEBEN</x:v>
      </x:c>
      <x:c r="P1055" s="36" t="str">
        <x:v>FREIGEGEBEN</x:v>
      </x:c>
      <x:c r="Q1055" s="36" t="str">
        <x:v>JA</x:v>
      </x:c>
    </x:row>
    <x:row r="1056">
      <x:c r="A1056" s="36" t="str">
        <x:v>FP-1315</x:v>
      </x:c>
      <x:c r="B1056" s="36" t="str">
        <x:v>HEB</x:v>
      </x:c>
      <x:c r="C1056" s="36" t="str">
        <x:v>Hebräer</x:v>
      </x:c>
      <x:c r="D1056" s="36" t="n">
        <x:v>7</x:v>
      </x:c>
      <x:c r="E1056" s="36" t="n">
        <x:v>5</x:v>
      </x:c>
      <x:c r="F1056" s="36" t="str">
        <x:v>Warum kann Jesus die, die durch ihn zu Gott kommen, vollständig retten?</x:v>
      </x:c>
      <x:c r="G1056" s="36" t="str">
        <x:v>Weil er täglich neue Opfer für eigene Sünden bringt.</x:v>
      </x:c>
      <x:c r="H1056" s="36" t="str">
        <x:v>Weil er keine Fürbitte mehr ausübt.</x:v>
      </x:c>
      <x:c r="I1056" s="36" t="str">
        <x:v>Weil er immer lebt, um für sie einzutreten, und sich selbst ein für alle Mal geopfert hat.</x:v>
      </x:c>
      <x:c r="J1056" s="36" t="str">
        <x:v>Weil das Gesetz bereits alles vollkommen gemacht hatte.</x:v>
      </x:c>
      <x:c r="K1056" s="36" t="n">
        <x:v>2</x:v>
      </x:c>
      <x:c r="L1056" s="36" t="str">
        <x:v>Weil er immer lebt, um für sie einzutreten, und sich selbst ein für alle Mal geopfert hat.</x:v>
      </x:c>
      <x:c r="M1056" s="36" t="str">
        <x:v>Hebräer 7,25–28</x:v>
      </x:c>
      <x:c r="N1056" s="36" t="str">
        <x:v>Jesu bleibende Fürbitte und sein einmaliges Selbstopfer stehen im Zentrum seiner überlegenen priesterlichen Wirksamkeit.</x:v>
      </x:c>
      <x:c r="O1056" s="36" t="str">
        <x:v>FREIGEGEBEN</x:v>
      </x:c>
      <x:c r="P1056" s="36" t="str">
        <x:v>FREIGEGEBEN</x:v>
      </x:c>
      <x:c r="Q1056" s="36" t="str">
        <x:v>JA</x:v>
      </x:c>
    </x:row>
    <x:row r="1057">
      <x:c r="A1057" s="36" t="str">
        <x:v>FP-1316</x:v>
      </x:c>
      <x:c r="B1057" s="36" t="str">
        <x:v>HEB</x:v>
      </x:c>
      <x:c r="C1057" s="36" t="str">
        <x:v>Hebräer</x:v>
      </x:c>
      <x:c r="D1057" s="36" t="n">
        <x:v>8</x:v>
      </x:c>
      <x:c r="E1057" s="36" t="n">
        <x:v>1</x:v>
      </x:c>
      <x:c r="F1057" s="36" t="str">
        <x:v>Was nennt Hebräer 8 ausdrücklich als Hauptpunkt?</x:v>
      </x:c>
      <x:c r="G1057" s="36" t="str">
        <x:v>Das irdische Heiligtum sei endgültig das Zentrum des neuen Bundes.</x:v>
      </x:c>
      <x:c r="H1057" s="36" t="str">
        <x:v>Mose sei der letzte und höchste Priester.</x:v>
      </x:c>
      <x:c r="I1057" s="36" t="str">
        <x:v>Engel hätten den neuen Bund gestiftet.</x:v>
      </x:c>
      <x:c r="J1057" s="36" t="str">
        <x:v>Wir haben einen Hohenpriester, der zur Rechten der Majestät im Himmel sitzt.</x:v>
      </x:c>
      <x:c r="K1057" s="36" t="n">
        <x:v>3</x:v>
      </x:c>
      <x:c r="L1057" s="36" t="str">
        <x:v>Wir haben einen Hohenpriester, der zur Rechten der Majestät im Himmel sitzt.</x:v>
      </x:c>
      <x:c r="M1057" s="36" t="str">
        <x:v>Hebräer 8,1–2</x:v>
      </x:c>
      <x:c r="N1057" s="36" t="str">
        <x:v>Der Autor bündelt sein bisheriges Argument in Jesu himmlischem Hohepriestertum.</x:v>
      </x:c>
      <x:c r="O1057" s="36" t="str">
        <x:v>FREIGEGEBEN</x:v>
      </x:c>
      <x:c r="P1057" s="36" t="str">
        <x:v>FREIGEGEBEN</x:v>
      </x:c>
      <x:c r="Q1057" s="36" t="str">
        <x:v>JA</x:v>
      </x:c>
    </x:row>
    <x:row r="1058">
      <x:c r="A1058" s="36" t="str">
        <x:v>FP-1317</x:v>
      </x:c>
      <x:c r="B1058" s="36" t="str">
        <x:v>HEB</x:v>
      </x:c>
      <x:c r="C1058" s="36" t="str">
        <x:v>Hebräer</x:v>
      </x:c>
      <x:c r="D1058" s="36" t="n">
        <x:v>8</x:v>
      </x:c>
      <x:c r="E1058" s="36" t="n">
        <x:v>2</x:v>
      </x:c>
      <x:c r="F1058" s="36" t="str">
        <x:v>Wie wird der irdische priesterliche Dienst gegenüber den himmlischen Dingen beschrieben?</x:v>
      </x:c>
      <x:c r="G1058" s="36" t="str">
        <x:v>Als Abbild und Schatten der himmlischen Wirklichkeit.</x:v>
      </x:c>
      <x:c r="H1058" s="36" t="str">
        <x:v>Als die endgültige Wirklichkeit selbst.</x:v>
      </x:c>
      <x:c r="I1058" s="36" t="str">
        <x:v>Als bedeutungslos und ohne jeden Bezug zu Gott.</x:v>
      </x:c>
      <x:c r="J1058" s="36" t="str">
        <x:v>Als Werk, das Christus überflüssig macht.</x:v>
      </x:c>
      <x:c r="K1058" s="36" t="n">
        <x:v>0</x:v>
      </x:c>
      <x:c r="L1058" s="36" t="str">
        <x:v>Als Abbild und Schatten der himmlischen Wirklichkeit.</x:v>
      </x:c>
      <x:c r="M1058" s="36" t="str">
        <x:v>Hebräer 8,3–5</x:v>
      </x:c>
      <x:c r="N1058" s="36" t="str">
        <x:v>Der irdische Dienst hat nach dem Text Vorbildcharakter, aber Christus dient in der eigentlichen himmlischen Wirklichkeit.</x:v>
      </x:c>
      <x:c r="O1058" s="36" t="str">
        <x:v>FREIGEGEBEN</x:v>
      </x:c>
      <x:c r="P1058" s="36" t="str">
        <x:v>FREIGEGEBEN</x:v>
      </x:c>
      <x:c r="Q1058" s="36" t="str">
        <x:v>JA</x:v>
      </x:c>
    </x:row>
    <x:row r="1059">
      <x:c r="A1059" s="36" t="str">
        <x:v>FP-1318</x:v>
      </x:c>
      <x:c r="B1059" s="36" t="str">
        <x:v>HEB</x:v>
      </x:c>
      <x:c r="C1059" s="36" t="str">
        <x:v>Hebräer</x:v>
      </x:c>
      <x:c r="D1059" s="36" t="n">
        <x:v>8</x:v>
      </x:c>
      <x:c r="E1059" s="36" t="n">
        <x:v>3</x:v>
      </x:c>
      <x:c r="F1059" s="36" t="str">
        <x:v>Warum wird Jesu Dienst als überlegen beschrieben?</x:v>
      </x:c>
      <x:c r="G1059" s="36" t="str">
        <x:v>Weil er den ersten Bund wortgleich wiederholt.</x:v>
      </x:c>
      <x:c r="H1059" s="36" t="str">
        <x:v>Er ist Mittler eines besseren Bundes, der auf besseren Verheißungen beruht.</x:v>
      </x:c>
      <x:c r="I1059" s="36" t="str">
        <x:v>Weil im neuen Bund keine Verheißungen mehr nötig sind.</x:v>
      </x:c>
      <x:c r="J1059" s="36" t="str">
        <x:v>Weil menschliche Leistung die Grundlage des neuen Bundes ist.</x:v>
      </x:c>
      <x:c r="K1059" s="36" t="n">
        <x:v>1</x:v>
      </x:c>
      <x:c r="L1059" s="36" t="str">
        <x:v>Er ist Mittler eines besseren Bundes, der auf besseren Verheißungen beruht.</x:v>
      </x:c>
      <x:c r="M1059" s="36" t="str">
        <x:v>Hebräer 8,6</x:v>
      </x:c>
      <x:c r="N1059" s="36" t="str">
        <x:v>Jesu besserer Dienst und der bessere Bund werden im Vers unmittelbar miteinander verbunden.</x:v>
      </x:c>
      <x:c r="O1059" s="36" t="str">
        <x:v>FREIGEGEBEN</x:v>
      </x:c>
      <x:c r="P1059" s="36" t="str">
        <x:v>FREIGEGEBEN</x:v>
      </x:c>
      <x:c r="Q1059" s="36" t="str">
        <x:v>JA</x:v>
      </x:c>
    </x:row>
    <x:row r="1060">
      <x:c r="A1060" s="36" t="str">
        <x:v>FP-1319</x:v>
      </x:c>
      <x:c r="B1060" s="36" t="str">
        <x:v>HEB</x:v>
      </x:c>
      <x:c r="C1060" s="36" t="str">
        <x:v>Hebräer</x:v>
      </x:c>
      <x:c r="D1060" s="36" t="n">
        <x:v>8</x:v>
      </x:c>
      <x:c r="E1060" s="36" t="n">
        <x:v>4</x:v>
      </x:c>
      <x:c r="F1060" s="36" t="str">
        <x:v>Was gehört nach Hebräer 8 zum neuen Bund?</x:v>
      </x:c>
      <x:c r="G1060" s="36" t="str">
        <x:v>Gottes Wille bleibt ausschließlich auf Steintafeln außerhalb des Menschen.</x:v>
      </x:c>
      <x:c r="H1060" s="36" t="str">
        <x:v>Die Beziehung zu Gott wird nur noch über menschliche Priester möglich.</x:v>
      </x:c>
      <x:c r="I1060" s="36" t="str">
        <x:v>Gottes Gesetze werden in Sinn und Herz geschrieben, und Gott will ihr Gott sein.</x:v>
      </x:c>
      <x:c r="J1060" s="36" t="str">
        <x:v>Nur eine kleine Gruppe darf Gott kennen.</x:v>
      </x:c>
      <x:c r="K1060" s="36" t="n">
        <x:v>2</x:v>
      </x:c>
      <x:c r="L1060" s="36" t="str">
        <x:v>Gottes Gesetze werden in Sinn und Herz geschrieben, und Gott will ihr Gott sein.</x:v>
      </x:c>
      <x:c r="M1060" s="36" t="str">
        <x:v>Hebräer 8,8–11</x:v>
      </x:c>
      <x:c r="N1060" s="36" t="str">
        <x:v>Der neue Bund wird durch innere Erneuerung und unmittelbare Zugehörigkeit zu Gott charakterisiert.</x:v>
      </x:c>
      <x:c r="O1060" s="36" t="str">
        <x:v>FREIGEGEBEN</x:v>
      </x:c>
      <x:c r="P1060" s="36" t="str">
        <x:v>FREIGEGEBEN</x:v>
      </x:c>
      <x:c r="Q1060" s="36" t="str">
        <x:v>JA</x:v>
      </x:c>
    </x:row>
    <x:row r="1061">
      <x:c r="A1061" s="36" t="str">
        <x:v>FP-1320</x:v>
      </x:c>
      <x:c r="B1061" s="36" t="str">
        <x:v>HEB</x:v>
      </x:c>
      <x:c r="C1061" s="36" t="str">
        <x:v>Hebräer</x:v>
      </x:c>
      <x:c r="D1061" s="36" t="n">
        <x:v>8</x:v>
      </x:c>
      <x:c r="E1061" s="36" t="n">
        <x:v>5</x:v>
      </x:c>
      <x:c r="F1061" s="36" t="str">
        <x:v>Welche Verheißung steht am Ende des Zitats über den neuen Bund?</x:v>
      </x:c>
      <x:c r="G1061" s="36" t="str">
        <x:v>Gott werde jede vergangene Sünde ständig neu anrechnen.</x:v>
      </x:c>
      <x:c r="H1061" s="36" t="str">
        <x:v>Vergebung werde durch mehr Tieropfer verdient.</x:v>
      </x:c>
      <x:c r="I1061" s="36" t="str">
        <x:v>Nur äußere Reinheit sei entscheidend.</x:v>
      </x:c>
      <x:c r="J1061" s="36" t="str">
        <x:v>Gott wird gnädig sein und ihrer Sünden nicht mehr gedenken.</x:v>
      </x:c>
      <x:c r="K1061" s="36" t="n">
        <x:v>3</x:v>
      </x:c>
      <x:c r="L1061" s="36" t="str">
        <x:v>Gott wird gnädig sein und ihrer Sünden nicht mehr gedenken.</x:v>
      </x:c>
      <x:c r="M1061" s="36" t="str">
        <x:v>Hebräer 8,12–13</x:v>
      </x:c>
      <x:c r="N1061" s="36" t="str">
        <x:v>Vergebung gehört zu den entscheidenden Kennzeichen des angekündigten neuen Bundes.</x:v>
      </x:c>
      <x:c r="O1061" s="36" t="str">
        <x:v>FREIGEGEBEN</x:v>
      </x:c>
      <x:c r="P1061" s="36" t="str">
        <x:v>FREIGEGEBEN</x:v>
      </x:c>
      <x:c r="Q1061" s="36" t="str">
        <x:v>JA</x:v>
      </x:c>
    </x:row>
    <x:row r="1062">
      <x:c r="A1062" s="36" t="str">
        <x:v>FP-1321</x:v>
      </x:c>
      <x:c r="B1062" s="36" t="str">
        <x:v>HEB</x:v>
      </x:c>
      <x:c r="C1062" s="36" t="str">
        <x:v>Hebräer</x:v>
      </x:c>
      <x:c r="D1062" s="36" t="n">
        <x:v>9</x:v>
      </x:c>
      <x:c r="E1062" s="36" t="n">
        <x:v>1</x:v>
      </x:c>
      <x:c r="F1062" s="36" t="str">
        <x:v>Was zeigt der jährliche Zugang des Hohenpriesters zum Allerheiligsten im ersten Bund?</x:v>
      </x:c>
      <x:c r="G1062" s="36" t="str">
        <x:v>Der freie Weg ins Allerheiligste war unter dieser Ordnung noch nicht vollständig geöffnet.</x:v>
      </x:c>
      <x:c r="H1062" s="36" t="str">
        <x:v>Jeder Israelit konnte jederzeit eintreten.</x:v>
      </x:c>
      <x:c r="I1062" s="36" t="str">
        <x:v>Der Hohepriester ging täglich ohne Opfer hinein.</x:v>
      </x:c>
      <x:c r="J1062" s="36" t="str">
        <x:v>Das Allerheiligste hatte keinerlei Bedeutung.</x:v>
      </x:c>
      <x:c r="K1062" s="36" t="n">
        <x:v>0</x:v>
      </x:c>
      <x:c r="L1062" s="36" t="str">
        <x:v>Der freie Weg ins Allerheiligste war unter dieser Ordnung noch nicht vollständig geöffnet.</x:v>
      </x:c>
      <x:c r="M1062" s="36" t="str">
        <x:v>Hebräer 9,6–10</x:v>
      </x:c>
      <x:c r="N1062" s="36" t="str">
        <x:v>Der begrenzte Zugang dient im Kapitel als Zeichen für die Grenzen der alten kultischen Ordnung.</x:v>
      </x:c>
      <x:c r="O1062" s="36" t="str">
        <x:v>FREIGEGEBEN</x:v>
      </x:c>
      <x:c r="P1062" s="36" t="str">
        <x:v>FREIGEGEBEN</x:v>
      </x:c>
      <x:c r="Q1062" s="36" t="str">
        <x:v>JA</x:v>
      </x:c>
    </x:row>
    <x:row r="1063">
      <x:c r="A1063" s="36" t="str">
        <x:v>FP-1322</x:v>
      </x:c>
      <x:c r="B1063" s="36" t="str">
        <x:v>HEB</x:v>
      </x:c>
      <x:c r="C1063" s="36" t="str">
        <x:v>Hebräer</x:v>
      </x:c>
      <x:c r="D1063" s="36" t="n">
        <x:v>9</x:v>
      </x:c>
      <x:c r="E1063" s="36" t="n">
        <x:v>2</x:v>
      </x:c>
      <x:c r="F1063" s="36" t="str">
        <x:v>Wodurch trat Christus als Hohepriester ein und was erlangte er?</x:v>
      </x:c>
      <x:c r="G1063" s="36" t="str">
        <x:v>Durch das Blut von Böcken und Kälbern jedes Jahr neu.</x:v>
      </x:c>
      <x:c r="H1063" s="36" t="str">
        <x:v>Durch sein eigenes Blut ein für alle Mal, wodurch er ewige Erlösung erlangte.</x:v>
      </x:c>
      <x:c r="I1063" s="36" t="str">
        <x:v>Ohne Opfer und ohne Bezug zur Erlösung.</x:v>
      </x:c>
      <x:c r="J1063" s="36" t="str">
        <x:v>Durch die Verdienste früherer Priester.</x:v>
      </x:c>
      <x:c r="K1063" s="36" t="n">
        <x:v>1</x:v>
      </x:c>
      <x:c r="L1063" s="36" t="str">
        <x:v>Durch sein eigenes Blut ein für alle Mal, wodurch er ewige Erlösung erlangte.</x:v>
      </x:c>
      <x:c r="M1063" s="36" t="str">
        <x:v>Hebräer 9,11–12</x:v>
      </x:c>
      <x:c r="N1063" s="36" t="str">
        <x:v>Christi eigenes Opfer wird der wiederholten Tieropferpraxis gegenübergestellt und als einmalig wirksam beschrieben.</x:v>
      </x:c>
      <x:c r="O1063" s="36" t="str">
        <x:v>FREIGEGEBEN</x:v>
      </x:c>
      <x:c r="P1063" s="36" t="str">
        <x:v>FREIGEGEBEN</x:v>
      </x:c>
      <x:c r="Q1063" s="36" t="str">
        <x:v>JA</x:v>
      </x:c>
    </x:row>
    <x:row r="1064">
      <x:c r="A1064" s="36" t="str">
        <x:v>FP-1323</x:v>
      </x:c>
      <x:c r="B1064" s="36" t="str">
        <x:v>HEB</x:v>
      </x:c>
      <x:c r="C1064" s="36" t="str">
        <x:v>Hebräer</x:v>
      </x:c>
      <x:c r="D1064" s="36" t="n">
        <x:v>9</x:v>
      </x:c>
      <x:c r="E1064" s="36" t="n">
        <x:v>3</x:v>
      </x:c>
      <x:c r="F1064" s="36" t="str">
        <x:v>Was bewirkt das Blut Christi nach Hebräer 9 über äußere Reinigung hinaus?</x:v>
      </x:c>
      <x:c r="G1064" s="36" t="str">
        <x:v>Es betrifft nur körperliche Reinheit.</x:v>
      </x:c>
      <x:c r="H1064" s="36" t="str">
        <x:v>Es macht jeden weiteren Dienst an Gott unnötig.</x:v>
      </x:c>
      <x:c r="I1064" s="36" t="str">
        <x:v>Es reinigt das Gewissen von toten Werken, damit Menschen dem lebendigen Gott dienen.</x:v>
      </x:c>
      <x:c r="J1064" s="36" t="str">
        <x:v>Es ersetzt das Gewissen vollständig.</x:v>
      </x:c>
      <x:c r="K1064" s="36" t="n">
        <x:v>2</x:v>
      </x:c>
      <x:c r="L1064" s="36" t="str">
        <x:v>Es reinigt das Gewissen von toten Werken, damit Menschen dem lebendigen Gott dienen.</x:v>
      </x:c>
      <x:c r="M1064" s="36" t="str">
        <x:v>Hebräer 9,13–14</x:v>
      </x:c>
      <x:c r="N1064" s="36" t="str">
        <x:v>Der neue Bund zielt tiefer als kultische Reinheit: auf das Gewissen und einen erneuerten Dienst für Gott.</x:v>
      </x:c>
      <x:c r="O1064" s="36" t="str">
        <x:v>FREIGEGEBEN</x:v>
      </x:c>
      <x:c r="P1064" s="36" t="str">
        <x:v>FREIGEGEBEN</x:v>
      </x:c>
      <x:c r="Q1064" s="36" t="str">
        <x:v>JA</x:v>
      </x:c>
    </x:row>
    <x:row r="1065">
      <x:c r="A1065" s="36" t="str">
        <x:v>FP-1324</x:v>
      </x:c>
      <x:c r="B1065" s="36" t="str">
        <x:v>HEB</x:v>
      </x:c>
      <x:c r="C1065" s="36" t="str">
        <x:v>Hebräer</x:v>
      </x:c>
      <x:c r="D1065" s="36" t="n">
        <x:v>9</x:v>
      </x:c>
      <x:c r="E1065" s="36" t="n">
        <x:v>4</x:v>
      </x:c>
      <x:c r="F1065" s="36" t="str">
        <x:v>Warum ist Christus Mittler eines neuen Bundes?</x:v>
      </x:c>
      <x:c r="G1065" s="36" t="str">
        <x:v>Damit der erste Bund ohne Veränderung fortgeführt wird.</x:v>
      </x:c>
      <x:c r="H1065" s="36" t="str">
        <x:v>Damit menschliche Opfer weiterhin nötig bleiben.</x:v>
      </x:c>
      <x:c r="I1065" s="36" t="str">
        <x:v>Damit nur Priester Zugang zur Verheißung erhalten.</x:v>
      </x:c>
      <x:c r="J1065" s="36" t="str">
        <x:v>Damit die Berufenen durch seinen Tod die verheißene ewige Erbschaft empfangen.</x:v>
      </x:c>
      <x:c r="K1065" s="36" t="n">
        <x:v>3</x:v>
      </x:c>
      <x:c r="L1065" s="36" t="str">
        <x:v>Damit die Berufenen durch seinen Tod die verheißene ewige Erbschaft empfangen.</x:v>
      </x:c>
      <x:c r="M1065" s="36" t="str">
        <x:v>Hebräer 9,15</x:v>
      </x:c>
      <x:c r="N1065" s="36" t="str">
        <x:v>Jesu Tod wird mit Befreiung und dem Empfang der ewigen Erbschaft verbunden.</x:v>
      </x:c>
      <x:c r="O1065" s="36" t="str">
        <x:v>FREIGEGEBEN</x:v>
      </x:c>
      <x:c r="P1065" s="36" t="str">
        <x:v>FREIGEGEBEN</x:v>
      </x:c>
      <x:c r="Q1065" s="36" t="str">
        <x:v>JA</x:v>
      </x:c>
    </x:row>
    <x:row r="1066">
      <x:c r="A1066" s="36" t="str">
        <x:v>FP-1325</x:v>
      </x:c>
      <x:c r="B1066" s="36" t="str">
        <x:v>HEB</x:v>
      </x:c>
      <x:c r="C1066" s="36" t="str">
        <x:v>Hebräer</x:v>
      </x:c>
      <x:c r="D1066" s="36" t="n">
        <x:v>9</x:v>
      </x:c>
      <x:c r="E1066" s="36" t="n">
        <x:v>5</x:v>
      </x:c>
      <x:c r="F1066" s="36" t="str">
        <x:v>Wie unterscheidet sich Christi Opfer von der wiederholten Opferpraxis des Hohenpriesters?</x:v>
      </x:c>
      <x:c r="G1066" s="36" t="str">
        <x:v>Christus brachte sich einmal dar und wird wieder erscheinen, um denen, die auf ihn warten, das Heil zu bringen.</x:v>
      </x:c>
      <x:c r="H1066" s="36" t="str">
        <x:v>Christus muss sich jedes Jahr erneut opfern.</x:v>
      </x:c>
      <x:c r="I1066" s="36" t="str">
        <x:v>Sein erstes Opfer hatte keine dauerhafte Wirkung.</x:v>
      </x:c>
      <x:c r="J1066" s="36" t="str">
        <x:v>Sein zweites Erscheinen dient einem erneuten Sündopfer.</x:v>
      </x:c>
      <x:c r="K1066" s="36" t="n">
        <x:v>0</x:v>
      </x:c>
      <x:c r="L1066" s="36" t="str">
        <x:v>Christus brachte sich einmal dar und wird wieder erscheinen, um denen, die auf ihn warten, das Heil zu bringen.</x:v>
      </x:c>
      <x:c r="M1066" s="36" t="str">
        <x:v>Hebräer 9,24–28</x:v>
      </x:c>
      <x:c r="N1066" s="36" t="str">
        <x:v>Das Kapitel betont die Einmaligkeit des Opfers und unterscheidet sie von wiederholten kultischen Opfern.</x:v>
      </x:c>
      <x:c r="O1066" s="36" t="str">
        <x:v>FREIGEGEBEN</x:v>
      </x:c>
      <x:c r="P1066" s="36" t="str">
        <x:v>FREIGEGEBEN</x:v>
      </x:c>
      <x:c r="Q1066" s="36" t="str">
        <x:v>JA</x:v>
      </x:c>
    </x:row>
    <x:row r="1067">
      <x:c r="A1067" s="36" t="str">
        <x:v>FP-1326</x:v>
      </x:c>
      <x:c r="B1067" s="36" t="str">
        <x:v>HEB</x:v>
      </x:c>
      <x:c r="C1067" s="36" t="str">
        <x:v>Hebräer</x:v>
      </x:c>
      <x:c r="D1067" s="36" t="n">
        <x:v>10</x:v>
      </x:c>
      <x:c r="E1067" s="36" t="n">
        <x:v>1</x:v>
      </x:c>
      <x:c r="F1067" s="36" t="str">
        <x:v>Warum können die jährlich wiederholten Opfer nach Hebräer 10 nicht vollkommen machen?</x:v>
      </x:c>
      <x:c r="G1067" s="36" t="str">
        <x:v>Weil sie zu selten dargebracht wurden.</x:v>
      </x:c>
      <x:c r="H1067" s="36" t="str">
        <x:v>Weil sie nur Schatten sind und das Blut von Stieren und Böcken Sünden nicht wegnehmen kann.</x:v>
      </x:c>
      <x:c r="I1067" s="36" t="str">
        <x:v>Weil Priester grundsätzlich keine Opfer bringen durften.</x:v>
      </x:c>
      <x:c r="J1067" s="36" t="str">
        <x:v>Weil Vergebung im Alten Bund unbekannt war.</x:v>
      </x:c>
      <x:c r="K1067" s="36" t="n">
        <x:v>1</x:v>
      </x:c>
      <x:c r="L1067" s="36" t="str">
        <x:v>Weil sie nur Schatten sind und das Blut von Stieren und Böcken Sünden nicht wegnehmen kann.</x:v>
      </x:c>
      <x:c r="M1067" s="36" t="str">
        <x:v>Hebräer 10,1–4</x:v>
      </x:c>
      <x:c r="N1067" s="36" t="str">
        <x:v>Die Wiederholung der Opfer macht ihre begrenzte Wirksamkeit sichtbar; sie erinnern an Sünde, beseitigen sie aber nicht endgültig.</x:v>
      </x:c>
      <x:c r="O1067" s="36" t="str">
        <x:v>FREIGEGEBEN</x:v>
      </x:c>
      <x:c r="P1067" s="36" t="str">
        <x:v>FREIGEGEBEN</x:v>
      </x:c>
      <x:c r="Q1067" s="36" t="str">
        <x:v>JA</x:v>
      </x:c>
    </x:row>
    <x:row r="1068">
      <x:c r="A1068" s="36" t="str">
        <x:v>FP-1327</x:v>
      </x:c>
      <x:c r="B1068" s="36" t="str">
        <x:v>HEB</x:v>
      </x:c>
      <x:c r="C1068" s="36" t="str">
        <x:v>Hebräer</x:v>
      </x:c>
      <x:c r="D1068" s="36" t="n">
        <x:v>10</x:v>
      </x:c>
      <x:c r="E1068" s="36" t="n">
        <x:v>2</x:v>
      </x:c>
      <x:c r="F1068" s="36" t="str">
        <x:v>Was bewirkt das Opfer Jesu nach Hebräer 10?</x:v>
      </x:c>
      <x:c r="G1068" s="36" t="str">
        <x:v>Es muss täglich wiederholt werden.</x:v>
      </x:c>
      <x:c r="H1068" s="36" t="str">
        <x:v>Es gilt nur für frühere Generationen.</x:v>
      </x:c>
      <x:c r="I1068" s="36" t="str">
        <x:v>Durch sein einmaliges Opfer werden die Geheiligten für immer vollendet.</x:v>
      </x:c>
      <x:c r="J1068" s="36" t="str">
        <x:v>Es ersetzt Gottes Willen durch menschliche Leistung.</x:v>
      </x:c>
      <x:c r="K1068" s="36" t="n">
        <x:v>2</x:v>
      </x:c>
      <x:c r="L1068" s="36" t="str">
        <x:v>Durch sein einmaliges Opfer werden die Geheiligten für immer vollendet.</x:v>
      </x:c>
      <x:c r="M1068" s="36" t="str">
        <x:v>Hebräer 10,10–14</x:v>
      </x:c>
      <x:c r="N1068" s="36" t="str">
        <x:v>Jesu einmaliges Selbstopfer steht im Kontrast zum fortgesetzten Dienst der Priester.</x:v>
      </x:c>
      <x:c r="O1068" s="36" t="str">
        <x:v>FREIGEGEBEN</x:v>
      </x:c>
      <x:c r="P1068" s="36" t="str">
        <x:v>FREIGEGEBEN</x:v>
      </x:c>
      <x:c r="Q1068" s="36" t="str">
        <x:v>JA</x:v>
      </x:c>
    </x:row>
    <x:row r="1069">
      <x:c r="A1069" s="36" t="str">
        <x:v>FP-1328</x:v>
      </x:c>
      <x:c r="B1069" s="36" t="str">
        <x:v>HEB</x:v>
      </x:c>
      <x:c r="C1069" s="36" t="str">
        <x:v>Hebräer</x:v>
      </x:c>
      <x:c r="D1069" s="36" t="n">
        <x:v>10</x:v>
      </x:c>
      <x:c r="E1069" s="36" t="n">
        <x:v>3</x:v>
      </x:c>
      <x:c r="F1069" s="36" t="str">
        <x:v>Welche Konsequenz zieht der Brief aus Jesu Opfer und Hohepriestertum?</x:v>
      </x:c>
      <x:c r="G1069" s="36" t="str">
        <x:v>Sich wegen der eigenen Schwäche von Gott fernzuhalten.</x:v>
      </x:c>
      <x:c r="H1069" s="36" t="str">
        <x:v>Den Zugang zu Gott nur Priestern zu überlassen.</x:v>
      </x:c>
      <x:c r="I1069" s="36" t="str">
        <x:v>Auf jede Form des Gebets zu verzichten.</x:v>
      </x:c>
      <x:c r="J1069" s="36" t="str">
        <x:v>Mit aufrichtigem Herzen und voller Glaubensgewissheit zu Gott zu kommen.</x:v>
      </x:c>
      <x:c r="K1069" s="36" t="n">
        <x:v>3</x:v>
      </x:c>
      <x:c r="L1069" s="36" t="str">
        <x:v>Mit aufrichtigem Herzen und voller Glaubensgewissheit zu Gott zu kommen.</x:v>
      </x:c>
      <x:c r="M1069" s="36" t="str">
        <x:v>Hebräer 10,19–22</x:v>
      </x:c>
      <x:c r="N1069" s="36" t="str">
        <x:v>Durch Jesu Blut und seinen priesterlichen Dienst ist ein neuer, lebendiger Zugang eröffnet.</x:v>
      </x:c>
      <x:c r="O1069" s="36" t="str">
        <x:v>FREIGEGEBEN</x:v>
      </x:c>
      <x:c r="P1069" s="36" t="str">
        <x:v>FREIGEGEBEN</x:v>
      </x:c>
      <x:c r="Q1069" s="36" t="str">
        <x:v>JA</x:v>
      </x:c>
    </x:row>
    <x:row r="1070">
      <x:c r="A1070" s="36" t="str">
        <x:v>FP-1329</x:v>
      </x:c>
      <x:c r="B1070" s="36" t="str">
        <x:v>HEB</x:v>
      </x:c>
      <x:c r="C1070" s="36" t="str">
        <x:v>Hebräer</x:v>
      </x:c>
      <x:c r="D1070" s="36" t="n">
        <x:v>10</x:v>
      </x:c>
      <x:c r="E1070" s="36" t="n">
        <x:v>4</x:v>
      </x:c>
      <x:c r="F1070" s="36" t="str">
        <x:v>Wie sollen Glaubende ihre Hoffnung und Gemeinschaft praktisch leben?</x:v>
      </x:c>
      <x:c r="G1070" s="36" t="str">
        <x:v>An der Hoffnung festhalten, einander zu Liebe und guten Werken anspornen und die Zusammenkünfte nicht vernachlässigen.</x:v>
      </x:c>
      <x:c r="H1070" s="36" t="str">
        <x:v>Sich möglichst unabhängig voneinander machen.</x:v>
      </x:c>
      <x:c r="I1070" s="36" t="str">
        <x:v>Gute Werke als Gegensatz zum Glauben vermeiden.</x:v>
      </x:c>
      <x:c r="J1070" s="36" t="str">
        <x:v>Gemeinschaft nur in Krisenzeiten suchen.</x:v>
      </x:c>
      <x:c r="K1070" s="36" t="n">
        <x:v>0</x:v>
      </x:c>
      <x:c r="L1070" s="36" t="str">
        <x:v>An der Hoffnung festhalten, einander zu Liebe und guten Werken anspornen und die Zusammenkünfte nicht vernachlässigen.</x:v>
      </x:c>
      <x:c r="M1070" s="36" t="str">
        <x:v>Hebräer 10,23–25</x:v>
      </x:c>
      <x:c r="N1070" s="36" t="str">
        <x:v>Treue zeigt sich gemeinschaftlich: festhalten, anspornen und einander ermutigen.</x:v>
      </x:c>
      <x:c r="O1070" s="36" t="str">
        <x:v>FREIGEGEBEN</x:v>
      </x:c>
      <x:c r="P1070" s="36" t="str">
        <x:v>FREIGEGEBEN</x:v>
      </x:c>
      <x:c r="Q1070" s="36" t="str">
        <x:v>JA</x:v>
      </x:c>
    </x:row>
    <x:row r="1071">
      <x:c r="A1071" s="36" t="str">
        <x:v>FP-1330</x:v>
      </x:c>
      <x:c r="B1071" s="36" t="str">
        <x:v>HEB</x:v>
      </x:c>
      <x:c r="C1071" s="36" t="str">
        <x:v>Hebräer</x:v>
      </x:c>
      <x:c r="D1071" s="36" t="n">
        <x:v>10</x:v>
      </x:c>
      <x:c r="E1071" s="36" t="n">
        <x:v>5</x:v>
      </x:c>
      <x:c r="F1071" s="36" t="str">
        <x:v>Was sollen die Leser angesichts früherer Leiden nicht wegwerfen?</x:v>
      </x:c>
      <x:c r="G1071" s="36" t="str">
        <x:v>Ihre Erinnerung an Gottes Verheißungen.</x:v>
      </x:c>
      <x:c r="H1071" s="36" t="str">
        <x:v>Ihre Zuversicht; sie brauchen Ausdauer, um nach dem Tun von Gottes Willen die Verheißung zu empfangen.</x:v>
      </x:c>
      <x:c r="I1071" s="36" t="str">
        <x:v>Jede Verbindung zu anderen Leidenden.</x:v>
      </x:c>
      <x:c r="J1071" s="36" t="str">
        <x:v>Den Glauben zugunsten materieller Sicherheit.</x:v>
      </x:c>
      <x:c r="K1071" s="36" t="n">
        <x:v>1</x:v>
      </x:c>
      <x:c r="L1071" s="36" t="str">
        <x:v>Ihre Zuversicht; sie brauchen Ausdauer, um nach dem Tun von Gottes Willen die Verheißung zu empfangen.</x:v>
      </x:c>
      <x:c r="M1071" s="36" t="str">
        <x:v>Hebräer 10,32–39</x:v>
      </x:c>
      <x:c r="N1071" s="36" t="str">
        <x:v>Der Rückblick auf frühere Standhaftigkeit soll neue Ausdauer wecken und vor dem Zurückweichen bewahren.</x:v>
      </x:c>
      <x:c r="O1071" s="36" t="str">
        <x:v>FREIGEGEBEN</x:v>
      </x:c>
      <x:c r="P1071" s="36" t="str">
        <x:v>FREIGEGEBEN</x:v>
      </x:c>
      <x:c r="Q1071" s="36" t="str">
        <x:v>JA</x:v>
      </x:c>
    </x:row>
    <x:row r="1072">
      <x:c r="A1072" s="36" t="str">
        <x:v>FP-1331</x:v>
      </x:c>
      <x:c r="B1072" s="36" t="str">
        <x:v>HEB</x:v>
      </x:c>
      <x:c r="C1072" s="36" t="str">
        <x:v>Hebräer</x:v>
      </x:c>
      <x:c r="D1072" s="36" t="n">
        <x:v>11</x:v>
      </x:c>
      <x:c r="E1072" s="36" t="n">
        <x:v>1</x:v>
      </x:c>
      <x:c r="F1072" s="36" t="str">
        <x:v>Wie beschreibt Hebräer 11 den Glauben?</x:v>
      </x:c>
      <x:c r="G1072" s="36" t="str">
        <x:v>Als bloßes optimistisches Gefühl ohne Grundlage.</x:v>
      </x:c>
      <x:c r="H1072" s="36" t="str">
        <x:v>Als vollständige Kenntnis aller zukünftigen Ereignisse.</x:v>
      </x:c>
      <x:c r="I1072" s="36" t="str">
        <x:v>Als feste Zuversicht auf das Erhoffte und Überzeugung von dem, was man nicht sieht.</x:v>
      </x:c>
      <x:c r="J1072" s="36" t="str">
        <x:v>Als Ersatz für jede Form von Gehorsam.</x:v>
      </x:c>
      <x:c r="K1072" s="36" t="n">
        <x:v>2</x:v>
      </x:c>
      <x:c r="L1072" s="36" t="str">
        <x:v>Als feste Zuversicht auf das Erhoffte und Überzeugung von dem, was man nicht sieht.</x:v>
      </x:c>
      <x:c r="M1072" s="36" t="str">
        <x:v>Hebräer 11,1</x:v>
      </x:c>
      <x:c r="N1072" s="36" t="str">
        <x:v>Die Definition verbindet Hoffnung und Überzeugung mit einer Wirklichkeit, die noch nicht sichtbar ist.</x:v>
      </x:c>
      <x:c r="O1072" s="36" t="str">
        <x:v>FREIGEGEBEN</x:v>
      </x:c>
      <x:c r="P1072" s="36" t="str">
        <x:v>FREIGEGEBEN</x:v>
      </x:c>
      <x:c r="Q1072" s="36" t="str">
        <x:v>JA</x:v>
      </x:c>
    </x:row>
    <x:row r="1073">
      <x:c r="A1073" s="36" t="str">
        <x:v>FP-1332</x:v>
      </x:c>
      <x:c r="B1073" s="36" t="str">
        <x:v>HEB</x:v>
      </x:c>
      <x:c r="C1073" s="36" t="str">
        <x:v>Hebräer</x:v>
      </x:c>
      <x:c r="D1073" s="36" t="n">
        <x:v>11</x:v>
      </x:c>
      <x:c r="E1073" s="36" t="n">
        <x:v>2</x:v>
      </x:c>
      <x:c r="F1073" s="36" t="str">
        <x:v>Was ist nach Hebräer 11 notwendig, um Gott zu gefallen?</x:v>
      </x:c>
      <x:c r="G1073" s="36" t="str">
        <x:v>Ein vollkommen leidfreies Leben.</x:v>
      </x:c>
      <x:c r="H1073" s="36" t="str">
        <x:v>Die Zugehörigkeit zu einer bestimmten sozialen Gruppe.</x:v>
      </x:c>
      <x:c r="I1073" s="36" t="str">
        <x:v>Ausschließlich religiöses Wissen.</x:v>
      </x:c>
      <x:c r="J1073" s="36" t="str">
        <x:v>Glaube daran, dass Gott ist und die belohnt, die ihn suchen.</x:v>
      </x:c>
      <x:c r="K1073" s="36" t="n">
        <x:v>3</x:v>
      </x:c>
      <x:c r="L1073" s="36" t="str">
        <x:v>Glaube daran, dass Gott ist und die belohnt, die ihn suchen.</x:v>
      </x:c>
      <x:c r="M1073" s="36" t="str">
        <x:v>Hebräer 11,6</x:v>
      </x:c>
      <x:c r="N1073" s="36" t="str">
        <x:v>Der Vers verbindet Glauben mit Vertrauen auf Gottes Wirklichkeit und seine Antwort auf ernsthaftes Suchen.</x:v>
      </x:c>
      <x:c r="O1073" s="36" t="str">
        <x:v>FREIGEGEBEN</x:v>
      </x:c>
      <x:c r="P1073" s="36" t="str">
        <x:v>FREIGEGEBEN</x:v>
      </x:c>
      <x:c r="Q1073" s="36" t="str">
        <x:v>JA</x:v>
      </x:c>
    </x:row>
    <x:row r="1074">
      <x:c r="A1074" s="36" t="str">
        <x:v>FP-1333</x:v>
      </x:c>
      <x:c r="B1074" s="36" t="str">
        <x:v>HEB</x:v>
      </x:c>
      <x:c r="C1074" s="36" t="str">
        <x:v>Hebräer</x:v>
      </x:c>
      <x:c r="D1074" s="36" t="n">
        <x:v>11</x:v>
      </x:c>
      <x:c r="E1074" s="36" t="n">
        <x:v>3</x:v>
      </x:c>
      <x:c r="F1074" s="36" t="str">
        <x:v>Was zeigt Abrahams Aufbruch nach Hebräer 11?</x:v>
      </x:c>
      <x:c r="G1074" s="36" t="str">
        <x:v>Er gehorchte im Glauben und zog aus, obwohl er nicht wusste, wohin er kommen würde.</x:v>
      </x:c>
      <x:c r="H1074" s="36" t="str">
        <x:v>Er kannte jedes Detail seines Weges im Voraus.</x:v>
      </x:c>
      <x:c r="I1074" s="36" t="str">
        <x:v>Er weigerte sich, Gottes Ruf zu folgen.</x:v>
      </x:c>
      <x:c r="J1074" s="36" t="str">
        <x:v>Er suchte vor allem politische Sicherheit.</x:v>
      </x:c>
      <x:c r="K1074" s="36" t="n">
        <x:v>0</x:v>
      </x:c>
      <x:c r="L1074" s="36" t="str">
        <x:v>Er gehorchte im Glauben und zog aus, obwohl er nicht wusste, wohin er kommen würde.</x:v>
      </x:c>
      <x:c r="M1074" s="36" t="str">
        <x:v>Hebräer 11,8–10</x:v>
      </x:c>
      <x:c r="N1074" s="36" t="str">
        <x:v>Abrahams Glaube zeigt sich im Gehorsam ohne vollständige Sicht und in der Erwartung der von Gott gebauten Stadt.</x:v>
      </x:c>
      <x:c r="O1074" s="36" t="str">
        <x:v>FREIGEGEBEN</x:v>
      </x:c>
      <x:c r="P1074" s="36" t="str">
        <x:v>FREIGEGEBEN</x:v>
      </x:c>
      <x:c r="Q1074" s="36" t="str">
        <x:v>JA</x:v>
      </x:c>
    </x:row>
    <x:row r="1075">
      <x:c r="A1075" s="36" t="str">
        <x:v>FP-1334</x:v>
      </x:c>
      <x:c r="B1075" s="36" t="str">
        <x:v>HEB</x:v>
      </x:c>
      <x:c r="C1075" s="36" t="str">
        <x:v>Hebräer</x:v>
      </x:c>
      <x:c r="D1075" s="36" t="n">
        <x:v>11</x:v>
      </x:c>
      <x:c r="E1075" s="36" t="n">
        <x:v>4</x:v>
      </x:c>
      <x:c r="F1075" s="36" t="str">
        <x:v>Welche Entscheidung Moses wird als Ausdruck des Glaubens hervorgehoben?</x:v>
      </x:c>
      <x:c r="G1075" s="36" t="str">
        <x:v>Er wählte dauerhaft den Reichtum Ägyptens.</x:v>
      </x:c>
      <x:c r="H1075" s="36" t="str">
        <x:v>Er zog es vor, mit Gottes Volk Bedrängnis zu erleiden, statt den vorübergehenden Genuss der Sünde zu wählen.</x:v>
      </x:c>
      <x:c r="I1075" s="36" t="str">
        <x:v>Er vermied jeden Konflikt mit dem Pharao.</x:v>
      </x:c>
      <x:c r="J1075" s="36" t="str">
        <x:v>Er hielt irdische Schätze für wichtiger als Gottes Belohnung.</x:v>
      </x:c>
      <x:c r="K1075" s="36" t="n">
        <x:v>1</x:v>
      </x:c>
      <x:c r="L1075" s="36" t="str">
        <x:v>Er zog es vor, mit Gottes Volk Bedrängnis zu erleiden, statt den vorübergehenden Genuss der Sünde zu wählen.</x:v>
      </x:c>
      <x:c r="M1075" s="36" t="str">
        <x:v>Hebräer 11,24–27</x:v>
      </x:c>
      <x:c r="N1075" s="36" t="str">
        <x:v>Moses Entscheidung zeigt einen Glauben, der kurzfristigen Vorteil gegen die größere, unsichtbare Hoffnung abwägt.</x:v>
      </x:c>
      <x:c r="O1075" s="36" t="str">
        <x:v>FREIGEGEBEN</x:v>
      </x:c>
      <x:c r="P1075" s="36" t="str">
        <x:v>FREIGEGEBEN</x:v>
      </x:c>
      <x:c r="Q1075" s="36" t="str">
        <x:v>JA</x:v>
      </x:c>
    </x:row>
    <x:row r="1076">
      <x:c r="A1076" s="36" t="str">
        <x:v>FP-1335</x:v>
      </x:c>
      <x:c r="B1076" s="36" t="str">
        <x:v>HEB</x:v>
      </x:c>
      <x:c r="C1076" s="36" t="str">
        <x:v>Hebräer</x:v>
      </x:c>
      <x:c r="D1076" s="36" t="n">
        <x:v>11</x:v>
      </x:c>
      <x:c r="E1076" s="36" t="n">
        <x:v>5</x:v>
      </x:c>
      <x:c r="F1076" s="36" t="str">
        <x:v>Was zeigt das Ende von Hebräer 11 über ein Leben im Glauben?</x:v>
      </x:c>
      <x:c r="G1076" s="36" t="str">
        <x:v>Glaube garantiert immer sofortige äußere Erfolge.</x:v>
      </x:c>
      <x:c r="H1076" s="36" t="str">
        <x:v>Menschen mit Glauben erleben grundsätzlich keine Verfolgung.</x:v>
      </x:c>
      <x:c r="I1076" s="36" t="str">
        <x:v>Glaube kann zu sichtbaren Siegen führen, aber ebenso zum treuen Ausharren in schwerem Leiden.</x:v>
      </x:c>
      <x:c r="J1076" s="36" t="str">
        <x:v>Nur diejenigen mit sichtbarem Erfolg erhalten Gottes Anerkennung.</x:v>
      </x:c>
      <x:c r="K1076" s="36" t="n">
        <x:v>2</x:v>
      </x:c>
      <x:c r="L1076" s="36" t="str">
        <x:v>Glaube kann zu sichtbaren Siegen führen, aber ebenso zum treuen Ausharren in schwerem Leiden.</x:v>
      </x:c>
      <x:c r="M1076" s="36" t="str">
        <x:v>Hebräer 11,32–40</x:v>
      </x:c>
      <x:c r="N1076" s="36" t="str">
        <x:v>Die Liste enthält sowohl Befreiung und Sieg als auch Gefängnis, Verfolgung und Tod; gemeinsam ist ihnen das Zeugnis des Glaubens.</x:v>
      </x:c>
      <x:c r="O1076" s="36" t="str">
        <x:v>FREIGEGEBEN</x:v>
      </x:c>
      <x:c r="P1076" s="36" t="str">
        <x:v>FREIGEGEBEN</x:v>
      </x:c>
      <x:c r="Q1076" s="36" t="str">
        <x:v>JA</x:v>
      </x:c>
    </x:row>
    <x:row r="1077">
      <x:c r="A1077" s="36" t="str">
        <x:v>FP-1336</x:v>
      </x:c>
      <x:c r="B1077" s="36" t="str">
        <x:v>HEB</x:v>
      </x:c>
      <x:c r="C1077" s="36" t="str">
        <x:v>Hebräer</x:v>
      </x:c>
      <x:c r="D1077" s="36" t="n">
        <x:v>12</x:v>
      </x:c>
      <x:c r="E1077" s="36" t="n">
        <x:v>1</x:v>
      </x:c>
      <x:c r="F1077" s="36" t="str">
        <x:v>Wie sollen Glaubende den vor ihnen liegenden Wettlauf laufen?</x:v>
      </x:c>
      <x:c r="G1077" s="36" t="str">
        <x:v>Indem sie sich ständig mit anderen vergleichen.</x:v>
      </x:c>
      <x:c r="H1077" s="36" t="str">
        <x:v>Indem sie jede Schwierigkeit als Zeichen des Scheiterns sehen.</x:v>
      </x:c>
      <x:c r="I1077" s="36" t="str">
        <x:v>Indem sie nur auf ihre eigene Kraft vertrauen.</x:v>
      </x:c>
      <x:c r="J1077" s="36" t="str">
        <x:v>Mit Ausdauer, indem sie Belastendes und Sünde ablegen und auf Jesus schauen.</x:v>
      </x:c>
      <x:c r="K1077" s="36" t="n">
        <x:v>3</x:v>
      </x:c>
      <x:c r="L1077" s="36" t="str">
        <x:v>Mit Ausdauer, indem sie Belastendes und Sünde ablegen und auf Jesus schauen.</x:v>
      </x:c>
      <x:c r="M1077" s="36" t="str">
        <x:v>Hebräer 12,1–3</x:v>
      </x:c>
      <x:c r="N1077" s="36" t="str">
        <x:v>Die Wolke der Zeugen führt nicht zur Selbstbeobachtung, sondern zum ausdauernden Blick auf Jesus.</x:v>
      </x:c>
      <x:c r="O1077" s="36" t="str">
        <x:v>FREIGEGEBEN</x:v>
      </x:c>
      <x:c r="P1077" s="36" t="str">
        <x:v>FREIGEGEBEN</x:v>
      </x:c>
      <x:c r="Q1077" s="36" t="str">
        <x:v>JA</x:v>
      </x:c>
    </x:row>
    <x:row r="1078">
      <x:c r="A1078" s="36" t="str">
        <x:v>FP-1337</x:v>
      </x:c>
      <x:c r="B1078" s="36" t="str">
        <x:v>HEB</x:v>
      </x:c>
      <x:c r="C1078" s="36" t="str">
        <x:v>Hebräer</x:v>
      </x:c>
      <x:c r="D1078" s="36" t="n">
        <x:v>12</x:v>
      </x:c>
      <x:c r="E1078" s="36" t="n">
        <x:v>2</x:v>
      </x:c>
      <x:c r="F1078" s="36" t="str">
        <x:v>Wie deutet Hebräer 12 Gottes Zurechtweisung?</x:v>
      </x:c>
      <x:c r="G1078" s="36" t="str">
        <x:v>Als Erziehung eines liebenden Vaters, die auf Teilhabe an seiner Heiligkeit zielt.</x:v>
      </x:c>
      <x:c r="H1078" s="36" t="str">
        <x:v>Als Beweis, dass Gott seine Kinder abgelehnt hat.</x:v>
      </x:c>
      <x:c r="I1078" s="36" t="str">
        <x:v>Als reine Strafe ohne positives Ziel.</x:v>
      </x:c>
      <x:c r="J1078" s="36" t="str">
        <x:v>Als etwas, das nur Ungläubige betrifft.</x:v>
      </x:c>
      <x:c r="K1078" s="36" t="n">
        <x:v>0</x:v>
      </x:c>
      <x:c r="L1078" s="36" t="str">
        <x:v>Als Erziehung eines liebenden Vaters, die auf Teilhabe an seiner Heiligkeit zielt.</x:v>
      </x:c>
      <x:c r="M1078" s="36" t="str">
        <x:v>Hebräer 12,5–11</x:v>
      </x:c>
      <x:c r="N1078" s="36" t="str">
        <x:v>Die schmerzhafte Erziehung wird als Ausdruck von Sohnschaft und als Weg zu einer Frucht der Gerechtigkeit beschrieben.</x:v>
      </x:c>
      <x:c r="O1078" s="36" t="str">
        <x:v>FREIGEGEBEN</x:v>
      </x:c>
      <x:c r="P1078" s="36" t="str">
        <x:v>FREIGEGEBEN</x:v>
      </x:c>
      <x:c r="Q1078" s="36" t="str">
        <x:v>JA</x:v>
      </x:c>
    </x:row>
    <x:row r="1079">
      <x:c r="A1079" s="36" t="str">
        <x:v>FP-1338</x:v>
      </x:c>
      <x:c r="B1079" s="36" t="str">
        <x:v>HEB</x:v>
      </x:c>
      <x:c r="C1079" s="36" t="str">
        <x:v>Hebräer</x:v>
      </x:c>
      <x:c r="D1079" s="36" t="n">
        <x:v>12</x:v>
      </x:c>
      <x:c r="E1079" s="36" t="n">
        <x:v>3</x:v>
      </x:c>
      <x:c r="F1079" s="36" t="str">
        <x:v>Wonach sollen die Glaubenden gemeinsam streben?</x:v>
      </x:c>
      <x:c r="G1079" s="36" t="str">
        <x:v>Nach möglichst vielen Konflikten.</x:v>
      </x:c>
      <x:c r="H1079" s="36" t="str">
        <x:v>Nach Frieden mit allen und nach Heiligung; zugleich sollen sie Bitterkeit nicht wachsen lassen.</x:v>
      </x:c>
      <x:c r="I1079" s="36" t="str">
        <x:v>Nach völliger Gleichgültigkeit gegenüber anderen.</x:v>
      </x:c>
      <x:c r="J1079" s="36" t="str">
        <x:v>Nach persönlicher Vergeltung bei jeder Verletzung.</x:v>
      </x:c>
      <x:c r="K1079" s="36" t="n">
        <x:v>1</x:v>
      </x:c>
      <x:c r="L1079" s="36" t="str">
        <x:v>Nach Frieden mit allen und nach Heiligung; zugleich sollen sie Bitterkeit nicht wachsen lassen.</x:v>
      </x:c>
      <x:c r="M1079" s="36" t="str">
        <x:v>Hebräer 12,12–15</x:v>
      </x:c>
      <x:c r="N1079" s="36" t="str">
        <x:v>Der Text verbindet persönliche Stärkung mit Frieden, Heiligung und Wachsamkeit gegenüber zerstörerischer Bitterkeit.</x:v>
      </x:c>
      <x:c r="O1079" s="36" t="str">
        <x:v>FREIGEGEBEN</x:v>
      </x:c>
      <x:c r="P1079" s="36" t="str">
        <x:v>FREIGEGEBEN</x:v>
      </x:c>
      <x:c r="Q1079" s="36" t="str">
        <x:v>JA</x:v>
      </x:c>
    </x:row>
    <x:row r="1080">
      <x:c r="A1080" s="36" t="str">
        <x:v>FP-1339</x:v>
      </x:c>
      <x:c r="B1080" s="36" t="str">
        <x:v>HEB</x:v>
      </x:c>
      <x:c r="C1080" s="36" t="str">
        <x:v>Hebräer</x:v>
      </x:c>
      <x:c r="D1080" s="36" t="n">
        <x:v>12</x:v>
      </x:c>
      <x:c r="E1080" s="36" t="n">
        <x:v>4</x:v>
      </x:c>
      <x:c r="F1080" s="36" t="str">
        <x:v>Wozu sind die Glaubenden nach Hebräer 12 gekommen?</x:v>
      </x:c>
      <x:c r="G1080" s="36" t="str">
        <x:v>Nur zum sichtbaren Sinai mit seiner Furcht.</x:v>
      </x:c>
      <x:c r="H1080" s="36" t="str">
        <x:v>Zu einer rein irdischen politischen Hauptstadt.</x:v>
      </x:c>
      <x:c r="I1080" s="36" t="str">
        <x:v>Zum himmlischen Zion, zur Stadt des lebendigen Gottes und zu Jesus, dem Mittler des neuen Bundes.</x:v>
      </x:c>
      <x:c r="J1080" s="36" t="str">
        <x:v>Zu einem Bund ohne Mittler.</x:v>
      </x:c>
      <x:c r="K1080" s="36" t="n">
        <x:v>2</x:v>
      </x:c>
      <x:c r="L1080" s="36" t="str">
        <x:v>Zum himmlischen Zion, zur Stadt des lebendigen Gottes und zu Jesus, dem Mittler des neuen Bundes.</x:v>
      </x:c>
      <x:c r="M1080" s="36" t="str">
        <x:v>Hebräer 12,18–24</x:v>
      </x:c>
      <x:c r="N1080" s="36" t="str">
        <x:v>Der Abschnitt kontrastiert die furchterregende Sinai-Szene mit der neuen Bundeswirklichkeit um Zion und Jesus.</x:v>
      </x:c>
      <x:c r="O1080" s="36" t="str">
        <x:v>FREIGEGEBEN</x:v>
      </x:c>
      <x:c r="P1080" s="36" t="str">
        <x:v>FREIGEGEBEN</x:v>
      </x:c>
      <x:c r="Q1080" s="36" t="str">
        <x:v>JA</x:v>
      </x:c>
    </x:row>
    <x:row r="1081">
      <x:c r="A1081" s="36" t="str">
        <x:v>FP-1340</x:v>
      </x:c>
      <x:c r="B1081" s="36" t="str">
        <x:v>HEB</x:v>
      </x:c>
      <x:c r="C1081" s="36" t="str">
        <x:v>Hebräer</x:v>
      </x:c>
      <x:c r="D1081" s="36" t="n">
        <x:v>12</x:v>
      </x:c>
      <x:c r="E1081" s="36" t="n">
        <x:v>5</x:v>
      </x:c>
      <x:c r="F1081" s="36" t="str">
        <x:v>Welche Haltung passt zu dem unerschütterlichen Reich, das die Glaubenden empfangen?</x:v>
      </x:c>
      <x:c r="G1081" s="36" t="str">
        <x:v>Gleichgültigkeit gegenüber Gottes Heiligkeit.</x:v>
      </x:c>
      <x:c r="H1081" s="36" t="str">
        <x:v>Selbstsicherheit ohne Ehrfurcht.</x:v>
      </x:c>
      <x:c r="I1081" s="36" t="str">
        <x:v>Verachtung jeder Form von Gottesdienst.</x:v>
      </x:c>
      <x:c r="J1081" s="36" t="str">
        <x:v>Dankbarkeit und ein Gott wohlgefälliger Dienst mit Ehrfurcht und Scheu.</x:v>
      </x:c>
      <x:c r="K1081" s="36" t="n">
        <x:v>3</x:v>
      </x:c>
      <x:c r="L1081" s="36" t="str">
        <x:v>Dankbarkeit und ein Gott wohlgefälliger Dienst mit Ehrfurcht und Scheu.</x:v>
      </x:c>
      <x:c r="M1081" s="36" t="str">
        <x:v>Hebräer 12,25–29</x:v>
      </x:c>
      <x:c r="N1081" s="36" t="str">
        <x:v>Weil Gottes Reich unerschütterlich ist, folgt daraus nicht Leichtfertigkeit, sondern dankbarer und ehrfürchtiger Dienst.</x:v>
      </x:c>
      <x:c r="O1081" s="36" t="str">
        <x:v>FREIGEGEBEN</x:v>
      </x:c>
      <x:c r="P1081" s="36" t="str">
        <x:v>FREIGEGEBEN</x:v>
      </x:c>
      <x:c r="Q1081" s="36" t="str">
        <x:v>JA</x:v>
      </x:c>
    </x:row>
    <x:row r="1082">
      <x:c r="A1082" s="36" t="str">
        <x:v>FP-1341</x:v>
      </x:c>
      <x:c r="B1082" s="36" t="str">
        <x:v>HEB</x:v>
      </x:c>
      <x:c r="C1082" s="36" t="str">
        <x:v>Hebräer</x:v>
      </x:c>
      <x:c r="D1082" s="36" t="n">
        <x:v>13</x:v>
      </x:c>
      <x:c r="E1082" s="36" t="n">
        <x:v>1</x:v>
      </x:c>
      <x:c r="F1082" s="36" t="str">
        <x:v>Welche praktischen Formen der Liebe nennt Hebräer 13 zu Beginn?</x:v>
      </x:c>
      <x:c r="G1082" s="36" t="str">
        <x:v>Bruderliebe, Gastfreundschaft sowie Mitgefühl mit Gefangenen und Misshandelten.</x:v>
      </x:c>
      <x:c r="H1082" s="36" t="str">
        <x:v>Rückzug von Fremden und Leidenden.</x:v>
      </x:c>
      <x:c r="I1082" s="36" t="str">
        <x:v>Nur finanzielle Unterstützung für Leiter.</x:v>
      </x:c>
      <x:c r="J1082" s="36" t="str">
        <x:v>Vermeidung jeder persönlichen Beteiligung am Leid anderer.</x:v>
      </x:c>
      <x:c r="K1082" s="36" t="n">
        <x:v>0</x:v>
      </x:c>
      <x:c r="L1082" s="36" t="str">
        <x:v>Bruderliebe, Gastfreundschaft sowie Mitgefühl mit Gefangenen und Misshandelten.</x:v>
      </x:c>
      <x:c r="M1082" s="36" t="str">
        <x:v>Hebräer 13,1–3</x:v>
      </x:c>
      <x:c r="N1082" s="36" t="str">
        <x:v>Der Brief endet sehr praktisch: Liebe zeigt sich in Gastfreundschaft und solidarischem Erinnern an Leidende.</x:v>
      </x:c>
      <x:c r="O1082" s="36" t="str">
        <x:v>FREIGEGEBEN</x:v>
      </x:c>
      <x:c r="P1082" s="36" t="str">
        <x:v>FREIGEGEBEN</x:v>
      </x:c>
      <x:c r="Q1082" s="36" t="str">
        <x:v>JA</x:v>
      </x:c>
    </x:row>
    <x:row r="1083">
      <x:c r="A1083" s="36" t="str">
        <x:v>FP-1342</x:v>
      </x:c>
      <x:c r="B1083" s="36" t="str">
        <x:v>HEB</x:v>
      </x:c>
      <x:c r="C1083" s="36" t="str">
        <x:v>Hebräer</x:v>
      </x:c>
      <x:c r="D1083" s="36" t="n">
        <x:v>13</x:v>
      </x:c>
      <x:c r="E1083" s="36" t="n">
        <x:v>2</x:v>
      </x:c>
      <x:c r="F1083" s="36" t="str">
        <x:v>Warum sollen Glaubende frei von Geldliebe und zufrieden mit dem Vorhandenen leben?</x:v>
      </x:c>
      <x:c r="G1083" s="36" t="str">
        <x:v>Weil Besitz grundsätzlich sündig ist.</x:v>
      </x:c>
      <x:c r="H1083" s="36" t="str">
        <x:v>Weil Gott versprochen hat, sie nicht zu verlassen, sodass sie auf den Herrn als Helfer vertrauen können.</x:v>
      </x:c>
      <x:c r="I1083" s="36" t="str">
        <x:v>Weil Christen nie finanzielle Verantwortung tragen sollen.</x:v>
      </x:c>
      <x:c r="J1083" s="36" t="str">
        <x:v>Weil Armut automatisch geistliche Reife beweist.</x:v>
      </x:c>
      <x:c r="K1083" s="36" t="n">
        <x:v>1</x:v>
      </x:c>
      <x:c r="L1083" s="36" t="str">
        <x:v>Weil Gott versprochen hat, sie nicht zu verlassen, sodass sie auf den Herrn als Helfer vertrauen können.</x:v>
      </x:c>
      <x:c r="M1083" s="36" t="str">
        <x:v>Hebräer 13,5–6</x:v>
      </x:c>
      <x:c r="N1083" s="36" t="str">
        <x:v>Genügsamkeit wird nicht mit Besitzlosigkeit, sondern mit Vertrauen auf Gottes Gegenwart begründet.</x:v>
      </x:c>
      <x:c r="O1083" s="36" t="str">
        <x:v>FREIGEGEBEN</x:v>
      </x:c>
      <x:c r="P1083" s="36" t="str">
        <x:v>FREIGEGEBEN</x:v>
      </x:c>
      <x:c r="Q1083" s="36" t="str">
        <x:v>JA</x:v>
      </x:c>
    </x:row>
    <x:row r="1084">
      <x:c r="A1084" s="36" t="str">
        <x:v>FP-1343</x:v>
      </x:c>
      <x:c r="B1084" s="36" t="str">
        <x:v>HEB</x:v>
      </x:c>
      <x:c r="C1084" s="36" t="str">
        <x:v>Hebräer</x:v>
      </x:c>
      <x:c r="D1084" s="36" t="n">
        <x:v>13</x:v>
      </x:c>
      <x:c r="E1084" s="36" t="n">
        <x:v>3</x:v>
      </x:c>
      <x:c r="F1084" s="36" t="str">
        <x:v>Welche Aussage über Jesus steht zwischen der Erinnerung an frühere Leiter und der Warnung vor fremden Lehren?</x:v>
      </x:c>
      <x:c r="G1084" s="36" t="str">
        <x:v>Jesus verändert seine Identität mit jeder Generation.</x:v>
      </x:c>
      <x:c r="H1084" s="36" t="str">
        <x:v>Leiter sind unveränderlicher als Christus.</x:v>
      </x:c>
      <x:c r="I1084" s="36" t="str">
        <x:v>Jesus Christus ist derselbe gestern, heute und in Ewigkeit.</x:v>
      </x:c>
      <x:c r="J1084" s="36" t="str">
        <x:v>Gnade hat keinen Bezug zu geistlicher Standfestigkeit.</x:v>
      </x:c>
      <x:c r="K1084" s="36" t="n">
        <x:v>2</x:v>
      </x:c>
      <x:c r="L1084" s="36" t="str">
        <x:v>Jesus Christus ist derselbe gestern, heute und in Ewigkeit.</x:v>
      </x:c>
      <x:c r="M1084" s="36" t="str">
        <x:v>Hebräer 13,7–9</x:v>
      </x:c>
      <x:c r="N1084" s="36" t="str">
        <x:v>Die Beständigkeit Christi bildet einen starken Gegenpunkt zu wechselnden und fremden Lehren.</x:v>
      </x:c>
      <x:c r="O1084" s="36" t="str">
        <x:v>FREIGEGEBEN</x:v>
      </x:c>
      <x:c r="P1084" s="36" t="str">
        <x:v>FREIGEGEBEN</x:v>
      </x:c>
      <x:c r="Q1084" s="36" t="str">
        <x:v>JA</x:v>
      </x:c>
    </x:row>
    <x:row r="1085">
      <x:c r="A1085" s="36" t="str">
        <x:v>FP-1344</x:v>
      </x:c>
      <x:c r="B1085" s="36" t="str">
        <x:v>HEB</x:v>
      </x:c>
      <x:c r="C1085" s="36" t="str">
        <x:v>Hebräer</x:v>
      </x:c>
      <x:c r="D1085" s="36" t="n">
        <x:v>13</x:v>
      </x:c>
      <x:c r="E1085" s="36" t="n">
        <x:v>4</x:v>
      </x:c>
      <x:c r="F1085" s="36" t="str">
        <x:v>Was bedeutet das Bild, zu Jesus 'außerhalb des Lagers' hinauszugehen?</x:v>
      </x:c>
      <x:c r="G1085" s="36" t="str">
        <x:v>Sich grundsätzlich aus jeder menschlichen Gemeinschaft zurückzuziehen.</x:v>
      </x:c>
      <x:c r="H1085" s="36" t="str">
        <x:v>Jerusalem als endgültige bleibende Stadt zu betrachten.</x:v>
      </x:c>
      <x:c r="I1085" s="36" t="str">
        <x:v>Leiden um jeden Preis selbst zu suchen.</x:v>
      </x:c>
      <x:c r="J1085" s="36" t="str">
        <x:v>Seine Schmach mitzutragen und sich nicht an eine bleibende irdische Stadt zu klammern, sondern die zukünftige zu suchen.</x:v>
      </x:c>
      <x:c r="K1085" s="36" t="n">
        <x:v>3</x:v>
      </x:c>
      <x:c r="L1085" s="36" t="str">
        <x:v>Seine Schmach mitzutragen und sich nicht an eine bleibende irdische Stadt zu klammern, sondern die zukünftige zu suchen.</x:v>
      </x:c>
      <x:c r="M1085" s="36" t="str">
        <x:v>Hebräer 13,12–14</x:v>
      </x:c>
      <x:c r="N1085" s="36" t="str">
        <x:v>Jesu Leiden außerhalb des Tores wird zu einem Bild kostbarer Nachfolge und der Hoffnung auf die kommende Stadt.</x:v>
      </x:c>
      <x:c r="O1085" s="36" t="str">
        <x:v>FREIGEGEBEN</x:v>
      </x:c>
      <x:c r="P1085" s="36" t="str">
        <x:v>FREIGEGEBEN</x:v>
      </x:c>
      <x:c r="Q1085" s="36" t="str">
        <x:v>JA</x:v>
      </x:c>
    </x:row>
    <x:row r="1086">
      <x:c r="A1086" s="36" t="str">
        <x:v>FP-1345</x:v>
      </x:c>
      <x:c r="B1086" s="36" t="str">
        <x:v>HEB</x:v>
      </x:c>
      <x:c r="C1086" s="36" t="str">
        <x:v>Hebräer</x:v>
      </x:c>
      <x:c r="D1086" s="36" t="n">
        <x:v>13</x:v>
      </x:c>
      <x:c r="E1086" s="36" t="n">
        <x:v>5</x:v>
      </x:c>
      <x:c r="F1086" s="36" t="str">
        <x:v>Welche 'Opfer' sollen Glaubende Gott nach Hebräer 13 bringen?</x:v>
      </x:c>
      <x:c r="G1086" s="36" t="str">
        <x:v>Lob durch das Bekenntnis seines Namens sowie Gutes tun und mit anderen teilen.</x:v>
      </x:c>
      <x:c r="H1086" s="36" t="str">
        <x:v>Neue Tieropfer zur Sündenvergebung.</x:v>
      </x:c>
      <x:c r="I1086" s="36" t="str">
        <x:v>Nur persönliche Gebete ohne praktische Konsequenz.</x:v>
      </x:c>
      <x:c r="J1086" s="36" t="str">
        <x:v>Materielle Gaben als Ersatz für ein Leben des Glaubens.</x:v>
      </x:c>
      <x:c r="K1086" s="36" t="n">
        <x:v>0</x:v>
      </x:c>
      <x:c r="L1086" s="36" t="str">
        <x:v>Lob durch das Bekenntnis seines Namens sowie Gutes tun und mit anderen teilen.</x:v>
      </x:c>
      <x:c r="M1086" s="36" t="str">
        <x:v>Hebräer 13,15–16</x:v>
      </x:c>
      <x:c r="N1086" s="36" t="str">
        <x:v>Nach Christi einmaligem Opfer werden Lob, gute Werke und Teilen als Gott wohlgefällige Opfer beschrieben.</x:v>
      </x:c>
      <x:c r="O1086" s="36" t="str">
        <x:v>FREIGEGEBEN</x:v>
      </x:c>
      <x:c r="P1086" s="36" t="str">
        <x:v>FREIGEGEBEN</x:v>
      </x:c>
      <x:c r="Q1086" s="36" t="str">
        <x:v>JA</x:v>
      </x:c>
    </x:row>
    <x:row r="1087">
      <x:c r="A1087" s="36" t="str">
        <x:v>FP-1346</x:v>
      </x:c>
      <x:c r="B1087" s="36" t="str">
        <x:v>JAS</x:v>
      </x:c>
      <x:c r="C1087" s="36" t="str">
        <x:v>Jakobus</x:v>
      </x:c>
      <x:c r="D1087" s="36" t="n">
        <x:v>1</x:v>
      </x:c>
      <x:c r="E1087" s="36" t="n">
        <x:v>1</x:v>
      </x:c>
      <x:c r="F1087" s="36" t="str">
        <x:v>Welche Wirkung kann die Erprobung des Glaubens nach Jakobus 1 hervorbringen?</x:v>
      </x:c>
      <x:c r="G1087" s="36" t="str">
        <x:v>Ausdauer, die zur geistlichen Reife führen soll.</x:v>
      </x:c>
      <x:c r="H1087" s="36" t="str">
        <x:v>Automatisch materiellen Wohlstand.</x:v>
      </x:c>
      <x:c r="I1087" s="36" t="str">
        <x:v>Die Vermeidung jeder weiteren Prüfung.</x:v>
      </x:c>
      <x:c r="J1087" s="36" t="str">
        <x:v>Unabhängigkeit von Gottes Hilfe.</x:v>
      </x:c>
      <x:c r="K1087" s="36" t="n">
        <x:v>0</x:v>
      </x:c>
      <x:c r="L1087" s="36" t="str">
        <x:v>Ausdauer, die zur geistlichen Reife führen soll.</x:v>
      </x:c>
      <x:c r="M1087" s="36" t="str">
        <x:v>Jakobus 1,2–4</x:v>
      </x:c>
      <x:c r="N1087" s="36" t="str">
        <x:v>Jakobus bewertet Prüfungen nicht als angenehm, sieht in der bewährten Glaubenstreue aber einen Weg zu Ausdauer und Reife.</x:v>
      </x:c>
      <x:c r="O1087" s="36" t="str">
        <x:v>FREIGEGEBEN</x:v>
      </x:c>
      <x:c r="P1087" s="36" t="str">
        <x:v>FREIGEGEBEN</x:v>
      </x:c>
      <x:c r="Q1087" s="36" t="str">
        <x:v>JA</x:v>
      </x:c>
    </x:row>
    <x:row r="1088">
      <x:c r="A1088" s="36" t="str">
        <x:v>FP-1347</x:v>
      </x:c>
      <x:c r="B1088" s="36" t="str">
        <x:v>JAS</x:v>
      </x:c>
      <x:c r="C1088" s="36" t="str">
        <x:v>Jakobus</x:v>
      </x:c>
      <x:c r="D1088" s="36" t="n">
        <x:v>1</x:v>
      </x:c>
      <x:c r="E1088" s="36" t="n">
        <x:v>2</x:v>
      </x:c>
      <x:c r="F1088" s="36" t="str">
        <x:v>Was soll jemand tun, dem Weisheit fehlt?</x:v>
      </x:c>
      <x:c r="G1088" s="36" t="str">
        <x:v>Nur auf die eigene Erfahrung vertrauen.</x:v>
      </x:c>
      <x:c r="H1088" s="36" t="str">
        <x:v>Gott darum bitten, der großzügig gibt.</x:v>
      </x:c>
      <x:c r="I1088" s="36" t="str">
        <x:v>Andere Menschen um jeden Preis imitieren.</x:v>
      </x:c>
      <x:c r="J1088" s="36" t="str">
        <x:v>Entscheidungen grundsätzlich vermeiden.</x:v>
      </x:c>
      <x:c r="K1088" s="36" t="n">
        <x:v>1</x:v>
      </x:c>
      <x:c r="L1088" s="36" t="str">
        <x:v>Gott darum bitten, der großzügig gibt.</x:v>
      </x:c>
      <x:c r="M1088" s="36" t="str">
        <x:v>Jakobus 1,5–8</x:v>
      </x:c>
      <x:c r="N1088" s="36" t="str">
        <x:v>Weisheit wird als Gabe Gottes vorgestellt; zugleich fordert Jakobus ein vertrauendes, nicht dauerhaft gespaltenes Bitten.</x:v>
      </x:c>
      <x:c r="O1088" s="36" t="str">
        <x:v>FREIGEGEBEN</x:v>
      </x:c>
      <x:c r="P1088" s="36" t="str">
        <x:v>FREIGEGEBEN</x:v>
      </x:c>
      <x:c r="Q1088" s="36" t="str">
        <x:v>JA</x:v>
      </x:c>
    </x:row>
    <x:row r="1089">
      <x:c r="A1089" s="36" t="str">
        <x:v>FP-1348</x:v>
      </x:c>
      <x:c r="B1089" s="36" t="str">
        <x:v>JAS</x:v>
      </x:c>
      <x:c r="C1089" s="36" t="str">
        <x:v>Jakobus</x:v>
      </x:c>
      <x:c r="D1089" s="36" t="n">
        <x:v>1</x:v>
      </x:c>
      <x:c r="E1089" s="36" t="n">
        <x:v>3</x:v>
      </x:c>
      <x:c r="F1089" s="36" t="str">
        <x:v>Woher kommt die Versuchung zum Bösen nach Jakobus 1 nicht?</x:v>
      </x:c>
      <x:c r="G1089" s="36" t="str">
        <x:v>Aus ungeordneten eigenen Begierden.</x:v>
      </x:c>
      <x:c r="H1089" s="36" t="str">
        <x:v>Aus einer inneren Lockung zur Sünde.</x:v>
      </x:c>
      <x:c r="I1089" s="36" t="str">
        <x:v>Von Gott, denn Gott versucht niemanden zum Bösen.</x:v>
      </x:c>
      <x:c r="J1089" s="36" t="str">
        <x:v>Aus einem Prozess, der in Sünde und Tod münden kann.</x:v>
      </x:c>
      <x:c r="K1089" s="36" t="n">
        <x:v>2</x:v>
      </x:c>
      <x:c r="L1089" s="36" t="str">
        <x:v>Von Gott, denn Gott versucht niemanden zum Bösen.</x:v>
      </x:c>
      <x:c r="M1089" s="36" t="str">
        <x:v>Jakobus 1,13–15</x:v>
      </x:c>
      <x:c r="N1089" s="36" t="str">
        <x:v>Jakobus weist die Schuldzuweisung an Gott zurück und beschreibt stattdessen den Weg von Begierde über Sünde bis zum Tod.</x:v>
      </x:c>
      <x:c r="O1089" s="36" t="str">
        <x:v>FREIGEGEBEN</x:v>
      </x:c>
      <x:c r="P1089" s="36" t="str">
        <x:v>FREIGEGEBEN</x:v>
      </x:c>
      <x:c r="Q1089" s="36" t="str">
        <x:v>JA</x:v>
      </x:c>
    </x:row>
    <x:row r="1090">
      <x:c r="A1090" s="36" t="str">
        <x:v>FP-1349</x:v>
      </x:c>
      <x:c r="B1090" s="36" t="str">
        <x:v>JAS</x:v>
      </x:c>
      <x:c r="C1090" s="36" t="str">
        <x:v>Jakobus</x:v>
      </x:c>
      <x:c r="D1090" s="36" t="n">
        <x:v>1</x:v>
      </x:c>
      <x:c r="E1090" s="36" t="n">
        <x:v>4</x:v>
      </x:c>
      <x:c r="F1090" s="36" t="str">
        <x:v>Welche Haltung verbindet Jakobus mit Hören, Reden und Zorn?</x:v>
      </x:c>
      <x:c r="G1090" s="36" t="str">
        <x:v>Schnell zum Reden und langsam zum Hören.</x:v>
      </x:c>
      <x:c r="H1090" s="36" t="str">
        <x:v>Zorn als zuverlässigsten Weg zu Gottes Gerechtigkeit.</x:v>
      </x:c>
      <x:c r="I1090" s="36" t="str">
        <x:v>Schweigen in jeder Situation.</x:v>
      </x:c>
      <x:c r="J1090" s="36" t="str">
        <x:v>Schnell zum Hören, langsam zum Reden und langsam zum Zorn.</x:v>
      </x:c>
      <x:c r="K1090" s="36" t="n">
        <x:v>3</x:v>
      </x:c>
      <x:c r="L1090" s="36" t="str">
        <x:v>Schnell zum Hören, langsam zum Reden und langsam zum Zorn.</x:v>
      </x:c>
      <x:c r="M1090" s="36" t="str">
        <x:v>Jakobus 1,19–20</x:v>
      </x:c>
      <x:c r="N1090" s="36" t="str">
        <x:v>Der menschliche Zorn bewirkt nach Jakobus nicht die Gerechtigkeit Gottes; deshalb betont er besonnenes Hören und Reden.</x:v>
      </x:c>
      <x:c r="O1090" s="36" t="str">
        <x:v>FREIGEGEBEN</x:v>
      </x:c>
      <x:c r="P1090" s="36" t="str">
        <x:v>FREIGEGEBEN</x:v>
      </x:c>
      <x:c r="Q1090" s="36" t="str">
        <x:v>JA</x:v>
      </x:c>
    </x:row>
    <x:row r="1091">
      <x:c r="A1091" s="36" t="str">
        <x:v>FP-1350</x:v>
      </x:c>
      <x:c r="B1091" s="36" t="str">
        <x:v>JAS</x:v>
      </x:c>
      <x:c r="C1091" s="36" t="str">
        <x:v>Jakobus</x:v>
      </x:c>
      <x:c r="D1091" s="36" t="n">
        <x:v>1</x:v>
      </x:c>
      <x:c r="E1091" s="36" t="n">
        <x:v>5</x:v>
      </x:c>
      <x:c r="F1091" s="36" t="str">
        <x:v>Was unterscheidet den gesegneten Umgang mit Gottes Wort vom bloßen Hören?</x:v>
      </x:c>
      <x:c r="G1091" s="36" t="str">
        <x:v>Das Wort nicht nur hören, sondern danach handeln.</x:v>
      </x:c>
      <x:c r="H1091" s="36" t="str">
        <x:v>Das Gehörte möglichst schnell vergessen.</x:v>
      </x:c>
      <x:c r="I1091" s="36" t="str">
        <x:v>Nur über das Wort diskutieren.</x:v>
      </x:c>
      <x:c r="J1091" s="36" t="str">
        <x:v>Das Wort ausschließlich anderen erklären.</x:v>
      </x:c>
      <x:c r="K1091" s="36" t="n">
        <x:v>0</x:v>
      </x:c>
      <x:c r="L1091" s="36" t="str">
        <x:v>Das Wort nicht nur hören, sondern danach handeln.</x:v>
      </x:c>
      <x:c r="M1091" s="36" t="str">
        <x:v>Jakobus 1,22–27</x:v>
      </x:c>
      <x:c r="N1091" s="36" t="str">
        <x:v>Jakobus vergleicht bloßes Hören mit einem flüchtigen Blick in den Spiegel. Echtes Hören führt zu gelebter Praxis, kontrollierter Rede und Fürsorge.</x:v>
      </x:c>
      <x:c r="O1091" s="36" t="str">
        <x:v>FREIGEGEBEN</x:v>
      </x:c>
      <x:c r="P1091" s="36" t="str">
        <x:v>FREIGEGEBEN</x:v>
      </x:c>
      <x:c r="Q1091" s="36" t="str">
        <x:v>JA</x:v>
      </x:c>
    </x:row>
    <x:row r="1092">
      <x:c r="A1092" s="36" t="str">
        <x:v>FP-1351</x:v>
      </x:c>
      <x:c r="B1092" s="36" t="str">
        <x:v>JAS</x:v>
      </x:c>
      <x:c r="C1092" s="36" t="str">
        <x:v>Jakobus</x:v>
      </x:c>
      <x:c r="D1092" s="36" t="n">
        <x:v>2</x:v>
      </x:c>
      <x:c r="E1092" s="36" t="n">
        <x:v>1</x:v>
      </x:c>
      <x:c r="F1092" s="36" t="str">
        <x:v>Was kritisiert Jakobus am unterschiedlichen Umgang mit reichen und armen Besuchern?</x:v>
      </x:c>
      <x:c r="G1092" s="36" t="str">
        <x:v>Dass reiche Menschen überhaupt eine Gemeinde besuchen.</x:v>
      </x:c>
      <x:c r="H1092" s="36" t="str">
        <x:v>Parteilichkeit und ungerechte Bevorzugung.</x:v>
      </x:c>
      <x:c r="I1092" s="36" t="str">
        <x:v>Dass Arme einen Sitzplatz erhalten.</x:v>
      </x:c>
      <x:c r="J1092" s="36" t="str">
        <x:v>Dass Kleidung in der Gemeinde sichtbar ist.</x:v>
      </x:c>
      <x:c r="K1092" s="36" t="n">
        <x:v>1</x:v>
      </x:c>
      <x:c r="L1092" s="36" t="str">
        <x:v>Parteilichkeit und ungerechte Bevorzugung.</x:v>
      </x:c>
      <x:c r="M1092" s="36" t="str">
        <x:v>Jakobus 2,1–7</x:v>
      </x:c>
      <x:c r="N1092" s="36" t="str">
        <x:v>Der Glaube an Jesus soll nicht mit Ansehen der Person verbunden werden. Soziale Bevorzugung widerspricht der christlichen Gemeinschaft.</x:v>
      </x:c>
      <x:c r="O1092" s="36" t="str">
        <x:v>FREIGEGEBEN</x:v>
      </x:c>
      <x:c r="P1092" s="36" t="str">
        <x:v>FREIGEGEBEN</x:v>
      </x:c>
      <x:c r="Q1092" s="36" t="str">
        <x:v>JA</x:v>
      </x:c>
    </x:row>
    <x:row r="1093">
      <x:c r="A1093" s="36" t="str">
        <x:v>FP-1352</x:v>
      </x:c>
      <x:c r="B1093" s="36" t="str">
        <x:v>JAS</x:v>
      </x:c>
      <x:c r="C1093" s="36" t="str">
        <x:v>Jakobus</x:v>
      </x:c>
      <x:c r="D1093" s="36" t="n">
        <x:v>2</x:v>
      </x:c>
      <x:c r="E1093" s="36" t="n">
        <x:v>2</x:v>
      </x:c>
      <x:c r="F1093" s="36" t="str">
        <x:v>Welches Gebot nennt Jakobus das königliche Gesetz?</x:v>
      </x:c>
      <x:c r="G1093" s="36" t="str">
        <x:v>Du sollst ausschließlich Reiche ehren.</x:v>
      </x:c>
      <x:c r="H1093" s="36" t="str">
        <x:v>Du sollst niemals Entscheidungen treffen.</x:v>
      </x:c>
      <x:c r="I1093" s="36" t="str">
        <x:v>Liebe deinen Nächsten wie dich selbst.</x:v>
      </x:c>
      <x:c r="J1093" s="36" t="str">
        <x:v>Du sollst deinen Besitz verdoppeln.</x:v>
      </x:c>
      <x:c r="K1093" s="36" t="n">
        <x:v>2</x:v>
      </x:c>
      <x:c r="L1093" s="36" t="str">
        <x:v>Liebe deinen Nächsten wie dich selbst.</x:v>
      </x:c>
      <x:c r="M1093" s="36" t="str">
        <x:v>Jakobus 2,8–9</x:v>
      </x:c>
      <x:c r="N1093" s="36" t="str">
        <x:v>Nächstenliebe und Parteilichkeit stehen im direkten Gegensatz; Bevorzugung wird ausdrücklich als Sünde bezeichnet.</x:v>
      </x:c>
      <x:c r="O1093" s="36" t="str">
        <x:v>FREIGEGEBEN</x:v>
      </x:c>
      <x:c r="P1093" s="36" t="str">
        <x:v>FREIGEGEBEN</x:v>
      </x:c>
      <x:c r="Q1093" s="36" t="str">
        <x:v>JA</x:v>
      </x:c>
    </x:row>
    <x:row r="1094">
      <x:c r="A1094" s="36" t="str">
        <x:v>FP-1353</x:v>
      </x:c>
      <x:c r="B1094" s="36" t="str">
        <x:v>JAS</x:v>
      </x:c>
      <x:c r="C1094" s="36" t="str">
        <x:v>Jakobus</x:v>
      </x:c>
      <x:c r="D1094" s="36" t="n">
        <x:v>2</x:v>
      </x:c>
      <x:c r="E1094" s="36" t="n">
        <x:v>3</x:v>
      </x:c>
      <x:c r="F1094" s="36" t="str">
        <x:v>Welche Aussage macht Jakobus über Barmherzigkeit und Gericht?</x:v>
      </x:c>
      <x:c r="G1094" s="36" t="str">
        <x:v>Barmherzigkeit ist im Gericht bedeutungslos.</x:v>
      </x:c>
      <x:c r="H1094" s="36" t="str">
        <x:v>Gericht betrifft nur Menschen ohne Besitz.</x:v>
      </x:c>
      <x:c r="I1094" s="36" t="str">
        <x:v>Barmherzigkeit ersetzt jede Verantwortung.</x:v>
      </x:c>
      <x:c r="J1094" s="36" t="str">
        <x:v>Barmherzigkeit triumphiert über das Gericht.</x:v>
      </x:c>
      <x:c r="K1094" s="36" t="n">
        <x:v>3</x:v>
      </x:c>
      <x:c r="L1094" s="36" t="str">
        <x:v>Barmherzigkeit triumphiert über das Gericht.</x:v>
      </x:c>
      <x:c r="M1094" s="36" t="str">
        <x:v>Jakobus 2,12–13</x:v>
      </x:c>
      <x:c r="N1094" s="36" t="str">
        <x:v>Der Abschnitt fordert ein Reden und Handeln im Licht des Gesetzes der Freiheit und warnt vor unbarmherzigem Verhalten.</x:v>
      </x:c>
      <x:c r="O1094" s="36" t="str">
        <x:v>FREIGEGEBEN</x:v>
      </x:c>
      <x:c r="P1094" s="36" t="str">
        <x:v>FREIGEGEBEN</x:v>
      </x:c>
      <x:c r="Q1094" s="36" t="str">
        <x:v>JA</x:v>
      </x:c>
    </x:row>
    <x:row r="1095">
      <x:c r="A1095" s="36" t="str">
        <x:v>FP-1354</x:v>
      </x:c>
      <x:c r="B1095" s="36" t="str">
        <x:v>JAS</x:v>
      </x:c>
      <x:c r="C1095" s="36" t="str">
        <x:v>Jakobus</x:v>
      </x:c>
      <x:c r="D1095" s="36" t="n">
        <x:v>2</x:v>
      </x:c>
      <x:c r="E1095" s="36" t="n">
        <x:v>4</x:v>
      </x:c>
      <x:c r="F1095" s="36" t="str">
        <x:v>Was zeigt das Beispiel eines bedürftigen Bruders oder einer bedürftigen Schwester?</x:v>
      </x:c>
      <x:c r="G1095" s="36" t="str">
        <x:v>Ein Glaube ohne praktische Hilfe und entsprechende Werke ist tot.</x:v>
      </x:c>
      <x:c r="H1095" s="36" t="str">
        <x:v>Gute Wünsche reichen immer aus.</x:v>
      </x:c>
      <x:c r="I1095" s="36" t="str">
        <x:v>Materielle Not hat mit Glauben nichts zu tun.</x:v>
      </x:c>
      <x:c r="J1095" s="36" t="str">
        <x:v>Werke können Glauben vollständig ersetzen.</x:v>
      </x:c>
      <x:c r="K1095" s="36" t="n">
        <x:v>0</x:v>
      </x:c>
      <x:c r="L1095" s="36" t="str">
        <x:v>Ein Glaube ohne praktische Hilfe und entsprechende Werke ist tot.</x:v>
      </x:c>
      <x:c r="M1095" s="36" t="str">
        <x:v>Jakobus 2,14–17</x:v>
      </x:c>
      <x:c r="N1095" s="36" t="str">
        <x:v>Jakobus richtet sich gegen ein bloßes Glaubensbekenntnis, das sich nicht in konkreter Liebe und Hilfe zeigt.</x:v>
      </x:c>
      <x:c r="O1095" s="36" t="str">
        <x:v>FREIGEGEBEN</x:v>
      </x:c>
      <x:c r="P1095" s="36" t="str">
        <x:v>FREIGEGEBEN</x:v>
      </x:c>
      <x:c r="Q1095" s="36" t="str">
        <x:v>JA</x:v>
      </x:c>
    </x:row>
    <x:row r="1096">
      <x:c r="A1096" s="36" t="str">
        <x:v>FP-1355</x:v>
      </x:c>
      <x:c r="B1096" s="36" t="str">
        <x:v>JAS</x:v>
      </x:c>
      <x:c r="C1096" s="36" t="str">
        <x:v>Jakobus</x:v>
      </x:c>
      <x:c r="D1096" s="36" t="n">
        <x:v>2</x:v>
      </x:c>
      <x:c r="E1096" s="36" t="n">
        <x:v>5</x:v>
      </x:c>
      <x:c r="F1096" s="36" t="str">
        <x:v>Welche beiden Personen nennt Jakobus als Beispiele dafür, dass Glaube sich im Handeln zeigt?</x:v>
      </x:c>
      <x:c r="G1096" s="36" t="str">
        <x:v>Mose und Aaron.</x:v>
      </x:c>
      <x:c r="H1096" s="36" t="str">
        <x:v>Abraham und Rahab.</x:v>
      </x:c>
      <x:c r="I1096" s="36" t="str">
        <x:v>Petrus und Johannes.</x:v>
      </x:c>
      <x:c r="J1096" s="36" t="str">
        <x:v>David und Salomo.</x:v>
      </x:c>
      <x:c r="K1096" s="36" t="n">
        <x:v>1</x:v>
      </x:c>
      <x:c r="L1096" s="36" t="str">
        <x:v>Abraham und Rahab.</x:v>
      </x:c>
      <x:c r="M1096" s="36" t="str">
        <x:v>Jakobus 2,20–26</x:v>
      </x:c>
      <x:c r="N1096" s="36" t="str">
        <x:v>Abraham und Rahab werden unterschiedlich erzählt, aber beide dienen Jakobus als Beispiele für einen Glauben, der sichtbar handelt.</x:v>
      </x:c>
      <x:c r="O1096" s="36" t="str">
        <x:v>FREIGEGEBEN</x:v>
      </x:c>
      <x:c r="P1096" s="36" t="str">
        <x:v>FREIGEGEBEN</x:v>
      </x:c>
      <x:c r="Q1096" s="36" t="str">
        <x:v>JA</x:v>
      </x:c>
    </x:row>
    <x:row r="1097">
      <x:c r="A1097" s="36" t="str">
        <x:v>FP-1356</x:v>
      </x:c>
      <x:c r="B1097" s="36" t="str">
        <x:v>JAS</x:v>
      </x:c>
      <x:c r="C1097" s="36" t="str">
        <x:v>Jakobus</x:v>
      </x:c>
      <x:c r="D1097" s="36" t="n">
        <x:v>3</x:v>
      </x:c>
      <x:c r="E1097" s="36" t="n">
        <x:v>1</x:v>
      </x:c>
      <x:c r="F1097" s="36" t="str">
        <x:v>Warum sollen nicht viele Lehrer werden wollen?</x:v>
      </x:c>
      <x:c r="G1097" s="36" t="str">
        <x:v>Weil Lehre grundsätzlich verboten ist.</x:v>
      </x:c>
      <x:c r="H1097" s="36" t="str">
        <x:v>Weil nur Apostel sprechen dürfen.</x:v>
      </x:c>
      <x:c r="I1097" s="36" t="str">
        <x:v>Weil Lehrende strenger beurteilt werden.</x:v>
      </x:c>
      <x:c r="J1097" s="36" t="str">
        <x:v>Weil Lehrer keine Fehler machen können.</x:v>
      </x:c>
      <x:c r="K1097" s="36" t="n">
        <x:v>2</x:v>
      </x:c>
      <x:c r="L1097" s="36" t="str">
        <x:v>Weil Lehrende strenger beurteilt werden.</x:v>
      </x:c>
      <x:c r="M1097" s="36" t="str">
        <x:v>Jakobus 3,1–2</x:v>
      </x:c>
      <x:c r="N1097" s="36" t="str">
        <x:v>Jakobus verbindet Lehrverantwortung mit besonderer Rechenschaft und erinnert zugleich daran, dass alle in vieler Hinsicht straucheln.</x:v>
      </x:c>
      <x:c r="O1097" s="36" t="str">
        <x:v>FREIGEGEBEN</x:v>
      </x:c>
      <x:c r="P1097" s="36" t="str">
        <x:v>FREIGEGEBEN</x:v>
      </x:c>
      <x:c r="Q1097" s="36" t="str">
        <x:v>JA</x:v>
      </x:c>
    </x:row>
    <x:row r="1098">
      <x:c r="A1098" s="36" t="str">
        <x:v>FP-1357</x:v>
      </x:c>
      <x:c r="B1098" s="36" t="str">
        <x:v>JAS</x:v>
      </x:c>
      <x:c r="C1098" s="36" t="str">
        <x:v>Jakobus</x:v>
      </x:c>
      <x:c r="D1098" s="36" t="n">
        <x:v>3</x:v>
      </x:c>
      <x:c r="E1098" s="36" t="n">
        <x:v>2</x:v>
      </x:c>
      <x:c r="F1098" s="36" t="str">
        <x:v>Welche Bilder verwendet Jakobus für den großen Einfluss kleiner Dinge?</x:v>
      </x:c>
      <x:c r="G1098" s="36" t="str">
        <x:v>Krone, Tempel und Schwert.</x:v>
      </x:c>
      <x:c r="H1098" s="36" t="str">
        <x:v>Saat, Münze und Mantel.</x:v>
      </x:c>
      <x:c r="I1098" s="36" t="str">
        <x:v>Brot, Kelch und Öl.</x:v>
      </x:c>
      <x:c r="J1098" s="36" t="str">
        <x:v>Zaum, Ruder und ein kleiner Funke.</x:v>
      </x:c>
      <x:c r="K1098" s="36" t="n">
        <x:v>3</x:v>
      </x:c>
      <x:c r="L1098" s="36" t="str">
        <x:v>Zaum, Ruder und ein kleiner Funke.</x:v>
      </x:c>
      <x:c r="M1098" s="36" t="str">
        <x:v>Jakobus 3,3–6</x:v>
      </x:c>
      <x:c r="N1098" s="36" t="str">
        <x:v>Wie Zaum, Ruder und Funke kann auch die kleine Zunge unverhältnismäßig große Wirkung entfalten.</x:v>
      </x:c>
      <x:c r="O1098" s="36" t="str">
        <x:v>FREIGEGEBEN</x:v>
      </x:c>
      <x:c r="P1098" s="36" t="str">
        <x:v>FREIGEGEBEN</x:v>
      </x:c>
      <x:c r="Q1098" s="36" t="str">
        <x:v>JA</x:v>
      </x:c>
    </x:row>
    <x:row r="1099">
      <x:c r="A1099" s="36" t="str">
        <x:v>FP-1358</x:v>
      </x:c>
      <x:c r="B1099" s="36" t="str">
        <x:v>JAS</x:v>
      </x:c>
      <x:c r="C1099" s="36" t="str">
        <x:v>Jakobus</x:v>
      </x:c>
      <x:c r="D1099" s="36" t="n">
        <x:v>3</x:v>
      </x:c>
      <x:c r="E1099" s="36" t="n">
        <x:v>3</x:v>
      </x:c>
      <x:c r="F1099" s="36" t="str">
        <x:v>Welchen Widerspruch kritisiert Jakobus beim Gebrauch der Zunge?</x:v>
      </x:c>
      <x:c r="G1099" s="36" t="str">
        <x:v>Mit derselben Zunge Gott zu loben und Menschen, die nach Gottes Bild geschaffen sind, zu verfluchen.</x:v>
      </x:c>
      <x:c r="H1099" s="36" t="str">
        <x:v>Zu beten und zugleich zu arbeiten.</x:v>
      </x:c>
      <x:c r="I1099" s="36" t="str">
        <x:v>Zu lehren und zugleich zuzuhören.</x:v>
      </x:c>
      <x:c r="J1099" s="36" t="str">
        <x:v>Zu schweigen und zugleich nachzudenken.</x:v>
      </x:c>
      <x:c r="K1099" s="36" t="n">
        <x:v>0</x:v>
      </x:c>
      <x:c r="L1099" s="36" t="str">
        <x:v>Mit derselben Zunge Gott zu loben und Menschen, die nach Gottes Bild geschaffen sind, zu verfluchen.</x:v>
      </x:c>
      <x:c r="M1099" s="36" t="str">
        <x:v>Jakobus 3,9–12</x:v>
      </x:c>
      <x:c r="N1099" s="36" t="str">
        <x:v>Segen und Fluch aus demselben Mund passen nach Jakobus nicht zusammen; das unterstreichen seine Bilder von Quelle und Baum.</x:v>
      </x:c>
      <x:c r="O1099" s="36" t="str">
        <x:v>FREIGEGEBEN</x:v>
      </x:c>
      <x:c r="P1099" s="36" t="str">
        <x:v>FREIGEGEBEN</x:v>
      </x:c>
      <x:c r="Q1099" s="36" t="str">
        <x:v>JA</x:v>
      </x:c>
    </x:row>
    <x:row r="1100">
      <x:c r="A1100" s="36" t="str">
        <x:v>FP-1359</x:v>
      </x:c>
      <x:c r="B1100" s="36" t="str">
        <x:v>JAS</x:v>
      </x:c>
      <x:c r="C1100" s="36" t="str">
        <x:v>Jakobus</x:v>
      </x:c>
      <x:c r="D1100" s="36" t="n">
        <x:v>3</x:v>
      </x:c>
      <x:c r="E1100" s="36" t="n">
        <x:v>4</x:v>
      </x:c>
      <x:c r="F1100" s="36" t="str">
        <x:v>Wie zeigt sich echte Weisheit nach Jakobus?</x:v>
      </x:c>
      <x:c r="G1100" s="36" t="str">
        <x:v>Durch selbstsichere Selbstdarstellung.</x:v>
      </x:c>
      <x:c r="H1100" s="36" t="str">
        <x:v>Durch einen guten Wandel und Taten in der Demut, die aus Weisheit kommt.</x:v>
      </x:c>
      <x:c r="I1100" s="36" t="str">
        <x:v>Durch möglichst viele Wortgefechte.</x:v>
      </x:c>
      <x:c r="J1100" s="36" t="str">
        <x:v>Durch Eifersucht und Ehrgeiz.</x:v>
      </x:c>
      <x:c r="K1100" s="36" t="n">
        <x:v>1</x:v>
      </x:c>
      <x:c r="L1100" s="36" t="str">
        <x:v>Durch einen guten Wandel und Taten in der Demut, die aus Weisheit kommt.</x:v>
      </x:c>
      <x:c r="M1100" s="36" t="str">
        <x:v>Jakobus 3,13</x:v>
      </x:c>
      <x:c r="N1100" s="36" t="str">
        <x:v>Weisheit wird nicht nur behauptet, sondern in einem demütigen, guten Lebenswandel sichtbar.</x:v>
      </x:c>
      <x:c r="O1100" s="36" t="str">
        <x:v>FREIGEGEBEN</x:v>
      </x:c>
      <x:c r="P1100" s="36" t="str">
        <x:v>FREIGEGEBEN</x:v>
      </x:c>
      <x:c r="Q1100" s="36" t="str">
        <x:v>JA</x:v>
      </x:c>
    </x:row>
    <x:row r="1101">
      <x:c r="A1101" s="36" t="str">
        <x:v>FP-1360</x:v>
      </x:c>
      <x:c r="B1101" s="36" t="str">
        <x:v>JAS</x:v>
      </x:c>
      <x:c r="C1101" s="36" t="str">
        <x:v>Jakobus</x:v>
      </x:c>
      <x:c r="D1101" s="36" t="n">
        <x:v>3</x:v>
      </x:c>
      <x:c r="E1101" s="36" t="n">
        <x:v>5</x:v>
      </x:c>
      <x:c r="F1101" s="36" t="str">
        <x:v>Welche Eigenschaften kennzeichnen die Weisheit von oben?</x:v>
      </x:c>
      <x:c r="G1101" s="36" t="str">
        <x:v>Neidisch, ehrgeizig und streitsüchtig.</x:v>
      </x:c>
      <x:c r="H1101" s="36" t="str">
        <x:v>Geheimnisvoll, hart und unnachgiebig.</x:v>
      </x:c>
      <x:c r="I1101" s="36" t="str">
        <x:v>Rein, friedliebend, sanft, barmherzig, unparteiisch und aufrichtig.</x:v>
      </x:c>
      <x:c r="J1101" s="36" t="str">
        <x:v>Auf Gewinn, Status und Wettbewerb ausgerichtet.</x:v>
      </x:c>
      <x:c r="K1101" s="36" t="n">
        <x:v>2</x:v>
      </x:c>
      <x:c r="L1101" s="36" t="str">
        <x:v>Rein, friedliebend, sanft, barmherzig, unparteiisch und aufrichtig.</x:v>
      </x:c>
      <x:c r="M1101" s="36" t="str">
        <x:v>Jakobus 3,14–18</x:v>
      </x:c>
      <x:c r="N1101" s="36" t="str">
        <x:v>Jakobus kontrastiert irdische, von Eifersucht geprägte Weisheit mit einer von Frieden und guten Früchten gekennzeichneten Weisheit.</x:v>
      </x:c>
      <x:c r="O1101" s="36" t="str">
        <x:v>FREIGEGEBEN</x:v>
      </x:c>
      <x:c r="P1101" s="36" t="str">
        <x:v>FREIGEGEBEN</x:v>
      </x:c>
      <x:c r="Q1101" s="36" t="str">
        <x:v>JA</x:v>
      </x:c>
    </x:row>
    <x:row r="1102">
      <x:c r="A1102" s="36" t="str">
        <x:v>FP-1361</x:v>
      </x:c>
      <x:c r="B1102" s="36" t="str">
        <x:v>JAS</x:v>
      </x:c>
      <x:c r="C1102" s="36" t="str">
        <x:v>Jakobus</x:v>
      </x:c>
      <x:c r="D1102" s="36" t="n">
        <x:v>4</x:v>
      </x:c>
      <x:c r="E1102" s="36" t="n">
        <x:v>1</x:v>
      </x:c>
      <x:c r="F1102" s="36" t="str">
        <x:v>Wo verortet Jakobus eine Wurzel von Streit und Kämpfen?</x:v>
      </x:c>
      <x:c r="G1102" s="36" t="str">
        <x:v>Ausschließlich in äußeren politischen Umständen.</x:v>
      </x:c>
      <x:c r="H1102" s="36" t="str">
        <x:v>Nur in mangelnder Bildung.</x:v>
      </x:c>
      <x:c r="I1102" s="36" t="str">
        <x:v>In jeder Form persönlicher Wünsche.</x:v>
      </x:c>
      <x:c r="J1102" s="36" t="str">
        <x:v>In ungeordneten Begierden, die im Menschen kämpfen.</x:v>
      </x:c>
      <x:c r="K1102" s="36" t="n">
        <x:v>3</x:v>
      </x:c>
      <x:c r="L1102" s="36" t="str">
        <x:v>In ungeordneten Begierden, die im Menschen kämpfen.</x:v>
      </x:c>
      <x:c r="M1102" s="36" t="str">
        <x:v>Jakobus 4,1–3</x:v>
      </x:c>
      <x:c r="N1102" s="36" t="str">
        <x:v>Jakobus lenkt den Blick hinter äußere Konflikte auf begehrende Motive und auf Bitten, die eigennützig ausgerichtet sein können.</x:v>
      </x:c>
      <x:c r="O1102" s="36" t="str">
        <x:v>FREIGEGEBEN</x:v>
      </x:c>
      <x:c r="P1102" s="36" t="str">
        <x:v>FREIGEGEBEN</x:v>
      </x:c>
      <x:c r="Q1102" s="36" t="str">
        <x:v>JA</x:v>
      </x:c>
    </x:row>
    <x:row r="1103">
      <x:c r="A1103" s="36" t="str">
        <x:v>FP-1362</x:v>
      </x:c>
      <x:c r="B1103" s="36" t="str">
        <x:v>JAS</x:v>
      </x:c>
      <x:c r="C1103" s="36" t="str">
        <x:v>Jakobus</x:v>
      </x:c>
      <x:c r="D1103" s="36" t="n">
        <x:v>4</x:v>
      </x:c>
      <x:c r="E1103" s="36" t="n">
        <x:v>2</x:v>
      </x:c>
      <x:c r="F1103" s="36" t="str">
        <x:v>Welche Abfolge nennt Jakobus im Umgang mit Gott und dem Bösen?</x:v>
      </x:c>
      <x:c r="G1103" s="36" t="str">
        <x:v>Sich Gott unterordnen, dem Teufel widerstehen und sich Gott nahen.</x:v>
      </x:c>
      <x:c r="H1103" s="36" t="str">
        <x:v>Sich selbst erhöhen und Gott fernbleiben.</x:v>
      </x:c>
      <x:c r="I1103" s="36" t="str">
        <x:v>Dem Bösen nachgeben, um Konflikte zu vermeiden.</x:v>
      </x:c>
      <x:c r="J1103" s="36" t="str">
        <x:v>Nur äußere Rituale ausführen.</x:v>
      </x:c>
      <x:c r="K1103" s="36" t="n">
        <x:v>0</x:v>
      </x:c>
      <x:c r="L1103" s="36" t="str">
        <x:v>Sich Gott unterordnen, dem Teufel widerstehen und sich Gott nahen.</x:v>
      </x:c>
      <x:c r="M1103" s="36" t="str">
        <x:v>Jakobus 4,6–10</x:v>
      </x:c>
      <x:c r="N1103" s="36" t="str">
        <x:v>Der Abschnitt verbindet Gottes größere Gnade mit Demut, Widerstand gegen das Böse und erneuter Nähe zu Gott.</x:v>
      </x:c>
      <x:c r="O1103" s="36" t="str">
        <x:v>FREIGEGEBEN</x:v>
      </x:c>
      <x:c r="P1103" s="36" t="str">
        <x:v>FREIGEGEBEN</x:v>
      </x:c>
      <x:c r="Q1103" s="36" t="str">
        <x:v>JA</x:v>
      </x:c>
    </x:row>
    <x:row r="1104">
      <x:c r="A1104" s="36" t="str">
        <x:v>FP-1363</x:v>
      </x:c>
      <x:c r="B1104" s="36" t="str">
        <x:v>JAS</x:v>
      </x:c>
      <x:c r="C1104" s="36" t="str">
        <x:v>Jakobus</x:v>
      </x:c>
      <x:c r="D1104" s="36" t="n">
        <x:v>4</x:v>
      </x:c>
      <x:c r="E1104" s="36" t="n">
        <x:v>3</x:v>
      </x:c>
      <x:c r="F1104" s="36" t="str">
        <x:v>Warum warnt Jakobus davor, schlecht über Geschwister zu reden und sie zu richten?</x:v>
      </x:c>
      <x:c r="G1104" s="36" t="str">
        <x:v>Weil jedes moralische Urteil grundsätzlich unmöglich ist.</x:v>
      </x:c>
      <x:c r="H1104" s="36" t="str">
        <x:v>Weil es einen Gesetzgeber und Richter gibt, der retten und verderben kann.</x:v>
      </x:c>
      <x:c r="I1104" s="36" t="str">
        <x:v>Weil Konflikte nie angesprochen werden dürfen.</x:v>
      </x:c>
      <x:c r="J1104" s="36" t="str">
        <x:v>Weil nur Reiche beurteilt werden können.</x:v>
      </x:c>
      <x:c r="K1104" s="36" t="n">
        <x:v>1</x:v>
      </x:c>
      <x:c r="L1104" s="36" t="str">
        <x:v>Weil es einen Gesetzgeber und Richter gibt, der retten und verderben kann.</x:v>
      </x:c>
      <x:c r="M1104" s="36" t="str">
        <x:v>Jakobus 4,11–12</x:v>
      </x:c>
      <x:c r="N1104" s="36" t="str">
        <x:v>Jakobus richtet sich gegen anmaßendes Verurteilen des Nächsten und erinnert an Gottes einzigartige Richterstellung.</x:v>
      </x:c>
      <x:c r="O1104" s="36" t="str">
        <x:v>FREIGEGEBEN</x:v>
      </x:c>
      <x:c r="P1104" s="36" t="str">
        <x:v>FREIGEGEBEN</x:v>
      </x:c>
      <x:c r="Q1104" s="36" t="str">
        <x:v>JA</x:v>
      </x:c>
    </x:row>
    <x:row r="1105">
      <x:c r="A1105" s="36" t="str">
        <x:v>FP-1364</x:v>
      </x:c>
      <x:c r="B1105" s="36" t="str">
        <x:v>JAS</x:v>
      </x:c>
      <x:c r="C1105" s="36" t="str">
        <x:v>Jakobus</x:v>
      </x:c>
      <x:c r="D1105" s="36" t="n">
        <x:v>4</x:v>
      </x:c>
      <x:c r="E1105" s="36" t="n">
        <x:v>4</x:v>
      </x:c>
      <x:c r="F1105" s="36" t="str">
        <x:v>Was fehlt an der selbstsicheren Aussage 'Wir werden dort hingehen, handeln und Gewinn machen'?</x:v>
      </x:c>
      <x:c r="G1105" s="36" t="str">
        <x:v>Ein genauer Fünfjahresplan.</x:v>
      </x:c>
      <x:c r="H1105" s="36" t="str">
        <x:v>Mehr finanzielles Risiko.</x:v>
      </x:c>
      <x:c r="I1105" s="36" t="str">
        <x:v>Die demütige Anerkennung: Wenn der Herr will, werden wir leben und dies oder jenes tun.</x:v>
      </x:c>
      <x:c r="J1105" s="36" t="str">
        <x:v>Eine religiöse Reise nach Jerusalem.</x:v>
      </x:c>
      <x:c r="K1105" s="36" t="n">
        <x:v>2</x:v>
      </x:c>
      <x:c r="L1105" s="36" t="str">
        <x:v>Die demütige Anerkennung: Wenn der Herr will, werden wir leben und dies oder jenes tun.</x:v>
      </x:c>
      <x:c r="M1105" s="36" t="str">
        <x:v>Jakobus 4,13–16</x:v>
      </x:c>
      <x:c r="N1105" s="36" t="str">
        <x:v>Jakobus kritisiert nicht Planung an sich, sondern überhebliche Sicherheit, die die Begrenztheit des Lebens und Gottes Willen ausblendet.</x:v>
      </x:c>
      <x:c r="O1105" s="36" t="str">
        <x:v>FREIGEGEBEN</x:v>
      </x:c>
      <x:c r="P1105" s="36" t="str">
        <x:v>FREIGEGEBEN</x:v>
      </x:c>
      <x:c r="Q1105" s="36" t="str">
        <x:v>JA</x:v>
      </x:c>
    </x:row>
    <x:row r="1106">
      <x:c r="A1106" s="36" t="str">
        <x:v>FP-1365</x:v>
      </x:c>
      <x:c r="B1106" s="36" t="str">
        <x:v>JAS</x:v>
      </x:c>
      <x:c r="C1106" s="36" t="str">
        <x:v>Jakobus</x:v>
      </x:c>
      <x:c r="D1106" s="36" t="n">
        <x:v>4</x:v>
      </x:c>
      <x:c r="E1106" s="36" t="n">
        <x:v>5</x:v>
      </x:c>
      <x:c r="F1106" s="36" t="str">
        <x:v>Wie formuliert Jakobus die Verantwortung gegenüber erkanntem Guten?</x:v>
      </x:c>
      <x:c r="G1106" s="36" t="str">
        <x:v>Nur falsches Reden kann Sünde sein.</x:v>
      </x:c>
      <x:c r="H1106" s="36" t="str">
        <x:v>Unterlassungen haben keine moralische Bedeutung.</x:v>
      </x:c>
      <x:c r="I1106" s="36" t="str">
        <x:v>Gutes zählt nur, wenn andere es sehen.</x:v>
      </x:c>
      <x:c r="J1106" s="36" t="str">
        <x:v>Wer weiß, Gutes zu tun, und es nicht tut, für den ist es Sünde.</x:v>
      </x:c>
      <x:c r="K1106" s="36" t="n">
        <x:v>3</x:v>
      </x:c>
      <x:c r="L1106" s="36" t="str">
        <x:v>Wer weiß, Gutes zu tun, und es nicht tut, für den ist es Sünde.</x:v>
      </x:c>
      <x:c r="M1106" s="36" t="str">
        <x:v>Jakobus 4,17</x:v>
      </x:c>
      <x:c r="N1106" s="36" t="str">
        <x:v>Jakobus schließt das Kapitel mit Verantwortung nicht nur für falsches Tun, sondern auch für unterlassenes erkanntes Gutes.</x:v>
      </x:c>
      <x:c r="O1106" s="36" t="str">
        <x:v>FREIGEGEBEN</x:v>
      </x:c>
      <x:c r="P1106" s="36" t="str">
        <x:v>FREIGEGEBEN</x:v>
      </x:c>
      <x:c r="Q1106" s="36" t="str">
        <x:v>JA</x:v>
      </x:c>
    </x:row>
    <x:row r="1107">
      <x:c r="A1107" s="36" t="str">
        <x:v>FP-1366</x:v>
      </x:c>
      <x:c r="B1107" s="36" t="str">
        <x:v>JAS</x:v>
      </x:c>
      <x:c r="C1107" s="36" t="str">
        <x:v>Jakobus</x:v>
      </x:c>
      <x:c r="D1107" s="36" t="n">
        <x:v>5</x:v>
      </x:c>
      <x:c r="E1107" s="36" t="n">
        <x:v>1</x:v>
      </x:c>
      <x:c r="F1107" s="36" t="str">
        <x:v>Welche Ungerechtigkeit der Reichen wird besonders angeklagt?</x:v>
      </x:c>
      <x:c r="G1107" s="36" t="str">
        <x:v>Vorenthaltener Lohn der Arbeiter.</x:v>
      </x:c>
      <x:c r="H1107" s="36" t="str">
        <x:v>Dass sie überhaupt Felder besitzen.</x:v>
      </x:c>
      <x:c r="I1107" s="36" t="str">
        <x:v>Dass sie schöne Kleidung tragen.</x:v>
      </x:c>
      <x:c r="J1107" s="36" t="str">
        <x:v>Dass sie sparen.</x:v>
      </x:c>
      <x:c r="K1107" s="36" t="n">
        <x:v>0</x:v>
      </x:c>
      <x:c r="L1107" s="36" t="str">
        <x:v>Vorenthaltener Lohn der Arbeiter.</x:v>
      </x:c>
      <x:c r="M1107" s="36" t="str">
        <x:v>Jakobus 5,1–6</x:v>
      </x:c>
      <x:c r="N1107" s="36" t="str">
        <x:v>Jakobus kritisiert selbstsüchtigen Reichtum besonders dort, wo er mit Ausbeutung und verweigertem Lohn verbunden ist.</x:v>
      </x:c>
      <x:c r="O1107" s="36" t="str">
        <x:v>FREIGEGEBEN</x:v>
      </x:c>
      <x:c r="P1107" s="36" t="str">
        <x:v>FREIGEGEBEN</x:v>
      </x:c>
      <x:c r="Q1107" s="36" t="str">
        <x:v>JA</x:v>
      </x:c>
    </x:row>
    <x:row r="1108">
      <x:c r="A1108" s="36" t="str">
        <x:v>FP-1367</x:v>
      </x:c>
      <x:c r="B1108" s="36" t="str">
        <x:v>JAS</x:v>
      </x:c>
      <x:c r="C1108" s="36" t="str">
        <x:v>Jakobus</x:v>
      </x:c>
      <x:c r="D1108" s="36" t="n">
        <x:v>5</x:v>
      </x:c>
      <x:c r="E1108" s="36" t="n">
        <x:v>2</x:v>
      </x:c>
      <x:c r="F1108" s="36" t="str">
        <x:v>Welches Bild verwendet Jakobus für geduldiges Warten auf die Ankunft des Herrn?</x:v>
      </x:c>
      <x:c r="G1108" s="36" t="str">
        <x:v>Einen Händler, der täglich Preise ändert.</x:v>
      </x:c>
      <x:c r="H1108" s="36" t="str">
        <x:v>Einen Bauern, der auf den kostbaren Ertrag und den Regen wartet.</x:v>
      </x:c>
      <x:c r="I1108" s="36" t="str">
        <x:v>Einen Soldaten, der sofort angreift.</x:v>
      </x:c>
      <x:c r="J1108" s="36" t="str">
        <x:v>Einen Richter, der sein Urteil vergisst.</x:v>
      </x:c>
      <x:c r="K1108" s="36" t="n">
        <x:v>1</x:v>
      </x:c>
      <x:c r="L1108" s="36" t="str">
        <x:v>Einen Bauern, der auf den kostbaren Ertrag und den Regen wartet.</x:v>
      </x:c>
      <x:c r="M1108" s="36" t="str">
        <x:v>Jakobus 5,7–8</x:v>
      </x:c>
      <x:c r="N1108" s="36" t="str">
        <x:v>Wie ein Bauer den Wachstumsprozess nicht erzwingen kann, sollen Glaubende geduldig und innerlich gefestigt warten.</x:v>
      </x:c>
      <x:c r="O1108" s="36" t="str">
        <x:v>FREIGEGEBEN</x:v>
      </x:c>
      <x:c r="P1108" s="36" t="str">
        <x:v>FREIGEGEBEN</x:v>
      </x:c>
      <x:c r="Q1108" s="36" t="str">
        <x:v>JA</x:v>
      </x:c>
    </x:row>
    <x:row r="1109">
      <x:c r="A1109" s="36" t="str">
        <x:v>FP-1368</x:v>
      </x:c>
      <x:c r="B1109" s="36" t="str">
        <x:v>JAS</x:v>
      </x:c>
      <x:c r="C1109" s="36" t="str">
        <x:v>Jakobus</x:v>
      </x:c>
      <x:c r="D1109" s="36" t="n">
        <x:v>5</x:v>
      </x:c>
      <x:c r="E1109" s="36" t="n">
        <x:v>3</x:v>
      </x:c>
      <x:c r="F1109" s="36" t="str">
        <x:v>Wen nennt Jakobus als Beispiele für Leiden und Ausdauer?</x:v>
      </x:c>
      <x:c r="G1109" s="36" t="str">
        <x:v>Nur Abraham und Sara.</x:v>
      </x:c>
      <x:c r="H1109" s="36" t="str">
        <x:v>Saul und Absalom.</x:v>
      </x:c>
      <x:c r="I1109" s="36" t="str">
        <x:v>Die Propheten und besonders Hiob.</x:v>
      </x:c>
      <x:c r="J1109" s="36" t="str">
        <x:v>Pharao und Nebukadnezar.</x:v>
      </x:c>
      <x:c r="K1109" s="36" t="n">
        <x:v>2</x:v>
      </x:c>
      <x:c r="L1109" s="36" t="str">
        <x:v>Die Propheten und besonders Hiob.</x:v>
      </x:c>
      <x:c r="M1109" s="36" t="str">
        <x:v>Jakobus 5,10–11</x:v>
      </x:c>
      <x:c r="N1109" s="36" t="str">
        <x:v>Propheten und Hiob erinnern daran, dass Ausharren mit Gottes Mitgefühl und Barmherzigkeit zusammen gesehen werden soll.</x:v>
      </x:c>
      <x:c r="O1109" s="36" t="str">
        <x:v>FREIGEGEBEN</x:v>
      </x:c>
      <x:c r="P1109" s="36" t="str">
        <x:v>FREIGEGEBEN</x:v>
      </x:c>
      <x:c r="Q1109" s="36" t="str">
        <x:v>JA</x:v>
      </x:c>
    </x:row>
    <x:row r="1110">
      <x:c r="A1110" s="36" t="str">
        <x:v>FP-1369</x:v>
      </x:c>
      <x:c r="B1110" s="36" t="str">
        <x:v>JAS</x:v>
      </x:c>
      <x:c r="C1110" s="36" t="str">
        <x:v>Jakobus</x:v>
      </x:c>
      <x:c r="D1110" s="36" t="n">
        <x:v>5</x:v>
      </x:c>
      <x:c r="E1110" s="36" t="n">
        <x:v>4</x:v>
      </x:c>
      <x:c r="F1110" s="36" t="str">
        <x:v>Wie reagiert Jakobus auf unterschiedliche Lebenslagen wie Leiden, Freude und Krankheit?</x:v>
      </x:c>
      <x:c r="G1110" s="36" t="str">
        <x:v>Mit Schweigen in jeder Situation.</x:v>
      </x:c>
      <x:c r="H1110" s="36" t="str">
        <x:v>Mit Rückzug aus der Gemeinde.</x:v>
      </x:c>
      <x:c r="I1110" s="36" t="str">
        <x:v>Mit der Forderung, Krankheit niemals zu erwähnen.</x:v>
      </x:c>
      <x:c r="J1110" s="36" t="str">
        <x:v>Mit Gebet, Lob und dem Gebet der Ältesten für Kranke.</x:v>
      </x:c>
      <x:c r="K1110" s="36" t="n">
        <x:v>3</x:v>
      </x:c>
      <x:c r="L1110" s="36" t="str">
        <x:v>Mit Gebet, Lob und dem Gebet der Ältesten für Kranke.</x:v>
      </x:c>
      <x:c r="M1110" s="36" t="str">
        <x:v>Jakobus 5,13–16</x:v>
      </x:c>
      <x:c r="N1110" s="36" t="str">
        <x:v>Der Abschnitt integriert Leiden, Freude, Krankheit, Sündenbekenntnis und Fürbitte in das Gebetsleben der Gemeinde.</x:v>
      </x:c>
      <x:c r="O1110" s="36" t="str">
        <x:v>FREIGEGEBEN</x:v>
      </x:c>
      <x:c r="P1110" s="36" t="str">
        <x:v>FREIGEGEBEN</x:v>
      </x:c>
      <x:c r="Q1110" s="36" t="str">
        <x:v>JA</x:v>
      </x:c>
    </x:row>
    <x:row r="1111">
      <x:c r="A1111" s="36" t="str">
        <x:v>FP-1370</x:v>
      </x:c>
      <x:c r="B1111" s="36" t="str">
        <x:v>JAS</x:v>
      </x:c>
      <x:c r="C1111" s="36" t="str">
        <x:v>Jakobus</x:v>
      </x:c>
      <x:c r="D1111" s="36" t="n">
        <x:v>5</x:v>
      </x:c>
      <x:c r="E1111" s="36" t="n">
        <x:v>5</x:v>
      </x:c>
      <x:c r="F1111" s="36" t="str">
        <x:v>Welche Bedeutung hat es, jemanden zurückzuführen, der von der Wahrheit abgeirrt ist?</x:v>
      </x:c>
      <x:c r="G1111" s="36" t="str">
        <x:v>Es wird als Rettung vom Weg des Todes und als Bedeckung vieler Sünden beschrieben.</x:v>
      </x:c>
      <x:c r="H1111" s="36" t="str">
        <x:v>Es ist grundsätzlich unerlaubte Einmischung.</x:v>
      </x:c>
      <x:c r="I1111" s="36" t="str">
        <x:v>Es betrifft nur Gemeindeleiter.</x:v>
      </x:c>
      <x:c r="J1111" s="36" t="str">
        <x:v>Es macht persönliche Umkehr überflüssig.</x:v>
      </x:c>
      <x:c r="K1111" s="36" t="n">
        <x:v>0</x:v>
      </x:c>
      <x:c r="L1111" s="36" t="str">
        <x:v>Es wird als Rettung vom Weg des Todes und als Bedeckung vieler Sünden beschrieben.</x:v>
      </x:c>
      <x:c r="M1111" s="36" t="str">
        <x:v>Jakobus 5,19–20</x:v>
      </x:c>
      <x:c r="N1111" s="36" t="str">
        <x:v>Der Brief endet mit dem Wert liebevoller Wiederherstellung statt gleichgültigem Zuschauen beim Abirren.</x:v>
      </x:c>
      <x:c r="O1111" s="36" t="str">
        <x:v>FREIGEGEBEN</x:v>
      </x:c>
      <x:c r="P1111" s="36" t="str">
        <x:v>FREIGEGEBEN</x:v>
      </x:c>
      <x:c r="Q1111" s="36" t="str">
        <x:v>JA</x:v>
      </x:c>
    </x:row>
    <x:row r="1112">
      <x:c r="A1112" s="36" t="str">
        <x:v>FP-1371</x:v>
      </x:c>
      <x:c r="B1112" s="36" t="str">
        <x:v>1PE</x:v>
      </x:c>
      <x:c r="C1112" s="36" t="str">
        <x:v>1. Petrus</x:v>
      </x:c>
      <x:c r="D1112" s="36" t="n">
        <x:v>1</x:v>
      </x:c>
      <x:c r="E1112" s="36" t="n">
        <x:v>1</x:v>
      </x:c>
      <x:c r="F1112" s="36" t="str">
        <x:v>Wodurch sind die Glaubenden nach 1. Petrus 1 zu einer lebendigen Hoffnung wiedergeboren?</x:v>
      </x:c>
      <x:c r="G1112" s="36" t="str">
        <x:v>Durch politischen Frieden.</x:v>
      </x:c>
      <x:c r="H1112" s="36" t="str">
        <x:v>Durch die Auferstehung Jesu Christi von den Toten.</x:v>
      </x:c>
      <x:c r="I1112" s="36" t="str">
        <x:v>Durch materiellen Besitz.</x:v>
      </x:c>
      <x:c r="J1112" s="36" t="str">
        <x:v>Durch ihre eigene Fehlerlosigkeit.</x:v>
      </x:c>
      <x:c r="K1112" s="36" t="n">
        <x:v>1</x:v>
      </x:c>
      <x:c r="L1112" s="36" t="str">
        <x:v>Durch die Auferstehung Jesu Christi von den Toten.</x:v>
      </x:c>
      <x:c r="M1112" s="36" t="str">
        <x:v>1. Petrus 1,3–5</x:v>
      </x:c>
      <x:c r="N1112" s="36" t="str">
        <x:v>Die lebendige Hoffnung gründet in Gottes Barmherzigkeit und in der Auferstehung Jesu, nicht in vergänglichen Sicherheiten.</x:v>
      </x:c>
      <x:c r="O1112" s="36" t="str">
        <x:v>FREIGEGEBEN</x:v>
      </x:c>
      <x:c r="P1112" s="36" t="str">
        <x:v>FREIGEGEBEN</x:v>
      </x:c>
      <x:c r="Q1112" s="36" t="str">
        <x:v>JA</x:v>
      </x:c>
    </x:row>
    <x:row r="1113">
      <x:c r="A1113" s="36" t="str">
        <x:v>FP-1372</x:v>
      </x:c>
      <x:c r="B1113" s="36" t="str">
        <x:v>1PE</x:v>
      </x:c>
      <x:c r="C1113" s="36" t="str">
        <x:v>1. Petrus</x:v>
      </x:c>
      <x:c r="D1113" s="36" t="n">
        <x:v>1</x:v>
      </x:c>
      <x:c r="E1113" s="36" t="n">
        <x:v>2</x:v>
      </x:c>
      <x:c r="F1113" s="36" t="str">
        <x:v>Welche mögliche Wirkung haben verschiedene Prüfungen des Glaubens?</x:v>
      </x:c>
      <x:c r="G1113" s="36" t="str">
        <x:v>Sie beweisen automatisch mangelnden Glauben.</x:v>
      </x:c>
      <x:c r="H1113" s="36" t="str">
        <x:v>Sie machen Hoffnung grundsätzlich unmöglich.</x:v>
      </x:c>
      <x:c r="I1113" s="36" t="str">
        <x:v>Der bewährte Glaube kann sich als kostbarer als vergängliches Gold erweisen und zu Lob und Herrlichkeit führen.</x:v>
      </x:c>
      <x:c r="J1113" s="36" t="str">
        <x:v>Sie ersetzen die Rettung.</x:v>
      </x:c>
      <x:c r="K1113" s="36" t="n">
        <x:v>2</x:v>
      </x:c>
      <x:c r="L1113" s="36" t="str">
        <x:v>Der bewährte Glaube kann sich als kostbarer als vergängliches Gold erweisen und zu Lob und Herrlichkeit führen.</x:v>
      </x:c>
      <x:c r="M1113" s="36" t="str">
        <x:v>1. Petrus 1,6–7</x:v>
      </x:c>
      <x:c r="N1113" s="36" t="str">
        <x:v>Petrus erkennt die Traurigkeit von Prüfungen an, deutet Bewährung aber im Licht der Offenbarung Jesu.</x:v>
      </x:c>
      <x:c r="O1113" s="36" t="str">
        <x:v>FREIGEGEBEN</x:v>
      </x:c>
      <x:c r="P1113" s="36" t="str">
        <x:v>FREIGEGEBEN</x:v>
      </x:c>
      <x:c r="Q1113" s="36" t="str">
        <x:v>JA</x:v>
      </x:c>
    </x:row>
    <x:row r="1114">
      <x:c r="A1114" s="36" t="str">
        <x:v>FP-1373</x:v>
      </x:c>
      <x:c r="B1114" s="36" t="str">
        <x:v>1PE</x:v>
      </x:c>
      <x:c r="C1114" s="36" t="str">
        <x:v>1. Petrus</x:v>
      </x:c>
      <x:c r="D1114" s="36" t="n">
        <x:v>1</x:v>
      </x:c>
      <x:c r="E1114" s="36" t="n">
        <x:v>3</x:v>
      </x:c>
      <x:c r="F1114" s="36" t="str">
        <x:v>Welche praktische Antwort folgt auf die Hoffnung der Rettung?</x:v>
      </x:c>
      <x:c r="G1114" s="36" t="str">
        <x:v>Sich von allen Menschen isolieren.</x:v>
      </x:c>
      <x:c r="H1114" s="36" t="str">
        <x:v>Jede Verantwortung bis zur Wiederkunft aufschieben.</x:v>
      </x:c>
      <x:c r="I1114" s="36" t="str">
        <x:v>Nur äußere Regeln erfüllen.</x:v>
      </x:c>
      <x:c r="J1114" s="36" t="str">
        <x:v>Nüchtern hoffen und im ganzen Lebenswandel heilig leben.</x:v>
      </x:c>
      <x:c r="K1114" s="36" t="n">
        <x:v>3</x:v>
      </x:c>
      <x:c r="L1114" s="36" t="str">
        <x:v>Nüchtern hoffen und im ganzen Lebenswandel heilig leben.</x:v>
      </x:c>
      <x:c r="M1114" s="36" t="str">
        <x:v>1. Petrus 1,13–16</x:v>
      </x:c>
      <x:c r="N1114" s="36" t="str">
        <x:v>Zukunftshoffnung wird mit gegenwärtiger Heiligkeit verbunden: Gottes Charakter prägt den Lebenswandel.</x:v>
      </x:c>
      <x:c r="O1114" s="36" t="str">
        <x:v>FREIGEGEBEN</x:v>
      </x:c>
      <x:c r="P1114" s="36" t="str">
        <x:v>FREIGEGEBEN</x:v>
      </x:c>
      <x:c r="Q1114" s="36" t="str">
        <x:v>JA</x:v>
      </x:c>
    </x:row>
    <x:row r="1115">
      <x:c r="A1115" s="36" t="str">
        <x:v>FP-1374</x:v>
      </x:c>
      <x:c r="B1115" s="36" t="str">
        <x:v>1PE</x:v>
      </x:c>
      <x:c r="C1115" s="36" t="str">
        <x:v>1. Petrus</x:v>
      </x:c>
      <x:c r="D1115" s="36" t="n">
        <x:v>1</x:v>
      </x:c>
      <x:c r="E1115" s="36" t="n">
        <x:v>4</x:v>
      </x:c>
      <x:c r="F1115" s="36" t="str">
        <x:v>Womit wurden die Glaubenden nach Petrus nicht erlöst, und womit stattdessen?</x:v>
      </x:c>
      <x:c r="G1115" s="36" t="str">
        <x:v>Nicht mit Silber oder Gold, sondern mit dem kostbaren Blut Christi.</x:v>
      </x:c>
      <x:c r="H1115" s="36" t="str">
        <x:v>Nicht mit Gebet, sondern mit politischem Einfluss.</x:v>
      </x:c>
      <x:c r="I1115" s="36" t="str">
        <x:v>Nicht mit Glauben, sondern mit Abstammung.</x:v>
      </x:c>
      <x:c r="J1115" s="36" t="str">
        <x:v>Nicht mit Hoffnung, sondern mit Besitz.</x:v>
      </x:c>
      <x:c r="K1115" s="36" t="n">
        <x:v>0</x:v>
      </x:c>
      <x:c r="L1115" s="36" t="str">
        <x:v>Nicht mit Silber oder Gold, sondern mit dem kostbaren Blut Christi.</x:v>
      </x:c>
      <x:c r="M1115" s="36" t="str">
        <x:v>1. Petrus 1,17–21</x:v>
      </x:c>
      <x:c r="N1115" s="36" t="str">
        <x:v>Petrus kontrastiert vergängliche Werte mit dem kostbaren Blut Christi als Grundlage der Erlösung.</x:v>
      </x:c>
      <x:c r="O1115" s="36" t="str">
        <x:v>FREIGEGEBEN</x:v>
      </x:c>
      <x:c r="P1115" s="36" t="str">
        <x:v>FREIGEGEBEN</x:v>
      </x:c>
      <x:c r="Q1115" s="36" t="str">
        <x:v>JA</x:v>
      </x:c>
    </x:row>
    <x:row r="1116">
      <x:c r="A1116" s="36" t="str">
        <x:v>FP-1375</x:v>
      </x:c>
      <x:c r="B1116" s="36" t="str">
        <x:v>1PE</x:v>
      </x:c>
      <x:c r="C1116" s="36" t="str">
        <x:v>1. Petrus</x:v>
      </x:c>
      <x:c r="D1116" s="36" t="n">
        <x:v>1</x:v>
      </x:c>
      <x:c r="E1116" s="36" t="n">
        <x:v>5</x:v>
      </x:c>
      <x:c r="F1116" s="36" t="str">
        <x:v>Welche Folge verbindet Petrus mit dem Gehorsam gegenüber der Wahrheit?</x:v>
      </x:c>
      <x:c r="G1116" s="36" t="str">
        <x:v>Wettbewerb um geistlichen Rang.</x:v>
      </x:c>
      <x:c r="H1116" s="36" t="str">
        <x:v>Aufrichtige Bruderliebe und innige Liebe zueinander aus reinem Herzen.</x:v>
      </x:c>
      <x:c r="I1116" s="36" t="str">
        <x:v>Gleichgültigkeit gegenüber anderen Glaubenden.</x:v>
      </x:c>
      <x:c r="J1116" s="36" t="str">
        <x:v>Rückzug aus jeder Gemeinschaft.</x:v>
      </x:c>
      <x:c r="K1116" s="36" t="n">
        <x:v>1</x:v>
      </x:c>
      <x:c r="L1116" s="36" t="str">
        <x:v>Aufrichtige Bruderliebe und innige Liebe zueinander aus reinem Herzen.</x:v>
      </x:c>
      <x:c r="M1116" s="36" t="str">
        <x:v>1. Petrus 1,22–25</x:v>
      </x:c>
      <x:c r="N1116" s="36" t="str">
        <x:v>Wiedergeburt durch Gottes bleibendes Wort soll sich in echter, intensiver Liebe innerhalb der Gemeinschaft zeigen.</x:v>
      </x:c>
      <x:c r="O1116" s="36" t="str">
        <x:v>FREIGEGEBEN</x:v>
      </x:c>
      <x:c r="P1116" s="36" t="str">
        <x:v>FREIGEGEBEN</x:v>
      </x:c>
      <x:c r="Q1116" s="36" t="str">
        <x:v>JA</x:v>
      </x:c>
    </x:row>
    <x:row r="1117">
      <x:c r="A1117" s="36" t="str">
        <x:v>FP-1376</x:v>
      </x:c>
      <x:c r="B1117" s="36" t="str">
        <x:v>1PE</x:v>
      </x:c>
      <x:c r="C1117" s="36" t="str">
        <x:v>1. Petrus</x:v>
      </x:c>
      <x:c r="D1117" s="36" t="n">
        <x:v>2</x:v>
      </x:c>
      <x:c r="E1117" s="36" t="n">
        <x:v>1</x:v>
      </x:c>
      <x:c r="F1117" s="36" t="str">
        <x:v>Wonach sollen Glaubende wie neugeborene Kinder verlangen?</x:v>
      </x:c>
      <x:c r="G1117" s="36" t="str">
        <x:v>Nach religiöser Anerkennung.</x:v>
      </x:c>
      <x:c r="H1117" s="36" t="str">
        <x:v>Nach möglichst vielen Streitfragen.</x:v>
      </x:c>
      <x:c r="I1117" s="36" t="str">
        <x:v>Nach unverfälschter geistlicher Milch, damit sie zur Rettung wachsen.</x:v>
      </x:c>
      <x:c r="J1117" s="36" t="str">
        <x:v>Nach gesellschaftlicher Macht.</x:v>
      </x:c>
      <x:c r="K1117" s="36" t="n">
        <x:v>2</x:v>
      </x:c>
      <x:c r="L1117" s="36" t="str">
        <x:v>Nach unverfälschter geistlicher Milch, damit sie zur Rettung wachsen.</x:v>
      </x:c>
      <x:c r="M1117" s="36" t="str">
        <x:v>1. Petrus 2,1–3</x:v>
      </x:c>
      <x:c r="N1117" s="36" t="str">
        <x:v>Nachdem Bosheit, Betrug, Heuchelei, Neid und Verleumdung abgelegt werden sollen, beschreibt Petrus einen Hunger nach geistlicher Nahrung.</x:v>
      </x:c>
      <x:c r="O1117" s="36" t="str">
        <x:v>FREIGEGEBEN</x:v>
      </x:c>
      <x:c r="P1117" s="36" t="str">
        <x:v>FREIGEGEBEN</x:v>
      </x:c>
      <x:c r="Q1117" s="36" t="str">
        <x:v>JA</x:v>
      </x:c>
    </x:row>
    <x:row r="1118">
      <x:c r="A1118" s="36" t="str">
        <x:v>FP-1377</x:v>
      </x:c>
      <x:c r="B1118" s="36" t="str">
        <x:v>1PE</x:v>
      </x:c>
      <x:c r="C1118" s="36" t="str">
        <x:v>1. Petrus</x:v>
      </x:c>
      <x:c r="D1118" s="36" t="n">
        <x:v>2</x:v>
      </x:c>
      <x:c r="E1118" s="36" t="n">
        <x:v>2</x:v>
      </x:c>
      <x:c r="F1118" s="36" t="str">
        <x:v>Wie beschreibt Petrus die Glaubenden in ihrer Beziehung zu Christus, dem lebendigen Stein?</x:v>
      </x:c>
      <x:c r="G1118" s="36" t="str">
        <x:v>Als voneinander unabhängige Tempel ohne Gemeinschaft.</x:v>
      </x:c>
      <x:c r="H1118" s="36" t="str">
        <x:v>Als Ersatz für Christus.</x:v>
      </x:c>
      <x:c r="I1118" s="36" t="str">
        <x:v>Als politische Priesterschaft.</x:v>
      </x:c>
      <x:c r="J1118" s="36" t="str">
        <x:v>Als lebendige Steine, die zu einem geistlichen Haus und heiligen Priestertum aufgebaut werden.</x:v>
      </x:c>
      <x:c r="K1118" s="36" t="n">
        <x:v>3</x:v>
      </x:c>
      <x:c r="L1118" s="36" t="str">
        <x:v>Als lebendige Steine, die zu einem geistlichen Haus und heiligen Priestertum aufgebaut werden.</x:v>
      </x:c>
      <x:c r="M1118" s="36" t="str">
        <x:v>1. Petrus 2,4–5</x:v>
      </x:c>
      <x:c r="N1118" s="36" t="str">
        <x:v>Das Bild verbindet Christus als lebendigen Stein mit der gemeinschaftlichen Identität der Glaubenden.</x:v>
      </x:c>
      <x:c r="O1118" s="36" t="str">
        <x:v>FREIGEGEBEN</x:v>
      </x:c>
      <x:c r="P1118" s="36" t="str">
        <x:v>FREIGEGEBEN</x:v>
      </x:c>
      <x:c r="Q1118" s="36" t="str">
        <x:v>JA</x:v>
      </x:c>
    </x:row>
    <x:row r="1119">
      <x:c r="A1119" s="36" t="str">
        <x:v>FP-1378</x:v>
      </x:c>
      <x:c r="B1119" s="36" t="str">
        <x:v>1PE</x:v>
      </x:c>
      <x:c r="C1119" s="36" t="str">
        <x:v>1. Petrus</x:v>
      </x:c>
      <x:c r="D1119" s="36" t="n">
        <x:v>2</x:v>
      </x:c>
      <x:c r="E1119" s="36" t="n">
        <x:v>3</x:v>
      </x:c>
      <x:c r="F1119" s="36" t="str">
        <x:v>Welche Identität und Aufgabe nennt Petrus für Gottes Volk?</x:v>
      </x:c>
      <x:c r="G1119" s="36" t="str">
        <x:v>Auserwähltes Geschlecht, königliche Priesterschaft und heiliges Volk, das Gottes große Taten verkündet.</x:v>
      </x:c>
      <x:c r="H1119" s="36" t="str">
        <x:v>Geheime Elite ohne Auftrag nach außen.</x:v>
      </x:c>
      <x:c r="I1119" s="36" t="str">
        <x:v>Gemeinschaft ohne besondere Berufung.</x:v>
      </x:c>
      <x:c r="J1119" s="36" t="str">
        <x:v>Gruppe, die nur ihre Herkunft rühmen soll.</x:v>
      </x:c>
      <x:c r="K1119" s="36" t="n">
        <x:v>0</x:v>
      </x:c>
      <x:c r="L1119" s="36" t="str">
        <x:v>Auserwähltes Geschlecht, königliche Priesterschaft und heiliges Volk, das Gottes große Taten verkündet.</x:v>
      </x:c>
      <x:c r="M1119" s="36" t="str">
        <x:v>1. Petrus 2,9–10</x:v>
      </x:c>
      <x:c r="N1119" s="36" t="str">
        <x:v>Die neue Identität dient einem Zweck: Gottes Taten bekannt zu machen, nachdem sie Barmherzigkeit empfangen haben.</x:v>
      </x:c>
      <x:c r="O1119" s="36" t="str">
        <x:v>FREIGEGEBEN</x:v>
      </x:c>
      <x:c r="P1119" s="36" t="str">
        <x:v>FREIGEGEBEN</x:v>
      </x:c>
      <x:c r="Q1119" s="36" t="str">
        <x:v>JA</x:v>
      </x:c>
    </x:row>
    <x:row r="1120">
      <x:c r="A1120" s="36" t="str">
        <x:v>FP-1379</x:v>
      </x:c>
      <x:c r="B1120" s="36" t="str">
        <x:v>1PE</x:v>
      </x:c>
      <x:c r="C1120" s="36" t="str">
        <x:v>1. Petrus</x:v>
      </x:c>
      <x:c r="D1120" s="36" t="n">
        <x:v>2</x:v>
      </x:c>
      <x:c r="E1120" s="36" t="n">
        <x:v>4</x:v>
      </x:c>
      <x:c r="F1120" s="36" t="str">
        <x:v>Warum sollen die Glaubenden unter den Nichtglaubenden einen guten Lebenswandel führen?</x:v>
      </x:c>
      <x:c r="G1120" s="36" t="str">
        <x:v>Damit sie nie kritisiert werden.</x:v>
      </x:c>
      <x:c r="H1120" s="36" t="str">
        <x:v>Damit andere ihre guten Werke sehen und Gott verherrlichen können.</x:v>
      </x:c>
      <x:c r="I1120" s="36" t="str">
        <x:v>Damit sie politische Macht gewinnen.</x:v>
      </x:c>
      <x:c r="J1120" s="36" t="str">
        <x:v>Damit sie keine Barmherzigkeit mehr brauchen.</x:v>
      </x:c>
      <x:c r="K1120" s="36" t="n">
        <x:v>1</x:v>
      </x:c>
      <x:c r="L1120" s="36" t="str">
        <x:v>Damit andere ihre guten Werke sehen und Gott verherrlichen können.</x:v>
      </x:c>
      <x:c r="M1120" s="36" t="str">
        <x:v>1. Petrus 2,11–12</x:v>
      </x:c>
      <x:c r="N1120" s="36" t="str">
        <x:v>Petrus verbindet den Status als Fremdlinge mit einem glaubwürdigen Verhalten mitten in der Gesellschaft.</x:v>
      </x:c>
      <x:c r="O1120" s="36" t="str">
        <x:v>FREIGEGEBEN</x:v>
      </x:c>
      <x:c r="P1120" s="36" t="str">
        <x:v>FREIGEGEBEN</x:v>
      </x:c>
      <x:c r="Q1120" s="36" t="str">
        <x:v>JA</x:v>
      </x:c>
    </x:row>
    <x:row r="1121">
      <x:c r="A1121" s="36" t="str">
        <x:v>FP-1380</x:v>
      </x:c>
      <x:c r="B1121" s="36" t="str">
        <x:v>1PE</x:v>
      </x:c>
      <x:c r="C1121" s="36" t="str">
        <x:v>1. Petrus</x:v>
      </x:c>
      <x:c r="D1121" s="36" t="n">
        <x:v>2</x:v>
      </x:c>
      <x:c r="E1121" s="36" t="n">
        <x:v>5</x:v>
      </x:c>
      <x:c r="F1121" s="36" t="str">
        <x:v>Wie reagierte Christus nach 1. Petrus 2 auf Beschimpfung und ungerechtes Leiden?</x:v>
      </x:c>
      <x:c r="G1121" s="36" t="str">
        <x:v>Er suchte sofort Vergeltung.</x:v>
      </x:c>
      <x:c r="H1121" s="36" t="str">
        <x:v>Er drohte seinen Gegnern mit menschlicher Gewalt.</x:v>
      </x:c>
      <x:c r="I1121" s="36" t="str">
        <x:v>Er beschimpfte nicht zurück und vertraute sich dem an, der gerecht richtet.</x:v>
      </x:c>
      <x:c r="J1121" s="36" t="str">
        <x:v>Er verleugnete seine Sendung.</x:v>
      </x:c>
      <x:c r="K1121" s="36" t="n">
        <x:v>2</x:v>
      </x:c>
      <x:c r="L1121" s="36" t="str">
        <x:v>Er beschimpfte nicht zurück und vertraute sich dem an, der gerecht richtet.</x:v>
      </x:c>
      <x:c r="M1121" s="36" t="str">
        <x:v>1. Petrus 2,21–25</x:v>
      </x:c>
      <x:c r="N1121" s="36" t="str">
        <x:v>Christi Leiden ist zugleich Erlösungsereignis und Vorbild: keine Gegenbeschimpfung, sondern Vertrauen auf Gottes gerechtes Gericht.</x:v>
      </x:c>
      <x:c r="O1121" s="36" t="str">
        <x:v>FREIGEGEBEN</x:v>
      </x:c>
      <x:c r="P1121" s="36" t="str">
        <x:v>FREIGEGEBEN</x:v>
      </x:c>
      <x:c r="Q1121" s="36" t="str">
        <x:v>JA</x:v>
      </x:c>
    </x:row>
    <x:row r="1122">
      <x:c r="A1122" s="36" t="str">
        <x:v>FP-1381</x:v>
      </x:c>
      <x:c r="B1122" s="36" t="str">
        <x:v>1PE</x:v>
      </x:c>
      <x:c r="C1122" s="36" t="str">
        <x:v>1. Petrus</x:v>
      </x:c>
      <x:c r="D1122" s="36" t="n">
        <x:v>3</x:v>
      </x:c>
      <x:c r="E1122" s="36" t="n">
        <x:v>1</x:v>
      </x:c>
      <x:c r="F1122" s="36" t="str">
        <x:v>Worauf legt Petrus beim Schmuck besonders Gewicht?</x:v>
      </x:c>
      <x:c r="G1122" s="36" t="str">
        <x:v>Ausschließlich auf kostbare Kleidung.</x:v>
      </x:c>
      <x:c r="H1122" s="36" t="str">
        <x:v>Auf gesellschaftliche Statussymbole.</x:v>
      </x:c>
      <x:c r="I1122" s="36" t="str">
        <x:v>Auf äußere Wirkung ohne Charakter.</x:v>
      </x:c>
      <x:c r="J1122" s="36" t="str">
        <x:v>Auf den verborgenen inneren Menschen mit einem sanften und stillen Geist.</x:v>
      </x:c>
      <x:c r="K1122" s="36" t="n">
        <x:v>3</x:v>
      </x:c>
      <x:c r="L1122" s="36" t="str">
        <x:v>Auf den verborgenen inneren Menschen mit einem sanften und stillen Geist.</x:v>
      </x:c>
      <x:c r="M1122" s="36" t="str">
        <x:v>1. Petrus 3,1–6</x:v>
      </x:c>
      <x:c r="N1122" s="36" t="str">
        <x:v>Petrus verschiebt den Schwerpunkt von äußerer Selbstdarstellung auf einen Charakter, den Gott als kostbar bezeichnet.</x:v>
      </x:c>
      <x:c r="O1122" s="36" t="str">
        <x:v>FREIGEGEBEN</x:v>
      </x:c>
      <x:c r="P1122" s="36" t="str">
        <x:v>FREIGEGEBEN</x:v>
      </x:c>
      <x:c r="Q1122" s="36" t="str">
        <x:v>JA</x:v>
      </x:c>
    </x:row>
    <x:row r="1123">
      <x:c r="A1123" s="36" t="str">
        <x:v>FP-1382</x:v>
      </x:c>
      <x:c r="B1123" s="36" t="str">
        <x:v>1PE</x:v>
      </x:c>
      <x:c r="C1123" s="36" t="str">
        <x:v>1. Petrus</x:v>
      </x:c>
      <x:c r="D1123" s="36" t="n">
        <x:v>3</x:v>
      </x:c>
      <x:c r="E1123" s="36" t="n">
        <x:v>2</x:v>
      </x:c>
      <x:c r="F1123" s="36" t="str">
        <x:v>Wie sollen Männer nach 1. Petrus 3 mit ihren Frauen umgehen?</x:v>
      </x:c>
      <x:c r="G1123" s="36" t="str">
        <x:v>Verständnisvoll leben und ihnen Ehre erweisen als Miterbinnen der Gnade des Lebens.</x:v>
      </x:c>
      <x:c r="H1123" s="36" t="str">
        <x:v>Sie geistlich als minderwertig behandeln.</x:v>
      </x:c>
      <x:c r="I1123" s="36" t="str">
        <x:v>Ihre Gebete von der Ehe trennen.</x:v>
      </x:c>
      <x:c r="J1123" s="36" t="str">
        <x:v>Nur ihre eigene Stellung beachten.</x:v>
      </x:c>
      <x:c r="K1123" s="36" t="n">
        <x:v>0</x:v>
      </x:c>
      <x:c r="L1123" s="36" t="str">
        <x:v>Verständnisvoll leben und ihnen Ehre erweisen als Miterbinnen der Gnade des Lebens.</x:v>
      </x:c>
      <x:c r="M1123" s="36" t="str">
        <x:v>1. Petrus 3,7</x:v>
      </x:c>
      <x:c r="N1123" s="36" t="str">
        <x:v>Der Vers verbindet Rücksicht, Ehre und gemeinsame Teilhabe an der Gnade mit der Ernsthaftigkeit des Gebets.</x:v>
      </x:c>
      <x:c r="O1123" s="36" t="str">
        <x:v>FREIGEGEBEN</x:v>
      </x:c>
      <x:c r="P1123" s="36" t="str">
        <x:v>FREIGEGEBEN</x:v>
      </x:c>
      <x:c r="Q1123" s="36" t="str">
        <x:v>JA</x:v>
      </x:c>
    </x:row>
    <x:row r="1124">
      <x:c r="A1124" s="36" t="str">
        <x:v>FP-1383</x:v>
      </x:c>
      <x:c r="B1124" s="36" t="str">
        <x:v>1PE</x:v>
      </x:c>
      <x:c r="C1124" s="36" t="str">
        <x:v>1. Petrus</x:v>
      </x:c>
      <x:c r="D1124" s="36" t="n">
        <x:v>3</x:v>
      </x:c>
      <x:c r="E1124" s="36" t="n">
        <x:v>3</x:v>
      </x:c>
      <x:c r="F1124" s="36" t="str">
        <x:v>Wie sollen Glaubende auf Böses und Beschimpfung reagieren?</x:v>
      </x:c>
      <x:c r="G1124" s="36" t="str">
        <x:v>Immer schärfer zurückschlagen.</x:v>
      </x:c>
      <x:c r="H1124" s="36" t="str">
        <x:v>Nicht Gleiches mit Gleichem vergelten, sondern segnen.</x:v>
      </x:c>
      <x:c r="I1124" s="36" t="str">
        <x:v>Jede Beziehung sofort abbrechen.</x:v>
      </x:c>
      <x:c r="J1124" s="36" t="str">
        <x:v>Beschimpfung grundsätzlich ignorieren, ohne Gutes zu suchen.</x:v>
      </x:c>
      <x:c r="K1124" s="36" t="n">
        <x:v>1</x:v>
      </x:c>
      <x:c r="L1124" s="36" t="str">
        <x:v>Nicht Gleiches mit Gleichem vergelten, sondern segnen.</x:v>
      </x:c>
      <x:c r="M1124" s="36" t="str">
        <x:v>1. Petrus 3,8–12</x:v>
      </x:c>
      <x:c r="N1124" s="36" t="str">
        <x:v>Petrus ruft zu Mitgefühl, Demut und Segnen auf und verbindet dies mit dem Suchen nach Frieden.</x:v>
      </x:c>
      <x:c r="O1124" s="36" t="str">
        <x:v>FREIGEGEBEN</x:v>
      </x:c>
      <x:c r="P1124" s="36" t="str">
        <x:v>FREIGEGEBEN</x:v>
      </x:c>
      <x:c r="Q1124" s="36" t="str">
        <x:v>JA</x:v>
      </x:c>
    </x:row>
    <x:row r="1125">
      <x:c r="A1125" s="36" t="str">
        <x:v>FP-1384</x:v>
      </x:c>
      <x:c r="B1125" s="36" t="str">
        <x:v>1PE</x:v>
      </x:c>
      <x:c r="C1125" s="36" t="str">
        <x:v>1. Petrus</x:v>
      </x:c>
      <x:c r="D1125" s="36" t="n">
        <x:v>3</x:v>
      </x:c>
      <x:c r="E1125" s="36" t="n">
        <x:v>4</x:v>
      </x:c>
      <x:c r="F1125" s="36" t="str">
        <x:v>Wie soll eine Antwort auf Fragen nach der christlichen Hoffnung gegeben werden?</x:v>
      </x:c>
      <x:c r="G1125" s="36" t="str">
        <x:v>Aggressiv und herablassend.</x:v>
      </x:c>
      <x:c r="H1125" s="36" t="str">
        <x:v>Nur durch Schweigen.</x:v>
      </x:c>
      <x:c r="I1125" s="36" t="str">
        <x:v>Bereit, aber mit Sanftmut und Respekt und mit gutem Gewissen.</x:v>
      </x:c>
      <x:c r="J1125" s="36" t="str">
        <x:v>Mit möglichst komplizierten Fachbegriffen.</x:v>
      </x:c>
      <x:c r="K1125" s="36" t="n">
        <x:v>2</x:v>
      </x:c>
      <x:c r="L1125" s="36" t="str">
        <x:v>Bereit, aber mit Sanftmut und Respekt und mit gutem Gewissen.</x:v>
      </x:c>
      <x:c r="M1125" s="36" t="str">
        <x:v>1. Petrus 3,13–16</x:v>
      </x:c>
      <x:c r="N1125" s="36" t="str">
        <x:v>Die Bereitschaft zur Rechenschaft wird ausdrücklich mit Haltung und Lebensführung verbunden.</x:v>
      </x:c>
      <x:c r="O1125" s="36" t="str">
        <x:v>FREIGEGEBEN</x:v>
      </x:c>
      <x:c r="P1125" s="36" t="str">
        <x:v>FREIGEGEBEN</x:v>
      </x:c>
      <x:c r="Q1125" s="36" t="str">
        <x:v>JA</x:v>
      </x:c>
    </x:row>
    <x:row r="1126">
      <x:c r="A1126" s="36" t="str">
        <x:v>FP-1385</x:v>
      </x:c>
      <x:c r="B1126" s="36" t="str">
        <x:v>1PE</x:v>
      </x:c>
      <x:c r="C1126" s="36" t="str">
        <x:v>1. Petrus</x:v>
      </x:c>
      <x:c r="D1126" s="36" t="n">
        <x:v>3</x:v>
      </x:c>
      <x:c r="E1126" s="36" t="n">
        <x:v>5</x:v>
      </x:c>
      <x:c r="F1126" s="36" t="str">
        <x:v>Was ist das Ziel von Christi einmaligem Leiden für Sünden?</x:v>
      </x:c>
      <x:c r="G1126" s="36" t="str">
        <x:v>Nur ein Beispiel für Leidensbereitschaft zu geben.</x:v>
      </x:c>
      <x:c r="H1126" s="36" t="str">
        <x:v>Menschen dauerhaft von Gott fernzuhalten.</x:v>
      </x:c>
      <x:c r="I1126" s="36" t="str">
        <x:v>Ein wiederholtes Opfer einzuführen.</x:v>
      </x:c>
      <x:c r="J1126" s="36" t="str">
        <x:v>Der Gerechte litt für Ungerechte, um sie zu Gott zu führen.</x:v>
      </x:c>
      <x:c r="K1126" s="36" t="n">
        <x:v>3</x:v>
      </x:c>
      <x:c r="L1126" s="36" t="str">
        <x:v>Der Gerechte litt für Ungerechte, um sie zu Gott zu führen.</x:v>
      </x:c>
      <x:c r="M1126" s="36" t="str">
        <x:v>1. Petrus 3,18</x:v>
      </x:c>
      <x:c r="N1126" s="36" t="str">
        <x:v>Petrus fasst Christi Werk als stellvertretendes Leiden mit dem Ziel des Zugangs zu Gott zusammen.</x:v>
      </x:c>
      <x:c r="O1126" s="36" t="str">
        <x:v>FREIGEGEBEN</x:v>
      </x:c>
      <x:c r="P1126" s="36" t="str">
        <x:v>FREIGEGEBEN</x:v>
      </x:c>
      <x:c r="Q1126" s="36" t="str">
        <x:v>JA</x:v>
      </x:c>
    </x:row>
    <x:row r="1127">
      <x:c r="A1127" s="36" t="str">
        <x:v>FP-1386</x:v>
      </x:c>
      <x:c r="B1127" s="36" t="str">
        <x:v>1PE</x:v>
      </x:c>
      <x:c r="C1127" s="36" t="str">
        <x:v>1. Petrus</x:v>
      </x:c>
      <x:c r="D1127" s="36" t="n">
        <x:v>4</x:v>
      </x:c>
      <x:c r="E1127" s="36" t="n">
        <x:v>1</x:v>
      </x:c>
      <x:c r="F1127" s="36" t="str">
        <x:v>Wofür sollen Glaubende die verbleibende Zeit ihres Lebens einsetzen?</x:v>
      </x:c>
      <x:c r="G1127" s="36" t="str">
        <x:v>Für Gottes Willen statt für frühere menschliche Begierden.</x:v>
      </x:c>
      <x:c r="H1127" s="36" t="str">
        <x:v>Für die Rückkehr zu früheren Ausschweifungen.</x:v>
      </x:c>
      <x:c r="I1127" s="36" t="str">
        <x:v>Für möglichst vollständigen gesellschaftlichen Rückzug.</x:v>
      </x:c>
      <x:c r="J1127" s="36" t="str">
        <x:v>Für die Vermeidung jeder Verantwortung.</x:v>
      </x:c>
      <x:c r="K1127" s="36" t="n">
        <x:v>0</x:v>
      </x:c>
      <x:c r="L1127" s="36" t="str">
        <x:v>Für Gottes Willen statt für frühere menschliche Begierden.</x:v>
      </x:c>
      <x:c r="M1127" s="36" t="str">
        <x:v>1. Petrus 4,1–5</x:v>
      </x:c>
      <x:c r="N1127" s="36" t="str">
        <x:v>Die Verbindung mit Christi Leiden markiert eine neue Lebensausrichtung, die alte Verhaltensmuster bewusst hinter sich lässt.</x:v>
      </x:c>
      <x:c r="O1127" s="36" t="str">
        <x:v>FREIGEGEBEN</x:v>
      </x:c>
      <x:c r="P1127" s="36" t="str">
        <x:v>FREIGEGEBEN</x:v>
      </x:c>
      <x:c r="Q1127" s="36" t="str">
        <x:v>JA</x:v>
      </x:c>
    </x:row>
    <x:row r="1128">
      <x:c r="A1128" s="36" t="str">
        <x:v>FP-1387</x:v>
      </x:c>
      <x:c r="B1128" s="36" t="str">
        <x:v>1PE</x:v>
      </x:c>
      <x:c r="C1128" s="36" t="str">
        <x:v>1. Petrus</x:v>
      </x:c>
      <x:c r="D1128" s="36" t="n">
        <x:v>4</x:v>
      </x:c>
      <x:c r="E1128" s="36" t="n">
        <x:v>2</x:v>
      </x:c>
      <x:c r="F1128" s="36" t="str">
        <x:v>Welche Haltung verbindet Petrus mit der Nähe des Endes?</x:v>
      </x:c>
      <x:c r="G1128" s="36" t="str">
        <x:v>Panik und hektische Spekulation.</x:v>
      </x:c>
      <x:c r="H1128" s="36" t="str">
        <x:v>Besonnen und nüchtern sein, um beten zu können.</x:v>
      </x:c>
      <x:c r="I1128" s="36" t="str">
        <x:v>Alle normalen Aufgaben sofort beenden.</x:v>
      </x:c>
      <x:c r="J1128" s="36" t="str">
        <x:v>Zeitpunkte berechnen.</x:v>
      </x:c>
      <x:c r="K1128" s="36" t="n">
        <x:v>1</x:v>
      </x:c>
      <x:c r="L1128" s="36" t="str">
        <x:v>Besonnen und nüchtern sein, um beten zu können.</x:v>
      </x:c>
      <x:c r="M1128" s="36" t="str">
        <x:v>1. Petrus 4,7</x:v>
      </x:c>
      <x:c r="N1128" s="36" t="str">
        <x:v>Eschatologische Erwartung führt bei Petrus nicht zur Panik, sondern zu Nüchternheit und Gebet.</x:v>
      </x:c>
      <x:c r="O1128" s="36" t="str">
        <x:v>FREIGEGEBEN</x:v>
      </x:c>
      <x:c r="P1128" s="36" t="str">
        <x:v>FREIGEGEBEN</x:v>
      </x:c>
      <x:c r="Q1128" s="36" t="str">
        <x:v>JA</x:v>
      </x:c>
    </x:row>
    <x:row r="1129">
      <x:c r="A1129" s="36" t="str">
        <x:v>FP-1388</x:v>
      </x:c>
      <x:c r="B1129" s="36" t="str">
        <x:v>1PE</x:v>
      </x:c>
      <x:c r="C1129" s="36" t="str">
        <x:v>1. Petrus</x:v>
      </x:c>
      <x:c r="D1129" s="36" t="n">
        <x:v>4</x:v>
      </x:c>
      <x:c r="E1129" s="36" t="n">
        <x:v>3</x:v>
      </x:c>
      <x:c r="F1129" s="36" t="str">
        <x:v>Welche drei praktischen Bereiche hebt Petrus unmittelbar hervor?</x:v>
      </x:c>
      <x:c r="G1129" s="36" t="str">
        <x:v>Konkurrenz, Selbstdarstellung und Rückzug.</x:v>
      </x:c>
      <x:c r="H1129" s="36" t="str">
        <x:v>Reichtum, Einfluss und Rang.</x:v>
      </x:c>
      <x:c r="I1129" s="36" t="str">
        <x:v>Innige Liebe, Gastfreundschaft ohne Murren und gegenseitiger Dienst mit den empfangenen Gaben.</x:v>
      </x:c>
      <x:c r="J1129" s="36" t="str">
        <x:v>Schweigen, Isolation und Kontrolle.</x:v>
      </x:c>
      <x:c r="K1129" s="36" t="n">
        <x:v>2</x:v>
      </x:c>
      <x:c r="L1129" s="36" t="str">
        <x:v>Innige Liebe, Gastfreundschaft ohne Murren und gegenseitiger Dienst mit den empfangenen Gaben.</x:v>
      </x:c>
      <x:c r="M1129" s="36" t="str">
        <x:v>1. Petrus 4,8–11</x:v>
      </x:c>
      <x:c r="N1129" s="36" t="str">
        <x:v>Liebe, Gastfreundschaft und Gabendienst werden als verantwortlicher Umgang mit Gottes vielfältiger Gnade beschrieben.</x:v>
      </x:c>
      <x:c r="O1129" s="36" t="str">
        <x:v>FREIGEGEBEN</x:v>
      </x:c>
      <x:c r="P1129" s="36" t="str">
        <x:v>FREIGEGEBEN</x:v>
      </x:c>
      <x:c r="Q1129" s="36" t="str">
        <x:v>JA</x:v>
      </x:c>
    </x:row>
    <x:row r="1130">
      <x:c r="A1130" s="36" t="str">
        <x:v>FP-1389</x:v>
      </x:c>
      <x:c r="B1130" s="36" t="str">
        <x:v>1PE</x:v>
      </x:c>
      <x:c r="C1130" s="36" t="str">
        <x:v>1. Petrus</x:v>
      </x:c>
      <x:c r="D1130" s="36" t="n">
        <x:v>4</x:v>
      </x:c>
      <x:c r="E1130" s="36" t="n">
        <x:v>4</x:v>
      </x:c>
      <x:c r="F1130" s="36" t="str">
        <x:v>Wie sollen Christen eine 'feurige Prüfung' um Christi willen einordnen?</x:v>
      </x:c>
      <x:c r="G1130" s="36" t="str">
        <x:v>Immer als Beweis persönlichen Versagens.</x:v>
      </x:c>
      <x:c r="H1130" s="36" t="str">
        <x:v>Als Grund, Christus zu verleugnen.</x:v>
      </x:c>
      <x:c r="I1130" s="36" t="str">
        <x:v>Als sichere Garantie auf irdischen Erfolg.</x:v>
      </x:c>
      <x:c r="J1130" s="36" t="str">
        <x:v>Nicht als etwas völlig Fremdes, sondern als Anlass, in der Teilhabe an Christi Leiden standhaft zu bleiben.</x:v>
      </x:c>
      <x:c r="K1130" s="36" t="n">
        <x:v>3</x:v>
      </x:c>
      <x:c r="L1130" s="36" t="str">
        <x:v>Nicht als etwas völlig Fremdes, sondern als Anlass, in der Teilhabe an Christi Leiden standhaft zu bleiben.</x:v>
      </x:c>
      <x:c r="M1130" s="36" t="str">
        <x:v>1. Petrus 4,12–14</x:v>
      </x:c>
      <x:c r="N1130" s="36" t="str">
        <x:v>Petrus normalisiert nicht jedes Leiden, unterscheidet aber Leiden um Christi willen von beschämender Schuld.</x:v>
      </x:c>
      <x:c r="O1130" s="36" t="str">
        <x:v>FREIGEGEBEN</x:v>
      </x:c>
      <x:c r="P1130" s="36" t="str">
        <x:v>FREIGEGEBEN</x:v>
      </x:c>
      <x:c r="Q1130" s="36" t="str">
        <x:v>JA</x:v>
      </x:c>
    </x:row>
    <x:row r="1131">
      <x:c r="A1131" s="36" t="str">
        <x:v>FP-1390</x:v>
      </x:c>
      <x:c r="B1131" s="36" t="str">
        <x:v>1PE</x:v>
      </x:c>
      <x:c r="C1131" s="36" t="str">
        <x:v>1. Petrus</x:v>
      </x:c>
      <x:c r="D1131" s="36" t="n">
        <x:v>4</x:v>
      </x:c>
      <x:c r="E1131" s="36" t="n">
        <x:v>5</x:v>
      </x:c>
      <x:c r="F1131" s="36" t="str">
        <x:v>Welche Unterscheidung macht Petrus beim Leiden?</x:v>
      </x:c>
      <x:c r="G1131" s="36" t="str">
        <x:v>Niemand soll wegen eigener böser Taten leiden; wer aber als Christ leidet, soll sich nicht schämen.</x:v>
      </x:c>
      <x:c r="H1131" s="36" t="str">
        <x:v>Jedes Leiden sei automatisch ehrenvoll.</x:v>
      </x:c>
      <x:c r="I1131" s="36" t="str">
        <x:v>Christen könnten nicht wegen eigener Fehler leiden.</x:v>
      </x:c>
      <x:c r="J1131" s="36" t="str">
        <x:v>Scham sei immer die richtige Reaktion.</x:v>
      </x:c>
      <x:c r="K1131" s="36" t="n">
        <x:v>0</x:v>
      </x:c>
      <x:c r="L1131" s="36" t="str">
        <x:v>Niemand soll wegen eigener böser Taten leiden; wer aber als Christ leidet, soll sich nicht schämen.</x:v>
      </x:c>
      <x:c r="M1131" s="36" t="str">
        <x:v>1. Petrus 4,15–19</x:v>
      </x:c>
      <x:c r="N1131" s="36" t="str">
        <x:v>Der Text unterscheidet klar zwischen selbstverschuldetem Leiden und Leiden aufgrund der Zugehörigkeit zu Christus.</x:v>
      </x:c>
      <x:c r="O1131" s="36" t="str">
        <x:v>FREIGEGEBEN</x:v>
      </x:c>
      <x:c r="P1131" s="36" t="str">
        <x:v>FREIGEGEBEN</x:v>
      </x:c>
      <x:c r="Q1131" s="36" t="str">
        <x:v>JA</x:v>
      </x:c>
    </x:row>
    <x:row r="1132">
      <x:c r="A1132" s="36" t="str">
        <x:v>FP-1391</x:v>
      </x:c>
      <x:c r="B1132" s="36" t="str">
        <x:v>1PE</x:v>
      </x:c>
      <x:c r="C1132" s="36" t="str">
        <x:v>1. Petrus</x:v>
      </x:c>
      <x:c r="D1132" s="36" t="n">
        <x:v>5</x:v>
      </x:c>
      <x:c r="E1132" s="36" t="n">
        <x:v>1</x:v>
      </x:c>
      <x:c r="F1132" s="36" t="str">
        <x:v>Wie sollen Älteste die Herde Gottes leiten?</x:v>
      </x:c>
      <x:c r="G1132" s="36" t="str">
        <x:v>Durch möglichst starke Kontrolle.</x:v>
      </x:c>
      <x:c r="H1132" s="36" t="str">
        <x:v>Freiwillig, mit Hingabe und als Vorbilder statt herrschsüchtig oder aus Gewinnsucht.</x:v>
      </x:c>
      <x:c r="I1132" s="36" t="str">
        <x:v>Vor allem wegen finanzieller Vorteile.</x:v>
      </x:c>
      <x:c r="J1132" s="36" t="str">
        <x:v>Als Herren, die keine Rechenschaft schulden.</x:v>
      </x:c>
      <x:c r="K1132" s="36" t="n">
        <x:v>1</x:v>
      </x:c>
      <x:c r="L1132" s="36" t="str">
        <x:v>Freiwillig, mit Hingabe und als Vorbilder statt herrschsüchtig oder aus Gewinnsucht.</x:v>
      </x:c>
      <x:c r="M1132" s="36" t="str">
        <x:v>1. Petrus 5,1–4</x:v>
      </x:c>
      <x:c r="N1132" s="36" t="str">
        <x:v>Petrus beschreibt geistliche Leitung als freiwilligen Hirtendienst mit Vorbildcharakter.</x:v>
      </x:c>
      <x:c r="O1132" s="36" t="str">
        <x:v>FREIGEGEBEN</x:v>
      </x:c>
      <x:c r="P1132" s="36" t="str">
        <x:v>FREIGEGEBEN</x:v>
      </x:c>
      <x:c r="Q1132" s="36" t="str">
        <x:v>JA</x:v>
      </x:c>
    </x:row>
    <x:row r="1133">
      <x:c r="A1133" s="36" t="str">
        <x:v>FP-1392</x:v>
      </x:c>
      <x:c r="B1133" s="36" t="str">
        <x:v>1PE</x:v>
      </x:c>
      <x:c r="C1133" s="36" t="str">
        <x:v>1. Petrus</x:v>
      </x:c>
      <x:c r="D1133" s="36" t="n">
        <x:v>5</x:v>
      </x:c>
      <x:c r="E1133" s="36" t="n">
        <x:v>2</x:v>
      </x:c>
      <x:c r="F1133" s="36" t="str">
        <x:v>Welche Haltung sollen alle im Umgang miteinander anziehen?</x:v>
      </x:c>
      <x:c r="G1133" s="36" t="str">
        <x:v>Überlegenheit.</x:v>
      </x:c>
      <x:c r="H1133" s="36" t="str">
        <x:v>Misstrauen.</x:v>
      </x:c>
      <x:c r="I1133" s="36" t="str">
        <x:v>Demut.</x:v>
      </x:c>
      <x:c r="J1133" s="36" t="str">
        <x:v>Gleichgültigkeit.</x:v>
      </x:c>
      <x:c r="K1133" s="36" t="n">
        <x:v>2</x:v>
      </x:c>
      <x:c r="L1133" s="36" t="str">
        <x:v>Demut.</x:v>
      </x:c>
      <x:c r="M1133" s="36" t="str">
        <x:v>1. Petrus 5,5–6</x:v>
      </x:c>
      <x:c r="N1133" s="36" t="str">
        <x:v>Die Aufforderung zur Demut wird mit dem Grundsatz verbunden, dass Gott den Hochmütigen widersteht, den Demütigen aber Gnade gibt.</x:v>
      </x:c>
      <x:c r="O1133" s="36" t="str">
        <x:v>FREIGEGEBEN</x:v>
      </x:c>
      <x:c r="P1133" s="36" t="str">
        <x:v>FREIGEGEBEN</x:v>
      </x:c>
      <x:c r="Q1133" s="36" t="str">
        <x:v>JA</x:v>
      </x:c>
    </x:row>
    <x:row r="1134">
      <x:c r="A1134" s="36" t="str">
        <x:v>FP-1393</x:v>
      </x:c>
      <x:c r="B1134" s="36" t="str">
        <x:v>1PE</x:v>
      </x:c>
      <x:c r="C1134" s="36" t="str">
        <x:v>1. Petrus</x:v>
      </x:c>
      <x:c r="D1134" s="36" t="n">
        <x:v>5</x:v>
      </x:c>
      <x:c r="E1134" s="36" t="n">
        <x:v>3</x:v>
      </x:c>
      <x:c r="F1134" s="36" t="str">
        <x:v>Was sollen Glaubende mit ihren Sorgen tun?</x:v>
      </x:c>
      <x:c r="G1134" s="36" t="str">
        <x:v>Sie grundsätzlich verbergen.</x:v>
      </x:c>
      <x:c r="H1134" s="36" t="str">
        <x:v>Sie nur mit sich selbst ausmachen.</x:v>
      </x:c>
      <x:c r="I1134" s="36" t="str">
        <x:v>Sie als Beweis mangelnden Glaubens betrachten.</x:v>
      </x:c>
      <x:c r="J1134" s="36" t="str">
        <x:v>Sie auf Gott werfen, weil er für sie sorgt.</x:v>
      </x:c>
      <x:c r="K1134" s="36" t="n">
        <x:v>3</x:v>
      </x:c>
      <x:c r="L1134" s="36" t="str">
        <x:v>Sie auf Gott werfen, weil er für sie sorgt.</x:v>
      </x:c>
      <x:c r="M1134" s="36" t="str">
        <x:v>1. Petrus 5,7</x:v>
      </x:c>
      <x:c r="N1134" s="36" t="str">
        <x:v>Die kurze Aufforderung verbindet Demut mit konkretem Vertrauen auf Gottes Fürsorge.</x:v>
      </x:c>
      <x:c r="O1134" s="36" t="str">
        <x:v>FREIGEGEBEN</x:v>
      </x:c>
      <x:c r="P1134" s="36" t="str">
        <x:v>FREIGEGEBEN</x:v>
      </x:c>
      <x:c r="Q1134" s="36" t="str">
        <x:v>JA</x:v>
      </x:c>
    </x:row>
    <x:row r="1135">
      <x:c r="A1135" s="36" t="str">
        <x:v>FP-1394</x:v>
      </x:c>
      <x:c r="B1135" s="36" t="str">
        <x:v>1PE</x:v>
      </x:c>
      <x:c r="C1135" s="36" t="str">
        <x:v>1. Petrus</x:v>
      </x:c>
      <x:c r="D1135" s="36" t="n">
        <x:v>5</x:v>
      </x:c>
      <x:c r="E1135" s="36" t="n">
        <x:v>4</x:v>
      </x:c>
      <x:c r="F1135" s="36" t="str">
        <x:v>Wie beschreibt Petrus den Widersacher und die angemessene Reaktion?</x:v>
      </x:c>
      <x:c r="G1135" s="36" t="str">
        <x:v>Wie einen brüllenden Löwen; ihm soll fest im Glauben widerstanden werden.</x:v>
      </x:c>
      <x:c r="H1135" s="36" t="str">
        <x:v>Wie einen ungefährlichen Zuschauer, den man ignorieren kann.</x:v>
      </x:c>
      <x:c r="I1135" s="36" t="str">
        <x:v>Wie einen Verbündeten in Prüfungen.</x:v>
      </x:c>
      <x:c r="J1135" s="36" t="str">
        <x:v>Wie eine rein symbolische Idee ohne Bedeutung.</x:v>
      </x:c>
      <x:c r="K1135" s="36" t="n">
        <x:v>0</x:v>
      </x:c>
      <x:c r="L1135" s="36" t="str">
        <x:v>Wie einen brüllenden Löwen; ihm soll fest im Glauben widerstanden werden.</x:v>
      </x:c>
      <x:c r="M1135" s="36" t="str">
        <x:v>1. Petrus 5,8–9</x:v>
      </x:c>
      <x:c r="N1135" s="36" t="str">
        <x:v>Nüchternheit und Wachsamkeit sind nötig; Widerstand geschieht in festem Glauben und im Wissen um die Leiden anderer Christen.</x:v>
      </x:c>
      <x:c r="O1135" s="36" t="str">
        <x:v>FREIGEGEBEN</x:v>
      </x:c>
      <x:c r="P1135" s="36" t="str">
        <x:v>FREIGEGEBEN</x:v>
      </x:c>
      <x:c r="Q1135" s="36" t="str">
        <x:v>JA</x:v>
      </x:c>
    </x:row>
    <x:row r="1136">
      <x:c r="A1136" s="36" t="str">
        <x:v>FP-1395</x:v>
      </x:c>
      <x:c r="B1136" s="36" t="str">
        <x:v>1PE</x:v>
      </x:c>
      <x:c r="C1136" s="36" t="str">
        <x:v>1. Petrus</x:v>
      </x:c>
      <x:c r="D1136" s="36" t="n">
        <x:v>5</x:v>
      </x:c>
      <x:c r="E1136" s="36" t="n">
        <x:v>5</x:v>
      </x:c>
      <x:c r="F1136" s="36" t="str">
        <x:v>Was verheißt Petrus nach einer kurzen Zeit des Leidens?</x:v>
      </x:c>
      <x:c r="G1136" s="36" t="str">
        <x:v>Gott werde jede Erinnerung an Leiden auslöschen, bevor es endet.</x:v>
      </x:c>
      <x:c r="H1136" s="36" t="str">
        <x:v>Der Gott aller Gnade wird selbst wiederherstellen, stärken, kräftigen und gründen.</x:v>
      </x:c>
      <x:c r="I1136" s="36" t="str">
        <x:v>Leiden werde immer sofort beendet.</x:v>
      </x:c>
      <x:c r="J1136" s="36" t="str">
        <x:v>Nur menschliche Stärke könne Stabilität geben.</x:v>
      </x:c>
      <x:c r="K1136" s="36" t="n">
        <x:v>1</x:v>
      </x:c>
      <x:c r="L1136" s="36" t="str">
        <x:v>Der Gott aller Gnade wird selbst wiederherstellen, stärken, kräftigen und gründen.</x:v>
      </x:c>
      <x:c r="M1136" s="36" t="str">
        <x:v>1. Petrus 5,10–12</x:v>
      </x:c>
      <x:c r="N1136" s="36" t="str">
        <x:v>Die Schlusszuversicht ruht auf Gottes Gnade und seiner eigenen wiederherstellenden Wirkung.</x:v>
      </x:c>
      <x:c r="O1136" s="36" t="str">
        <x:v>FREIGEGEBEN</x:v>
      </x:c>
      <x:c r="P1136" s="36" t="str">
        <x:v>FREIGEGEBEN</x:v>
      </x:c>
      <x:c r="Q1136" s="36" t="str">
        <x:v>JA</x:v>
      </x:c>
    </x:row>
    <x:row r="1137">
      <x:c r="A1137" s="36" t="str">
        <x:v>FP-1396</x:v>
      </x:c>
      <x:c r="B1137" s="36" t="str">
        <x:v>2PE</x:v>
      </x:c>
      <x:c r="C1137" s="36" t="str">
        <x:v>2. Petrus</x:v>
      </x:c>
      <x:c r="D1137" s="36" t="n">
        <x:v>1</x:v>
      </x:c>
      <x:c r="E1137" s="36" t="n">
        <x:v>1</x:v>
      </x:c>
      <x:c r="F1137" s="36" t="str">
        <x:v>Was hat Gottes göttliche Kraft den Glaubenden nach 2. Petrus 1 geschenkt?</x:v>
      </x:c>
      <x:c r="G1137" s="36" t="str">
        <x:v>Nur Wissen ohne Lebensbezug.</x:v>
      </x:c>
      <x:c r="H1137" s="36" t="str">
        <x:v>Eine Garantie auf Reichtum.</x:v>
      </x:c>
      <x:c r="I1137" s="36" t="str">
        <x:v>Alles, was zum Leben und zur Gottesfurcht dient.</x:v>
      </x:c>
      <x:c r="J1137" s="36" t="str">
        <x:v>Unabhängigkeit von Gottes Verheißungen.</x:v>
      </x:c>
      <x:c r="K1137" s="36" t="n">
        <x:v>2</x:v>
      </x:c>
      <x:c r="L1137" s="36" t="str">
        <x:v>Alles, was zum Leben und zur Gottesfurcht dient.</x:v>
      </x:c>
      <x:c r="M1137" s="36" t="str">
        <x:v>2. Petrus 1,2–4</x:v>
      </x:c>
      <x:c r="N1137" s="36" t="str">
        <x:v>Petrus begründet geistliches Wachstum mit Gottes vorausgehender Gabe und seinen kostbaren Verheißungen.</x:v>
      </x:c>
      <x:c r="O1137" s="36" t="str">
        <x:v>FREIGEGEBEN</x:v>
      </x:c>
      <x:c r="P1137" s="36" t="str">
        <x:v>FREIGEGEBEN</x:v>
      </x:c>
      <x:c r="Q1137" s="36" t="str">
        <x:v>JA</x:v>
      </x:c>
    </x:row>
    <x:row r="1138">
      <x:c r="A1138" s="36" t="str">
        <x:v>FP-1397</x:v>
      </x:c>
      <x:c r="B1138" s="36" t="str">
        <x:v>2PE</x:v>
      </x:c>
      <x:c r="C1138" s="36" t="str">
        <x:v>2. Petrus</x:v>
      </x:c>
      <x:c r="D1138" s="36" t="n">
        <x:v>1</x:v>
      </x:c>
      <x:c r="E1138" s="36" t="n">
        <x:v>2</x:v>
      </x:c>
      <x:c r="F1138" s="36" t="str">
        <x:v>Welche Entwicklungskette nennt Petrus für ein fruchtbares Glaubensleben?</x:v>
      </x:c>
      <x:c r="G1138" s="36" t="str">
        <x:v>Vom Glauben zur Selbstgenügsamkeit und zum Stolz.</x:v>
      </x:c>
      <x:c r="H1138" s="36" t="str">
        <x:v>Von Erkenntnis zu Gleichgültigkeit.</x:v>
      </x:c>
      <x:c r="I1138" s="36" t="str">
        <x:v>Von Liebe zu Konkurrenz.</x:v>
      </x:c>
      <x:c r="J1138" s="36" t="str">
        <x:v>Zum Glauben Tugend, Erkenntnis, Selbstbeherrschung, Ausdauer, Gottesfurcht, Bruderliebe und Liebe hinzufügen.</x:v>
      </x:c>
      <x:c r="K1138" s="36" t="n">
        <x:v>3</x:v>
      </x:c>
      <x:c r="L1138" s="36" t="str">
        <x:v>Zum Glauben Tugend, Erkenntnis, Selbstbeherrschung, Ausdauer, Gottesfurcht, Bruderliebe und Liebe hinzufügen.</x:v>
      </x:c>
      <x:c r="M1138" s="36" t="str">
        <x:v>2. Petrus 1,5–8</x:v>
      </x:c>
      <x:c r="N1138" s="36" t="str">
        <x:v>Die Reihe beschreibt bewusste geistliche Entwicklung; zunehmende Eigenschaften bewahren vor Unfruchtbarkeit.</x:v>
      </x:c>
      <x:c r="O1138" s="36" t="str">
        <x:v>FREIGEGEBEN</x:v>
      </x:c>
      <x:c r="P1138" s="36" t="str">
        <x:v>FREIGEGEBEN</x:v>
      </x:c>
      <x:c r="Q1138" s="36" t="str">
        <x:v>JA</x:v>
      </x:c>
    </x:row>
    <x:row r="1139">
      <x:c r="A1139" s="36" t="str">
        <x:v>FP-1398</x:v>
      </x:c>
      <x:c r="B1139" s="36" t="str">
        <x:v>2PE</x:v>
      </x:c>
      <x:c r="C1139" s="36" t="str">
        <x:v>2. Petrus</x:v>
      </x:c>
      <x:c r="D1139" s="36" t="n">
        <x:v>1</x:v>
      </x:c>
      <x:c r="E1139" s="36" t="n">
        <x:v>3</x:v>
      </x:c>
      <x:c r="F1139" s="36" t="str">
        <x:v>Warum sollen Glaubende ihre Berufung und Erwählung festmachen?</x:v>
      </x:c>
      <x:c r="G1139" s="36" t="str">
        <x:v>Weil ein Leben in diesen Tugenden Standfestigkeit fördert und auf den Eingang in Christi Reich ausgerichtet ist.</x:v>
      </x:c>
      <x:c r="H1139" s="36" t="str">
        <x:v>Weil sie sich dadurch selbst retten ohne Christus.</x:v>
      </x:c>
      <x:c r="I1139" s="36" t="str">
        <x:v>Weil Berufung nur durch öffentliche Anerkennung gilt.</x:v>
      </x:c>
      <x:c r="J1139" s="36" t="str">
        <x:v>Weil sie damit andere Christen übertreffen.</x:v>
      </x:c>
      <x:c r="K1139" s="36" t="n">
        <x:v>0</x:v>
      </x:c>
      <x:c r="L1139" s="36" t="str">
        <x:v>Weil ein Leben in diesen Tugenden Standfestigkeit fördert und auf den Eingang in Christi Reich ausgerichtet ist.</x:v>
      </x:c>
      <x:c r="M1139" s="36" t="str">
        <x:v>2. Petrus 1,9–11</x:v>
      </x:c>
      <x:c r="N1139" s="36" t="str">
        <x:v>Petrus verbindet Erinnerung an Reinigung, praktisches Wachstum und feste Ausrichtung auf das ewige Reich.</x:v>
      </x:c>
      <x:c r="O1139" s="36" t="str">
        <x:v>FREIGEGEBEN</x:v>
      </x:c>
      <x:c r="P1139" s="36" t="str">
        <x:v>FREIGEGEBEN</x:v>
      </x:c>
      <x:c r="Q1139" s="36" t="str">
        <x:v>JA</x:v>
      </x:c>
    </x:row>
    <x:row r="1140">
      <x:c r="A1140" s="36" t="str">
        <x:v>FP-1399</x:v>
      </x:c>
      <x:c r="B1140" s="36" t="str">
        <x:v>2PE</x:v>
      </x:c>
      <x:c r="C1140" s="36" t="str">
        <x:v>2. Petrus</x:v>
      </x:c>
      <x:c r="D1140" s="36" t="n">
        <x:v>1</x:v>
      </x:c>
      <x:c r="E1140" s="36" t="n">
        <x:v>4</x:v>
      </x:c>
      <x:c r="F1140" s="36" t="str">
        <x:v>Warum weist Petrus die Vorstellung erfundener Geschichten zurück?</x:v>
      </x:c>
      <x:c r="G1140" s="36" t="str">
        <x:v>Weil keine Erzählung in der Gemeinde erlaubt war.</x:v>
      </x:c>
      <x:c r="H1140" s="36" t="str">
        <x:v>Weil er und andere Augenzeugen der Majestät Jesu waren und die Stimme auf dem heiligen Berg hörten.</x:v>
      </x:c>
      <x:c r="I1140" s="36" t="str">
        <x:v>Weil er selbst nie etwas von Jesus gesehen hatte.</x:v>
      </x:c>
      <x:c r="J1140" s="36" t="str">
        <x:v>Weil nur Propheten Jesus kannten.</x:v>
      </x:c>
      <x:c r="K1140" s="36" t="n">
        <x:v>1</x:v>
      </x:c>
      <x:c r="L1140" s="36" t="str">
        <x:v>Weil er und andere Augenzeugen der Majestät Jesu waren und die Stimme auf dem heiligen Berg hörten.</x:v>
      </x:c>
      <x:c r="M1140" s="36" t="str">
        <x:v>2. Petrus 1,16–18</x:v>
      </x:c>
      <x:c r="N1140" s="36" t="str">
        <x:v>Petrus verweist auf die Verklärungserfahrung als Augenzeugenzeugnis für Jesu Majestät.</x:v>
      </x:c>
      <x:c r="O1140" s="36" t="str">
        <x:v>FREIGEGEBEN</x:v>
      </x:c>
      <x:c r="P1140" s="36" t="str">
        <x:v>FREIGEGEBEN</x:v>
      </x:c>
      <x:c r="Q1140" s="36" t="str">
        <x:v>JA</x:v>
      </x:c>
    </x:row>
    <x:row r="1141">
      <x:c r="A1141" s="36" t="str">
        <x:v>FP-1400</x:v>
      </x:c>
      <x:c r="B1141" s="36" t="str">
        <x:v>2PE</x:v>
      </x:c>
      <x:c r="C1141" s="36" t="str">
        <x:v>2. Petrus</x:v>
      </x:c>
      <x:c r="D1141" s="36" t="n">
        <x:v>1</x:v>
      </x:c>
      <x:c r="E1141" s="36" t="n">
        <x:v>5</x:v>
      </x:c>
      <x:c r="F1141" s="36" t="str">
        <x:v>Wie beschreibt Petrus den Ursprung prophetischer Schrift?</x:v>
      </x:c>
      <x:c r="G1141" s="36" t="str">
        <x:v>Prophetie entstand nur aus persönlicher Fantasie.</x:v>
      </x:c>
      <x:c r="H1141" s="36" t="str">
        <x:v>Jede Auslegung erzeugt neue Offenbarung.</x:v>
      </x:c>
      <x:c r="I1141" s="36" t="str">
        <x:v>Menschen redeten von Gott her, vom Heiligen Geist getragen, nicht aus eigenem menschlichem Willen.</x:v>
      </x:c>
      <x:c r="J1141" s="36" t="str">
        <x:v>Propheten sprachen ausschließlich im eigenen Interesse.</x:v>
      </x:c>
      <x:c r="K1141" s="36" t="n">
        <x:v>2</x:v>
      </x:c>
      <x:c r="L1141" s="36" t="str">
        <x:v>Menschen redeten von Gott her, vom Heiligen Geist getragen, nicht aus eigenem menschlichem Willen.</x:v>
      </x:c>
      <x:c r="M1141" s="36" t="str">
        <x:v>2. Petrus 1,19–21</x:v>
      </x:c>
      <x:c r="N1141" s="36" t="str">
        <x:v>Petrus verbindet Aufmerksamkeit auf das prophetische Wort mit dessen Ursprung im Wirken des Heiligen Geistes.</x:v>
      </x:c>
      <x:c r="O1141" s="36" t="str">
        <x:v>FREIGEGEBEN</x:v>
      </x:c>
      <x:c r="P1141" s="36" t="str">
        <x:v>FREIGEGEBEN</x:v>
      </x:c>
      <x:c r="Q1141" s="36" t="str">
        <x:v>JA</x:v>
      </x:c>
    </x:row>
    <x:row r="1142">
      <x:c r="A1142" s="36" t="str">
        <x:v>FP-1401</x:v>
      </x:c>
      <x:c r="B1142" s="36" t="str">
        <x:v>2PE</x:v>
      </x:c>
      <x:c r="C1142" s="36" t="str">
        <x:v>2. Petrus</x:v>
      </x:c>
      <x:c r="D1142" s="36" t="n">
        <x:v>2</x:v>
      </x:c>
      <x:c r="E1142" s="36" t="n">
        <x:v>1</x:v>
      </x:c>
      <x:c r="F1142" s="36" t="str">
        <x:v>Welche Merkmale nennt Petrus zu Beginn für falsche Lehrer?</x:v>
      </x:c>
      <x:c r="G1142" s="36" t="str">
        <x:v>Sie stellen immer offen klar, dass sie täuschen.</x:v>
      </x:c>
      <x:c r="H1142" s="36" t="str">
        <x:v>Sie suchen niemals persönlichen Gewinn.</x:v>
      </x:c>
      <x:c r="I1142" s="36" t="str">
        <x:v>Sie vermeiden jedes schamlose Verhalten.</x:v>
      </x:c>
      <x:c r="J1142" s="36" t="str">
        <x:v>Sie führen zerstörerische Lehren ein, verleugnen den Herrn und beuten Menschen aus Habgier mit falschen Worten aus.</x:v>
      </x:c>
      <x:c r="K1142" s="36" t="n">
        <x:v>3</x:v>
      </x:c>
      <x:c r="L1142" s="36" t="str">
        <x:v>Sie führen zerstörerische Lehren ein, verleugnen den Herrn und beuten Menschen aus Habgier mit falschen Worten aus.</x:v>
      </x:c>
      <x:c r="M1142" s="36" t="str">
        <x:v>2. Petrus 2,1–3</x:v>
      </x:c>
      <x:c r="N1142" s="36" t="str">
        <x:v>Lehrinhalt, Lebensstil und Habgier gehören in der Warnung zusammen.</x:v>
      </x:c>
      <x:c r="O1142" s="36" t="str">
        <x:v>FREIGEGEBEN</x:v>
      </x:c>
      <x:c r="P1142" s="36" t="str">
        <x:v>FREIGEGEBEN</x:v>
      </x:c>
      <x:c r="Q1142" s="36" t="str">
        <x:v>JA</x:v>
      </x:c>
    </x:row>
    <x:row r="1143">
      <x:c r="A1143" s="36" t="str">
        <x:v>FP-1402</x:v>
      </x:c>
      <x:c r="B1143" s="36" t="str">
        <x:v>2PE</x:v>
      </x:c>
      <x:c r="C1143" s="36" t="str">
        <x:v>2. Petrus</x:v>
      </x:c>
      <x:c r="D1143" s="36" t="n">
        <x:v>2</x:v>
      </x:c>
      <x:c r="E1143" s="36" t="n">
        <x:v>2</x:v>
      </x:c>
      <x:c r="F1143" s="36" t="str">
        <x:v>Was zeigen die Beispiele von Engeln, Flut sowie Sodom und Gomorra?</x:v>
      </x:c>
      <x:c r="G1143" s="36" t="str">
        <x:v>Gott kann die Frommen aus Prüfung retten und die Ungerechten für das Gericht bewahren.</x:v>
      </x:c>
      <x:c r="H1143" s="36" t="str">
        <x:v>Gott unterscheidet überhaupt nicht zwischen Recht und Unrecht.</x:v>
      </x:c>
      <x:c r="I1143" s="36" t="str">
        <x:v>Gericht betreffe nur die Vergangenheit.</x:v>
      </x:c>
      <x:c r="J1143" s="36" t="str">
        <x:v>Noah und Lot seien wegen ihrer eigenen Macht gerettet worden.</x:v>
      </x:c>
      <x:c r="K1143" s="36" t="n">
        <x:v>0</x:v>
      </x:c>
      <x:c r="L1143" s="36" t="str">
        <x:v>Gott kann die Frommen aus Prüfung retten und die Ungerechten für das Gericht bewahren.</x:v>
      </x:c>
      <x:c r="M1143" s="36" t="str">
        <x:v>2. Petrus 2,4–9</x:v>
      </x:c>
      <x:c r="N1143" s="36" t="str">
        <x:v>Petrus verwendet mehrere Gerichtserzählungen, um sowohl Gottes Rettungsfähigkeit als auch seine Gerechtigkeit zu betonen.</x:v>
      </x:c>
      <x:c r="O1143" s="36" t="str">
        <x:v>FREIGEGEBEN</x:v>
      </x:c>
      <x:c r="P1143" s="36" t="str">
        <x:v>FREIGEGEBEN</x:v>
      </x:c>
      <x:c r="Q1143" s="36" t="str">
        <x:v>JA</x:v>
      </x:c>
    </x:row>
    <x:row r="1144">
      <x:c r="A1144" s="36" t="str">
        <x:v>FP-1403</x:v>
      </x:c>
      <x:c r="B1144" s="36" t="str">
        <x:v>2PE</x:v>
      </x:c>
      <x:c r="C1144" s="36" t="str">
        <x:v>2. Petrus</x:v>
      </x:c>
      <x:c r="D1144" s="36" t="n">
        <x:v>2</x:v>
      </x:c>
      <x:c r="E1144" s="36" t="n">
        <x:v>3</x:v>
      </x:c>
      <x:c r="F1144" s="36" t="str">
        <x:v>Welches alttestamentliche Beispiel verwendet Petrus für Liebe zum ungerechten Gewinn?</x:v>
      </x:c>
      <x:c r="G1144" s="36" t="str">
        <x:v>Abraham.</x:v>
      </x:c>
      <x:c r="H1144" s="36" t="str">
        <x:v>Bileam, der durch sein eigenes Reittier zurechtgewiesen wurde.</x:v>
      </x:c>
      <x:c r="I1144" s="36" t="str">
        <x:v>Samuel.</x:v>
      </x:c>
      <x:c r="J1144" s="36" t="str">
        <x:v>Josua.</x:v>
      </x:c>
      <x:c r="K1144" s="36" t="n">
        <x:v>1</x:v>
      </x:c>
      <x:c r="L1144" s="36" t="str">
        <x:v>Bileam, der durch sein eigenes Reittier zurechtgewiesen wurde.</x:v>
      </x:c>
      <x:c r="M1144" s="36" t="str">
        <x:v>2. Petrus 2,14–16</x:v>
      </x:c>
      <x:c r="N1144" s="36" t="str">
        <x:v>Bileam steht in diesem Abschnitt als Beispiel für einen vom Gewinn verführten Weg.</x:v>
      </x:c>
      <x:c r="O1144" s="36" t="str">
        <x:v>FREIGEGEBEN</x:v>
      </x:c>
      <x:c r="P1144" s="36" t="str">
        <x:v>FREIGEGEBEN</x:v>
      </x:c>
      <x:c r="Q1144" s="36" t="str">
        <x:v>JA</x:v>
      </x:c>
    </x:row>
    <x:row r="1145">
      <x:c r="A1145" s="36" t="str">
        <x:v>FP-1404</x:v>
      </x:c>
      <x:c r="B1145" s="36" t="str">
        <x:v>2PE</x:v>
      </x:c>
      <x:c r="C1145" s="36" t="str">
        <x:v>2. Petrus</x:v>
      </x:c>
      <x:c r="D1145" s="36" t="n">
        <x:v>2</x:v>
      </x:c>
      <x:c r="E1145" s="36" t="n">
        <x:v>4</x:v>
      </x:c>
      <x:c r="F1145" s="36" t="str">
        <x:v>Warum ist das Freiheitsversprechen der falschen Lehrer widersprüchlich?</x:v>
      </x:c>
      <x:c r="G1145" s="36" t="str">
        <x:v>Sie lehnen jede Form von Freiheit ab.</x:v>
      </x:c>
      <x:c r="H1145" s="36" t="str">
        <x:v>Sie leben völlig unabhängig von Begierden.</x:v>
      </x:c>
      <x:c r="I1145" s="36" t="str">
        <x:v>Sie versprechen Freiheit, sind aber selbst Sklaven der Verderbnis.</x:v>
      </x:c>
      <x:c r="J1145" s="36" t="str">
        <x:v>Sie sprechen ausschließlich über politische Freiheit.</x:v>
      </x:c>
      <x:c r="K1145" s="36" t="n">
        <x:v>2</x:v>
      </x:c>
      <x:c r="L1145" s="36" t="str">
        <x:v>Sie versprechen Freiheit, sind aber selbst Sklaven der Verderbnis.</x:v>
      </x:c>
      <x:c r="M1145" s="36" t="str">
        <x:v>2. Petrus 2,17–19</x:v>
      </x:c>
      <x:c r="N1145" s="36" t="str">
        <x:v>Petrus stellt groß klingende Versprechen der tatsächlichen Versklavung durch Verderbnis gegenüber.</x:v>
      </x:c>
      <x:c r="O1145" s="36" t="str">
        <x:v>FREIGEGEBEN</x:v>
      </x:c>
      <x:c r="P1145" s="36" t="str">
        <x:v>FREIGEGEBEN</x:v>
      </x:c>
      <x:c r="Q1145" s="36" t="str">
        <x:v>JA</x:v>
      </x:c>
    </x:row>
    <x:row r="1146">
      <x:c r="A1146" s="36" t="str">
        <x:v>FP-1405</x:v>
      </x:c>
      <x:c r="B1146" s="36" t="str">
        <x:v>2PE</x:v>
      </x:c>
      <x:c r="C1146" s="36" t="str">
        <x:v>2. Petrus</x:v>
      </x:c>
      <x:c r="D1146" s="36" t="n">
        <x:v>2</x:v>
      </x:c>
      <x:c r="E1146" s="36" t="n">
        <x:v>5</x:v>
      </x:c>
      <x:c r="F1146" s="36" t="str">
        <x:v>Wie beschreibt Petrus den Zustand von Menschen, die nach Erkenntnis Christi wieder vollständig in Verderbnis verstrickt werden?</x:v>
      </x:c>
      <x:c r="G1146" s="36" t="str">
        <x:v>Er ist automatisch besser, weil sie mehr wissen.</x:v>
      </x:c>
      <x:c r="H1146" s="36" t="str">
        <x:v>Er spielt geistlich keine Rolle.</x:v>
      </x:c>
      <x:c r="I1146" s="36" t="str">
        <x:v>Er beweist, dass Erkenntnis immer schädlich ist.</x:v>
      </x:c>
      <x:c r="J1146" s="36" t="str">
        <x:v>Der letzte Zustand ist schlimmer als der erste.</x:v>
      </x:c>
      <x:c r="K1146" s="36" t="n">
        <x:v>3</x:v>
      </x:c>
      <x:c r="L1146" s="36" t="str">
        <x:v>Der letzte Zustand ist schlimmer als der erste.</x:v>
      </x:c>
      <x:c r="M1146" s="36" t="str">
        <x:v>2. Petrus 2,20–22</x:v>
      </x:c>
      <x:c r="N1146" s="36" t="str">
        <x:v>Der Abschnitt warnt drastisch vor bewusster Rückkehr in das, woraus Menschen durch Erkenntnis Christi entkommen waren.</x:v>
      </x:c>
      <x:c r="O1146" s="36" t="str">
        <x:v>FREIGEGEBEN</x:v>
      </x:c>
      <x:c r="P1146" s="36" t="str">
        <x:v>FREIGEGEBEN</x:v>
      </x:c>
      <x:c r="Q1146" s="36" t="str">
        <x:v>JA</x:v>
      </x:c>
    </x:row>
    <x:row r="1147">
      <x:c r="A1147" s="36" t="str">
        <x:v>FP-1406</x:v>
      </x:c>
      <x:c r="B1147" s="36" t="str">
        <x:v>2PE</x:v>
      </x:c>
      <x:c r="C1147" s="36" t="str">
        <x:v>2. Petrus</x:v>
      </x:c>
      <x:c r="D1147" s="36" t="n">
        <x:v>3</x:v>
      </x:c>
      <x:c r="E1147" s="36" t="n">
        <x:v>1</x:v>
      </x:c>
      <x:c r="F1147" s="36" t="str">
        <x:v>Warum schreibt Petrus seinen zweiten Brief?</x:v>
      </x:c>
      <x:c r="G1147" s="36" t="str">
        <x:v>Um durch Erinnerung einen aufrichtigen Sinn zu wecken und an Propheten- und Apostelwort zu erinnern.</x:v>
      </x:c>
      <x:c r="H1147" s="36" t="str">
        <x:v>Um alle früheren Lehren zu ersetzen.</x:v>
      </x:c>
      <x:c r="I1147" s="36" t="str">
        <x:v>Um einen neuen Zeitpunkt der Wiederkunft zu berechnen.</x:v>
      </x:c>
      <x:c r="J1147" s="36" t="str">
        <x:v>Um die Leser von der Schrift wegzuführen.</x:v>
      </x:c>
      <x:c r="K1147" s="36" t="n">
        <x:v>0</x:v>
      </x:c>
      <x:c r="L1147" s="36" t="str">
        <x:v>Um durch Erinnerung einen aufrichtigen Sinn zu wecken und an Propheten- und Apostelwort zu erinnern.</x:v>
      </x:c>
      <x:c r="M1147" s="36" t="str">
        <x:v>2. Petrus 3,1–2</x:v>
      </x:c>
      <x:c r="N1147" s="36" t="str">
        <x:v>Erinnerung ist ein zentrales Motiv: bekannte Wahrheit soll neu ins Bewusstsein gerufen werden.</x:v>
      </x:c>
      <x:c r="O1147" s="36" t="str">
        <x:v>FREIGEGEBEN</x:v>
      </x:c>
      <x:c r="P1147" s="36" t="str">
        <x:v>FREIGEGEBEN</x:v>
      </x:c>
      <x:c r="Q1147" s="36" t="str">
        <x:v>JA</x:v>
      </x:c>
    </x:row>
    <x:row r="1148">
      <x:c r="A1148" s="36" t="str">
        <x:v>FP-1407</x:v>
      </x:c>
      <x:c r="B1148" s="36" t="str">
        <x:v>2PE</x:v>
      </x:c>
      <x:c r="C1148" s="36" t="str">
        <x:v>2. Petrus</x:v>
      </x:c>
      <x:c r="D1148" s="36" t="n">
        <x:v>3</x:v>
      </x:c>
      <x:c r="E1148" s="36" t="n">
        <x:v>2</x:v>
      </x:c>
      <x:c r="F1148" s="36" t="str">
        <x:v>Was behaupten die Spötter über die Wiederkunft?</x:v>
      </x:c>
      <x:c r="G1148" s="36" t="str">
        <x:v>Der Tag des Herrn sei bereits sichtbar eingetreten.</x:v>
      </x:c>
      <x:c r="H1148" s="36" t="str">
        <x:v>Seit den Vätern sei alles wie immer geblieben, daher zweifeln sie an der Verheißung seines Kommens.</x:v>
      </x:c>
      <x:c r="I1148" s="36" t="str">
        <x:v>Jesus werde morgen sicher kommen.</x:v>
      </x:c>
      <x:c r="J1148" s="36" t="str">
        <x:v>Die Schöpfung habe nie einen Anfang gehabt.</x:v>
      </x:c>
      <x:c r="K1148" s="36" t="n">
        <x:v>1</x:v>
      </x:c>
      <x:c r="L1148" s="36" t="str">
        <x:v>Seit den Vätern sei alles wie immer geblieben, daher zweifeln sie an der Verheißung seines Kommens.</x:v>
      </x:c>
      <x:c r="M1148" s="36" t="str">
        <x:v>2. Petrus 3,3–7</x:v>
      </x:c>
      <x:c r="N1148" s="36" t="str">
        <x:v>Petrus antwortet, dass die Spötter Gottes früheres Handeln durch Schöpfungswort und Flut ausblenden.</x:v>
      </x:c>
      <x:c r="O1148" s="36" t="str">
        <x:v>FREIGEGEBEN</x:v>
      </x:c>
      <x:c r="P1148" s="36" t="str">
        <x:v>FREIGEGEBEN</x:v>
      </x:c>
      <x:c r="Q1148" s="36" t="str">
        <x:v>JA</x:v>
      </x:c>
    </x:row>
    <x:row r="1149">
      <x:c r="A1149" s="36" t="str">
        <x:v>FP-1408</x:v>
      </x:c>
      <x:c r="B1149" s="36" t="str">
        <x:v>2PE</x:v>
      </x:c>
      <x:c r="C1149" s="36" t="str">
        <x:v>2. Petrus</x:v>
      </x:c>
      <x:c r="D1149" s="36" t="n">
        <x:v>3</x:v>
      </x:c>
      <x:c r="E1149" s="36" t="n">
        <x:v>3</x:v>
      </x:c>
      <x:c r="F1149" s="36" t="str">
        <x:v>Warum ist Gottes scheinbares Zögern keine Untreue?</x:v>
      </x:c>
      <x:c r="G1149" s="36" t="str">
        <x:v>Weil Gott seine Verheißung vergessen hat.</x:v>
      </x:c>
      <x:c r="H1149" s="36" t="str">
        <x:v>Weil Zeit für Gott keine Bedeutung hat und Menschen ihm egal sind.</x:v>
      </x:c>
      <x:c r="I1149" s="36" t="str">
        <x:v>Der Herr ist geduldig und will Raum zur Umkehr geben.</x:v>
      </x:c>
      <x:c r="J1149" s="36" t="str">
        <x:v>Weil die Wiederkunft abgesagt wurde.</x:v>
      </x:c>
      <x:c r="K1149" s="36" t="n">
        <x:v>2</x:v>
      </x:c>
      <x:c r="L1149" s="36" t="str">
        <x:v>Der Herr ist geduldig und will Raum zur Umkehr geben.</x:v>
      </x:c>
      <x:c r="M1149" s="36" t="str">
        <x:v>2. Petrus 3,8–9</x:v>
      </x:c>
      <x:c r="N1149" s="36" t="str">
        <x:v>Petrus deutet die Verzögerung nicht als Versagen, sondern als Ausdruck göttlicher Geduld mit Rettungsabsicht.</x:v>
      </x:c>
      <x:c r="O1149" s="36" t="str">
        <x:v>FREIGEGEBEN</x:v>
      </x:c>
      <x:c r="P1149" s="36" t="str">
        <x:v>FREIGEGEBEN</x:v>
      </x:c>
      <x:c r="Q1149" s="36" t="str">
        <x:v>JA</x:v>
      </x:c>
    </x:row>
    <x:row r="1150">
      <x:c r="A1150" s="36" t="str">
        <x:v>FP-1409</x:v>
      </x:c>
      <x:c r="B1150" s="36" t="str">
        <x:v>2PE</x:v>
      </x:c>
      <x:c r="C1150" s="36" t="str">
        <x:v>2. Petrus</x:v>
      </x:c>
      <x:c r="D1150" s="36" t="n">
        <x:v>3</x:v>
      </x:c>
      <x:c r="E1150" s="36" t="n">
        <x:v>4</x:v>
      </x:c>
      <x:c r="F1150" s="36" t="str">
        <x:v>Welche Konsequenz zieht Petrus aus dem kommenden Tag des Herrn?</x:v>
      </x:c>
      <x:c r="G1150" s="36" t="str">
        <x:v>Den Alltag panisch aufzugeben.</x:v>
      </x:c>
      <x:c r="H1150" s="36" t="str">
        <x:v>Nur über Endzeitdaten zu diskutieren.</x:v>
      </x:c>
      <x:c r="I1150" s="36" t="str">
        <x:v>Verantwortung für den eigenen Lebensstil zu verneinen.</x:v>
      </x:c>
      <x:c r="J1150" s="36" t="str">
        <x:v>In heiligem und gottesfürchtigem Lebenswandel auf neue Himmel und eine neue Erde zu warten.</x:v>
      </x:c>
      <x:c r="K1150" s="36" t="n">
        <x:v>3</x:v>
      </x:c>
      <x:c r="L1150" s="36" t="str">
        <x:v>In heiligem und gottesfürchtigem Lebenswandel auf neue Himmel und eine neue Erde zu warten.</x:v>
      </x:c>
      <x:c r="M1150" s="36" t="str">
        <x:v>2. Petrus 3,10–14</x:v>
      </x:c>
      <x:c r="N1150" s="36" t="str">
        <x:v>Eschatologische Hoffnung führt zu Heiligkeit, Frieden und Erwartung der neuen Schöpfung.</x:v>
      </x:c>
      <x:c r="O1150" s="36" t="str">
        <x:v>FREIGEGEBEN</x:v>
      </x:c>
      <x:c r="P1150" s="36" t="str">
        <x:v>FREIGEGEBEN</x:v>
      </x:c>
      <x:c r="Q1150" s="36" t="str">
        <x:v>JA</x:v>
      </x:c>
    </x:row>
    <x:row r="1151">
      <x:c r="A1151" s="36" t="str">
        <x:v>FP-1410</x:v>
      </x:c>
      <x:c r="B1151" s="36" t="str">
        <x:v>2PE</x:v>
      </x:c>
      <x:c r="C1151" s="36" t="str">
        <x:v>2. Petrus</x:v>
      </x:c>
      <x:c r="D1151" s="36" t="n">
        <x:v>3</x:v>
      </x:c>
      <x:c r="E1151" s="36" t="n">
        <x:v>5</x:v>
      </x:c>
      <x:c r="F1151" s="36" t="str">
        <x:v>Wovor warnt Petrus am Ende und wozu fordert er stattdessen auf?</x:v>
      </x:c>
      <x:c r="G1151" s="36" t="str">
        <x:v>Nicht durch Irrtum die eigene Standfestigkeit verlieren, sondern in Gnade und Erkenntnis Jesu wachsen.</x:v>
      </x:c>
      <x:c r="H1151" s="36" t="str">
        <x:v>Schwierige Schriftstellen vollständig meiden.</x:v>
      </x:c>
      <x:c r="I1151" s="36" t="str">
        <x:v>Nur auf die eigene Intuition vertrauen.</x:v>
      </x:c>
      <x:c r="J1151" s="36" t="str">
        <x:v>Die Briefe des Paulus verwerfen.</x:v>
      </x:c>
      <x:c r="K1151" s="36" t="n">
        <x:v>0</x:v>
      </x:c>
      <x:c r="L1151" s="36" t="str">
        <x:v>Nicht durch Irrtum die eigene Standfestigkeit verlieren, sondern in Gnade und Erkenntnis Jesu wachsen.</x:v>
      </x:c>
      <x:c r="M1151" s="36" t="str">
        <x:v>2. Petrus 3,15–18</x:v>
      </x:c>
      <x:c r="N1151" s="36" t="str">
        <x:v>Petrus erkennt schwierige Texte an und warnt vor Verdrehung; die positive Antwort ist Wachstum statt Instabilität.</x:v>
      </x:c>
      <x:c r="O1151" s="36" t="str">
        <x:v>FREIGEGEBEN</x:v>
      </x:c>
      <x:c r="P1151" s="36" t="str">
        <x:v>FREIGEGEBEN</x:v>
      </x:c>
      <x:c r="Q1151" s="36" t="str">
        <x:v>JA</x:v>
      </x:c>
    </x:row>
    <x:row r="1152">
      <x:c r="A1152" s="36" t="str">
        <x:v>FP-1411</x:v>
      </x:c>
      <x:c r="B1152" s="36" t="str">
        <x:v>1JN</x:v>
      </x:c>
      <x:c r="C1152" s="36" t="str">
        <x:v>1. Johannes</x:v>
      </x:c>
      <x:c r="D1152" s="36" t="n">
        <x:v>1</x:v>
      </x:c>
      <x:c r="E1152" s="36" t="n">
        <x:v>1</x:v>
      </x:c>
      <x:c r="F1152" s="36" t="str">
        <x:v>Worauf gründet der Verfasser seine Verkündigung des 'Wortes des Lebens'?</x:v>
      </x:c>
      <x:c r="G1152" s="36" t="str">
        <x:v>Auf eine rein private Vision ohne Zeugen.</x:v>
      </x:c>
      <x:c r="H1152" s="36" t="str">
        <x:v>Auf das, was gehört, gesehen, betrachtet und berührt wurde.</x:v>
      </x:c>
      <x:c r="I1152" s="36" t="str">
        <x:v>Auf spätere Legenden.</x:v>
      </x:c>
      <x:c r="J1152" s="36" t="str">
        <x:v>Auf philosophische Spekulation.</x:v>
      </x:c>
      <x:c r="K1152" s="36" t="n">
        <x:v>1</x:v>
      </x:c>
      <x:c r="L1152" s="36" t="str">
        <x:v>Auf das, was gehört, gesehen, betrachtet und berührt wurde.</x:v>
      </x:c>
      <x:c r="M1152" s="36" t="str">
        <x:v>1. Johannes 1,1–3</x:v>
      </x:c>
      <x:c r="N1152" s="36" t="str">
        <x:v>Der Brief eröffnet mit betont sinnlichem Augenzeugenzeugnis und verbindet es mit Gemeinschaft.</x:v>
      </x:c>
      <x:c r="O1152" s="36" t="str">
        <x:v>FREIGEGEBEN</x:v>
      </x:c>
      <x:c r="P1152" s="36" t="str">
        <x:v>FREIGEGEBEN</x:v>
      </x:c>
      <x:c r="Q1152" s="36" t="str">
        <x:v>JA</x:v>
      </x:c>
    </x:row>
    <x:row r="1153">
      <x:c r="A1153" s="36" t="str">
        <x:v>FP-1412</x:v>
      </x:c>
      <x:c r="B1153" s="36" t="str">
        <x:v>1JN</x:v>
      </x:c>
      <x:c r="C1153" s="36" t="str">
        <x:v>1. Johannes</x:v>
      </x:c>
      <x:c r="D1153" s="36" t="n">
        <x:v>1</x:v>
      </x:c>
      <x:c r="E1153" s="36" t="n">
        <x:v>2</x:v>
      </x:c>
      <x:c r="F1153" s="36" t="str">
        <x:v>Wozu wird das Gesehene und Gehörte verkündigt?</x:v>
      </x:c>
      <x:c r="G1153" s="36" t="str">
        <x:v>Damit nur eine kleine Elite Zugang zu Gott hat.</x:v>
      </x:c>
      <x:c r="H1153" s="36" t="str">
        <x:v>Damit Gemeinschaft überflüssig wird.</x:v>
      </x:c>
      <x:c r="I1153" s="36" t="str">
        <x:v>Damit die Leser Gemeinschaft mit den Zeugen und dadurch mit dem Vater und seinem Sohn Jesus Christus haben.</x:v>
      </x:c>
      <x:c r="J1153" s="36" t="str">
        <x:v>Damit Wissen an die Stelle von Beziehung tritt.</x:v>
      </x:c>
      <x:c r="K1153" s="36" t="n">
        <x:v>2</x:v>
      </x:c>
      <x:c r="L1153" s="36" t="str">
        <x:v>Damit die Leser Gemeinschaft mit den Zeugen und dadurch mit dem Vater und seinem Sohn Jesus Christus haben.</x:v>
      </x:c>
      <x:c r="M1153" s="36" t="str">
        <x:v>1. Johannes 1,3–4</x:v>
      </x:c>
      <x:c r="N1153" s="36" t="str">
        <x:v>Verkündigung zielt auf gemeinsame Teilhabe an der Gemeinschaft mit Gott.</x:v>
      </x:c>
      <x:c r="O1153" s="36" t="str">
        <x:v>FREIGEGEBEN</x:v>
      </x:c>
      <x:c r="P1153" s="36" t="str">
        <x:v>FREIGEGEBEN</x:v>
      </x:c>
      <x:c r="Q1153" s="36" t="str">
        <x:v>JA</x:v>
      </x:c>
    </x:row>
    <x:row r="1154">
      <x:c r="A1154" s="36" t="str">
        <x:v>FP-1413</x:v>
      </x:c>
      <x:c r="B1154" s="36" t="str">
        <x:v>1JN</x:v>
      </x:c>
      <x:c r="C1154" s="36" t="str">
        <x:v>1. Johannes</x:v>
      </x:c>
      <x:c r="D1154" s="36" t="n">
        <x:v>1</x:v>
      </x:c>
      <x:c r="E1154" s="36" t="n">
        <x:v>3</x:v>
      </x:c>
      <x:c r="F1154" s="36" t="str">
        <x:v>Was bedeutet die Aussage 'Gott ist Licht' praktisch für behauptete Gemeinschaft mit ihm?</x:v>
      </x:c>
      <x:c r="G1154" s="36" t="str">
        <x:v>Lebensführung ist für Gemeinschaft bedeutungslos.</x:v>
      </x:c>
      <x:c r="H1154" s="36" t="str">
        <x:v>Finsternis und Licht seien bei Gott gleich.</x:v>
      </x:c>
      <x:c r="I1154" s="36" t="str">
        <x:v>Nur religiöse Worte entscheiden.</x:v>
      </x:c>
      <x:c r="J1154" s="36" t="str">
        <x:v>Wer Gemeinschaft behauptet und zugleich in Finsternis lebt, widerspricht der Wahrheit.</x:v>
      </x:c>
      <x:c r="K1154" s="36" t="n">
        <x:v>3</x:v>
      </x:c>
      <x:c r="L1154" s="36" t="str">
        <x:v>Wer Gemeinschaft behauptet und zugleich in Finsternis lebt, widerspricht der Wahrheit.</x:v>
      </x:c>
      <x:c r="M1154" s="36" t="str">
        <x:v>1. Johannes 1,5–6</x:v>
      </x:c>
      <x:c r="N1154" s="36" t="str">
        <x:v>Johannes verbindet Gottes Wesen mit der Glaubwürdigkeit gelebter Gemeinschaft.</x:v>
      </x:c>
      <x:c r="O1154" s="36" t="str">
        <x:v>FREIGEGEBEN</x:v>
      </x:c>
      <x:c r="P1154" s="36" t="str">
        <x:v>FREIGEGEBEN</x:v>
      </x:c>
      <x:c r="Q1154" s="36" t="str">
        <x:v>JA</x:v>
      </x:c>
    </x:row>
    <x:row r="1155">
      <x:c r="A1155" s="36" t="str">
        <x:v>FP-1414</x:v>
      </x:c>
      <x:c r="B1155" s="36" t="str">
        <x:v>1JN</x:v>
      </x:c>
      <x:c r="C1155" s="36" t="str">
        <x:v>1. Johannes</x:v>
      </x:c>
      <x:c r="D1155" s="36" t="n">
        <x:v>1</x:v>
      </x:c>
      <x:c r="E1155" s="36" t="n">
        <x:v>4</x:v>
      </x:c>
      <x:c r="F1155" s="36" t="str">
        <x:v>Was wird denen zugesagt, die im Licht wandeln?</x:v>
      </x:c>
      <x:c r="G1155" s="36" t="str">
        <x:v>Gemeinschaft miteinander und Reinigung von aller Sünde durch das Blut Jesu.</x:v>
      </x:c>
      <x:c r="H1155" s="36" t="str">
        <x:v>Fehlerlosigkeit aus eigener Kraft.</x:v>
      </x:c>
      <x:c r="I1155" s="36" t="str">
        <x:v>Ein Leben ohne Versuchungen.</x:v>
      </x:c>
      <x:c r="J1155" s="36" t="str">
        <x:v>Unabhängigkeit von Vergebung.</x:v>
      </x:c>
      <x:c r="K1155" s="36" t="n">
        <x:v>0</x:v>
      </x:c>
      <x:c r="L1155" s="36" t="str">
        <x:v>Gemeinschaft miteinander und Reinigung von aller Sünde durch das Blut Jesu.</x:v>
      </x:c>
      <x:c r="M1155" s="36" t="str">
        <x:v>1. Johannes 1,7</x:v>
      </x:c>
      <x:c r="N1155" s="36" t="str">
        <x:v>Wandeln im Licht bedeutet nicht Sündlosigkeit, sondern ehrliche Gemeinschaft und Reinigung durch Jesus.</x:v>
      </x:c>
      <x:c r="O1155" s="36" t="str">
        <x:v>FREIGEGEBEN</x:v>
      </x:c>
      <x:c r="P1155" s="36" t="str">
        <x:v>FREIGEGEBEN</x:v>
      </x:c>
      <x:c r="Q1155" s="36" t="str">
        <x:v>JA</x:v>
      </x:c>
    </x:row>
    <x:row r="1156">
      <x:c r="A1156" s="36" t="str">
        <x:v>FP-1415</x:v>
      </x:c>
      <x:c r="B1156" s="36" t="str">
        <x:v>1JN</x:v>
      </x:c>
      <x:c r="C1156" s="36" t="str">
        <x:v>1. Johannes</x:v>
      </x:c>
      <x:c r="D1156" s="36" t="n">
        <x:v>1</x:v>
      </x:c>
      <x:c r="E1156" s="36" t="n">
        <x:v>5</x:v>
      </x:c>
      <x:c r="F1156" s="36" t="str">
        <x:v>Was geschieht, wenn wir unsere Sünden bekennen?</x:v>
      </x:c>
      <x:c r="G1156" s="36" t="str">
        <x:v>Gott ignoriert das Bekenntnis.</x:v>
      </x:c>
      <x:c r="H1156" s="36" t="str">
        <x:v>Gott ist treu und gerecht, vergibt und reinigt von aller Ungerechtigkeit.</x:v>
      </x:c>
      <x:c r="I1156" s="36" t="str">
        <x:v>Vergebung wird durch Selbstbestrafung verdient.</x:v>
      </x:c>
      <x:c r="J1156" s="36" t="str">
        <x:v>Sünde kann nie benannt werden.</x:v>
      </x:c>
      <x:c r="K1156" s="36" t="n">
        <x:v>1</x:v>
      </x:c>
      <x:c r="L1156" s="36" t="str">
        <x:v>Gott ist treu und gerecht, vergibt und reinigt von aller Ungerechtigkeit.</x:v>
      </x:c>
      <x:c r="M1156" s="36" t="str">
        <x:v>1. Johannes 1,8–10</x:v>
      </x:c>
      <x:c r="N1156" s="36" t="str">
        <x:v>Johannes lehnt die Behauptung eigener Sündlosigkeit ab und stellt ihr ehrliches Bekenntnis und Gottes Treue gegenüber.</x:v>
      </x:c>
      <x:c r="O1156" s="36" t="str">
        <x:v>FREIGEGEBEN</x:v>
      </x:c>
      <x:c r="P1156" s="36" t="str">
        <x:v>FREIGEGEBEN</x:v>
      </x:c>
      <x:c r="Q1156" s="36" t="str">
        <x:v>JA</x:v>
      </x:c>
    </x:row>
    <x:row r="1157">
      <x:c r="A1157" s="36" t="str">
        <x:v>FP-1416</x:v>
      </x:c>
      <x:c r="B1157" s="36" t="str">
        <x:v>1JN</x:v>
      </x:c>
      <x:c r="C1157" s="36" t="str">
        <x:v>1. Johannes</x:v>
      </x:c>
      <x:c r="D1157" s="36" t="n">
        <x:v>2</x:v>
      </x:c>
      <x:c r="E1157" s="36" t="n">
        <x:v>1</x:v>
      </x:c>
      <x:c r="F1157" s="36" t="str">
        <x:v>Welche Hoffnung nennt Johannes, wenn ein Gläubiger sündigt?</x:v>
      </x:c>
      <x:c r="G1157" s="36" t="str">
        <x:v>Sünde müsse grundsätzlich verborgen werden.</x:v>
      </x:c>
      <x:c r="H1157" s="36" t="str">
        <x:v>Es gebe nach jeder Sünde keinen Zugang mehr zu Gott.</x:v>
      </x:c>
      <x:c r="I1157" s="36" t="str">
        <x:v>Jesus Christus, der Gerechte, ist Fürsprecher beim Vater.</x:v>
      </x:c>
      <x:c r="J1157" s="36" t="str">
        <x:v>Nur menschliche Vermittler könnten helfen.</x:v>
      </x:c>
      <x:c r="K1157" s="36" t="n">
        <x:v>2</x:v>
      </x:c>
      <x:c r="L1157" s="36" t="str">
        <x:v>Jesus Christus, der Gerechte, ist Fürsprecher beim Vater.</x:v>
      </x:c>
      <x:c r="M1157" s="36" t="str">
        <x:v>1. Johannes 2,1–2</x:v>
      </x:c>
      <x:c r="N1157" s="36" t="str">
        <x:v>Johannes schreibt gegen Sünde, verbindet Versagen aber mit Jesu Fürsprache und Sühnwerk.</x:v>
      </x:c>
      <x:c r="O1157" s="36" t="str">
        <x:v>FREIGEGEBEN</x:v>
      </x:c>
      <x:c r="P1157" s="36" t="str">
        <x:v>FREIGEGEBEN</x:v>
      </x:c>
      <x:c r="Q1157" s="36" t="str">
        <x:v>JA</x:v>
      </x:c>
    </x:row>
    <x:row r="1158">
      <x:c r="A1158" s="36" t="str">
        <x:v>FP-1417</x:v>
      </x:c>
      <x:c r="B1158" s="36" t="str">
        <x:v>1JN</x:v>
      </x:c>
      <x:c r="C1158" s="36" t="str">
        <x:v>1. Johannes</x:v>
      </x:c>
      <x:c r="D1158" s="36" t="n">
        <x:v>2</x:v>
      </x:c>
      <x:c r="E1158" s="36" t="n">
        <x:v>2</x:v>
      </x:c>
      <x:c r="F1158" s="36" t="str">
        <x:v>Woran wird nach 1. Johannes 2 sichtbar, dass jemand Gott erkannt hat?</x:v>
      </x:c>
      <x:c r="G1158" s="36" t="str">
        <x:v>Ausschließlich an religiöser Sprache.</x:v>
      </x:c>
      <x:c r="H1158" s="36" t="str">
        <x:v>An gesellschaftlichem Rang.</x:v>
      </x:c>
      <x:c r="I1158" s="36" t="str">
        <x:v>Daran, niemals korrigiert zu werden.</x:v>
      </x:c>
      <x:c r="J1158" s="36" t="str">
        <x:v>Daran, dass er seine Gebote hält und so lebt, wie Jesus gelebt hat.</x:v>
      </x:c>
      <x:c r="K1158" s="36" t="n">
        <x:v>3</x:v>
      </x:c>
      <x:c r="L1158" s="36" t="str">
        <x:v>Daran, dass er seine Gebote hält und so lebt, wie Jesus gelebt hat.</x:v>
      </x:c>
      <x:c r="M1158" s="36" t="str">
        <x:v>1. Johannes 2,3–6</x:v>
      </x:c>
      <x:c r="N1158" s="36" t="str">
        <x:v>Erkenntnis Gottes wird mit konkreter Nachfolge statt bloßer Behauptung verbunden.</x:v>
      </x:c>
      <x:c r="O1158" s="36" t="str">
        <x:v>FREIGEGEBEN</x:v>
      </x:c>
      <x:c r="P1158" s="36" t="str">
        <x:v>FREIGEGEBEN</x:v>
      </x:c>
      <x:c r="Q1158" s="36" t="str">
        <x:v>JA</x:v>
      </x:c>
    </x:row>
    <x:row r="1159">
      <x:c r="A1159" s="36" t="str">
        <x:v>FP-1418</x:v>
      </x:c>
      <x:c r="B1159" s="36" t="str">
        <x:v>1JN</x:v>
      </x:c>
      <x:c r="C1159" s="36" t="str">
        <x:v>1. Johannes</x:v>
      </x:c>
      <x:c r="D1159" s="36" t="n">
        <x:v>2</x:v>
      </x:c>
      <x:c r="E1159" s="36" t="n">
        <x:v>3</x:v>
      </x:c>
      <x:c r="F1159" s="36" t="str">
        <x:v>Was zeigt nach Johannes, ob jemand im Licht oder in der Finsternis lebt?</x:v>
      </x:c>
      <x:c r="G1159" s="36" t="str">
        <x:v>Liebe oder Hass gegenüber dem Bruder beziehungsweise der Schwester.</x:v>
      </x:c>
      <x:c r="H1159" s="36" t="str">
        <x:v>Das Alter der Person.</x:v>
      </x:c>
      <x:c r="I1159" s="36" t="str">
        <x:v>Die Größe ihres Besitzes.</x:v>
      </x:c>
      <x:c r="J1159" s="36" t="str">
        <x:v>Ihre Herkunft.</x:v>
      </x:c>
      <x:c r="K1159" s="36" t="n">
        <x:v>0</x:v>
      </x:c>
      <x:c r="L1159" s="36" t="str">
        <x:v>Liebe oder Hass gegenüber dem Bruder beziehungsweise der Schwester.</x:v>
      </x:c>
      <x:c r="M1159" s="36" t="str">
        <x:v>1. Johannes 2,7–11</x:v>
      </x:c>
      <x:c r="N1159" s="36" t="str">
        <x:v>Bruderliebe ist ein zentraler Test für gelebtes Licht; Hass wird der Finsternis zugeordnet.</x:v>
      </x:c>
      <x:c r="O1159" s="36" t="str">
        <x:v>FREIGEGEBEN</x:v>
      </x:c>
      <x:c r="P1159" s="36" t="str">
        <x:v>FREIGEGEBEN</x:v>
      </x:c>
      <x:c r="Q1159" s="36" t="str">
        <x:v>JA</x:v>
      </x:c>
    </x:row>
    <x:row r="1160">
      <x:c r="A1160" s="36" t="str">
        <x:v>FP-1419</x:v>
      </x:c>
      <x:c r="B1160" s="36" t="str">
        <x:v>1JN</x:v>
      </x:c>
      <x:c r="C1160" s="36" t="str">
        <x:v>1. Johannes</x:v>
      </x:c>
      <x:c r="D1160" s="36" t="n">
        <x:v>2</x:v>
      </x:c>
      <x:c r="E1160" s="36" t="n">
        <x:v>4</x:v>
      </x:c>
      <x:c r="F1160" s="36" t="str">
        <x:v>Warum sollen die Glaubenden die Welt im von Johannes gemeinten Sinn nicht lieben?</x:v>
      </x:c>
      <x:c r="G1160" s="36" t="str">
        <x:v>Weil Gottes Schöpfung grundsätzlich böse ist.</x:v>
      </x:c>
      <x:c r="H1160" s="36" t="str">
        <x:v>Weil ihre Begierden und ihr hochmütiger Stolz vergehen, während der Wille Gottes bleibt.</x:v>
      </x:c>
      <x:c r="I1160" s="36" t="str">
        <x:v>Weil Christen keine Menschen außerhalb der Gemeinde lieben dürfen.</x:v>
      </x:c>
      <x:c r="J1160" s="36" t="str">
        <x:v>Weil Besitz automatisch Sünde ist.</x:v>
      </x:c>
      <x:c r="K1160" s="36" t="n">
        <x:v>1</x:v>
      </x:c>
      <x:c r="L1160" s="36" t="str">
        <x:v>Weil ihre Begierden und ihr hochmütiger Stolz vergehen, während der Wille Gottes bleibt.</x:v>
      </x:c>
      <x:c r="M1160" s="36" t="str">
        <x:v>1. Johannes 2,15–17</x:v>
      </x:c>
      <x:c r="N1160" s="36" t="str">
        <x:v>Johannes meint eine gottfeindliche Ordnung von Begierde und Stolz, nicht die Ablehnung von Menschen oder Schöpfung.</x:v>
      </x:c>
      <x:c r="O1160" s="36" t="str">
        <x:v>FREIGEGEBEN</x:v>
      </x:c>
      <x:c r="P1160" s="36" t="str">
        <x:v>FREIGEGEBEN</x:v>
      </x:c>
      <x:c r="Q1160" s="36" t="str">
        <x:v>JA</x:v>
      </x:c>
    </x:row>
    <x:row r="1161">
      <x:c r="A1161" s="36" t="str">
        <x:v>FP-1420</x:v>
      </x:c>
      <x:c r="B1161" s="36" t="str">
        <x:v>1JN</x:v>
      </x:c>
      <x:c r="C1161" s="36" t="str">
        <x:v>1. Johannes</x:v>
      </x:c>
      <x:c r="D1161" s="36" t="n">
        <x:v>2</x:v>
      </x:c>
      <x:c r="E1161" s="36" t="n">
        <x:v>5</x:v>
      </x:c>
      <x:c r="F1161" s="36" t="str">
        <x:v>Wie kennzeichnet Johannes antichristliche Täuschung?</x:v>
      </x:c>
      <x:c r="G1161" s="36" t="str">
        <x:v>Sie bekennt Jesus als Christus.</x:v>
      </x:c>
      <x:c r="H1161" s="36" t="str">
        <x:v>Sie hält an der von Anfang an gehörten Botschaft fest.</x:v>
      </x:c>
      <x:c r="I1161" s="36" t="str">
        <x:v>Sie leugnet, dass Jesus der Christus ist, und trennt den Sohn vom Vater.</x:v>
      </x:c>
      <x:c r="J1161" s="36" t="str">
        <x:v>Sie führt zum Bleiben im Sohn und Vater.</x:v>
      </x:c>
      <x:c r="K1161" s="36" t="n">
        <x:v>2</x:v>
      </x:c>
      <x:c r="L1161" s="36" t="str">
        <x:v>Sie leugnet, dass Jesus der Christus ist, und trennt den Sohn vom Vater.</x:v>
      </x:c>
      <x:c r="M1161" s="36" t="str">
        <x:v>1. Johannes 2,18–25</x:v>
      </x:c>
      <x:c r="N1161" s="36" t="str">
        <x:v>Für Johannes ist die Beziehung zum Vater untrennbar mit dem Bekenntnis zum Sohn verbunden.</x:v>
      </x:c>
      <x:c r="O1161" s="36" t="str">
        <x:v>FREIGEGEBEN</x:v>
      </x:c>
      <x:c r="P1161" s="36" t="str">
        <x:v>FREIGEGEBEN</x:v>
      </x:c>
      <x:c r="Q1161" s="36" t="str">
        <x:v>JA</x:v>
      </x:c>
    </x:row>
    <x:row r="1162">
      <x:c r="A1162" s="36" t="str">
        <x:v>FP-1421</x:v>
      </x:c>
      <x:c r="B1162" s="36" t="str">
        <x:v>1JN</x:v>
      </x:c>
      <x:c r="C1162" s="36" t="str">
        <x:v>1. Johannes</x:v>
      </x:c>
      <x:c r="D1162" s="36" t="n">
        <x:v>3</x:v>
      </x:c>
      <x:c r="E1162" s="36" t="n">
        <x:v>1</x:v>
      </x:c>
      <x:c r="F1162" s="36" t="str">
        <x:v>Welche erstaunliche Identität begründet Johannes mit der Liebe des Vaters?</x:v>
      </x:c>
      <x:c r="G1162" s="36" t="str">
        <x:v>Sie werden automatisch zu Engeln.</x:v>
      </x:c>
      <x:c r="H1162" s="36" t="str">
        <x:v>Sie verlieren jede irdische Verantwortung.</x:v>
      </x:c>
      <x:c r="I1162" s="36" t="str">
        <x:v>Sie werden wegen eigener Leistung göttlich.</x:v>
      </x:c>
      <x:c r="J1162" s="36" t="str">
        <x:v>Die Glaubenden werden Kinder Gottes genannt – und sind es.</x:v>
      </x:c>
      <x:c r="K1162" s="36" t="n">
        <x:v>3</x:v>
      </x:c>
      <x:c r="L1162" s="36" t="str">
        <x:v>Die Glaubenden werden Kinder Gottes genannt – und sind es.</x:v>
      </x:c>
      <x:c r="M1162" s="36" t="str">
        <x:v>1. Johannes 3,1–3</x:v>
      </x:c>
      <x:c r="N1162" s="36" t="str">
        <x:v>Kindschaft ist Ausdruck empfangener Liebe und führt zugleich zu Hoffnung und dem Streben nach Reinheit.</x:v>
      </x:c>
      <x:c r="O1162" s="36" t="str">
        <x:v>FREIGEGEBEN</x:v>
      </x:c>
      <x:c r="P1162" s="36" t="str">
        <x:v>FREIGEGEBEN</x:v>
      </x:c>
      <x:c r="Q1162" s="36" t="str">
        <x:v>JA</x:v>
      </x:c>
    </x:row>
    <x:row r="1163">
      <x:c r="A1163" s="36" t="str">
        <x:v>FP-1422</x:v>
      </x:c>
      <x:c r="B1163" s="36" t="str">
        <x:v>1JN</x:v>
      </x:c>
      <x:c r="C1163" s="36" t="str">
        <x:v>1. Johannes</x:v>
      </x:c>
      <x:c r="D1163" s="36" t="n">
        <x:v>3</x:v>
      </x:c>
      <x:c r="E1163" s="36" t="n">
        <x:v>2</x:v>
      </x:c>
      <x:c r="F1163" s="36" t="str">
        <x:v>Wozu ist der Sohn Gottes nach 1. Johannes 3 erschienen?</x:v>
      </x:c>
      <x:c r="G1163" s="36" t="str">
        <x:v>Um Sünden wegzunehmen und die Werke des Teufels zu zerstören.</x:v>
      </x:c>
      <x:c r="H1163" s="36" t="str">
        <x:v>Um die Bedeutung von Sünde zu leugnen.</x:v>
      </x:c>
      <x:c r="I1163" s="36" t="str">
        <x:v>Um Menschen zur Gesetzlosigkeit zu ermutigen.</x:v>
      </x:c>
      <x:c r="J1163" s="36" t="str">
        <x:v>Um Liebe durch Wissen zu ersetzen.</x:v>
      </x:c>
      <x:c r="K1163" s="36" t="n">
        <x:v>0</x:v>
      </x:c>
      <x:c r="L1163" s="36" t="str">
        <x:v>Um Sünden wegzunehmen und die Werke des Teufels zu zerstören.</x:v>
      </x:c>
      <x:c r="M1163" s="36" t="str">
        <x:v>1. Johannes 3,4–8</x:v>
      </x:c>
      <x:c r="N1163" s="36" t="str">
        <x:v>Johannes verbindet Jesu Erscheinung mit einem Bruch zur Sünde und mit dem Sieg über das Böse.</x:v>
      </x:c>
      <x:c r="O1163" s="36" t="str">
        <x:v>FREIGEGEBEN</x:v>
      </x:c>
      <x:c r="P1163" s="36" t="str">
        <x:v>FREIGEGEBEN</x:v>
      </x:c>
      <x:c r="Q1163" s="36" t="str">
        <x:v>JA</x:v>
      </x:c>
    </x:row>
    <x:row r="1164">
      <x:c r="A1164" s="36" t="str">
        <x:v>FP-1423</x:v>
      </x:c>
      <x:c r="B1164" s="36" t="str">
        <x:v>1JN</x:v>
      </x:c>
      <x:c r="C1164" s="36" t="str">
        <x:v>1. Johannes</x:v>
      </x:c>
      <x:c r="D1164" s="36" t="n">
        <x:v>3</x:v>
      </x:c>
      <x:c r="E1164" s="36" t="n">
        <x:v>3</x:v>
      </x:c>
      <x:c r="F1164" s="36" t="str">
        <x:v>Was nennt Johannes als sichtbaren Gegensatz zwischen Kindern Gottes und einem gottfernen Leben?</x:v>
      </x:c>
      <x:c r="G1164" s="36" t="str">
        <x:v>Möglichst viel Besitz anhäufen.</x:v>
      </x:c>
      <x:c r="H1164" s="36" t="str">
        <x:v>Gerechtigkeit tun und die Geschwister lieben.</x:v>
      </x:c>
      <x:c r="I1164" s="36" t="str">
        <x:v>Keine Beziehungen pflegen.</x:v>
      </x:c>
      <x:c r="J1164" s="36" t="str">
        <x:v>Nur über Glauben sprechen.</x:v>
      </x:c>
      <x:c r="K1164" s="36" t="n">
        <x:v>1</x:v>
      </x:c>
      <x:c r="L1164" s="36" t="str">
        <x:v>Gerechtigkeit tun und die Geschwister lieben.</x:v>
      </x:c>
      <x:c r="M1164" s="36" t="str">
        <x:v>1. Johannes 3,9–12</x:v>
      </x:c>
      <x:c r="N1164" s="36" t="str">
        <x:v>Der Abschnitt verbindet moralische Praxis und Bruderliebe als erkennbare Frucht der Zugehörigkeit zu Gott.</x:v>
      </x:c>
      <x:c r="O1164" s="36" t="str">
        <x:v>FREIGEGEBEN</x:v>
      </x:c>
      <x:c r="P1164" s="36" t="str">
        <x:v>FREIGEGEBEN</x:v>
      </x:c>
      <x:c r="Q1164" s="36" t="str">
        <x:v>JA</x:v>
      </x:c>
    </x:row>
    <x:row r="1165">
      <x:c r="A1165" s="36" t="str">
        <x:v>FP-1424</x:v>
      </x:c>
      <x:c r="B1165" s="36" t="str">
        <x:v>1JN</x:v>
      </x:c>
      <x:c r="C1165" s="36" t="str">
        <x:v>1. Johannes</x:v>
      </x:c>
      <x:c r="D1165" s="36" t="n">
        <x:v>3</x:v>
      </x:c>
      <x:c r="E1165" s="36" t="n">
        <x:v>4</x:v>
      </x:c>
      <x:c r="F1165" s="36" t="str">
        <x:v>Wie soll christliche Liebe nach 1. Johannes 3 aussehen?</x:v>
      </x:c>
      <x:c r="G1165" s="36" t="str">
        <x:v>Nur als inneres Gefühl.</x:v>
      </x:c>
      <x:c r="H1165" s="36" t="str">
        <x:v>Nur gegenüber engen Freunden.</x:v>
      </x:c>
      <x:c r="I1165" s="36" t="str">
        <x:v>Nicht nur mit Worten, sondern in Tat und Wahrheit, besonders gegenüber Bedürftigen.</x:v>
      </x:c>
      <x:c r="J1165" s="36" t="str">
        <x:v>Ohne materielle oder praktische Konsequenzen.</x:v>
      </x:c>
      <x:c r="K1165" s="36" t="n">
        <x:v>2</x:v>
      </x:c>
      <x:c r="L1165" s="36" t="str">
        <x:v>Nicht nur mit Worten, sondern in Tat und Wahrheit, besonders gegenüber Bedürftigen.</x:v>
      </x:c>
      <x:c r="M1165" s="36" t="str">
        <x:v>1. Johannes 3,16–18</x:v>
      </x:c>
      <x:c r="N1165" s="36" t="str">
        <x:v>Jesu Hingabe definiert Liebe; daraus folgt konkrete Bereitschaft zum Helfen.</x:v>
      </x:c>
      <x:c r="O1165" s="36" t="str">
        <x:v>FREIGEGEBEN</x:v>
      </x:c>
      <x:c r="P1165" s="36" t="str">
        <x:v>FREIGEGEBEN</x:v>
      </x:c>
      <x:c r="Q1165" s="36" t="str">
        <x:v>JA</x:v>
      </x:c>
    </x:row>
    <x:row r="1166">
      <x:c r="A1166" s="36" t="str">
        <x:v>FP-1425</x:v>
      </x:c>
      <x:c r="B1166" s="36" t="str">
        <x:v>1JN</x:v>
      </x:c>
      <x:c r="C1166" s="36" t="str">
        <x:v>1. Johannes</x:v>
      </x:c>
      <x:c r="D1166" s="36" t="n">
        <x:v>3</x:v>
      </x:c>
      <x:c r="E1166" s="36" t="n">
        <x:v>5</x:v>
      </x:c>
      <x:c r="F1166" s="36" t="str">
        <x:v>Wie fasst Johannes Gottes Gebot zusammen?</x:v>
      </x:c>
      <x:c r="G1166" s="36" t="str">
        <x:v>Nur religiöse Regeln sammeln.</x:v>
      </x:c>
      <x:c r="H1166" s="36" t="str">
        <x:v>Sich von allen Menschen absondern.</x:v>
      </x:c>
      <x:c r="I1166" s="36" t="str">
        <x:v>Glauben ohne Liebe genügt vollständig.</x:v>
      </x:c>
      <x:c r="J1166" s="36" t="str">
        <x:v>An den Namen seines Sohnes Jesus Christus glauben und einander lieben.</x:v>
      </x:c>
      <x:c r="K1166" s="36" t="n">
        <x:v>3</x:v>
      </x:c>
      <x:c r="L1166" s="36" t="str">
        <x:v>An den Namen seines Sohnes Jesus Christus glauben und einander lieben.</x:v>
      </x:c>
      <x:c r="M1166" s="36" t="str">
        <x:v>1. Johannes 3,21–24</x:v>
      </x:c>
      <x:c r="N1166" s="36" t="str">
        <x:v>Glaube an Christus und Liebe zueinander werden in einem gemeinsamen Gebot zusammengeführt.</x:v>
      </x:c>
      <x:c r="O1166" s="36" t="str">
        <x:v>FREIGEGEBEN</x:v>
      </x:c>
      <x:c r="P1166" s="36" t="str">
        <x:v>FREIGEGEBEN</x:v>
      </x:c>
      <x:c r="Q1166" s="36" t="str">
        <x:v>JA</x:v>
      </x:c>
    </x:row>
    <x:row r="1167">
      <x:c r="A1167" s="36" t="str">
        <x:v>FP-1426</x:v>
      </x:c>
      <x:c r="B1167" s="36" t="str">
        <x:v>1JN</x:v>
      </x:c>
      <x:c r="C1167" s="36" t="str">
        <x:v>1. Johannes</x:v>
      </x:c>
      <x:c r="D1167" s="36" t="n">
        <x:v>4</x:v>
      </x:c>
      <x:c r="E1167" s="36" t="n">
        <x:v>1</x:v>
      </x:c>
      <x:c r="F1167" s="36" t="str">
        <x:v>Warum sollen Christen nicht jedem Geist einfach glauben?</x:v>
      </x:c>
      <x:c r="G1167" s="36" t="str">
        <x:v>Weil viele falsche Propheten ausgegangen sind und geistliche Aussagen geprüft werden müssen.</x:v>
      </x:c>
      <x:c r="H1167" s="36" t="str">
        <x:v>Weil der Heilige Geist nie durch Menschen wirkt.</x:v>
      </x:c>
      <x:c r="I1167" s="36" t="str">
        <x:v>Weil jede geistliche Aussage falsch ist.</x:v>
      </x:c>
      <x:c r="J1167" s="36" t="str">
        <x:v>Weil Prüfung nur Aposteln erlaubt ist.</x:v>
      </x:c>
      <x:c r="K1167" s="36" t="n">
        <x:v>0</x:v>
      </x:c>
      <x:c r="L1167" s="36" t="str">
        <x:v>Weil viele falsche Propheten ausgegangen sind und geistliche Aussagen geprüft werden müssen.</x:v>
      </x:c>
      <x:c r="M1167" s="36" t="str">
        <x:v>1. Johannes 4,1</x:v>
      </x:c>
      <x:c r="N1167" s="36" t="str">
        <x:v>Johannes fordert weder Leichtgläubigkeit noch pauschale Ablehnung, sondern Prüfung.</x:v>
      </x:c>
      <x:c r="O1167" s="36" t="str">
        <x:v>FREIGEGEBEN</x:v>
      </x:c>
      <x:c r="P1167" s="36" t="str">
        <x:v>FREIGEGEBEN</x:v>
      </x:c>
      <x:c r="Q1167" s="36" t="str">
        <x:v>JA</x:v>
      </x:c>
    </x:row>
    <x:row r="1168">
      <x:c r="A1168" s="36" t="str">
        <x:v>FP-1427</x:v>
      </x:c>
      <x:c r="B1168" s="36" t="str">
        <x:v>1JN</x:v>
      </x:c>
      <x:c r="C1168" s="36" t="str">
        <x:v>1. Johannes</x:v>
      </x:c>
      <x:c r="D1168" s="36" t="n">
        <x:v>4</x:v>
      </x:c>
      <x:c r="E1168" s="36" t="n">
        <x:v>2</x:v>
      </x:c>
      <x:c r="F1168" s="36" t="str">
        <x:v>Welches Bekenntnis nennt Johannes als wesentliches Kennzeichen des Geistes Gottes?</x:v>
      </x:c>
      <x:c r="G1168" s="36" t="str">
        <x:v>Dass Jesus nur scheinbar Mensch war.</x:v>
      </x:c>
      <x:c r="H1168" s="36" t="str">
        <x:v>Dass Jesus Christus im Fleisch gekommen ist.</x:v>
      </x:c>
      <x:c r="I1168" s="36" t="str">
        <x:v>Dass Christus mit Jesus nichts zu tun hat.</x:v>
      </x:c>
      <x:c r="J1168" s="36" t="str">
        <x:v>Dass der Sohn nicht von Gott gesandt wurde.</x:v>
      </x:c>
      <x:c r="K1168" s="36" t="n">
        <x:v>1</x:v>
      </x:c>
      <x:c r="L1168" s="36" t="str">
        <x:v>Dass Jesus Christus im Fleisch gekommen ist.</x:v>
      </x:c>
      <x:c r="M1168" s="36" t="str">
        <x:v>1. Johannes 4,2–3</x:v>
      </x:c>
      <x:c r="N1168" s="36" t="str">
        <x:v>Das konkrete Bekenntnis zur wirklichen Menschwerdung Jesu dient im Kapitel als Prüfstein.</x:v>
      </x:c>
      <x:c r="O1168" s="36" t="str">
        <x:v>FREIGEGEBEN</x:v>
      </x:c>
      <x:c r="P1168" s="36" t="str">
        <x:v>FREIGEGEBEN</x:v>
      </x:c>
      <x:c r="Q1168" s="36" t="str">
        <x:v>JA</x:v>
      </x:c>
    </x:row>
    <x:row r="1169">
      <x:c r="A1169" s="36" t="str">
        <x:v>FP-1428</x:v>
      </x:c>
      <x:c r="B1169" s="36" t="str">
        <x:v>1JN</x:v>
      </x:c>
      <x:c r="C1169" s="36" t="str">
        <x:v>1. Johannes</x:v>
      </x:c>
      <x:c r="D1169" s="36" t="n">
        <x:v>4</x:v>
      </x:c>
      <x:c r="E1169" s="36" t="n">
        <x:v>3</x:v>
      </x:c>
      <x:c r="F1169" s="36" t="str">
        <x:v>Warum müssen die Glaubenden falsche geistliche Einflüsse nicht fürchten?</x:v>
      </x:c>
      <x:c r="G1169" s="36" t="str">
        <x:v>Weil falsche Lehre keine Wirkung haben kann.</x:v>
      </x:c>
      <x:c r="H1169" s="36" t="str">
        <x:v>Weil Christen automatisch alles richtig erkennen.</x:v>
      </x:c>
      <x:c r="I1169" s="36" t="str">
        <x:v>Weil der, der in ihnen ist, größer ist als der, der in der Welt ist.</x:v>
      </x:c>
      <x:c r="J1169" s="36" t="str">
        <x:v>Weil die Welt keine geistlichen Konflikte kennt.</x:v>
      </x:c>
      <x:c r="K1169" s="36" t="n">
        <x:v>2</x:v>
      </x:c>
      <x:c r="L1169" s="36" t="str">
        <x:v>Weil der, der in ihnen ist, größer ist als der, der in der Welt ist.</x:v>
      </x:c>
      <x:c r="M1169" s="36" t="str">
        <x:v>1. Johannes 4,4–6</x:v>
      </x:c>
      <x:c r="N1169" s="36" t="str">
        <x:v>Die Zuversicht gründet in Gottes Gegenwart, nicht in eigener Unfehlbarkeit.</x:v>
      </x:c>
      <x:c r="O1169" s="36" t="str">
        <x:v>FREIGEGEBEN</x:v>
      </x:c>
      <x:c r="P1169" s="36" t="str">
        <x:v>FREIGEGEBEN</x:v>
      </x:c>
      <x:c r="Q1169" s="36" t="str">
        <x:v>JA</x:v>
      </x:c>
    </x:row>
    <x:row r="1170">
      <x:c r="A1170" s="36" t="str">
        <x:v>FP-1429</x:v>
      </x:c>
      <x:c r="B1170" s="36" t="str">
        <x:v>1JN</x:v>
      </x:c>
      <x:c r="C1170" s="36" t="str">
        <x:v>1. Johannes</x:v>
      </x:c>
      <x:c r="D1170" s="36" t="n">
        <x:v>4</x:v>
      </x:c>
      <x:c r="E1170" s="36" t="n">
        <x:v>4</x:v>
      </x:c>
      <x:c r="F1170" s="36" t="str">
        <x:v>Wie wurde Gottes Liebe nach Johannes besonders sichtbar?</x:v>
      </x:c>
      <x:c r="G1170" s="36" t="str">
        <x:v>Durch materiellen Wohlstand als Hauptzeichen.</x:v>
      </x:c>
      <x:c r="H1170" s="36" t="str">
        <x:v>Durch die Abschaffung jeder Verantwortung.</x:v>
      </x:c>
      <x:c r="I1170" s="36" t="str">
        <x:v>Allein durch menschliche Liebe zu Gott.</x:v>
      </x:c>
      <x:c r="J1170" s="36" t="str">
        <x:v>Gott sandte seinen Sohn, damit wir durch ihn leben, und als Sühnopfer für unsere Sünden.</x:v>
      </x:c>
      <x:c r="K1170" s="36" t="n">
        <x:v>3</x:v>
      </x:c>
      <x:c r="L1170" s="36" t="str">
        <x:v>Gott sandte seinen Sohn, damit wir durch ihn leben, und als Sühnopfer für unsere Sünden.</x:v>
      </x:c>
      <x:c r="M1170" s="36" t="str">
        <x:v>1. Johannes 4,7–10</x:v>
      </x:c>
      <x:c r="N1170" s="36" t="str">
        <x:v>Gottes Liebe beginnt nicht mit unserer Leistung, sondern mit seiner Initiative in der Sendung des Sohnes.</x:v>
      </x:c>
      <x:c r="O1170" s="36" t="str">
        <x:v>FREIGEGEBEN</x:v>
      </x:c>
      <x:c r="P1170" s="36" t="str">
        <x:v>FREIGEGEBEN</x:v>
      </x:c>
      <x:c r="Q1170" s="36" t="str">
        <x:v>JA</x:v>
      </x:c>
    </x:row>
    <x:row r="1171">
      <x:c r="A1171" s="36" t="str">
        <x:v>FP-1430</x:v>
      </x:c>
      <x:c r="B1171" s="36" t="str">
        <x:v>1JN</x:v>
      </x:c>
      <x:c r="C1171" s="36" t="str">
        <x:v>1. Johannes</x:v>
      </x:c>
      <x:c r="D1171" s="36" t="n">
        <x:v>4</x:v>
      </x:c>
      <x:c r="E1171" s="36" t="n">
        <x:v>5</x:v>
      </x:c>
      <x:c r="F1171" s="36" t="str">
        <x:v>Was tut vollendete Liebe im Blick auf Furcht vor Strafe?</x:v>
      </x:c>
      <x:c r="G1171" s="36" t="str">
        <x:v>Sie treibt die Furcht aus.</x:v>
      </x:c>
      <x:c r="H1171" s="36" t="str">
        <x:v>Sie verstärkt die Furcht.</x:v>
      </x:c>
      <x:c r="I1171" s="36" t="str">
        <x:v>Sie macht Liebe zu anderen unnötig.</x:v>
      </x:c>
      <x:c r="J1171" s="36" t="str">
        <x:v>Sie erlaubt Hass auf Geschwister.</x:v>
      </x:c>
      <x:c r="K1171" s="36" t="n">
        <x:v>0</x:v>
      </x:c>
      <x:c r="L1171" s="36" t="str">
        <x:v>Sie treibt die Furcht aus.</x:v>
      </x:c>
      <x:c r="M1171" s="36" t="str">
        <x:v>1. Johannes 4,17–21</x:v>
      </x:c>
      <x:c r="N1171" s="36" t="str">
        <x:v>Johannes verbindet Zuversicht vor Gott mit gereifter Liebe und erklärt Hass gegenüber sichtbaren Geschwistern für unvereinbar mit behaupteter Gottesliebe.</x:v>
      </x:c>
      <x:c r="O1171" s="36" t="str">
        <x:v>FREIGEGEBEN</x:v>
      </x:c>
      <x:c r="P1171" s="36" t="str">
        <x:v>FREIGEGEBEN</x:v>
      </x:c>
      <x:c r="Q1171" s="36" t="str">
        <x:v>JA</x:v>
      </x:c>
    </x:row>
    <x:row r="1172">
      <x:c r="A1172" s="36" t="str">
        <x:v>FP-1431</x:v>
      </x:c>
      <x:c r="B1172" s="36" t="str">
        <x:v>1JN</x:v>
      </x:c>
      <x:c r="C1172" s="36" t="str">
        <x:v>1. Johannes</x:v>
      </x:c>
      <x:c r="D1172" s="36" t="n">
        <x:v>5</x:v>
      </x:c>
      <x:c r="E1172" s="36" t="n">
        <x:v>1</x:v>
      </x:c>
      <x:c r="F1172" s="36" t="str">
        <x:v>Wer ist nach 1. Johannes 5 aus Gott geboren?</x:v>
      </x:c>
      <x:c r="G1172" s="36" t="str">
        <x:v>Wer niemals Fragen hat.</x:v>
      </x:c>
      <x:c r="H1172" s="36" t="str">
        <x:v>Wer glaubt, dass Jesus der Christus ist.</x:v>
      </x:c>
      <x:c r="I1172" s="36" t="str">
        <x:v>Wer einer bestimmten Volksgruppe angehört.</x:v>
      </x:c>
      <x:c r="J1172" s="36" t="str">
        <x:v>Wer ohne Christus religiös lebt.</x:v>
      </x:c>
      <x:c r="K1172" s="36" t="n">
        <x:v>1</x:v>
      </x:c>
      <x:c r="L1172" s="36" t="str">
        <x:v>Wer glaubt, dass Jesus der Christus ist.</x:v>
      </x:c>
      <x:c r="M1172" s="36" t="str">
        <x:v>1. Johannes 5,1</x:v>
      </x:c>
      <x:c r="N1172" s="36" t="str">
        <x:v>Der Glaube an Jesus als Christus wird direkt mit der Geburt aus Gott verbunden.</x:v>
      </x:c>
      <x:c r="O1172" s="36" t="str">
        <x:v>FREIGEGEBEN</x:v>
      </x:c>
      <x:c r="P1172" s="36" t="str">
        <x:v>FREIGEGEBEN</x:v>
      </x:c>
      <x:c r="Q1172" s="36" t="str">
        <x:v>JA</x:v>
      </x:c>
    </x:row>
    <x:row r="1173">
      <x:c r="A1173" s="36" t="str">
        <x:v>FP-1432</x:v>
      </x:c>
      <x:c r="B1173" s="36" t="str">
        <x:v>1JN</x:v>
      </x:c>
      <x:c r="C1173" s="36" t="str">
        <x:v>1. Johannes</x:v>
      </x:c>
      <x:c r="D1173" s="36" t="n">
        <x:v>5</x:v>
      </x:c>
      <x:c r="E1173" s="36" t="n">
        <x:v>2</x:v>
      </x:c>
      <x:c r="F1173" s="36" t="str">
        <x:v>Wie zeigt sich Liebe zu Gott nach 1. Johannes 5?</x:v>
      </x:c>
      <x:c r="G1173" s="36" t="str">
        <x:v>Indem Gebote grundsätzlich abgelehnt werden.</x:v>
      </x:c>
      <x:c r="H1173" s="36" t="str">
        <x:v>Allein durch Gefühle ohne Handlung.</x:v>
      </x:c>
      <x:c r="I1173" s="36" t="str">
        <x:v>Indem seine Gebote gehalten werden; sie werden dabei nicht als drückende Last beschrieben.</x:v>
      </x:c>
      <x:c r="J1173" s="36" t="str">
        <x:v>Durch Überlegenheit gegenüber anderen.</x:v>
      </x:c>
      <x:c r="K1173" s="36" t="n">
        <x:v>2</x:v>
      </x:c>
      <x:c r="L1173" s="36" t="str">
        <x:v>Indem seine Gebote gehalten werden; sie werden dabei nicht als drückende Last beschrieben.</x:v>
      </x:c>
      <x:c r="M1173" s="36" t="str">
        <x:v>1. Johannes 5,2–3</x:v>
      </x:c>
      <x:c r="N1173" s="36" t="str">
        <x:v>Liebe zu Gott und gelebter Gehorsam gehören für Johannes zusammen.</x:v>
      </x:c>
      <x:c r="O1173" s="36" t="str">
        <x:v>FREIGEGEBEN</x:v>
      </x:c>
      <x:c r="P1173" s="36" t="str">
        <x:v>FREIGEGEBEN</x:v>
      </x:c>
      <x:c r="Q1173" s="36" t="str">
        <x:v>JA</x:v>
      </x:c>
    </x:row>
    <x:row r="1174">
      <x:c r="A1174" s="36" t="str">
        <x:v>FP-1433</x:v>
      </x:c>
      <x:c r="B1174" s="36" t="str">
        <x:v>1JN</x:v>
      </x:c>
      <x:c r="C1174" s="36" t="str">
        <x:v>1. Johannes</x:v>
      </x:c>
      <x:c r="D1174" s="36" t="n">
        <x:v>5</x:v>
      </x:c>
      <x:c r="E1174" s="36" t="n">
        <x:v>3</x:v>
      </x:c>
      <x:c r="F1174" s="36" t="str">
        <x:v>Was ist der Sieg, der die Welt überwindet?</x:v>
      </x:c>
      <x:c r="G1174" s="36" t="str">
        <x:v>Politische Macht.</x:v>
      </x:c>
      <x:c r="H1174" s="36" t="str">
        <x:v>Finanzieller Erfolg.</x:v>
      </x:c>
      <x:c r="I1174" s="36" t="str">
        <x:v>Menschliche Bildung.</x:v>
      </x:c>
      <x:c r="J1174" s="36" t="str">
        <x:v>Der Glaube – konkret der Glaube, dass Jesus der Sohn Gottes ist.</x:v>
      </x:c>
      <x:c r="K1174" s="36" t="n">
        <x:v>3</x:v>
      </x:c>
      <x:c r="L1174" s="36" t="str">
        <x:v>Der Glaube – konkret der Glaube, dass Jesus der Sohn Gottes ist.</x:v>
      </x:c>
      <x:c r="M1174" s="36" t="str">
        <x:v>1. Johannes 5,4–5</x:v>
      </x:c>
      <x:c r="N1174" s="36" t="str">
        <x:v>Johannes definiert Überwindung christologisch: durch Glauben an Jesus, nicht durch weltliche Machtmittel.</x:v>
      </x:c>
      <x:c r="O1174" s="36" t="str">
        <x:v>FREIGEGEBEN</x:v>
      </x:c>
      <x:c r="P1174" s="36" t="str">
        <x:v>FREIGEGEBEN</x:v>
      </x:c>
      <x:c r="Q1174" s="36" t="str">
        <x:v>JA</x:v>
      </x:c>
    </x:row>
    <x:row r="1175">
      <x:c r="A1175" s="36" t="str">
        <x:v>FP-1434</x:v>
      </x:c>
      <x:c r="B1175" s="36" t="str">
        <x:v>1JN</x:v>
      </x:c>
      <x:c r="C1175" s="36" t="str">
        <x:v>1. Johannes</x:v>
      </x:c>
      <x:c r="D1175" s="36" t="n">
        <x:v>5</x:v>
      </x:c>
      <x:c r="E1175" s="36" t="n">
        <x:v>4</x:v>
      </x:c>
      <x:c r="F1175" s="36" t="str">
        <x:v>Wie fasst Johannes Gottes Zeugnis über das ewige Leben zusammen?</x:v>
      </x:c>
      <x:c r="G1175" s="36" t="str">
        <x:v>Gott hat ewiges Leben gegeben, und dieses Leben ist in seinem Sohn.</x:v>
      </x:c>
      <x:c r="H1175" s="36" t="str">
        <x:v>Ewiges Leben liegt ausschließlich in menschlicher Leistung.</x:v>
      </x:c>
      <x:c r="I1175" s="36" t="str">
        <x:v>Es ist nur eine unbestimmte Hoffnung ohne Beziehung zu Jesus.</x:v>
      </x:c>
      <x:c r="J1175" s="36" t="str">
        <x:v>Jeder besitzt es unabhängig vom Sohn.</x:v>
      </x:c>
      <x:c r="K1175" s="36" t="n">
        <x:v>0</x:v>
      </x:c>
      <x:c r="L1175" s="36" t="str">
        <x:v>Gott hat ewiges Leben gegeben, und dieses Leben ist in seinem Sohn.</x:v>
      </x:c>
      <x:c r="M1175" s="36" t="str">
        <x:v>1. Johannes 5,9–13</x:v>
      </x:c>
      <x:c r="N1175" s="36" t="str">
        <x:v>Die Gewissheit des ewigen Lebens wird an Gottes Zeugnis über seinen Sohn gebunden.</x:v>
      </x:c>
      <x:c r="O1175" s="36" t="str">
        <x:v>FREIGEGEBEN</x:v>
      </x:c>
      <x:c r="P1175" s="36" t="str">
        <x:v>FREIGEGEBEN</x:v>
      </x:c>
      <x:c r="Q1175" s="36" t="str">
        <x:v>JA</x:v>
      </x:c>
    </x:row>
    <x:row r="1176">
      <x:c r="A1176" s="36" t="str">
        <x:v>FP-1435</x:v>
      </x:c>
      <x:c r="B1176" s="36" t="str">
        <x:v>1JN</x:v>
      </x:c>
      <x:c r="C1176" s="36" t="str">
        <x:v>1. Johannes</x:v>
      </x:c>
      <x:c r="D1176" s="36" t="n">
        <x:v>5</x:v>
      </x:c>
      <x:c r="E1176" s="36" t="n">
        <x:v>5</x:v>
      </x:c>
      <x:c r="F1176" s="36" t="str">
        <x:v>Welche Zuversicht nennt Johannes im Gebet?</x:v>
      </x:c>
      <x:c r="G1176" s="36" t="str">
        <x:v>Jede beliebige Bitte müsse genau so erfüllt werden.</x:v>
      </x:c>
      <x:c r="H1176" s="36" t="str">
        <x:v>Wenn wir nach Gottes Willen bitten, hört er uns.</x:v>
      </x:c>
      <x:c r="I1176" s="36" t="str">
        <x:v>Gebet brauche keinerlei Bezug zu Gottes Willen.</x:v>
      </x:c>
      <x:c r="J1176" s="36" t="str">
        <x:v>Nur Apostel dürften mit Zuversicht beten.</x:v>
      </x:c>
      <x:c r="K1176" s="36" t="n">
        <x:v>1</x:v>
      </x:c>
      <x:c r="L1176" s="36" t="str">
        <x:v>Wenn wir nach Gottes Willen bitten, hört er uns.</x:v>
      </x:c>
      <x:c r="M1176" s="36" t="str">
        <x:v>1. Johannes 5,14–15</x:v>
      </x:c>
      <x:c r="N1176" s="36" t="str">
        <x:v>Gebetszuversicht bedeutet keine Verfügung über Gott, sondern Vertrauen im Rahmen seines Willens.</x:v>
      </x:c>
      <x:c r="O1176" s="36" t="str">
        <x:v>FREIGEGEBEN</x:v>
      </x:c>
      <x:c r="P1176" s="36" t="str">
        <x:v>FREIGEGEBEN</x:v>
      </x:c>
      <x:c r="Q1176" s="36" t="str">
        <x:v>JA</x:v>
      </x:c>
    </x:row>
    <x:row r="1177">
      <x:c r="A1177" s="36" t="str">
        <x:v>FP-1436</x:v>
      </x:c>
      <x:c r="B1177" s="36" t="str">
        <x:v>2JN</x:v>
      </x:c>
      <x:c r="C1177" s="36" t="str">
        <x:v>2. Johannes</x:v>
      </x:c>
      <x:c r="D1177" s="36" t="n">
        <x:v>1</x:v>
      </x:c>
      <x:c r="E1177" s="36" t="n">
        <x:v>1</x:v>
      </x:c>
      <x:c r="F1177" s="36" t="str">
        <x:v>Welche beiden Themen verbindet der Brief von Anfang an besonders eng?</x:v>
      </x:c>
      <x:c r="G1177" s="36" t="str">
        <x:v>Macht und Reichtum.</x:v>
      </x:c>
      <x:c r="H1177" s="36" t="str">
        <x:v>Schweigen und Isolation.</x:v>
      </x:c>
      <x:c r="I1177" s="36" t="str">
        <x:v>Wahrheit und Liebe.</x:v>
      </x:c>
      <x:c r="J1177" s="36" t="str">
        <x:v>Gesetz und Politik.</x:v>
      </x:c>
      <x:c r="K1177" s="36" t="n">
        <x:v>2</x:v>
      </x:c>
      <x:c r="L1177" s="36" t="str">
        <x:v>Wahrheit und Liebe.</x:v>
      </x:c>
      <x:c r="M1177" s="36" t="str">
        <x:v>2. Johannes 1–3</x:v>
      </x:c>
      <x:c r="N1177" s="36" t="str">
        <x:v>Der Gruß selbst verbindet bleibende Wahrheit mit Liebe, Gnade, Barmherzigkeit und Frieden.</x:v>
      </x:c>
      <x:c r="O1177" s="36" t="str">
        <x:v>FREIGEGEBEN</x:v>
      </x:c>
      <x:c r="P1177" s="36" t="str">
        <x:v>FREIGEGEBEN</x:v>
      </x:c>
      <x:c r="Q1177" s="36" t="str">
        <x:v>JA</x:v>
      </x:c>
    </x:row>
    <x:row r="1178">
      <x:c r="A1178" s="36" t="str">
        <x:v>FP-1437</x:v>
      </x:c>
      <x:c r="B1178" s="36" t="str">
        <x:v>2JN</x:v>
      </x:c>
      <x:c r="C1178" s="36" t="str">
        <x:v>2. Johannes</x:v>
      </x:c>
      <x:c r="D1178" s="36" t="n">
        <x:v>1</x:v>
      </x:c>
      <x:c r="E1178" s="36" t="n">
        <x:v>2</x:v>
      </x:c>
      <x:c r="F1178" s="36" t="str">
        <x:v>Was bedeutet Liebe nach 2. Johannes praktisch?</x:v>
      </x:c>
      <x:c r="G1178" s="36" t="str">
        <x:v>Nur starke Gefühle zu haben.</x:v>
      </x:c>
      <x:c r="H1178" s="36" t="str">
        <x:v>Jede Lehre ungeprüft zu akzeptieren.</x:v>
      </x:c>
      <x:c r="I1178" s="36" t="str">
        <x:v>Konflikte grundsätzlich zu vermeiden.</x:v>
      </x:c>
      <x:c r="J1178" s="36" t="str">
        <x:v>Nach Gottes Geboten zu leben.</x:v>
      </x:c>
      <x:c r="K1178" s="36" t="n">
        <x:v>3</x:v>
      </x:c>
      <x:c r="L1178" s="36" t="str">
        <x:v>Nach Gottes Geboten zu leben.</x:v>
      </x:c>
      <x:c r="M1178" s="36" t="str">
        <x:v>2. Johannes 4–6</x:v>
      </x:c>
      <x:c r="N1178" s="36" t="str">
        <x:v>Liebe und Gehorsam werden nicht gegeneinander ausgespielt; Johannes beschreibt Liebe als einen Wandel nach Gottes Geboten.</x:v>
      </x:c>
      <x:c r="O1178" s="36" t="str">
        <x:v>FREIGEGEBEN</x:v>
      </x:c>
      <x:c r="P1178" s="36" t="str">
        <x:v>FREIGEGEBEN</x:v>
      </x:c>
      <x:c r="Q1178" s="36" t="str">
        <x:v>JA</x:v>
      </x:c>
    </x:row>
    <x:row r="1179">
      <x:c r="A1179" s="36" t="str">
        <x:v>FP-1438</x:v>
      </x:c>
      <x:c r="B1179" s="36" t="str">
        <x:v>2JN</x:v>
      </x:c>
      <x:c r="C1179" s="36" t="str">
        <x:v>2. Johannes</x:v>
      </x:c>
      <x:c r="D1179" s="36" t="n">
        <x:v>1</x:v>
      </x:c>
      <x:c r="E1179" s="36" t="n">
        <x:v>3</x:v>
      </x:c>
      <x:c r="F1179" s="36" t="str">
        <x:v>Wie werden die Verführer im Brief gekennzeichnet?</x:v>
      </x:c>
      <x:c r="G1179" s="36" t="str">
        <x:v>Sie bekennen nicht, dass Jesus Christus im Fleisch gekommen ist.</x:v>
      </x:c>
      <x:c r="H1179" s="36" t="str">
        <x:v>Sie halten an der Lehre Christi fest.</x:v>
      </x:c>
      <x:c r="I1179" s="36" t="str">
        <x:v>Sie fördern Wahrheit und Liebe.</x:v>
      </x:c>
      <x:c r="J1179" s="36" t="str">
        <x:v>Sie bekennen Vater und Sohn.</x:v>
      </x:c>
      <x:c r="K1179" s="36" t="n">
        <x:v>0</x:v>
      </x:c>
      <x:c r="L1179" s="36" t="str">
        <x:v>Sie bekennen nicht, dass Jesus Christus im Fleisch gekommen ist.</x:v>
      </x:c>
      <x:c r="M1179" s="36" t="str">
        <x:v>2. Johannes 7</x:v>
      </x:c>
      <x:c r="N1179" s="36" t="str">
        <x:v>Wie in 1. Johannes ist die wirkliche Menschwerdung Christi ein zentraler Prüfstein.</x:v>
      </x:c>
      <x:c r="O1179" s="36" t="str">
        <x:v>FREIGEGEBEN</x:v>
      </x:c>
      <x:c r="P1179" s="36" t="str">
        <x:v>FREIGEGEBEN</x:v>
      </x:c>
      <x:c r="Q1179" s="36" t="str">
        <x:v>JA</x:v>
      </x:c>
    </x:row>
    <x:row r="1180">
      <x:c r="A1180" s="36" t="str">
        <x:v>FP-1439</x:v>
      </x:c>
      <x:c r="B1180" s="36" t="str">
        <x:v>2JN</x:v>
      </x:c>
      <x:c r="C1180" s="36" t="str">
        <x:v>2. Johannes</x:v>
      </x:c>
      <x:c r="D1180" s="36" t="n">
        <x:v>1</x:v>
      </x:c>
      <x:c r="E1180" s="36" t="n">
        <x:v>4</x:v>
      </x:c>
      <x:c r="F1180" s="36" t="str">
        <x:v>Welche Bedeutung hat es, in der Lehre Christi zu bleiben?</x:v>
      </x:c>
      <x:c r="G1180" s="36" t="str">
        <x:v>Lehre spielt für die Beziehung zu Gott keine Rolle.</x:v>
      </x:c>
      <x:c r="H1180" s="36" t="str">
        <x:v>Wer darin bleibt, hat den Vater und den Sohn.</x:v>
      </x:c>
      <x:c r="I1180" s="36" t="str">
        <x:v>Über die Lehre Christi hinauszugehen bringt automatisch mehr Erkenntnis.</x:v>
      </x:c>
      <x:c r="J1180" s="36" t="str">
        <x:v>Nur äußere Zugehörigkeit zählt.</x:v>
      </x:c>
      <x:c r="K1180" s="36" t="n">
        <x:v>1</x:v>
      </x:c>
      <x:c r="L1180" s="36" t="str">
        <x:v>Wer darin bleibt, hat den Vater und den Sohn.</x:v>
      </x:c>
      <x:c r="M1180" s="36" t="str">
        <x:v>2. Johannes 8–9</x:v>
      </x:c>
      <x:c r="N1180" s="36" t="str">
        <x:v>Johannes verbindet Treue zur Lehre Christi direkt mit Gemeinschaft mit Vater und Sohn.</x:v>
      </x:c>
      <x:c r="O1180" s="36" t="str">
        <x:v>FREIGEGEBEN</x:v>
      </x:c>
      <x:c r="P1180" s="36" t="str">
        <x:v>FREIGEGEBEN</x:v>
      </x:c>
      <x:c r="Q1180" s="36" t="str">
        <x:v>JA</x:v>
      </x:c>
    </x:row>
    <x:row r="1181">
      <x:c r="A1181" s="36" t="str">
        <x:v>FP-1440</x:v>
      </x:c>
      <x:c r="B1181" s="36" t="str">
        <x:v>2JN</x:v>
      </x:c>
      <x:c r="C1181" s="36" t="str">
        <x:v>2. Johannes</x:v>
      </x:c>
      <x:c r="D1181" s="36" t="n">
        <x:v>1</x:v>
      </x:c>
      <x:c r="E1181" s="36" t="n">
        <x:v>5</x:v>
      </x:c>
      <x:c r="F1181" s="36" t="str">
        <x:v>Auf wen bezieht sich die Warnung, jemanden nicht aufzunehmen oder zu unterstützen?</x:v>
      </x:c>
      <x:c r="G1181" s="36" t="str">
        <x:v>Auf jeden Fremden unabhängig von seiner Botschaft.</x:v>
      </x:c>
      <x:c r="H1181" s="36" t="str">
        <x:v>Auf bedürftige Geschwister.</x:v>
      </x:c>
      <x:c r="I1181" s="36" t="str">
        <x:v>Auf Menschen, die kommen und die Lehre Christi nicht bringen.</x:v>
      </x:c>
      <x:c r="J1181" s="36" t="str">
        <x:v>Auf alle Menschen außerhalb der Gemeinde.</x:v>
      </x:c>
      <x:c r="K1181" s="36" t="n">
        <x:v>2</x:v>
      </x:c>
      <x:c r="L1181" s="36" t="str">
        <x:v>Auf Menschen, die kommen und die Lehre Christi nicht bringen.</x:v>
      </x:c>
      <x:c r="M1181" s="36" t="str">
        <x:v>2. Johannes 10–11</x:v>
      </x:c>
      <x:c r="N1181" s="36" t="str">
        <x:v>Die Warnung ist lehrbezogen: Es geht nicht um ein allgemeines Verbot von Gastfreundschaft, sondern um aktive Unterstützung irreführender Lehre.</x:v>
      </x:c>
      <x:c r="O1181" s="36" t="str">
        <x:v>FREIGEGEBEN</x:v>
      </x:c>
      <x:c r="P1181" s="36" t="str">
        <x:v>FREIGEGEBEN</x:v>
      </x:c>
      <x:c r="Q1181" s="36" t="str">
        <x:v>JA</x:v>
      </x:c>
    </x:row>
    <x:row r="1182">
      <x:c r="A1182" s="36" t="str">
        <x:v>FP-1441</x:v>
      </x:c>
      <x:c r="B1182" s="36" t="str">
        <x:v>3JN</x:v>
      </x:c>
      <x:c r="C1182" s="36" t="str">
        <x:v>3. Johannes</x:v>
      </x:c>
      <x:c r="D1182" s="36" t="n">
        <x:v>1</x:v>
      </x:c>
      <x:c r="E1182" s="36" t="n">
        <x:v>1</x:v>
      </x:c>
      <x:c r="F1182" s="36" t="str">
        <x:v>Was freut den Ältesten besonders an Gaius?</x:v>
      </x:c>
      <x:c r="G1182" s="36" t="str">
        <x:v>Dass er der reichste Mann der Gemeinde ist.</x:v>
      </x:c>
      <x:c r="H1182" s="36" t="str">
        <x:v>Dass er nie Gäste aufnimmt.</x:v>
      </x:c>
      <x:c r="I1182" s="36" t="str">
        <x:v>Dass er jede Auseinandersetzung vermeidet.</x:v>
      </x:c>
      <x:c r="J1182" s="36" t="str">
        <x:v>Dass Zeugnis davon gegeben wird, wie er in der Wahrheit lebt.</x:v>
      </x:c>
      <x:c r="K1182" s="36" t="n">
        <x:v>3</x:v>
      </x:c>
      <x:c r="L1182" s="36" t="str">
        <x:v>Dass Zeugnis davon gegeben wird, wie er in der Wahrheit lebt.</x:v>
      </x:c>
      <x:c r="M1182" s="36" t="str">
        <x:v>3. Johannes 1–4</x:v>
      </x:c>
      <x:c r="N1182" s="36" t="str">
        <x:v>Wahrheit ist im Brief nicht nur Lehre, sondern ein gelebter Weg, über den andere glaubwürdig berichten können.</x:v>
      </x:c>
      <x:c r="O1182" s="36" t="str">
        <x:v>FREIGEGEBEN</x:v>
      </x:c>
      <x:c r="P1182" s="36" t="str">
        <x:v>FREIGEGEBEN</x:v>
      </x:c>
      <x:c r="Q1182" s="36" t="str">
        <x:v>JA</x:v>
      </x:c>
    </x:row>
    <x:row r="1183">
      <x:c r="A1183" s="36" t="str">
        <x:v>FP-1442</x:v>
      </x:c>
      <x:c r="B1183" s="36" t="str">
        <x:v>3JN</x:v>
      </x:c>
      <x:c r="C1183" s="36" t="str">
        <x:v>3. Johannes</x:v>
      </x:c>
      <x:c r="D1183" s="36" t="n">
        <x:v>1</x:v>
      </x:c>
      <x:c r="E1183" s="36" t="n">
        <x:v>2</x:v>
      </x:c>
      <x:c r="F1183" s="36" t="str">
        <x:v>Wofür wird Gaius gelobt?</x:v>
      </x:c>
      <x:c r="G1183" s="36" t="str">
        <x:v>Für treuen Dienst und Gastfreundschaft gegenüber Geschwistern, auch wenn sie ihm fremd waren.</x:v>
      </x:c>
      <x:c r="H1183" s="36" t="str">
        <x:v>Für seine Ablehnung reisender Christen.</x:v>
      </x:c>
      <x:c r="I1183" s="36" t="str">
        <x:v>Für den Aufbau persönlicher Macht.</x:v>
      </x:c>
      <x:c r="J1183" s="36" t="str">
        <x:v>Für die Forderung nach Bezahlung von allen Gästen.</x:v>
      </x:c>
      <x:c r="K1183" s="36" t="n">
        <x:v>0</x:v>
      </x:c>
      <x:c r="L1183" s="36" t="str">
        <x:v>Für treuen Dienst und Gastfreundschaft gegenüber Geschwistern, auch wenn sie ihm fremd waren.</x:v>
      </x:c>
      <x:c r="M1183" s="36" t="str">
        <x:v>3. Johannes 5–6</x:v>
      </x:c>
      <x:c r="N1183" s="36" t="str">
        <x:v>Gaius' Gastfreundschaft wird als sichtbare Liebe gewürdigt.</x:v>
      </x:c>
      <x:c r="O1183" s="36" t="str">
        <x:v>FREIGEGEBEN</x:v>
      </x:c>
      <x:c r="P1183" s="36" t="str">
        <x:v>FREIGEGEBEN</x:v>
      </x:c>
      <x:c r="Q1183" s="36" t="str">
        <x:v>JA</x:v>
      </x:c>
    </x:row>
    <x:row r="1184">
      <x:c r="A1184" s="36" t="str">
        <x:v>FP-1443</x:v>
      </x:c>
      <x:c r="B1184" s="36" t="str">
        <x:v>3JN</x:v>
      </x:c>
      <x:c r="C1184" s="36" t="str">
        <x:v>3. Johannes</x:v>
      </x:c>
      <x:c r="D1184" s="36" t="n">
        <x:v>1</x:v>
      </x:c>
      <x:c r="E1184" s="36" t="n">
        <x:v>3</x:v>
      </x:c>
      <x:c r="F1184" s="36" t="str">
        <x:v>Warum sollen reisende Diener unterstützt werden?</x:v>
      </x:c>
      <x:c r="G1184" s="36" t="str">
        <x:v>Damit sie gesellschaftlichen Einfluss kaufen.</x:v>
      </x:c>
      <x:c r="H1184" s="36" t="str">
        <x:v>Damit die Unterstützenden zu Mitarbeitern für die Wahrheit werden.</x:v>
      </x:c>
      <x:c r="I1184" s="36" t="str">
        <x:v>Weil nur Reisende echte Christen seien.</x:v>
      </x:c>
      <x:c r="J1184" s="36" t="str">
        <x:v>Damit Nichtchristen die Mission finanzieren müssen.</x:v>
      </x:c>
      <x:c r="K1184" s="36" t="n">
        <x:v>1</x:v>
      </x:c>
      <x:c r="L1184" s="36" t="str">
        <x:v>Damit die Unterstützenden zu Mitarbeitern für die Wahrheit werden.</x:v>
      </x:c>
      <x:c r="M1184" s="36" t="str">
        <x:v>3. Johannes 7–8</x:v>
      </x:c>
      <x:c r="N1184" s="36" t="str">
        <x:v>Praktische Unterstützung macht auch die Gebenden zu Teilhabern am Dienst der Wahrheit.</x:v>
      </x:c>
      <x:c r="O1184" s="36" t="str">
        <x:v>FREIGEGEBEN</x:v>
      </x:c>
      <x:c r="P1184" s="36" t="str">
        <x:v>FREIGEGEBEN</x:v>
      </x:c>
      <x:c r="Q1184" s="36" t="str">
        <x:v>JA</x:v>
      </x:c>
    </x:row>
    <x:row r="1185">
      <x:c r="A1185" s="36" t="str">
        <x:v>FP-1444</x:v>
      </x:c>
      <x:c r="B1185" s="36" t="str">
        <x:v>3JN</x:v>
      </x:c>
      <x:c r="C1185" s="36" t="str">
        <x:v>3. Johannes</x:v>
      </x:c>
      <x:c r="D1185" s="36" t="n">
        <x:v>1</x:v>
      </x:c>
      <x:c r="E1185" s="36" t="n">
        <x:v>4</x:v>
      </x:c>
      <x:c r="F1185" s="36" t="str">
        <x:v>Was kritisiert Johannes an Diotrephes?</x:v>
      </x:c>
      <x:c r="G1185" s="36" t="str">
        <x:v>Er unterstützt reisende Geschwister zu großzügig.</x:v>
      </x:c>
      <x:c r="H1185" s="36" t="str">
        <x:v>Er ordnet sich jeder apostolischen Weisung unter.</x:v>
      </x:c>
      <x:c r="I1185" s="36" t="str">
        <x:v>Er will der Erste sein, verbreitet böswillige Aussagen und verhindert Gastfreundschaft gegenüber Geschwistern.</x:v>
      </x:c>
      <x:c r="J1185" s="36" t="str">
        <x:v>Er vermeidet jede Form persönlicher Macht.</x:v>
      </x:c>
      <x:c r="K1185" s="36" t="n">
        <x:v>2</x:v>
      </x:c>
      <x:c r="L1185" s="36" t="str">
        <x:v>Er will der Erste sein, verbreitet böswillige Aussagen und verhindert Gastfreundschaft gegenüber Geschwistern.</x:v>
      </x:c>
      <x:c r="M1185" s="36" t="str">
        <x:v>3. Johannes 9–10</x:v>
      </x:c>
      <x:c r="N1185" s="36" t="str">
        <x:v>Diotrephes verbindet Machtstreben, Ablehnung apostolischer Autorität und Unterdrückung anderer.</x:v>
      </x:c>
      <x:c r="O1185" s="36" t="str">
        <x:v>FREIGEGEBEN</x:v>
      </x:c>
      <x:c r="P1185" s="36" t="str">
        <x:v>FREIGEGEBEN</x:v>
      </x:c>
      <x:c r="Q1185" s="36" t="str">
        <x:v>JA</x:v>
      </x:c>
    </x:row>
    <x:row r="1186">
      <x:c r="A1186" s="36" t="str">
        <x:v>FP-1445</x:v>
      </x:c>
      <x:c r="B1186" s="36" t="str">
        <x:v>3JN</x:v>
      </x:c>
      <x:c r="C1186" s="36" t="str">
        <x:v>3. Johannes</x:v>
      </x:c>
      <x:c r="D1186" s="36" t="n">
        <x:v>1</x:v>
      </x:c>
      <x:c r="E1186" s="36" t="n">
        <x:v>5</x:v>
      </x:c>
      <x:c r="F1186" s="36" t="str">
        <x:v>Welche einfache Regel gibt Johannes Gaius im Blick auf Vorbilder?</x:v>
      </x:c>
      <x:c r="G1186" s="36" t="str">
        <x:v>Immer den Einflussreichsten folgen.</x:v>
      </x:c>
      <x:c r="H1186" s="36" t="str">
        <x:v>Nur Menschen mit Amt nachahmen.</x:v>
      </x:c>
      <x:c r="I1186" s="36" t="str">
        <x:v>Nie auf das Verhalten anderer achten.</x:v>
      </x:c>
      <x:c r="J1186" s="36" t="str">
        <x:v>Nicht das Böse, sondern das Gute nachahmen.</x:v>
      </x:c>
      <x:c r="K1186" s="36" t="n">
        <x:v>3</x:v>
      </x:c>
      <x:c r="L1186" s="36" t="str">
        <x:v>Nicht das Böse, sondern das Gute nachahmen.</x:v>
      </x:c>
      <x:c r="M1186" s="36" t="str">
        <x:v>3. Johannes 11–12</x:v>
      </x:c>
      <x:c r="N1186" s="36" t="str">
        <x:v>Der Brief stellt Diotrephes negativ und Demetrius positiv gegenüber und fasst die Wahl des Vorbilds klar zusammen.</x:v>
      </x:c>
      <x:c r="O1186" s="36" t="str">
        <x:v>FREIGEGEBEN</x:v>
      </x:c>
      <x:c r="P1186" s="36" t="str">
        <x:v>FREIGEGEBEN</x:v>
      </x:c>
      <x:c r="Q1186" s="36" t="str">
        <x:v>JA</x:v>
      </x:c>
    </x:row>
    <x:row r="1187">
      <x:c r="A1187" s="36" t="str">
        <x:v>FP-1446</x:v>
      </x:c>
      <x:c r="B1187" s="36" t="str">
        <x:v>JUD</x:v>
      </x:c>
      <x:c r="C1187" s="36" t="str">
        <x:v>Judas</x:v>
      </x:c>
      <x:c r="D1187" s="36" t="n">
        <x:v>1</x:v>
      </x:c>
      <x:c r="E1187" s="36" t="n">
        <x:v>1</x:v>
      </x:c>
      <x:c r="F1187" s="36" t="str">
        <x:v>Wozu fordert Judas die Berufenen auf?</x:v>
      </x:c>
      <x:c r="G1187" s="36" t="str">
        <x:v>Für den Glauben zu kämpfen, der den Heiligen ein für alle Mal überliefert wurde.</x:v>
      </x:c>
      <x:c r="H1187" s="36" t="str">
        <x:v>Eine neue Geheimlehre zu entwickeln.</x:v>
      </x:c>
      <x:c r="I1187" s="36" t="str">
        <x:v>Den Glauben jeder Generation vollständig neu zu erfinden.</x:v>
      </x:c>
      <x:c r="J1187" s="36" t="str">
        <x:v>Auseinandersetzungen um jeden Preis zu suchen.</x:v>
      </x:c>
      <x:c r="K1187" s="36" t="n">
        <x:v>0</x:v>
      </x:c>
      <x:c r="L1187" s="36" t="str">
        <x:v>Für den Glauben zu kämpfen, der den Heiligen ein für alle Mal überliefert wurde.</x:v>
      </x:c>
      <x:c r="M1187" s="36" t="str">
        <x:v>Judas 3</x:v>
      </x:c>
      <x:c r="N1187" s="36" t="str">
        <x:v>Der Brief entstand aus der Notwendigkeit, die Gemeinde angesichts eingeschlichener Verführer zur Treue zum überlieferten Glauben aufzurufen.</x:v>
      </x:c>
      <x:c r="O1187" s="36" t="str">
        <x:v>FREIGEGEBEN</x:v>
      </x:c>
      <x:c r="P1187" s="36" t="str">
        <x:v>FREIGEGEBEN</x:v>
      </x:c>
      <x:c r="Q1187" s="36" t="str">
        <x:v>JA</x:v>
      </x:c>
    </x:row>
    <x:row r="1188">
      <x:c r="A1188" s="36" t="str">
        <x:v>FP-1447</x:v>
      </x:c>
      <x:c r="B1188" s="36" t="str">
        <x:v>JUD</x:v>
      </x:c>
      <x:c r="C1188" s="36" t="str">
        <x:v>Judas</x:v>
      </x:c>
      <x:c r="D1188" s="36" t="n">
        <x:v>1</x:v>
      </x:c>
      <x:c r="E1188" s="36" t="n">
        <x:v>2</x:v>
      </x:c>
      <x:c r="F1188" s="36" t="str">
        <x:v>Was tun die eingeschlichenen gottlosen Menschen nach Judas?</x:v>
      </x:c>
      <x:c r="G1188" s="36" t="str">
        <x:v>Sie betonen Heiligkeit und Selbstbeherrschung.</x:v>
      </x:c>
      <x:c r="H1188" s="36" t="str">
        <x:v>Sie verkehren Gottes Gnade in Ausschweifung und verleugnen den Herrn.</x:v>
      </x:c>
      <x:c r="I1188" s="36" t="str">
        <x:v>Sie führen die Gemeinde zu treuer Nachfolge.</x:v>
      </x:c>
      <x:c r="J1188" s="36" t="str">
        <x:v>Sie warnen vor moralischer Gleichgültigkeit.</x:v>
      </x:c>
      <x:c r="K1188" s="36" t="n">
        <x:v>1</x:v>
      </x:c>
      <x:c r="L1188" s="36" t="str">
        <x:v>Sie verkehren Gottes Gnade in Ausschweifung und verleugnen den Herrn.</x:v>
      </x:c>
      <x:c r="M1188" s="36" t="str">
        <x:v>Judas 4</x:v>
      </x:c>
      <x:c r="N1188" s="36" t="str">
        <x:v>Judas verbindet falsche Lehre mit einem Missbrauch der Gnade als Rechtfertigung für ein ungeordnetes Leben.</x:v>
      </x:c>
      <x:c r="O1188" s="36" t="str">
        <x:v>FREIGEGEBEN</x:v>
      </x:c>
      <x:c r="P1188" s="36" t="str">
        <x:v>FREIGEGEBEN</x:v>
      </x:c>
      <x:c r="Q1188" s="36" t="str">
        <x:v>JA</x:v>
      </x:c>
    </x:row>
    <x:row r="1189">
      <x:c r="A1189" s="36" t="str">
        <x:v>FP-1448</x:v>
      </x:c>
      <x:c r="B1189" s="36" t="str">
        <x:v>JUD</x:v>
      </x:c>
      <x:c r="C1189" s="36" t="str">
        <x:v>Judas</x:v>
      </x:c>
      <x:c r="D1189" s="36" t="n">
        <x:v>1</x:v>
      </x:c>
      <x:c r="E1189" s="36" t="n">
        <x:v>3</x:v>
      </x:c>
      <x:c r="F1189" s="36" t="str">
        <x:v>Welche Funktion haben die Beispiele aus Israels Geschichte, den gefallenen Engeln und Sodom und Gomorra?</x:v>
      </x:c>
      <x:c r="G1189" s="36" t="str">
        <x:v>Sie sollen historische Neugier befriedigen.</x:v>
      </x:c>
      <x:c r="H1189" s="36" t="str">
        <x:v>Sie beweisen, dass Gott nie richtet.</x:v>
      </x:c>
      <x:c r="I1189" s="36" t="str">
        <x:v>Sie erinnern daran, dass Unglaube und bewusste Rebellion Gottes Gericht nicht entgehen.</x:v>
      </x:c>
      <x:c r="J1189" s="36" t="str">
        <x:v>Sie zeigen, dass nur Israel Verantwortung trägt.</x:v>
      </x:c>
      <x:c r="K1189" s="36" t="n">
        <x:v>2</x:v>
      </x:c>
      <x:c r="L1189" s="36" t="str">
        <x:v>Sie erinnern daran, dass Unglaube und bewusste Rebellion Gottes Gericht nicht entgehen.</x:v>
      </x:c>
      <x:c r="M1189" s="36" t="str">
        <x:v>Judas 5–7</x:v>
      </x:c>
      <x:c r="N1189" s="36" t="str">
        <x:v>Die Beispiele dienen als ernsthafte Warnung vor Abkehr, Auflehnung und moralischer Verkehrung.</x:v>
      </x:c>
      <x:c r="O1189" s="36" t="str">
        <x:v>FREIGEGEBEN</x:v>
      </x:c>
      <x:c r="P1189" s="36" t="str">
        <x:v>FREIGEGEBEN</x:v>
      </x:c>
      <x:c r="Q1189" s="36" t="str">
        <x:v>JA</x:v>
      </x:c>
    </x:row>
    <x:row r="1190">
      <x:c r="A1190" s="36" t="str">
        <x:v>FP-1449</x:v>
      </x:c>
      <x:c r="B1190" s="36" t="str">
        <x:v>JUD</x:v>
      </x:c>
      <x:c r="C1190" s="36" t="str">
        <x:v>Judas</x:v>
      </x:c>
      <x:c r="D1190" s="36" t="n">
        <x:v>1</x:v>
      </x:c>
      <x:c r="E1190" s="36" t="n">
        <x:v>4</x:v>
      </x:c>
      <x:c r="F1190" s="36" t="str">
        <x:v>Was sollen die Glaubenden tun, während Spötter und Spalter auftreten?</x:v>
      </x:c>
      <x:c r="G1190" s="36" t="str">
        <x:v>Sich nur mit den Fehlern anderer beschäftigen.</x:v>
      </x:c>
      <x:c r="H1190" s="36" t="str">
        <x:v>Jede Beziehung zu zweifelnden Menschen abbrechen.</x:v>
      </x:c>
      <x:c r="I1190" s="36" t="str">
        <x:v>Ihre Hoffnung auf eigene Stärke setzen.</x:v>
      </x:c>
      <x:c r="J1190" s="36" t="str">
        <x:v>Sich im Glauben aufbauen, im Heiligen Geist beten, in Gottes Liebe bleiben und auf Christi Barmherzigkeit warten.</x:v>
      </x:c>
      <x:c r="K1190" s="36" t="n">
        <x:v>3</x:v>
      </x:c>
      <x:c r="L1190" s="36" t="str">
        <x:v>Sich im Glauben aufbauen, im Heiligen Geist beten, in Gottes Liebe bleiben und auf Christi Barmherzigkeit warten.</x:v>
      </x:c>
      <x:c r="M1190" s="36" t="str">
        <x:v>Judas 17–21</x:v>
      </x:c>
      <x:c r="N1190" s="36" t="str">
        <x:v>Judas verbindet Abgrenzung von Irrtum mit positivem geistlichem Aufbau, Gebet, Liebe und Hoffnung.</x:v>
      </x:c>
      <x:c r="O1190" s="36" t="str">
        <x:v>FREIGEGEBEN</x:v>
      </x:c>
      <x:c r="P1190" s="36" t="str">
        <x:v>FREIGEGEBEN</x:v>
      </x:c>
      <x:c r="Q1190" s="36" t="str">
        <x:v>JA</x:v>
      </x:c>
    </x:row>
    <x:row r="1191">
      <x:c r="A1191" s="36" t="str">
        <x:v>FP-1450</x:v>
      </x:c>
      <x:c r="B1191" s="36" t="str">
        <x:v>JUD</x:v>
      </x:c>
      <x:c r="C1191" s="36" t="str">
        <x:v>Judas</x:v>
      </x:c>
      <x:c r="D1191" s="36" t="n">
        <x:v>1</x:v>
      </x:c>
      <x:c r="E1191" s="36" t="n">
        <x:v>5</x:v>
      </x:c>
      <x:c r="F1191" s="36" t="str">
        <x:v>Wie sollen Glaubende mit gefährdeten oder zweifelnden Menschen umgehen?</x:v>
      </x:c>
      <x:c r="G1191" s="36" t="str">
        <x:v>Mit differenzierter Barmherzigkeit: Zweiflern helfen und andere mit ernster Vorsicht retten.</x:v>
      </x:c>
      <x:c r="H1191" s="36" t="str">
        <x:v>Alle gleich verurteilen.</x:v>
      </x:c>
      <x:c r="I1191" s="36" t="str">
        <x:v>Jede Hilfe vermeiden.</x:v>
      </x:c>
      <x:c r="J1191" s="36" t="str">
        <x:v>Sünde verharmlosen, um niemanden zu verletzen.</x:v>
      </x:c>
      <x:c r="K1191" s="36" t="n">
        <x:v>0</x:v>
      </x:c>
      <x:c r="L1191" s="36" t="str">
        <x:v>Mit differenzierter Barmherzigkeit: Zweiflern helfen und andere mit ernster Vorsicht retten.</x:v>
      </x:c>
      <x:c r="M1191" s="36" t="str">
        <x:v>Judas 22–23</x:v>
      </x:c>
      <x:c r="N1191" s="36" t="str">
        <x:v>Judas fordert weder Gleichgültigkeit noch naive Nähe, sondern barmherzige Hilfe mit angemessener geistlicher Vorsicht.</x:v>
      </x:c>
      <x:c r="O1191" s="36" t="str">
        <x:v>FREIGEGEBEN</x:v>
      </x:c>
      <x:c r="P1191" s="36" t="str">
        <x:v>FREIGEGEBEN</x:v>
      </x:c>
      <x:c r="Q1191" s="36" t="str">
        <x:v>JA</x:v>
      </x:c>
    </x:row>
    <x:row r="1192">
      <x:c r="A1192" s="36" t="str">
        <x:v>FP-1451</x:v>
      </x:c>
      <x:c r="B1192" s="36" t="str">
        <x:v>REV</x:v>
      </x:c>
      <x:c r="C1192" s="36" t="str">
        <x:v>Offenbarung</x:v>
      </x:c>
      <x:c r="D1192" s="36" t="n">
        <x:v>1</x:v>
      </x:c>
      <x:c r="E1192" s="36" t="n">
        <x:v>1</x:v>
      </x:c>
      <x:c r="F1192" s="36" t="str">
        <x:v>Wozu wurde Johannes die Offenbarung nach dem ersten Vers gegeben?</x:v>
      </x:c>
      <x:c r="G1192" s="36" t="str">
        <x:v>Um den Knechten Gottes zu zeigen, was bald geschehen muss.</x:v>
      </x:c>
      <x:c r="H1192" s="36" t="str">
        <x:v>Um eine neue Sammlung von Sprüchen für Israel zu schreiben.</x:v>
      </x:c>
      <x:c r="I1192" s="36" t="str">
        <x:v>Um die sieben Gemeinden von jeder Prüfung zu befreien.</x:v>
      </x:c>
      <x:c r="J1192" s="36" t="str">
        <x:v>Um ausschließlich die Vergangenheit des römischen Reiches zu erklären.</x:v>
      </x:c>
      <x:c r="K1192" s="36" t="n">
        <x:v>0</x:v>
      </x:c>
      <x:c r="L1192" s="36" t="str">
        <x:v>Um den Knechten Gottes zu zeigen, was bald geschehen muss.</x:v>
      </x:c>
      <x:c r="M1192" s="36" t="str">
        <x:v>Offenbarung 1,1–2</x:v>
      </x:c>
      <x:c r="N1192" s="36" t="str">
        <x:v>Der Prolog beschreibt die Offenbarung als von Gott gegebene Botschaft über das, was geschehen soll, vermittelt durch Jesus, einen Engel und Johannes.</x:v>
      </x:c>
      <x:c r="O1192" s="36" t="str">
        <x:v>FREIGEGEBEN</x:v>
      </x:c>
      <x:c r="P1192" s="36" t="str">
        <x:v>FREIGEGEBEN</x:v>
      </x:c>
      <x:c r="Q1192" s="36" t="str">
        <x:v>JA</x:v>
      </x:c>
    </x:row>
    <x:row r="1193">
      <x:c r="A1193" s="36" t="str">
        <x:v>FP-1452</x:v>
      </x:c>
      <x:c r="B1193" s="36" t="str">
        <x:v>REV</x:v>
      </x:c>
      <x:c r="C1193" s="36" t="str">
        <x:v>Offenbarung</x:v>
      </x:c>
      <x:c r="D1193" s="36" t="n">
        <x:v>1</x:v>
      </x:c>
      <x:c r="E1193" s="36" t="n">
        <x:v>2</x:v>
      </x:c>
      <x:c r="F1193" s="36" t="str">
        <x:v>Wer wird zu Beginn der Offenbarung ausdrücklich selig genannt?</x:v>
      </x:c>
      <x:c r="G1193" s="36" t="str">
        <x:v>Nur wer jedes Symbol vollständig entschlüsseln kann.</x:v>
      </x:c>
      <x:c r="H1193" s="36" t="str">
        <x:v>Wer die Worte liest, hört und bewahrt, was in der Weissagung geschrieben steht.</x:v>
      </x:c>
      <x:c r="I1193" s="36" t="str">
        <x:v>Nur die Leiter der sieben Gemeinden.</x:v>
      </x:c>
      <x:c r="J1193" s="36" t="str">
        <x:v>Wer die Schriftrolle besitzt, auch ohne ihren Inhalt zu beachten.</x:v>
      </x:c>
      <x:c r="K1193" s="36" t="n">
        <x:v>1</x:v>
      </x:c>
      <x:c r="L1193" s="36" t="str">
        <x:v>Wer die Worte liest, hört und bewahrt, was in der Weissagung geschrieben steht.</x:v>
      </x:c>
      <x:c r="M1193" s="36" t="str">
        <x:v>Offenbarung 1,3</x:v>
      </x:c>
      <x:c r="N1193" s="36" t="str">
        <x:v>Der Segen liegt nicht bloß im Kennen des Textes, sondern im Hören und Bewahren seiner Botschaft.</x:v>
      </x:c>
      <x:c r="O1193" s="36" t="str">
        <x:v>FREIGEGEBEN</x:v>
      </x:c>
      <x:c r="P1193" s="36" t="str">
        <x:v>FREIGEGEBEN</x:v>
      </x:c>
      <x:c r="Q1193" s="36" t="str">
        <x:v>JA</x:v>
      </x:c>
    </x:row>
    <x:row r="1194">
      <x:c r="A1194" s="36" t="str">
        <x:v>FP-1453</x:v>
      </x:c>
      <x:c r="B1194" s="36" t="str">
        <x:v>REV</x:v>
      </x:c>
      <x:c r="C1194" s="36" t="str">
        <x:v>Offenbarung</x:v>
      </x:c>
      <x:c r="D1194" s="36" t="n">
        <x:v>1</x:v>
      </x:c>
      <x:c r="E1194" s="36" t="n">
        <x:v>3</x:v>
      </x:c>
      <x:c r="F1194" s="36" t="str">
        <x:v>Wie wird Jesus Christus im Gruß an die sieben Gemeinden beschrieben?</x:v>
      </x:c>
      <x:c r="G1194" s="36" t="str">
        <x:v>Als einer von sieben gleichrangigen Engeln.</x:v>
      </x:c>
      <x:c r="H1194" s="36" t="str">
        <x:v>Als verborgener Priester ohne Bezug zur Auferstehung.</x:v>
      </x:c>
      <x:c r="I1194" s="36" t="str">
        <x:v>Als treuer Zeuge, Erstgeborener der Toten und Herrscher über die Könige der Erde.</x:v>
      </x:c>
      <x:c r="J1194" s="36" t="str">
        <x:v>Als Herrscher nur über die Gemeinde von Ephesus.</x:v>
      </x:c>
      <x:c r="K1194" s="36" t="n">
        <x:v>2</x:v>
      </x:c>
      <x:c r="L1194" s="36" t="str">
        <x:v>Als treuer Zeuge, Erstgeborener der Toten und Herrscher über die Könige der Erde.</x:v>
      </x:c>
      <x:c r="M1194" s="36" t="str">
        <x:v>Offenbarung 1,4–6</x:v>
      </x:c>
      <x:c r="N1194" s="36" t="str">
        <x:v>Die drei Titel verbinden Zeugnis, Auferstehung und Herrschaft und führen unmittelbar zum Lob dessen, der die Glaubenden liebt und erlöst.</x:v>
      </x:c>
      <x:c r="O1194" s="36" t="str">
        <x:v>FREIGEGEBEN</x:v>
      </x:c>
      <x:c r="P1194" s="36" t="str">
        <x:v>FREIGEGEBEN</x:v>
      </x:c>
      <x:c r="Q1194" s="36" t="str">
        <x:v>JA</x:v>
      </x:c>
    </x:row>
    <x:row r="1195">
      <x:c r="A1195" s="36" t="str">
        <x:v>FP-1454</x:v>
      </x:c>
      <x:c r="B1195" s="36" t="str">
        <x:v>REV</x:v>
      </x:c>
      <x:c r="C1195" s="36" t="str">
        <x:v>Offenbarung</x:v>
      </x:c>
      <x:c r="D1195" s="36" t="n">
        <x:v>1</x:v>
      </x:c>
      <x:c r="E1195" s="36" t="n">
        <x:v>4</x:v>
      </x:c>
      <x:c r="F1195" s="36" t="str">
        <x:v>Warum befand sich Johannes auf Patmos?</x:v>
      </x:c>
      <x:c r="G1195" s="36" t="str">
        <x:v>Weil er dort eine Gemeinde gründen wollte.</x:v>
      </x:c>
      <x:c r="H1195" s="36" t="str">
        <x:v>Weil er als Händler dorthin gereist war.</x:v>
      </x:c>
      <x:c r="I1195" s="36" t="str">
        <x:v>Weil er den sieben Gemeinden ausweichen wollte.</x:v>
      </x:c>
      <x:c r="J1195" s="36" t="str">
        <x:v>Wegen des Wortes Gottes und des Zeugnisses von Jesus.</x:v>
      </x:c>
      <x:c r="K1195" s="36" t="n">
        <x:v>3</x:v>
      </x:c>
      <x:c r="L1195" s="36" t="str">
        <x:v>Wegen des Wortes Gottes und des Zeugnisses von Jesus.</x:v>
      </x:c>
      <x:c r="M1195" s="36" t="str">
        <x:v>Offenbarung 1,9</x:v>
      </x:c>
      <x:c r="N1195" s="36" t="str">
        <x:v>Johannes beschreibt sich als Mitteilhaber an Bedrängnis, Reich und Ausharren und nennt sein Zeugnis als Grund für seinen Aufenthalt auf Patmos.</x:v>
      </x:c>
      <x:c r="O1195" s="36" t="str">
        <x:v>FREIGEGEBEN</x:v>
      </x:c>
      <x:c r="P1195" s="36" t="str">
        <x:v>FREIGEGEBEN</x:v>
      </x:c>
      <x:c r="Q1195" s="36" t="str">
        <x:v>JA</x:v>
      </x:c>
    </x:row>
    <x:row r="1196">
      <x:c r="A1196" s="36" t="str">
        <x:v>FP-1455</x:v>
      </x:c>
      <x:c r="B1196" s="36" t="str">
        <x:v>REV</x:v>
      </x:c>
      <x:c r="C1196" s="36" t="str">
        <x:v>Offenbarung</x:v>
      </x:c>
      <x:c r="D1196" s="36" t="n">
        <x:v>1</x:v>
      </x:c>
      <x:c r="E1196" s="36" t="n">
        <x:v>5</x:v>
      </x:c>
      <x:c r="F1196" s="36" t="str">
        <x:v>Wie werden die sieben Sterne und die sieben goldenen Leuchter am Ende des Kapitels erklärt?</x:v>
      </x:c>
      <x:c r="G1196" s="36" t="str">
        <x:v>Die Sterne sind die Engel der sieben Gemeinden, die Leuchter die sieben Gemeinden.</x:v>
      </x:c>
      <x:c r="H1196" s="36" t="str">
        <x:v>Die Sterne sind sieben Könige, die Leuchter sieben Tempel in Jerusalem.</x:v>
      </x:c>
      <x:c r="I1196" s="36" t="str">
        <x:v>Die Sterne sind sieben Plagen, die Leuchter sieben Propheten.</x:v>
      </x:c>
      <x:c r="J1196" s="36" t="str">
        <x:v>Beide stehen ausschließlich für die zwölf Stämme Israels.</x:v>
      </x:c>
      <x:c r="K1196" s="36" t="n">
        <x:v>0</x:v>
      </x:c>
      <x:c r="L1196" s="36" t="str">
        <x:v>Die Sterne sind die Engel der sieben Gemeinden, die Leuchter die sieben Gemeinden.</x:v>
      </x:c>
      <x:c r="M1196" s="36" t="str">
        <x:v>Offenbarung 1,20</x:v>
      </x:c>
      <x:c r="N1196" s="36" t="str">
        <x:v>Hier erklärt der Text seine eigene Bildsprache ausdrücklich und verbindet die Vision mit den sieben adressierten Gemeinden.</x:v>
      </x:c>
      <x:c r="O1196" s="36" t="str">
        <x:v>FREIGEGEBEN</x:v>
      </x:c>
      <x:c r="P1196" s="36" t="str">
        <x:v>FREIGEGEBEN</x:v>
      </x:c>
      <x:c r="Q1196" s="36" t="str">
        <x:v>JA</x:v>
      </x:c>
    </x:row>
    <x:row r="1197">
      <x:c r="A1197" s="36" t="str">
        <x:v>FP-1456</x:v>
      </x:c>
      <x:c r="B1197" s="36" t="str">
        <x:v>REV</x:v>
      </x:c>
      <x:c r="C1197" s="36" t="str">
        <x:v>Offenbarung</x:v>
      </x:c>
      <x:c r="D1197" s="36" t="n">
        <x:v>2</x:v>
      </x:c>
      <x:c r="E1197" s="36" t="n">
        <x:v>1</x:v>
      </x:c>
      <x:c r="F1197" s="36" t="str">
        <x:v>Was wird der Gemeinde in Ephesus trotz ihrer Ausdauer vorgeworfen?</x:v>
      </x:c>
      <x:c r="G1197" s="36" t="str">
        <x:v>Sie duldet ausschließlich falsche Apostel.</x:v>
      </x:c>
      <x:c r="H1197" s="36" t="str">
        <x:v>Sie hat ihre erste Liebe verlassen.</x:v>
      </x:c>
      <x:c r="I1197" s="36" t="str">
        <x:v>Sie weigert sich, gute Werke zu tun.</x:v>
      </x:c>
      <x:c r="J1197" s="36" t="str">
        <x:v>Sie hat überhaupt keine Ausdauer.</x:v>
      </x:c>
      <x:c r="K1197" s="36" t="n">
        <x:v>1</x:v>
      </x:c>
      <x:c r="L1197" s="36" t="str">
        <x:v>Sie hat ihre erste Liebe verlassen.</x:v>
      </x:c>
      <x:c r="M1197" s="36" t="str">
        <x:v>Offenbarung 2,2–5</x:v>
      </x:c>
      <x:c r="N1197" s="36" t="str">
        <x:v>Ephesus wird für Prüfung falscher Apostel und Ausdauer gelobt, zugleich aber zur Umkehr und Rückkehr zu den ersten Werken gerufen.</x:v>
      </x:c>
      <x:c r="O1197" s="36" t="str">
        <x:v>FREIGEGEBEN</x:v>
      </x:c>
      <x:c r="P1197" s="36" t="str">
        <x:v>FREIGEGEBEN</x:v>
      </x:c>
      <x:c r="Q1197" s="36" t="str">
        <x:v>JA</x:v>
      </x:c>
    </x:row>
    <x:row r="1198">
      <x:c r="A1198" s="36" t="str">
        <x:v>FP-1457</x:v>
      </x:c>
      <x:c r="B1198" s="36" t="str">
        <x:v>REV</x:v>
      </x:c>
      <x:c r="C1198" s="36" t="str">
        <x:v>Offenbarung</x:v>
      </x:c>
      <x:c r="D1198" s="36" t="n">
        <x:v>2</x:v>
      </x:c>
      <x:c r="E1198" s="36" t="n">
        <x:v>2</x:v>
      </x:c>
      <x:c r="F1198" s="36" t="str">
        <x:v>Welche Zusage erhält die bedrängte Gemeinde in Smyrna?</x:v>
      </x:c>
      <x:c r="G1198" s="36" t="str">
        <x:v>Sie werde keinerlei Leiden mehr erleben.</x:v>
      </x:c>
      <x:c r="H1198" s="36" t="str">
        <x:v>Sie solle ihre Stadt sofort verlassen.</x:v>
      </x:c>
      <x:c r="I1198" s="36" t="str">
        <x:v>Sie soll treu bis zum Tod bleiben und die Krone des Lebens empfangen.</x:v>
      </x:c>
      <x:c r="J1198" s="36" t="str">
        <x:v>Materieller Reichtum werde ihre Bedrängnis beenden.</x:v>
      </x:c>
      <x:c r="K1198" s="36" t="n">
        <x:v>2</x:v>
      </x:c>
      <x:c r="L1198" s="36" t="str">
        <x:v>Sie soll treu bis zum Tod bleiben und die Krone des Lebens empfangen.</x:v>
      </x:c>
      <x:c r="M1198" s="36" t="str">
        <x:v>Offenbarung 2,8–11</x:v>
      </x:c>
      <x:c r="N1198" s="36" t="str">
        <x:v>Smyrna wird trotz äußerer Armut als reich bezeichnet und zur Treue in bevorstehender Prüfung ermutigt.</x:v>
      </x:c>
      <x:c r="O1198" s="36" t="str">
        <x:v>FREIGEGEBEN</x:v>
      </x:c>
      <x:c r="P1198" s="36" t="str">
        <x:v>FREIGEGEBEN</x:v>
      </x:c>
      <x:c r="Q1198" s="36" t="str">
        <x:v>JA</x:v>
      </x:c>
    </x:row>
    <x:row r="1199">
      <x:c r="A1199" s="36" t="str">
        <x:v>FP-1458</x:v>
      </x:c>
      <x:c r="B1199" s="36" t="str">
        <x:v>REV</x:v>
      </x:c>
      <x:c r="C1199" s="36" t="str">
        <x:v>Offenbarung</x:v>
      </x:c>
      <x:c r="D1199" s="36" t="n">
        <x:v>2</x:v>
      </x:c>
      <x:c r="E1199" s="36" t="n">
        <x:v>3</x:v>
      </x:c>
      <x:c r="F1199" s="36" t="str">
        <x:v>Wofür wird Pergamon zunächst gelobt?</x:v>
      </x:c>
      <x:c r="G1199" s="36" t="str">
        <x:v>Dafür, jede fremde Lehre zu dulden.</x:v>
      </x:c>
      <x:c r="H1199" s="36" t="str">
        <x:v>Dafür, keine Verfolgung erlebt zu haben.</x:v>
      </x:c>
      <x:c r="I1199" s="36" t="str">
        <x:v>Dafür, ausschließlich im Verborgenen zu glauben.</x:v>
      </x:c>
      <x:c r="J1199" s="36" t="str">
        <x:v>Dafür, am Namen Jesu festzuhalten und den Glauben trotz der Tötung des Antipas nicht zu verleugnen.</x:v>
      </x:c>
      <x:c r="K1199" s="36" t="n">
        <x:v>3</x:v>
      </x:c>
      <x:c r="L1199" s="36" t="str">
        <x:v>Dafür, am Namen Jesu festzuhalten und den Glauben trotz der Tötung des Antipas nicht zu verleugnen.</x:v>
      </x:c>
      <x:c r="M1199" s="36" t="str">
        <x:v>Offenbarung 2,12–13</x:v>
      </x:c>
      <x:c r="N1199" s="36" t="str">
        <x:v>Die Gemeinde bleibt in einer feindlichen Umgebung standhaft; erst danach werden konkrete Lehrprobleme angesprochen.</x:v>
      </x:c>
      <x:c r="O1199" s="36" t="str">
        <x:v>FREIGEGEBEN</x:v>
      </x:c>
      <x:c r="P1199" s="36" t="str">
        <x:v>FREIGEGEBEN</x:v>
      </x:c>
      <x:c r="Q1199" s="36" t="str">
        <x:v>JA</x:v>
      </x:c>
    </x:row>
    <x:row r="1200">
      <x:c r="A1200" s="36" t="str">
        <x:v>FP-1459</x:v>
      </x:c>
      <x:c r="B1200" s="36" t="str">
        <x:v>REV</x:v>
      </x:c>
      <x:c r="C1200" s="36" t="str">
        <x:v>Offenbarung</x:v>
      </x:c>
      <x:c r="D1200" s="36" t="n">
        <x:v>2</x:v>
      </x:c>
      <x:c r="E1200" s="36" t="n">
        <x:v>4</x:v>
      </x:c>
      <x:c r="F1200" s="36" t="str">
        <x:v>Welche Reaktion fordert Jesus von Pergamon angesichts falscher Lehren in der Gemeinde?</x:v>
      </x:c>
      <x:c r="G1200" s="36" t="str">
        <x:v>Umkehr.</x:v>
      </x:c>
      <x:c r="H1200" s="36" t="str">
        <x:v>Die falschen Lehren als unwichtig zu behandeln.</x:v>
      </x:c>
      <x:c r="I1200" s="36" t="str">
        <x:v>Die Gemeinde nach Rom zu verlegen.</x:v>
      </x:c>
      <x:c r="J1200" s="36" t="str">
        <x:v>Nur noch über die Verfolgung zu sprechen.</x:v>
      </x:c>
      <x:c r="K1200" s="36" t="n">
        <x:v>0</x:v>
      </x:c>
      <x:c r="L1200" s="36" t="str">
        <x:v>Umkehr.</x:v>
      </x:c>
      <x:c r="M1200" s="36" t="str">
        <x:v>Offenbarung 2,14–17</x:v>
      </x:c>
      <x:c r="N1200" s="36" t="str">
        <x:v>Die Lehren Bileams und der Nikolaiten werden nicht als Nebensache behandelt; die Gemeinde wird ausdrücklich zur Umkehr gerufen.</x:v>
      </x:c>
      <x:c r="O1200" s="36" t="str">
        <x:v>FREIGEGEBEN</x:v>
      </x:c>
      <x:c r="P1200" s="36" t="str">
        <x:v>FREIGEGEBEN</x:v>
      </x:c>
      <x:c r="Q1200" s="36" t="str">
        <x:v>JA</x:v>
      </x:c>
    </x:row>
    <x:row r="1201">
      <x:c r="A1201" s="36" t="str">
        <x:v>FP-1460</x:v>
      </x:c>
      <x:c r="B1201" s="36" t="str">
        <x:v>REV</x:v>
      </x:c>
      <x:c r="C1201" s="36" t="str">
        <x:v>Offenbarung</x:v>
      </x:c>
      <x:c r="D1201" s="36" t="n">
        <x:v>2</x:v>
      </x:c>
      <x:c r="E1201" s="36" t="n">
        <x:v>5</x:v>
      </x:c>
      <x:c r="F1201" s="36" t="str">
        <x:v>Was verbindet die Botschaft an Thyatira mit der Aufforderung an die treuen Gemeindeglieder?</x:v>
      </x:c>
      <x:c r="G1201" s="36" t="str">
        <x:v>Sie sollen Isebels Lehre übernehmen.</x:v>
      </x:c>
      <x:c r="H1201" s="36" t="str">
        <x:v>Sie sollen an dem festhalten, was sie haben, bis Christus kommt.</x:v>
      </x:c>
      <x:c r="I1201" s="36" t="str">
        <x:v>Sie sollen jede Form des Dienstes einstellen.</x:v>
      </x:c>
      <x:c r="J1201" s="36" t="str">
        <x:v>Sie sollen ihre Liebe und ihren Glauben aufgeben.</x:v>
      </x:c>
      <x:c r="K1201" s="36" t="n">
        <x:v>1</x:v>
      </x:c>
      <x:c r="L1201" s="36" t="str">
        <x:v>Sie sollen an dem festhalten, was sie haben, bis Christus kommt.</x:v>
      </x:c>
      <x:c r="M1201" s="36" t="str">
        <x:v>Offenbarung 2,18–29</x:v>
      </x:c>
      <x:c r="N1201" s="36" t="str">
        <x:v>Thyatira wird für Liebe, Glauben, Dienst und wachsende Werke gelobt; zugleich wird die Duldung verführerischer Lehre scharf kritisiert.</x:v>
      </x:c>
      <x:c r="O1201" s="36" t="str">
        <x:v>FREIGEGEBEN</x:v>
      </x:c>
      <x:c r="P1201" s="36" t="str">
        <x:v>FREIGEGEBEN</x:v>
      </x:c>
      <x:c r="Q1201" s="36" t="str">
        <x:v>JA</x:v>
      </x:c>
    </x:row>
    <x:row r="1202">
      <x:c r="A1202" s="36" t="str">
        <x:v>FP-1461</x:v>
      </x:c>
      <x:c r="B1202" s="36" t="str">
        <x:v>REV</x:v>
      </x:c>
      <x:c r="C1202" s="36" t="str">
        <x:v>Offenbarung</x:v>
      </x:c>
      <x:c r="D1202" s="36" t="n">
        <x:v>3</x:v>
      </x:c>
      <x:c r="E1202" s="36" t="n">
        <x:v>1</x:v>
      </x:c>
      <x:c r="F1202" s="36" t="str">
        <x:v>Welcher Widerspruch kennzeichnet die Gemeinde in Sardes?</x:v>
      </x:c>
      <x:c r="G1202" s="36" t="str">
        <x:v>Sie gilt als arm, ist aber politisch mächtig.</x:v>
      </x:c>
      <x:c r="H1202" s="36" t="str">
        <x:v>Sie wird verfolgt, lehnt aber jede Treue ab.</x:v>
      </x:c>
      <x:c r="I1202" s="36" t="str">
        <x:v>Sie hat den Ruf, lebendig zu sein, ist aber geistlich tot.</x:v>
      </x:c>
      <x:c r="J1202" s="36" t="str">
        <x:v>Sie besitzt keinerlei Namen oder Ruf.</x:v>
      </x:c>
      <x:c r="K1202" s="36" t="n">
        <x:v>2</x:v>
      </x:c>
      <x:c r="L1202" s="36" t="str">
        <x:v>Sie hat den Ruf, lebendig zu sein, ist aber geistlich tot.</x:v>
      </x:c>
      <x:c r="M1202" s="36" t="str">
        <x:v>Offenbarung 3,1–3</x:v>
      </x:c>
      <x:c r="N1202" s="36" t="str">
        <x:v>Sardes wird zur Wachsamkeit, Stärkung des Übriggebliebenen und Umkehr gerufen.</x:v>
      </x:c>
      <x:c r="O1202" s="36" t="str">
        <x:v>FREIGEGEBEN</x:v>
      </x:c>
      <x:c r="P1202" s="36" t="str">
        <x:v>FREIGEGEBEN</x:v>
      </x:c>
      <x:c r="Q1202" s="36" t="str">
        <x:v>JA</x:v>
      </x:c>
    </x:row>
    <x:row r="1203">
      <x:c r="A1203" s="36" t="str">
        <x:v>FP-1462</x:v>
      </x:c>
      <x:c r="B1203" s="36" t="str">
        <x:v>REV</x:v>
      </x:c>
      <x:c r="C1203" s="36" t="str">
        <x:v>Offenbarung</x:v>
      </x:c>
      <x:c r="D1203" s="36" t="n">
        <x:v>3</x:v>
      </x:c>
      <x:c r="E1203" s="36" t="n">
        <x:v>2</x:v>
      </x:c>
      <x:c r="F1203" s="36" t="str">
        <x:v>Warum wird Philadelphia trotz geringer Kraft positiv beurteilt?</x:v>
      </x:c>
      <x:c r="G1203" s="36" t="str">
        <x:v>Weil sie besonders reich geworden ist.</x:v>
      </x:c>
      <x:c r="H1203" s="36" t="str">
        <x:v>Weil sie keine Gegner hat.</x:v>
      </x:c>
      <x:c r="I1203" s="36" t="str">
        <x:v>Weil sie die anderen Gemeinden beherrscht.</x:v>
      </x:c>
      <x:c r="J1203" s="36" t="str">
        <x:v>Weil die Gemeinde Jesu Wort bewahrt und seinen Namen nicht verleugnet hat.</x:v>
      </x:c>
      <x:c r="K1203" s="36" t="n">
        <x:v>3</x:v>
      </x:c>
      <x:c r="L1203" s="36" t="str">
        <x:v>Weil die Gemeinde Jesu Wort bewahrt und seinen Namen nicht verleugnet hat.</x:v>
      </x:c>
      <x:c r="M1203" s="36" t="str">
        <x:v>Offenbarung 3,7–10</x:v>
      </x:c>
      <x:c r="N1203" s="36" t="str">
        <x:v>Die offene Tür steht vor einer Gemeinde mit wenig Kraft, deren Kennzeichen dennoch Treue zum Wort und Namen Jesu ist.</x:v>
      </x:c>
      <x:c r="O1203" s="36" t="str">
        <x:v>FREIGEGEBEN</x:v>
      </x:c>
      <x:c r="P1203" s="36" t="str">
        <x:v>FREIGEGEBEN</x:v>
      </x:c>
      <x:c r="Q1203" s="36" t="str">
        <x:v>JA</x:v>
      </x:c>
    </x:row>
    <x:row r="1204">
      <x:c r="A1204" s="36" t="str">
        <x:v>FP-1463</x:v>
      </x:c>
      <x:c r="B1204" s="36" t="str">
        <x:v>REV</x:v>
      </x:c>
      <x:c r="C1204" s="36" t="str">
        <x:v>Offenbarung</x:v>
      </x:c>
      <x:c r="D1204" s="36" t="n">
        <x:v>3</x:v>
      </x:c>
      <x:c r="E1204" s="36" t="n">
        <x:v>3</x:v>
      </x:c>
      <x:c r="F1204" s="36" t="str">
        <x:v>Was soll Philadelphia angesichts des baldigen Kommens Christi tun?</x:v>
      </x:c>
      <x:c r="G1204" s="36" t="str">
        <x:v>Festhalten, was sie hat, damit niemand ihre Krone nimmt.</x:v>
      </x:c>
      <x:c r="H1204" s="36" t="str">
        <x:v>Alle bisherigen Überzeugungen aufgeben.</x:v>
      </x:c>
      <x:c r="I1204" s="36" t="str">
        <x:v>Den Zeitpunkt seiner Ankunft berechnen.</x:v>
      </x:c>
      <x:c r="J1204" s="36" t="str">
        <x:v>Sich ausschließlich auf ihre geringe Kraft konzentrieren.</x:v>
      </x:c>
      <x:c r="K1204" s="36" t="n">
        <x:v>0</x:v>
      </x:c>
      <x:c r="L1204" s="36" t="str">
        <x:v>Festhalten, was sie hat, damit niemand ihre Krone nimmt.</x:v>
      </x:c>
      <x:c r="M1204" s="36" t="str">
        <x:v>Offenbarung 3,11–13</x:v>
      </x:c>
      <x:c r="N1204" s="36" t="str">
        <x:v>Die Zukunftsverheißung führt zu beharrlichem Festhalten und nicht zu Spekulation.</x:v>
      </x:c>
      <x:c r="O1204" s="36" t="str">
        <x:v>FREIGEGEBEN</x:v>
      </x:c>
      <x:c r="P1204" s="36" t="str">
        <x:v>FREIGEGEBEN</x:v>
      </x:c>
      <x:c r="Q1204" s="36" t="str">
        <x:v>JA</x:v>
      </x:c>
    </x:row>
    <x:row r="1205">
      <x:c r="A1205" s="36" t="str">
        <x:v>FP-1464</x:v>
      </x:c>
      <x:c r="B1205" s="36" t="str">
        <x:v>REV</x:v>
      </x:c>
      <x:c r="C1205" s="36" t="str">
        <x:v>Offenbarung</x:v>
      </x:c>
      <x:c r="D1205" s="36" t="n">
        <x:v>3</x:v>
      </x:c>
      <x:c r="E1205" s="36" t="n">
        <x:v>4</x:v>
      </x:c>
      <x:c r="F1205" s="36" t="str">
        <x:v>Wie beschreibt Jesus den geistlichen Zustand Laodizeas?</x:v>
      </x:c>
      <x:c r="G1205" s="36" t="str">
        <x:v>Kalt und offen feindlich gegenüber Jesus.</x:v>
      </x:c>
      <x:c r="H1205" s="36" t="str">
        <x:v>Lau und selbstzufrieden, obwohl die Gemeinde ihren eigentlichen Mangel nicht erkennt.</x:v>
      </x:c>
      <x:c r="I1205" s="36" t="str">
        <x:v>Heiß und ohne jeden Korrekturbedarf.</x:v>
      </x:c>
      <x:c r="J1205" s="36" t="str">
        <x:v>Arm an Besitz, aber völlig zufrieden mit Gott.</x:v>
      </x:c>
      <x:c r="K1205" s="36" t="n">
        <x:v>1</x:v>
      </x:c>
      <x:c r="L1205" s="36" t="str">
        <x:v>Lau und selbstzufrieden, obwohl die Gemeinde ihren eigentlichen Mangel nicht erkennt.</x:v>
      </x:c>
      <x:c r="M1205" s="36" t="str">
        <x:v>Offenbarung 3,14–18</x:v>
      </x:c>
      <x:c r="N1205" s="36" t="str">
        <x:v>Laodizeas Selbstbild 'reich und brauche nichts' wird der göttlichen Diagnose von Armut, Blindheit und Nacktheit gegenübergestellt.</x:v>
      </x:c>
      <x:c r="O1205" s="36" t="str">
        <x:v>FREIGEGEBEN</x:v>
      </x:c>
      <x:c r="P1205" s="36" t="str">
        <x:v>FREIGEGEBEN</x:v>
      </x:c>
      <x:c r="Q1205" s="36" t="str">
        <x:v>JA</x:v>
      </x:c>
    </x:row>
    <x:row r="1206">
      <x:c r="A1206" s="36" t="str">
        <x:v>FP-1465</x:v>
      </x:c>
      <x:c r="B1206" s="36" t="str">
        <x:v>REV</x:v>
      </x:c>
      <x:c r="C1206" s="36" t="str">
        <x:v>Offenbarung</x:v>
      </x:c>
      <x:c r="D1206" s="36" t="n">
        <x:v>3</x:v>
      </x:c>
      <x:c r="E1206" s="36" t="n">
        <x:v>5</x:v>
      </x:c>
      <x:c r="F1206" s="36" t="str">
        <x:v>Welches Bild verwendet Jesus nach seiner Aufforderung zur Umkehr in Laodizea?</x:v>
      </x:c>
      <x:c r="G1206" s="36" t="str">
        <x:v>Er schließt die Tür endgültig ohne Einladung.</x:v>
      </x:c>
      <x:c r="H1206" s="36" t="str">
        <x:v>Er verlässt die Gemeinde ohne weitere Ansprache.</x:v>
      </x:c>
      <x:c r="I1206" s="36" t="str">
        <x:v>Er steht an der Tür und klopft; wer öffnet, mit dem will er Gemeinschaft haben.</x:v>
      </x:c>
      <x:c r="J1206" s="36" t="str">
        <x:v>Er fordert die Gemeinde auf, einen neuen Tempel zu bauen.</x:v>
      </x:c>
      <x:c r="K1206" s="36" t="n">
        <x:v>2</x:v>
      </x:c>
      <x:c r="L1206" s="36" t="str">
        <x:v>Er steht an der Tür und klopft; wer öffnet, mit dem will er Gemeinschaft haben.</x:v>
      </x:c>
      <x:c r="M1206" s="36" t="str">
        <x:v>Offenbarung 3,19–21</x:v>
      </x:c>
      <x:c r="N1206" s="36" t="str">
        <x:v>Zurechtweisung und Liebe stehen zusammen; das Bild der geöffneten Tür zielt auf erneuerte Gemeinschaft.</x:v>
      </x:c>
      <x:c r="O1206" s="36" t="str">
        <x:v>FREIGEGEBEN</x:v>
      </x:c>
      <x:c r="P1206" s="36" t="str">
        <x:v>FREIGEGEBEN</x:v>
      </x:c>
      <x:c r="Q1206" s="36" t="str">
        <x:v>JA</x:v>
      </x:c>
    </x:row>
    <x:row r="1207">
      <x:c r="A1207" s="36" t="str">
        <x:v>FP-1466</x:v>
      </x:c>
      <x:c r="B1207" s="36" t="str">
        <x:v>REV</x:v>
      </x:c>
      <x:c r="C1207" s="36" t="str">
        <x:v>Offenbarung</x:v>
      </x:c>
      <x:c r="D1207" s="36" t="n">
        <x:v>4</x:v>
      </x:c>
      <x:c r="E1207" s="36" t="n">
        <x:v>1</x:v>
      </x:c>
      <x:c r="F1207" s="36" t="str">
        <x:v>Was steht im Mittelpunkt von Johannes' Vision in Offenbarung 4?</x:v>
      </x:c>
      <x:c r="G1207" s="36" t="str">
        <x:v>Ein irdischer Tempel ohne Thron.</x:v>
      </x:c>
      <x:c r="H1207" s="36" t="str">
        <x:v>Ein Schlachtfeld vor Jerusalem.</x:v>
      </x:c>
      <x:c r="I1207" s="36" t="str">
        <x:v>Eine leere Stadt aus Gold.</x:v>
      </x:c>
      <x:c r="J1207" s="36" t="str">
        <x:v>Ein Thron im Himmel mit einem, der darauf sitzt.</x:v>
      </x:c>
      <x:c r="K1207" s="36" t="n">
        <x:v>3</x:v>
      </x:c>
      <x:c r="L1207" s="36" t="str">
        <x:v>Ein Thron im Himmel mit einem, der darauf sitzt.</x:v>
      </x:c>
      <x:c r="M1207" s="36" t="str">
        <x:v>Offenbarung 4,1–3</x:v>
      </x:c>
      <x:c r="N1207" s="36" t="str">
        <x:v>Die gesamte Szene ist um Gottes Thron geordnet und bildet den Ausgangspunkt für die folgenden Visionen.</x:v>
      </x:c>
      <x:c r="O1207" s="36" t="str">
        <x:v>FREIGEGEBEN</x:v>
      </x:c>
      <x:c r="P1207" s="36" t="str">
        <x:v>FREIGEGEBEN</x:v>
      </x:c>
      <x:c r="Q1207" s="36" t="str">
        <x:v>JA</x:v>
      </x:c>
    </x:row>
    <x:row r="1208">
      <x:c r="A1208" s="36" t="str">
        <x:v>FP-1467</x:v>
      </x:c>
      <x:c r="B1208" s="36" t="str">
        <x:v>REV</x:v>
      </x:c>
      <x:c r="C1208" s="36" t="str">
        <x:v>Offenbarung</x:v>
      </x:c>
      <x:c r="D1208" s="36" t="n">
        <x:v>4</x:v>
      </x:c>
      <x:c r="E1208" s="36" t="n">
        <x:v>2</x:v>
      </x:c>
      <x:c r="F1208" s="36" t="str">
        <x:v>Wer sitzt auf den vierundzwanzig Thronen um Gottes Thron?</x:v>
      </x:c>
      <x:c r="G1208" s="36" t="str">
        <x:v>Vierundzwanzig Älteste in weißen Gewändern mit goldenen Kronen.</x:v>
      </x:c>
      <x:c r="H1208" s="36" t="str">
        <x:v>Sieben Engel mit Posaunen.</x:v>
      </x:c>
      <x:c r="I1208" s="36" t="str">
        <x:v>Zwölf Apostel und zwölf Propheten, die der Text hier ausdrücklich so nennt.</x:v>
      </x:c>
      <x:c r="J1208" s="36" t="str">
        <x:v>Vier Könige der Erde.</x:v>
      </x:c>
      <x:c r="K1208" s="36" t="n">
        <x:v>0</x:v>
      </x:c>
      <x:c r="L1208" s="36" t="str">
        <x:v>Vierundzwanzig Älteste in weißen Gewändern mit goldenen Kronen.</x:v>
      </x:c>
      <x:c r="M1208" s="36" t="str">
        <x:v>Offenbarung 4,4</x:v>
      </x:c>
      <x:c r="N1208" s="36" t="str">
        <x:v>Der Text nennt die vierundzwanzig Gestalten 'Älteste', ohne ihre Identität an dieser Stelle weiter festzulegen.</x:v>
      </x:c>
      <x:c r="O1208" s="36" t="str">
        <x:v>FREIGEGEBEN</x:v>
      </x:c>
      <x:c r="P1208" s="36" t="str">
        <x:v>FREIGEGEBEN</x:v>
      </x:c>
      <x:c r="Q1208" s="36" t="str">
        <x:v>JA</x:v>
      </x:c>
    </x:row>
    <x:row r="1209">
      <x:c r="A1209" s="36" t="str">
        <x:v>FP-1468</x:v>
      </x:c>
      <x:c r="B1209" s="36" t="str">
        <x:v>REV</x:v>
      </x:c>
      <x:c r="C1209" s="36" t="str">
        <x:v>Offenbarung</x:v>
      </x:c>
      <x:c r="D1209" s="36" t="n">
        <x:v>4</x:v>
      </x:c>
      <x:c r="E1209" s="36" t="n">
        <x:v>3</x:v>
      </x:c>
      <x:c r="F1209" s="36" t="str">
        <x:v>Was rufen die vier lebendigen Wesen Tag und Nacht?</x:v>
      </x:c>
      <x:c r="G1209" s="36" t="str">
        <x:v>Gefallen ist Babylon.</x:v>
      </x:c>
      <x:c r="H1209" s="36" t="str">
        <x:v>Heilig, heilig, heilig ist der Herr, Gott, der Allmächtige.</x:v>
      </x:c>
      <x:c r="I1209" s="36" t="str">
        <x:v>Wer ist würdig, die Schriftrolle zu öffnen?</x:v>
      </x:c>
      <x:c r="J1209" s="36" t="str">
        <x:v>Komm, Herr Jesus.</x:v>
      </x:c>
      <x:c r="K1209" s="36" t="n">
        <x:v>1</x:v>
      </x:c>
      <x:c r="L1209" s="36" t="str">
        <x:v>Heilig, heilig, heilig ist der Herr, Gott, der Allmächtige.</x:v>
      </x:c>
      <x:c r="M1209" s="36" t="str">
        <x:v>Offenbarung 4,6–8</x:v>
      </x:c>
      <x:c r="N1209" s="36" t="str">
        <x:v>Ihr unaufhörlicher Lobpreis richtet sich auf Gottes Heiligkeit, Allmacht und ewige Gegenwart.</x:v>
      </x:c>
      <x:c r="O1209" s="36" t="str">
        <x:v>FREIGEGEBEN</x:v>
      </x:c>
      <x:c r="P1209" s="36" t="str">
        <x:v>FREIGEGEBEN</x:v>
      </x:c>
      <x:c r="Q1209" s="36" t="str">
        <x:v>JA</x:v>
      </x:c>
    </x:row>
    <x:row r="1210">
      <x:c r="A1210" s="36" t="str">
        <x:v>FP-1469</x:v>
      </x:c>
      <x:c r="B1210" s="36" t="str">
        <x:v>REV</x:v>
      </x:c>
      <x:c r="C1210" s="36" t="str">
        <x:v>Offenbarung</x:v>
      </x:c>
      <x:c r="D1210" s="36" t="n">
        <x:v>4</x:v>
      </x:c>
      <x:c r="E1210" s="36" t="n">
        <x:v>4</x:v>
      </x:c>
      <x:c r="F1210" s="36" t="str">
        <x:v>Was tun die vierundzwanzig Ältesten, wenn Gott Herrlichkeit, Ehre und Dank gegeben wird?</x:v>
      </x:c>
      <x:c r="G1210" s="36" t="str">
        <x:v>Sie verlassen den Thronsaal.</x:v>
      </x:c>
      <x:c r="H1210" s="36" t="str">
        <x:v>Sie setzen ihre Kronen auf die lebendigen Wesen.</x:v>
      </x:c>
      <x:c r="I1210" s="36" t="str">
        <x:v>Sie fallen nieder und legen ihre Kronen vor dem Thron ab.</x:v>
      </x:c>
      <x:c r="J1210" s="36" t="str">
        <x:v>Sie öffnen die sieben Siegel.</x:v>
      </x:c>
      <x:c r="K1210" s="36" t="n">
        <x:v>2</x:v>
      </x:c>
      <x:c r="L1210" s="36" t="str">
        <x:v>Sie fallen nieder und legen ihre Kronen vor dem Thron ab.</x:v>
      </x:c>
      <x:c r="M1210" s="36" t="str">
        <x:v>Offenbarung 4,9–10</x:v>
      </x:c>
      <x:c r="N1210" s="36" t="str">
        <x:v>Die Ältesten antworten mit Anbetung und der symbolischen Niederlegung ihrer Kronen.</x:v>
      </x:c>
      <x:c r="O1210" s="36" t="str">
        <x:v>FREIGEGEBEN</x:v>
      </x:c>
      <x:c r="P1210" s="36" t="str">
        <x:v>FREIGEGEBEN</x:v>
      </x:c>
      <x:c r="Q1210" s="36" t="str">
        <x:v>JA</x:v>
      </x:c>
    </x:row>
    <x:row r="1211">
      <x:c r="A1211" s="36" t="str">
        <x:v>FP-1470</x:v>
      </x:c>
      <x:c r="B1211" s="36" t="str">
        <x:v>REV</x:v>
      </x:c>
      <x:c r="C1211" s="36" t="str">
        <x:v>Offenbarung</x:v>
      </x:c>
      <x:c r="D1211" s="36" t="n">
        <x:v>4</x:v>
      </x:c>
      <x:c r="E1211" s="36" t="n">
        <x:v>5</x:v>
      </x:c>
      <x:c r="F1211" s="36" t="str">
        <x:v>Warum wird Gott in Offenbarung 4 als würdig von Herrlichkeit, Ehre und Macht gepriesen?</x:v>
      </x:c>
      <x:c r="G1211" s="36" t="str">
        <x:v>Weil er nur Israel geschaffen hat.</x:v>
      </x:c>
      <x:c r="H1211" s="36" t="str">
        <x:v>Weil die Ältesten ihm ihre Macht verliehen haben.</x:v>
      </x:c>
      <x:c r="I1211" s="36" t="str">
        <x:v>Weil Engel die Welt für ihn geschaffen haben.</x:v>
      </x:c>
      <x:c r="J1211" s="36" t="str">
        <x:v>Weil er alle Dinge geschaffen hat und sie durch seinen Willen bestehen.</x:v>
      </x:c>
      <x:c r="K1211" s="36" t="n">
        <x:v>3</x:v>
      </x:c>
      <x:c r="L1211" s="36" t="str">
        <x:v>Weil er alle Dinge geschaffen hat und sie durch seinen Willen bestehen.</x:v>
      </x:c>
      <x:c r="M1211" s="36" t="str">
        <x:v>Offenbarung 4,11</x:v>
      </x:c>
      <x:c r="N1211" s="36" t="str">
        <x:v>Die Anbetung wird ausdrücklich mit Gottes Schöpfersein begründet.</x:v>
      </x:c>
      <x:c r="O1211" s="36" t="str">
        <x:v>FREIGEGEBEN</x:v>
      </x:c>
      <x:c r="P1211" s="36" t="str">
        <x:v>FREIGEGEBEN</x:v>
      </x:c>
      <x:c r="Q1211" s="36" t="str">
        <x:v>JA</x:v>
      </x:c>
    </x:row>
    <x:row r="1212">
      <x:c r="A1212" s="36" t="str">
        <x:v>FP-1471</x:v>
      </x:c>
      <x:c r="B1212" s="36" t="str">
        <x:v>REV</x:v>
      </x:c>
      <x:c r="C1212" s="36" t="str">
        <x:v>Offenbarung</x:v>
      </x:c>
      <x:c r="D1212" s="36" t="n">
        <x:v>5</x:v>
      </x:c>
      <x:c r="E1212" s="36" t="n">
        <x:v>1</x:v>
      </x:c>
      <x:c r="F1212" s="36" t="str">
        <x:v>Wie ist die Schriftrolle in der Hand dessen auf dem Thron beschrieben?</x:v>
      </x:c>
      <x:c r="G1212" s="36" t="str">
        <x:v>Auf beiden Seiten beschrieben und mit sieben Siegeln versiegelt.</x:v>
      </x:c>
      <x:c r="H1212" s="36" t="str">
        <x:v>Leer und unversiegelt.</x:v>
      </x:c>
      <x:c r="I1212" s="36" t="str">
        <x:v>Mit zwölf Siegeln verschlossen.</x:v>
      </x:c>
      <x:c r="J1212" s="36" t="str">
        <x:v>Nur mit den Namen der sieben Gemeinden beschrieben.</x:v>
      </x:c>
      <x:c r="K1212" s="36" t="n">
        <x:v>0</x:v>
      </x:c>
      <x:c r="L1212" s="36" t="str">
        <x:v>Auf beiden Seiten beschrieben und mit sieben Siegeln versiegelt.</x:v>
      </x:c>
      <x:c r="M1212" s="36" t="str">
        <x:v>Offenbarung 5,1–4</x:v>
      </x:c>
      <x:c r="N1212" s="36" t="str">
        <x:v>Die versiegelte Schriftrolle löst die Frage aus, wer würdig ist, sie zu öffnen.</x:v>
      </x:c>
      <x:c r="O1212" s="36" t="str">
        <x:v>FREIGEGEBEN</x:v>
      </x:c>
      <x:c r="P1212" s="36" t="str">
        <x:v>FREIGEGEBEN</x:v>
      </x:c>
      <x:c r="Q1212" s="36" t="str">
        <x:v>JA</x:v>
      </x:c>
    </x:row>
    <x:row r="1213">
      <x:c r="A1213" s="36" t="str">
        <x:v>FP-1472</x:v>
      </x:c>
      <x:c r="B1213" s="36" t="str">
        <x:v>REV</x:v>
      </x:c>
      <x:c r="C1213" s="36" t="str">
        <x:v>Offenbarung</x:v>
      </x:c>
      <x:c r="D1213" s="36" t="n">
        <x:v>5</x:v>
      </x:c>
      <x:c r="E1213" s="36" t="n">
        <x:v>2</x:v>
      </x:c>
      <x:c r="F1213" s="36" t="str">
        <x:v>Wen erwartet Johannes nach der Ankündigung des 'Löwen aus Juda' zu sehen, und was sieht er tatsächlich?</x:v>
      </x:c>
      <x:c r="G1213" s="36" t="str">
        <x:v>Er hört vom Lamm und sieht einen Drachen.</x:v>
      </x:c>
      <x:c r="H1213" s="36" t="str">
        <x:v>Er hört vom siegreichen Löwen und sieht ein Lamm, das wie geschlachtet dasteht.</x:v>
      </x:c>
      <x:c r="I1213" s="36" t="str">
        <x:v>Er hört von einem Engel und sieht einen König.</x:v>
      </x:c>
      <x:c r="J1213" s="36" t="str">
        <x:v>Er sieht ausschließlich einen Löwen ohne weiteres Bild.</x:v>
      </x:c>
      <x:c r="K1213" s="36" t="n">
        <x:v>1</x:v>
      </x:c>
      <x:c r="L1213" s="36" t="str">
        <x:v>Er hört vom siegreichen Löwen und sieht ein Lamm, das wie geschlachtet dasteht.</x:v>
      </x:c>
      <x:c r="M1213" s="36" t="str">
        <x:v>Offenbarung 5,5–6</x:v>
      </x:c>
      <x:c r="N1213" s="36" t="str">
        <x:v>Die Bildfolge verbindet Sieg mit dem geschlachteten Lamm und prägt die Christologie der Offenbarung.</x:v>
      </x:c>
      <x:c r="O1213" s="36" t="str">
        <x:v>FREIGEGEBEN</x:v>
      </x:c>
      <x:c r="P1213" s="36" t="str">
        <x:v>FREIGEGEBEN</x:v>
      </x:c>
      <x:c r="Q1213" s="36" t="str">
        <x:v>JA</x:v>
      </x:c>
    </x:row>
    <x:row r="1214">
      <x:c r="A1214" s="36" t="str">
        <x:v>FP-1473</x:v>
      </x:c>
      <x:c r="B1214" s="36" t="str">
        <x:v>REV</x:v>
      </x:c>
      <x:c r="C1214" s="36" t="str">
        <x:v>Offenbarung</x:v>
      </x:c>
      <x:c r="D1214" s="36" t="n">
        <x:v>5</x:v>
      </x:c>
      <x:c r="E1214" s="36" t="n">
        <x:v>3</x:v>
      </x:c>
      <x:c r="F1214" s="36" t="str">
        <x:v>Warum wird das Lamm als würdig besungen, die Schriftrolle zu öffnen?</x:v>
      </x:c>
      <x:c r="G1214" s="36" t="str">
        <x:v>Weil es die stärkste Armee besitzt.</x:v>
      </x:c>
      <x:c r="H1214" s="36" t="str">
        <x:v>Weil es die Schriftrolle selbst geschrieben hat.</x:v>
      </x:c>
      <x:c r="I1214" s="36" t="str">
        <x:v>Weil es geschlachtet wurde und mit seinem Blut Menschen für Gott aus allen Völkern erkauft hat.</x:v>
      </x:c>
      <x:c r="J1214" s="36" t="str">
        <x:v>Weil die Ältesten ihm ihre Würde übertragen haben.</x:v>
      </x:c>
      <x:c r="K1214" s="36" t="n">
        <x:v>2</x:v>
      </x:c>
      <x:c r="L1214" s="36" t="str">
        <x:v>Weil es geschlachtet wurde und mit seinem Blut Menschen für Gott aus allen Völkern erkauft hat.</x:v>
      </x:c>
      <x:c r="M1214" s="36" t="str">
        <x:v>Offenbarung 5,9–10</x:v>
      </x:c>
      <x:c r="N1214" s="36" t="str">
        <x:v>Die Würde des Lammes wird unmittelbar mit seinem Opfer und der Erlösung von Menschen aus allen Völkern begründet.</x:v>
      </x:c>
      <x:c r="O1214" s="36" t="str">
        <x:v>FREIGEGEBEN</x:v>
      </x:c>
      <x:c r="P1214" s="36" t="str">
        <x:v>FREIGEGEBEN</x:v>
      </x:c>
      <x:c r="Q1214" s="36" t="str">
        <x:v>JA</x:v>
      </x:c>
    </x:row>
    <x:row r="1215">
      <x:c r="A1215" s="36" t="str">
        <x:v>FP-1474</x:v>
      </x:c>
      <x:c r="B1215" s="36" t="str">
        <x:v>REV</x:v>
      </x:c>
      <x:c r="C1215" s="36" t="str">
        <x:v>Offenbarung</x:v>
      </x:c>
      <x:c r="D1215" s="36" t="n">
        <x:v>5</x:v>
      </x:c>
      <x:c r="E1215" s="36" t="n">
        <x:v>4</x:v>
      </x:c>
      <x:c r="F1215" s="36" t="str">
        <x:v>Was stellen die goldenen Schalen voller Räucherwerk dar?</x:v>
      </x:c>
      <x:c r="G1215" s="36" t="str">
        <x:v>Die sieben letzten Plagen.</x:v>
      </x:c>
      <x:c r="H1215" s="36" t="str">
        <x:v>Die Tränen Johannes'.</x:v>
      </x:c>
      <x:c r="I1215" s="36" t="str">
        <x:v>Die Schätze der Könige.</x:v>
      </x:c>
      <x:c r="J1215" s="36" t="str">
        <x:v>Die Gebete der Heiligen.</x:v>
      </x:c>
      <x:c r="K1215" s="36" t="n">
        <x:v>3</x:v>
      </x:c>
      <x:c r="L1215" s="36" t="str">
        <x:v>Die Gebete der Heiligen.</x:v>
      </x:c>
      <x:c r="M1215" s="36" t="str">
        <x:v>Offenbarung 5,8</x:v>
      </x:c>
      <x:c r="N1215" s="36" t="str">
        <x:v>Der Text erklärt das Symbol selbst und verbindet himmlische Anbetung mit den Gebeten des Volkes Gottes.</x:v>
      </x:c>
      <x:c r="O1215" s="36" t="str">
        <x:v>FREIGEGEBEN</x:v>
      </x:c>
      <x:c r="P1215" s="36" t="str">
        <x:v>FREIGEGEBEN</x:v>
      </x:c>
      <x:c r="Q1215" s="36" t="str">
        <x:v>JA</x:v>
      </x:c>
    </x:row>
    <x:row r="1216">
      <x:c r="A1216" s="36" t="str">
        <x:v>FP-1475</x:v>
      </x:c>
      <x:c r="B1216" s="36" t="str">
        <x:v>REV</x:v>
      </x:c>
      <x:c r="C1216" s="36" t="str">
        <x:v>Offenbarung</x:v>
      </x:c>
      <x:c r="D1216" s="36" t="n">
        <x:v>5</x:v>
      </x:c>
      <x:c r="E1216" s="36" t="n">
        <x:v>5</x:v>
      </x:c>
      <x:c r="F1216" s="36" t="str">
        <x:v>Wer stimmt am Ende des Kapitels in den Lobpreis ein?</x:v>
      </x:c>
      <x:c r="G1216" s="36" t="str">
        <x:v>Engel und schließlich jedes Geschöpf im Himmel, auf der Erde, unter der Erde und im Meer.</x:v>
      </x:c>
      <x:c r="H1216" s="36" t="str">
        <x:v>Nur die vierundzwanzig Ältesten.</x:v>
      </x:c>
      <x:c r="I1216" s="36" t="str">
        <x:v>Nur die sieben Gemeinden Kleinasiens.</x:v>
      </x:c>
      <x:c r="J1216" s="36" t="str">
        <x:v>Nur die Menschen aus Israel.</x:v>
      </x:c>
      <x:c r="K1216" s="36" t="n">
        <x:v>0</x:v>
      </x:c>
      <x:c r="L1216" s="36" t="str">
        <x:v>Engel und schließlich jedes Geschöpf im Himmel, auf der Erde, unter der Erde und im Meer.</x:v>
      </x:c>
      <x:c r="M1216" s="36" t="str">
        <x:v>Offenbarung 5,11–14</x:v>
      </x:c>
      <x:c r="N1216" s="36" t="str">
        <x:v>Der Lobpreis weitet sich konzentrisch aus und richtet sich an den auf dem Thron Sitzenden und an das Lamm.</x:v>
      </x:c>
      <x:c r="O1216" s="36" t="str">
        <x:v>FREIGEGEBEN</x:v>
      </x:c>
      <x:c r="P1216" s="36" t="str">
        <x:v>FREIGEGEBEN</x:v>
      </x:c>
      <x:c r="Q1216" s="36" t="str">
        <x:v>JA</x:v>
      </x:c>
    </x:row>
    <x:row r="1217">
      <x:c r="A1217" s="36" t="str">
        <x:v>FP-1476</x:v>
      </x:c>
      <x:c r="B1217" s="36" t="str">
        <x:v>REV</x:v>
      </x:c>
      <x:c r="C1217" s="36" t="str">
        <x:v>Offenbarung</x:v>
      </x:c>
      <x:c r="D1217" s="36" t="n">
        <x:v>6</x:v>
      </x:c>
      <x:c r="E1217" s="36" t="n">
        <x:v>1</x:v>
      </x:c>
      <x:c r="F1217" s="36" t="str">
        <x:v>Was sieht Johannes nach dem Öffnen des ersten Siegels?</x:v>
      </x:c>
      <x:c r="G1217" s="36" t="str">
        <x:v>Ein schwarzes Pferd mit einer Waage.</x:v>
      </x:c>
      <x:c r="H1217" s="36" t="str">
        <x:v>Ein weißes Pferd mit einem Reiter, der einen Bogen und eine Krone erhält und siegreich auszieht.</x:v>
      </x:c>
      <x:c r="I1217" s="36" t="str">
        <x:v>Ein rotes Pferd mit einem großen Schwert.</x:v>
      </x:c>
      <x:c r="J1217" s="36" t="str">
        <x:v>Ein fahles Pferd, dessen Reiter Tod heißt.</x:v>
      </x:c>
      <x:c r="K1217" s="36" t="n">
        <x:v>1</x:v>
      </x:c>
      <x:c r="L1217" s="36" t="str">
        <x:v>Ein weißes Pferd mit einem Reiter, der einen Bogen und eine Krone erhält und siegreich auszieht.</x:v>
      </x:c>
      <x:c r="M1217" s="36" t="str">
        <x:v>Offenbarung 6,1–2</x:v>
      </x:c>
      <x:c r="N1217" s="36" t="str">
        <x:v>Die Frage bleibt bewusst bei der Bildbeschreibung des Textes und legt die umstrittene Identität des Reiters nicht fest.</x:v>
      </x:c>
      <x:c r="O1217" s="36" t="str">
        <x:v>FREIGEGEBEN</x:v>
      </x:c>
      <x:c r="P1217" s="36" t="str">
        <x:v>FREIGEGEBEN</x:v>
      </x:c>
      <x:c r="Q1217" s="36" t="str">
        <x:v>JA</x:v>
      </x:c>
    </x:row>
    <x:row r="1218">
      <x:c r="A1218" s="36" t="str">
        <x:v>FP-1477</x:v>
      </x:c>
      <x:c r="B1218" s="36" t="str">
        <x:v>REV</x:v>
      </x:c>
      <x:c r="C1218" s="36" t="str">
        <x:v>Offenbarung</x:v>
      </x:c>
      <x:c r="D1218" s="36" t="n">
        <x:v>6</x:v>
      </x:c>
      <x:c r="E1218" s="36" t="n">
        <x:v>2</x:v>
      </x:c>
      <x:c r="F1218" s="36" t="str">
        <x:v>Welche beiden Folgen sind mit dem roten und dem schwarzen Pferd verbunden?</x:v>
      </x:c>
      <x:c r="G1218" s="36" t="str">
        <x:v>Heilung und Überfluss.</x:v>
      </x:c>
      <x:c r="H1218" s="36" t="str">
        <x:v>Auferstehung und Anbetung.</x:v>
      </x:c>
      <x:c r="I1218" s="36" t="str">
        <x:v>Gewaltsamer Verlust des Friedens und wirtschaftliche Knappheit.</x:v>
      </x:c>
      <x:c r="J1218" s="36" t="str">
        <x:v>Versiegelung und Schutz.</x:v>
      </x:c>
      <x:c r="K1218" s="36" t="n">
        <x:v>2</x:v>
      </x:c>
      <x:c r="L1218" s="36" t="str">
        <x:v>Gewaltsamer Verlust des Friedens und wirtschaftliche Knappheit.</x:v>
      </x:c>
      <x:c r="M1218" s="36" t="str">
        <x:v>Offenbarung 6,3–6</x:v>
      </x:c>
      <x:c r="N1218" s="36" t="str">
        <x:v>Der rote Reiter nimmt den Frieden, während Waage und Lebensmittelpreise beim schwarzen Reiter auf Knappheit hinweisen.</x:v>
      </x:c>
      <x:c r="O1218" s="36" t="str">
        <x:v>FREIGEGEBEN</x:v>
      </x:c>
      <x:c r="P1218" s="36" t="str">
        <x:v>FREIGEGEBEN</x:v>
      </x:c>
      <x:c r="Q1218" s="36" t="str">
        <x:v>JA</x:v>
      </x:c>
    </x:row>
    <x:row r="1219">
      <x:c r="A1219" s="36" t="str">
        <x:v>FP-1478</x:v>
      </x:c>
      <x:c r="B1219" s="36" t="str">
        <x:v>REV</x:v>
      </x:c>
      <x:c r="C1219" s="36" t="str">
        <x:v>Offenbarung</x:v>
      </x:c>
      <x:c r="D1219" s="36" t="n">
        <x:v>6</x:v>
      </x:c>
      <x:c r="E1219" s="36" t="n">
        <x:v>3</x:v>
      </x:c>
      <x:c r="F1219" s="36" t="str">
        <x:v>Wie heißt der Reiter des fahlen Pferdes?</x:v>
      </x:c>
      <x:c r="G1219" s="36" t="str">
        <x:v>Abaddon; der Abgrund folgt ihm.</x:v>
      </x:c>
      <x:c r="H1219" s="36" t="str">
        <x:v>Michael; Engel folgen ihm.</x:v>
      </x:c>
      <x:c r="I1219" s="36" t="str">
        <x:v>Antipas; Pergamon folgt ihm.</x:v>
      </x:c>
      <x:c r="J1219" s="36" t="str">
        <x:v>Tod; das Totenreich folgt ihm.</x:v>
      </x:c>
      <x:c r="K1219" s="36" t="n">
        <x:v>3</x:v>
      </x:c>
      <x:c r="L1219" s="36" t="str">
        <x:v>Tod; das Totenreich folgt ihm.</x:v>
      </x:c>
      <x:c r="M1219" s="36" t="str">
        <x:v>Offenbarung 6,7–8</x:v>
      </x:c>
      <x:c r="N1219" s="36" t="str">
        <x:v>Der Text benennt den vierten Reiter ausdrücklich als Tod und nennt das Totenreich als Begleiter.</x:v>
      </x:c>
      <x:c r="O1219" s="36" t="str">
        <x:v>FREIGEGEBEN</x:v>
      </x:c>
      <x:c r="P1219" s="36" t="str">
        <x:v>FREIGEGEBEN</x:v>
      </x:c>
      <x:c r="Q1219" s="36" t="str">
        <x:v>JA</x:v>
      </x:c>
    </x:row>
    <x:row r="1220">
      <x:c r="A1220" s="36" t="str">
        <x:v>FP-1479</x:v>
      </x:c>
      <x:c r="B1220" s="36" t="str">
        <x:v>REV</x:v>
      </x:c>
      <x:c r="C1220" s="36" t="str">
        <x:v>Offenbarung</x:v>
      </x:c>
      <x:c r="D1220" s="36" t="n">
        <x:v>6</x:v>
      </x:c>
      <x:c r="E1220" s="36" t="n">
        <x:v>4</x:v>
      </x:c>
      <x:c r="F1220" s="36" t="str">
        <x:v>Was fragen die unter dem Altar gesehenen Getöteten?</x:v>
      </x:c>
      <x:c r="G1220" s="36" t="str">
        <x:v>Wie lange es noch dauert, bis Gott richtet und ihr Blut rächt.</x:v>
      </x:c>
      <x:c r="H1220" s="36" t="str">
        <x:v>Wann sie zur Erde zurückkehren dürfen, um selbst zu kämpfen.</x:v>
      </x:c>
      <x:c r="I1220" s="36" t="str">
        <x:v>Warum die sieben Gemeinden keine Briefe mehr erhalten.</x:v>
      </x:c>
      <x:c r="J1220" s="36" t="str">
        <x:v>Wann das Lamm die Schriftrolle zurückgibt.</x:v>
      </x:c>
      <x:c r="K1220" s="36" t="n">
        <x:v>0</x:v>
      </x:c>
      <x:c r="L1220" s="36" t="str">
        <x:v>Wie lange es noch dauert, bis Gott richtet und ihr Blut rächt.</x:v>
      </x:c>
      <x:c r="M1220" s="36" t="str">
        <x:v>Offenbarung 6,9–11</x:v>
      </x:c>
      <x:c r="N1220" s="36" t="str">
        <x:v>Die Märtyrer rufen nach gerechtem Gericht, erhalten weiße Gewänder und werden zum weiteren Warten aufgefordert.</x:v>
      </x:c>
      <x:c r="O1220" s="36" t="str">
        <x:v>FREIGEGEBEN</x:v>
      </x:c>
      <x:c r="P1220" s="36" t="str">
        <x:v>FREIGEGEBEN</x:v>
      </x:c>
      <x:c r="Q1220" s="36" t="str">
        <x:v>JA</x:v>
      </x:c>
    </x:row>
    <x:row r="1221">
      <x:c r="A1221" s="36" t="str">
        <x:v>FP-1480</x:v>
      </x:c>
      <x:c r="B1221" s="36" t="str">
        <x:v>REV</x:v>
      </x:c>
      <x:c r="C1221" s="36" t="str">
        <x:v>Offenbarung</x:v>
      </x:c>
      <x:c r="D1221" s="36" t="n">
        <x:v>6</x:v>
      </x:c>
      <x:c r="E1221" s="36" t="n">
        <x:v>5</x:v>
      </x:c>
      <x:c r="F1221" s="36" t="str">
        <x:v>Wie reagieren Mächtige und einfache Menschen auf die kosmischen Erschütterungen des sechsten Siegels?</x:v>
      </x:c>
      <x:c r="G1221" s="36" t="str">
        <x:v>Sie feiern den Beginn einer neuen Regierung.</x:v>
      </x:c>
      <x:c r="H1221" s="36" t="str">
        <x:v>Sie verstecken sich und wollen vor dem Angesicht dessen auf dem Thron und vor dem Zorn des Lammes verborgen werden.</x:v>
      </x:c>
      <x:c r="I1221" s="36" t="str">
        <x:v>Sie greifen das Lamm direkt an.</x:v>
      </x:c>
      <x:c r="J1221" s="36" t="str">
        <x:v>Sie öffnen selbst das siebte Siegel.</x:v>
      </x:c>
      <x:c r="K1221" s="36" t="n">
        <x:v>1</x:v>
      </x:c>
      <x:c r="L1221" s="36" t="str">
        <x:v>Sie verstecken sich und wollen vor dem Angesicht dessen auf dem Thron und vor dem Zorn des Lammes verborgen werden.</x:v>
      </x:c>
      <x:c r="M1221" s="36" t="str">
        <x:v>Offenbarung 6,12–17</x:v>
      </x:c>
      <x:c r="N1221" s="36" t="str">
        <x:v>Die Szene endet mit der Frage, wer am großen Tag des Zorns bestehen kann.</x:v>
      </x:c>
      <x:c r="O1221" s="36" t="str">
        <x:v>FREIGEGEBEN</x:v>
      </x:c>
      <x:c r="P1221" s="36" t="str">
        <x:v>FREIGEGEBEN</x:v>
      </x:c>
      <x:c r="Q1221" s="36" t="str">
        <x:v>JA</x:v>
      </x:c>
    </x:row>
    <x:row r="1222">
      <x:c r="A1222" s="36" t="str">
        <x:v>FP-1481</x:v>
      </x:c>
      <x:c r="B1222" s="36" t="str">
        <x:v>REV</x:v>
      </x:c>
      <x:c r="C1222" s="36" t="str">
        <x:v>Offenbarung</x:v>
      </x:c>
      <x:c r="D1222" s="36" t="n">
        <x:v>7</x:v>
      </x:c>
      <x:c r="E1222" s="36" t="n">
        <x:v>1</x:v>
      </x:c>
      <x:c r="F1222" s="36" t="str">
        <x:v>Was soll geschehen, bevor Erde, Meer und Bäume Schaden erleiden?</x:v>
      </x:c>
      <x:c r="G1222" s="36" t="str">
        <x:v>Die sieben Gemeinden sollen aufgelöst werden.</x:v>
      </x:c>
      <x:c r="H1222" s="36" t="str">
        <x:v>Die vier Winde sollen dauerhaft freigelassen werden.</x:v>
      </x:c>
      <x:c r="I1222" s="36" t="str">
        <x:v>Die Diener Gottes sollen an ihren Stirnen versiegelt werden.</x:v>
      </x:c>
      <x:c r="J1222" s="36" t="str">
        <x:v>Alle Menschen sollen Jerusalem verlassen.</x:v>
      </x:c>
      <x:c r="K1222" s="36" t="n">
        <x:v>2</x:v>
      </x:c>
      <x:c r="L1222" s="36" t="str">
        <x:v>Die Diener Gottes sollen an ihren Stirnen versiegelt werden.</x:v>
      </x:c>
      <x:c r="M1222" s="36" t="str">
        <x:v>Offenbarung 7,1–3</x:v>
      </x:c>
      <x:c r="N1222" s="36" t="str">
        <x:v>Die schädigenden Winde werden zurückgehalten, bis Gottes Diener versiegelt sind.</x:v>
      </x:c>
      <x:c r="O1222" s="36" t="str">
        <x:v>FREIGEGEBEN</x:v>
      </x:c>
      <x:c r="P1222" s="36" t="str">
        <x:v>FREIGEGEBEN</x:v>
      </x:c>
      <x:c r="Q1222" s="36" t="str">
        <x:v>JA</x:v>
      </x:c>
    </x:row>
    <x:row r="1223">
      <x:c r="A1223" s="36" t="str">
        <x:v>FP-1482</x:v>
      </x:c>
      <x:c r="B1223" s="36" t="str">
        <x:v>REV</x:v>
      </x:c>
      <x:c r="C1223" s="36" t="str">
        <x:v>Offenbarung</x:v>
      </x:c>
      <x:c r="D1223" s="36" t="n">
        <x:v>7</x:v>
      </x:c>
      <x:c r="E1223" s="36" t="n">
        <x:v>2</x:v>
      </x:c>
      <x:c r="F1223" s="36" t="str">
        <x:v>Aus welcher Gruppe werden die 144.000 im ersten Teil der Vision aufgezählt?</x:v>
      </x:c>
      <x:c r="G1223" s="36" t="str">
        <x:v>Aus den sieben Gemeinden allein.</x:v>
      </x:c>
      <x:c r="H1223" s="36" t="str">
        <x:v>Aus den Königen der Erde.</x:v>
      </x:c>
      <x:c r="I1223" s="36" t="str">
        <x:v>Aus den vierundzwanzig Ältesten.</x:v>
      </x:c>
      <x:c r="J1223" s="36" t="str">
        <x:v>Aus den Stämmen der Söhne Israels.</x:v>
      </x:c>
      <x:c r="K1223" s="36" t="n">
        <x:v>3</x:v>
      </x:c>
      <x:c r="L1223" s="36" t="str">
        <x:v>Aus den Stämmen der Söhne Israels.</x:v>
      </x:c>
      <x:c r="M1223" s="36" t="str">
        <x:v>Offenbarung 7,4–8</x:v>
      </x:c>
      <x:c r="N1223" s="36" t="str">
        <x:v>Der Text zählt zwölf Gruppen zu je 12.000 aus den Stämmen Israels auf, ohne hier eine weitergehende Deutung zu erzwingen.</x:v>
      </x:c>
      <x:c r="O1223" s="36" t="str">
        <x:v>FREIGEGEBEN</x:v>
      </x:c>
      <x:c r="P1223" s="36" t="str">
        <x:v>FREIGEGEBEN</x:v>
      </x:c>
      <x:c r="Q1223" s="36" t="str">
        <x:v>JA</x:v>
      </x:c>
    </x:row>
    <x:row r="1224">
      <x:c r="A1224" s="36" t="str">
        <x:v>FP-1483</x:v>
      </x:c>
      <x:c r="B1224" s="36" t="str">
        <x:v>REV</x:v>
      </x:c>
      <x:c r="C1224" s="36" t="str">
        <x:v>Offenbarung</x:v>
      </x:c>
      <x:c r="D1224" s="36" t="n">
        <x:v>7</x:v>
      </x:c>
      <x:c r="E1224" s="36" t="n">
        <x:v>3</x:v>
      </x:c>
      <x:c r="F1224" s="36" t="str">
        <x:v>Wie wird die große Menge vor dem Thron beschrieben?</x:v>
      </x:c>
      <x:c r="G1224" s="36" t="str">
        <x:v>Als unzählbare Menge aus jeder Nation, jedem Stamm, Volk und jeder Sprache.</x:v>
      </x:c>
      <x:c r="H1224" s="36" t="str">
        <x:v>Als ausschließlich zwölf Männer.</x:v>
      </x:c>
      <x:c r="I1224" s="36" t="str">
        <x:v>Als nur aus einer einzigen Nation kommend.</x:v>
      </x:c>
      <x:c r="J1224" s="36" t="str">
        <x:v>Als Gruppe von Engeln ohne Menschen.</x:v>
      </x:c>
      <x:c r="K1224" s="36" t="n">
        <x:v>0</x:v>
      </x:c>
      <x:c r="L1224" s="36" t="str">
        <x:v>Als unzählbare Menge aus jeder Nation, jedem Stamm, Volk und jeder Sprache.</x:v>
      </x:c>
      <x:c r="M1224" s="36" t="str">
        <x:v>Offenbarung 7,9–12</x:v>
      </x:c>
      <x:c r="N1224" s="36" t="str">
        <x:v>Die zweite Vision betont die weltweite Vielfalt der Menschen vor Gott und dem Lamm.</x:v>
      </x:c>
      <x:c r="O1224" s="36" t="str">
        <x:v>FREIGEGEBEN</x:v>
      </x:c>
      <x:c r="P1224" s="36" t="str">
        <x:v>FREIGEGEBEN</x:v>
      </x:c>
      <x:c r="Q1224" s="36" t="str">
        <x:v>JA</x:v>
      </x:c>
    </x:row>
    <x:row r="1225">
      <x:c r="A1225" s="36" t="str">
        <x:v>FP-1484</x:v>
      </x:c>
      <x:c r="B1225" s="36" t="str">
        <x:v>REV</x:v>
      </x:c>
      <x:c r="C1225" s="36" t="str">
        <x:v>Offenbarung</x:v>
      </x:c>
      <x:c r="D1225" s="36" t="n">
        <x:v>7</x:v>
      </x:c>
      <x:c r="E1225" s="36" t="n">
        <x:v>4</x:v>
      </x:c>
      <x:c r="F1225" s="36" t="str">
        <x:v>Was wird über die Menschen in den weißen Gewändern gesagt?</x:v>
      </x:c>
      <x:c r="G1225" s="36" t="str">
        <x:v>Sie haben nie Bedrängnis erlebt.</x:v>
      </x:c>
      <x:c r="H1225" s="36" t="str">
        <x:v>Sie kommen aus der großen Bedrängnis und haben ihre Gewänder im Blut des Lammes weiß gemacht.</x:v>
      </x:c>
      <x:c r="I1225" s="36" t="str">
        <x:v>Sie wurden durch ihren materiellen Besitz gereinigt.</x:v>
      </x:c>
      <x:c r="J1225" s="36" t="str">
        <x:v>Sie tragen die Gewänder nur wegen ihrer Herkunft.</x:v>
      </x:c>
      <x:c r="K1225" s="36" t="n">
        <x:v>1</x:v>
      </x:c>
      <x:c r="L1225" s="36" t="str">
        <x:v>Sie kommen aus der großen Bedrängnis und haben ihre Gewänder im Blut des Lammes weiß gemacht.</x:v>
      </x:c>
      <x:c r="M1225" s="36" t="str">
        <x:v>Offenbarung 7,13–14</x:v>
      </x:c>
      <x:c r="N1225" s="36" t="str">
        <x:v>Das paradoxe Bild der im Blut weiß gewaschenen Gewänder verbindet ihre Reinheit mit dem Lamm.</x:v>
      </x:c>
      <x:c r="O1225" s="36" t="str">
        <x:v>FREIGEGEBEN</x:v>
      </x:c>
      <x:c r="P1225" s="36" t="str">
        <x:v>FREIGEGEBEN</x:v>
      </x:c>
      <x:c r="Q1225" s="36" t="str">
        <x:v>JA</x:v>
      </x:c>
    </x:row>
    <x:row r="1226">
      <x:c r="A1226" s="36" t="str">
        <x:v>FP-1485</x:v>
      </x:c>
      <x:c r="B1226" s="36" t="str">
        <x:v>REV</x:v>
      </x:c>
      <x:c r="C1226" s="36" t="str">
        <x:v>Offenbarung</x:v>
      </x:c>
      <x:c r="D1226" s="36" t="n">
        <x:v>7</x:v>
      </x:c>
      <x:c r="E1226" s="36" t="n">
        <x:v>5</x:v>
      </x:c>
      <x:c r="F1226" s="36" t="str">
        <x:v>Welche Hoffnung bildet den Abschluss von Offenbarung 7?</x:v>
      </x:c>
      <x:c r="G1226" s="36" t="str">
        <x:v>Sie werden dauerhaft Hunger und Durst leiden.</x:v>
      </x:c>
      <x:c r="H1226" s="36" t="str">
        <x:v>Sie werden den Thron nie sehen.</x:v>
      </x:c>
      <x:c r="I1226" s="36" t="str">
        <x:v>Das Lamm wird sie weiden und zu Wasser des Lebens führen, und Gott wird jede Träne abwischen.</x:v>
      </x:c>
      <x:c r="J1226" s="36" t="str">
        <x:v>Sie müssen zu den sieben Gemeinden zurückkehren.</x:v>
      </x:c>
      <x:c r="K1226" s="36" t="n">
        <x:v>2</x:v>
      </x:c>
      <x:c r="L1226" s="36" t="str">
        <x:v>Das Lamm wird sie weiden und zu Wasser des Lebens führen, und Gott wird jede Träne abwischen.</x:v>
      </x:c>
      <x:c r="M1226" s="36" t="str">
        <x:v>Offenbarung 7,15–17</x:v>
      </x:c>
      <x:c r="N1226" s="36" t="str">
        <x:v>Die Szene endet mit Schutz, Versorgung, Führung durch das Lamm und der Beseitigung von Tränen.</x:v>
      </x:c>
      <x:c r="O1226" s="36" t="str">
        <x:v>FREIGEGEBEN</x:v>
      </x:c>
      <x:c r="P1226" s="36" t="str">
        <x:v>FREIGEGEBEN</x:v>
      </x:c>
      <x:c r="Q1226" s="36" t="str">
        <x:v>JA</x:v>
      </x:c>
    </x:row>
    <x:row r="1227">
      <x:c r="A1227" s="36" t="str">
        <x:v>FP-1486</x:v>
      </x:c>
      <x:c r="B1227" s="36" t="str">
        <x:v>REV</x:v>
      </x:c>
      <x:c r="C1227" s="36" t="str">
        <x:v>Offenbarung</x:v>
      </x:c>
      <x:c r="D1227" s="36" t="n">
        <x:v>8</x:v>
      </x:c>
      <x:c r="E1227" s="36" t="n">
        <x:v>1</x:v>
      </x:c>
      <x:c r="F1227" s="36" t="str">
        <x:v>Was geschieht unmittelbar nach dem Öffnen des siebten Siegels?</x:v>
      </x:c>
      <x:c r="G1227" s="36" t="str">
        <x:v>Alle sieben Posaunen werden gleichzeitig geblasen.</x:v>
      </x:c>
      <x:c r="H1227" s="36" t="str">
        <x:v>Babylon fällt sofort.</x:v>
      </x:c>
      <x:c r="I1227" s="36" t="str">
        <x:v>Der Drache wird in den Abgrund geworfen.</x:v>
      </x:c>
      <x:c r="J1227" s="36" t="str">
        <x:v>Im Himmel entsteht etwa eine halbe Stunde Stille.</x:v>
      </x:c>
      <x:c r="K1227" s="36" t="n">
        <x:v>3</x:v>
      </x:c>
      <x:c r="L1227" s="36" t="str">
        <x:v>Im Himmel entsteht etwa eine halbe Stunde Stille.</x:v>
      </x:c>
      <x:c r="M1227" s="36" t="str">
        <x:v>Offenbarung 8,1–2</x:v>
      </x:c>
      <x:c r="N1227" s="36" t="str">
        <x:v>Die unerwartete Stille geht der Einführung der sieben Posaunen voraus.</x:v>
      </x:c>
      <x:c r="O1227" s="36" t="str">
        <x:v>FREIGEGEBEN</x:v>
      </x:c>
      <x:c r="P1227" s="36" t="str">
        <x:v>FREIGEGEBEN</x:v>
      </x:c>
      <x:c r="Q1227" s="36" t="str">
        <x:v>JA</x:v>
      </x:c>
    </x:row>
    <x:row r="1228">
      <x:c r="A1228" s="36" t="str">
        <x:v>FP-1487</x:v>
      </x:c>
      <x:c r="B1228" s="36" t="str">
        <x:v>REV</x:v>
      </x:c>
      <x:c r="C1228" s="36" t="str">
        <x:v>Offenbarung</x:v>
      </x:c>
      <x:c r="D1228" s="36" t="n">
        <x:v>8</x:v>
      </x:c>
      <x:c r="E1228" s="36" t="n">
        <x:v>2</x:v>
      </x:c>
      <x:c r="F1228" s="36" t="str">
        <x:v>Womit steigt der Weihrauch vor Gott empor?</x:v>
      </x:c>
      <x:c r="G1228" s="36" t="str">
        <x:v>Mit den Gebeten der Heiligen.</x:v>
      </x:c>
      <x:c r="H1228" s="36" t="str">
        <x:v>Mit den Klagen der Kaufleute Babylons.</x:v>
      </x:c>
      <x:c r="I1228" s="36" t="str">
        <x:v>Mit dem Blut der vier Pferde.</x:v>
      </x:c>
      <x:c r="J1228" s="36" t="str">
        <x:v>Mit den Namen der Könige.</x:v>
      </x:c>
      <x:c r="K1228" s="36" t="n">
        <x:v>0</x:v>
      </x:c>
      <x:c r="L1228" s="36" t="str">
        <x:v>Mit den Gebeten der Heiligen.</x:v>
      </x:c>
      <x:c r="M1228" s="36" t="str">
        <x:v>Offenbarung 8,3–5</x:v>
      </x:c>
      <x:c r="N1228" s="36" t="str">
        <x:v>Wie zuvor in Kapitel 5 werden die Gebete des Volkes Gottes in die himmlische Szene einbezogen.</x:v>
      </x:c>
      <x:c r="O1228" s="36" t="str">
        <x:v>FREIGEGEBEN</x:v>
      </x:c>
      <x:c r="P1228" s="36" t="str">
        <x:v>FREIGEGEBEN</x:v>
      </x:c>
      <x:c r="Q1228" s="36" t="str">
        <x:v>JA</x:v>
      </x:c>
    </x:row>
    <x:row r="1229">
      <x:c r="A1229" s="36" t="str">
        <x:v>FP-1488</x:v>
      </x:c>
      <x:c r="B1229" s="36" t="str">
        <x:v>REV</x:v>
      </x:c>
      <x:c r="C1229" s="36" t="str">
        <x:v>Offenbarung</x:v>
      </x:c>
      <x:c r="D1229" s="36" t="n">
        <x:v>8</x:v>
      </x:c>
      <x:c r="E1229" s="36" t="n">
        <x:v>3</x:v>
      </x:c>
      <x:c r="F1229" s="36" t="str">
        <x:v>Welche Folgen hat die erste Posaune?</x:v>
      </x:c>
      <x:c r="G1229" s="36" t="str">
        <x:v>Das Meer wird vollständig zu Blut.</x:v>
      </x:c>
      <x:c r="H1229" s="36" t="str">
        <x:v>Hagel und Feuer mit Blut treffen die Erde, sodass ein Drittel der Erde und Bäume verbrennt und das grüne Gras betroffen ist.</x:v>
      </x:c>
      <x:c r="I1229" s="36" t="str">
        <x:v>Der Euphrat trocknet aus.</x:v>
      </x:c>
      <x:c r="J1229" s="36" t="str">
        <x:v>Der Abgrund wird geöffnet.</x:v>
      </x:c>
      <x:c r="K1229" s="36" t="n">
        <x:v>1</x:v>
      </x:c>
      <x:c r="L1229" s="36" t="str">
        <x:v>Hagel und Feuer mit Blut treffen die Erde, sodass ein Drittel der Erde und Bäume verbrennt und das grüne Gras betroffen ist.</x:v>
      </x:c>
      <x:c r="M1229" s="36" t="str">
        <x:v>Offenbarung 8,6–7</x:v>
      </x:c>
      <x:c r="N1229" s="36" t="str">
        <x:v>Die erste Posaune trifft vor allem Land und Vegetation.</x:v>
      </x:c>
      <x:c r="O1229" s="36" t="str">
        <x:v>FREIGEGEBEN</x:v>
      </x:c>
      <x:c r="P1229" s="36" t="str">
        <x:v>FREIGEGEBEN</x:v>
      </x:c>
      <x:c r="Q1229" s="36" t="str">
        <x:v>JA</x:v>
      </x:c>
    </x:row>
    <x:row r="1230">
      <x:c r="A1230" s="36" t="str">
        <x:v>FP-1489</x:v>
      </x:c>
      <x:c r="B1230" s="36" t="str">
        <x:v>REV</x:v>
      </x:c>
      <x:c r="C1230" s="36" t="str">
        <x:v>Offenbarung</x:v>
      </x:c>
      <x:c r="D1230" s="36" t="n">
        <x:v>8</x:v>
      </x:c>
      <x:c r="E1230" s="36" t="n">
        <x:v>4</x:v>
      </x:c>
      <x:c r="F1230" s="36" t="str">
        <x:v>Wie heißt der große Stern, der bei der dritten Posaune auf Gewässer fällt?</x:v>
      </x:c>
      <x:c r="G1230" s="36" t="str">
        <x:v>Abaddon.</x:v>
      </x:c>
      <x:c r="H1230" s="36" t="str">
        <x:v>Babylon.</x:v>
      </x:c>
      <x:c r="I1230" s="36" t="str">
        <x:v>Wermut.</x:v>
      </x:c>
      <x:c r="J1230" s="36" t="str">
        <x:v>Morgenstern.</x:v>
      </x:c>
      <x:c r="K1230" s="36" t="n">
        <x:v>2</x:v>
      </x:c>
      <x:c r="L1230" s="36" t="str">
        <x:v>Wermut.</x:v>
      </x:c>
      <x:c r="M1230" s="36" t="str">
        <x:v>Offenbarung 8,10–11</x:v>
      </x:c>
      <x:c r="N1230" s="36" t="str">
        <x:v>Der Stern Wermut macht einen Teil der Wasser bitter, woran Menschen sterben.</x:v>
      </x:c>
      <x:c r="O1230" s="36" t="str">
        <x:v>FREIGEGEBEN</x:v>
      </x:c>
      <x:c r="P1230" s="36" t="str">
        <x:v>FREIGEGEBEN</x:v>
      </x:c>
      <x:c r="Q1230" s="36" t="str">
        <x:v>JA</x:v>
      </x:c>
    </x:row>
    <x:row r="1231">
      <x:c r="A1231" s="36" t="str">
        <x:v>FP-1490</x:v>
      </x:c>
      <x:c r="B1231" s="36" t="str">
        <x:v>REV</x:v>
      </x:c>
      <x:c r="C1231" s="36" t="str">
        <x:v>Offenbarung</x:v>
      </x:c>
      <x:c r="D1231" s="36" t="n">
        <x:v>8</x:v>
      </x:c>
      <x:c r="E1231" s="36" t="n">
        <x:v>5</x:v>
      </x:c>
      <x:c r="F1231" s="36" t="str">
        <x:v>Was kündigt der fliegende Adler nach der vierten Posaune an?</x:v>
      </x:c>
      <x:c r="G1231" s="36" t="str">
        <x:v>Das Ende aller Gerichte.</x:v>
      </x:c>
      <x:c r="H1231" s="36" t="str">
        <x:v>Die Hochzeit des Lammes.</x:v>
      </x:c>
      <x:c r="I1231" s="36" t="str">
        <x:v>Die sofortige Erschaffung der neuen Erde.</x:v>
      </x:c>
      <x:c r="J1231" s="36" t="str">
        <x:v>Drei Weherufe wegen der noch kommenden Posaunen.</x:v>
      </x:c>
      <x:c r="K1231" s="36" t="n">
        <x:v>3</x:v>
      </x:c>
      <x:c r="L1231" s="36" t="str">
        <x:v>Drei Weherufe wegen der noch kommenden Posaunen.</x:v>
      </x:c>
      <x:c r="M1231" s="36" t="str">
        <x:v>Offenbarung 8,12–13</x:v>
      </x:c>
      <x:c r="N1231" s="36" t="str">
        <x:v>Nach den ersten vier Posaunen steigert der dreifache Weheruf die Spannung auf die verbleibenden drei.</x:v>
      </x:c>
      <x:c r="O1231" s="36" t="str">
        <x:v>FREIGEGEBEN</x:v>
      </x:c>
      <x:c r="P1231" s="36" t="str">
        <x:v>FREIGEGEBEN</x:v>
      </x:c>
      <x:c r="Q1231" s="36" t="str">
        <x:v>JA</x:v>
      </x:c>
    </x:row>
    <x:row r="1232">
      <x:c r="A1232" s="36" t="str">
        <x:v>FP-1491</x:v>
      </x:c>
      <x:c r="B1232" s="36" t="str">
        <x:v>REV</x:v>
      </x:c>
      <x:c r="C1232" s="36" t="str">
        <x:v>Offenbarung</x:v>
      </x:c>
      <x:c r="D1232" s="36" t="n">
        <x:v>9</x:v>
      </x:c>
      <x:c r="E1232" s="36" t="n">
        <x:v>1</x:v>
      </x:c>
      <x:c r="F1232" s="36" t="str">
        <x:v>Wen dürfen die aus dem Abgrund kommenden Heuschrecken angreifen?</x:v>
      </x:c>
      <x:c r="G1232" s="36" t="str">
        <x:v>Menschen, die das Siegel Gottes nicht auf der Stirn haben.</x:v>
      </x:c>
      <x:c r="H1232" s="36" t="str">
        <x:v>Alle grünen Pflanzen und Bäume.</x:v>
      </x:c>
      <x:c r="I1232" s="36" t="str">
        <x:v>Nur die vierundzwanzig Ältesten.</x:v>
      </x:c>
      <x:c r="J1232" s="36" t="str">
        <x:v>Ausschließlich die sieben Engel.</x:v>
      </x:c>
      <x:c r="K1232" s="36" t="n">
        <x:v>0</x:v>
      </x:c>
      <x:c r="L1232" s="36" t="str">
        <x:v>Menschen, die das Siegel Gottes nicht auf der Stirn haben.</x:v>
      </x:c>
      <x:c r="M1232" s="36" t="str">
        <x:v>Offenbarung 9,1–5</x:v>
      </x:c>
      <x:c r="N1232" s="36" t="str">
        <x:v>Den Heuschrecken wird ausdrücklich verboten, Pflanzen zu beschädigen; ihre begrenzte Macht richtet sich gegen nicht versiegelte Menschen.</x:v>
      </x:c>
      <x:c r="O1232" s="36" t="str">
        <x:v>FREIGEGEBEN</x:v>
      </x:c>
      <x:c r="P1232" s="36" t="str">
        <x:v>FREIGEGEBEN</x:v>
      </x:c>
      <x:c r="Q1232" s="36" t="str">
        <x:v>JA</x:v>
      </x:c>
    </x:row>
    <x:row r="1233">
      <x:c r="A1233" s="36" t="str">
        <x:v>FP-1492</x:v>
      </x:c>
      <x:c r="B1233" s="36" t="str">
        <x:v>REV</x:v>
      </x:c>
      <x:c r="C1233" s="36" t="str">
        <x:v>Offenbarung</x:v>
      </x:c>
      <x:c r="D1233" s="36" t="n">
        <x:v>9</x:v>
      </x:c>
      <x:c r="E1233" s="36" t="n">
        <x:v>2</x:v>
      </x:c>
      <x:c r="F1233" s="36" t="str">
        <x:v>Welche Grenze wird der Qual durch die Heuschrecken gesetzt?</x:v>
      </x:c>
      <x:c r="G1233" s="36" t="str">
        <x:v>Sie dürfen nur fünf Tage wirken.</x:v>
      </x:c>
      <x:c r="H1233" s="36" t="str">
        <x:v>Sie dürfen fünf Monate quälen, aber nicht töten.</x:v>
      </x:c>
      <x:c r="I1233" s="36" t="str">
        <x:v>Sie dürfen die ganze Menschheit töten.</x:v>
      </x:c>
      <x:c r="J1233" s="36" t="str">
        <x:v>Sie dürfen ausschließlich Wasser vergiften.</x:v>
      </x:c>
      <x:c r="K1233" s="36" t="n">
        <x:v>1</x:v>
      </x:c>
      <x:c r="L1233" s="36" t="str">
        <x:v>Sie dürfen fünf Monate quälen, aber nicht töten.</x:v>
      </x:c>
      <x:c r="M1233" s="36" t="str">
        <x:v>Offenbarung 9,5–10</x:v>
      </x:c>
      <x:c r="N1233" s="36" t="str">
        <x:v>Die Macht der Plage ist schwer, aber zeitlich und hinsichtlich des Tötens begrenzt.</x:v>
      </x:c>
      <x:c r="O1233" s="36" t="str">
        <x:v>FREIGEGEBEN</x:v>
      </x:c>
      <x:c r="P1233" s="36" t="str">
        <x:v>FREIGEGEBEN</x:v>
      </x:c>
      <x:c r="Q1233" s="36" t="str">
        <x:v>JA</x:v>
      </x:c>
    </x:row>
    <x:row r="1234">
      <x:c r="A1234" s="36" t="str">
        <x:v>FP-1493</x:v>
      </x:c>
      <x:c r="B1234" s="36" t="str">
        <x:v>REV</x:v>
      </x:c>
      <x:c r="C1234" s="36" t="str">
        <x:v>Offenbarung</x:v>
      </x:c>
      <x:c r="D1234" s="36" t="n">
        <x:v>9</x:v>
      </x:c>
      <x:c r="E1234" s="36" t="n">
        <x:v>3</x:v>
      </x:c>
      <x:c r="F1234" s="36" t="str">
        <x:v>Wie heißt der König über die Heuschrecken?</x:v>
      </x:c>
      <x:c r="G1234" s="36" t="str">
        <x:v>Michael und Gabriel.</x:v>
      </x:c>
      <x:c r="H1234" s="36" t="str">
        <x:v>Gog und Magog.</x:v>
      </x:c>
      <x:c r="I1234" s="36" t="str">
        <x:v>Abaddon auf Hebräisch und Apollyon auf Griechisch.</x:v>
      </x:c>
      <x:c r="J1234" s="36" t="str">
        <x:v>Bileam und Balak.</x:v>
      </x:c>
      <x:c r="K1234" s="36" t="n">
        <x:v>2</x:v>
      </x:c>
      <x:c r="L1234" s="36" t="str">
        <x:v>Abaddon auf Hebräisch und Apollyon auf Griechisch.</x:v>
      </x:c>
      <x:c r="M1234" s="36" t="str">
        <x:v>Offenbarung 9,11</x:v>
      </x:c>
      <x:c r="N1234" s="36" t="str">
        <x:v>Der Text nennt beide Sprachformen des Namens für den Engel des Abgrunds.</x:v>
      </x:c>
      <x:c r="O1234" s="36" t="str">
        <x:v>FREIGEGEBEN</x:v>
      </x:c>
      <x:c r="P1234" s="36" t="str">
        <x:v>FREIGEGEBEN</x:v>
      </x:c>
      <x:c r="Q1234" s="36" t="str">
        <x:v>JA</x:v>
      </x:c>
    </x:row>
    <x:row r="1235">
      <x:c r="A1235" s="36" t="str">
        <x:v>FP-1494</x:v>
      </x:c>
      <x:c r="B1235" s="36" t="str">
        <x:v>REV</x:v>
      </x:c>
      <x:c r="C1235" s="36" t="str">
        <x:v>Offenbarung</x:v>
      </x:c>
      <x:c r="D1235" s="36" t="n">
        <x:v>9</x:v>
      </x:c>
      <x:c r="E1235" s="36" t="n">
        <x:v>4</x:v>
      </x:c>
      <x:c r="F1235" s="36" t="str">
        <x:v>Was geschieht nach der sechsten Posaune mit den vier Engeln am Euphrat?</x:v>
      </x:c>
      <x:c r="G1235" s="36" t="str">
        <x:v>Sie werden für immer stärker gebunden.</x:v>
      </x:c>
      <x:c r="H1235" s="36" t="str">
        <x:v>Sie werden zu den sieben Gemeinden gesandt.</x:v>
      </x:c>
      <x:c r="I1235" s="36" t="str">
        <x:v>Sie beginnen die Hochzeit des Lammes.</x:v>
      </x:c>
      <x:c r="J1235" s="36" t="str">
        <x:v>Sie werden freigelassen, und eine gewaltige Reiterheeres-Vision folgt.</x:v>
      </x:c>
      <x:c r="K1235" s="36" t="n">
        <x:v>3</x:v>
      </x:c>
      <x:c r="L1235" s="36" t="str">
        <x:v>Sie werden freigelassen, und eine gewaltige Reiterheeres-Vision folgt.</x:v>
      </x:c>
      <x:c r="M1235" s="36" t="str">
        <x:v>Offenbarung 9,13–19</x:v>
      </x:c>
      <x:c r="N1235" s="36" t="str">
        <x:v>Die sechste Posaune setzt eine weitere Gerichtsvision in Gang, die mit den vier gebundenen Engeln und einer riesigen Reiterschar verbunden ist.</x:v>
      </x:c>
      <x:c r="O1235" s="36" t="str">
        <x:v>FREIGEGEBEN</x:v>
      </x:c>
      <x:c r="P1235" s="36" t="str">
        <x:v>FREIGEGEBEN</x:v>
      </x:c>
      <x:c r="Q1235" s="36" t="str">
        <x:v>JA</x:v>
      </x:c>
    </x:row>
    <x:row r="1236">
      <x:c r="A1236" s="36" t="str">
        <x:v>FP-1495</x:v>
      </x:c>
      <x:c r="B1236" s="36" t="str">
        <x:v>REV</x:v>
      </x:c>
      <x:c r="C1236" s="36" t="str">
        <x:v>Offenbarung</x:v>
      </x:c>
      <x:c r="D1236" s="36" t="n">
        <x:v>9</x:v>
      </x:c>
      <x:c r="E1236" s="36" t="n">
        <x:v>5</x:v>
      </x:c>
      <x:c r="F1236" s="36" t="str">
        <x:v>Wie reagieren die Überlebenden auf die schweren Plagen?</x:v>
      </x:c>
      <x:c r="G1236" s="36" t="str">
        <x:v>Sie kehren dennoch nicht von Götzendienst, Mord, Zauberei, Unmoral und Diebstahl um.</x:v>
      </x:c>
      <x:c r="H1236" s="36" t="str">
        <x:v>Sie tun geschlossen Buße.</x:v>
      </x:c>
      <x:c r="I1236" s="36" t="str">
        <x:v>Sie beginnen sofort Gott anzubeten.</x:v>
      </x:c>
      <x:c r="J1236" s="36" t="str">
        <x:v>Sie bitten Johannes, die Vision zu beenden.</x:v>
      </x:c>
      <x:c r="K1236" s="36" t="n">
        <x:v>0</x:v>
      </x:c>
      <x:c r="L1236" s="36" t="str">
        <x:v>Sie kehren dennoch nicht von Götzendienst, Mord, Zauberei, Unmoral und Diebstahl um.</x:v>
      </x:c>
      <x:c r="M1236" s="36" t="str">
        <x:v>Offenbarung 9,20–21</x:v>
      </x:c>
      <x:c r="N1236" s="36" t="str">
        <x:v>Der Abschluss betont nicht nur das Gericht, sondern die fortgesetzte Weigerung zur Umkehr.</x:v>
      </x:c>
      <x:c r="O1236" s="36" t="str">
        <x:v>FREIGEGEBEN</x:v>
      </x:c>
      <x:c r="P1236" s="36" t="str">
        <x:v>FREIGEGEBEN</x:v>
      </x:c>
      <x:c r="Q1236" s="36" t="str">
        <x:v>JA</x:v>
      </x:c>
    </x:row>
    <x:row r="1237">
      <x:c r="A1237" s="36" t="str">
        <x:v>FP-1496</x:v>
      </x:c>
      <x:c r="B1237" s="36" t="str">
        <x:v>REV</x:v>
      </x:c>
      <x:c r="C1237" s="36" t="str">
        <x:v>Offenbarung</x:v>
      </x:c>
      <x:c r="D1237" s="36" t="n">
        <x:v>10</x:v>
      </x:c>
      <x:c r="E1237" s="36" t="n">
        <x:v>1</x:v>
      </x:c>
      <x:c r="F1237" s="36" t="str">
        <x:v>Wie steht der mächtige Engel mit der kleinen offenen Schriftrolle?</x:v>
      </x:c>
      <x:c r="G1237" s="36" t="str">
        <x:v>Mit beiden Füßen vor dem Thron.</x:v>
      </x:c>
      <x:c r="H1237" s="36" t="str">
        <x:v>Mit einem Fuß auf dem Meer und einem auf dem Land.</x:v>
      </x:c>
      <x:c r="I1237" s="36" t="str">
        <x:v>Auf dem Berg Zion neben dem Lamm.</x:v>
      </x:c>
      <x:c r="J1237" s="36" t="str">
        <x:v>Im Tempel neben der Bundeslade.</x:v>
      </x:c>
      <x:c r="K1237" s="36" t="n">
        <x:v>1</x:v>
      </x:c>
      <x:c r="L1237" s="36" t="str">
        <x:v>Mit einem Fuß auf dem Meer und einem auf dem Land.</x:v>
      </x:c>
      <x:c r="M1237" s="36" t="str">
        <x:v>Offenbarung 10,1–2</x:v>
      </x:c>
      <x:c r="N1237" s="36" t="str">
        <x:v>Die Haltung des Engels unterstreicht die weltumspannende Dimension der folgenden Botschaft.</x:v>
      </x:c>
      <x:c r="O1237" s="36" t="str">
        <x:v>FREIGEGEBEN</x:v>
      </x:c>
      <x:c r="P1237" s="36" t="str">
        <x:v>FREIGEGEBEN</x:v>
      </x:c>
      <x:c r="Q1237" s="36" t="str">
        <x:v>JA</x:v>
      </x:c>
    </x:row>
    <x:row r="1238">
      <x:c r="A1238" s="36" t="str">
        <x:v>FP-1497</x:v>
      </x:c>
      <x:c r="B1238" s="36" t="str">
        <x:v>REV</x:v>
      </x:c>
      <x:c r="C1238" s="36" t="str">
        <x:v>Offenbarung</x:v>
      </x:c>
      <x:c r="D1238" s="36" t="n">
        <x:v>10</x:v>
      </x:c>
      <x:c r="E1238" s="36" t="n">
        <x:v>2</x:v>
      </x:c>
      <x:c r="F1238" s="36" t="str">
        <x:v>Was soll Johannes mit dem Gesagten der sieben Donner tun?</x:v>
      </x:c>
      <x:c r="G1238" s="36" t="str">
        <x:v>Es sofort an die sieben Gemeinden senden.</x:v>
      </x:c>
      <x:c r="H1238" s="36" t="str">
        <x:v>Es auf die kleine Schriftrolle schreiben.</x:v>
      </x:c>
      <x:c r="I1238" s="36" t="str">
        <x:v>Es versiegeln und nicht aufschreiben.</x:v>
      </x:c>
      <x:c r="J1238" s="36" t="str">
        <x:v>Es nur dem Tier mitteilen.</x:v>
      </x:c>
      <x:c r="K1238" s="36" t="n">
        <x:v>2</x:v>
      </x:c>
      <x:c r="L1238" s="36" t="str">
        <x:v>Es versiegeln und nicht aufschreiben.</x:v>
      </x:c>
      <x:c r="M1238" s="36" t="str">
        <x:v>Offenbarung 10,3–4</x:v>
      </x:c>
      <x:c r="N1238" s="36" t="str">
        <x:v>Nicht alles, was Johannes hört, darf er weitergeben; diese Worte bleiben ausdrücklich versiegelt.</x:v>
      </x:c>
      <x:c r="O1238" s="36" t="str">
        <x:v>FREIGEGEBEN</x:v>
      </x:c>
      <x:c r="P1238" s="36" t="str">
        <x:v>FREIGEGEBEN</x:v>
      </x:c>
      <x:c r="Q1238" s="36" t="str">
        <x:v>JA</x:v>
      </x:c>
    </x:row>
    <x:row r="1239">
      <x:c r="A1239" s="36" t="str">
        <x:v>FP-1498</x:v>
      </x:c>
      <x:c r="B1239" s="36" t="str">
        <x:v>REV</x:v>
      </x:c>
      <x:c r="C1239" s="36" t="str">
        <x:v>Offenbarung</x:v>
      </x:c>
      <x:c r="D1239" s="36" t="n">
        <x:v>10</x:v>
      </x:c>
      <x:c r="E1239" s="36" t="n">
        <x:v>3</x:v>
      </x:c>
      <x:c r="F1239" s="36" t="str">
        <x:v>Wann soll nach dem Schwur des Engels das Geheimnis Gottes vollendet werden?</x:v>
      </x:c>
      <x:c r="G1239" s="36" t="str">
        <x:v>Beim ersten Siegel.</x:v>
      </x:c>
      <x:c r="H1239" s="36" t="str">
        <x:v>Erst nach dem neuen Jerusalem.</x:v>
      </x:c>
      <x:c r="I1239" s="36" t="str">
        <x:v>Vor der Botschaft an Ephesus.</x:v>
      </x:c>
      <x:c r="J1239" s="36" t="str">
        <x:v>In den Tagen, wenn der siebte Engel seine Posaune bläst.</x:v>
      </x:c>
      <x:c r="K1239" s="36" t="n">
        <x:v>3</x:v>
      </x:c>
      <x:c r="L1239" s="36" t="str">
        <x:v>In den Tagen, wenn der siebte Engel seine Posaune bläst.</x:v>
      </x:c>
      <x:c r="M1239" s="36" t="str">
        <x:v>Offenbarung 10,5–7</x:v>
      </x:c>
      <x:c r="N1239" s="36" t="str">
        <x:v>Der Engel verbindet das Ende der Verzögerung mit der siebten Posaune und dem von den Propheten angekündigten Geheimnis Gottes.</x:v>
      </x:c>
      <x:c r="O1239" s="36" t="str">
        <x:v>FREIGEGEBEN</x:v>
      </x:c>
      <x:c r="P1239" s="36" t="str">
        <x:v>FREIGEGEBEN</x:v>
      </x:c>
      <x:c r="Q1239" s="36" t="str">
        <x:v>JA</x:v>
      </x:c>
    </x:row>
    <x:row r="1240">
      <x:c r="A1240" s="36" t="str">
        <x:v>FP-1499</x:v>
      </x:c>
      <x:c r="B1240" s="36" t="str">
        <x:v>REV</x:v>
      </x:c>
      <x:c r="C1240" s="36" t="str">
        <x:v>Offenbarung</x:v>
      </x:c>
      <x:c r="D1240" s="36" t="n">
        <x:v>10</x:v>
      </x:c>
      <x:c r="E1240" s="36" t="n">
        <x:v>4</x:v>
      </x:c>
      <x:c r="F1240" s="36" t="str">
        <x:v>Wie erlebt Johannes das Essen der kleinen Schriftrolle?</x:v>
      </x:c>
      <x:c r="G1240" s="36" t="str">
        <x:v>Im Mund süß wie Honig, im Magen bitter.</x:v>
      </x:c>
      <x:c r="H1240" s="36" t="str">
        <x:v>Im Mund bitter und im Magen süß.</x:v>
      </x:c>
      <x:c r="I1240" s="36" t="str">
        <x:v>Geschmacklos und ohne Wirkung.</x:v>
      </x:c>
      <x:c r="J1240" s="36" t="str">
        <x:v>Sie wird ihm verboten zu essen.</x:v>
      </x:c>
      <x:c r="K1240" s="36" t="n">
        <x:v>0</x:v>
      </x:c>
      <x:c r="L1240" s="36" t="str">
        <x:v>Im Mund süß wie Honig, im Magen bitter.</x:v>
      </x:c>
      <x:c r="M1240" s="36" t="str">
        <x:v>Offenbarung 10,8–10</x:v>
      </x:c>
      <x:c r="N1240" s="36" t="str">
        <x:v>Das Bild verbindet die Süße der empfangenen Botschaft mit der Bitterkeit ihres prophetischen Inhalts.</x:v>
      </x:c>
      <x:c r="O1240" s="36" t="str">
        <x:v>FREIGEGEBEN</x:v>
      </x:c>
      <x:c r="P1240" s="36" t="str">
        <x:v>FREIGEGEBEN</x:v>
      </x:c>
      <x:c r="Q1240" s="36" t="str">
        <x:v>JA</x:v>
      </x:c>
    </x:row>
    <x:row r="1241">
      <x:c r="A1241" s="36" t="str">
        <x:v>FP-1500</x:v>
      </x:c>
      <x:c r="B1241" s="36" t="str">
        <x:v>REV</x:v>
      </x:c>
      <x:c r="C1241" s="36" t="str">
        <x:v>Offenbarung</x:v>
      </x:c>
      <x:c r="D1241" s="36" t="n">
        <x:v>10</x:v>
      </x:c>
      <x:c r="E1241" s="36" t="n">
        <x:v>5</x:v>
      </x:c>
      <x:c r="F1241" s="36" t="str">
        <x:v>Welchen Auftrag erhält Johannes nach dem Essen der Schriftrolle?</x:v>
      </x:c>
      <x:c r="G1241" s="36" t="str">
        <x:v>Er soll seine prophetische Tätigkeit beenden.</x:v>
      </x:c>
      <x:c r="H1241" s="36" t="str">
        <x:v>Er muss wieder über viele Völker, Nationen, Sprachen und Könige prophezeien.</x:v>
      </x:c>
      <x:c r="I1241" s="36" t="str">
        <x:v>Er soll nur noch an Ephesus schreiben.</x:v>
      </x:c>
      <x:c r="J1241" s="36" t="str">
        <x:v>Er soll die sieben Donner veröffentlichen.</x:v>
      </x:c>
      <x:c r="K1241" s="36" t="n">
        <x:v>1</x:v>
      </x:c>
      <x:c r="L1241" s="36" t="str">
        <x:v>Er muss wieder über viele Völker, Nationen, Sprachen und Könige prophezeien.</x:v>
      </x:c>
      <x:c r="M1241" s="36" t="str">
        <x:v>Offenbarung 10,11</x:v>
      </x:c>
      <x:c r="N1241" s="36" t="str">
        <x:v>Die Vision erneuert Johannes' weltweiten prophetischen Auftrag.</x:v>
      </x:c>
      <x:c r="O1241" s="36" t="str">
        <x:v>FREIGEGEBEN</x:v>
      </x:c>
      <x:c r="P1241" s="36" t="str">
        <x:v>FREIGEGEBEN</x:v>
      </x:c>
      <x:c r="Q1241" s="36" t="str">
        <x:v>JA</x:v>
      </x:c>
    </x:row>
    <x:row r="1242">
      <x:c r="A1242" s="36" t="str">
        <x:v>FP-1501</x:v>
      </x:c>
      <x:c r="B1242" s="36" t="str">
        <x:v>REV</x:v>
      </x:c>
      <x:c r="C1242" s="36" t="str">
        <x:v>Offenbarung</x:v>
      </x:c>
      <x:c r="D1242" s="36" t="n">
        <x:v>11</x:v>
      </x:c>
      <x:c r="E1242" s="36" t="n">
        <x:v>1</x:v>
      </x:c>
      <x:c r="F1242" s="36" t="str">
        <x:v>Was soll Johannes mit dem Messstab messen?</x:v>
      </x:c>
      <x:c r="G1242" s="36" t="str">
        <x:v>Nur die Mauern Roms.</x:v>
      </x:c>
      <x:c r="H1242" s="36" t="str">
        <x:v>Die neue Stadt Jerusalem aus Kapitel 21.</x:v>
      </x:c>
      <x:c r="I1242" s="36" t="str">
        <x:v>Den Tempel Gottes, den Altar und die dort Anbetenden, nicht aber den äußeren Hof.</x:v>
      </x:c>
      <x:c r="J1242" s="36" t="str">
        <x:v>Die sieben Gemeinden Kleinasiens.</x:v>
      </x:c>
      <x:c r="K1242" s="36" t="n">
        <x:v>2</x:v>
      </x:c>
      <x:c r="L1242" s="36" t="str">
        <x:v>Den Tempel Gottes, den Altar und die dort Anbetenden, nicht aber den äußeren Hof.</x:v>
      </x:c>
      <x:c r="M1242" s="36" t="str">
        <x:v>Offenbarung 11,1–2</x:v>
      </x:c>
      <x:c r="N1242" s="36" t="str">
        <x:v>Tempelbereich und äußerer Hof werden bewusst unterschiedlich behandelt.</x:v>
      </x:c>
      <x:c r="O1242" s="36" t="str">
        <x:v>FREIGEGEBEN</x:v>
      </x:c>
      <x:c r="P1242" s="36" t="str">
        <x:v>FREIGEGEBEN</x:v>
      </x:c>
      <x:c r="Q1242" s="36" t="str">
        <x:v>JA</x:v>
      </x:c>
    </x:row>
    <x:row r="1243">
      <x:c r="A1243" s="36" t="str">
        <x:v>FP-1502</x:v>
      </x:c>
      <x:c r="B1243" s="36" t="str">
        <x:v>REV</x:v>
      </x:c>
      <x:c r="C1243" s="36" t="str">
        <x:v>Offenbarung</x:v>
      </x:c>
      <x:c r="D1243" s="36" t="n">
        <x:v>11</x:v>
      </x:c>
      <x:c r="E1243" s="36" t="n">
        <x:v>2</x:v>
      </x:c>
      <x:c r="F1243" s="36" t="str">
        <x:v>Wie lange sollen die zwei Zeugen weissagen?</x:v>
      </x:c>
      <x:c r="G1243" s="36" t="str">
        <x:v>Sieben Tage in weißen Gewändern.</x:v>
      </x:c>
      <x:c r="H1243" s="36" t="str">
        <x:v>Tausend Jahre auf goldenen Thronen.</x:v>
      </x:c>
      <x:c r="I1243" s="36" t="str">
        <x:v>Drei Tage im Tempel.</x:v>
      </x:c>
      <x:c r="J1243" s="36" t="str">
        <x:v>1.260 Tage, bekleidet mit Sacktuch.</x:v>
      </x:c>
      <x:c r="K1243" s="36" t="n">
        <x:v>3</x:v>
      </x:c>
      <x:c r="L1243" s="36" t="str">
        <x:v>1.260 Tage, bekleidet mit Sacktuch.</x:v>
      </x:c>
      <x:c r="M1243" s="36" t="str">
        <x:v>Offenbarung 11,3–6</x:v>
      </x:c>
      <x:c r="N1243" s="36" t="str">
        <x:v>Die beiden Zeugen werden als zwei Ölbäume und zwei Leuchter beschrieben und erhalten eine begrenzte Zeit zum Zeugnis.</x:v>
      </x:c>
      <x:c r="O1243" s="36" t="str">
        <x:v>FREIGEGEBEN</x:v>
      </x:c>
      <x:c r="P1243" s="36" t="str">
        <x:v>FREIGEGEBEN</x:v>
      </x:c>
      <x:c r="Q1243" s="36" t="str">
        <x:v>JA</x:v>
      </x:c>
    </x:row>
    <x:row r="1244">
      <x:c r="A1244" s="36" t="str">
        <x:v>FP-1503</x:v>
      </x:c>
      <x:c r="B1244" s="36" t="str">
        <x:v>REV</x:v>
      </x:c>
      <x:c r="C1244" s="36" t="str">
        <x:v>Offenbarung</x:v>
      </x:c>
      <x:c r="D1244" s="36" t="n">
        <x:v>11</x:v>
      </x:c>
      <x:c r="E1244" s="36" t="n">
        <x:v>3</x:v>
      </x:c>
      <x:c r="F1244" s="36" t="str">
        <x:v>Was geschieht mit den zwei Zeugen nach ihrem Tod?</x:v>
      </x:c>
      <x:c r="G1244" s="36" t="str">
        <x:v>Nach dreieinhalb Tagen kommt Lebensgeist von Gott in sie, sie stehen auf und werden in den Himmel gerufen.</x:v>
      </x:c>
      <x:c r="H1244" s="36" t="str">
        <x:v>Sie bleiben dauerhaft unbestattet und tot.</x:v>
      </x:c>
      <x:c r="I1244" s="36" t="str">
        <x:v>Sie werden vom Tier auferweckt.</x:v>
      </x:c>
      <x:c r="J1244" s="36" t="str">
        <x:v>Sie kehren sofort als Könige der Erde zurück.</x:v>
      </x:c>
      <x:c r="K1244" s="36" t="n">
        <x:v>0</x:v>
      </x:c>
      <x:c r="L1244" s="36" t="str">
        <x:v>Nach dreieinhalb Tagen kommt Lebensgeist von Gott in sie, sie stehen auf und werden in den Himmel gerufen.</x:v>
      </x:c>
      <x:c r="M1244" s="36" t="str">
        <x:v>Offenbarung 11,7–13</x:v>
      </x:c>
      <x:c r="N1244" s="36" t="str">
        <x:v>Die scheinbare Niederlage der Zeugen wird durch göttliche Auferweckung und Erhöhung umgekehrt.</x:v>
      </x:c>
      <x:c r="O1244" s="36" t="str">
        <x:v>FREIGEGEBEN</x:v>
      </x:c>
      <x:c r="P1244" s="36" t="str">
        <x:v>FREIGEGEBEN</x:v>
      </x:c>
      <x:c r="Q1244" s="36" t="str">
        <x:v>JA</x:v>
      </x:c>
    </x:row>
    <x:row r="1245">
      <x:c r="A1245" s="36" t="str">
        <x:v>FP-1504</x:v>
      </x:c>
      <x:c r="B1245" s="36" t="str">
        <x:v>REV</x:v>
      </x:c>
      <x:c r="C1245" s="36" t="str">
        <x:v>Offenbarung</x:v>
      </x:c>
      <x:c r="D1245" s="36" t="n">
        <x:v>11</x:v>
      </x:c>
      <x:c r="E1245" s="36" t="n">
        <x:v>4</x:v>
      </x:c>
      <x:c r="F1245" s="36" t="str">
        <x:v>Welche Botschaft erklingt bei der siebten Posaune?</x:v>
      </x:c>
      <x:c r="G1245" s="36" t="str">
        <x:v>Babylon herrscht nun für immer.</x:v>
      </x:c>
      <x:c r="H1245" s="36" t="str">
        <x:v>Das Reich der Welt ist zum Reich unseres Herrn und seines Christus geworden, und er wird ewig herrschen.</x:v>
      </x:c>
      <x:c r="I1245" s="36" t="str">
        <x:v>Die sieben Gemeinden übernehmen die Erde.</x:v>
      </x:c>
      <x:c r="J1245" s="36" t="str">
        <x:v>Der Drache wird zum König der Nationen.</x:v>
      </x:c>
      <x:c r="K1245" s="36" t="n">
        <x:v>1</x:v>
      </x:c>
      <x:c r="L1245" s="36" t="str">
        <x:v>Das Reich der Welt ist zum Reich unseres Herrn und seines Christus geworden, und er wird ewig herrschen.</x:v>
      </x:c>
      <x:c r="M1245" s="36" t="str">
        <x:v>Offenbarung 11,15–18</x:v>
      </x:c>
      <x:c r="N1245" s="36" t="str">
        <x:v>Die siebte Posaune führt zu himmlischem Lob über Gottes Herrschaft, Gericht und Belohnung seiner Diener.</x:v>
      </x:c>
      <x:c r="O1245" s="36" t="str">
        <x:v>FREIGEGEBEN</x:v>
      </x:c>
      <x:c r="P1245" s="36" t="str">
        <x:v>FREIGEGEBEN</x:v>
      </x:c>
      <x:c r="Q1245" s="36" t="str">
        <x:v>JA</x:v>
      </x:c>
    </x:row>
    <x:row r="1246">
      <x:c r="A1246" s="36" t="str">
        <x:v>FP-1505</x:v>
      </x:c>
      <x:c r="B1246" s="36" t="str">
        <x:v>REV</x:v>
      </x:c>
      <x:c r="C1246" s="36" t="str">
        <x:v>Offenbarung</x:v>
      </x:c>
      <x:c r="D1246" s="36" t="n">
        <x:v>11</x:v>
      </x:c>
      <x:c r="E1246" s="36" t="n">
        <x:v>5</x:v>
      </x:c>
      <x:c r="F1246" s="36" t="str">
        <x:v>Was wird sichtbar, als der Tempel Gottes im Himmel geöffnet wird?</x:v>
      </x:c>
      <x:c r="G1246" s="36" t="str">
        <x:v>Die Bundeslade des irdischen Tempels wird nach Rom gebracht.</x:v>
      </x:c>
      <x:c r="H1246" s="36" t="str">
        <x:v>Die kleine Schriftrolle wird verbrannt.</x:v>
      </x:c>
      <x:c r="I1246" s="36" t="str">
        <x:v>Die Lade seines Bundes.</x:v>
      </x:c>
      <x:c r="J1246" s="36" t="str">
        <x:v>Der Thron des Tieres erscheint.</x:v>
      </x:c>
      <x:c r="K1246" s="36" t="n">
        <x:v>2</x:v>
      </x:c>
      <x:c r="L1246" s="36" t="str">
        <x:v>Die Lade seines Bundes.</x:v>
      </x:c>
      <x:c r="M1246" s="36" t="str">
        <x:v>Offenbarung 11,19</x:v>
      </x:c>
      <x:c r="N1246" s="36" t="str">
        <x:v>Die geöffnete Tempelszene endet mit der sichtbaren Bundeslade und macht Gottes Bundestreue bildhaft präsent.</x:v>
      </x:c>
      <x:c r="O1246" s="36" t="str">
        <x:v>FREIGEGEBEN</x:v>
      </x:c>
      <x:c r="P1246" s="36" t="str">
        <x:v>FREIGEGEBEN</x:v>
      </x:c>
      <x:c r="Q1246" s="36" t="str">
        <x:v>JA</x:v>
      </x:c>
    </x:row>
    <x:row r="1247">
      <x:c r="A1247" s="36" t="str">
        <x:v>FP-1506</x:v>
      </x:c>
      <x:c r="B1247" s="36" t="str">
        <x:v>REV</x:v>
      </x:c>
      <x:c r="C1247" s="36" t="str">
        <x:v>Offenbarung</x:v>
      </x:c>
      <x:c r="D1247" s="36" t="n">
        <x:v>12</x:v>
      </x:c>
      <x:c r="E1247" s="36" t="n">
        <x:v>1</x:v>
      </x:c>
      <x:c r="F1247" s="36" t="str">
        <x:v>Was geschieht mit dem männlichen Kind, das die Frau gebiert?</x:v>
      </x:c>
      <x:c r="G1247" s="36" t="str">
        <x:v>Es wird vom Drachen verschlungen.</x:v>
      </x:c>
      <x:c r="H1247" s="36" t="str">
        <x:v>Es bleibt in der Wüste bei der Frau.</x:v>
      </x:c>
      <x:c r="I1247" s="36" t="str">
        <x:v>Es wird dem Tier aus dem Meer übergeben.</x:v>
      </x:c>
      <x:c r="J1247" s="36" t="str">
        <x:v>Es wird zu Gott und zu seinem Thron entrückt.</x:v>
      </x:c>
      <x:c r="K1247" s="36" t="n">
        <x:v>3</x:v>
      </x:c>
      <x:c r="L1247" s="36" t="str">
        <x:v>Es wird zu Gott und zu seinem Thron entrückt.</x:v>
      </x:c>
      <x:c r="M1247" s="36" t="str">
        <x:v>Offenbarung 12,1–6</x:v>
      </x:c>
      <x:c r="N1247" s="36" t="str">
        <x:v>Der Drache will das Kind verschlingen, doch das Kind wird zu Gott entrückt, während die Frau in die Wüste flieht.</x:v>
      </x:c>
      <x:c r="O1247" s="36" t="str">
        <x:v>FREIGEGEBEN</x:v>
      </x:c>
      <x:c r="P1247" s="36" t="str">
        <x:v>FREIGEGEBEN</x:v>
      </x:c>
      <x:c r="Q1247" s="36" t="str">
        <x:v>JA</x:v>
      </x:c>
    </x:row>
    <x:row r="1248">
      <x:c r="A1248" s="36" t="str">
        <x:v>FP-1507</x:v>
      </x:c>
      <x:c r="B1248" s="36" t="str">
        <x:v>REV</x:v>
      </x:c>
      <x:c r="C1248" s="36" t="str">
        <x:v>Offenbarung</x:v>
      </x:c>
      <x:c r="D1248" s="36" t="n">
        <x:v>12</x:v>
      </x:c>
      <x:c r="E1248" s="36" t="n">
        <x:v>2</x:v>
      </x:c>
      <x:c r="F1248" s="36" t="str">
        <x:v>Wie wird der große Drache ausdrücklich identifiziert?</x:v>
      </x:c>
      <x:c r="G1248" s="36" t="str">
        <x:v>Als die alte Schlange, der Teufel oder Satan, der die ganze Welt verführt.</x:v>
      </x:c>
      <x:c r="H1248" s="36" t="str">
        <x:v>Als Michael, der Engel Israels.</x:v>
      </x:c>
      <x:c r="I1248" s="36" t="str">
        <x:v>Als einer der vier lebendigen Wesen.</x:v>
      </x:c>
      <x:c r="J1248" s="36" t="str">
        <x:v>Als ein Symbol, das der Text überhaupt nicht erklärt.</x:v>
      </x:c>
      <x:c r="K1248" s="36" t="n">
        <x:v>0</x:v>
      </x:c>
      <x:c r="L1248" s="36" t="str">
        <x:v>Als die alte Schlange, der Teufel oder Satan, der die ganze Welt verführt.</x:v>
      </x:c>
      <x:c r="M1248" s="36" t="str">
        <x:v>Offenbarung 12,7–9</x:v>
      </x:c>
      <x:c r="N1248" s="36" t="str">
        <x:v>Der Text legt die Symbolik des Drachen selbst aus und verbindet ihn mit Satan.</x:v>
      </x:c>
      <x:c r="O1248" s="36" t="str">
        <x:v>FREIGEGEBEN</x:v>
      </x:c>
      <x:c r="P1248" s="36" t="str">
        <x:v>FREIGEGEBEN</x:v>
      </x:c>
      <x:c r="Q1248" s="36" t="str">
        <x:v>JA</x:v>
      </x:c>
    </x:row>
    <x:row r="1249">
      <x:c r="A1249" s="36" t="str">
        <x:v>FP-1508</x:v>
      </x:c>
      <x:c r="B1249" s="36" t="str">
        <x:v>REV</x:v>
      </x:c>
      <x:c r="C1249" s="36" t="str">
        <x:v>Offenbarung</x:v>
      </x:c>
      <x:c r="D1249" s="36" t="n">
        <x:v>12</x:v>
      </x:c>
      <x:c r="E1249" s="36" t="n">
        <x:v>3</x:v>
      </x:c>
      <x:c r="F1249" s="36" t="str">
        <x:v>Wer kämpft im Himmel gegen den Drachen?</x:v>
      </x:c>
      <x:c r="G1249" s="36" t="str">
        <x:v>Johannes und die sieben Gemeinden.</x:v>
      </x:c>
      <x:c r="H1249" s="36" t="str">
        <x:v>Michael und seine Engel.</x:v>
      </x:c>
      <x:c r="I1249" s="36" t="str">
        <x:v>Die zwei Zeugen und die Ältesten.</x:v>
      </x:c>
      <x:c r="J1249" s="36" t="str">
        <x:v>Die Könige der Erde.</x:v>
      </x:c>
      <x:c r="K1249" s="36" t="n">
        <x:v>1</x:v>
      </x:c>
      <x:c r="L1249" s="36" t="str">
        <x:v>Michael und seine Engel.</x:v>
      </x:c>
      <x:c r="M1249" s="36" t="str">
        <x:v>Offenbarung 12,7–9</x:v>
      </x:c>
      <x:c r="N1249" s="36" t="str">
        <x:v>Michael und seine Engel siegen, sodass der Drache und seine Engel keinen Platz mehr im Himmel haben.</x:v>
      </x:c>
      <x:c r="O1249" s="36" t="str">
        <x:v>FREIGEGEBEN</x:v>
      </x:c>
      <x:c r="P1249" s="36" t="str">
        <x:v>FREIGEGEBEN</x:v>
      </x:c>
      <x:c r="Q1249" s="36" t="str">
        <x:v>JA</x:v>
      </x:c>
    </x:row>
    <x:row r="1250">
      <x:c r="A1250" s="36" t="str">
        <x:v>FP-1509</x:v>
      </x:c>
      <x:c r="B1250" s="36" t="str">
        <x:v>REV</x:v>
      </x:c>
      <x:c r="C1250" s="36" t="str">
        <x:v>Offenbarung</x:v>
      </x:c>
      <x:c r="D1250" s="36" t="n">
        <x:v>12</x:v>
      </x:c>
      <x:c r="E1250" s="36" t="n">
        <x:v>4</x:v>
      </x:c>
      <x:c r="F1250" s="36" t="str">
        <x:v>Wodurch überwinden die Brüder und Schwestern den Ankläger?</x:v>
      </x:c>
      <x:c r="G1250" s="36" t="str">
        <x:v>Durch wirtschaftliche Macht.</x:v>
      </x:c>
      <x:c r="H1250" s="36" t="str">
        <x:v>Durch das Zeichen des Tieres.</x:v>
      </x:c>
      <x:c r="I1250" s="36" t="str">
        <x:v>Durch das Blut des Lammes und das Wort ihres Zeugnisses.</x:v>
      </x:c>
      <x:c r="J1250" s="36" t="str">
        <x:v>Durch die Hilfe Babylons.</x:v>
      </x:c>
      <x:c r="K1250" s="36" t="n">
        <x:v>2</x:v>
      </x:c>
      <x:c r="L1250" s="36" t="str">
        <x:v>Durch das Blut des Lammes und das Wort ihres Zeugnisses.</x:v>
      </x:c>
      <x:c r="M1250" s="36" t="str">
        <x:v>Offenbarung 12,10–11</x:v>
      </x:c>
      <x:c r="N1250" s="36" t="str">
        <x:v>Der Sieg wird mit dem Erlösungswerk des Lammes und treuem Zeugnis bis in den Tod verbunden.</x:v>
      </x:c>
      <x:c r="O1250" s="36" t="str">
        <x:v>FREIGEGEBEN</x:v>
      </x:c>
      <x:c r="P1250" s="36" t="str">
        <x:v>FREIGEGEBEN</x:v>
      </x:c>
      <x:c r="Q1250" s="36" t="str">
        <x:v>JA</x:v>
      </x:c>
    </x:row>
    <x:row r="1251">
      <x:c r="A1251" s="36" t="str">
        <x:v>FP-1510</x:v>
      </x:c>
      <x:c r="B1251" s="36" t="str">
        <x:v>REV</x:v>
      </x:c>
      <x:c r="C1251" s="36" t="str">
        <x:v>Offenbarung</x:v>
      </x:c>
      <x:c r="D1251" s="36" t="n">
        <x:v>12</x:v>
      </x:c>
      <x:c r="E1251" s="36" t="n">
        <x:v>5</x:v>
      </x:c>
      <x:c r="F1251" s="36" t="str">
        <x:v>Gegen wen richtet der Drache am Ende seinen Krieg?</x:v>
      </x:c>
      <x:c r="G1251" s="36" t="str">
        <x:v>Gegen die vierundzwanzig Ältesten.</x:v>
      </x:c>
      <x:c r="H1251" s="36" t="str">
        <x:v>Nur gegen die Könige der Erde.</x:v>
      </x:c>
      <x:c r="I1251" s="36" t="str">
        <x:v>Gegen die sieben Engel mit den Schalen.</x:v>
      </x:c>
      <x:c r="J1251" s="36" t="str">
        <x:v>Gegen die übrigen Nachkommen der Frau, die Gottes Gebote halten und am Zeugnis Jesu festhalten.</x:v>
      </x:c>
      <x:c r="K1251" s="36" t="n">
        <x:v>3</x:v>
      </x:c>
      <x:c r="L1251" s="36" t="str">
        <x:v>Gegen die übrigen Nachkommen der Frau, die Gottes Gebote halten und am Zeugnis Jesu festhalten.</x:v>
      </x:c>
      <x:c r="M1251" s="36" t="str">
        <x:v>Offenbarung 12,13–17</x:v>
      </x:c>
      <x:c r="N1251" s="36" t="str">
        <x:v>Nach der Verfolgung der Frau wendet sich der Drache gegen diejenigen, die durch Treue zu Gott und Jesus gekennzeichnet sind.</x:v>
      </x:c>
      <x:c r="O1251" s="36" t="str">
        <x:v>FREIGEGEBEN</x:v>
      </x:c>
      <x:c r="P1251" s="36" t="str">
        <x:v>FREIGEGEBEN</x:v>
      </x:c>
      <x:c r="Q1251" s="36" t="str">
        <x:v>JA</x:v>
      </x:c>
    </x:row>
    <x:row r="1252">
      <x:c r="A1252" s="36" t="str">
        <x:v>FP-1511</x:v>
      </x:c>
      <x:c r="B1252" s="36" t="str">
        <x:v>REV</x:v>
      </x:c>
      <x:c r="C1252" s="36" t="str">
        <x:v>Offenbarung</x:v>
      </x:c>
      <x:c r="D1252" s="36" t="n">
        <x:v>13</x:v>
      </x:c>
      <x:c r="E1252" s="36" t="n">
        <x:v>1</x:v>
      </x:c>
      <x:c r="F1252" s="36" t="str">
        <x:v>Woher erhält das Tier aus dem Meer seine Macht, seinen Thron und große Autorität?</x:v>
      </x:c>
      <x:c r="G1252" s="36" t="str">
        <x:v>Vom Drachen.</x:v>
      </x:c>
      <x:c r="H1252" s="36" t="str">
        <x:v>Vom Lamm.</x:v>
      </x:c>
      <x:c r="I1252" s="36" t="str">
        <x:v>Von den zwei Zeugen.</x:v>
      </x:c>
      <x:c r="J1252" s="36" t="str">
        <x:v>Von den vierundzwanzig Ältesten.</x:v>
      </x:c>
      <x:c r="K1252" s="36" t="n">
        <x:v>0</x:v>
      </x:c>
      <x:c r="L1252" s="36" t="str">
        <x:v>Vom Drachen.</x:v>
      </x:c>
      <x:c r="M1252" s="36" t="str">
        <x:v>Offenbarung 13,1–4</x:v>
      </x:c>
      <x:c r="N1252" s="36" t="str">
        <x:v>Die Machtbeziehung zwischen Drache und Tier wird im Text ausdrücklich benannt.</x:v>
      </x:c>
      <x:c r="O1252" s="36" t="str">
        <x:v>FREIGEGEBEN</x:v>
      </x:c>
      <x:c r="P1252" s="36" t="str">
        <x:v>FREIGEGEBEN</x:v>
      </x:c>
      <x:c r="Q1252" s="36" t="str">
        <x:v>JA</x:v>
      </x:c>
    </x:row>
    <x:row r="1253">
      <x:c r="A1253" s="36" t="str">
        <x:v>FP-1512</x:v>
      </x:c>
      <x:c r="B1253" s="36" t="str">
        <x:v>REV</x:v>
      </x:c>
      <x:c r="C1253" s="36" t="str">
        <x:v>Offenbarung</x:v>
      </x:c>
      <x:c r="D1253" s="36" t="n">
        <x:v>13</x:v>
      </x:c>
      <x:c r="E1253" s="36" t="n">
        <x:v>2</x:v>
      </x:c>
      <x:c r="F1253" s="36" t="str">
        <x:v>Welche Haltung wird von den Heiligen angesichts der Macht des ersten Tieres verlangt?</x:v>
      </x:c>
      <x:c r="G1253" s="36" t="str">
        <x:v>Anpassung an jede Forderung des Tieres.</x:v>
      </x:c>
      <x:c r="H1253" s="36" t="str">
        <x:v>Ausharren und Glauben.</x:v>
      </x:c>
      <x:c r="I1253" s="36" t="str">
        <x:v>Gewaltsame Eroberung der Welt.</x:v>
      </x:c>
      <x:c r="J1253" s="36" t="str">
        <x:v>Rückzug aus jeder Form von Zeugnis.</x:v>
      </x:c>
      <x:c r="K1253" s="36" t="n">
        <x:v>1</x:v>
      </x:c>
      <x:c r="L1253" s="36" t="str">
        <x:v>Ausharren und Glauben.</x:v>
      </x:c>
      <x:c r="M1253" s="36" t="str">
        <x:v>Offenbarung 13,5–10</x:v>
      </x:c>
      <x:c r="N1253" s="36" t="str">
        <x:v>Die Passage endet mit einem direkten Ruf zu Standhaftigkeit und Glauben.</x:v>
      </x:c>
      <x:c r="O1253" s="36" t="str">
        <x:v>FREIGEGEBEN</x:v>
      </x:c>
      <x:c r="P1253" s="36" t="str">
        <x:v>FREIGEGEBEN</x:v>
      </x:c>
      <x:c r="Q1253" s="36" t="str">
        <x:v>JA</x:v>
      </x:c>
    </x:row>
    <x:row r="1254">
      <x:c r="A1254" s="36" t="str">
        <x:v>FP-1513</x:v>
      </x:c>
      <x:c r="B1254" s="36" t="str">
        <x:v>REV</x:v>
      </x:c>
      <x:c r="C1254" s="36" t="str">
        <x:v>Offenbarung</x:v>
      </x:c>
      <x:c r="D1254" s="36" t="n">
        <x:v>13</x:v>
      </x:c>
      <x:c r="E1254" s="36" t="n">
        <x:v>3</x:v>
      </x:c>
      <x:c r="F1254" s="36" t="str">
        <x:v>Wie wird das zweite Tier beschrieben?</x:v>
      </x:c>
      <x:c r="G1254" s="36" t="str">
        <x:v>Es sieht wie ein Drache aus, spricht aber wie das Lamm.</x:v>
      </x:c>
      <x:c r="H1254" s="36" t="str">
        <x:v>Es zerstört die Macht des ersten Tieres.</x:v>
      </x:c>
      <x:c r="I1254" s="36" t="str">
        <x:v>Es hat Hörner wie ein Lamm, spricht aber wie ein Drache und fördert die Anbetung des ersten Tieres.</x:v>
      </x:c>
      <x:c r="J1254" s="36" t="str">
        <x:v>Es weigert sich, Zeichen zu tun.</x:v>
      </x:c>
      <x:c r="K1254" s="36" t="n">
        <x:v>2</x:v>
      </x:c>
      <x:c r="L1254" s="36" t="str">
        <x:v>Es hat Hörner wie ein Lamm, spricht aber wie ein Drache und fördert die Anbetung des ersten Tieres.</x:v>
      </x:c>
      <x:c r="M1254" s="36" t="str">
        <x:v>Offenbarung 13,11–14</x:v>
      </x:c>
      <x:c r="N1254" s="36" t="str">
        <x:v>Die lammähnliche Erscheinung steht im Kontrast zur drachenartigen Stimme und verführerischen Funktion.</x:v>
      </x:c>
      <x:c r="O1254" s="36" t="str">
        <x:v>FREIGEGEBEN</x:v>
      </x:c>
      <x:c r="P1254" s="36" t="str">
        <x:v>FREIGEGEBEN</x:v>
      </x:c>
      <x:c r="Q1254" s="36" t="str">
        <x:v>JA</x:v>
      </x:c>
    </x:row>
    <x:row r="1255">
      <x:c r="A1255" s="36" t="str">
        <x:v>FP-1514</x:v>
      </x:c>
      <x:c r="B1255" s="36" t="str">
        <x:v>REV</x:v>
      </x:c>
      <x:c r="C1255" s="36" t="str">
        <x:v>Offenbarung</x:v>
      </x:c>
      <x:c r="D1255" s="36" t="n">
        <x:v>13</x:v>
      </x:c>
      <x:c r="E1255" s="36" t="n">
        <x:v>4</x:v>
      </x:c>
      <x:c r="F1255" s="36" t="str">
        <x:v>Welche wirtschaftliche Folge ist mit dem Zeichen des Tieres verbunden?</x:v>
      </x:c>
      <x:c r="G1255" s="36" t="str">
        <x:v>Das Zeichen garantiert Wohlstand für alle.</x:v>
      </x:c>
      <x:c r="H1255" s="36" t="str">
        <x:v>Nur Könige dürfen mit dem Zeichen handeln.</x:v>
      </x:c>
      <x:c r="I1255" s="36" t="str">
        <x:v>Das Zeichen hat keinerlei Verbindung zum Wirtschaftsleben.</x:v>
      </x:c>
      <x:c r="J1255" s="36" t="str">
        <x:v>Ohne das Zeichen, den Namen oder die Zahl des Tieres kann niemand kaufen oder verkaufen.</x:v>
      </x:c>
      <x:c r="K1255" s="36" t="n">
        <x:v>3</x:v>
      </x:c>
      <x:c r="L1255" s="36" t="str">
        <x:v>Ohne das Zeichen, den Namen oder die Zahl des Tieres kann niemand kaufen oder verkaufen.</x:v>
      </x:c>
      <x:c r="M1255" s="36" t="str">
        <x:v>Offenbarung 13,15–17</x:v>
      </x:c>
      <x:c r="N1255" s="36" t="str">
        <x:v>Der Text verbindet religiös-politische Loyalität mit wirtschaftlichem Zwang.</x:v>
      </x:c>
      <x:c r="O1255" s="36" t="str">
        <x:v>FREIGEGEBEN</x:v>
      </x:c>
      <x:c r="P1255" s="36" t="str">
        <x:v>FREIGEGEBEN</x:v>
      </x:c>
      <x:c r="Q1255" s="36" t="str">
        <x:v>JA</x:v>
      </x:c>
    </x:row>
    <x:row r="1256">
      <x:c r="A1256" s="36" t="str">
        <x:v>FP-1515</x:v>
      </x:c>
      <x:c r="B1256" s="36" t="str">
        <x:v>REV</x:v>
      </x:c>
      <x:c r="C1256" s="36" t="str">
        <x:v>Offenbarung</x:v>
      </x:c>
      <x:c r="D1256" s="36" t="n">
        <x:v>13</x:v>
      </x:c>
      <x:c r="E1256" s="36" t="n">
        <x:v>5</x:v>
      </x:c>
      <x:c r="F1256" s="36" t="str">
        <x:v>Welche Zahl nennt Offenbarung 13 als Zahl des Tieres?</x:v>
      </x:c>
      <x:c r="G1256" s="36" t="str">
        <x:v>666.</x:v>
      </x:c>
      <x:c r="H1256" s="36" t="str">
        <x:v>144.000.</x:v>
      </x:c>
      <x:c r="I1256" s="36" t="str">
        <x:v>1.260.</x:v>
      </x:c>
      <x:c r="J1256" s="36" t="str">
        <x:v>777.</x:v>
      </x:c>
      <x:c r="K1256" s="36" t="n">
        <x:v>0</x:v>
      </x:c>
      <x:c r="L1256" s="36" t="str">
        <x:v>666.</x:v>
      </x:c>
      <x:c r="M1256" s="36" t="str">
        <x:v>Offenbarung 13,18</x:v>
      </x:c>
      <x:c r="N1256" s="36" t="str">
        <x:v>Der Vers nennt ausdrücklich 666 und fordert Weisheit beim Verständnis, ohne hier eine bestimmte historische Deutung festzulegen.</x:v>
      </x:c>
      <x:c r="O1256" s="36" t="str">
        <x:v>FREIGEGEBEN</x:v>
      </x:c>
      <x:c r="P1256" s="36" t="str">
        <x:v>FREIGEGEBEN</x:v>
      </x:c>
      <x:c r="Q1256" s="36" t="str">
        <x:v>JA</x:v>
      </x:c>
    </x:row>
    <x:row r="1257">
      <x:c r="A1257" s="36" t="str">
        <x:v>FP-1516</x:v>
      </x:c>
      <x:c r="B1257" s="36" t="str">
        <x:v>REV</x:v>
      </x:c>
      <x:c r="C1257" s="36" t="str">
        <x:v>Offenbarung</x:v>
      </x:c>
      <x:c r="D1257" s="36" t="n">
        <x:v>14</x:v>
      </x:c>
      <x:c r="E1257" s="36" t="n">
        <x:v>1</x:v>
      </x:c>
      <x:c r="F1257" s="36" t="str">
        <x:v>Was tragen die 144.000 beim Lamm auf dem Berg Zion auf ihren Stirnen?</x:v>
      </x:c>
      <x:c r="G1257" s="36" t="str">
        <x:v>Das Zeichen des Tieres.</x:v>
      </x:c>
      <x:c r="H1257" s="36" t="str">
        <x:v>Den Namen des Lammes und den Namen seines Vaters.</x:v>
      </x:c>
      <x:c r="I1257" s="36" t="str">
        <x:v>Die Namen der sieben Gemeinden.</x:v>
      </x:c>
      <x:c r="J1257" s="36" t="str">
        <x:v>Die Zahl der vierundzwanzig Ältesten.</x:v>
      </x:c>
      <x:c r="K1257" s="36" t="n">
        <x:v>1</x:v>
      </x:c>
      <x:c r="L1257" s="36" t="str">
        <x:v>Den Namen des Lammes und den Namen seines Vaters.</x:v>
      </x:c>
      <x:c r="M1257" s="36" t="str">
        <x:v>Offenbarung 14,1–5</x:v>
      </x:c>
      <x:c r="N1257" s="36" t="str">
        <x:v>Die Gruppe wird durch Zugehörigkeit zum Lamm und zum Vater gekennzeichnet.</x:v>
      </x:c>
      <x:c r="O1257" s="36" t="str">
        <x:v>FREIGEGEBEN</x:v>
      </x:c>
      <x:c r="P1257" s="36" t="str">
        <x:v>FREIGEGEBEN</x:v>
      </x:c>
      <x:c r="Q1257" s="36" t="str">
        <x:v>JA</x:v>
      </x:c>
    </x:row>
    <x:row r="1258">
      <x:c r="A1258" s="36" t="str">
        <x:v>FP-1517</x:v>
      </x:c>
      <x:c r="B1258" s="36" t="str">
        <x:v>REV</x:v>
      </x:c>
      <x:c r="C1258" s="36" t="str">
        <x:v>Offenbarung</x:v>
      </x:c>
      <x:c r="D1258" s="36" t="n">
        <x:v>14</x:v>
      </x:c>
      <x:c r="E1258" s="36" t="n">
        <x:v>2</x:v>
      </x:c>
      <x:c r="F1258" s="36" t="str">
        <x:v>Was ruft der Engel mit dem ewigen Evangelium den Bewohnern der Erde zu?</x:v>
      </x:c>
      <x:c r="G1258" s="36" t="str">
        <x:v>Das Tier und sein Bild anzubeten.</x:v>
      </x:c>
      <x:c r="H1258" s="36" t="str">
        <x:v>Babylon zu folgen.</x:v>
      </x:c>
      <x:c r="I1258" s="36" t="str">
        <x:v>Gott zu fürchten, ihm Ehre zu geben und den Schöpfer anzubeten.</x:v>
      </x:c>
      <x:c r="J1258" s="36" t="str">
        <x:v>Die sieben Gemeinden zu verlassen.</x:v>
      </x:c>
      <x:c r="K1258" s="36" t="n">
        <x:v>2</x:v>
      </x:c>
      <x:c r="L1258" s="36" t="str">
        <x:v>Gott zu fürchten, ihm Ehre zu geben und den Schöpfer anzubeten.</x:v>
      </x:c>
      <x:c r="M1258" s="36" t="str">
        <x:v>Offenbarung 14,6–7</x:v>
      </x:c>
      <x:c r="N1258" s="36" t="str">
        <x:v>Die Botschaft verbindet die Stunde des Gerichts mit Anbetung des Schöpfers.</x:v>
      </x:c>
      <x:c r="O1258" s="36" t="str">
        <x:v>FREIGEGEBEN</x:v>
      </x:c>
      <x:c r="P1258" s="36" t="str">
        <x:v>FREIGEGEBEN</x:v>
      </x:c>
      <x:c r="Q1258" s="36" t="str">
        <x:v>JA</x:v>
      </x:c>
    </x:row>
    <x:row r="1259">
      <x:c r="A1259" s="36" t="str">
        <x:v>FP-1518</x:v>
      </x:c>
      <x:c r="B1259" s="36" t="str">
        <x:v>REV</x:v>
      </x:c>
      <x:c r="C1259" s="36" t="str">
        <x:v>Offenbarung</x:v>
      </x:c>
      <x:c r="D1259" s="36" t="n">
        <x:v>14</x:v>
      </x:c>
      <x:c r="E1259" s="36" t="n">
        <x:v>3</x:v>
      </x:c>
      <x:c r="F1259" s="36" t="str">
        <x:v>Welche Botschaft verkündet der zweite Engel?</x:v>
      </x:c>
      <x:c r="G1259" s="36" t="str">
        <x:v>Der Drache ist bereits im Feuersee.</x:v>
      </x:c>
      <x:c r="H1259" s="36" t="str">
        <x:v>Das neue Jerusalem ist vollständig auf der Erde.</x:v>
      </x:c>
      <x:c r="I1259" s="36" t="str">
        <x:v>Die sieben Siegel werden geschlossen.</x:v>
      </x:c>
      <x:c r="J1259" s="36" t="str">
        <x:v>Gefallen ist Babylon, die Große.</x:v>
      </x:c>
      <x:c r="K1259" s="36" t="n">
        <x:v>3</x:v>
      </x:c>
      <x:c r="L1259" s="36" t="str">
        <x:v>Gefallen ist Babylon, die Große.</x:v>
      </x:c>
      <x:c r="M1259" s="36" t="str">
        <x:v>Offenbarung 14,8</x:v>
      </x:c>
      <x:c r="N1259" s="36" t="str">
        <x:v>Der Fall Babylons wird angekündigt, bevor Kapitel 17–18 das Bild ausführlich entfalten.</x:v>
      </x:c>
      <x:c r="O1259" s="36" t="str">
        <x:v>FREIGEGEBEN</x:v>
      </x:c>
      <x:c r="P1259" s="36" t="str">
        <x:v>FREIGEGEBEN</x:v>
      </x:c>
      <x:c r="Q1259" s="36" t="str">
        <x:v>JA</x:v>
      </x:c>
    </x:row>
    <x:row r="1260">
      <x:c r="A1260" s="36" t="str">
        <x:v>FP-1519</x:v>
      </x:c>
      <x:c r="B1260" s="36" t="str">
        <x:v>REV</x:v>
      </x:c>
      <x:c r="C1260" s="36" t="str">
        <x:v>Offenbarung</x:v>
      </x:c>
      <x:c r="D1260" s="36" t="n">
        <x:v>14</x:v>
      </x:c>
      <x:c r="E1260" s="36" t="n">
        <x:v>4</x:v>
      </x:c>
      <x:c r="F1260" s="36" t="str">
        <x:v>Welche Haltung kennzeichnet die Heiligen im Zusammenhang mit der Warnung vor dem Tier?</x:v>
      </x:c>
      <x:c r="G1260" s="36" t="str">
        <x:v>Ausharren, Gottes Gebote bewahren und am Glauben an Jesus festhalten.</x:v>
      </x:c>
      <x:c r="H1260" s="36" t="str">
        <x:v>Das Zeichen des Tieres annehmen, um Schwierigkeiten zu vermeiden.</x:v>
      </x:c>
      <x:c r="I1260" s="36" t="str">
        <x:v>Alle Arbeit einstellen.</x:v>
      </x:c>
      <x:c r="J1260" s="36" t="str">
        <x:v>Nur das Gericht über andere beobachten.</x:v>
      </x:c>
      <x:c r="K1260" s="36" t="n">
        <x:v>0</x:v>
      </x:c>
      <x:c r="L1260" s="36" t="str">
        <x:v>Ausharren, Gottes Gebote bewahren und am Glauben an Jesus festhalten.</x:v>
      </x:c>
      <x:c r="M1260" s="36" t="str">
        <x:v>Offenbarung 14,9–13</x:v>
      </x:c>
      <x:c r="N1260" s="36" t="str">
        <x:v>Die Warnung vor der Anbetung des Tieres mündet in einen Ruf zu standhafter Treue.</x:v>
      </x:c>
      <x:c r="O1260" s="36" t="str">
        <x:v>FREIGEGEBEN</x:v>
      </x:c>
      <x:c r="P1260" s="36" t="str">
        <x:v>FREIGEGEBEN</x:v>
      </x:c>
      <x:c r="Q1260" s="36" t="str">
        <x:v>JA</x:v>
      </x:c>
    </x:row>
    <x:row r="1261">
      <x:c r="A1261" s="36" t="str">
        <x:v>FP-1520</x:v>
      </x:c>
      <x:c r="B1261" s="36" t="str">
        <x:v>REV</x:v>
      </x:c>
      <x:c r="C1261" s="36" t="str">
        <x:v>Offenbarung</x:v>
      </x:c>
      <x:c r="D1261" s="36" t="n">
        <x:v>14</x:v>
      </x:c>
      <x:c r="E1261" s="36" t="n">
        <x:v>5</x:v>
      </x:c>
      <x:c r="F1261" s="36" t="str">
        <x:v>Welche zwei Erntebilder erscheinen am Ende des Kapitels?</x:v>
      </x:c>
      <x:c r="G1261" s="36" t="str">
        <x:v>Weizen und Gerste für den Tempel.</x:v>
      </x:c>
      <x:c r="H1261" s="36" t="str">
        <x:v>Die Ernte der Erde und die Traubenernte für die Kelter des Zornes Gottes.</x:v>
      </x:c>
      <x:c r="I1261" s="36" t="str">
        <x:v>Oliven und Feigen für die sieben Gemeinden.</x:v>
      </x:c>
      <x:c r="J1261" s="36" t="str">
        <x:v>Manna und Trauben für Israel.</x:v>
      </x:c>
      <x:c r="K1261" s="36" t="n">
        <x:v>1</x:v>
      </x:c>
      <x:c r="L1261" s="36" t="str">
        <x:v>Die Ernte der Erde und die Traubenernte für die Kelter des Zornes Gottes.</x:v>
      </x:c>
      <x:c r="M1261" s="36" t="str">
        <x:v>Offenbarung 14,14–20</x:v>
      </x:c>
      <x:c r="N1261" s="36" t="str">
        <x:v>Die beiden Sichel-Szenen bilden den Abschluss des Kapitels und tragen deutlich gerichtliche Bildsprache.</x:v>
      </x:c>
      <x:c r="O1261" s="36" t="str">
        <x:v>FREIGEGEBEN</x:v>
      </x:c>
      <x:c r="P1261" s="36" t="str">
        <x:v>FREIGEGEBEN</x:v>
      </x:c>
      <x:c r="Q1261" s="36" t="str">
        <x:v>JA</x:v>
      </x:c>
    </x:row>
    <x:row r="1262">
      <x:c r="A1262" s="36" t="str">
        <x:v>FP-1521</x:v>
      </x:c>
      <x:c r="B1262" s="36" t="str">
        <x:v>REV</x:v>
      </x:c>
      <x:c r="C1262" s="36" t="str">
        <x:v>Offenbarung</x:v>
      </x:c>
      <x:c r="D1262" s="36" t="n">
        <x:v>15</x:v>
      </x:c>
      <x:c r="E1262" s="36" t="n">
        <x:v>1</x:v>
      </x:c>
      <x:c r="F1262" s="36" t="str">
        <x:v>Warum werden die sieben Plagen in Offenbarung 15 als die letzten bezeichnet?</x:v>
      </x:c>
      <x:c r="G1262" s="36" t="str">
        <x:v>Weil danach Gott nicht mehr richtet.</x:v>
      </x:c>
      <x:c r="H1262" s="36" t="str">
        <x:v>Weil es die ersten Plagen des Buches sind.</x:v>
      </x:c>
      <x:c r="I1262" s="36" t="str">
        <x:v>Weil mit ihnen der Zorn Gottes vollendet wird.</x:v>
      </x:c>
      <x:c r="J1262" s="36" t="str">
        <x:v>Weil nur sieben Menschen betroffen sind.</x:v>
      </x:c>
      <x:c r="K1262" s="36" t="n">
        <x:v>2</x:v>
      </x:c>
      <x:c r="L1262" s="36" t="str">
        <x:v>Weil mit ihnen der Zorn Gottes vollendet wird.</x:v>
      </x:c>
      <x:c r="M1262" s="36" t="str">
        <x:v>Offenbarung 15,1</x:v>
      </x:c>
      <x:c r="N1262" s="36" t="str">
        <x:v>Die sieben letzten Plagen markieren die Vollendung dieses Gerichtszyklus.</x:v>
      </x:c>
      <x:c r="O1262" s="36" t="str">
        <x:v>FREIGEGEBEN</x:v>
      </x:c>
      <x:c r="P1262" s="36" t="str">
        <x:v>FREIGEGEBEN</x:v>
      </x:c>
      <x:c r="Q1262" s="36" t="str">
        <x:v>JA</x:v>
      </x:c>
    </x:row>
    <x:row r="1263">
      <x:c r="A1263" s="36" t="str">
        <x:v>FP-1522</x:v>
      </x:c>
      <x:c r="B1263" s="36" t="str">
        <x:v>REV</x:v>
      </x:c>
      <x:c r="C1263" s="36" t="str">
        <x:v>Offenbarung</x:v>
      </x:c>
      <x:c r="D1263" s="36" t="n">
        <x:v>15</x:v>
      </x:c>
      <x:c r="E1263" s="36" t="n">
        <x:v>2</x:v>
      </x:c>
      <x:c r="F1263" s="36" t="str">
        <x:v>Wer steht am gläsernen Meer mit Harfen von Gott?</x:v>
      </x:c>
      <x:c r="G1263" s="36" t="str">
        <x:v>Die Kaufleute Babylons.</x:v>
      </x:c>
      <x:c r="H1263" s="36" t="str">
        <x:v>Die Anhänger des Tieres.</x:v>
      </x:c>
      <x:c r="I1263" s="36" t="str">
        <x:v>Die vier Reiter.</x:v>
      </x:c>
      <x:c r="J1263" s="36" t="str">
        <x:v>Diejenigen, die über das Tier, sein Bild und die Zahl seines Namens gesiegt haben.</x:v>
      </x:c>
      <x:c r="K1263" s="36" t="n">
        <x:v>3</x:v>
      </x:c>
      <x:c r="L1263" s="36" t="str">
        <x:v>Diejenigen, die über das Tier, sein Bild und die Zahl seines Namens gesiegt haben.</x:v>
      </x:c>
      <x:c r="M1263" s="36" t="str">
        <x:v>Offenbarung 15,2</x:v>
      </x:c>
      <x:c r="N1263" s="36" t="str">
        <x:v>Die Szene zeigt die treuen Überwinder vor dem Beginn der Schalengerichte.</x:v>
      </x:c>
      <x:c r="O1263" s="36" t="str">
        <x:v>FREIGEGEBEN</x:v>
      </x:c>
      <x:c r="P1263" s="36" t="str">
        <x:v>FREIGEGEBEN</x:v>
      </x:c>
      <x:c r="Q1263" s="36" t="str">
        <x:v>JA</x:v>
      </x:c>
    </x:row>
    <x:row r="1264">
      <x:c r="A1264" s="36" t="str">
        <x:v>FP-1523</x:v>
      </x:c>
      <x:c r="B1264" s="36" t="str">
        <x:v>REV</x:v>
      </x:c>
      <x:c r="C1264" s="36" t="str">
        <x:v>Offenbarung</x:v>
      </x:c>
      <x:c r="D1264" s="36" t="n">
        <x:v>15</x:v>
      </x:c>
      <x:c r="E1264" s="36" t="n">
        <x:v>3</x:v>
      </x:c>
      <x:c r="F1264" s="36" t="str">
        <x:v>Welche beiden Bezeichnungen trägt das Lied der Überwinder?</x:v>
      </x:c>
      <x:c r="G1264" s="36" t="str">
        <x:v>Das Lied des Mose und das Lied des Lammes.</x:v>
      </x:c>
      <x:c r="H1264" s="36" t="str">
        <x:v>Das Lied Davids und das Lied Salomos.</x:v>
      </x:c>
      <x:c r="I1264" s="36" t="str">
        <x:v>Das Lied der sieben Gemeinden und das Lied Babylons.</x:v>
      </x:c>
      <x:c r="J1264" s="36" t="str">
        <x:v>Das Lied Michaels und das Lied der Engel.</x:v>
      </x:c>
      <x:c r="K1264" s="36" t="n">
        <x:v>0</x:v>
      </x:c>
      <x:c r="L1264" s="36" t="str">
        <x:v>Das Lied des Mose und das Lied des Lammes.</x:v>
      </x:c>
      <x:c r="M1264" s="36" t="str">
        <x:v>Offenbarung 15,3</x:v>
      </x:c>
      <x:c r="N1264" s="36" t="str">
        <x:v>Die Bezeichnung verbindet Gottes frühere Rettungsgeschichte mit dem Sieg des Lammes.</x:v>
      </x:c>
      <x:c r="O1264" s="36" t="str">
        <x:v>FREIGEGEBEN</x:v>
      </x:c>
      <x:c r="P1264" s="36" t="str">
        <x:v>FREIGEGEBEN</x:v>
      </x:c>
      <x:c r="Q1264" s="36" t="str">
        <x:v>JA</x:v>
      </x:c>
    </x:row>
    <x:row r="1265">
      <x:c r="A1265" s="36" t="str">
        <x:v>FP-1524</x:v>
      </x:c>
      <x:c r="B1265" s="36" t="str">
        <x:v>REV</x:v>
      </x:c>
      <x:c r="C1265" s="36" t="str">
        <x:v>Offenbarung</x:v>
      </x:c>
      <x:c r="D1265" s="36" t="n">
        <x:v>15</x:v>
      </x:c>
      <x:c r="E1265" s="36" t="n">
        <x:v>4</x:v>
      </x:c>
      <x:c r="F1265" s="36" t="str">
        <x:v>Was wird in diesem Lied über Gottes Wege und Taten gesagt?</x:v>
      </x:c>
      <x:c r="G1265" s="36" t="str">
        <x:v>Sie seien verborgen und ungerecht.</x:v>
      </x:c>
      <x:c r="H1265" s="36" t="str">
        <x:v>Sie sind groß und wunderbar, gerecht und wahrhaftig.</x:v>
      </x:c>
      <x:c r="I1265" s="36" t="str">
        <x:v>Sie müssten von den Nationen korrigiert werden.</x:v>
      </x:c>
      <x:c r="J1265" s="36" t="str">
        <x:v>Sie beträfen nur eine einzige Nation.</x:v>
      </x:c>
      <x:c r="K1265" s="36" t="n">
        <x:v>1</x:v>
      </x:c>
      <x:c r="L1265" s="36" t="str">
        <x:v>Sie sind groß und wunderbar, gerecht und wahrhaftig.</x:v>
      </x:c>
      <x:c r="M1265" s="36" t="str">
        <x:v>Offenbarung 15,3–4</x:v>
      </x:c>
      <x:c r="N1265" s="36" t="str">
        <x:v>Der Lobpreis richtet sich auf Gottes Werke, Gerechtigkeit und Heiligkeit und erwartet die Anbetung der Nationen.</x:v>
      </x:c>
      <x:c r="O1265" s="36" t="str">
        <x:v>FREIGEGEBEN</x:v>
      </x:c>
      <x:c r="P1265" s="36" t="str">
        <x:v>FREIGEGEBEN</x:v>
      </x:c>
      <x:c r="Q1265" s="36" t="str">
        <x:v>JA</x:v>
      </x:c>
    </x:row>
    <x:row r="1266">
      <x:c r="A1266" s="36" t="str">
        <x:v>FP-1525</x:v>
      </x:c>
      <x:c r="B1266" s="36" t="str">
        <x:v>REV</x:v>
      </x:c>
      <x:c r="C1266" s="36" t="str">
        <x:v>Offenbarung</x:v>
      </x:c>
      <x:c r="D1266" s="36" t="n">
        <x:v>15</x:v>
      </x:c>
      <x:c r="E1266" s="36" t="n">
        <x:v>5</x:v>
      </x:c>
      <x:c r="F1266" s="36" t="str">
        <x:v>Warum kann niemand den himmlischen Tempel betreten?</x:v>
      </x:c>
      <x:c r="G1266" s="36" t="str">
        <x:v>Weil der Tempel zerstört wurde.</x:v>
      </x:c>
      <x:c r="H1266" s="36" t="str">
        <x:v>Weil das Lamm ihn verlassen hat.</x:v>
      </x:c>
      <x:c r="I1266" s="36" t="str">
        <x:v>Er ist mit Rauch von Gottes Herrlichkeit und Macht erfüllt, bis die sieben Plagen vollendet sind.</x:v>
      </x:c>
      <x:c r="J1266" s="36" t="str">
        <x:v>Weil die Ältesten die Türen verschlossen haben.</x:v>
      </x:c>
      <x:c r="K1266" s="36" t="n">
        <x:v>2</x:v>
      </x:c>
      <x:c r="L1266" s="36" t="str">
        <x:v>Er ist mit Rauch von Gottes Herrlichkeit und Macht erfüllt, bis die sieben Plagen vollendet sind.</x:v>
      </x:c>
      <x:c r="M1266" s="36" t="str">
        <x:v>Offenbarung 15,5–8</x:v>
      </x:c>
      <x:c r="N1266" s="36" t="str">
        <x:v>Die Szene unterstreicht die Heiligkeit und Unaufhaltsamkeit des nun folgenden Gerichts.</x:v>
      </x:c>
      <x:c r="O1266" s="36" t="str">
        <x:v>FREIGEGEBEN</x:v>
      </x:c>
      <x:c r="P1266" s="36" t="str">
        <x:v>FREIGEGEBEN</x:v>
      </x:c>
      <x:c r="Q1266" s="36" t="str">
        <x:v>JA</x:v>
      </x:c>
    </x:row>
    <x:row r="1267">
      <x:c r="A1267" s="36" t="str">
        <x:v>FP-1526</x:v>
      </x:c>
      <x:c r="B1267" s="36" t="str">
        <x:v>REV</x:v>
      </x:c>
      <x:c r="C1267" s="36" t="str">
        <x:v>Offenbarung</x:v>
      </x:c>
      <x:c r="D1267" s="36" t="n">
        <x:v>16</x:v>
      </x:c>
      <x:c r="E1267" s="36" t="n">
        <x:v>1</x:v>
      </x:c>
      <x:c r="F1267" s="36" t="str">
        <x:v>Wen treffen die schmerzhaften Geschwüre der ersten Schale?</x:v>
      </x:c>
      <x:c r="G1267" s="36" t="str">
        <x:v>Die Überwinder am gläsernen Meer.</x:v>
      </x:c>
      <x:c r="H1267" s="36" t="str">
        <x:v>Die vierundzwanzig Ältesten.</x:v>
      </x:c>
      <x:c r="I1267" s="36" t="str">
        <x:v>Alle versiegelten Diener Gottes.</x:v>
      </x:c>
      <x:c r="J1267" s="36" t="str">
        <x:v>Die Menschen mit dem Zeichen des Tieres, die sein Bild anbeten.</x:v>
      </x:c>
      <x:c r="K1267" s="36" t="n">
        <x:v>3</x:v>
      </x:c>
      <x:c r="L1267" s="36" t="str">
        <x:v>Die Menschen mit dem Zeichen des Tieres, die sein Bild anbeten.</x:v>
      </x:c>
      <x:c r="M1267" s="36" t="str">
        <x:v>Offenbarung 16,1–2</x:v>
      </x:c>
      <x:c r="N1267" s="36" t="str">
        <x:v>Die erste Schale trifft gezielt Menschen, die mit dem Tier verbunden sind.</x:v>
      </x:c>
      <x:c r="O1267" s="36" t="str">
        <x:v>FREIGEGEBEN</x:v>
      </x:c>
      <x:c r="P1267" s="36" t="str">
        <x:v>FREIGEGEBEN</x:v>
      </x:c>
      <x:c r="Q1267" s="36" t="str">
        <x:v>JA</x:v>
      </x:c>
    </x:row>
    <x:row r="1268">
      <x:c r="A1268" s="36" t="str">
        <x:v>FP-1527</x:v>
      </x:c>
      <x:c r="B1268" s="36" t="str">
        <x:v>REV</x:v>
      </x:c>
      <x:c r="C1268" s="36" t="str">
        <x:v>Offenbarung</x:v>
      </x:c>
      <x:c r="D1268" s="36" t="n">
        <x:v>16</x:v>
      </x:c>
      <x:c r="E1268" s="36" t="n">
        <x:v>2</x:v>
      </x:c>
      <x:c r="F1268" s="36" t="str">
        <x:v>Was geschieht bei der zweiten und dritten Schale?</x:v>
      </x:c>
      <x:c r="G1268" s="36" t="str">
        <x:v>Meer, Flüsse und Wasserquellen werden zu Blut.</x:v>
      </x:c>
      <x:c r="H1268" s="36" t="str">
        <x:v>Der Euphrat wird zu Gold.</x:v>
      </x:c>
      <x:c r="I1268" s="36" t="str">
        <x:v>Die Sonne wird vollständig ausgelöscht.</x:v>
      </x:c>
      <x:c r="J1268" s="36" t="str">
        <x:v>Der Abgrund wird geschlossen.</x:v>
      </x:c>
      <x:c r="K1268" s="36" t="n">
        <x:v>0</x:v>
      </x:c>
      <x:c r="L1268" s="36" t="str">
        <x:v>Meer, Flüsse und Wasserquellen werden zu Blut.</x:v>
      </x:c>
      <x:c r="M1268" s="36" t="str">
        <x:v>Offenbarung 16,3–7</x:v>
      </x:c>
      <x:c r="N1268" s="36" t="str">
        <x:v>Die Wassergerichte werden im Text mit Gottes gerechtem Urteil über vergossenes Blut verbunden.</x:v>
      </x:c>
      <x:c r="O1268" s="36" t="str">
        <x:v>FREIGEGEBEN</x:v>
      </x:c>
      <x:c r="P1268" s="36" t="str">
        <x:v>FREIGEGEBEN</x:v>
      </x:c>
      <x:c r="Q1268" s="36" t="str">
        <x:v>JA</x:v>
      </x:c>
    </x:row>
    <x:row r="1269">
      <x:c r="A1269" s="36" t="str">
        <x:v>FP-1528</x:v>
      </x:c>
      <x:c r="B1269" s="36" t="str">
        <x:v>REV</x:v>
      </x:c>
      <x:c r="C1269" s="36" t="str">
        <x:v>Offenbarung</x:v>
      </x:c>
      <x:c r="D1269" s="36" t="n">
        <x:v>16</x:v>
      </x:c>
      <x:c r="E1269" s="36" t="n">
        <x:v>3</x:v>
      </x:c>
      <x:c r="F1269" s="36" t="str">
        <x:v>Wie reagieren Menschen auf die große Hitze und die Finsternis des Tierreiches?</x:v>
      </x:c>
      <x:c r="G1269" s="36" t="str">
        <x:v>Sie geben Gott sofort die Ehre.</x:v>
      </x:c>
      <x:c r="H1269" s="36" t="str">
        <x:v>Sie lästern Gott und kehren trotz der Plagen nicht um.</x:v>
      </x:c>
      <x:c r="I1269" s="36" t="str">
        <x:v>Sie verlassen geschlossen das Tier.</x:v>
      </x:c>
      <x:c r="J1269" s="36" t="str">
        <x:v>Sie bitten die Heiligen um Vergebung.</x:v>
      </x:c>
      <x:c r="K1269" s="36" t="n">
        <x:v>1</x:v>
      </x:c>
      <x:c r="L1269" s="36" t="str">
        <x:v>Sie lästern Gott und kehren trotz der Plagen nicht um.</x:v>
      </x:c>
      <x:c r="M1269" s="36" t="str">
        <x:v>Offenbarung 16,8–11</x:v>
      </x:c>
      <x:c r="N1269" s="36" t="str">
        <x:v>Wie schon in Kapitel 9 betont der Text die Verhärtung: Leiden führt nicht automatisch zur Umkehr.</x:v>
      </x:c>
      <x:c r="O1269" s="36" t="str">
        <x:v>FREIGEGEBEN</x:v>
      </x:c>
      <x:c r="P1269" s="36" t="str">
        <x:v>FREIGEGEBEN</x:v>
      </x:c>
      <x:c r="Q1269" s="36" t="str">
        <x:v>JA</x:v>
      </x:c>
    </x:row>
    <x:row r="1270">
      <x:c r="A1270" s="36" t="str">
        <x:v>FP-1529</x:v>
      </x:c>
      <x:c r="B1270" s="36" t="str">
        <x:v>REV</x:v>
      </x:c>
      <x:c r="C1270" s="36" t="str">
        <x:v>Offenbarung</x:v>
      </x:c>
      <x:c r="D1270" s="36" t="n">
        <x:v>16</x:v>
      </x:c>
      <x:c r="E1270" s="36" t="n">
        <x:v>4</x:v>
      </x:c>
      <x:c r="F1270" s="36" t="str">
        <x:v>Was geschieht im Zusammenhang mit der sechsten Schale?</x:v>
      </x:c>
      <x:c r="G1270" s="36" t="str">
        <x:v>Die neue Stadt steigt vom Himmel herab.</x:v>
      </x:c>
      <x:c r="H1270" s="36" t="str">
        <x:v>Der Drache wird endgültig in den Feuersee geworfen.</x:v>
      </x:c>
      <x:c r="I1270" s="36" t="str">
        <x:v>Der Euphrat trocknet aus, dämonische Geister sammeln Könige zum Kampf, und der Ort Harmagedon wird genannt.</x:v>
      </x:c>
      <x:c r="J1270" s="36" t="str">
        <x:v>Die Hochzeit des Lammes beginnt.</x:v>
      </x:c>
      <x:c r="K1270" s="36" t="n">
        <x:v>2</x:v>
      </x:c>
      <x:c r="L1270" s="36" t="str">
        <x:v>Der Euphrat trocknet aus, dämonische Geister sammeln Könige zum Kampf, und der Ort Harmagedon wird genannt.</x:v>
      </x:c>
      <x:c r="M1270" s="36" t="str">
        <x:v>Offenbarung 16,12–16</x:v>
      </x:c>
      <x:c r="N1270" s="36" t="str">
        <x:v>Die Szene verbindet geopolitisch anmutende Bildsprache mit geistlicher Verführung; mitten darin steht der Ruf zur Wachsamkeit.</x:v>
      </x:c>
      <x:c r="O1270" s="36" t="str">
        <x:v>FREIGEGEBEN</x:v>
      </x:c>
      <x:c r="P1270" s="36" t="str">
        <x:v>FREIGEGEBEN</x:v>
      </x:c>
      <x:c r="Q1270" s="36" t="str">
        <x:v>JA</x:v>
      </x:c>
    </x:row>
    <x:row r="1271">
      <x:c r="A1271" s="36" t="str">
        <x:v>FP-1530</x:v>
      </x:c>
      <x:c r="B1271" s="36" t="str">
        <x:v>REV</x:v>
      </x:c>
      <x:c r="C1271" s="36" t="str">
        <x:v>Offenbarung</x:v>
      </x:c>
      <x:c r="D1271" s="36" t="n">
        <x:v>16</x:v>
      </x:c>
      <x:c r="E1271" s="36" t="n">
        <x:v>5</x:v>
      </x:c>
      <x:c r="F1271" s="36" t="str">
        <x:v>Welche Erklärung ertönt bei der siebten Schale vom Thron?</x:v>
      </x:c>
      <x:c r="G1271" s="36" t="str">
        <x:v>Alles beginnt von vorn.</x:v>
      </x:c>
      <x:c r="H1271" s="36" t="str">
        <x:v>Babylon wird zum ewigen Reich.</x:v>
      </x:c>
      <x:c r="I1271" s="36" t="str">
        <x:v>Die sieben Gemeinden werden gerichtet.</x:v>
      </x:c>
      <x:c r="J1271" s="36" t="str">
        <x:v>Es ist geschehen.</x:v>
      </x:c>
      <x:c r="K1271" s="36" t="n">
        <x:v>3</x:v>
      </x:c>
      <x:c r="L1271" s="36" t="str">
        <x:v>Es ist geschehen.</x:v>
      </x:c>
      <x:c r="M1271" s="36" t="str">
        <x:v>Offenbarung 16,17–21</x:v>
      </x:c>
      <x:c r="N1271" s="36" t="str">
        <x:v>Die abschließende Schale bringt gewaltige Erschütterungen und die Erinnerung Gottes an Babylon.</x:v>
      </x:c>
      <x:c r="O1271" s="36" t="str">
        <x:v>FREIGEGEBEN</x:v>
      </x:c>
      <x:c r="P1271" s="36" t="str">
        <x:v>FREIGEGEBEN</x:v>
      </x:c>
      <x:c r="Q1271" s="36" t="str">
        <x:v>JA</x:v>
      </x:c>
    </x:row>
    <x:row r="1272">
      <x:c r="A1272" s="36" t="str">
        <x:v>FP-1531</x:v>
      </x:c>
      <x:c r="B1272" s="36" t="str">
        <x:v>REV</x:v>
      </x:c>
      <x:c r="C1272" s="36" t="str">
        <x:v>Offenbarung</x:v>
      </x:c>
      <x:c r="D1272" s="36" t="n">
        <x:v>17</x:v>
      </x:c>
      <x:c r="E1272" s="36" t="n">
        <x:v>1</x:v>
      </x:c>
      <x:c r="F1272" s="36" t="str">
        <x:v>Wie erscheint 'Babylon, die Große' in der Vision?</x:v>
      </x:c>
      <x:c r="G1272" s="36" t="str">
        <x:v>Als reich geschmückte Frau auf einem scharlachroten Tier mit sieben Köpfen und zehn Hörnern.</x:v>
      </x:c>
      <x:c r="H1272" s="36" t="str">
        <x:v>Als das Lamm auf dem Berg Zion.</x:v>
      </x:c>
      <x:c r="I1272" s="36" t="str">
        <x:v>Als neue Stadt aus reinem Gold.</x:v>
      </x:c>
      <x:c r="J1272" s="36" t="str">
        <x:v>Als einer der vier Reiter.</x:v>
      </x:c>
      <x:c r="K1272" s="36" t="n">
        <x:v>0</x:v>
      </x:c>
      <x:c r="L1272" s="36" t="str">
        <x:v>Als reich geschmückte Frau auf einem scharlachroten Tier mit sieben Köpfen und zehn Hörnern.</x:v>
      </x:c>
      <x:c r="M1272" s="36" t="str">
        <x:v>Offenbarung 17,1–5</x:v>
      </x:c>
      <x:c r="N1272" s="36" t="str">
        <x:v>Die große Hure beziehungsweise Babylon wird in einer bewusst symbolischen Bildszene dargestellt.</x:v>
      </x:c>
      <x:c r="O1272" s="36" t="str">
        <x:v>FREIGEGEBEN</x:v>
      </x:c>
      <x:c r="P1272" s="36" t="str">
        <x:v>FREIGEGEBEN</x:v>
      </x:c>
      <x:c r="Q1272" s="36" t="str">
        <x:v>JA</x:v>
      </x:c>
    </x:row>
    <x:row r="1273">
      <x:c r="A1273" s="36" t="str">
        <x:v>FP-1532</x:v>
      </x:c>
      <x:c r="B1273" s="36" t="str">
        <x:v>REV</x:v>
      </x:c>
      <x:c r="C1273" s="36" t="str">
        <x:v>Offenbarung</x:v>
      </x:c>
      <x:c r="D1273" s="36" t="n">
        <x:v>17</x:v>
      </x:c>
      <x:c r="E1273" s="36" t="n">
        <x:v>2</x:v>
      </x:c>
      <x:c r="F1273" s="36" t="str">
        <x:v>Wovon ist die Frau nach Johannes' Vision betrunken?</x:v>
      </x:c>
      <x:c r="G1273" s="36" t="str">
        <x:v>Vom Wasser des Lebens.</x:v>
      </x:c>
      <x:c r="H1273" s="36" t="str">
        <x:v>Vom Blut der Heiligen und der Zeugen Jesu.</x:v>
      </x:c>
      <x:c r="I1273" s="36" t="str">
        <x:v>Von den Tränen der Kaufleute.</x:v>
      </x:c>
      <x:c r="J1273" s="36" t="str">
        <x:v>Vom Wein des Hochzeitsmahls des Lammes.</x:v>
      </x:c>
      <x:c r="K1273" s="36" t="n">
        <x:v>1</x:v>
      </x:c>
      <x:c r="L1273" s="36" t="str">
        <x:v>Vom Blut der Heiligen und der Zeugen Jesu.</x:v>
      </x:c>
      <x:c r="M1273" s="36" t="str">
        <x:v>Offenbarung 17,6</x:v>
      </x:c>
      <x:c r="N1273" s="36" t="str">
        <x:v>Das Bild verbindet Babylon mit Gewalt gegen Gottes Volk.</x:v>
      </x:c>
      <x:c r="O1273" s="36" t="str">
        <x:v>FREIGEGEBEN</x:v>
      </x:c>
      <x:c r="P1273" s="36" t="str">
        <x:v>FREIGEGEBEN</x:v>
      </x:c>
      <x:c r="Q1273" s="36" t="str">
        <x:v>JA</x:v>
      </x:c>
    </x:row>
    <x:row r="1274">
      <x:c r="A1274" s="36" t="str">
        <x:v>FP-1533</x:v>
      </x:c>
      <x:c r="B1274" s="36" t="str">
        <x:v>REV</x:v>
      </x:c>
      <x:c r="C1274" s="36" t="str">
        <x:v>Offenbarung</x:v>
      </x:c>
      <x:c r="D1274" s="36" t="n">
        <x:v>17</x:v>
      </x:c>
      <x:c r="E1274" s="36" t="n">
        <x:v>3</x:v>
      </x:c>
      <x:c r="F1274" s="36" t="str">
        <x:v>Wofür stehen die zehn Hörner nach der Erklärung des Engels?</x:v>
      </x:c>
      <x:c r="G1274" s="36" t="str">
        <x:v>Für die zehn Gebote.</x:v>
      </x:c>
      <x:c r="H1274" s="36" t="str">
        <x:v>Für zehn Apostel.</x:v>
      </x:c>
      <x:c r="I1274" s="36" t="str">
        <x:v>Für zehn Könige, die für kurze Zeit Macht mit dem Tier erhalten.</x:v>
      </x:c>
      <x:c r="J1274" s="36" t="str">
        <x:v>Für zehn Gemeinden in Asien.</x:v>
      </x:c>
      <x:c r="K1274" s="36" t="n">
        <x:v>2</x:v>
      </x:c>
      <x:c r="L1274" s="36" t="str">
        <x:v>Für zehn Könige, die für kurze Zeit Macht mit dem Tier erhalten.</x:v>
      </x:c>
      <x:c r="M1274" s="36" t="str">
        <x:v>Offenbarung 17,9–13</x:v>
      </x:c>
      <x:c r="N1274" s="36" t="str">
        <x:v>Der Engel erklärt Teile der Symbolik ausdrücklich; die Hörner werden als Könige gedeutet.</x:v>
      </x:c>
      <x:c r="O1274" s="36" t="str">
        <x:v>FREIGEGEBEN</x:v>
      </x:c>
      <x:c r="P1274" s="36" t="str">
        <x:v>FREIGEGEBEN</x:v>
      </x:c>
      <x:c r="Q1274" s="36" t="str">
        <x:v>JA</x:v>
      </x:c>
    </x:row>
    <x:row r="1275">
      <x:c r="A1275" s="36" t="str">
        <x:v>FP-1534</x:v>
      </x:c>
      <x:c r="B1275" s="36" t="str">
        <x:v>REV</x:v>
      </x:c>
      <x:c r="C1275" s="36" t="str">
        <x:v>Offenbarung</x:v>
      </x:c>
      <x:c r="D1275" s="36" t="n">
        <x:v>17</x:v>
      </x:c>
      <x:c r="E1275" s="36" t="n">
        <x:v>4</x:v>
      </x:c>
      <x:c r="F1275" s="36" t="str">
        <x:v>Warum wird das Lamm die gegen es kämpfenden Mächte überwinden?</x:v>
      </x:c>
      <x:c r="G1275" s="36" t="str">
        <x:v>Weil Babylon ihm ihre Macht übergibt.</x:v>
      </x:c>
      <x:c r="H1275" s="36" t="str">
        <x:v>Weil das Tier freiwillig abdankt.</x:v>
      </x:c>
      <x:c r="I1275" s="36" t="str">
        <x:v>Weil die Könige keine Armeen besitzen.</x:v>
      </x:c>
      <x:c r="J1275" s="36" t="str">
        <x:v>Weil es Herr der Herren und König der Könige ist.</x:v>
      </x:c>
      <x:c r="K1275" s="36" t="n">
        <x:v>3</x:v>
      </x:c>
      <x:c r="L1275" s="36" t="str">
        <x:v>Weil es Herr der Herren und König der Könige ist.</x:v>
      </x:c>
      <x:c r="M1275" s="36" t="str">
        <x:v>Offenbarung 17,14</x:v>
      </x:c>
      <x:c r="N1275" s="36" t="str">
        <x:v>Der Sieg des Lammes wird in seiner höchsten Herrschaft begründet und mit den Berufenen, Auserwählten und Treuen verbunden.</x:v>
      </x:c>
      <x:c r="O1275" s="36" t="str">
        <x:v>FREIGEGEBEN</x:v>
      </x:c>
      <x:c r="P1275" s="36" t="str">
        <x:v>FREIGEGEBEN</x:v>
      </x:c>
      <x:c r="Q1275" s="36" t="str">
        <x:v>JA</x:v>
      </x:c>
    </x:row>
    <x:row r="1276">
      <x:c r="A1276" s="36" t="str">
        <x:v>FP-1535</x:v>
      </x:c>
      <x:c r="B1276" s="36" t="str">
        <x:v>REV</x:v>
      </x:c>
      <x:c r="C1276" s="36" t="str">
        <x:v>Offenbarung</x:v>
      </x:c>
      <x:c r="D1276" s="36" t="n">
        <x:v>17</x:v>
      </x:c>
      <x:c r="E1276" s="36" t="n">
        <x:v>5</x:v>
      </x:c>
      <x:c r="F1276" s="36" t="str">
        <x:v>Was geschieht schließlich zwischen dem Tier, den zehn Hörnern und der Frau?</x:v>
      </x:c>
      <x:c r="G1276" s="36" t="str">
        <x:v>Die Mächte wenden sich gegen die Frau und zerstören sie.</x:v>
      </x:c>
      <x:c r="H1276" s="36" t="str">
        <x:v>Sie krönen die Frau dauerhaft zur Königin.</x:v>
      </x:c>
      <x:c r="I1276" s="36" t="str">
        <x:v>Sie unterwerfen sich der Frau für immer.</x:v>
      </x:c>
      <x:c r="J1276" s="36" t="str">
        <x:v>Sie bringen die Frau zum neuen Jerusalem.</x:v>
      </x:c>
      <x:c r="K1276" s="36" t="n">
        <x:v>0</x:v>
      </x:c>
      <x:c r="L1276" s="36" t="str">
        <x:v>Die Mächte wenden sich gegen die Frau und zerstören sie.</x:v>
      </x:c>
      <x:c r="M1276" s="36" t="str">
        <x:v>Offenbarung 17,15–18</x:v>
      </x:c>
      <x:c r="N1276" s="36" t="str">
        <x:v>Das System, das Babylon trägt, wendet sich am Ende selbst gegen sie; der Text ordnet auch dies der Erfüllung von Gottes Plan unter.</x:v>
      </x:c>
      <x:c r="O1276" s="36" t="str">
        <x:v>FREIGEGEBEN</x:v>
      </x:c>
      <x:c r="P1276" s="36" t="str">
        <x:v>FREIGEGEBEN</x:v>
      </x:c>
      <x:c r="Q1276" s="36" t="str">
        <x:v>JA</x:v>
      </x:c>
    </x:row>
    <x:row r="1277">
      <x:c r="A1277" s="36" t="str">
        <x:v>FP-1536</x:v>
      </x:c>
      <x:c r="B1277" s="36" t="str">
        <x:v>REV</x:v>
      </x:c>
      <x:c r="C1277" s="36" t="str">
        <x:v>Offenbarung</x:v>
      </x:c>
      <x:c r="D1277" s="36" t="n">
        <x:v>18</x:v>
      </x:c>
      <x:c r="E1277" s="36" t="n">
        <x:v>1</x:v>
      </x:c>
      <x:c r="F1277" s="36" t="str">
        <x:v>Welche Botschaft verkündet der mächtige Engel über Babylon?</x:v>
      </x:c>
      <x:c r="G1277" s="36" t="str">
        <x:v>Babylon wird Gottes neue Stadt.</x:v>
      </x:c>
      <x:c r="H1277" s="36" t="str">
        <x:v>Gefallen, gefallen ist Babylon, die Große.</x:v>
      </x:c>
      <x:c r="I1277" s="36" t="str">
        <x:v>Babylon erhält eine zweite Krone.</x:v>
      </x:c>
      <x:c r="J1277" s="36" t="str">
        <x:v>Babylon ersetzt Jerusalem im Himmel.</x:v>
      </x:c>
      <x:c r="K1277" s="36" t="n">
        <x:v>1</x:v>
      </x:c>
      <x:c r="L1277" s="36" t="str">
        <x:v>Gefallen, gefallen ist Babylon, die Große.</x:v>
      </x:c>
      <x:c r="M1277" s="36" t="str">
        <x:v>Offenbarung 18,1–3</x:v>
      </x:c>
      <x:c r="N1277" s="36" t="str">
        <x:v>Kapitel 18 entfaltet den angekündigten Fall Babylons und dessen Folgen.</x:v>
      </x:c>
      <x:c r="O1277" s="36" t="str">
        <x:v>FREIGEGEBEN</x:v>
      </x:c>
      <x:c r="P1277" s="36" t="str">
        <x:v>FREIGEGEBEN</x:v>
      </x:c>
      <x:c r="Q1277" s="36" t="str">
        <x:v>JA</x:v>
      </x:c>
    </x:row>
    <x:row r="1278">
      <x:c r="A1278" s="36" t="str">
        <x:v>FP-1537</x:v>
      </x:c>
      <x:c r="B1278" s="36" t="str">
        <x:v>REV</x:v>
      </x:c>
      <x:c r="C1278" s="36" t="str">
        <x:v>Offenbarung</x:v>
      </x:c>
      <x:c r="D1278" s="36" t="n">
        <x:v>18</x:v>
      </x:c>
      <x:c r="E1278" s="36" t="n">
        <x:v>2</x:v>
      </x:c>
      <x:c r="F1278" s="36" t="str">
        <x:v>Welchen Ruf hört Gottes Volk im Blick auf Babylon?</x:v>
      </x:c>
      <x:c r="G1278" s="36" t="str">
        <x:v>Baut Babylon wieder auf.</x:v>
      </x:c>
      <x:c r="H1278" s="36" t="str">
        <x:v>Teilt ihre Sünden, um sie zu verstehen.</x:v>
      </x:c>
      <x:c r="I1278" s="36" t="str">
        <x:v>Geht hinaus aus ihr, damit ihr nicht an ihren Sünden und Plagen teilhabt.</x:v>
      </x:c>
      <x:c r="J1278" s="36" t="str">
        <x:v>Übernehmt ihre wirtschaftliche Macht.</x:v>
      </x:c>
      <x:c r="K1278" s="36" t="n">
        <x:v>2</x:v>
      </x:c>
      <x:c r="L1278" s="36" t="str">
        <x:v>Geht hinaus aus ihr, damit ihr nicht an ihren Sünden und Plagen teilhabt.</x:v>
      </x:c>
      <x:c r="M1278" s="36" t="str">
        <x:v>Offenbarung 18,4–8</x:v>
      </x:c>
      <x:c r="N1278" s="36" t="str">
        <x:v>Die Distanzierung ist moralisch und geistlich begründet: Gottes Volk soll nicht an Babylons Sünden teilnehmen.</x:v>
      </x:c>
      <x:c r="O1278" s="36" t="str">
        <x:v>FREIGEGEBEN</x:v>
      </x:c>
      <x:c r="P1278" s="36" t="str">
        <x:v>FREIGEGEBEN</x:v>
      </x:c>
      <x:c r="Q1278" s="36" t="str">
        <x:v>JA</x:v>
      </x:c>
    </x:row>
    <x:row r="1279">
      <x:c r="A1279" s="36" t="str">
        <x:v>FP-1538</x:v>
      </x:c>
      <x:c r="B1279" s="36" t="str">
        <x:v>REV</x:v>
      </x:c>
      <x:c r="C1279" s="36" t="str">
        <x:v>Offenbarung</x:v>
      </x:c>
      <x:c r="D1279" s="36" t="n">
        <x:v>18</x:v>
      </x:c>
      <x:c r="E1279" s="36" t="n">
        <x:v>3</x:v>
      </x:c>
      <x:c r="F1279" s="36" t="str">
        <x:v>Warum trauern die Kaufleute der Erde über Babylons Fall?</x:v>
      </x:c>
      <x:c r="G1279" s="36" t="str">
        <x:v>Weil ihre Waren im neuen Jerusalem verboten werden.</x:v>
      </x:c>
      <x:c r="H1279" s="36" t="str">
        <x:v>Weil sie selbst zu den zwei Zeugen werden.</x:v>
      </x:c>
      <x:c r="I1279" s="36" t="str">
        <x:v>Weil das Meer dauerhaft verschwindet.</x:v>
      </x:c>
      <x:c r="J1279" s="36" t="str">
        <x:v>Weil niemand ihre Waren mehr kauft und der große Reichtum zusammenbricht.</x:v>
      </x:c>
      <x:c r="K1279" s="36" t="n">
        <x:v>3</x:v>
      </x:c>
      <x:c r="L1279" s="36" t="str">
        <x:v>Weil niemand ihre Waren mehr kauft und der große Reichtum zusammenbricht.</x:v>
      </x:c>
      <x:c r="M1279" s="36" t="str">
        <x:v>Offenbarung 18,11–19</x:v>
      </x:c>
      <x:c r="N1279" s="36" t="str">
        <x:v>Die Klage der Kaufleute zeigt Babylons wirtschaftliche Macht und die Abhängigkeit vieler von ihrem Luxus.</x:v>
      </x:c>
      <x:c r="O1279" s="36" t="str">
        <x:v>FREIGEGEBEN</x:v>
      </x:c>
      <x:c r="P1279" s="36" t="str">
        <x:v>FREIGEGEBEN</x:v>
      </x:c>
      <x:c r="Q1279" s="36" t="str">
        <x:v>JA</x:v>
      </x:c>
    </x:row>
    <x:row r="1280">
      <x:c r="A1280" s="36" t="str">
        <x:v>FP-1539</x:v>
      </x:c>
      <x:c r="B1280" s="36" t="str">
        <x:v>REV</x:v>
      </x:c>
      <x:c r="C1280" s="36" t="str">
        <x:v>Offenbarung</x:v>
      </x:c>
      <x:c r="D1280" s="36" t="n">
        <x:v>18</x:v>
      </x:c>
      <x:c r="E1280" s="36" t="n">
        <x:v>4</x:v>
      </x:c>
      <x:c r="F1280" s="36" t="str">
        <x:v>Welcher besonders ernste Bestandteil erscheint in der langen Warenliste Babylons?</x:v>
      </x:c>
      <x:c r="G1280" s="36" t="str">
        <x:v>Menschen werden selbst als Handelsware genannt.</x:v>
      </x:c>
      <x:c r="H1280" s="36" t="str">
        <x:v>Nur landwirtschaftliche Geräte.</x:v>
      </x:c>
      <x:c r="I1280" s="36" t="str">
        <x:v>Ausschließlich religiöse Bücher.</x:v>
      </x:c>
      <x:c r="J1280" s="36" t="str">
        <x:v>Nur kostbare Steine ohne weitere Güter.</x:v>
      </x:c>
      <x:c r="K1280" s="36" t="n">
        <x:v>0</x:v>
      </x:c>
      <x:c r="L1280" s="36" t="str">
        <x:v>Menschen werden selbst als Handelsware genannt.</x:v>
      </x:c>
      <x:c r="M1280" s="36" t="str">
        <x:v>Offenbarung 18,12–13</x:v>
      </x:c>
      <x:c r="N1280" s="36" t="str">
        <x:v>Die Liste steigert die Kritik am Luxus-System bis zum Handel mit menschlichem Leben.</x:v>
      </x:c>
      <x:c r="O1280" s="36" t="str">
        <x:v>FREIGEGEBEN</x:v>
      </x:c>
      <x:c r="P1280" s="36" t="str">
        <x:v>FREIGEGEBEN</x:v>
      </x:c>
      <x:c r="Q1280" s="36" t="str">
        <x:v>JA</x:v>
      </x:c>
    </x:row>
    <x:row r="1281">
      <x:c r="A1281" s="36" t="str">
        <x:v>FP-1540</x:v>
      </x:c>
      <x:c r="B1281" s="36" t="str">
        <x:v>REV</x:v>
      </x:c>
      <x:c r="C1281" s="36" t="str">
        <x:v>Offenbarung</x:v>
      </x:c>
      <x:c r="D1281" s="36" t="n">
        <x:v>18</x:v>
      </x:c>
      <x:c r="E1281" s="36" t="n">
        <x:v>5</x:v>
      </x:c>
      <x:c r="F1281" s="36" t="str">
        <x:v>Welches Bild verwendet der Engel für die Endgültigkeit von Babylons Fall?</x:v>
      </x:c>
      <x:c r="G1281" s="36" t="str">
        <x:v>Ein Feigenbaum wird neu gepflanzt.</x:v>
      </x:c>
      <x:c r="H1281" s="36" t="str">
        <x:v>Ein großer Mühlstein wird ins Meer geworfen, so wird Babylon mit Gewalt niedergeworfen und nicht mehr gefunden.</x:v>
      </x:c>
      <x:c r="I1281" s="36" t="str">
        <x:v>Eine Tür wird geöffnet, die niemand schließen kann.</x:v>
      </x:c>
      <x:c r="J1281" s="36" t="str">
        <x:v>Ein Regenbogen erscheint über der Stadt.</x:v>
      </x:c>
      <x:c r="K1281" s="36" t="n">
        <x:v>1</x:v>
      </x:c>
      <x:c r="L1281" s="36" t="str">
        <x:v>Ein großer Mühlstein wird ins Meer geworfen, so wird Babylon mit Gewalt niedergeworfen und nicht mehr gefunden.</x:v>
      </x:c>
      <x:c r="M1281" s="36" t="str">
        <x:v>Offenbarung 18,20–24</x:v>
      </x:c>
      <x:c r="N1281" s="36" t="str">
        <x:v>Der Mühlstein symbolisiert den unumkehrbaren Fall; abschließend wird Babylon auch mit dem Blut von Propheten und Heiligen verbunden.</x:v>
      </x:c>
      <x:c r="O1281" s="36" t="str">
        <x:v>FREIGEGEBEN</x:v>
      </x:c>
      <x:c r="P1281" s="36" t="str">
        <x:v>FREIGEGEBEN</x:v>
      </x:c>
      <x:c r="Q1281" s="36" t="str">
        <x:v>JA</x:v>
      </x:c>
    </x:row>
    <x:row r="1282">
      <x:c r="A1282" s="36" t="str">
        <x:v>FP-1541</x:v>
      </x:c>
      <x:c r="B1282" s="36" t="str">
        <x:v>REV</x:v>
      </x:c>
      <x:c r="C1282" s="36" t="str">
        <x:v>Offenbarung</x:v>
      </x:c>
      <x:c r="D1282" s="36" t="n">
        <x:v>19</x:v>
      </x:c>
      <x:c r="E1282" s="36" t="n">
        <x:v>1</x:v>
      </x:c>
      <x:c r="F1282" s="36" t="str">
        <x:v>Warum lobt die große Menge Gott zu Beginn des Kapitels?</x:v>
      </x:c>
      <x:c r="G1282" s="36" t="str">
        <x:v>Weil Babylon das Reich Gottes geworden ist.</x:v>
      </x:c>
      <x:c r="H1282" s="36" t="str">
        <x:v>Weil das Tier die Heiligen besiegt hat.</x:v>
      </x:c>
      <x:c r="I1282" s="36" t="str">
        <x:v>Weil seine Gerichte wahr und gerecht sind und er Babylon gerichtet hat.</x:v>
      </x:c>
      <x:c r="J1282" s="36" t="str">
        <x:v>Weil die sieben Plagen aufgehoben wurden.</x:v>
      </x:c>
      <x:c r="K1282" s="36" t="n">
        <x:v>2</x:v>
      </x:c>
      <x:c r="L1282" s="36" t="str">
        <x:v>Weil seine Gerichte wahr und gerecht sind und er Babylon gerichtet hat.</x:v>
      </x:c>
      <x:c r="M1282" s="36" t="str">
        <x:v>Offenbarung 19,1–5</x:v>
      </x:c>
      <x:c r="N1282" s="36" t="str">
        <x:v>Das Halleluja antwortet auf das gerechte Gericht über die verführerische und gewalttätige Stadt.</x:v>
      </x:c>
      <x:c r="O1282" s="36" t="str">
        <x:v>FREIGEGEBEN</x:v>
      </x:c>
      <x:c r="P1282" s="36" t="str">
        <x:v>FREIGEGEBEN</x:v>
      </x:c>
      <x:c r="Q1282" s="36" t="str">
        <x:v>JA</x:v>
      </x:c>
    </x:row>
    <x:row r="1283">
      <x:c r="A1283" s="36" t="str">
        <x:v>FP-1542</x:v>
      </x:c>
      <x:c r="B1283" s="36" t="str">
        <x:v>REV</x:v>
      </x:c>
      <x:c r="C1283" s="36" t="str">
        <x:v>Offenbarung</x:v>
      </x:c>
      <x:c r="D1283" s="36" t="n">
        <x:v>19</x:v>
      </x:c>
      <x:c r="E1283" s="36" t="n">
        <x:v>2</x:v>
      </x:c>
      <x:c r="F1283" s="36" t="str">
        <x:v>Welches freudige Ereignis wird nach dem Lobpreis angekündigt?</x:v>
      </x:c>
      <x:c r="G1283" s="36" t="str">
        <x:v>Die Krönung des Tieres.</x:v>
      </x:c>
      <x:c r="H1283" s="36" t="str">
        <x:v>Die Rückkehr Babylons.</x:v>
      </x:c>
      <x:c r="I1283" s="36" t="str">
        <x:v>Die Schließung des Buches des Lebens.</x:v>
      </x:c>
      <x:c r="J1283" s="36" t="str">
        <x:v>Die Hochzeit des Lammes und das Hochzeitsmahl.</x:v>
      </x:c>
      <x:c r="K1283" s="36" t="n">
        <x:v>3</x:v>
      </x:c>
      <x:c r="L1283" s="36" t="str">
        <x:v>Die Hochzeit des Lammes und das Hochzeitsmahl.</x:v>
      </x:c>
      <x:c r="M1283" s="36" t="str">
        <x:v>Offenbarung 19,6–9</x:v>
      </x:c>
      <x:c r="N1283" s="36" t="str">
        <x:v>Die Hochzeit des Lammes steht als Gegenbild zu Babylon und führt zum Seligpreis der Eingeladenen.</x:v>
      </x:c>
      <x:c r="O1283" s="36" t="str">
        <x:v>FREIGEGEBEN</x:v>
      </x:c>
      <x:c r="P1283" s="36" t="str">
        <x:v>FREIGEGEBEN</x:v>
      </x:c>
      <x:c r="Q1283" s="36" t="str">
        <x:v>JA</x:v>
      </x:c>
    </x:row>
    <x:row r="1284">
      <x:c r="A1284" s="36" t="str">
        <x:v>FP-1543</x:v>
      </x:c>
      <x:c r="B1284" s="36" t="str">
        <x:v>REV</x:v>
      </x:c>
      <x:c r="C1284" s="36" t="str">
        <x:v>Offenbarung</x:v>
      </x:c>
      <x:c r="D1284" s="36" t="n">
        <x:v>19</x:v>
      </x:c>
      <x:c r="E1284" s="36" t="n">
        <x:v>3</x:v>
      </x:c>
      <x:c r="F1284" s="36" t="str">
        <x:v>Wie reagiert der Engel, als Johannes vor ihm niederfällt?</x:v>
      </x:c>
      <x:c r="G1284" s="36" t="str">
        <x:v>Er verbietet es und sagt: Bete Gott an.</x:v>
      </x:c>
      <x:c r="H1284" s="36" t="str">
        <x:v>Er nimmt die Anbetung an.</x:v>
      </x:c>
      <x:c r="I1284" s="36" t="str">
        <x:v>Er fordert Johannes auf, auch andere Engel anzubeten.</x:v>
      </x:c>
      <x:c r="J1284" s="36" t="str">
        <x:v>Er erklärt sich selbst zum Lamm.</x:v>
      </x:c>
      <x:c r="K1284" s="36" t="n">
        <x:v>0</x:v>
      </x:c>
      <x:c r="L1284" s="36" t="str">
        <x:v>Er verbietet es und sagt: Bete Gott an.</x:v>
      </x:c>
      <x:c r="M1284" s="36" t="str">
        <x:v>Offenbarung 19,10</x:v>
      </x:c>
      <x:c r="N1284" s="36" t="str">
        <x:v>Die Offenbarung grenzt Engelverehrung ausdrücklich ab und richtet Anbetung auf Gott.</x:v>
      </x:c>
      <x:c r="O1284" s="36" t="str">
        <x:v>FREIGEGEBEN</x:v>
      </x:c>
      <x:c r="P1284" s="36" t="str">
        <x:v>FREIGEGEBEN</x:v>
      </x:c>
      <x:c r="Q1284" s="36" t="str">
        <x:v>JA</x:v>
      </x:c>
    </x:row>
    <x:row r="1285">
      <x:c r="A1285" s="36" t="str">
        <x:v>FP-1544</x:v>
      </x:c>
      <x:c r="B1285" s="36" t="str">
        <x:v>REV</x:v>
      </x:c>
      <x:c r="C1285" s="36" t="str">
        <x:v>Offenbarung</x:v>
      </x:c>
      <x:c r="D1285" s="36" t="n">
        <x:v>19</x:v>
      </x:c>
      <x:c r="E1285" s="36" t="n">
        <x:v>4</x:v>
      </x:c>
      <x:c r="F1285" s="36" t="str">
        <x:v>Wie wird der Reiter auf dem weißen Pferd bezeichnet?</x:v>
      </x:c>
      <x:c r="G1285" s="36" t="str">
        <x:v>Abaddon und Apollyon.</x:v>
      </x:c>
      <x:c r="H1285" s="36" t="str">
        <x:v>Treue und Wahrhaftige, Wort Gottes sowie König der Könige und Herr der Herren.</x:v>
      </x:c>
      <x:c r="I1285" s="36" t="str">
        <x:v>Babylon und Morgenstern.</x:v>
      </x:c>
      <x:c r="J1285" s="36" t="str">
        <x:v>Der falsche Prophet und zweite Zeuge.</x:v>
      </x:c>
      <x:c r="K1285" s="36" t="n">
        <x:v>1</x:v>
      </x:c>
      <x:c r="L1285" s="36" t="str">
        <x:v>Treue und Wahrhaftige, Wort Gottes sowie König der Könige und Herr der Herren.</x:v>
      </x:c>
      <x:c r="M1285" s="36" t="str">
        <x:v>Offenbarung 19,11–16</x:v>
      </x:c>
      <x:c r="N1285" s="36" t="str">
        <x:v>Mehrere Titel identifizieren den Reiter und beschreiben gerechtes Gericht und königliche Herrschaft.</x:v>
      </x:c>
      <x:c r="O1285" s="36" t="str">
        <x:v>FREIGEGEBEN</x:v>
      </x:c>
      <x:c r="P1285" s="36" t="str">
        <x:v>FREIGEGEBEN</x:v>
      </x:c>
      <x:c r="Q1285" s="36" t="str">
        <x:v>JA</x:v>
      </x:c>
    </x:row>
    <x:row r="1286">
      <x:c r="A1286" s="36" t="str">
        <x:v>FP-1545</x:v>
      </x:c>
      <x:c r="B1286" s="36" t="str">
        <x:v>REV</x:v>
      </x:c>
      <x:c r="C1286" s="36" t="str">
        <x:v>Offenbarung</x:v>
      </x:c>
      <x:c r="D1286" s="36" t="n">
        <x:v>19</x:v>
      </x:c>
      <x:c r="E1286" s="36" t="n">
        <x:v>5</x:v>
      </x:c>
      <x:c r="F1286" s="36" t="str">
        <x:v>Was geschieht mit dem Tier und dem falschen Propheten?</x:v>
      </x:c>
      <x:c r="G1286" s="36" t="str">
        <x:v>Sie fliehen in das neue Jerusalem.</x:v>
      </x:c>
      <x:c r="H1286" s="36" t="str">
        <x:v>Sie werden zu Engeln verwandelt.</x:v>
      </x:c>
      <x:c r="I1286" s="36" t="str">
        <x:v>Sie werden gefangen und in den Feuersee geworfen.</x:v>
      </x:c>
      <x:c r="J1286" s="36" t="str">
        <x:v>Sie erhalten eine weitere Herrschaftszeit.</x:v>
      </x:c>
      <x:c r="K1286" s="36" t="n">
        <x:v>2</x:v>
      </x:c>
      <x:c r="L1286" s="36" t="str">
        <x:v>Sie werden gefangen und in den Feuersee geworfen.</x:v>
      </x:c>
      <x:c r="M1286" s="36" t="str">
        <x:v>Offenbarung 19,17–21</x:v>
      </x:c>
      <x:c r="N1286" s="36" t="str">
        <x:v>Die beiden zentralen Verführer aus Kapitel 13 werden in dieser Vision endgültig besiegt.</x:v>
      </x:c>
      <x:c r="O1286" s="36" t="str">
        <x:v>FREIGEGEBEN</x:v>
      </x:c>
      <x:c r="P1286" s="36" t="str">
        <x:v>FREIGEGEBEN</x:v>
      </x:c>
      <x:c r="Q1286" s="36" t="str">
        <x:v>JA</x:v>
      </x:c>
    </x:row>
    <x:row r="1287">
      <x:c r="A1287" s="36" t="str">
        <x:v>FP-1546</x:v>
      </x:c>
      <x:c r="B1287" s="36" t="str">
        <x:v>REV</x:v>
      </x:c>
      <x:c r="C1287" s="36" t="str">
        <x:v>Offenbarung</x:v>
      </x:c>
      <x:c r="D1287" s="36" t="n">
        <x:v>20</x:v>
      </x:c>
      <x:c r="E1287" s="36" t="n">
        <x:v>1</x:v>
      </x:c>
      <x:c r="F1287" s="36" t="str">
        <x:v>Was geschieht zu Beginn von Offenbarung 20 mit dem Drachen?</x:v>
      </x:c>
      <x:c r="G1287" s="36" t="str">
        <x:v>Er wird zum König des neuen Jerusalems.</x:v>
      </x:c>
      <x:c r="H1287" s="36" t="str">
        <x:v>Er erhält das Buch des Lebens.</x:v>
      </x:c>
      <x:c r="I1287" s="36" t="str">
        <x:v>Er wird mit den Heiligen auf Throne gesetzt.</x:v>
      </x:c>
      <x:c r="J1287" s="36" t="str">
        <x:v>Er wird für tausend Jahre gebunden und in den Abgrund geworfen.</x:v>
      </x:c>
      <x:c r="K1287" s="36" t="n">
        <x:v>3</x:v>
      </x:c>
      <x:c r="L1287" s="36" t="str">
        <x:v>Er wird für tausend Jahre gebunden und in den Abgrund geworfen.</x:v>
      </x:c>
      <x:c r="M1287" s="36" t="str">
        <x:v>Offenbarung 20,1–3</x:v>
      </x:c>
      <x:c r="N1287" s="36" t="str">
        <x:v>Der Text nennt eine begrenzte Bindung mit dem Ziel, die Nationen in dieser Zeit nicht zu verführen.</x:v>
      </x:c>
      <x:c r="O1287" s="36" t="str">
        <x:v>FREIGEGEBEN</x:v>
      </x:c>
      <x:c r="P1287" s="36" t="str">
        <x:v>FREIGEGEBEN</x:v>
      </x:c>
      <x:c r="Q1287" s="36" t="str">
        <x:v>JA</x:v>
      </x:c>
    </x:row>
    <x:row r="1288">
      <x:c r="A1288" s="36" t="str">
        <x:v>FP-1547</x:v>
      </x:c>
      <x:c r="B1288" s="36" t="str">
        <x:v>REV</x:v>
      </x:c>
      <x:c r="C1288" s="36" t="str">
        <x:v>Offenbarung</x:v>
      </x:c>
      <x:c r="D1288" s="36" t="n">
        <x:v>20</x:v>
      </x:c>
      <x:c r="E1288" s="36" t="n">
        <x:v>2</x:v>
      </x:c>
      <x:c r="F1288" s="36" t="str">
        <x:v>Wer wird in der Vision lebendig und herrscht mit Christus?</x:v>
      </x:c>
      <x:c r="G1288" s="36" t="str">
        <x:v>Die treuen Zeugen, die das Tier und sein Zeichen nicht angenommen haben.</x:v>
      </x:c>
      <x:c r="H1288" s="36" t="str">
        <x:v>Die Anhänger Babylons.</x:v>
      </x:c>
      <x:c r="I1288" s="36" t="str">
        <x:v>Nur die Könige der Erde.</x:v>
      </x:c>
      <x:c r="J1288" s="36" t="str">
        <x:v>Das Tier und der falsche Prophet.</x:v>
      </x:c>
      <x:c r="K1288" s="36" t="n">
        <x:v>0</x:v>
      </x:c>
      <x:c r="L1288" s="36" t="str">
        <x:v>Die treuen Zeugen, die das Tier und sein Zeichen nicht angenommen haben.</x:v>
      </x:c>
      <x:c r="M1288" s="36" t="str">
        <x:v>Offenbarung 20,4–6</x:v>
      </x:c>
      <x:c r="N1288" s="36" t="str">
        <x:v>Der Abschnitt verbindet Treue unter Verfolgung mit der ersten Auferstehung und Herrschaft mit Christus.</x:v>
      </x:c>
      <x:c r="O1288" s="36" t="str">
        <x:v>FREIGEGEBEN</x:v>
      </x:c>
      <x:c r="P1288" s="36" t="str">
        <x:v>FREIGEGEBEN</x:v>
      </x:c>
      <x:c r="Q1288" s="36" t="str">
        <x:v>JA</x:v>
      </x:c>
    </x:row>
    <x:row r="1289">
      <x:c r="A1289" s="36" t="str">
        <x:v>FP-1548</x:v>
      </x:c>
      <x:c r="B1289" s="36" t="str">
        <x:v>REV</x:v>
      </x:c>
      <x:c r="C1289" s="36" t="str">
        <x:v>Offenbarung</x:v>
      </x:c>
      <x:c r="D1289" s="36" t="n">
        <x:v>20</x:v>
      </x:c>
      <x:c r="E1289" s="36" t="n">
        <x:v>3</x:v>
      </x:c>
      <x:c r="F1289" s="36" t="str">
        <x:v>Was geschieht nach der Freilassung Satans am Ende der tausend Jahre?</x:v>
      </x:c>
      <x:c r="G1289" s="36" t="str">
        <x:v>Er führt die Nationen zur Umkehr.</x:v>
      </x:c>
      <x:c r="H1289" s="36" t="str">
        <x:v>Er verführt die Nationen zu einer letzten Rebellion, die durch Feuer von Gott beendet wird.</x:v>
      </x:c>
      <x:c r="I1289" s="36" t="str">
        <x:v>Er wird zum Hirten des Volkes Gottes.</x:v>
      </x:c>
      <x:c r="J1289" s="36" t="str">
        <x:v>Er öffnet die Tore des neuen Jerusalems.</x:v>
      </x:c>
      <x:c r="K1289" s="36" t="n">
        <x:v>1</x:v>
      </x:c>
      <x:c r="L1289" s="36" t="str">
        <x:v>Er verführt die Nationen zu einer letzten Rebellion, die durch Feuer von Gott beendet wird.</x:v>
      </x:c>
      <x:c r="M1289" s="36" t="str">
        <x:v>Offenbarung 20,7–10</x:v>
      </x:c>
      <x:c r="N1289" s="36" t="str">
        <x:v>Die letzte Verführung endet nicht im Sieg Satans, sondern in seinem endgültigen Gericht.</x:v>
      </x:c>
      <x:c r="O1289" s="36" t="str">
        <x:v>FREIGEGEBEN</x:v>
      </x:c>
      <x:c r="P1289" s="36" t="str">
        <x:v>FREIGEGEBEN</x:v>
      </x:c>
      <x:c r="Q1289" s="36" t="str">
        <x:v>JA</x:v>
      </x:c>
    </x:row>
    <x:row r="1290">
      <x:c r="A1290" s="36" t="str">
        <x:v>FP-1549</x:v>
      </x:c>
      <x:c r="B1290" s="36" t="str">
        <x:v>REV</x:v>
      </x:c>
      <x:c r="C1290" s="36" t="str">
        <x:v>Offenbarung</x:v>
      </x:c>
      <x:c r="D1290" s="36" t="n">
        <x:v>20</x:v>
      </x:c>
      <x:c r="E1290" s="36" t="n">
        <x:v>4</x:v>
      </x:c>
      <x:c r="F1290" s="36" t="str">
        <x:v>Woran orientiert sich das Gericht vor dem großen weißen Thron?</x:v>
      </x:c>
      <x:c r="G1290" s="36" t="str">
        <x:v>Nur am gesellschaftlichen Rang.</x:v>
      </x:c>
      <x:c r="H1290" s="36" t="str">
        <x:v>Nur an der Herkunft der Menschen.</x:v>
      </x:c>
      <x:c r="I1290" s="36" t="str">
        <x:v>An dem, was in den Büchern über die Taten geschrieben ist; außerdem wird das Buch des Lebens geöffnet.</x:v>
      </x:c>
      <x:c r="J1290" s="36" t="str">
        <x:v>An der Zahl ihrer Besitztümer.</x:v>
      </x:c>
      <x:c r="K1290" s="36" t="n">
        <x:v>2</x:v>
      </x:c>
      <x:c r="L1290" s="36" t="str">
        <x:v>An dem, was in den Büchern über die Taten geschrieben ist; außerdem wird das Buch des Lebens geöffnet.</x:v>
      </x:c>
      <x:c r="M1290" s="36" t="str">
        <x:v>Offenbarung 20,11–13</x:v>
      </x:c>
      <x:c r="N1290" s="36" t="str">
        <x:v>Die Vision verbindet universales Gericht nach den Taten mit dem besonderen Buch des Lebens.</x:v>
      </x:c>
      <x:c r="O1290" s="36" t="str">
        <x:v>FREIGEGEBEN</x:v>
      </x:c>
      <x:c r="P1290" s="36" t="str">
        <x:v>FREIGEGEBEN</x:v>
      </x:c>
      <x:c r="Q1290" s="36" t="str">
        <x:v>JA</x:v>
      </x:c>
    </x:row>
    <x:row r="1291">
      <x:c r="A1291" s="36" t="str">
        <x:v>FP-1550</x:v>
      </x:c>
      <x:c r="B1291" s="36" t="str">
        <x:v>REV</x:v>
      </x:c>
      <x:c r="C1291" s="36" t="str">
        <x:v>Offenbarung</x:v>
      </x:c>
      <x:c r="D1291" s="36" t="n">
        <x:v>20</x:v>
      </x:c>
      <x:c r="E1291" s="36" t="n">
        <x:v>5</x:v>
      </x:c>
      <x:c r="F1291" s="36" t="str">
        <x:v>Was bezeichnet Offenbarung 20 als den zweiten Tod?</x:v>
      </x:c>
      <x:c r="G1291" s="36" t="str">
        <x:v>Die erste Auferstehung.</x:v>
      </x:c>
      <x:c r="H1291" s="36" t="str">
        <x:v>Die Bindung Satans.</x:v>
      </x:c>
      <x:c r="I1291" s="36" t="str">
        <x:v>Das Verschwinden Babylons.</x:v>
      </x:c>
      <x:c r="J1291" s="36" t="str">
        <x:v>Den Feuersee, in den auch Tod und Totenreich geworfen werden.</x:v>
      </x:c>
      <x:c r="K1291" s="36" t="n">
        <x:v>3</x:v>
      </x:c>
      <x:c r="L1291" s="36" t="str">
        <x:v>Den Feuersee, in den auch Tod und Totenreich geworfen werden.</x:v>
      </x:c>
      <x:c r="M1291" s="36" t="str">
        <x:v>Offenbarung 20,14–15</x:v>
      </x:c>
      <x:c r="N1291" s="36" t="str">
        <x:v>Der Text erklärt das Symbol selbst und verbindet es mit dem endgültigen Gericht.</x:v>
      </x:c>
      <x:c r="O1291" s="36" t="str">
        <x:v>FREIGEGEBEN</x:v>
      </x:c>
      <x:c r="P1291" s="36" t="str">
        <x:v>FREIGEGEBEN</x:v>
      </x:c>
      <x:c r="Q1291" s="36" t="str">
        <x:v>JA</x:v>
      </x:c>
    </x:row>
    <x:row r="1292">
      <x:c r="A1292" s="36" t="str">
        <x:v>FP-1551</x:v>
      </x:c>
      <x:c r="B1292" s="36" t="str">
        <x:v>REV</x:v>
      </x:c>
      <x:c r="C1292" s="36" t="str">
        <x:v>Offenbarung</x:v>
      </x:c>
      <x:c r="D1292" s="36" t="n">
        <x:v>21</x:v>
      </x:c>
      <x:c r="E1292" s="36" t="n">
        <x:v>1</x:v>
      </x:c>
      <x:c r="F1292" s="36" t="str">
        <x:v>Was sieht Johannes nach dem Gericht?</x:v>
      </x:c>
      <x:c r="G1292" s="36" t="str">
        <x:v>Einen neuen Himmel, eine neue Erde und das neue Jerusalem, das von Gott herabkommt.</x:v>
      </x:c>
      <x:c r="H1292" s="36" t="str">
        <x:v>Die Rückkehr Babylons.</x:v>
      </x:c>
      <x:c r="I1292" s="36" t="str">
        <x:v>Einen wiederhergestellten Thron des Tieres.</x:v>
      </x:c>
      <x:c r="J1292" s="36" t="str">
        <x:v>Nur eine erneuerte Insel Patmos.</x:v>
      </x:c>
      <x:c r="K1292" s="36" t="n">
        <x:v>0</x:v>
      </x:c>
      <x:c r="L1292" s="36" t="str">
        <x:v>Einen neuen Himmel, eine neue Erde und das neue Jerusalem, das von Gott herabkommt.</x:v>
      </x:c>
      <x:c r="M1292" s="36" t="str">
        <x:v>Offenbarung 21,1–2</x:v>
      </x:c>
      <x:c r="N1292" s="36" t="str">
        <x:v>Die abschließenden Kapitel wechseln vom Gericht zur Vision der erneuerten Schöpfung und der heiligen Stadt.</x:v>
      </x:c>
      <x:c r="O1292" s="36" t="str">
        <x:v>FREIGEGEBEN</x:v>
      </x:c>
      <x:c r="P1292" s="36" t="str">
        <x:v>FREIGEGEBEN</x:v>
      </x:c>
      <x:c r="Q1292" s="36" t="str">
        <x:v>JA</x:v>
      </x:c>
    </x:row>
    <x:row r="1293">
      <x:c r="A1293" s="36" t="str">
        <x:v>FP-1552</x:v>
      </x:c>
      <x:c r="B1293" s="36" t="str">
        <x:v>REV</x:v>
      </x:c>
      <x:c r="C1293" s="36" t="str">
        <x:v>Offenbarung</x:v>
      </x:c>
      <x:c r="D1293" s="36" t="n">
        <x:v>21</x:v>
      </x:c>
      <x:c r="E1293" s="36" t="n">
        <x:v>2</x:v>
      </x:c>
      <x:c r="F1293" s="36" t="str">
        <x:v>Welche zentrale Verheißung wird vom Thron über Gottes Beziehung zu den Menschen ausgesprochen?</x:v>
      </x:c>
      <x:c r="G1293" s="36" t="str">
        <x:v>Gott bleibt für immer unzugänglich.</x:v>
      </x:c>
      <x:c r="H1293" s="36" t="str">
        <x:v>Gott wird bei ihnen wohnen, sie werden sein Volk sein, und er wird jede Träne abwischen.</x:v>
      </x:c>
      <x:c r="I1293" s="36" t="str">
        <x:v>Tod und Schmerz werden nur seltener.</x:v>
      </x:c>
      <x:c r="J1293" s="36" t="str">
        <x:v>Nur Engel dürfen in Gottes Gegenwart leben.</x:v>
      </x:c>
      <x:c r="K1293" s="36" t="n">
        <x:v>1</x:v>
      </x:c>
      <x:c r="L1293" s="36" t="str">
        <x:v>Gott wird bei ihnen wohnen, sie werden sein Volk sein, und er wird jede Träne abwischen.</x:v>
      </x:c>
      <x:c r="M1293" s="36" t="str">
        <x:v>Offenbarung 21,3–4</x:v>
      </x:c>
      <x:c r="N1293" s="36" t="str">
        <x:v>Die Hoffnung gipfelt in Gottes unmittelbarer Gegenwart und im Ende von Tod, Trauer, Geschrei und Schmerz.</x:v>
      </x:c>
      <x:c r="O1293" s="36" t="str">
        <x:v>FREIGEGEBEN</x:v>
      </x:c>
      <x:c r="P1293" s="36" t="str">
        <x:v>FREIGEGEBEN</x:v>
      </x:c>
      <x:c r="Q1293" s="36" t="str">
        <x:v>JA</x:v>
      </x:c>
    </x:row>
    <x:row r="1294">
      <x:c r="A1294" s="36" t="str">
        <x:v>FP-1553</x:v>
      </x:c>
      <x:c r="B1294" s="36" t="str">
        <x:v>REV</x:v>
      </x:c>
      <x:c r="C1294" s="36" t="str">
        <x:v>Offenbarung</x:v>
      </x:c>
      <x:c r="D1294" s="36" t="n">
        <x:v>21</x:v>
      </x:c>
      <x:c r="E1294" s="36" t="n">
        <x:v>3</x:v>
      </x:c>
      <x:c r="F1294" s="36" t="str">
        <x:v>Was sagt der auf dem Thron Sitzende über die Zukunft?</x:v>
      </x:c>
      <x:c r="G1294" s="36" t="str">
        <x:v>Siehe, ich lasse alles unverändert.</x:v>
      </x:c>
      <x:c r="H1294" s="36" t="str">
        <x:v>Siehe, Babylon wird wieder aufgebaut.</x:v>
      </x:c>
      <x:c r="I1294" s="36" t="str">
        <x:v>Siehe, ich mache alles neu.</x:v>
      </x:c>
      <x:c r="J1294" s="36" t="str">
        <x:v>Siehe, das Tier erhält einen neuen Thron.</x:v>
      </x:c>
      <x:c r="K1294" s="36" t="n">
        <x:v>2</x:v>
      </x:c>
      <x:c r="L1294" s="36" t="str">
        <x:v>Siehe, ich mache alles neu.</x:v>
      </x:c>
      <x:c r="M1294" s="36" t="str">
        <x:v>Offenbarung 21,5–7</x:v>
      </x:c>
      <x:c r="N1294" s="36" t="str">
        <x:v>Die Erneuerung wird mit Gottes Verlässlichkeit und der kostenlosen Gabe des Wassers des Lebens verbunden.</x:v>
      </x:c>
      <x:c r="O1294" s="36" t="str">
        <x:v>FREIGEGEBEN</x:v>
      </x:c>
      <x:c r="P1294" s="36" t="str">
        <x:v>FREIGEGEBEN</x:v>
      </x:c>
      <x:c r="Q1294" s="36" t="str">
        <x:v>JA</x:v>
      </x:c>
    </x:row>
    <x:row r="1295">
      <x:c r="A1295" s="36" t="str">
        <x:v>FP-1554</x:v>
      </x:c>
      <x:c r="B1295" s="36" t="str">
        <x:v>REV</x:v>
      </x:c>
      <x:c r="C1295" s="36" t="str">
        <x:v>Offenbarung</x:v>
      </x:c>
      <x:c r="D1295" s="36" t="n">
        <x:v>21</x:v>
      </x:c>
      <x:c r="E1295" s="36" t="n">
        <x:v>4</x:v>
      </x:c>
      <x:c r="F1295" s="36" t="str">
        <x:v>Welche Verbindung von Israel und den Aposteln zeigt die Architektur des neuen Jerusalems?</x:v>
      </x:c>
      <x:c r="G1295" s="36" t="str">
        <x:v>Tore und Grundsteine tragen nur Namen römischer Kaiser.</x:v>
      </x:c>
      <x:c r="H1295" s="36" t="str">
        <x:v>Alle Tore tragen Namen der sieben Gemeinden.</x:v>
      </x:c>
      <x:c r="I1295" s="36" t="str">
        <x:v>Die Stadt hat weder Tore noch Grundsteine.</x:v>
      </x:c>
      <x:c r="J1295" s="36" t="str">
        <x:v>Die zwölf Tore tragen Namen der Stämme Israels, die zwölf Grundsteine Namen der Apostel des Lammes.</x:v>
      </x:c>
      <x:c r="K1295" s="36" t="n">
        <x:v>3</x:v>
      </x:c>
      <x:c r="L1295" s="36" t="str">
        <x:v>Die zwölf Tore tragen Namen der Stämme Israels, die zwölf Grundsteine Namen der Apostel des Lammes.</x:v>
      </x:c>
      <x:c r="M1295" s="36" t="str">
        <x:v>Offenbarung 21,9–21</x:v>
      </x:c>
      <x:c r="N1295" s="36" t="str">
        <x:v>Die Symbolik der Stadt verbindet die Geschichte des Volkes Gottes in zwölf Stämmen und zwölf Aposteln.</x:v>
      </x:c>
      <x:c r="O1295" s="36" t="str">
        <x:v>FREIGEGEBEN</x:v>
      </x:c>
      <x:c r="P1295" s="36" t="str">
        <x:v>FREIGEGEBEN</x:v>
      </x:c>
      <x:c r="Q1295" s="36" t="str">
        <x:v>JA</x:v>
      </x:c>
    </x:row>
    <x:row r="1296">
      <x:c r="A1296" s="36" t="str">
        <x:v>FP-1555</x:v>
      </x:c>
      <x:c r="B1296" s="36" t="str">
        <x:v>REV</x:v>
      </x:c>
      <x:c r="C1296" s="36" t="str">
        <x:v>Offenbarung</x:v>
      </x:c>
      <x:c r="D1296" s="36" t="n">
        <x:v>21</x:v>
      </x:c>
      <x:c r="E1296" s="36" t="n">
        <x:v>5</x:v>
      </x:c>
      <x:c r="F1296" s="36" t="str">
        <x:v>Warum braucht die Stadt weder einen Tempel noch Sonne und Mond als Lichtquelle?</x:v>
      </x:c>
      <x:c r="G1296" s="36" t="str">
        <x:v>Gott und das Lamm sind ihr Tempel, und Gottes Herrlichkeit mit dem Lamm als Leuchte erhellt sie.</x:v>
      </x:c>
      <x:c r="H1296" s="36" t="str">
        <x:v>Weil die Stadt dauerhaft dunkel bleibt.</x:v>
      </x:c>
      <x:c r="I1296" s="36" t="str">
        <x:v>Weil Engel den Tempel ersetzen.</x:v>
      </x:c>
      <x:c r="J1296" s="36" t="str">
        <x:v>Weil die Stadt außerhalb von Gottes Gegenwart liegt.</x:v>
      </x:c>
      <x:c r="K1296" s="36" t="n">
        <x:v>0</x:v>
      </x:c>
      <x:c r="L1296" s="36" t="str">
        <x:v>Gott und das Lamm sind ihr Tempel, und Gottes Herrlichkeit mit dem Lamm als Leuchte erhellt sie.</x:v>
      </x:c>
      <x:c r="M1296" s="36" t="str">
        <x:v>Offenbarung 21,22–27</x:v>
      </x:c>
      <x:c r="N1296" s="36" t="str">
        <x:v>Die Vision beschreibt unmittelbare Gottesgegenwart; zugleich wird betont, dass nichts Unreines hineinkommt, sondern nur die im Lebensbuch des Lammes stehen.</x:v>
      </x:c>
      <x:c r="O1296" s="36" t="str">
        <x:v>FREIGEGEBEN</x:v>
      </x:c>
      <x:c r="P1296" s="36" t="str">
        <x:v>FREIGEGEBEN</x:v>
      </x:c>
      <x:c r="Q1296" s="36" t="str">
        <x:v>JA</x:v>
      </x:c>
    </x:row>
    <x:row r="1297">
      <x:c r="A1297" s="36" t="str">
        <x:v>FP-1556</x:v>
      </x:c>
      <x:c r="B1297" s="36" t="str">
        <x:v>REV</x:v>
      </x:c>
      <x:c r="C1297" s="36" t="str">
        <x:v>Offenbarung</x:v>
      </x:c>
      <x:c r="D1297" s="36" t="n">
        <x:v>22</x:v>
      </x:c>
      <x:c r="E1297" s="36" t="n">
        <x:v>1</x:v>
      </x:c>
      <x:c r="F1297" s="36" t="str">
        <x:v>Was sieht Johannes am Strom des Wassers des Lebens?</x:v>
      </x:c>
      <x:c r="G1297" s="36" t="str">
        <x:v>Den Baum der Erkenntnis mit verbotenen Früchten.</x:v>
      </x:c>
      <x:c r="H1297" s="36" t="str">
        <x:v>Den Baum des Lebens, der regelmäßig Frucht trägt und dessen Blätter der Heilung der Völker dienen.</x:v>
      </x:c>
      <x:c r="I1297" s="36" t="str">
        <x:v>Die sieben Leuchter aus Kapitel 1.</x:v>
      </x:c>
      <x:c r="J1297" s="36" t="str">
        <x:v>Den Thron des Tieres.</x:v>
      </x:c>
      <x:c r="K1297" s="36" t="n">
        <x:v>1</x:v>
      </x:c>
      <x:c r="L1297" s="36" t="str">
        <x:v>Den Baum des Lebens, der regelmäßig Frucht trägt und dessen Blätter der Heilung der Völker dienen.</x:v>
      </x:c>
      <x:c r="M1297" s="36" t="str">
        <x:v>Offenbarung 22,1–2</x:v>
      </x:c>
      <x:c r="N1297" s="36" t="str">
        <x:v>Der Schluss greift Eden-Motive auf und beschreibt Leben, Fruchtbarkeit und Heilung.</x:v>
      </x:c>
      <x:c r="O1297" s="36" t="str">
        <x:v>FREIGEGEBEN</x:v>
      </x:c>
      <x:c r="P1297" s="36" t="str">
        <x:v>FREIGEGEBEN</x:v>
      </x:c>
      <x:c r="Q1297" s="36" t="str">
        <x:v>JA</x:v>
      </x:c>
    </x:row>
    <x:row r="1298">
      <x:c r="A1298" s="36" t="str">
        <x:v>FP-1557</x:v>
      </x:c>
      <x:c r="B1298" s="36" t="str">
        <x:v>REV</x:v>
      </x:c>
      <x:c r="C1298" s="36" t="str">
        <x:v>Offenbarung</x:v>
      </x:c>
      <x:c r="D1298" s="36" t="n">
        <x:v>22</x:v>
      </x:c>
      <x:c r="E1298" s="36" t="n">
        <x:v>2</x:v>
      </x:c>
      <x:c r="F1298" s="36" t="str">
        <x:v>Welche Zustände kennzeichnen die Stadt in Offenbarung 22?</x:v>
      </x:c>
      <x:c r="G1298" s="36" t="str">
        <x:v>Der Fluch bleibt bestehen und Gottes Angesicht bleibt verborgen.</x:v>
      </x:c>
      <x:c r="H1298" s="36" t="str">
        <x:v>Die Nacht herrscht dauerhaft.</x:v>
      </x:c>
      <x:c r="I1298" s="36" t="str">
        <x:v>Kein Fluch mehr, Gottes Thron ist dort, seine Diener sehen sein Angesicht und Gott selbst ist ihr Licht.</x:v>
      </x:c>
      <x:c r="J1298" s="36" t="str">
        <x:v>Das Lamm verlässt die Stadt.</x:v>
      </x:c>
      <x:c r="K1298" s="36" t="n">
        <x:v>2</x:v>
      </x:c>
      <x:c r="L1298" s="36" t="str">
        <x:v>Kein Fluch mehr, Gottes Thron ist dort, seine Diener sehen sein Angesicht und Gott selbst ist ihr Licht.</x:v>
      </x:c>
      <x:c r="M1298" s="36" t="str">
        <x:v>Offenbarung 22,3–5</x:v>
      </x:c>
      <x:c r="N1298" s="36" t="str">
        <x:v>Die Vision endet mit unmittelbarer Gottesnähe, aufgehobenem Fluch und ewiger Herrschaft.</x:v>
      </x:c>
      <x:c r="O1298" s="36" t="str">
        <x:v>FREIGEGEBEN</x:v>
      </x:c>
      <x:c r="P1298" s="36" t="str">
        <x:v>FREIGEGEBEN</x:v>
      </x:c>
      <x:c r="Q1298" s="36" t="str">
        <x:v>JA</x:v>
      </x:c>
    </x:row>
    <x:row r="1299">
      <x:c r="A1299" s="36" t="str">
        <x:v>FP-1558</x:v>
      </x:c>
      <x:c r="B1299" s="36" t="str">
        <x:v>REV</x:v>
      </x:c>
      <x:c r="C1299" s="36" t="str">
        <x:v>Offenbarung</x:v>
      </x:c>
      <x:c r="D1299" s="36" t="n">
        <x:v>22</x:v>
      </x:c>
      <x:c r="E1299" s="36" t="n">
        <x:v>3</x:v>
      </x:c>
      <x:c r="F1299" s="36" t="str">
        <x:v>Was sagt der Engel erneut, als Johannes vor ihm niederfallen will?</x:v>
      </x:c>
      <x:c r="G1299" s="36" t="str">
        <x:v>Bete mich an, weil ich die Vision gezeigt habe.</x:v>
      </x:c>
      <x:c r="H1299" s="36" t="str">
        <x:v>Bete die sieben Engel gemeinsam an.</x:v>
      </x:c>
      <x:c r="I1299" s="36" t="str">
        <x:v>Anbetung ist jetzt nicht mehr nötig.</x:v>
      </x:c>
      <x:c r="J1299" s="36" t="str">
        <x:v>Tu das nicht – bete Gott an.</x:v>
      </x:c>
      <x:c r="K1299" s="36" t="n">
        <x:v>3</x:v>
      </x:c>
      <x:c r="L1299" s="36" t="str">
        <x:v>Tu das nicht – bete Gott an.</x:v>
      </x:c>
      <x:c r="M1299" s="36" t="str">
        <x:v>Offenbarung 22,8–9</x:v>
      </x:c>
      <x:c r="N1299" s="36" t="str">
        <x:v>Wie bereits in Kapitel 19 wird Engelverehrung ausdrücklich zurückgewiesen.</x:v>
      </x:c>
      <x:c r="O1299" s="36" t="str">
        <x:v>FREIGEGEBEN</x:v>
      </x:c>
      <x:c r="P1299" s="36" t="str">
        <x:v>FREIGEGEBEN</x:v>
      </x:c>
      <x:c r="Q1299" s="36" t="str">
        <x:v>JA</x:v>
      </x:c>
    </x:row>
    <x:row r="1300">
      <x:c r="A1300" s="36" t="str">
        <x:v>FP-1559</x:v>
      </x:c>
      <x:c r="B1300" s="36" t="str">
        <x:v>REV</x:v>
      </x:c>
      <x:c r="C1300" s="36" t="str">
        <x:v>Offenbarung</x:v>
      </x:c>
      <x:c r="D1300" s="36" t="n">
        <x:v>22</x:v>
      </x:c>
      <x:c r="E1300" s="36" t="n">
        <x:v>4</x:v>
      </x:c>
      <x:c r="F1300" s="36" t="str">
        <x:v>Welche offene Einladung spricht der Schluss der Offenbarung aus?</x:v>
      </x:c>
      <x:c r="G1300" s="36" t="str">
        <x:v>Wer durstig ist, soll kommen und das Wasser des Lebens umsonst nehmen.</x:v>
      </x:c>
      <x:c r="H1300" s="36" t="str">
        <x:v>Nur Könige dürfen zum Wasser kommen.</x:v>
      </x:c>
      <x:c r="I1300" s="36" t="str">
        <x:v>Das Wasser des Lebens muss gekauft werden.</x:v>
      </x:c>
      <x:c r="J1300" s="36" t="str">
        <x:v>Die Einladung gilt nur Johannes.</x:v>
      </x:c>
      <x:c r="K1300" s="36" t="n">
        <x:v>0</x:v>
      </x:c>
      <x:c r="L1300" s="36" t="str">
        <x:v>Wer durstig ist, soll kommen und das Wasser des Lebens umsonst nehmen.</x:v>
      </x:c>
      <x:c r="M1300" s="36" t="str">
        <x:v>Offenbarung 22,16–17</x:v>
      </x:c>
      <x:c r="N1300" s="36" t="str">
        <x:v>Der Ruf des Geistes und der Braut verbindet die Erwartung Christi mit einer freien Einladung zum Leben.</x:v>
      </x:c>
      <x:c r="O1300" s="36" t="str">
        <x:v>FREIGEGEBEN</x:v>
      </x:c>
      <x:c r="P1300" s="36" t="str">
        <x:v>FREIGEGEBEN</x:v>
      </x:c>
      <x:c r="Q1300" s="36" t="str">
        <x:v>JA</x:v>
      </x:c>
    </x:row>
    <x:row r="1301">
      <x:c r="A1301" s="36" t="str">
        <x:v>FP-1560</x:v>
      </x:c>
      <x:c r="B1301" s="36" t="str">
        <x:v>REV</x:v>
      </x:c>
      <x:c r="C1301" s="36" t="str">
        <x:v>Offenbarung</x:v>
      </x:c>
      <x:c r="D1301" s="36" t="n">
        <x:v>22</x:v>
      </x:c>
      <x:c r="E1301" s="36" t="n">
        <x:v>5</x:v>
      </x:c>
      <x:c r="F1301" s="36" t="str">
        <x:v>Welche Antwort steht unmittelbar vor dem abschließenden Gnadenwunsch?</x:v>
      </x:c>
      <x:c r="G1301" s="36" t="str">
        <x:v>Gefallen ist Babylon.</x:v>
      </x:c>
      <x:c r="H1301" s="36" t="str">
        <x:v>Amen. Komm, Herr Jesus.</x:v>
      </x:c>
      <x:c r="I1301" s="36" t="str">
        <x:v>Wer ist würdig, die Schriftrolle zu öffnen?</x:v>
      </x:c>
      <x:c r="J1301" s="36" t="str">
        <x:v>Heilig, heilig, heilig.</x:v>
      </x:c>
      <x:c r="K1301" s="36" t="n">
        <x:v>1</x:v>
      </x:c>
      <x:c r="L1301" s="36" t="str">
        <x:v>Amen. Komm, Herr Jesus.</x:v>
      </x:c>
      <x:c r="M1301" s="36" t="str">
        <x:v>Offenbarung 22,18–21</x:v>
      </x:c>
      <x:c r="N1301" s="36" t="str">
        <x:v>Nach der Warnung, dem Buch nichts hinzuzufügen oder wegzunehmen, endet die Offenbarung mit Jesu Zusage seines Kommens, der Antwort 'Komm' und einem Gnadenwunsch.</x:v>
      </x:c>
      <x:c r="O1301" s="36" t="str">
        <x:v>FREIGEGEBEN</x:v>
      </x:c>
      <x:c r="P1301" s="36" t="str">
        <x:v>FREIGEGEBEN</x:v>
      </x:c>
      <x:c r="Q1301" s="36" t="str">
        <x:v>JA</x:v>
      </x:c>
    </x:row>
  </x:sheetData>
  <x:conditionalFormatting sqref="Q2:Q1301">
    <x:cfRule type="expression" dxfId="4" priority="1">
      <x:formula>Q2="JA"</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22" hidden="0" customWidth="1"/>
    <x:col min="3" max="3" width="10" hidden="0" customWidth="1"/>
    <x:col min="4" max="4" width="10" hidden="0" customWidth="1"/>
    <x:col min="5" max="5" width="12" hidden="0" customWidth="1"/>
    <x:col min="6" max="6" width="16" hidden="0" customWidth="1"/>
    <x:col min="7" max="7" width="14" hidden="0" customWidth="1"/>
    <x:col min="8" max="8" width="12" hidden="0" customWidth="1"/>
    <x:col min="9" max="9" width="20" hidden="0" customWidth="1"/>
    <x:col min="10" max="10" width="18" hidden="0" customWidth="1"/>
    <x:col min="11" max="11" width="50" hidden="0" customWidth="1"/>
  </x:cols>
  <x:sheetData>
    <x:row r="1" ht="32" customHeight="1">
      <x:c r="A1" s="33" t="str">
        <x:v>Book_Key</x:v>
      </x:c>
      <x:c r="B1" s="33" t="str">
        <x:v>Buch</x:v>
      </x:c>
      <x:c r="C1" s="33" t="str">
        <x:v>Kapitel</x:v>
      </x:c>
      <x:c r="D1" s="33" t="str">
        <x:v>Fragen</x:v>
      </x:c>
      <x:c r="E1" s="33" t="str">
        <x:v>Bewertet</x:v>
      </x:c>
      <x:c r="F1" s="33" t="str">
        <x:v>QA_Freigegeben</x:v>
      </x:c>
      <x:c r="G1" s="33" t="str">
        <x:v>Import_Bereit</x:v>
      </x:c>
      <x:c r="H1" s="33" t="str">
        <x:v>Fortschritt</x:v>
      </x:c>
      <x:c r="I1" s="33" t="str">
        <x:v>Buchstatus</x:v>
      </x:c>
      <x:c r="J1" s="33" t="str">
        <x:v>Arbeitsreihenfolge</x:v>
      </x:c>
      <x:c r="K1" s="33" t="str">
        <x:v>Notiz</x:v>
      </x:c>
    </x:row>
    <x:row r="2">
      <x:c r="A2" s="36" t="str">
        <x:v>MAT</x:v>
      </x:c>
      <x:c r="B2" s="36" t="str">
        <x:v>Matthäus</x:v>
      </x:c>
      <x:c r="C2" s="36" t="n">
        <x:v>28</x:v>
      </x:c>
      <x:c r="D2" s="36" t="n">
        <x:v>140</x:v>
      </x:c>
      <x:c r="E2" s="36" t="n">
        <x:v>140</x:v>
      </x:c>
      <x:c r="F2" s="36" t="n">
        <x:v>140</x:v>
      </x:c>
      <x:c r="G2" s="36" t="n">
        <x:v>140</x:v>
      </x:c>
      <x:c r="H2" s="43" t="n">
        <x:f>G2/D2</x:f>
        <x:v>1</x:v>
      </x:c>
      <x:c r="I2" s="36" t="str">
        <x:v>FREIGEGEBEN</x:v>
      </x:c>
      <x:c r="J2" s="36" t="n">
        <x:v>1</x:v>
      </x:c>
      <x:c r="K2" s="36" t="str">
        <x:v>Matthäus komplett: 140/140 geprüft, freigegeben und importbereit.</x:v>
      </x:c>
    </x:row>
    <x:row r="3">
      <x:c r="A3" s="36" t="str">
        <x:v>MRK</x:v>
      </x:c>
      <x:c r="B3" s="36" t="str">
        <x:v>Markus</x:v>
      </x:c>
      <x:c r="C3" s="36" t="n">
        <x:v>16</x:v>
      </x:c>
      <x:c r="D3" s="36" t="n">
        <x:v>80</x:v>
      </x:c>
      <x:c r="E3" s="36" t="n">
        <x:v>80</x:v>
      </x:c>
      <x:c r="F3" s="36" t="n">
        <x:v>80</x:v>
      </x:c>
      <x:c r="G3" s="36" t="n">
        <x:v>80</x:v>
      </x:c>
      <x:c r="H3" s="43" t="n">
        <x:f>G3/D3</x:f>
        <x:v>1</x:v>
      </x:c>
      <x:c r="I3" s="36" t="str">
        <x:v>FREIGEGEBEN</x:v>
      </x:c>
      <x:c r="J3" s="36" t="n">
        <x:v>2</x:v>
      </x:c>
      <x:c r="K3" s="36" t="str">
        <x:v>Markus komplett: 80/80 geprüft, freigegeben und importbereit.</x:v>
      </x:c>
    </x:row>
    <x:row r="4">
      <x:c r="A4" s="36" t="str">
        <x:v>LUK</x:v>
      </x:c>
      <x:c r="B4" s="36" t="str">
        <x:v>Lukas</x:v>
      </x:c>
      <x:c r="C4" s="36" t="n">
        <x:v>24</x:v>
      </x:c>
      <x:c r="D4" s="36" t="n">
        <x:v>120</x:v>
      </x:c>
      <x:c r="E4" s="36" t="n">
        <x:v>120</x:v>
      </x:c>
      <x:c r="F4" s="36" t="n">
        <x:v>120</x:v>
      </x:c>
      <x:c r="G4" s="36" t="n">
        <x:v>120</x:v>
      </x:c>
      <x:c r="H4" s="43" t="n">
        <x:f>G4/D4</x:f>
        <x:v>1</x:v>
      </x:c>
      <x:c r="I4" s="36" t="str">
        <x:v>FREIGEGEBEN</x:v>
      </x:c>
      <x:c r="J4" s="36" t="n">
        <x:v>3</x:v>
      </x:c>
      <x:c r="K4" s="36" t="str">
        <x:v>Lukas komplett: 120/120 geprüft, freigegeben und importbereit.</x:v>
      </x:c>
    </x:row>
    <x:row r="5">
      <x:c r="A5" s="36" t="str">
        <x:v>JHN</x:v>
      </x:c>
      <x:c r="B5" s="36" t="str">
        <x:v>Johannes</x:v>
      </x:c>
      <x:c r="C5" s="36" t="n">
        <x:v>21</x:v>
      </x:c>
      <x:c r="D5" s="36" t="n">
        <x:v>105</x:v>
      </x:c>
      <x:c r="E5" s="36" t="n">
        <x:v>105</x:v>
      </x:c>
      <x:c r="F5" s="36" t="n">
        <x:v>105</x:v>
      </x:c>
      <x:c r="G5" s="36" t="n">
        <x:v>105</x:v>
      </x:c>
      <x:c r="H5" s="43" t="n">
        <x:f>G5/D5</x:f>
        <x:v>1</x:v>
      </x:c>
      <x:c r="I5" s="36" t="str">
        <x:v>FREIGEGEBEN</x:v>
      </x:c>
      <x:c r="J5" s="36" t="n">
        <x:v>4</x:v>
      </x:c>
      <x:c r="K5" s="36" t="str">
        <x:v>Johannes komplett: 105/105 geprüft, freigegeben und importbereit.</x:v>
      </x:c>
    </x:row>
    <x:row r="6">
      <x:c r="A6" s="36" t="str">
        <x:v>ACT</x:v>
      </x:c>
      <x:c r="B6" s="36" t="str">
        <x:v>Apostelgeschichte</x:v>
      </x:c>
      <x:c r="C6" s="36" t="n">
        <x:v>28</x:v>
      </x:c>
      <x:c r="D6" s="36" t="n">
        <x:v>140</x:v>
      </x:c>
      <x:c r="E6" s="36" t="n">
        <x:v>140</x:v>
      </x:c>
      <x:c r="F6" s="36" t="n">
        <x:v>140</x:v>
      </x:c>
      <x:c r="G6" s="36" t="n">
        <x:v>140</x:v>
      </x:c>
      <x:c r="H6" s="43" t="n">
        <x:f>G6/D6</x:f>
        <x:v>1</x:v>
      </x:c>
      <x:c r="I6" s="36" t="str">
        <x:v>FREIGEGEBEN</x:v>
      </x:c>
      <x:c r="J6" s="36" t="n">
        <x:v>5</x:v>
      </x:c>
      <x:c r="K6" s="36" t="str">
        <x:v>Apostelgeschichte komplett: 140/140 geprüft, freigegeben und importbereit.</x:v>
      </x:c>
    </x:row>
    <x:row r="7">
      <x:c r="A7" s="36" t="str">
        <x:v>ROM</x:v>
      </x:c>
      <x:c r="B7" s="36" t="str">
        <x:v>Römer</x:v>
      </x:c>
      <x:c r="C7" s="36" t="n">
        <x:v>16</x:v>
      </x:c>
      <x:c r="D7" s="36" t="n">
        <x:v>80</x:v>
      </x:c>
      <x:c r="E7" s="36" t="n">
        <x:v>80</x:v>
      </x:c>
      <x:c r="F7" s="36" t="n">
        <x:v>80</x:v>
      </x:c>
      <x:c r="G7" s="36" t="n">
        <x:v>80</x:v>
      </x:c>
      <x:c r="H7" s="43" t="n">
        <x:f>G7/D7</x:f>
        <x:v>1</x:v>
      </x:c>
      <x:c r="I7" s="36" t="str">
        <x:v>FREIGEGEBEN</x:v>
      </x:c>
      <x:c r="J7" s="36" t="n">
        <x:v>6</x:v>
      </x:c>
      <x:c r="K7" s="36" t="str">
        <x:v>Römer komplett: 80/80 geprüft, freigegeben und importbereit.</x:v>
      </x:c>
    </x:row>
    <x:row r="8">
      <x:c r="A8" s="36" t="str">
        <x:v>1CO</x:v>
      </x:c>
      <x:c r="B8" s="36" t="str">
        <x:v>1. Korinther</x:v>
      </x:c>
      <x:c r="C8" s="36" t="n">
        <x:v>16</x:v>
      </x:c>
      <x:c r="D8" s="36" t="n">
        <x:v>80</x:v>
      </x:c>
      <x:c r="E8" s="36" t="n">
        <x:v>80</x:v>
      </x:c>
      <x:c r="F8" s="36" t="n">
        <x:v>80</x:v>
      </x:c>
      <x:c r="G8" s="36" t="n">
        <x:v>80</x:v>
      </x:c>
      <x:c r="H8" s="43" t="n">
        <x:f>G8/D8</x:f>
        <x:v>1</x:v>
      </x:c>
      <x:c r="I8" s="36" t="str">
        <x:v>FREIGEGEBEN</x:v>
      </x:c>
      <x:c r="J8" s="36" t="n">
        <x:v>7</x:v>
      </x:c>
      <x:c r="K8" s="36" t="str">
        <x:v>1. Korinther komplett: 80/80 geprüft, freigegeben und importbereit.</x:v>
      </x:c>
    </x:row>
    <x:row r="9">
      <x:c r="A9" s="36" t="str">
        <x:v>2CO</x:v>
      </x:c>
      <x:c r="B9" s="36" t="str">
        <x:v>2. Korinther</x:v>
      </x:c>
      <x:c r="C9" s="36" t="n">
        <x:v>13</x:v>
      </x:c>
      <x:c r="D9" s="36" t="n">
        <x:v>65</x:v>
      </x:c>
      <x:c r="E9" s="36" t="n">
        <x:v>65</x:v>
      </x:c>
      <x:c r="F9" s="36" t="n">
        <x:v>65</x:v>
      </x:c>
      <x:c r="G9" s="36" t="n">
        <x:v>65</x:v>
      </x:c>
      <x:c r="H9" s="43" t="n">
        <x:f>G9/D9</x:f>
        <x:v>1</x:v>
      </x:c>
      <x:c r="I9" s="36" t="str">
        <x:v>FREIGEGEBEN</x:v>
      </x:c>
      <x:c r="J9" s="36" t="n">
        <x:v>8</x:v>
      </x:c>
      <x:c r="K9" s="36" t="str">
        <x:v>2. Korinther komplett: 65/65 geprüft, freigegeben und importbereit.</x:v>
      </x:c>
    </x:row>
    <x:row r="10">
      <x:c r="A10" s="36" t="str">
        <x:v>GAL</x:v>
      </x:c>
      <x:c r="B10" s="36" t="str">
        <x:v>Galater</x:v>
      </x:c>
      <x:c r="C10" s="36" t="n">
        <x:v>6</x:v>
      </x:c>
      <x:c r="D10" s="36" t="n">
        <x:v>30</x:v>
      </x:c>
      <x:c r="E10" s="36" t="n">
        <x:v>30</x:v>
      </x:c>
      <x:c r="F10" s="36" t="n">
        <x:v>30</x:v>
      </x:c>
      <x:c r="G10" s="36" t="n">
        <x:v>30</x:v>
      </x:c>
      <x:c r="H10" s="43" t="n">
        <x:f>G10/D10</x:f>
        <x:v>1</x:v>
      </x:c>
      <x:c r="I10" s="36" t="str">
        <x:v>FREIGEGEBEN</x:v>
      </x:c>
      <x:c r="J10" s="36" t="n">
        <x:v>9</x:v>
      </x:c>
      <x:c r="K10" s="36" t="str">
        <x:v>Galater komplett: 30/30 geprüft, freigegeben und importbereit.</x:v>
      </x:c>
    </x:row>
    <x:row r="11">
      <x:c r="A11" s="36" t="str">
        <x:v>EPH</x:v>
      </x:c>
      <x:c r="B11" s="36" t="str">
        <x:v>Epheser</x:v>
      </x:c>
      <x:c r="C11" s="36" t="n">
        <x:v>6</x:v>
      </x:c>
      <x:c r="D11" s="36" t="n">
        <x:v>30</x:v>
      </x:c>
      <x:c r="E11" s="36" t="n">
        <x:v>30</x:v>
      </x:c>
      <x:c r="F11" s="36" t="n">
        <x:v>30</x:v>
      </x:c>
      <x:c r="G11" s="36" t="n">
        <x:v>30</x:v>
      </x:c>
      <x:c r="H11" s="43" t="n">
        <x:f>G11/D11</x:f>
        <x:v>1</x:v>
      </x:c>
      <x:c r="I11" s="36" t="str">
        <x:v>FREIGEGEBEN</x:v>
      </x:c>
      <x:c r="J11" s="36" t="n">
        <x:v>10</x:v>
      </x:c>
      <x:c r="K11" s="36" t="str">
        <x:v>Epheser komplett: 30/30 geprüft, freigegeben und importbereit.</x:v>
      </x:c>
    </x:row>
    <x:row r="12">
      <x:c r="A12" s="36" t="str">
        <x:v>PHP</x:v>
      </x:c>
      <x:c r="B12" s="36" t="str">
        <x:v>Philipper</x:v>
      </x:c>
      <x:c r="C12" s="36" t="n">
        <x:v>4</x:v>
      </x:c>
      <x:c r="D12" s="36" t="n">
        <x:v>20</x:v>
      </x:c>
      <x:c r="E12" s="36" t="n">
        <x:v>20</x:v>
      </x:c>
      <x:c r="F12" s="36" t="n">
        <x:v>20</x:v>
      </x:c>
      <x:c r="G12" s="36" t="n">
        <x:v>20</x:v>
      </x:c>
      <x:c r="H12" s="43" t="n">
        <x:f>G12/D12</x:f>
        <x:v>1</x:v>
      </x:c>
      <x:c r="I12" s="36" t="str">
        <x:v>FREIGEGEBEN</x:v>
      </x:c>
      <x:c r="J12" s="36" t="n">
        <x:v>11</x:v>
      </x:c>
      <x:c r="K12" s="36" t="str">
        <x:v>Philipper komplett: 20/20 geprüft, freigegeben und importbereit.</x:v>
      </x:c>
    </x:row>
    <x:row r="13">
      <x:c r="A13" s="36" t="str">
        <x:v>COL</x:v>
      </x:c>
      <x:c r="B13" s="36" t="str">
        <x:v>Kolosser</x:v>
      </x:c>
      <x:c r="C13" s="36" t="n">
        <x:v>4</x:v>
      </x:c>
      <x:c r="D13" s="36" t="n">
        <x:v>20</x:v>
      </x:c>
      <x:c r="E13" s="36" t="n">
        <x:v>20</x:v>
      </x:c>
      <x:c r="F13" s="36" t="n">
        <x:v>20</x:v>
      </x:c>
      <x:c r="G13" s="36" t="n">
        <x:v>20</x:v>
      </x:c>
      <x:c r="H13" s="43" t="n">
        <x:f>G13/D13</x:f>
        <x:v>1</x:v>
      </x:c>
      <x:c r="I13" s="36" t="str">
        <x:v>FREIGEGEBEN</x:v>
      </x:c>
      <x:c r="J13" s="36" t="n">
        <x:v>12</x:v>
      </x:c>
      <x:c r="K13" s="36" t="str">
        <x:v>Kolosser komplett: 20/20 geprüft, freigegeben und importbereit.</x:v>
      </x:c>
    </x:row>
    <x:row r="14">
      <x:c r="A14" s="36" t="str">
        <x:v>1TH</x:v>
      </x:c>
      <x:c r="B14" s="36" t="str">
        <x:v>1. Thessalonicher</x:v>
      </x:c>
      <x:c r="C14" s="36" t="n">
        <x:v>5</x:v>
      </x:c>
      <x:c r="D14" s="36" t="n">
        <x:v>25</x:v>
      </x:c>
      <x:c r="E14" s="36" t="n">
        <x:v>25</x:v>
      </x:c>
      <x:c r="F14" s="36" t="n">
        <x:v>25</x:v>
      </x:c>
      <x:c r="G14" s="36" t="n">
        <x:v>25</x:v>
      </x:c>
      <x:c r="H14" s="43" t="n">
        <x:f>G14/D14</x:f>
        <x:v>1</x:v>
      </x:c>
      <x:c r="I14" s="36" t="str">
        <x:v>FREIGEGEBEN</x:v>
      </x:c>
      <x:c r="J14" s="36" t="n">
        <x:v>13</x:v>
      </x:c>
      <x:c r="K14" s="36" t="str">
        <x:v>1. Thessalonicher komplett: 25/25 geprüft, freigegeben und importbereit.</x:v>
      </x:c>
    </x:row>
    <x:row r="15">
      <x:c r="A15" s="36" t="str">
        <x:v>2TH</x:v>
      </x:c>
      <x:c r="B15" s="36" t="str">
        <x:v>2. Thessalonicher</x:v>
      </x:c>
      <x:c r="C15" s="36" t="n">
        <x:v>3</x:v>
      </x:c>
      <x:c r="D15" s="36" t="n">
        <x:v>15</x:v>
      </x:c>
      <x:c r="E15" s="36" t="n">
        <x:v>15</x:v>
      </x:c>
      <x:c r="F15" s="36" t="n">
        <x:v>15</x:v>
      </x:c>
      <x:c r="G15" s="36" t="n">
        <x:v>15</x:v>
      </x:c>
      <x:c r="H15" s="43" t="n">
        <x:f>G15/D15</x:f>
        <x:v>1</x:v>
      </x:c>
      <x:c r="I15" s="36" t="str">
        <x:v>FREIGEGEBEN</x:v>
      </x:c>
      <x:c r="J15" s="36" t="n">
        <x:v>14</x:v>
      </x:c>
      <x:c r="K15" s="36" t="str">
        <x:v>2. Thessalonicher komplett: 15/15 geprüft, freigegeben und importbereit.</x:v>
      </x:c>
    </x:row>
    <x:row r="16">
      <x:c r="A16" s="36" t="str">
        <x:v>1TI</x:v>
      </x:c>
      <x:c r="B16" s="36" t="str">
        <x:v>1. Timotheus</x:v>
      </x:c>
      <x:c r="C16" s="36" t="n">
        <x:v>6</x:v>
      </x:c>
      <x:c r="D16" s="36" t="n">
        <x:v>30</x:v>
      </x:c>
      <x:c r="E16" s="36" t="n">
        <x:v>30</x:v>
      </x:c>
      <x:c r="F16" s="36" t="n">
        <x:v>30</x:v>
      </x:c>
      <x:c r="G16" s="36" t="n">
        <x:v>30</x:v>
      </x:c>
      <x:c r="H16" s="43" t="n">
        <x:f>G16/D16</x:f>
        <x:v>1</x:v>
      </x:c>
      <x:c r="I16" s="36" t="str">
        <x:v>FREIGEGEBEN</x:v>
      </x:c>
      <x:c r="J16" s="36" t="n">
        <x:v>15</x:v>
      </x:c>
      <x:c r="K16" s="36" t="str">
        <x:v>1. Timotheus komplett: 30/30 geprüft, freigegeben und importbereit.</x:v>
      </x:c>
    </x:row>
    <x:row r="17">
      <x:c r="A17" s="36" t="str">
        <x:v>2TI</x:v>
      </x:c>
      <x:c r="B17" s="36" t="str">
        <x:v>2. Timotheus</x:v>
      </x:c>
      <x:c r="C17" s="36" t="n">
        <x:v>4</x:v>
      </x:c>
      <x:c r="D17" s="36" t="n">
        <x:v>20</x:v>
      </x:c>
      <x:c r="E17" s="36" t="n">
        <x:v>20</x:v>
      </x:c>
      <x:c r="F17" s="36" t="n">
        <x:v>20</x:v>
      </x:c>
      <x:c r="G17" s="36" t="n">
        <x:v>20</x:v>
      </x:c>
      <x:c r="H17" s="43" t="n">
        <x:f>G17/D17</x:f>
        <x:v>1</x:v>
      </x:c>
      <x:c r="I17" s="36" t="str">
        <x:v>FREIGEGEBEN</x:v>
      </x:c>
      <x:c r="J17" s="36" t="n">
        <x:v>16</x:v>
      </x:c>
      <x:c r="K17" s="36" t="str">
        <x:v>2. Timotheus komplett: 20/20 geprüft, freigegeben und importbereit.</x:v>
      </x:c>
    </x:row>
    <x:row r="18">
      <x:c r="A18" s="36" t="str">
        <x:v>TIT</x:v>
      </x:c>
      <x:c r="B18" s="36" t="str">
        <x:v>Titus</x:v>
      </x:c>
      <x:c r="C18" s="36" t="n">
        <x:v>3</x:v>
      </x:c>
      <x:c r="D18" s="36" t="n">
        <x:v>15</x:v>
      </x:c>
      <x:c r="E18" s="36" t="n">
        <x:v>15</x:v>
      </x:c>
      <x:c r="F18" s="36" t="n">
        <x:v>15</x:v>
      </x:c>
      <x:c r="G18" s="36" t="n">
        <x:v>15</x:v>
      </x:c>
      <x:c r="H18" s="43" t="n">
        <x:f>G18/D18</x:f>
        <x:v>1</x:v>
      </x:c>
      <x:c r="I18" s="36" t="str">
        <x:v>FREIGEGEBEN</x:v>
      </x:c>
      <x:c r="J18" s="36" t="n">
        <x:v>17</x:v>
      </x:c>
      <x:c r="K18" s="36" t="str">
        <x:v>Titus komplett: 15/15 geprüft, freigegeben und importbereit.</x:v>
      </x:c>
    </x:row>
    <x:row r="19">
      <x:c r="A19" s="36" t="str">
        <x:v>PHM</x:v>
      </x:c>
      <x:c r="B19" s="36" t="str">
        <x:v>Philemon</x:v>
      </x:c>
      <x:c r="C19" s="36" t="n">
        <x:v>1</x:v>
      </x:c>
      <x:c r="D19" s="36" t="n">
        <x:v>5</x:v>
      </x:c>
      <x:c r="E19" s="36" t="n">
        <x:v>5</x:v>
      </x:c>
      <x:c r="F19" s="36" t="n">
        <x:v>5</x:v>
      </x:c>
      <x:c r="G19" s="36" t="n">
        <x:v>5</x:v>
      </x:c>
      <x:c r="H19" s="43" t="n">
        <x:f>G19/D19</x:f>
        <x:v>1</x:v>
      </x:c>
      <x:c r="I19" s="36" t="str">
        <x:v>FREIGEGEBEN</x:v>
      </x:c>
      <x:c r="J19" s="36" t="n">
        <x:v>18</x:v>
      </x:c>
      <x:c r="K19" s="36" t="str">
        <x:v>Philemon komplett: 5/5 geprüft, freigegeben und importbereit.</x:v>
      </x:c>
    </x:row>
    <x:row r="20">
      <x:c r="A20" s="36" t="str">
        <x:v>HEB</x:v>
      </x:c>
      <x:c r="B20" s="36" t="str">
        <x:v>Hebräer</x:v>
      </x:c>
      <x:c r="C20" s="36" t="n">
        <x:v>13</x:v>
      </x:c>
      <x:c r="D20" s="36" t="n">
        <x:v>65</x:v>
      </x:c>
      <x:c r="E20" s="36" t="n">
        <x:v>65</x:v>
      </x:c>
      <x:c r="F20" s="36" t="n">
        <x:v>65</x:v>
      </x:c>
      <x:c r="G20" s="36" t="n">
        <x:v>65</x:v>
      </x:c>
      <x:c r="H20" s="43" t="n">
        <x:f>G20/D20</x:f>
        <x:v>1</x:v>
      </x:c>
      <x:c r="I20" s="36" t="str">
        <x:v>FREIGEGEBEN</x:v>
      </x:c>
      <x:c r="J20" s="36" t="n">
        <x:v>19</x:v>
      </x:c>
      <x:c r="K20" s="36" t="str">
        <x:v>Hebräer komplett: 65/65 geprüft, freigegeben und importbereit.</x:v>
      </x:c>
    </x:row>
    <x:row r="21">
      <x:c r="A21" s="36" t="str">
        <x:v>JAS</x:v>
      </x:c>
      <x:c r="B21" s="36" t="str">
        <x:v>Jakobus</x:v>
      </x:c>
      <x:c r="C21" s="36" t="n">
        <x:v>5</x:v>
      </x:c>
      <x:c r="D21" s="36" t="n">
        <x:v>25</x:v>
      </x:c>
      <x:c r="E21" s="36" t="n">
        <x:v>25</x:v>
      </x:c>
      <x:c r="F21" s="36" t="n">
        <x:v>25</x:v>
      </x:c>
      <x:c r="G21" s="36" t="n">
        <x:v>25</x:v>
      </x:c>
      <x:c r="H21" s="43" t="n">
        <x:f>G21/D21</x:f>
        <x:v>1</x:v>
      </x:c>
      <x:c r="I21" s="36" t="str">
        <x:v>FREIGEGEBEN</x:v>
      </x:c>
      <x:c r="J21" s="36" t="n">
        <x:v>20</x:v>
      </x:c>
      <x:c r="K21" s="36" t="str">
        <x:v>Jakobus komplett: 25/25 geprüft, freigegeben und importbereit.</x:v>
      </x:c>
    </x:row>
    <x:row r="22">
      <x:c r="A22" s="36" t="str">
        <x:v>1PE</x:v>
      </x:c>
      <x:c r="B22" s="36" t="str">
        <x:v>1. Petrus</x:v>
      </x:c>
      <x:c r="C22" s="36" t="n">
        <x:v>5</x:v>
      </x:c>
      <x:c r="D22" s="36" t="n">
        <x:v>25</x:v>
      </x:c>
      <x:c r="E22" s="36" t="n">
        <x:v>25</x:v>
      </x:c>
      <x:c r="F22" s="36" t="n">
        <x:v>25</x:v>
      </x:c>
      <x:c r="G22" s="36" t="n">
        <x:v>25</x:v>
      </x:c>
      <x:c r="H22" s="43" t="n">
        <x:f>G22/D22</x:f>
        <x:v>1</x:v>
      </x:c>
      <x:c r="I22" s="36" t="str">
        <x:v>FREIGEGEBEN</x:v>
      </x:c>
      <x:c r="J22" s="36" t="n">
        <x:v>21</x:v>
      </x:c>
      <x:c r="K22" s="36" t="str">
        <x:v>1. Petrus komplett: 25/25 geprüft, freigegeben und importbereit.</x:v>
      </x:c>
    </x:row>
    <x:row r="23">
      <x:c r="A23" s="36" t="str">
        <x:v>2PE</x:v>
      </x:c>
      <x:c r="B23" s="36" t="str">
        <x:v>2. Petrus</x:v>
      </x:c>
      <x:c r="C23" s="36" t="n">
        <x:v>3</x:v>
      </x:c>
      <x:c r="D23" s="36" t="n">
        <x:v>15</x:v>
      </x:c>
      <x:c r="E23" s="36" t="n">
        <x:v>15</x:v>
      </x:c>
      <x:c r="F23" s="36" t="n">
        <x:v>15</x:v>
      </x:c>
      <x:c r="G23" s="36" t="n">
        <x:v>15</x:v>
      </x:c>
      <x:c r="H23" s="43" t="n">
        <x:f>G23/D23</x:f>
        <x:v>1</x:v>
      </x:c>
      <x:c r="I23" s="36" t="str">
        <x:v>FREIGEGEBEN</x:v>
      </x:c>
      <x:c r="J23" s="36" t="n">
        <x:v>22</x:v>
      </x:c>
      <x:c r="K23" s="36" t="str">
        <x:v>2. Petrus komplett: 15/15 geprüft, freigegeben und importbereit.</x:v>
      </x:c>
    </x:row>
    <x:row r="24">
      <x:c r="A24" s="36" t="str">
        <x:v>1JN</x:v>
      </x:c>
      <x:c r="B24" s="36" t="str">
        <x:v>1. Johannes</x:v>
      </x:c>
      <x:c r="C24" s="36" t="n">
        <x:v>5</x:v>
      </x:c>
      <x:c r="D24" s="36" t="n">
        <x:v>25</x:v>
      </x:c>
      <x:c r="E24" s="36" t="n">
        <x:v>25</x:v>
      </x:c>
      <x:c r="F24" s="36" t="n">
        <x:v>25</x:v>
      </x:c>
      <x:c r="G24" s="36" t="n">
        <x:v>25</x:v>
      </x:c>
      <x:c r="H24" s="43" t="n">
        <x:f>G24/D24</x:f>
        <x:v>1</x:v>
      </x:c>
      <x:c r="I24" s="36" t="str">
        <x:v>FREIGEGEBEN</x:v>
      </x:c>
      <x:c r="J24" s="36" t="n">
        <x:v>23</x:v>
      </x:c>
      <x:c r="K24" s="36" t="str">
        <x:v>1. Johannes komplett: 25/25 geprüft, freigegeben und importbereit.</x:v>
      </x:c>
    </x:row>
    <x:row r="25">
      <x:c r="A25" s="36" t="str">
        <x:v>2JN</x:v>
      </x:c>
      <x:c r="B25" s="36" t="str">
        <x:v>2. Johannes</x:v>
      </x:c>
      <x:c r="C25" s="36" t="n">
        <x:v>1</x:v>
      </x:c>
      <x:c r="D25" s="36" t="n">
        <x:v>5</x:v>
      </x:c>
      <x:c r="E25" s="36" t="n">
        <x:v>5</x:v>
      </x:c>
      <x:c r="F25" s="36" t="n">
        <x:v>5</x:v>
      </x:c>
      <x:c r="G25" s="36" t="n">
        <x:v>5</x:v>
      </x:c>
      <x:c r="H25" s="43" t="n">
        <x:f>G25/D25</x:f>
        <x:v>1</x:v>
      </x:c>
      <x:c r="I25" s="36" t="str">
        <x:v>FREIGEGEBEN</x:v>
      </x:c>
      <x:c r="J25" s="36" t="n">
        <x:v>24</x:v>
      </x:c>
      <x:c r="K25" s="36" t="str">
        <x:v>2. Johannes komplett: 5/5 geprüft, freigegeben und importbereit.</x:v>
      </x:c>
    </x:row>
    <x:row r="26">
      <x:c r="A26" s="36" t="str">
        <x:v>3JN</x:v>
      </x:c>
      <x:c r="B26" s="36" t="str">
        <x:v>3. Johannes</x:v>
      </x:c>
      <x:c r="C26" s="36" t="n">
        <x:v>1</x:v>
      </x:c>
      <x:c r="D26" s="36" t="n">
        <x:v>5</x:v>
      </x:c>
      <x:c r="E26" s="36" t="n">
        <x:v>5</x:v>
      </x:c>
      <x:c r="F26" s="36" t="n">
        <x:v>5</x:v>
      </x:c>
      <x:c r="G26" s="36" t="n">
        <x:v>5</x:v>
      </x:c>
      <x:c r="H26" s="43" t="n">
        <x:f>G26/D26</x:f>
        <x:v>1</x:v>
      </x:c>
      <x:c r="I26" s="36" t="str">
        <x:v>FREIGEGEBEN</x:v>
      </x:c>
      <x:c r="J26" s="36" t="n">
        <x:v>25</x:v>
      </x:c>
      <x:c r="K26" s="36" t="str">
        <x:v>3. Johannes komplett: 5/5 geprüft, freigegeben und importbereit.</x:v>
      </x:c>
    </x:row>
    <x:row r="27">
      <x:c r="A27" s="36" t="str">
        <x:v>JUD</x:v>
      </x:c>
      <x:c r="B27" s="36" t="str">
        <x:v>Judas</x:v>
      </x:c>
      <x:c r="C27" s="36" t="n">
        <x:v>1</x:v>
      </x:c>
      <x:c r="D27" s="36" t="n">
        <x:v>5</x:v>
      </x:c>
      <x:c r="E27" s="36" t="n">
        <x:v>5</x:v>
      </x:c>
      <x:c r="F27" s="36" t="n">
        <x:v>5</x:v>
      </x:c>
      <x:c r="G27" s="36" t="n">
        <x:v>5</x:v>
      </x:c>
      <x:c r="H27" s="43" t="n">
        <x:f>G27/D27</x:f>
        <x:v>1</x:v>
      </x:c>
      <x:c r="I27" s="36" t="str">
        <x:v>FREIGEGEBEN</x:v>
      </x:c>
      <x:c r="J27" s="36" t="n">
        <x:v>26</x:v>
      </x:c>
      <x:c r="K27" s="36" t="str">
        <x:v>Judas komplett: 5/5 geprüft, freigegeben und importbereit.</x:v>
      </x:c>
    </x:row>
    <x:row r="28">
      <x:c r="A28" s="36" t="str">
        <x:v>REV</x:v>
      </x:c>
      <x:c r="B28" s="36" t="str">
        <x:v>Offenbarung</x:v>
      </x:c>
      <x:c r="C28" s="36" t="n">
        <x:v>22</x:v>
      </x:c>
      <x:c r="D28" s="36" t="n">
        <x:v>110</x:v>
      </x:c>
      <x:c r="E28" s="36" t="n">
        <x:v>110</x:v>
      </x:c>
      <x:c r="F28" s="36" t="n">
        <x:v>110</x:v>
      </x:c>
      <x:c r="G28" s="36" t="n">
        <x:v>110</x:v>
      </x:c>
      <x:c r="H28" s="43" t="n">
        <x:f>G28/D28</x:f>
        <x:v>1</x:v>
      </x:c>
      <x:c r="I28" s="36" t="str">
        <x:v>FREIGEGEBEN</x:v>
      </x:c>
      <x:c r="J28" s="36" t="n">
        <x:v>27</x:v>
      </x:c>
      <x:c r="K28" s="36" t="str">
        <x:v>Offenbarung komplett: 110/110 geprüft, freigegeben und importbereit.</x:v>
      </x:c>
    </x:row>
  </x:sheetData>
  <x:conditionalFormatting sqref="H2:H28">
    <x:cfRule type="dataBar" priority="1">
      <x:dataBar>
        <x:cfvo type="min"/>
        <x:cfvo type="max"/>
        <x:color rgb="FFA02B93"/>
      </x:dataBar>
      <x:extLst>
        <x:ext xmlns:x14="http://schemas.microsoft.com/office/spreadsheetml/2009/9/main" uri="{B025F937-C7B1-47D3-B67F-A62EFF666E3E}">
          <x14:id>{372DDBE5-8D31-7F03-A38E-748AE04EAC4A}</x14:id>
        </x:ext>
      </x:extLst>
    </x:cfRule>
  </x:conditionalFormatting>
  <x:conditionalFormatting sqref="I2:I28">
    <x:cfRule type="expression" dxfId="5" priority="2">
      <x:formula>I2="FREIGEGEBEN"</x:formula>
    </x:cfRule>
    <x:cfRule type="expression" dxfId="6" priority="3">
      <x:formula>I2="NICHT_BEARBEITET"</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372DDBE5-8D31-7F03-A38E-748AE04EAC4A}">
            <x14:dataBar gradient="1">
              <x14:cfvo type="min"/>
              <x14:cfvo type="max"/>
              <x14:fillColor rgb="FFA02B93"/>
            </x14:dataBar>
          </x14:cfRule>
          <xm:sqref>H2:H28</xm:sqref>
        </x14:conditionalFormatting>
      </x14:conditionalFormattings>
    </x:ext>
  </x:extLst>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x:c r="A1" s="32" t="str">
        <x:v>Book_Key</x:v>
      </x:c>
      <x:c r="B1" s="32" t="str">
        <x:v>Buch</x:v>
      </x:c>
      <x:c r="C1" s="32" t="str">
        <x:v>Kapitelanzahl</x:v>
      </x:c>
      <x:c r="E1" t="str">
        <x:v>Entscheidung</x:v>
      </x:c>
      <x:c r="G1" t="str">
        <x:v>Fragetyp</x:v>
      </x:c>
    </x:row>
    <x:row r="2">
      <x:c r="A2" t="str">
        <x:v>MAT</x:v>
      </x:c>
      <x:c r="B2" t="str">
        <x:v>Matthäus</x:v>
      </x:c>
      <x:c r="C2" t="n">
        <x:v>28</x:v>
      </x:c>
      <x:c r="E2" t="str">
        <x:v>ZU_PRÜFEN</x:v>
      </x:c>
      <x:c r="G2" t="str">
        <x:v>GESCHEHEN</x:v>
      </x:c>
    </x:row>
    <x:row r="3">
      <x:c r="A3" t="str">
        <x:v>MRK</x:v>
      </x:c>
      <x:c r="B3" t="str">
        <x:v>Markus</x:v>
      </x:c>
      <x:c r="C3" t="n">
        <x:v>16</x:v>
      </x:c>
      <x:c r="E3" t="str">
        <x:v>BEHALTEN</x:v>
      </x:c>
      <x:c r="G3" t="str">
        <x:v>PERSON_AUSSAGE</x:v>
      </x:c>
    </x:row>
    <x:row r="4">
      <x:c r="A4" t="str">
        <x:v>LUK</x:v>
      </x:c>
      <x:c r="B4" t="str">
        <x:v>Lukas</x:v>
      </x:c>
      <x:c r="C4" t="n">
        <x:v>24</x:v>
      </x:c>
      <x:c r="E4" t="str">
        <x:v>VERBESSERN</x:v>
      </x:c>
      <x:c r="G4" t="str">
        <x:v>ZUSAMMENHANG</x:v>
      </x:c>
    </x:row>
    <x:row r="5">
      <x:c r="A5" t="str">
        <x:v>JHN</x:v>
      </x:c>
      <x:c r="B5" t="str">
        <x:v>Johannes</x:v>
      </x:c>
      <x:c r="C5" t="n">
        <x:v>21</x:v>
      </x:c>
      <x:c r="E5" t="str">
        <x:v>ERSETZEN</x:v>
      </x:c>
      <x:c r="G5" t="str">
        <x:v>KERNAUSSAGE</x:v>
      </x:c>
    </x:row>
    <x:row r="6">
      <x:c r="A6" t="str">
        <x:v>ACT</x:v>
      </x:c>
      <x:c r="B6" t="str">
        <x:v>Apostelgeschichte</x:v>
      </x:c>
      <x:c r="C6" t="n">
        <x:v>28</x:v>
      </x:c>
      <x:c r="G6" t="str">
        <x:v>TEXTGENAUIGKEIT</x:v>
      </x:c>
    </x:row>
    <x:row r="7">
      <x:c r="A7" t="str">
        <x:v>ROM</x:v>
      </x:c>
      <x:c r="B7" t="str">
        <x:v>Römer</x:v>
      </x:c>
      <x:c r="C7" t="n">
        <x:v>16</x:v>
      </x:c>
      <x:c r="G7" t="str">
        <x:v>DETAIL</x:v>
      </x:c>
    </x:row>
    <x:row r="8">
      <x:c r="A8" t="str">
        <x:v>1CO</x:v>
      </x:c>
      <x:c r="B8" t="str">
        <x:v>1. Korinther</x:v>
      </x:c>
      <x:c r="C8" t="n">
        <x:v>16</x:v>
      </x:c>
      <x:c r="G8" t="str">
        <x:v>SONSTIGES</x:v>
      </x:c>
    </x:row>
    <x:row r="9">
      <x:c r="A9" t="str">
        <x:v>2CO</x:v>
      </x:c>
      <x:c r="B9" t="str">
        <x:v>2. Korinther</x:v>
      </x:c>
      <x:c r="C9" t="n">
        <x:v>13</x:v>
      </x:c>
    </x:row>
    <x:row r="10">
      <x:c r="A10" t="str">
        <x:v>GAL</x:v>
      </x:c>
      <x:c r="B10" t="str">
        <x:v>Galater</x:v>
      </x:c>
      <x:c r="C10" t="n">
        <x:v>6</x:v>
      </x:c>
    </x:row>
    <x:row r="11">
      <x:c r="A11" t="str">
        <x:v>EPH</x:v>
      </x:c>
      <x:c r="B11" t="str">
        <x:v>Epheser</x:v>
      </x:c>
      <x:c r="C11" t="n">
        <x:v>6</x:v>
      </x:c>
    </x:row>
    <x:row r="12">
      <x:c r="A12" t="str">
        <x:v>PHP</x:v>
      </x:c>
      <x:c r="B12" t="str">
        <x:v>Philipper</x:v>
      </x:c>
      <x:c r="C12" t="n">
        <x:v>4</x:v>
      </x:c>
    </x:row>
    <x:row r="13">
      <x:c r="A13" t="str">
        <x:v>COL</x:v>
      </x:c>
      <x:c r="B13" t="str">
        <x:v>Kolosser</x:v>
      </x:c>
      <x:c r="C13" t="n">
        <x:v>4</x:v>
      </x:c>
    </x:row>
    <x:row r="14">
      <x:c r="A14" t="str">
        <x:v>1TH</x:v>
      </x:c>
      <x:c r="B14" t="str">
        <x:v>1. Thessalonicher</x:v>
      </x:c>
      <x:c r="C14" t="n">
        <x:v>5</x:v>
      </x:c>
    </x:row>
    <x:row r="15">
      <x:c r="A15" t="str">
        <x:v>2TH</x:v>
      </x:c>
      <x:c r="B15" t="str">
        <x:v>2. Thessalonicher</x:v>
      </x:c>
      <x:c r="C15" t="n">
        <x:v>3</x:v>
      </x:c>
    </x:row>
    <x:row r="16">
      <x:c r="A16" t="str">
        <x:v>1TI</x:v>
      </x:c>
      <x:c r="B16" t="str">
        <x:v>1. Timotheus</x:v>
      </x:c>
      <x:c r="C16" t="n">
        <x:v>6</x:v>
      </x:c>
    </x:row>
    <x:row r="17">
      <x:c r="A17" t="str">
        <x:v>2TI</x:v>
      </x:c>
      <x:c r="B17" t="str">
        <x:v>2. Timotheus</x:v>
      </x:c>
      <x:c r="C17" t="n">
        <x:v>4</x:v>
      </x:c>
    </x:row>
    <x:row r="18">
      <x:c r="A18" t="str">
        <x:v>TIT</x:v>
      </x:c>
      <x:c r="B18" t="str">
        <x:v>Titus</x:v>
      </x:c>
      <x:c r="C18" t="n">
        <x:v>3</x:v>
      </x:c>
    </x:row>
    <x:row r="19">
      <x:c r="A19" t="str">
        <x:v>PHM</x:v>
      </x:c>
      <x:c r="B19" t="str">
        <x:v>Philemon</x:v>
      </x:c>
      <x:c r="C19" t="n">
        <x:v>1</x:v>
      </x:c>
    </x:row>
    <x:row r="20">
      <x:c r="A20" t="str">
        <x:v>HEB</x:v>
      </x:c>
      <x:c r="B20" t="str">
        <x:v>Hebräer</x:v>
      </x:c>
      <x:c r="C20" t="n">
        <x:v>13</x:v>
      </x:c>
    </x:row>
    <x:row r="21">
      <x:c r="A21" t="str">
        <x:v>JAS</x:v>
      </x:c>
      <x:c r="B21" t="str">
        <x:v>Jakobus</x:v>
      </x:c>
      <x:c r="C21" t="n">
        <x:v>5</x:v>
      </x:c>
    </x:row>
    <x:row r="22">
      <x:c r="A22" t="str">
        <x:v>1PE</x:v>
      </x:c>
      <x:c r="B22" t="str">
        <x:v>1. Petrus</x:v>
      </x:c>
      <x:c r="C22" t="n">
        <x:v>5</x:v>
      </x:c>
    </x:row>
    <x:row r="23">
      <x:c r="A23" t="str">
        <x:v>2PE</x:v>
      </x:c>
      <x:c r="B23" t="str">
        <x:v>2. Petrus</x:v>
      </x:c>
      <x:c r="C23" t="n">
        <x:v>3</x:v>
      </x:c>
    </x:row>
    <x:row r="24">
      <x:c r="A24" t="str">
        <x:v>1JN</x:v>
      </x:c>
      <x:c r="B24" t="str">
        <x:v>1. Johannes</x:v>
      </x:c>
      <x:c r="C24" t="n">
        <x:v>5</x:v>
      </x:c>
    </x:row>
    <x:row r="25">
      <x:c r="A25" t="str">
        <x:v>2JN</x:v>
      </x:c>
      <x:c r="B25" t="str">
        <x:v>2. Johannes</x:v>
      </x:c>
      <x:c r="C25" t="n">
        <x:v>1</x:v>
      </x:c>
    </x:row>
    <x:row r="26">
      <x:c r="A26" t="str">
        <x:v>3JN</x:v>
      </x:c>
      <x:c r="B26" t="str">
        <x:v>3. Johannes</x:v>
      </x:c>
      <x:c r="C26" t="n">
        <x:v>1</x:v>
      </x:c>
    </x:row>
    <x:row r="27">
      <x:c r="A27" t="str">
        <x:v>JUD</x:v>
      </x:c>
      <x:c r="B27" t="str">
        <x:v>Judas</x:v>
      </x:c>
      <x:c r="C27" t="n">
        <x:v>1</x:v>
      </x:c>
    </x:row>
    <x:row r="28">
      <x:c r="A28" t="str">
        <x:v>REV</x:v>
      </x:c>
      <x:c r="B28" t="str">
        <x:v>Offenbarung</x:v>
      </x:c>
      <x:c r="C28" t="n">
        <x:v>22</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48" hidden="0" customWidth="1"/>
    <x:col min="2" max="2" width="16" hidden="0" customWidth="1"/>
    <x:col min="3" max="3" width="14" hidden="0" customWidth="1"/>
    <x:col min="4" max="4" width="28" hidden="0" customWidth="1"/>
    <x:col min="5" max="5" width="60" hidden="0" customWidth="1"/>
    <x:col min="6" max="6" width="52" hidden="0" customWidth="1"/>
  </x:cols>
  <x:sheetData>
    <x:row r="1">
      <x:c r="A1" s="55" t="str">
        <x:v>Quelle</x:v>
      </x:c>
      <x:c r="B1" s="55" t="str">
        <x:v>Typ</x:v>
      </x:c>
      <x:c r="C1" s="55" t="str">
        <x:v>Stand</x:v>
      </x:c>
      <x:c r="D1" s="55" t="str">
        <x:v>Rolle</x:v>
      </x:c>
      <x:c r="E1" s="55" t="str">
        <x:v>Hinweis</x:v>
      </x:c>
      <x:c r="F1" s="55" t="str">
        <x:v>SHA-256 / URL</x:v>
      </x:c>
    </x:row>
    <x:row r="2">
      <x:c r="A2" s="36" t="str">
        <x:v>FaithPath_Kapitelfragen_Redaktionsmaster_1300_Stand_2Korinther.xlsx</x:v>
      </x:c>
      <x:c r="B2" s="36" t="str">
        <x:v>Masterbasis</x:v>
      </x:c>
      <x:c r="C2" s="36" t="str">
        <x:v>06.10.2026</x:v>
      </x:c>
      <x:c r="D2" s="36" t="str">
        <x:v>Exakte Basis FP-0261–FP-1070</x:v>
      </x:c>
      <x:c r="E2" s="36" t="str">
        <x:v>810 freigegebene Fragen unverändert übernommen.</x:v>
      </x:c>
      <x:c r="F2" s="36" t="str">
        <x:v>Library / FaithPath</x:v>
      </x:c>
    </x:row>
    <x:row r="3">
      <x:c r="A3" s="36" t="str">
        <x:v>FaithPath_Kapitelfragen_Galater_QA_FP1071-1100.xlsx</x:v>
      </x:c>
      <x:c r="B3" s="36" t="str">
        <x:v>QA-Block</x:v>
      </x:c>
      <x:c r="C3" s="36" t="str">
        <x:v>07.10.2026</x:v>
      </x:c>
      <x:c r="D3" s="36" t="str">
        <x:v>FP-1071–1100</x:v>
      </x:c>
      <x:c r="E3" s="36" t="str">
        <x:v>30 Fragen; Antwortpositionen im Finalmaster neu verteilt.</x:v>
      </x:c>
      <x:c r="F3" s="36" t="str">
        <x:v>Library / FaithPath</x:v>
      </x:c>
    </x:row>
    <x:row r="4">
      <x:c r="A4" s="36" t="str">
        <x:v>FaithPath_Kapitelfragen_Epheser_QA_FP1101-1130.xlsx</x:v>
      </x:c>
      <x:c r="B4" s="36" t="str">
        <x:v>QA-Block</x:v>
      </x:c>
      <x:c r="C4" s="36" t="str">
        <x:v>07.10.2026</x:v>
      </x:c>
      <x:c r="D4" s="36" t="str">
        <x:v>FP-1101–1130</x:v>
      </x:c>
      <x:c r="E4" s="36" t="str">
        <x:v>30 Fragen; Antwortpositionen neu verteilt; FP-1124 präzisiert.</x:v>
      </x:c>
      <x:c r="F4" s="36" t="str">
        <x:v>Library / FaithPath</x:v>
      </x:c>
    </x:row>
    <x:row r="5">
      <x:c r="A5" s="36" t="str">
        <x:v>FaithPath_Kapitelfragen_Philipper_QA_FP1131-1150.xlsx</x:v>
      </x:c>
      <x:c r="B5" s="36" t="str">
        <x:v>QA-Block</x:v>
      </x:c>
      <x:c r="C5" s="36" t="str">
        <x:v>07.10.2026</x:v>
      </x:c>
      <x:c r="D5" s="36" t="str">
        <x:v>FP-1131–1150</x:v>
      </x:c>
      <x:c r="E5" s="36" t="str">
        <x:v>20 Fragen; Antwortpositionen neu verteilt.</x:v>
      </x:c>
      <x:c r="F5" s="36" t="str">
        <x:v>Library / FaithPath</x:v>
      </x:c>
    </x:row>
    <x:row r="6">
      <x:c r="A6" s="36" t="str">
        <x:v>FaithPath_Kapitelfragen_Kolosser_QA_FP1151-1170.xlsx</x:v>
      </x:c>
      <x:c r="B6" s="36" t="str">
        <x:v>QA-Block</x:v>
      </x:c>
      <x:c r="C6" s="36" t="str">
        <x:v>07.10.2026</x:v>
      </x:c>
      <x:c r="D6" s="36" t="str">
        <x:v>FP-1151–1170</x:v>
      </x:c>
      <x:c r="E6" s="36" t="str">
        <x:v>20 Fragen; Antwortpositionen neu verteilt.</x:v>
      </x:c>
      <x:c r="F6" s="36" t="str">
        <x:v>Library / FaithPath</x:v>
      </x:c>
    </x:row>
    <x:row r="7">
      <x:c r="A7" s="36" t="str">
        <x:v>FaithPath_Kapitelfragen_1Thessalonicher_QA_FP1171-1195.xlsx</x:v>
      </x:c>
      <x:c r="B7" s="36" t="str">
        <x:v>QA-Block</x:v>
      </x:c>
      <x:c r="C7" s="36" t="str">
        <x:v>07.10.2026</x:v>
      </x:c>
      <x:c r="D7" s="36" t="str">
        <x:v>FP-1171–1195</x:v>
      </x:c>
      <x:c r="E7" s="36" t="str">
        <x:v>25 Fragen.</x:v>
      </x:c>
      <x:c r="F7" s="36" t="str">
        <x:v>Library / FaithPath</x:v>
      </x:c>
    </x:row>
    <x:row r="8">
      <x:c r="A8" s="36" t="str">
        <x:v>FaithPath_SammelQA_2Thess_1Tim_2Tim_Titus_Philemon_FP1196-1280.xlsx</x:v>
      </x:c>
      <x:c r="B8" s="36" t="str">
        <x:v>QA-Block</x:v>
      </x:c>
      <x:c r="C8" s="36" t="str">
        <x:v>07.10.2026</x:v>
      </x:c>
      <x:c r="D8" s="36" t="str">
        <x:v>FP-1196–1280</x:v>
      </x:c>
      <x:c r="E8" s="36" t="str">
        <x:v>85 Fragen.</x:v>
      </x:c>
      <x:c r="F8" s="36" t="str">
        <x:v>Library / FaithPath</x:v>
      </x:c>
    </x:row>
    <x:row r="9">
      <x:c r="A9" s="36" t="str">
        <x:v>FaithPath_Kapitelfragen_Hebraeer_QA_FP1281-1345.xlsx</x:v>
      </x:c>
      <x:c r="B9" s="36" t="str">
        <x:v>QA-Block</x:v>
      </x:c>
      <x:c r="C9" s="36" t="str">
        <x:v>07.10.2026</x:v>
      </x:c>
      <x:c r="D9" s="36" t="str">
        <x:v>FP-1281–1345</x:v>
      </x:c>
      <x:c r="E9" s="36" t="str">
        <x:v>65 Fragen.</x:v>
      </x:c>
      <x:c r="F9" s="36" t="str">
        <x:v>Library / FaithPath</x:v>
      </x:c>
    </x:row>
    <x:row r="10">
      <x:c r="A10" s="36" t="str">
        <x:v>FaithPath_SammelQA_Jakobus_Petrus_Johannes_Judas_FP1346-1450.xlsx</x:v>
      </x:c>
      <x:c r="B10" s="36" t="str">
        <x:v>QA-Block</x:v>
      </x:c>
      <x:c r="C10" s="36" t="str">
        <x:v>07.10.2026</x:v>
      </x:c>
      <x:c r="D10" s="36" t="str">
        <x:v>FP-1346–1450</x:v>
      </x:c>
      <x:c r="E10" s="36" t="str">
        <x:v>105 Fragen.</x:v>
      </x:c>
      <x:c r="F10" s="36" t="str">
        <x:v>Library / FaithPath</x:v>
      </x:c>
    </x:row>
    <x:row r="11">
      <x:c r="A11" s="36" t="str">
        <x:v>FaithPath_Kapitelfragen_Offenbarung_QA_FP1451-1560.xlsx</x:v>
      </x:c>
      <x:c r="B11" s="36" t="str">
        <x:v>QA-Block</x:v>
      </x:c>
      <x:c r="C11" s="36" t="str">
        <x:v>07.10.2026</x:v>
      </x:c>
      <x:c r="D11" s="36" t="str">
        <x:v>FP-1451–1560</x:v>
      </x:c>
      <x:c r="E11" s="36" t="str">
        <x:v>110 Fragen; auslegungsneutral formuliert.</x:v>
      </x:c>
      <x:c r="F11" s="36" t="str">
        <x:v>Library / FaithPath</x:v>
      </x:c>
    </x:row>
    <x:row r="12">
      <x:c r="A12" s="36" t="str">
        <x:v>FaithPath repo develop/v4 · data/bibles/l1912/*.json</x:v>
      </x:c>
      <x:c r="B12" s="36" t="str">
        <x:v>Repository</x:v>
      </x:c>
      <x:c r="C12" s="36" t="str">
        <x:v>07.10.2026</x:v>
      </x:c>
      <x:c r="D12" s="36" t="str">
        <x:v>Bibeltextprüfung</x:v>
      </x:c>
      <x:c r="E12" s="36" t="str">
        <x:v>Luther 1912 Referenzbasis.</x:v>
      </x:c>
      <x:c r="F12" s="36" t="str">
        <x:v>https://github.com/akwasiacheampongma-code/Faithpath-</x:v>
      </x:c>
    </x:row>
    <x:row r="13">
      <x:c r="A13" s="36" t="str">
        <x:v>FaithPath repo develop/v4 · data/bibles/otb/*.json</x:v>
      </x:c>
      <x:c r="B13" s="36" t="str">
        <x:v>Repository</x:v>
      </x:c>
      <x:c r="C13" s="36" t="str">
        <x:v>07.10.2026</x:v>
      </x:c>
      <x:c r="D13" s="36" t="str">
        <x:v>Bibeltextprüfung</x:v>
      </x:c>
      <x:c r="E13" s="36" t="str">
        <x:v>OTB Zweitprüfung.</x:v>
      </x:c>
      <x:c r="F13" s="36" t="str">
        <x:v>https://github.com/akwasiacheampongma-code/Faithpath-</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6" hidden="0" customWidth="1"/>
    <x:col min="2" max="2" width="22" hidden="0" customWidth="1"/>
    <x:col min="3" max="3" width="48" hidden="0" customWidth="1"/>
    <x:col min="4" max="4" width="15" hidden="0" customWidth="1"/>
    <x:col min="5" max="5" width="12" hidden="0" customWidth="1"/>
    <x:col min="6" max="6" width="12" hidden="0" customWidth="1"/>
    <x:col min="7" max="7" width="12" hidden="0" customWidth="1"/>
    <x:col min="8" max="8" width="14" hidden="0" customWidth="1"/>
  </x:cols>
  <x:sheetData>
    <x:row r="1">
      <x:c r="A1" s="51" t="str">
        <x:v>FaithPath · Finaler Merge- &amp; Regressionstest</x:v>
      </x:c>
      <x:c r="B1" s="51"/>
      <x:c r="C1" s="51"/>
      <x:c r="D1" s="51"/>
      <x:c r="E1" s="51"/>
      <x:c r="F1" s="51"/>
      <x:c r="G1" s="51"/>
      <x:c r="H1" s="51"/>
    </x:row>
    <x:row r="2">
      <x:c r="A2" s="36"/>
      <x:c r="B2" s="36"/>
      <x:c r="C2" s="36"/>
      <x:c r="D2" s="36"/>
      <x:c r="E2" s="36"/>
      <x:c r="F2" s="36"/>
      <x:c r="G2" s="36"/>
      <x:c r="H2" s="36"/>
    </x:row>
    <x:row r="3">
      <x:c r="A3" s="61" t="str">
        <x:v>Kennzahl</x:v>
      </x:c>
      <x:c r="B3" s="61" t="str">
        <x:v>Wert</x:v>
      </x:c>
      <x:c r="C3" s="36"/>
      <x:c r="D3" s="36"/>
      <x:c r="E3" s="36"/>
      <x:c r="F3" s="36"/>
      <x:c r="G3" s="36"/>
      <x:c r="H3" s="36"/>
    </x:row>
    <x:row r="4">
      <x:c r="A4" s="36" t="str">
        <x:v>Datensätze</x:v>
      </x:c>
      <x:c r="B4" s="36" t="n">
        <x:v>1300</x:v>
      </x:c>
      <x:c r="C4" s="36"/>
      <x:c r="D4" s="36"/>
      <x:c r="E4" s="36"/>
      <x:c r="F4" s="36"/>
      <x:c r="G4" s="36"/>
      <x:c r="H4" s="36"/>
    </x:row>
    <x:row r="5">
      <x:c r="A5" s="36" t="str">
        <x:v>Kapitel</x:v>
      </x:c>
      <x:c r="B5" s="36" t="n">
        <x:v>260</x:v>
      </x:c>
      <x:c r="C5" s="36"/>
      <x:c r="D5" s="36"/>
      <x:c r="E5" s="36"/>
      <x:c r="F5" s="36"/>
      <x:c r="G5" s="36"/>
      <x:c r="H5" s="36"/>
    </x:row>
    <x:row r="6">
      <x:c r="A6" s="36" t="str">
        <x:v>Bücher</x:v>
      </x:c>
      <x:c r="B6" s="36" t="n">
        <x:v>27</x:v>
      </x:c>
      <x:c r="C6" s="36"/>
      <x:c r="D6" s="36"/>
      <x:c r="E6" s="36"/>
      <x:c r="F6" s="36"/>
      <x:c r="G6" s="36"/>
      <x:c r="H6" s="36"/>
    </x:row>
    <x:row r="7">
      <x:c r="A7" s="36" t="str">
        <x:v>Freigegeben</x:v>
      </x:c>
      <x:c r="B7" s="36" t="n">
        <x:v>1300</x:v>
      </x:c>
      <x:c r="C7" s="36"/>
      <x:c r="D7" s="36"/>
      <x:c r="E7" s="36"/>
      <x:c r="F7" s="36"/>
      <x:c r="G7" s="36"/>
      <x:c r="H7" s="36"/>
    </x:row>
    <x:row r="8">
      <x:c r="A8" s="36" t="str">
        <x:v>Globale exakte Frage-Dubletten</x:v>
      </x:c>
      <x:c r="B8" s="36" t="n">
        <x:v>8</x:v>
      </x:c>
      <x:c r="C8" s="36"/>
      <x:c r="D8" s="36"/>
      <x:c r="E8" s="36"/>
      <x:c r="F8" s="36"/>
      <x:c r="G8" s="36"/>
      <x:c r="H8" s="36"/>
    </x:row>
    <x:row r="9">
      <x:c r="A9" s="36" t="str">
        <x:v>Gesamturteil</x:v>
      </x:c>
      <x:c r="B9" s="36" t="str">
        <x:v>PASS</x:v>
      </x:c>
      <x:c r="C9" s="36"/>
      <x:c r="D9" s="36"/>
      <x:c r="E9" s="36"/>
      <x:c r="F9" s="36"/>
      <x:c r="G9" s="36"/>
      <x:c r="H9" s="36"/>
    </x:row>
    <x:row r="10">
      <x:c r="A10" s="36"/>
      <x:c r="B10" s="36"/>
      <x:c r="C10" s="36"/>
      <x:c r="D10" s="36"/>
      <x:c r="E10" s="36"/>
      <x:c r="F10" s="36"/>
      <x:c r="G10" s="36"/>
      <x:c r="H10" s="36"/>
    </x:row>
    <x:row r="11">
      <x:c r="A11" s="36"/>
      <x:c r="B11" s="36"/>
      <x:c r="C11" s="36"/>
      <x:c r="D11" s="36"/>
      <x:c r="E11" s="36"/>
      <x:c r="F11" s="36"/>
      <x:c r="G11" s="36"/>
      <x:c r="H11" s="36"/>
    </x:row>
    <x:row r="12">
      <x:c r="A12" s="55" t="str">
        <x:v>Prüfung</x:v>
      </x:c>
      <x:c r="B12" s="55" t="str">
        <x:v>Status</x:v>
      </x:c>
      <x:c r="C12" s="55" t="str">
        <x:v>Ergebnis</x:v>
      </x:c>
      <x:c r="D12" s="36"/>
      <x:c r="E12" s="36"/>
      <x:c r="F12" s="36"/>
      <x:c r="G12" s="36"/>
      <x:c r="H12" s="36"/>
    </x:row>
    <x:row r="13">
      <x:c r="A13" s="36" t="str">
        <x:v>Zeilenanzahl</x:v>
      </x:c>
      <x:c r="B13" s="36" t="str">
        <x:v>PASS</x:v>
      </x:c>
      <x:c r="C13" s="36" t="str">
        <x:v>1300 / 1.300</x:v>
      </x:c>
      <x:c r="D13" s="36"/>
      <x:c r="E13" s="36"/>
      <x:c r="F13" s="36"/>
      <x:c r="G13" s="36"/>
      <x:c r="H13" s="36"/>
    </x:row>
    <x:row r="14">
      <x:c r="A14" s="36" t="str">
        <x:v>ID-Kontinuität FP-0261–FP-1560</x:v>
      </x:c>
      <x:c r="B14" s="36" t="str">
        <x:v>PASS</x:v>
      </x:c>
      <x:c r="C14" s="36" t="str">
        <x:v>lückenlos</x:v>
      </x:c>
      <x:c r="D14" s="36"/>
      <x:c r="E14" s="36"/>
      <x:c r="F14" s="36"/>
      <x:c r="G14" s="36"/>
      <x:c r="H14" s="36"/>
    </x:row>
    <x:row r="15">
      <x:c r="A15" s="36" t="str">
        <x:v>Eindeutige FP-IDs</x:v>
      </x:c>
      <x:c r="B15" s="36" t="str">
        <x:v>PASS</x:v>
      </x:c>
      <x:c r="C15" s="36" t="str">
        <x:v>1300 eindeutig</x:v>
      </x:c>
      <x:c r="D15" s="36"/>
      <x:c r="E15" s="36"/>
      <x:c r="F15" s="36"/>
      <x:c r="G15" s="36"/>
      <x:c r="H15" s="36"/>
    </x:row>
    <x:row r="16">
      <x:c r="A16" s="36" t="str">
        <x:v>260 Kapitel × 5 Fragen</x:v>
      </x:c>
      <x:c r="B16" s="36" t="str">
        <x:v>PASS</x:v>
      </x:c>
      <x:c r="C16" s="36" t="str">
        <x:v>260 Kapitel; fehlerhaft: 0</x:v>
      </x:c>
      <x:c r="D16" s="36"/>
      <x:c r="E16" s="36"/>
      <x:c r="F16" s="36"/>
      <x:c r="G16" s="36"/>
      <x:c r="H16" s="36"/>
    </x:row>
    <x:row r="17">
      <x:c r="A17" s="36" t="str">
        <x:v>27 Buchumfänge</x:v>
      </x:c>
      <x:c r="B17" s="36" t="str">
        <x:v>PASS</x:v>
      </x:c>
      <x:c r="C17" s="36" t="str">
        <x:v>PASS</x:v>
      </x:c>
      <x:c r="D17" s="36"/>
      <x:c r="E17" s="36"/>
      <x:c r="F17" s="36"/>
      <x:c r="G17" s="36"/>
      <x:c r="H17" s="36"/>
    </x:row>
    <x:row r="18">
      <x:c r="A18" s="36" t="str">
        <x:v>Pflichtfelder gefüllt</x:v>
      </x:c>
      <x:c r="B18" s="36" t="str">
        <x:v>PASS</x:v>
      </x:c>
      <x:c r="C18" s="36" t="str">
        <x:v>leere Pflichtfelder: 0</x:v>
      </x:c>
      <x:c r="D18" s="36"/>
      <x:c r="E18" s="36"/>
      <x:c r="F18" s="36"/>
      <x:c r="G18" s="36"/>
      <x:c r="H18" s="36"/>
    </x:row>
    <x:row r="19">
      <x:c r="A19" s="36" t="str">
        <x:v>Vier unterschiedliche Optionen</x:v>
      </x:c>
      <x:c r="B19" s="36" t="str">
        <x:v>PASS</x:v>
      </x:c>
      <x:c r="C19" s="36" t="str">
        <x:v>Options-Dubletten: 0</x:v>
      </x:c>
      <x:c r="D19" s="36"/>
      <x:c r="E19" s="36"/>
      <x:c r="F19" s="36"/>
      <x:c r="G19" s="36"/>
      <x:c r="H19" s="36"/>
    </x:row>
    <x:row r="20">
      <x:c r="A20" s="36" t="str">
        <x:v>correctIndex 0–3</x:v>
      </x:c>
      <x:c r="B20" s="36" t="str">
        <x:v>PASS</x:v>
      </x:c>
      <x:c r="C20" s="36" t="str">
        <x:v>ungültige Indizes: 0</x:v>
      </x:c>
      <x:c r="D20" s="36"/>
      <x:c r="E20" s="36"/>
      <x:c r="F20" s="36"/>
      <x:c r="G20" s="36"/>
      <x:c r="H20" s="36"/>
    </x:row>
    <x:row r="21">
      <x:c r="A21" s="36" t="str">
        <x:v>correctAnswer passt zur Option</x:v>
      </x:c>
      <x:c r="B21" s="36" t="str">
        <x:v>PASS</x:v>
      </x:c>
      <x:c r="C21" s="36" t="str">
        <x:v>Abweichungen: 0</x:v>
      </x:c>
      <x:c r="D21" s="36"/>
      <x:c r="E21" s="36"/>
      <x:c r="F21" s="36"/>
      <x:c r="G21" s="36"/>
      <x:c r="H21" s="36"/>
    </x:row>
    <x:row r="22">
      <x:c r="A22" s="36" t="str">
        <x:v>QA/Freigabe/Importstatus</x:v>
      </x:c>
      <x:c r="B22" s="36" t="str">
        <x:v>PASS</x:v>
      </x:c>
      <x:c r="C22" s="36" t="str">
        <x:v>nicht freigegeben: 0</x:v>
      </x:c>
      <x:c r="D22" s="36"/>
      <x:c r="E22" s="36"/>
      <x:c r="F22" s="36"/>
      <x:c r="G22" s="36"/>
      <x:c r="H22" s="36"/>
    </x:row>
    <x:row r="23">
      <x:c r="A23" s="36" t="str">
        <x:v>Keine doppelte Frage im selben Kapitel</x:v>
      </x:c>
      <x:c r="B23" s="36" t="str">
        <x:v>PASS</x:v>
      </x:c>
      <x:c r="C23" s="36" t="str">
        <x:v>betroffene Kapitel: 0</x:v>
      </x:c>
      <x:c r="D23" s="36"/>
      <x:c r="E23" s="36"/>
      <x:c r="F23" s="36"/>
      <x:c r="G23" s="36"/>
      <x:c r="H23" s="36"/>
    </x:row>
    <x:row r="24">
      <x:c r="A24" s="36" t="str">
        <x:v>Kein extremes Antwortpositionsmuster je Buch</x:v>
      </x:c>
      <x:c r="B24" s="36" t="str">
        <x:v>PASS</x:v>
      </x:c>
      <x:c r="C24" s="36" t="str">
        <x:v>PASS</x:v>
      </x:c>
      <x:c r="D24" s="36"/>
      <x:c r="E24" s="36"/>
      <x:c r="F24" s="36"/>
      <x:c r="G24" s="36"/>
      <x:c r="H24" s="36"/>
    </x:row>
    <x:row r="25">
      <x:c r="A25" s="36" t="str">
        <x:v>JSON-Serialisierbarkeit</x:v>
      </x:c>
      <x:c r="B25" s="36" t="str">
        <x:v>PASS</x:v>
      </x:c>
      <x:c r="C25" s="36" t="str">
        <x:v>1.300 Datensätze strukturell serialisierbar</x:v>
      </x:c>
      <x:c r="D25" s="36"/>
      <x:c r="E25" s="36"/>
      <x:c r="F25" s="36"/>
      <x:c r="G25" s="36"/>
      <x:c r="H25" s="36"/>
    </x:row>
    <x:row r="26">
      <x:c r="A26" s="36" t="str">
        <x:v>FRAGEN_MASTER Statuskonsistenz</x:v>
      </x:c>
      <x:c r="B26" s="36" t="str">
        <x:v>PASS</x:v>
      </x:c>
      <x:c r="C26" s="36" t="str">
        <x:v>abweichende Zeilen: 0</x:v>
      </x:c>
      <x:c r="D26" s="36"/>
      <x:c r="E26" s="36"/>
      <x:c r="F26" s="36"/>
      <x:c r="G26" s="36"/>
      <x:c r="H26" s="36"/>
    </x:row>
    <x:row r="27">
      <x:c r="A27" s="36" t="str">
        <x:v>KAPITEL_QA Statuskonsistenz</x:v>
      </x:c>
      <x:c r="B27" s="36" t="str">
        <x:v>PASS</x:v>
      </x:c>
      <x:c r="C27" s="36" t="str">
        <x:v>abweichende Kapitel: 0</x:v>
      </x:c>
      <x:c r="D27" s="36"/>
      <x:c r="E27" s="36"/>
      <x:c r="F27" s="36"/>
      <x:c r="G27" s="36"/>
      <x:c r="H27" s="36"/>
    </x:row>
    <x:row r="28">
      <x:c r="A28" s="36" t="str">
        <x:v>BUCH_STATUS Statuskonsistenz</x:v>
      </x:c>
      <x:c r="B28" s="36" t="str">
        <x:v>PASS</x:v>
      </x:c>
      <x:c r="C28" s="36" t="str">
        <x:v>abweichende Bücher: 0</x:v>
      </x:c>
      <x:c r="D28" s="36"/>
      <x:c r="E28" s="36"/>
      <x:c r="F28" s="36"/>
      <x:c r="G28" s="36"/>
      <x:c r="H28" s="36"/>
    </x:row>
    <x:row r="29">
      <x:c r="A29" s="36"/>
      <x:c r="B29" s="36"/>
      <x:c r="C29" s="36"/>
      <x:c r="D29" s="36"/>
      <x:c r="E29" s="36"/>
      <x:c r="F29" s="36"/>
      <x:c r="G29" s="36"/>
      <x:c r="H29" s="36"/>
    </x:row>
    <x:row r="30">
      <x:c r="A30" s="36"/>
      <x:c r="B30" s="36"/>
      <x:c r="C30" s="36"/>
      <x:c r="D30" s="36"/>
      <x:c r="E30" s="36"/>
      <x:c r="F30" s="36"/>
      <x:c r="G30" s="36"/>
      <x:c r="H30" s="36"/>
    </x:row>
    <x:row r="31">
      <x:c r="A31" s="36"/>
      <x:c r="B31" s="36"/>
      <x:c r="C31" s="36"/>
      <x:c r="D31" s="36"/>
      <x:c r="E31" s="36"/>
      <x:c r="F31" s="36"/>
      <x:c r="G31" s="36"/>
      <x:c r="H31" s="36"/>
    </x:row>
    <x:row r="32">
      <x:c r="A32" s="36"/>
      <x:c r="B32" s="36"/>
      <x:c r="C32" s="36"/>
      <x:c r="D32" s="36"/>
      <x:c r="E32" s="36"/>
      <x:c r="F32" s="36"/>
      <x:c r="G32" s="36"/>
      <x:c r="H32" s="36"/>
    </x:row>
    <x:row r="33">
      <x:c r="A33" s="36"/>
      <x:c r="B33" s="36"/>
      <x:c r="C33" s="36"/>
      <x:c r="D33" s="36"/>
      <x:c r="E33" s="36"/>
      <x:c r="F33" s="36"/>
      <x:c r="G33" s="36"/>
      <x:c r="H33" s="36"/>
    </x:row>
    <x:row r="34">
      <x:c r="A34" s="55" t="str">
        <x:v>Book_Key</x:v>
      </x:c>
      <x:c r="B34" s="55" t="str">
        <x:v>Buch</x:v>
      </x:c>
      <x:c r="C34" s="55" t="str">
        <x:v>Fragen</x:v>
      </x:c>
      <x:c r="D34" s="55" t="str">
        <x:v>A</x:v>
      </x:c>
      <x:c r="E34" s="55" t="str">
        <x:v>B</x:v>
      </x:c>
      <x:c r="F34" s="55" t="str">
        <x:v>C</x:v>
      </x:c>
      <x:c r="G34" s="55" t="str">
        <x:v>D</x:v>
      </x:c>
      <x:c r="H34" s="55" t="str">
        <x:v>Max-Anteil</x:v>
      </x:c>
    </x:row>
    <x:row r="35">
      <x:c r="A35" s="36" t="str">
        <x:v>MAT</x:v>
      </x:c>
      <x:c r="B35" s="36" t="str">
        <x:v>Matthäus</x:v>
      </x:c>
      <x:c r="C35" s="36" t="n">
        <x:v>140</x:v>
      </x:c>
      <x:c r="D35" s="36" t="n">
        <x:v>35</x:v>
      </x:c>
      <x:c r="E35" s="36" t="n">
        <x:v>35</x:v>
      </x:c>
      <x:c r="F35" s="36" t="n">
        <x:v>35</x:v>
      </x:c>
      <x:c r="G35" s="36" t="n">
        <x:v>35</x:v>
      </x:c>
      <x:c r="H35" s="43" t="n">
        <x:v>0.25</x:v>
      </x:c>
    </x:row>
    <x:row r="36">
      <x:c r="A36" s="36" t="str">
        <x:v>MRK</x:v>
      </x:c>
      <x:c r="B36" s="36" t="str">
        <x:v>Markus</x:v>
      </x:c>
      <x:c r="C36" s="36" t="n">
        <x:v>80</x:v>
      </x:c>
      <x:c r="D36" s="36" t="n">
        <x:v>20</x:v>
      </x:c>
      <x:c r="E36" s="36" t="n">
        <x:v>20</x:v>
      </x:c>
      <x:c r="F36" s="36" t="n">
        <x:v>20</x:v>
      </x:c>
      <x:c r="G36" s="36" t="n">
        <x:v>20</x:v>
      </x:c>
      <x:c r="H36" s="43" t="n">
        <x:v>0.25</x:v>
      </x:c>
    </x:row>
    <x:row r="37">
      <x:c r="A37" s="36" t="str">
        <x:v>LUK</x:v>
      </x:c>
      <x:c r="B37" s="36" t="str">
        <x:v>Lukas</x:v>
      </x:c>
      <x:c r="C37" s="36" t="n">
        <x:v>120</x:v>
      </x:c>
      <x:c r="D37" s="36" t="n">
        <x:v>30</x:v>
      </x:c>
      <x:c r="E37" s="36" t="n">
        <x:v>30</x:v>
      </x:c>
      <x:c r="F37" s="36" t="n">
        <x:v>30</x:v>
      </x:c>
      <x:c r="G37" s="36" t="n">
        <x:v>30</x:v>
      </x:c>
      <x:c r="H37" s="43" t="n">
        <x:v>0.25</x:v>
      </x:c>
    </x:row>
    <x:row r="38">
      <x:c r="A38" s="36" t="str">
        <x:v>JHN</x:v>
      </x:c>
      <x:c r="B38" s="36" t="str">
        <x:v>Johannes</x:v>
      </x:c>
      <x:c r="C38" s="36" t="n">
        <x:v>105</x:v>
      </x:c>
      <x:c r="D38" s="36" t="n">
        <x:v>26</x:v>
      </x:c>
      <x:c r="E38" s="36" t="n">
        <x:v>26</x:v>
      </x:c>
      <x:c r="F38" s="36" t="n">
        <x:v>27</x:v>
      </x:c>
      <x:c r="G38" s="36" t="n">
        <x:v>26</x:v>
      </x:c>
      <x:c r="H38" s="43" t="n">
        <x:v>0.2571428571428571</x:v>
      </x:c>
    </x:row>
    <x:row r="39">
      <x:c r="A39" s="36" t="str">
        <x:v>ACT</x:v>
      </x:c>
      <x:c r="B39" s="36" t="str">
        <x:v>Apostelgeschichte</x:v>
      </x:c>
      <x:c r="C39" s="36" t="n">
        <x:v>140</x:v>
      </x:c>
      <x:c r="D39" s="36" t="n">
        <x:v>35</x:v>
      </x:c>
      <x:c r="E39" s="36" t="n">
        <x:v>35</x:v>
      </x:c>
      <x:c r="F39" s="36" t="n">
        <x:v>35</x:v>
      </x:c>
      <x:c r="G39" s="36" t="n">
        <x:v>35</x:v>
      </x:c>
      <x:c r="H39" s="43" t="n">
        <x:v>0.25</x:v>
      </x:c>
    </x:row>
    <x:row r="40">
      <x:c r="A40" s="36" t="str">
        <x:v>ROM</x:v>
      </x:c>
      <x:c r="B40" s="36" t="str">
        <x:v>Römer</x:v>
      </x:c>
      <x:c r="C40" s="36" t="n">
        <x:v>80</x:v>
      </x:c>
      <x:c r="D40" s="36" t="n">
        <x:v>20</x:v>
      </x:c>
      <x:c r="E40" s="36" t="n">
        <x:v>20</x:v>
      </x:c>
      <x:c r="F40" s="36" t="n">
        <x:v>20</x:v>
      </x:c>
      <x:c r="G40" s="36" t="n">
        <x:v>20</x:v>
      </x:c>
      <x:c r="H40" s="43" t="n">
        <x:v>0.25</x:v>
      </x:c>
    </x:row>
    <x:row r="41">
      <x:c r="A41" s="36" t="str">
        <x:v>1CO</x:v>
      </x:c>
      <x:c r="B41" s="36" t="str">
        <x:v>1. Korinther</x:v>
      </x:c>
      <x:c r="C41" s="36" t="n">
        <x:v>80</x:v>
      </x:c>
      <x:c r="D41" s="36" t="n">
        <x:v>20</x:v>
      </x:c>
      <x:c r="E41" s="36" t="n">
        <x:v>20</x:v>
      </x:c>
      <x:c r="F41" s="36" t="n">
        <x:v>20</x:v>
      </x:c>
      <x:c r="G41" s="36" t="n">
        <x:v>20</x:v>
      </x:c>
      <x:c r="H41" s="43" t="n">
        <x:v>0.25</x:v>
      </x:c>
    </x:row>
    <x:row r="42">
      <x:c r="A42" s="36" t="str">
        <x:v>2CO</x:v>
      </x:c>
      <x:c r="B42" s="36" t="str">
        <x:v>2. Korinther</x:v>
      </x:c>
      <x:c r="C42" s="36" t="n">
        <x:v>65</x:v>
      </x:c>
      <x:c r="D42" s="36" t="n">
        <x:v>17</x:v>
      </x:c>
      <x:c r="E42" s="36" t="n">
        <x:v>16</x:v>
      </x:c>
      <x:c r="F42" s="36" t="n">
        <x:v>16</x:v>
      </x:c>
      <x:c r="G42" s="36" t="n">
        <x:v>16</x:v>
      </x:c>
      <x:c r="H42" s="43" t="n">
        <x:v>0.26153846153846155</x:v>
      </x:c>
    </x:row>
    <x:row r="43">
      <x:c r="A43" s="36" t="str">
        <x:v>GAL</x:v>
      </x:c>
      <x:c r="B43" s="36" t="str">
        <x:v>Galater</x:v>
      </x:c>
      <x:c r="C43" s="36" t="n">
        <x:v>30</x:v>
      </x:c>
      <x:c r="D43" s="36" t="n">
        <x:v>8</x:v>
      </x:c>
      <x:c r="E43" s="36" t="n">
        <x:v>8</x:v>
      </x:c>
      <x:c r="F43" s="36" t="n">
        <x:v>7</x:v>
      </x:c>
      <x:c r="G43" s="36" t="n">
        <x:v>7</x:v>
      </x:c>
      <x:c r="H43" s="43" t="n">
        <x:v>0.26666666666666666</x:v>
      </x:c>
    </x:row>
    <x:row r="44">
      <x:c r="A44" s="36" t="str">
        <x:v>EPH</x:v>
      </x:c>
      <x:c r="B44" s="36" t="str">
        <x:v>Epheser</x:v>
      </x:c>
      <x:c r="C44" s="36" t="n">
        <x:v>30</x:v>
      </x:c>
      <x:c r="D44" s="36" t="n">
        <x:v>8</x:v>
      </x:c>
      <x:c r="E44" s="36" t="n">
        <x:v>8</x:v>
      </x:c>
      <x:c r="F44" s="36" t="n">
        <x:v>7</x:v>
      </x:c>
      <x:c r="G44" s="36" t="n">
        <x:v>7</x:v>
      </x:c>
      <x:c r="H44" s="43" t="n">
        <x:v>0.26666666666666666</x:v>
      </x:c>
    </x:row>
    <x:row r="45">
      <x:c r="A45" s="36" t="str">
        <x:v>PHP</x:v>
      </x:c>
      <x:c r="B45" s="36" t="str">
        <x:v>Philipper</x:v>
      </x:c>
      <x:c r="C45" s="36" t="n">
        <x:v>20</x:v>
      </x:c>
      <x:c r="D45" s="36" t="n">
        <x:v>5</x:v>
      </x:c>
      <x:c r="E45" s="36" t="n">
        <x:v>5</x:v>
      </x:c>
      <x:c r="F45" s="36" t="n">
        <x:v>5</x:v>
      </x:c>
      <x:c r="G45" s="36" t="n">
        <x:v>5</x:v>
      </x:c>
      <x:c r="H45" s="43" t="n">
        <x:v>0.25</x:v>
      </x:c>
    </x:row>
    <x:row r="46">
      <x:c r="A46" s="36" t="str">
        <x:v>COL</x:v>
      </x:c>
      <x:c r="B46" s="36" t="str">
        <x:v>Kolosser</x:v>
      </x:c>
      <x:c r="C46" s="36" t="n">
        <x:v>20</x:v>
      </x:c>
      <x:c r="D46" s="36" t="n">
        <x:v>5</x:v>
      </x:c>
      <x:c r="E46" s="36" t="n">
        <x:v>5</x:v>
      </x:c>
      <x:c r="F46" s="36" t="n">
        <x:v>5</x:v>
      </x:c>
      <x:c r="G46" s="36" t="n">
        <x:v>5</x:v>
      </x:c>
      <x:c r="H46" s="43" t="n">
        <x:v>0.25</x:v>
      </x:c>
    </x:row>
    <x:row r="47">
      <x:c r="A47" s="36" t="str">
        <x:v>1TH</x:v>
      </x:c>
      <x:c r="B47" s="36" t="str">
        <x:v>1. Thessalonicher</x:v>
      </x:c>
      <x:c r="C47" s="36" t="n">
        <x:v>25</x:v>
      </x:c>
      <x:c r="D47" s="36" t="n">
        <x:v>6</x:v>
      </x:c>
      <x:c r="E47" s="36" t="n">
        <x:v>7</x:v>
      </x:c>
      <x:c r="F47" s="36" t="n">
        <x:v>6</x:v>
      </x:c>
      <x:c r="G47" s="36" t="n">
        <x:v>6</x:v>
      </x:c>
      <x:c r="H47" s="43" t="n">
        <x:v>0.28</x:v>
      </x:c>
    </x:row>
    <x:row r="48">
      <x:c r="A48" s="36" t="str">
        <x:v>2TH</x:v>
      </x:c>
      <x:c r="B48" s="36" t="str">
        <x:v>2. Thessalonicher</x:v>
      </x:c>
      <x:c r="C48" s="36" t="n">
        <x:v>15</x:v>
      </x:c>
      <x:c r="D48" s="36" t="n">
        <x:v>4</x:v>
      </x:c>
      <x:c r="E48" s="36" t="n">
        <x:v>4</x:v>
      </x:c>
      <x:c r="F48" s="36" t="n">
        <x:v>4</x:v>
      </x:c>
      <x:c r="G48" s="36" t="n">
        <x:v>3</x:v>
      </x:c>
      <x:c r="H48" s="43" t="n">
        <x:v>0.26666666666666666</x:v>
      </x:c>
    </x:row>
    <x:row r="49">
      <x:c r="A49" s="36" t="str">
        <x:v>1TI</x:v>
      </x:c>
      <x:c r="B49" s="36" t="str">
        <x:v>1. Timotheus</x:v>
      </x:c>
      <x:c r="C49" s="36" t="n">
        <x:v>30</x:v>
      </x:c>
      <x:c r="D49" s="36" t="n">
        <x:v>8</x:v>
      </x:c>
      <x:c r="E49" s="36" t="n">
        <x:v>7</x:v>
      </x:c>
      <x:c r="F49" s="36" t="n">
        <x:v>7</x:v>
      </x:c>
      <x:c r="G49" s="36" t="n">
        <x:v>8</x:v>
      </x:c>
      <x:c r="H49" s="43" t="n">
        <x:v>0.26666666666666666</x:v>
      </x:c>
    </x:row>
    <x:row r="50">
      <x:c r="A50" s="36" t="str">
        <x:v>2TI</x:v>
      </x:c>
      <x:c r="B50" s="36" t="str">
        <x:v>2. Timotheus</x:v>
      </x:c>
      <x:c r="C50" s="36" t="n">
        <x:v>20</x:v>
      </x:c>
      <x:c r="D50" s="36" t="n">
        <x:v>5</x:v>
      </x:c>
      <x:c r="E50" s="36" t="n">
        <x:v>5</x:v>
      </x:c>
      <x:c r="F50" s="36" t="n">
        <x:v>5</x:v>
      </x:c>
      <x:c r="G50" s="36" t="n">
        <x:v>5</x:v>
      </x:c>
      <x:c r="H50" s="43" t="n">
        <x:v>0.25</x:v>
      </x:c>
    </x:row>
    <x:row r="51">
      <x:c r="A51" s="36" t="str">
        <x:v>TIT</x:v>
      </x:c>
      <x:c r="B51" s="36" t="str">
        <x:v>Titus</x:v>
      </x:c>
      <x:c r="C51" s="36" t="n">
        <x:v>15</x:v>
      </x:c>
      <x:c r="D51" s="36" t="n">
        <x:v>3</x:v>
      </x:c>
      <x:c r="E51" s="36" t="n">
        <x:v>4</x:v>
      </x:c>
      <x:c r="F51" s="36" t="n">
        <x:v>4</x:v>
      </x:c>
      <x:c r="G51" s="36" t="n">
        <x:v>4</x:v>
      </x:c>
      <x:c r="H51" s="43" t="n">
        <x:v>0.26666666666666666</x:v>
      </x:c>
    </x:row>
    <x:row r="52">
      <x:c r="A52" s="36" t="str">
        <x:v>PHM</x:v>
      </x:c>
      <x:c r="B52" s="36" t="str">
        <x:v>Philemon</x:v>
      </x:c>
      <x:c r="C52" s="36" t="n">
        <x:v>5</x:v>
      </x:c>
      <x:c r="D52" s="36" t="n">
        <x:v>2</x:v>
      </x:c>
      <x:c r="E52" s="36" t="n">
        <x:v>1</x:v>
      </x:c>
      <x:c r="F52" s="36" t="n">
        <x:v>1</x:v>
      </x:c>
      <x:c r="G52" s="36" t="n">
        <x:v>1</x:v>
      </x:c>
      <x:c r="H52" s="43" t="n">
        <x:v>0.4</x:v>
      </x:c>
    </x:row>
    <x:row r="53">
      <x:c r="A53" s="36" t="str">
        <x:v>HEB</x:v>
      </x:c>
      <x:c r="B53" s="36" t="str">
        <x:v>Hebräer</x:v>
      </x:c>
      <x:c r="C53" s="36" t="n">
        <x:v>65</x:v>
      </x:c>
      <x:c r="D53" s="36" t="n">
        <x:v>17</x:v>
      </x:c>
      <x:c r="E53" s="36" t="n">
        <x:v>16</x:v>
      </x:c>
      <x:c r="F53" s="36" t="n">
        <x:v>16</x:v>
      </x:c>
      <x:c r="G53" s="36" t="n">
        <x:v>16</x:v>
      </x:c>
      <x:c r="H53" s="43" t="n">
        <x:v>0.26153846153846155</x:v>
      </x:c>
    </x:row>
    <x:row r="54">
      <x:c r="A54" s="36" t="str">
        <x:v>JAS</x:v>
      </x:c>
      <x:c r="B54" s="36" t="str">
        <x:v>Jakobus</x:v>
      </x:c>
      <x:c r="C54" s="36" t="n">
        <x:v>25</x:v>
      </x:c>
      <x:c r="D54" s="36" t="n">
        <x:v>7</x:v>
      </x:c>
      <x:c r="E54" s="36" t="n">
        <x:v>6</x:v>
      </x:c>
      <x:c r="F54" s="36" t="n">
        <x:v>6</x:v>
      </x:c>
      <x:c r="G54" s="36" t="n">
        <x:v>6</x:v>
      </x:c>
      <x:c r="H54" s="43" t="n">
        <x:v>0.28</x:v>
      </x:c>
    </x:row>
    <x:row r="55">
      <x:c r="A55" s="36" t="str">
        <x:v>1PE</x:v>
      </x:c>
      <x:c r="B55" s="36" t="str">
        <x:v>1. Petrus</x:v>
      </x:c>
      <x:c r="C55" s="36" t="n">
        <x:v>25</x:v>
      </x:c>
      <x:c r="D55" s="36" t="n">
        <x:v>6</x:v>
      </x:c>
      <x:c r="E55" s="36" t="n">
        <x:v>7</x:v>
      </x:c>
      <x:c r="F55" s="36" t="n">
        <x:v>6</x:v>
      </x:c>
      <x:c r="G55" s="36" t="n">
        <x:v>6</x:v>
      </x:c>
      <x:c r="H55" s="43" t="n">
        <x:v>0.28</x:v>
      </x:c>
    </x:row>
    <x:row r="56">
      <x:c r="A56" s="36" t="str">
        <x:v>2PE</x:v>
      </x:c>
      <x:c r="B56" s="36" t="str">
        <x:v>2. Petrus</x:v>
      </x:c>
      <x:c r="C56" s="36" t="n">
        <x:v>15</x:v>
      </x:c>
      <x:c r="D56" s="36" t="n">
        <x:v>4</x:v>
      </x:c>
      <x:c r="E56" s="36" t="n">
        <x:v>3</x:v>
      </x:c>
      <x:c r="F56" s="36" t="n">
        <x:v>4</x:v>
      </x:c>
      <x:c r="G56" s="36" t="n">
        <x:v>4</x:v>
      </x:c>
      <x:c r="H56" s="43" t="n">
        <x:v>0.26666666666666666</x:v>
      </x:c>
    </x:row>
    <x:row r="57">
      <x:c r="A57" s="36" t="str">
        <x:v>1JN</x:v>
      </x:c>
      <x:c r="B57" s="36" t="str">
        <x:v>1. Johannes</x:v>
      </x:c>
      <x:c r="C57" s="36" t="n">
        <x:v>25</x:v>
      </x:c>
      <x:c r="D57" s="36" t="n">
        <x:v>6</x:v>
      </x:c>
      <x:c r="E57" s="36" t="n">
        <x:v>7</x:v>
      </x:c>
      <x:c r="F57" s="36" t="n">
        <x:v>6</x:v>
      </x:c>
      <x:c r="G57" s="36" t="n">
        <x:v>6</x:v>
      </x:c>
      <x:c r="H57" s="43" t="n">
        <x:v>0.28</x:v>
      </x:c>
    </x:row>
    <x:row r="58">
      <x:c r="A58" s="36" t="str">
        <x:v>2JN</x:v>
      </x:c>
      <x:c r="B58" s="36" t="str">
        <x:v>2. Johannes</x:v>
      </x:c>
      <x:c r="C58" s="36" t="n">
        <x:v>5</x:v>
      </x:c>
      <x:c r="D58" s="36" t="n">
        <x:v>1</x:v>
      </x:c>
      <x:c r="E58" s="36" t="n">
        <x:v>1</x:v>
      </x:c>
      <x:c r="F58" s="36" t="n">
        <x:v>2</x:v>
      </x:c>
      <x:c r="G58" s="36" t="n">
        <x:v>1</x:v>
      </x:c>
      <x:c r="H58" s="43" t="n">
        <x:v>0.4</x:v>
      </x:c>
    </x:row>
    <x:row r="59">
      <x:c r="A59" s="36" t="str">
        <x:v>3JN</x:v>
      </x:c>
      <x:c r="B59" s="36" t="str">
        <x:v>3. Johannes</x:v>
      </x:c>
      <x:c r="C59" s="36" t="n">
        <x:v>5</x:v>
      </x:c>
      <x:c r="D59" s="36" t="n">
        <x:v>1</x:v>
      </x:c>
      <x:c r="E59" s="36" t="n">
        <x:v>1</x:v>
      </x:c>
      <x:c r="F59" s="36" t="n">
        <x:v>1</x:v>
      </x:c>
      <x:c r="G59" s="36" t="n">
        <x:v>2</x:v>
      </x:c>
      <x:c r="H59" s="43" t="n">
        <x:v>0.4</x:v>
      </x:c>
    </x:row>
    <x:row r="60">
      <x:c r="A60" s="36" t="str">
        <x:v>JUD</x:v>
      </x:c>
      <x:c r="B60" s="36" t="str">
        <x:v>Judas</x:v>
      </x:c>
      <x:c r="C60" s="36" t="n">
        <x:v>5</x:v>
      </x:c>
      <x:c r="D60" s="36" t="n">
        <x:v>2</x:v>
      </x:c>
      <x:c r="E60" s="36" t="n">
        <x:v>1</x:v>
      </x:c>
      <x:c r="F60" s="36" t="n">
        <x:v>1</x:v>
      </x:c>
      <x:c r="G60" s="36" t="n">
        <x:v>1</x:v>
      </x:c>
      <x:c r="H60" s="43" t="n">
        <x:v>0.4</x:v>
      </x:c>
    </x:row>
    <x:row r="61">
      <x:c r="A61" s="36" t="str">
        <x:v>REV</x:v>
      </x:c>
      <x:c r="B61" s="36" t="str">
        <x:v>Offenbarung</x:v>
      </x:c>
      <x:c r="C61" s="36" t="n">
        <x:v>110</x:v>
      </x:c>
      <x:c r="D61" s="36" t="n">
        <x:v>28</x:v>
      </x:c>
      <x:c r="E61" s="36" t="n">
        <x:v>28</x:v>
      </x:c>
      <x:c r="F61" s="36" t="n">
        <x:v>27</x:v>
      </x:c>
      <x:c r="G61" s="36" t="n">
        <x:v>27</x:v>
      </x:c>
      <x:c r="H61" s="43" t="n">
        <x:v>0.2545454545454545</x:v>
      </x:c>
    </x:row>
    <x:row r="62">
      <x:c r="A62" s="36"/>
      <x:c r="B62" s="36"/>
      <x:c r="C62" s="36"/>
      <x:c r="D62" s="36"/>
      <x:c r="E62" s="36"/>
      <x:c r="F62" s="36"/>
      <x:c r="G62" s="36"/>
      <x:c r="H62" s="36"/>
    </x:row>
    <x:row r="63">
      <x:c r="A63" s="36"/>
      <x:c r="B63" s="36"/>
      <x:c r="C63" s="36"/>
      <x:c r="D63" s="36"/>
      <x:c r="E63" s="36"/>
      <x:c r="F63" s="36"/>
      <x:c r="G63" s="36"/>
      <x:c r="H63" s="36"/>
    </x:row>
    <x:row r="64">
      <x:c r="A64" s="55" t="str">
        <x:v>Merge-/Patch-Protokoll</x:v>
      </x:c>
      <x:c r="B64" s="55" t="str"/>
      <x:c r="C64" s="55" t="str"/>
      <x:c r="D64" s="55" t="str"/>
      <x:c r="E64" s="55" t="str"/>
      <x:c r="F64" s="55" t="str"/>
      <x:c r="G64" s="55" t="str"/>
      <x:c r="H64" s="55" t="str"/>
    </x:row>
    <x:row r="65">
      <x:c r="A65" s="36" t="str">
        <x:v>Basis</x:v>
      </x:c>
      <x:c r="B65" s="36" t="str">
        <x:v>FP-0261–FP-1070</x:v>
      </x:c>
      <x:c r="C65" s="36" t="str">
        <x:v>810 Fragen</x:v>
      </x:c>
      <x:c r="D65" s="36" t="str">
        <x:v>exakt aus Stand_2Korinther übernommen</x:v>
      </x:c>
      <x:c r="E65" s="36" t="str"/>
      <x:c r="F65" s="36" t="str"/>
      <x:c r="G65" s="36" t="str"/>
      <x:c r="H65" s="36" t="str"/>
    </x:row>
    <x:row r="66">
      <x:c r="A66" s="36" t="str">
        <x:v>Fortsetzung</x:v>
      </x:c>
      <x:c r="B66" s="36" t="str">
        <x:v>FP-1071–FP-1560</x:v>
      </x:c>
      <x:c r="C66" s="36" t="str">
        <x:v>490 Fragen</x:v>
      </x:c>
      <x:c r="D66" s="36" t="str">
        <x:v>aus neun geprüften QA-Artefakten zusammengeführt</x:v>
      </x:c>
      <x:c r="E66" s="36" t="str"/>
      <x:c r="F66" s="36" t="str"/>
      <x:c r="G66" s="36" t="str"/>
      <x:c r="H66" s="36" t="str"/>
    </x:row>
    <x:row r="67">
      <x:c r="A67" s="36" t="str">
        <x:v>Patch</x:v>
      </x:c>
      <x:c r="B67" s="36" t="str">
        <x:v>Markus</x:v>
      </x:c>
      <x:c r="C67" s="36" t="str"/>
      <x:c r="D67" s="36" t="str">
        <x:v>Antwortpositionen auf 20/20/20/20 neu verteilt; Frageinhalt unverändert</x:v>
      </x:c>
      <x:c r="E67" s="36" t="str"/>
      <x:c r="F67" s="36" t="str"/>
      <x:c r="G67" s="36" t="str"/>
      <x:c r="H67" s="36" t="str"/>
    </x:row>
    <x:row r="68">
      <x:c r="A68" s="36" t="str">
        <x:v>Patch</x:v>
      </x:c>
      <x:c r="B68" s="36" t="str">
        <x:v>GAL / EPH / PHP / COL</x:v>
      </x:c>
      <x:c r="C68" s="36" t="str"/>
      <x:c r="D68" s="36" t="str">
        <x:v>Antwortpositionen neu verteilt; Frageinhalt unverändert</x:v>
      </x:c>
      <x:c r="E68" s="36" t="str"/>
      <x:c r="F68" s="36" t="str"/>
      <x:c r="G68" s="36" t="str"/>
      <x:c r="H68" s="36" t="str"/>
    </x:row>
    <x:row r="69">
      <x:c r="A69" s="36" t="str">
        <x:v>Patch</x:v>
      </x:c>
      <x:c r="B69" s="36" t="str">
        <x:v>FP-1124</x:v>
      </x:c>
      <x:c r="C69" s="36" t="str"/>
      <x:c r="D69" s="36" t="str">
        <x:v>Epheser 5,21 übersetzungsneutral präzisiert</x:v>
      </x:c>
      <x:c r="E69" s="36" t="str"/>
      <x:c r="F69" s="36" t="str"/>
      <x:c r="G69" s="36" t="str"/>
      <x:c r="H69" s="36" t="str"/>
    </x:row>
    <x:row r="70">
      <x:c r="A70" s="36" t="str">
        <x:v>Info</x:v>
      </x:c>
      <x:c r="B70" s="36" t="str">
        <x:v>8 globale exakte Frage-Dubletten</x:v>
      </x:c>
      <x:c r="C70" s="36" t="str"/>
      <x:c r="D70" s="36" t="str">
        <x:v>alle liegen in parallelen Evangelienberichten; keine Dublette innerhalb desselben Kapitels</x:v>
      </x:c>
      <x:c r="E70" s="36" t="str"/>
      <x:c r="F70" s="36" t="str"/>
      <x:c r="G70" s="36" t="str"/>
      <x:c r="H70" s="36" t="str"/>
    </x:row>
    <x:row r="71">
      <x:c r="A71" s="36" t="str">
        <x:v>Ergebnis</x:v>
      </x:c>
      <x:c r="B71" s="36" t="str">
        <x:v>FP-0261–FP-1560</x:v>
      </x:c>
      <x:c r="C71" s="36" t="str">
        <x:v>1.300 Fragen</x:v>
      </x:c>
      <x:c r="D71" s="36" t="str">
        <x:v>vollständiger Master + Importlayer + Regression PASS</x:v>
      </x:c>
      <x:c r="E71" s="36" t="str"/>
      <x:c r="F71" s="36" t="str"/>
      <x:c r="G71" s="36" t="str"/>
      <x:c r="H71" s="36" t="str"/>
    </x:row>
  </x:sheetData>
  <x:mergeCells>
    <x:mergeCell ref="A1:H1"/>
  </x:mergeCells>
  <x:conditionalFormatting sqref="B13:B28">
    <x:cfRule type="expression" dxfId="7" priority="1">
      <x:formula>B13="PASS"</x:formula>
    </x:cfRule>
  </x:conditionalFormatting>
  <x:pageMargins left="0.7" right="0.7" top="0.75" bottom="0.75" header="0.3" footer="0.3"/>
</x:worksheet>
</file>