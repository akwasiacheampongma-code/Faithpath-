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Teilnehmer" sheetId="2" state="visible" r:id="rId2"/>
    <sheet xmlns:r="http://schemas.openxmlformats.org/officeDocument/2006/relationships" name="Auswertung" sheetId="3" state="visible" r:id="rId3"/>
  </sheets>
  <definedNames>
    <definedName name="_xlnm._FilterDatabase" localSheetId="1" hidden="1">'Teilnehmer'!$A$1:$J$61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D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FaithPath – echter Nutzertest, noch nicht durchgeführt</t>
        </is>
      </c>
    </row>
    <row r="2">
      <c r="A2" s="2" t="inlineStr">
        <is>
          <t>Alle60 Aufgaben stehen OFFEN. Keine erfundenen Teilnehmenden oder Bewertungen.</t>
        </is>
      </c>
    </row>
    <row r="3">
      <c r="A3" s="2" t="inlineStr">
        <is>
          <t>Neutral moderieren: App testen, nicht Menschen. Keine Glaubensbewertung.</t>
        </is>
      </c>
    </row>
    <row r="4">
      <c r="A4" s="2" t="inlineStr">
        <is>
          <t>Eigene oder erfundene Anliegen erlaubt. Keine privaten Worte protokollieren.</t>
        </is>
      </c>
    </row>
    <row r="5">
      <c r="A5" s="2" t="inlineStr">
        <is>
          <t>UX-01/02/04: mindestens8von10 ohne Hilfe; UX-05: Qualität/Angemessenheit je&gt;=4/5.</t>
        </is>
      </c>
    </row>
    <row r="6">
      <c r="A6" s="2" t="inlineStr">
        <is>
          <t>Siehe UX_TESTPLAN.md für Aufgaben, Rubrik und Geräte-Gate.</t>
        </is>
      </c>
    </row>
    <row r="7" ht="40" customHeight="1">
      <c r="A7" s="3" t="inlineStr">
        <is>
          <t>Ergebnis: OFFEN / BESTANDEN / NICHT BESTANDEN. UX-01/02/04 nur ohne Hilfe bestanden markieren.</t>
        </is>
      </c>
    </row>
    <row r="8" ht="40" customHeight="1">
      <c r="A8" s="3" t="inlineStr">
        <is>
          <t>UX-03/06 fachlich manuell beurteilen. Ein Datenverlust darf nicht durch andere Erfolge ausgeglichen werden.</t>
        </is>
      </c>
    </row>
    <row r="9" ht="40" customHeight="1">
      <c r="A9" s="3" t="inlineStr">
        <is>
          <t>UX-05 berechnet zwei getrennte Mittelwerte; erst bei zehn abgeschlossenen Aufgaben und je zehn gültigen Bewertungen. Keine automatische Gesamtfreigabe.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0" customWidth="1" min="4" max="4"/>
    <col width="18" customWidth="1" min="5" max="5"/>
    <col width="40" customWidth="1" min="6" max="6"/>
    <col width="40" customWidth="1" min="7" max="7"/>
    <col width="22" customWidth="1" min="8" max="8"/>
    <col width="24" customWidth="1" min="9" max="9"/>
    <col width="26" customWidth="1" min="10" max="10"/>
  </cols>
  <sheetData>
    <row r="1">
      <c r="A1" s="1" t="inlineStr">
        <is>
          <t>Person</t>
        </is>
      </c>
      <c r="B1" s="1" t="inlineStr">
        <is>
          <t>Aufgabe</t>
        </is>
      </c>
      <c r="C1" s="1" t="inlineStr">
        <is>
          <t>Ergebnis</t>
        </is>
      </c>
      <c r="D1" s="1" t="inlineStr">
        <is>
          <t>Hilfestellungen</t>
        </is>
      </c>
      <c r="E1" s="1" t="inlineStr">
        <is>
          <t>Zeit Sekunden</t>
        </is>
      </c>
      <c r="F1" s="1" t="inlineStr">
        <is>
          <t>Verständnisprobleme</t>
        </is>
      </c>
      <c r="G1" s="1" t="inlineStr">
        <is>
          <t>Anonymer Kommentar</t>
        </is>
      </c>
      <c r="H1" s="1" t="inlineStr">
        <is>
          <t>Allgemein1–5</t>
        </is>
      </c>
      <c r="I1" s="1" t="inlineStr">
        <is>
          <t>Visuelle Qualität1–5</t>
        </is>
      </c>
      <c r="J1" s="1" t="inlineStr">
        <is>
          <t>Animation passend1–5</t>
        </is>
      </c>
    </row>
    <row r="2">
      <c r="A2" s="2" t="inlineStr">
        <is>
          <t>T01</t>
        </is>
      </c>
      <c r="B2" s="2" t="inlineStr">
        <is>
          <t>UX-01</t>
        </is>
      </c>
      <c r="C2" s="2" t="inlineStr">
        <is>
          <t>OFFEN</t>
        </is>
      </c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T01</t>
        </is>
      </c>
      <c r="B3" s="2" t="inlineStr">
        <is>
          <t>UX-02</t>
        </is>
      </c>
      <c r="C3" s="2" t="inlineStr">
        <is>
          <t>OFFEN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T01</t>
        </is>
      </c>
      <c r="B4" s="2" t="inlineStr">
        <is>
          <t>UX-03</t>
        </is>
      </c>
      <c r="C4" s="2" t="inlineStr">
        <is>
          <t>OFFEN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T01</t>
        </is>
      </c>
      <c r="B5" s="2" t="inlineStr">
        <is>
          <t>UX-04</t>
        </is>
      </c>
      <c r="C5" s="2" t="inlineStr">
        <is>
          <t>OFFEN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T01</t>
        </is>
      </c>
      <c r="B6" s="2" t="inlineStr">
        <is>
          <t>UX-05</t>
        </is>
      </c>
      <c r="C6" s="2" t="inlineStr">
        <is>
          <t>OFFEN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T01</t>
        </is>
      </c>
      <c r="B7" s="2" t="inlineStr">
        <is>
          <t>UX-06</t>
        </is>
      </c>
      <c r="C7" s="2" t="inlineStr">
        <is>
          <t>OFFEN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T02</t>
        </is>
      </c>
      <c r="B8" s="2" t="inlineStr">
        <is>
          <t>UX-01</t>
        </is>
      </c>
      <c r="C8" s="2" t="inlineStr">
        <is>
          <t>OFFEN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T02</t>
        </is>
      </c>
      <c r="B9" s="2" t="inlineStr">
        <is>
          <t>UX-02</t>
        </is>
      </c>
      <c r="C9" s="2" t="inlineStr">
        <is>
          <t>OFFEN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T02</t>
        </is>
      </c>
      <c r="B10" s="2" t="inlineStr">
        <is>
          <t>UX-03</t>
        </is>
      </c>
      <c r="C10" s="2" t="inlineStr">
        <is>
          <t>OFFEN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T02</t>
        </is>
      </c>
      <c r="B11" s="2" t="inlineStr">
        <is>
          <t>UX-04</t>
        </is>
      </c>
      <c r="C11" s="2" t="inlineStr">
        <is>
          <t>OFFEN</t>
        </is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T02</t>
        </is>
      </c>
      <c r="B12" s="2" t="inlineStr">
        <is>
          <t>UX-05</t>
        </is>
      </c>
      <c r="C12" s="2" t="inlineStr">
        <is>
          <t>OFFEN</t>
        </is>
      </c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T02</t>
        </is>
      </c>
      <c r="B13" s="2" t="inlineStr">
        <is>
          <t>UX-06</t>
        </is>
      </c>
      <c r="C13" s="2" t="inlineStr">
        <is>
          <t>OFFEN</t>
        </is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T03</t>
        </is>
      </c>
      <c r="B14" s="2" t="inlineStr">
        <is>
          <t>UX-01</t>
        </is>
      </c>
      <c r="C14" s="2" t="inlineStr">
        <is>
          <t>OFFEN</t>
        </is>
      </c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T03</t>
        </is>
      </c>
      <c r="B15" s="2" t="inlineStr">
        <is>
          <t>UX-02</t>
        </is>
      </c>
      <c r="C15" s="2" t="inlineStr">
        <is>
          <t>OFFEN</t>
        </is>
      </c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T03</t>
        </is>
      </c>
      <c r="B16" s="2" t="inlineStr">
        <is>
          <t>UX-03</t>
        </is>
      </c>
      <c r="C16" s="2" t="inlineStr">
        <is>
          <t>OFFEN</t>
        </is>
      </c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T03</t>
        </is>
      </c>
      <c r="B17" s="2" t="inlineStr">
        <is>
          <t>UX-04</t>
        </is>
      </c>
      <c r="C17" s="2" t="inlineStr">
        <is>
          <t>OFFEN</t>
        </is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T03</t>
        </is>
      </c>
      <c r="B18" s="2" t="inlineStr">
        <is>
          <t>UX-05</t>
        </is>
      </c>
      <c r="C18" s="2" t="inlineStr">
        <is>
          <t>OFFEN</t>
        </is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T03</t>
        </is>
      </c>
      <c r="B19" s="2" t="inlineStr">
        <is>
          <t>UX-06</t>
        </is>
      </c>
      <c r="C19" s="2" t="inlineStr">
        <is>
          <t>OFFEN</t>
        </is>
      </c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T04</t>
        </is>
      </c>
      <c r="B20" s="2" t="inlineStr">
        <is>
          <t>UX-01</t>
        </is>
      </c>
      <c r="C20" s="2" t="inlineStr">
        <is>
          <t>OFFEN</t>
        </is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T04</t>
        </is>
      </c>
      <c r="B21" s="2" t="inlineStr">
        <is>
          <t>UX-02</t>
        </is>
      </c>
      <c r="C21" s="2" t="inlineStr">
        <is>
          <t>OFFEN</t>
        </is>
      </c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T04</t>
        </is>
      </c>
      <c r="B22" s="2" t="inlineStr">
        <is>
          <t>UX-03</t>
        </is>
      </c>
      <c r="C22" s="2" t="inlineStr">
        <is>
          <t>OFFEN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T04</t>
        </is>
      </c>
      <c r="B23" s="2" t="inlineStr">
        <is>
          <t>UX-04</t>
        </is>
      </c>
      <c r="C23" s="2" t="inlineStr">
        <is>
          <t>OFFEN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T04</t>
        </is>
      </c>
      <c r="B24" s="2" t="inlineStr">
        <is>
          <t>UX-05</t>
        </is>
      </c>
      <c r="C24" s="2" t="inlineStr">
        <is>
          <t>OFFEN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T04</t>
        </is>
      </c>
      <c r="B25" s="2" t="inlineStr">
        <is>
          <t>UX-06</t>
        </is>
      </c>
      <c r="C25" s="2" t="inlineStr">
        <is>
          <t>OFFEN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T05</t>
        </is>
      </c>
      <c r="B26" s="2" t="inlineStr">
        <is>
          <t>UX-01</t>
        </is>
      </c>
      <c r="C26" s="2" t="inlineStr">
        <is>
          <t>OFFEN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T05</t>
        </is>
      </c>
      <c r="B27" s="2" t="inlineStr">
        <is>
          <t>UX-02</t>
        </is>
      </c>
      <c r="C27" s="2" t="inlineStr">
        <is>
          <t>OFFEN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T05</t>
        </is>
      </c>
      <c r="B28" s="2" t="inlineStr">
        <is>
          <t>UX-03</t>
        </is>
      </c>
      <c r="C28" s="2" t="inlineStr">
        <is>
          <t>OFFEN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 t="inlineStr">
        <is>
          <t>T05</t>
        </is>
      </c>
      <c r="B29" s="2" t="inlineStr">
        <is>
          <t>UX-04</t>
        </is>
      </c>
      <c r="C29" s="2" t="inlineStr">
        <is>
          <t>OFFEN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 t="inlineStr">
        <is>
          <t>T05</t>
        </is>
      </c>
      <c r="B30" s="2" t="inlineStr">
        <is>
          <t>UX-05</t>
        </is>
      </c>
      <c r="C30" s="2" t="inlineStr">
        <is>
          <t>OFFEN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inlineStr">
        <is>
          <t>T05</t>
        </is>
      </c>
      <c r="B31" s="2" t="inlineStr">
        <is>
          <t>UX-06</t>
        </is>
      </c>
      <c r="C31" s="2" t="inlineStr">
        <is>
          <t>OFFEN</t>
        </is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 t="inlineStr">
        <is>
          <t>T06</t>
        </is>
      </c>
      <c r="B32" s="2" t="inlineStr">
        <is>
          <t>UX-01</t>
        </is>
      </c>
      <c r="C32" s="2" t="inlineStr">
        <is>
          <t>OFFEN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T06</t>
        </is>
      </c>
      <c r="B33" s="2" t="inlineStr">
        <is>
          <t>UX-02</t>
        </is>
      </c>
      <c r="C33" s="2" t="inlineStr">
        <is>
          <t>OFFEN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T06</t>
        </is>
      </c>
      <c r="B34" s="2" t="inlineStr">
        <is>
          <t>UX-03</t>
        </is>
      </c>
      <c r="C34" s="2" t="inlineStr">
        <is>
          <t>OFFEN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s="2" t="inlineStr">
        <is>
          <t>T06</t>
        </is>
      </c>
      <c r="B35" s="2" t="inlineStr">
        <is>
          <t>UX-04</t>
        </is>
      </c>
      <c r="C35" s="2" t="inlineStr">
        <is>
          <t>OFFEN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s="2" t="inlineStr">
        <is>
          <t>T06</t>
        </is>
      </c>
      <c r="B36" s="2" t="inlineStr">
        <is>
          <t>UX-05</t>
        </is>
      </c>
      <c r="C36" s="2" t="inlineStr">
        <is>
          <t>OFFEN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>
        <is>
          <t>T06</t>
        </is>
      </c>
      <c r="B37" s="2" t="inlineStr">
        <is>
          <t>UX-06</t>
        </is>
      </c>
      <c r="C37" s="2" t="inlineStr">
        <is>
          <t>OFFEN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s="2" t="inlineStr">
        <is>
          <t>T07</t>
        </is>
      </c>
      <c r="B38" s="2" t="inlineStr">
        <is>
          <t>UX-01</t>
        </is>
      </c>
      <c r="C38" s="2" t="inlineStr">
        <is>
          <t>OFFEN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s="2" t="inlineStr">
        <is>
          <t>T07</t>
        </is>
      </c>
      <c r="B39" s="2" t="inlineStr">
        <is>
          <t>UX-02</t>
        </is>
      </c>
      <c r="C39" s="2" t="inlineStr">
        <is>
          <t>OFFEN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s="2" t="inlineStr">
        <is>
          <t>T07</t>
        </is>
      </c>
      <c r="B40" s="2" t="inlineStr">
        <is>
          <t>UX-03</t>
        </is>
      </c>
      <c r="C40" s="2" t="inlineStr">
        <is>
          <t>OFFEN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s="2" t="inlineStr">
        <is>
          <t>T07</t>
        </is>
      </c>
      <c r="B41" s="2" t="inlineStr">
        <is>
          <t>UX-04</t>
        </is>
      </c>
      <c r="C41" s="2" t="inlineStr">
        <is>
          <t>OFFEN</t>
        </is>
      </c>
      <c r="D41" s="2" t="n"/>
      <c r="E41" s="2" t="n"/>
      <c r="F41" s="2" t="n"/>
      <c r="G41" s="2" t="n"/>
      <c r="H41" s="2" t="n"/>
      <c r="I41" s="2" t="n"/>
      <c r="J41" s="2" t="n"/>
    </row>
    <row r="42">
      <c r="A42" s="2" t="inlineStr">
        <is>
          <t>T07</t>
        </is>
      </c>
      <c r="B42" s="2" t="inlineStr">
        <is>
          <t>UX-05</t>
        </is>
      </c>
      <c r="C42" s="2" t="inlineStr">
        <is>
          <t>OFFEN</t>
        </is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inlineStr">
        <is>
          <t>T07</t>
        </is>
      </c>
      <c r="B43" s="2" t="inlineStr">
        <is>
          <t>UX-06</t>
        </is>
      </c>
      <c r="C43" s="2" t="inlineStr">
        <is>
          <t>OFFEN</t>
        </is>
      </c>
      <c r="D43" s="2" t="n"/>
      <c r="E43" s="2" t="n"/>
      <c r="F43" s="2" t="n"/>
      <c r="G43" s="2" t="n"/>
      <c r="H43" s="2" t="n"/>
      <c r="I43" s="2" t="n"/>
      <c r="J43" s="2" t="n"/>
    </row>
    <row r="44">
      <c r="A44" s="2" t="inlineStr">
        <is>
          <t>T08</t>
        </is>
      </c>
      <c r="B44" s="2" t="inlineStr">
        <is>
          <t>UX-01</t>
        </is>
      </c>
      <c r="C44" s="2" t="inlineStr">
        <is>
          <t>OFFEN</t>
        </is>
      </c>
      <c r="D44" s="2" t="n"/>
      <c r="E44" s="2" t="n"/>
      <c r="F44" s="2" t="n"/>
      <c r="G44" s="2" t="n"/>
      <c r="H44" s="2" t="n"/>
      <c r="I44" s="2" t="n"/>
      <c r="J44" s="2" t="n"/>
    </row>
    <row r="45">
      <c r="A45" s="2" t="inlineStr">
        <is>
          <t>T08</t>
        </is>
      </c>
      <c r="B45" s="2" t="inlineStr">
        <is>
          <t>UX-02</t>
        </is>
      </c>
      <c r="C45" s="2" t="inlineStr">
        <is>
          <t>OFFEN</t>
        </is>
      </c>
      <c r="D45" s="2" t="n"/>
      <c r="E45" s="2" t="n"/>
      <c r="F45" s="2" t="n"/>
      <c r="G45" s="2" t="n"/>
      <c r="H45" s="2" t="n"/>
      <c r="I45" s="2" t="n"/>
      <c r="J45" s="2" t="n"/>
    </row>
    <row r="46">
      <c r="A46" s="2" t="inlineStr">
        <is>
          <t>T08</t>
        </is>
      </c>
      <c r="B46" s="2" t="inlineStr">
        <is>
          <t>UX-03</t>
        </is>
      </c>
      <c r="C46" s="2" t="inlineStr">
        <is>
          <t>OFFEN</t>
        </is>
      </c>
      <c r="D46" s="2" t="n"/>
      <c r="E46" s="2" t="n"/>
      <c r="F46" s="2" t="n"/>
      <c r="G46" s="2" t="n"/>
      <c r="H46" s="2" t="n"/>
      <c r="I46" s="2" t="n"/>
      <c r="J46" s="2" t="n"/>
    </row>
    <row r="47">
      <c r="A47" s="2" t="inlineStr">
        <is>
          <t>T08</t>
        </is>
      </c>
      <c r="B47" s="2" t="inlineStr">
        <is>
          <t>UX-04</t>
        </is>
      </c>
      <c r="C47" s="2" t="inlineStr">
        <is>
          <t>OFFEN</t>
        </is>
      </c>
      <c r="D47" s="2" t="n"/>
      <c r="E47" s="2" t="n"/>
      <c r="F47" s="2" t="n"/>
      <c r="G47" s="2" t="n"/>
      <c r="H47" s="2" t="n"/>
      <c r="I47" s="2" t="n"/>
      <c r="J47" s="2" t="n"/>
    </row>
    <row r="48">
      <c r="A48" s="2" t="inlineStr">
        <is>
          <t>T08</t>
        </is>
      </c>
      <c r="B48" s="2" t="inlineStr">
        <is>
          <t>UX-05</t>
        </is>
      </c>
      <c r="C48" s="2" t="inlineStr">
        <is>
          <t>OFFEN</t>
        </is>
      </c>
      <c r="D48" s="2" t="n"/>
      <c r="E48" s="2" t="n"/>
      <c r="F48" s="2" t="n"/>
      <c r="G48" s="2" t="n"/>
      <c r="H48" s="2" t="n"/>
      <c r="I48" s="2" t="n"/>
      <c r="J48" s="2" t="n"/>
    </row>
    <row r="49">
      <c r="A49" s="2" t="inlineStr">
        <is>
          <t>T08</t>
        </is>
      </c>
      <c r="B49" s="2" t="inlineStr">
        <is>
          <t>UX-06</t>
        </is>
      </c>
      <c r="C49" s="2" t="inlineStr">
        <is>
          <t>OFFEN</t>
        </is>
      </c>
      <c r="D49" s="2" t="n"/>
      <c r="E49" s="2" t="n"/>
      <c r="F49" s="2" t="n"/>
      <c r="G49" s="2" t="n"/>
      <c r="H49" s="2" t="n"/>
      <c r="I49" s="2" t="n"/>
      <c r="J49" s="2" t="n"/>
    </row>
    <row r="50">
      <c r="A50" s="2" t="inlineStr">
        <is>
          <t>T09</t>
        </is>
      </c>
      <c r="B50" s="2" t="inlineStr">
        <is>
          <t>UX-01</t>
        </is>
      </c>
      <c r="C50" s="2" t="inlineStr">
        <is>
          <t>OFFEN</t>
        </is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inlineStr">
        <is>
          <t>T09</t>
        </is>
      </c>
      <c r="B51" s="2" t="inlineStr">
        <is>
          <t>UX-02</t>
        </is>
      </c>
      <c r="C51" s="2" t="inlineStr">
        <is>
          <t>OFFEN</t>
        </is>
      </c>
      <c r="D51" s="2" t="n"/>
      <c r="E51" s="2" t="n"/>
      <c r="F51" s="2" t="n"/>
      <c r="G51" s="2" t="n"/>
      <c r="H51" s="2" t="n"/>
      <c r="I51" s="2" t="n"/>
      <c r="J51" s="2" t="n"/>
    </row>
    <row r="52">
      <c r="A52" s="2" t="inlineStr">
        <is>
          <t>T09</t>
        </is>
      </c>
      <c r="B52" s="2" t="inlineStr">
        <is>
          <t>UX-03</t>
        </is>
      </c>
      <c r="C52" s="2" t="inlineStr">
        <is>
          <t>OFFEN</t>
        </is>
      </c>
      <c r="D52" s="2" t="n"/>
      <c r="E52" s="2" t="n"/>
      <c r="F52" s="2" t="n"/>
      <c r="G52" s="2" t="n"/>
      <c r="H52" s="2" t="n"/>
      <c r="I52" s="2" t="n"/>
      <c r="J52" s="2" t="n"/>
    </row>
    <row r="53">
      <c r="A53" s="2" t="inlineStr">
        <is>
          <t>T09</t>
        </is>
      </c>
      <c r="B53" s="2" t="inlineStr">
        <is>
          <t>UX-04</t>
        </is>
      </c>
      <c r="C53" s="2" t="inlineStr">
        <is>
          <t>OFFEN</t>
        </is>
      </c>
      <c r="D53" s="2" t="n"/>
      <c r="E53" s="2" t="n"/>
      <c r="F53" s="2" t="n"/>
      <c r="G53" s="2" t="n"/>
      <c r="H53" s="2" t="n"/>
      <c r="I53" s="2" t="n"/>
      <c r="J53" s="2" t="n"/>
    </row>
    <row r="54">
      <c r="A54" s="2" t="inlineStr">
        <is>
          <t>T09</t>
        </is>
      </c>
      <c r="B54" s="2" t="inlineStr">
        <is>
          <t>UX-05</t>
        </is>
      </c>
      <c r="C54" s="2" t="inlineStr">
        <is>
          <t>OFFEN</t>
        </is>
      </c>
      <c r="D54" s="2" t="n"/>
      <c r="E54" s="2" t="n"/>
      <c r="F54" s="2" t="n"/>
      <c r="G54" s="2" t="n"/>
      <c r="H54" s="2" t="n"/>
      <c r="I54" s="2" t="n"/>
      <c r="J54" s="2" t="n"/>
    </row>
    <row r="55">
      <c r="A55" s="2" t="inlineStr">
        <is>
          <t>T09</t>
        </is>
      </c>
      <c r="B55" s="2" t="inlineStr">
        <is>
          <t>UX-06</t>
        </is>
      </c>
      <c r="C55" s="2" t="inlineStr">
        <is>
          <t>OFFEN</t>
        </is>
      </c>
      <c r="D55" s="2" t="n"/>
      <c r="E55" s="2" t="n"/>
      <c r="F55" s="2" t="n"/>
      <c r="G55" s="2" t="n"/>
      <c r="H55" s="2" t="n"/>
      <c r="I55" s="2" t="n"/>
      <c r="J55" s="2" t="n"/>
    </row>
    <row r="56">
      <c r="A56" s="2" t="inlineStr">
        <is>
          <t>T10</t>
        </is>
      </c>
      <c r="B56" s="2" t="inlineStr">
        <is>
          <t>UX-01</t>
        </is>
      </c>
      <c r="C56" s="2" t="inlineStr">
        <is>
          <t>OFFEN</t>
        </is>
      </c>
      <c r="D56" s="2" t="n"/>
      <c r="E56" s="2" t="n"/>
      <c r="F56" s="2" t="n"/>
      <c r="G56" s="2" t="n"/>
      <c r="H56" s="2" t="n"/>
      <c r="I56" s="2" t="n"/>
      <c r="J56" s="2" t="n"/>
    </row>
    <row r="57">
      <c r="A57" s="2" t="inlineStr">
        <is>
          <t>T10</t>
        </is>
      </c>
      <c r="B57" s="2" t="inlineStr">
        <is>
          <t>UX-02</t>
        </is>
      </c>
      <c r="C57" s="2" t="inlineStr">
        <is>
          <t>OFFEN</t>
        </is>
      </c>
      <c r="D57" s="2" t="n"/>
      <c r="E57" s="2" t="n"/>
      <c r="F57" s="2" t="n"/>
      <c r="G57" s="2" t="n"/>
      <c r="H57" s="2" t="n"/>
      <c r="I57" s="2" t="n"/>
      <c r="J57" s="2" t="n"/>
    </row>
    <row r="58">
      <c r="A58" s="2" t="inlineStr">
        <is>
          <t>T10</t>
        </is>
      </c>
      <c r="B58" s="2" t="inlineStr">
        <is>
          <t>UX-03</t>
        </is>
      </c>
      <c r="C58" s="2" t="inlineStr">
        <is>
          <t>OFFEN</t>
        </is>
      </c>
      <c r="D58" s="2" t="n"/>
      <c r="E58" s="2" t="n"/>
      <c r="F58" s="2" t="n"/>
      <c r="G58" s="2" t="n"/>
      <c r="H58" s="2" t="n"/>
      <c r="I58" s="2" t="n"/>
      <c r="J58" s="2" t="n"/>
    </row>
    <row r="59">
      <c r="A59" s="2" t="inlineStr">
        <is>
          <t>T10</t>
        </is>
      </c>
      <c r="B59" s="2" t="inlineStr">
        <is>
          <t>UX-04</t>
        </is>
      </c>
      <c r="C59" s="2" t="inlineStr">
        <is>
          <t>OFFEN</t>
        </is>
      </c>
      <c r="D59" s="2" t="n"/>
      <c r="E59" s="2" t="n"/>
      <c r="F59" s="2" t="n"/>
      <c r="G59" s="2" t="n"/>
      <c r="H59" s="2" t="n"/>
      <c r="I59" s="2" t="n"/>
      <c r="J59" s="2" t="n"/>
    </row>
    <row r="60">
      <c r="A60" s="2" t="inlineStr">
        <is>
          <t>T10</t>
        </is>
      </c>
      <c r="B60" s="2" t="inlineStr">
        <is>
          <t>UX-05</t>
        </is>
      </c>
      <c r="C60" s="2" t="inlineStr">
        <is>
          <t>OFFEN</t>
        </is>
      </c>
      <c r="D60" s="2" t="n"/>
      <c r="E60" s="2" t="n"/>
      <c r="F60" s="2" t="n"/>
      <c r="G60" s="2" t="n"/>
      <c r="H60" s="2" t="n"/>
      <c r="I60" s="2" t="n"/>
      <c r="J60" s="2" t="n"/>
    </row>
    <row r="61">
      <c r="A61" s="2" t="inlineStr">
        <is>
          <t>T10</t>
        </is>
      </c>
      <c r="B61" s="2" t="inlineStr">
        <is>
          <t>UX-06</t>
        </is>
      </c>
      <c r="C61" s="2" t="inlineStr">
        <is>
          <t>OFFEN</t>
        </is>
      </c>
      <c r="D61" s="2" t="n"/>
      <c r="E61" s="2" t="n"/>
      <c r="F61" s="2" t="n"/>
      <c r="G61" s="2" t="n"/>
      <c r="H61" s="2" t="n"/>
      <c r="I61" s="2" t="n"/>
      <c r="J61" s="2" t="n"/>
    </row>
  </sheetData>
  <autoFilter ref="A1:J61"/>
  <dataValidations count="2">
    <dataValidation sqref="C2:C61" showDropDown="0" showInputMessage="0" showErrorMessage="0" allowBlank="0" type="list">
      <formula1>"OFFEN,BESTANDEN,NICHT BESTANDEN"</formula1>
    </dataValidation>
    <dataValidation sqref="H2:J6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Test</t>
        </is>
      </c>
      <c r="B1" s="1" t="inlineStr">
        <is>
          <t>Abgeschlossen</t>
        </is>
      </c>
      <c r="C1" s="1" t="inlineStr">
        <is>
          <t>Bestanden</t>
        </is>
      </c>
      <c r="D1" s="1" t="inlineStr">
        <is>
          <t>Ziel</t>
        </is>
      </c>
      <c r="E1" s="1" t="inlineStr">
        <is>
          <t>Status</t>
        </is>
      </c>
    </row>
    <row r="2">
      <c r="A2" s="2" t="inlineStr">
        <is>
          <t>UX-01</t>
        </is>
      </c>
      <c r="B2" s="2">
        <f>COUNTIFS(Teilnehmer!B2:B61,A2,Teilnehmer!C2:C61,"BESTANDEN")+COUNTIFS(Teilnehmer!B2:B61,A2,Teilnehmer!C2:C61,"NICHT BESTANDEN")</f>
        <v/>
      </c>
      <c r="C2" s="2">
        <f>COUNTIFS(Teilnehmer!B2:B61,A2,Teilnehmer!C2:C61,"BESTANDEN")</f>
        <v/>
      </c>
      <c r="D2" s="2" t="n">
        <v>8</v>
      </c>
      <c r="E2" s="2">
        <f>IF(B2&lt;10,"OFFEN",IF(C2&gt;=8,"BESTANDEN","NICHT BESTANDEN"))</f>
        <v/>
      </c>
    </row>
    <row r="3">
      <c r="A3" s="2" t="inlineStr">
        <is>
          <t>UX-02</t>
        </is>
      </c>
      <c r="B3" s="2">
        <f>COUNTIFS(Teilnehmer!B2:B61,A3,Teilnehmer!C2:C61,"BESTANDEN")+COUNTIFS(Teilnehmer!B2:B61,A3,Teilnehmer!C2:C61,"NICHT BESTANDEN")</f>
        <v/>
      </c>
      <c r="C3" s="2">
        <f>COUNTIFS(Teilnehmer!B2:B61,A3,Teilnehmer!C2:C61,"BESTANDEN")</f>
        <v/>
      </c>
      <c r="D3" s="2" t="n">
        <v>8</v>
      </c>
      <c r="E3" s="2">
        <f>IF(B3&lt;10,"OFFEN",IF(C3&gt;=8,"BESTANDEN","NICHT BESTANDEN"))</f>
        <v/>
      </c>
    </row>
    <row r="4">
      <c r="A4" s="2" t="inlineStr">
        <is>
          <t>UX-03</t>
        </is>
      </c>
      <c r="B4" s="2">
        <f>COUNTIFS(Teilnehmer!B2:B61,A4,Teilnehmer!C2:C61,"BESTANDEN")+COUNTIFS(Teilnehmer!B2:B61,A4,Teilnehmer!C2:C61,"NICHT BESTANDEN")</f>
        <v/>
      </c>
      <c r="C4" s="2">
        <f>COUNTIFS(Teilnehmer!B2:B61,A4,Teilnehmer!C2:C61,"BESTANDEN")</f>
        <v/>
      </c>
      <c r="D4" s="2" t="inlineStr">
        <is>
          <t>siehe Testplan</t>
        </is>
      </c>
      <c r="E4" s="2" t="inlineStr">
        <is>
          <t>OFFEN</t>
        </is>
      </c>
    </row>
    <row r="5">
      <c r="A5" s="2" t="inlineStr">
        <is>
          <t>UX-04</t>
        </is>
      </c>
      <c r="B5" s="2">
        <f>COUNTIFS(Teilnehmer!B2:B61,A5,Teilnehmer!C2:C61,"BESTANDEN")+COUNTIFS(Teilnehmer!B2:B61,A5,Teilnehmer!C2:C61,"NICHT BESTANDEN")</f>
        <v/>
      </c>
      <c r="C5" s="2">
        <f>COUNTIFS(Teilnehmer!B2:B61,A5,Teilnehmer!C2:C61,"BESTANDEN")</f>
        <v/>
      </c>
      <c r="D5" s="2" t="n">
        <v>8</v>
      </c>
      <c r="E5" s="2">
        <f>IF(B5&lt;10,"OFFEN",IF(C5&gt;=8,"BESTANDEN","NICHT BESTANDEN"))</f>
        <v/>
      </c>
    </row>
    <row r="6">
      <c r="A6" s="2" t="inlineStr">
        <is>
          <t>UX-05</t>
        </is>
      </c>
      <c r="B6" s="2">
        <f>COUNTIFS(Teilnehmer!B2:B61,A6,Teilnehmer!C2:C61,"BESTANDEN")+COUNTIFS(Teilnehmer!B2:B61,A6,Teilnehmer!C2:C61,"NICHT BESTANDEN")</f>
        <v/>
      </c>
      <c r="C6" s="2">
        <f>COUNTIFS(Teilnehmer!B2:B61,A6,Teilnehmer!C2:C61,"BESTANDEN")</f>
        <v/>
      </c>
      <c r="D6" s="2" t="inlineStr">
        <is>
          <t>siehe Testplan</t>
        </is>
      </c>
      <c r="E6" s="2">
        <f>IF(OR(B6&lt;10,B9&lt;10,B10&lt;10),"OFFEN",IF(AND(C9&gt;=4,C10&gt;=4),"BESTANDEN","NICHT BESTANDEN"))</f>
        <v/>
      </c>
    </row>
    <row r="7">
      <c r="A7" s="2" t="inlineStr">
        <is>
          <t>UX-06</t>
        </is>
      </c>
      <c r="B7" s="2">
        <f>COUNTIFS(Teilnehmer!B2:B61,A7,Teilnehmer!C2:C61,"BESTANDEN")+COUNTIFS(Teilnehmer!B2:B61,A7,Teilnehmer!C2:C61,"NICHT BESTANDEN")</f>
        <v/>
      </c>
      <c r="C7" s="2">
        <f>COUNTIFS(Teilnehmer!B2:B61,A7,Teilnehmer!C2:C61,"BESTANDEN")</f>
        <v/>
      </c>
      <c r="D7" s="2" t="inlineStr">
        <is>
          <t>siehe Testplan</t>
        </is>
      </c>
      <c r="E7" s="2" t="inlineStr">
        <is>
          <t>OFFEN</t>
        </is>
      </c>
    </row>
    <row r="8">
      <c r="A8" s="2" t="inlineStr">
        <is>
          <t>UX-05 Qualität/Angemessenheit: zehn Bewertungen pro Dimension, Mittelwert&gt;=4/5. Bis dahin OFFEN.</t>
        </is>
      </c>
      <c r="B8" s="2" t="n"/>
      <c r="C8" s="2" t="n"/>
      <c r="D8" s="2" t="n"/>
      <c r="E8" s="2" t="n"/>
    </row>
    <row r="9" ht="40" customHeight="1">
      <c r="A9" s="2" t="inlineStr">
        <is>
          <t>UX-05 Visuelle Qualität</t>
        </is>
      </c>
      <c r="B9" s="2">
        <f>COUNTIFS(Teilnehmer!B2:B61,"UX-05",Teilnehmer!I2:I61,"&gt;=1",Teilnehmer!I2:I61,"&lt;=5")</f>
        <v/>
      </c>
      <c r="C9" s="2">
        <f>IF(B9=0,"",AVERAGEIF(Teilnehmer!B2:B61,"UX-05",Teilnehmer!I2:I61))</f>
        <v/>
      </c>
      <c r="D9" s="2" t="inlineStr">
        <is>
          <t>10 Bewertungen, Mittel ≥4/5</t>
        </is>
      </c>
      <c r="E9" s="2">
        <f>IF(B9&lt;10,"OFFEN",IF(C9&gt;=4,"BESTANDEN","NICHT BESTANDEN"))</f>
        <v/>
      </c>
    </row>
    <row r="10" ht="40" customHeight="1">
      <c r="A10" s="2" t="inlineStr">
        <is>
          <t>UX-05 Animation passend</t>
        </is>
      </c>
      <c r="B10" s="2">
        <f>COUNTIFS(Teilnehmer!B2:B61,"UX-05",Teilnehmer!J2:J61,"&gt;=1",Teilnehmer!J2:J61,"&lt;=5")</f>
        <v/>
      </c>
      <c r="C10" s="2">
        <f>IF(B10=0,"",AVERAGEIF(Teilnehmer!B2:B61,"UX-05",Teilnehmer!J2:J61))</f>
        <v/>
      </c>
      <c r="D10" s="2" t="inlineStr">
        <is>
          <t>10 Bewertungen, Mittel ≥4/5</t>
        </is>
      </c>
      <c r="E10" s="2">
        <f>IF(B10&lt;10,"OFFEN",IF(C10&gt;=4,"BESTANDEN","NICHT BESTANDEN"))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2026-10-19T18:15:07Z</dcterms:created>
  <dcterms:modified xmlns:dcterms="http://purl.org/dc/terms/" xmlns:xsi="http://www.w3.org/2001/XMLSchema-instance" xsi:type="dcterms:W3CDTF">2026-10-19T19:38:09Z</dcterms:modified>
</cp:coreProperties>
</file>