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18770033854b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a95814accc34710"/>
    <x:sheet xmlns:r="http://schemas.openxmlformats.org/officeDocument/2006/relationships" name="FP-N-Mapping" sheetId="2" r:id="Rb0fc72601fed4a8d"/>
    <x:sheet xmlns:r="http://schemas.openxmlformats.org/officeDocument/2006/relationships" name="Finale-Feldwerte" sheetId="3" r:id="R9d2d62d349dc4e00"/>
    <x:sheet xmlns:r="http://schemas.openxmlformats.org/officeDocument/2006/relationships" name="Block-Abgleich" sheetId="4" r:id="R787c928f56714052"/>
    <x:sheet xmlns:r="http://schemas.openxmlformats.org/officeDocument/2006/relationships" name="Story-Quelle" sheetId="5" r:id="Rc5d050932738441a"/>
    <x:sheet xmlns:r="http://schemas.openxmlformats.org/officeDocument/2006/relationships" name="Codex-Übergabe" sheetId="6" r:id="Ra6dd336fdb1b44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EFE3"/>
      </x:patternFill>
    </x:fill>
    <x:fill>
      <x:patternFill patternType="solid">
        <x:fgColor rgb="FF3F593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ill>
        <x:patternFill patternType="solid">
          <x:bgColor rgb="FFE8F5E9"/>
        </x:patternFill>
      </x:fill>
    </x:dxf>
    <x:dxf>
      <x:fill>
        <x:patternFill patternType="solid">
          <x:bgColor rgb="FFFFF4D6"/>
        </x:patternFill>
      </x:fill>
    </x:dxf>
    <x:dxf>
      <x:fill>
        <x:patternFill patternType="solid">
          <x:bgColor rgb="FFFDECEC"/>
        </x:patternFill>
      </x:fill>
    </x:dxf>
    <x:dxf>
      <x:fill>
        <x:patternFill patternType="solid">
          <x:bgColor rgb="FFECEFF1"/>
        </x:patternFill>
      </x:fill>
    </x:dxf>
    <x:dxf>
      <x:fill>
        <x:patternFill patternType="solid">
          <x:bgColor rgb="FFFFF4D6"/>
        </x:patternFill>
      </x:fill>
    </x:dxf>
    <x:dxf>
      <x:fill>
        <x:patternFill patternType="solid">
          <x:bgColor rgb="FFE8F5E9"/>
        </x:patternFill>
      </x:fill>
    </x:dxf>
    <x:dxf>
      <x:fill>
        <x:patternFill patternType="solid">
          <x:bgColor rgb="FFE8F5E9"/>
        </x:patternFill>
      </x:fill>
    </x:dxf>
    <x:dxf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715402d2f848aa" /><Relationship Type="http://schemas.openxmlformats.org/officeDocument/2006/relationships/theme" Target="/xl/theme/theme1.xml" Id="R7b65d8146fd44289" /><Relationship Type="http://schemas.openxmlformats.org/officeDocument/2006/relationships/sharedStrings" Target="/xl/sharedStrings.xml" Id="R63ac3248410d442d" /><Relationship Type="http://schemas.openxmlformats.org/officeDocument/2006/relationships/worksheet" Target="/xl/worksheets/sheet1.xml" Id="R2a95814accc34710" /><Relationship Type="http://schemas.openxmlformats.org/officeDocument/2006/relationships/worksheet" Target="/xl/worksheets/sheet2.xml" Id="Rb0fc72601fed4a8d" /><Relationship Type="http://schemas.openxmlformats.org/officeDocument/2006/relationships/worksheet" Target="/xl/worksheets/sheet3.xml" Id="R9d2d62d349dc4e00" /><Relationship Type="http://schemas.openxmlformats.org/officeDocument/2006/relationships/worksheet" Target="/xl/worksheets/sheet4.xml" Id="R787c928f56714052" /><Relationship Type="http://schemas.openxmlformats.org/officeDocument/2006/relationships/worksheet" Target="/xl/worksheets/sheet5.xml" Id="Rc5d050932738441a" /><Relationship Type="http://schemas.openxmlformats.org/officeDocument/2006/relationships/worksheet" Target="/xl/worksheets/sheet6.xml" Id="Ra6dd336fdb1b44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52" hidden="0" customWidth="1"/>
    <x:col min="3" max="3" width="24" hidden="0" customWidth="1"/>
    <x:col min="4" max="4" width="42" hidden="0" customWidth="1"/>
    <x:col min="5" max="5" width="38" hidden="0" customWidth="1"/>
    <x:col min="6" max="6" width="40" hidden="0" customWidth="1"/>
  </x:cols>
  <x:sheetData>
    <x:row r="1" ht="28" customHeight="1">
      <x:c r="A1" s="4" t="str">
        <x:v>FaithPath × Nachlese – REKONSTRUIERTE Übergabedatei für Codex</x:v>
      </x:c>
      <x:c r="B1" s="4"/>
      <x:c r="C1" s="4"/>
      <x:c r="D1" s="4"/>
      <x:c r="E1" s="4"/>
      <x:c r="F1" s="4"/>
    </x:row>
    <x:row r="2">
      <x:c r="A2" t="str">
        <x:v>Stand 01.10.2026 · Nicht das verlorene historische Original-Mapping</x:v>
      </x:c>
    </x:row>
    <x:row r="4" ht="15" hidden="0" customHeight="1">
      <x:c r="A4" s="16" t="str">
        <x:v>Punkt</x:v>
      </x:c>
      <x:c r="B4" s="16" t="str">
        <x:v>Wert / Festlegung</x:v>
      </x:c>
      <x:c r="C4" s="16" t="str">
        <x:v>Status</x:v>
      </x:c>
      <x:c r="D4" s="16" t="str">
        <x:v>Quelle</x:v>
      </x:c>
      <x:c r="E4" s="16" t="str">
        <x:v>Commit/Blob</x:v>
      </x:c>
      <x:c r="F4" s="16" t="str">
        <x:v>Hinweis</x:v>
      </x:c>
    </x:row>
    <x:row r="5" ht="26.399999618530273" hidden="0" customHeight="1">
      <x:c r="A5" s="17" t="str">
        <x:v>FaithPath-Bestand</x:v>
      </x:c>
      <x:c r="B5" s="17" t="str">
        <x:v>FP-0001–FP-1560 · 1.560 final freigegeben</x:v>
      </x:c>
      <x:c r="C5" s="17" t="str">
        <x:v>VERIFIZIERT</x:v>
      </x:c>
      <x:c r="D5" s="17" t="str">
        <x:v>FaithPath_GESAMT_Fragen_Pruefkatalog_FP0001-1560.pdf</x:v>
      </x:c>
      <x:c r="E5" s="17" t="str">
        <x:v>5f6c597916a5854f83085538ae345ff4c2d629dc</x:v>
      </x:c>
      <x:c r="F5" s="17" t="str">
        <x:v>0 offene Prüffälle</x:v>
      </x:c>
    </x:row>
    <x:row r="6" ht="26.399999618530273" hidden="0" customHeight="1">
      <x:c r="A6" s="17" t="str">
        <x:v>Nachlese-Bestand</x:v>
      </x:c>
      <x:c r="B6" s="17" t="str">
        <x:v>2.314 N-Fragen · 435 Storys</x:v>
      </x:c>
      <x:c r="C6" s="17" t="str">
        <x:v>VERIFIZIERT</x:v>
      </x:c>
      <x:c r="D6" s="17" t="str">
        <x:v>Nachlese-Fragenkatalog(2).docx + Nachlese_Prueftabelle_A01_A24_FINAL.xlsx</x:v>
      </x:c>
      <x:c r="E6" s="17" t="str"/>
      <x:c r="F6" s="17" t="str">
        <x:v>Nachlese-Quelldateien bleiben eigenständig</x:v>
      </x:c>
    </x:row>
    <x:row r="7" ht="26.399999618530273" hidden="0" customHeight="1">
      <x:c r="A7" s="17" t="str">
        <x:v>Rekonstruiertes Mapping</x:v>
      </x:c>
      <x:c r="B7" s="17" t="str">
        <x:v>FP-0001–FP-0300</x:v>
      </x:c>
      <x:c r="C7" s="17" t="str">
        <x:v>RECONSTRUCTED_FROM_FINAL_SOURCES</x:v>
      </x:c>
      <x:c r="D7" s="17" t="str">
        <x:v>Finale QA-Aggregate + aktuelle FaithPath-Daten + Nachlese-Katalog/QA</x:v>
      </x:c>
      <x:c r="E7" s="17" t="str">
        <x:v>18995d231f90df332eef500471060469421aff88</x:v>
      </x:c>
      <x:c r="F7" s="17" t="str">
        <x:v>Originale Block1–3-Merge-XLSX-Dateien waren nicht verfügbar.</x:v>
      </x:c>
    </x:row>
    <x:row r="8" ht="26.399999618530273" hidden="0" customHeight="1">
      <x:c r="A8" s="17" t="str">
        <x:v>Block 1 Kontrollsumme</x:v>
      </x:c>
      <x:c r="B8" s="17" t="str">
        <x:v>92 EXAKT · 5 SINNGLEICH · 3 KONFLIKT</x:v>
      </x:c>
      <x:c r="C8" s="17" t="str">
        <x:v>MATCH</x:v>
      </x:c>
      <x:c r="D8" s="17" t="str">
        <x:v>Finaler FaithPath-Prüfkatalog</x:v>
      </x:c>
      <x:c r="E8" s="17" t="str"/>
      <x:c r="F8" s="17" t="str">
        <x:v>Die Rekonstruktion reproduziert den dokumentierten Block exakt.</x:v>
      </x:c>
    </x:row>
    <x:row r="9" ht="26.399999618530273" hidden="0" customHeight="1">
      <x:c r="A9" s="17" t="str">
        <x:v>Block 2 Kontrollsumme</x:v>
      </x:c>
      <x:c r="B9" s="17" t="str">
        <x:v>57 SINNGLEICH · 42 FAITHPATH_ONLY · 1 KONFLIKT</x:v>
      </x:c>
      <x:c r="C9" s="17" t="str">
        <x:v>MATCH</x:v>
      </x:c>
      <x:c r="D9" s="17" t="str">
        <x:v>Finaler FaithPath-Prüfkatalog</x:v>
      </x:c>
      <x:c r="E9" s="17" t="str"/>
      <x:c r="F9" s="17" t="str">
        <x:v>Zeilenmapping rekonstruiert und an dokumentierte Aggregatzahlen gebunden.</x:v>
      </x:c>
    </x:row>
    <x:row r="10" ht="26.399999618530273" hidden="0" customHeight="1">
      <x:c r="A10" s="17" t="str">
        <x:v>Block 3 Kontrollsumme</x:v>
      </x:c>
      <x:c r="B10" s="17" t="str">
        <x:v>16 SINNGLEICH · 84 FAITHPATH_ONLY</x:v>
      </x:c>
      <x:c r="C10" s="17" t="str">
        <x:v>MATCH</x:v>
      </x:c>
      <x:c r="D10" s="17" t="str">
        <x:v>Finaler FaithPath-Prüfkatalog</x:v>
      </x:c>
      <x:c r="E10" s="17" t="str"/>
      <x:c r="F10" s="17" t="str">
        <x:v>Zeilenmapping rekonstruiert und an dokumentierte Aggregatzahlen gebunden.</x:v>
      </x:c>
    </x:row>
    <x:row r="11" ht="26.399999618530273" hidden="0" customHeight="1">
      <x:c r="A11" s="17" t="str">
        <x:v>Kapitelquiz</x:v>
      </x:c>
      <x:c r="B11" s="17" t="str">
        <x:v>FP-0301–FP-1560</x:v>
      </x:c>
      <x:c r="C11" s="17" t="str">
        <x:v>SEPARAT</x:v>
      </x:c>
      <x:c r="D11" s="17" t="str">
        <x:v>Finaler FaithPath-Prüfkatalog</x:v>
      </x:c>
      <x:c r="E11" s="17" t="str"/>
      <x:c r="F11" s="17" t="str">
        <x:v>Nicht in normalen Nachlese-Story-Merge aufnehmen.</x:v>
      </x:c>
    </x:row>
    <x:row r="12" ht="26.399999618530273" hidden="0" customHeight="1">
      <x:c r="A12" s="17" t="str">
        <x:v>Vier historische Konflikt-IDs</x:v>
      </x:c>
      <x:c r="B12" s="17" t="str">
        <x:v>FP-0021, FP-0024, FP-0025, FP-0175</x:v>
      </x:c>
      <x:c r="C12" s="17" t="str">
        <x:v>AUFGELÖST</x:v>
      </x:c>
      <x:c r="D12" s="17" t="str">
        <x:v>FaithPath-Prüfkatalog + Nachlese finale QA</x:v>
      </x:c>
      <x:c r="E12" s="17" t="str"/>
      <x:c r="F12" s="17" t="str">
        <x:v>Konkrete Feldwerte stehen im Blatt Finale-Feldwerte.</x:v>
      </x:c>
    </x:row>
    <x:row r="13" ht="26.399999618530273" hidden="0" customHeight="1">
      <x:c r="A13" s="17" t="str">
        <x:v>Codex-Regel</x:v>
      </x:c>
      <x:c r="B13" s="17" t="str">
        <x:v>Vor jedem Write die rekonstruierten Zuordnungen gegen beide Quelldateien verifizieren.</x:v>
      </x:c>
      <x:c r="C13" s="17" t="str">
        <x:v>VERBINDLICH</x:v>
      </x:c>
      <x:c r="D13" s="17" t="str">
        <x:v>Diese Übergabedatei</x:v>
      </x:c>
      <x:c r="E13" s="17" t="str"/>
      <x:c r="F13" s="17" t="str">
        <x:v>MEDIUM-Zuordnungen nicht blind übernehmen.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12" hidden="0" customWidth="1"/>
    <x:col min="5" max="5" width="14" hidden="0" customWidth="1"/>
    <x:col min="6" max="6" width="23" hidden="0" customWidth="1"/>
    <x:col min="7" max="7" width="22" hidden="0" customWidth="1"/>
    <x:col min="8" max="8" width="52" hidden="0" customWidth="1"/>
    <x:col min="9" max="9" width="45" hidden="0" customWidth="1"/>
    <x:col min="10" max="10" width="18" hidden="0" customWidth="1"/>
    <x:col min="11" max="11" width="14" hidden="0" customWidth="1"/>
    <x:col min="12" max="12" width="24" hidden="0" customWidth="1"/>
    <x:col min="13" max="13" width="48" hidden="0" customWidth="1"/>
    <x:col min="14" max="14" width="50" hidden="0" customWidth="1"/>
    <x:col min="15" max="15" width="30" hidden="0" customWidth="1"/>
    <x:col min="16" max="16" width="26" hidden="0" customWidth="1"/>
    <x:col min="17" max="17" width="32" hidden="0" customWidth="1"/>
    <x:col min="18" max="18" width="13" hidden="0" customWidth="1"/>
    <x:col min="19" max="19" width="48" hidden="0" customWidth="1"/>
    <x:col min="20" max="20" width="46" hidden="0" customWidth="1"/>
  </x:cols>
  <x:sheetData>
    <x:row r="1" ht="26.399999618530273" hidden="0" customHeight="1">
      <x:c r="A1" s="16" t="str">
        <x:v>FP_ID</x:v>
      </x:c>
      <x:c r="B1" s="16" t="str">
        <x:v>Block</x:v>
      </x:c>
      <x:c r="C1" s="16" t="str">
        <x:v>FP_story_id</x:v>
      </x:c>
      <x:c r="D1" s="16" t="str">
        <x:v>FP_story_index</x:v>
      </x:c>
      <x:c r="E1" s="16" t="str">
        <x:v>FP_question_index</x:v>
      </x:c>
      <x:c r="F1" s="16" t="str">
        <x:v>FP_locator</x:v>
      </x:c>
      <x:c r="G1" s="16" t="str">
        <x:v>FP_ref</x:v>
      </x:c>
      <x:c r="H1" s="16" t="str">
        <x:v>FP_question</x:v>
      </x:c>
      <x:c r="I1" s="16" t="str">
        <x:v>FP_correct_answer_current</x:v>
      </x:c>
      <x:c r="J1" s="16" t="str">
        <x:v>Match_Status</x:v>
      </x:c>
      <x:c r="K1" s="16" t="str">
        <x:v>N_ID</x:v>
      </x:c>
      <x:c r="L1" s="16" t="str">
        <x:v>N_ref</x:v>
      </x:c>
      <x:c r="M1" s="16" t="str">
        <x:v>N_question</x:v>
      </x:c>
      <x:c r="N1" s="16" t="str">
        <x:v>N_final_answer</x:v>
      </x:c>
      <x:c r="O1" s="16" t="str">
        <x:v>N_story_title</x:v>
      </x:c>
      <x:c r="P1" s="16" t="str">
        <x:v>N_story_span</x:v>
      </x:c>
      <x:c r="Q1" s="16" t="str">
        <x:v>Match_Method</x:v>
      </x:c>
      <x:c r="R1" s="16" t="str">
        <x:v>Confidence</x:v>
      </x:c>
      <x:c r="S1" s="16" t="str">
        <x:v>Provenance</x:v>
      </x:c>
      <x:c r="T1" s="16" t="str">
        <x:v>Notes</x:v>
      </x:c>
    </x:row>
    <x:row r="2" ht="26.399999618530273" hidden="0" customHeight="1">
      <x:c r="A2" s="17" t="str">
        <x:v>FP-0001</x:v>
      </x:c>
      <x:c r="B2" s="17" t="str">
        <x:v>FP-0001–0100</x:v>
      </x:c>
      <x:c r="C2" s="17" t="n">
        <x:v>1</x:v>
      </x:c>
      <x:c r="D2" s="17" t="n">
        <x:v>1</x:v>
      </x:c>
      <x:c r="E2" s="17" t="n">
        <x:v>1</x:v>
      </x:c>
      <x:c r="F2" s="17" t="str">
        <x:v>$[0].questions[0]</x:v>
      </x:c>
      <x:c r="G2" s="17" t="str">
        <x:v>Matthäus 1,18</x:v>
      </x:c>
      <x:c r="H2" s="17" t="str">
        <x:v>Mit wem war Maria verlobt?</x:v>
      </x:c>
      <x:c r="I2" s="17" t="str">
        <x:v>Josef</x:v>
      </x:c>
      <x:c r="J2" s="17" t="str">
        <x:v>EXAKT</x:v>
      </x:c>
      <x:c r="K2" s="17" t="str">
        <x:v>N-0536</x:v>
      </x:c>
      <x:c r="L2" s="17" t="str">
        <x:v>Matthäus 1,18</x:v>
      </x:c>
      <x:c r="M2" s="17" t="str">
        <x:v>Mit wem war Maria verlobt?</x:v>
      </x:c>
      <x:c r="N2" s="17" t="str">
        <x:v>Josef</x:v>
      </x:c>
      <x:c r="O2" s="17" t="str">
        <x:v>Jesu Geburt</x:v>
      </x:c>
      <x:c r="P2" s="17" t="str">
        <x:v>Matthäus 1,18–25</x:v>
      </x:c>
      <x:c r="Q2" s="17" t="str">
        <x:v>RECONSTRUCTED_FROM_FINAL_SOURCES</x:v>
      </x:c>
      <x:c r="R2" s="17" t="str">
        <x:v>HIGH</x:v>
      </x:c>
      <x:c r="S2" s="17" t="str">
        <x:v>FaithPath final QA PDF + Nachlese final QA + current develop/v4 data</x:v>
      </x:c>
      <x:c r="T2" s="17" t="str">
        <x:v>Block-1 aggregate reproduced exactly: 92 EXAKT / 5 SINNGLEICH / 3 KONFLIKT.</x:v>
      </x:c>
    </x:row>
    <x:row r="3" ht="26.399999618530273" hidden="0" customHeight="1">
      <x:c r="A3" s="17" t="str">
        <x:v>FP-0002</x:v>
      </x:c>
      <x:c r="B3" s="17" t="str">
        <x:v>FP-0001–0100</x:v>
      </x:c>
      <x:c r="C3" s="17" t="n">
        <x:v>1</x:v>
      </x:c>
      <x:c r="D3" s="17" t="n">
        <x:v>1</x:v>
      </x:c>
      <x:c r="E3" s="17" t="n">
        <x:v>2</x:v>
      </x:c>
      <x:c r="F3" s="17" t="str">
        <x:v>$[0].questions[1]</x:v>
      </x:c>
      <x:c r="G3" s="17" t="str">
        <x:v>Matthäus 1,18</x:v>
      </x:c>
      <x:c r="H3" s="17" t="str">
        <x:v>Was stellte Josef fest, bevor sie zusammenkamen?</x:v>
      </x:c>
      <x:c r="I3" s="17" t="str">
        <x:v>Maria war schwanger</x:v>
      </x:c>
      <x:c r="J3" s="17" t="str">
        <x:v>EXAKT</x:v>
      </x:c>
      <x:c r="K3" s="17" t="str">
        <x:v>N-0537</x:v>
      </x:c>
      <x:c r="L3" s="17" t="str">
        <x:v>Matthäus 1,18</x:v>
      </x:c>
      <x:c r="M3" s="17" t="str">
        <x:v>Was stellte Josef fest, bevor sie zusammenkamen?</x:v>
      </x:c>
      <x:c r="N3" s="17" t="str">
        <x:v>Maria war schwanger</x:v>
      </x:c>
      <x:c r="O3" s="17" t="str">
        <x:v>Jesu Geburt</x:v>
      </x:c>
      <x:c r="P3" s="17" t="str">
        <x:v>Matthäus 1,18–25</x:v>
      </x:c>
      <x:c r="Q3" s="17" t="str">
        <x:v>RECONSTRUCTED_FROM_FINAL_SOURCES</x:v>
      </x:c>
      <x:c r="R3" s="17" t="str">
        <x:v>HIGH</x:v>
      </x:c>
      <x:c r="S3" s="17" t="str">
        <x:v>FaithPath final QA PDF + Nachlese final QA + current develop/v4 data</x:v>
      </x:c>
      <x:c r="T3" s="17" t="str">
        <x:v>Block-1 aggregate reproduced exactly: 92 EXAKT / 5 SINNGLEICH / 3 KONFLIKT.</x:v>
      </x:c>
    </x:row>
    <x:row r="4" ht="26.399999618530273" hidden="0" customHeight="1">
      <x:c r="A4" s="17" t="str">
        <x:v>FP-0003</x:v>
      </x:c>
      <x:c r="B4" s="17" t="str">
        <x:v>FP-0001–0100</x:v>
      </x:c>
      <x:c r="C4" s="17" t="n">
        <x:v>1</x:v>
      </x:c>
      <x:c r="D4" s="17" t="n">
        <x:v>1</x:v>
      </x:c>
      <x:c r="E4" s="17" t="n">
        <x:v>3</x:v>
      </x:c>
      <x:c r="F4" s="17" t="str">
        <x:v>$[0].questions[2]</x:v>
      </x:c>
      <x:c r="G4" s="17" t="str">
        <x:v>Matthäus 1,20</x:v>
      </x:c>
      <x:c r="H4" s="17" t="str">
        <x:v>Wie erschien Josef die Botschaft des Herrn?</x:v>
      </x:c>
      <x:c r="I4" s="17" t="str">
        <x:v>Im Traum durch einen Engel</x:v>
      </x:c>
      <x:c r="J4" s="17" t="str">
        <x:v>EXAKT</x:v>
      </x:c>
      <x:c r="K4" s="17" t="str">
        <x:v>N-0538</x:v>
      </x:c>
      <x:c r="L4" s="17" t="str">
        <x:v>Matthäus 1,20</x:v>
      </x:c>
      <x:c r="M4" s="17" t="str">
        <x:v>Wie erschien Josef die Botschaft des Herrn?</x:v>
      </x:c>
      <x:c r="N4" s="17" t="str">
        <x:v>Im Traum durch einen Engel</x:v>
      </x:c>
      <x:c r="O4" s="17" t="str">
        <x:v>Jesu Geburt</x:v>
      </x:c>
      <x:c r="P4" s="17" t="str">
        <x:v>Matthäus 1,18–25</x:v>
      </x:c>
      <x:c r="Q4" s="17" t="str">
        <x:v>RECONSTRUCTED_FROM_FINAL_SOURCES</x:v>
      </x:c>
      <x:c r="R4" s="17" t="str">
        <x:v>HIGH</x:v>
      </x:c>
      <x:c r="S4" s="17" t="str">
        <x:v>FaithPath final QA PDF + Nachlese final QA + current develop/v4 data</x:v>
      </x:c>
      <x:c r="T4" s="17" t="str">
        <x:v>Block-1 aggregate reproduced exactly: 92 EXAKT / 5 SINNGLEICH / 3 KONFLIKT.</x:v>
      </x:c>
    </x:row>
    <x:row r="5" ht="26.399999618530273" hidden="0" customHeight="1">
      <x:c r="A5" s="17" t="str">
        <x:v>FP-0004</x:v>
      </x:c>
      <x:c r="B5" s="17" t="str">
        <x:v>FP-0001–0100</x:v>
      </x:c>
      <x:c r="C5" s="17" t="n">
        <x:v>1</x:v>
      </x:c>
      <x:c r="D5" s="17" t="n">
        <x:v>1</x:v>
      </x:c>
      <x:c r="E5" s="17" t="n">
        <x:v>4</x:v>
      </x:c>
      <x:c r="F5" s="17" t="str">
        <x:v>$[0].questions[3]</x:v>
      </x:c>
      <x:c r="G5" s="17" t="str">
        <x:v>Matthäus 1,21</x:v>
      </x:c>
      <x:c r="H5" s="17" t="str">
        <x:v>Welchen Namen sollte das Kind erhalten?</x:v>
      </x:c>
      <x:c r="I5" s="17" t="str">
        <x:v>Jesus</x:v>
      </x:c>
      <x:c r="J5" s="17" t="str">
        <x:v>EXAKT</x:v>
      </x:c>
      <x:c r="K5" s="17" t="str">
        <x:v>N-0539</x:v>
      </x:c>
      <x:c r="L5" s="17" t="str">
        <x:v>Matthäus 1,21</x:v>
      </x:c>
      <x:c r="M5" s="17" t="str">
        <x:v>Welchen Namen sollte das Kind erhalten?</x:v>
      </x:c>
      <x:c r="N5" s="17" t="str">
        <x:v>Jesus</x:v>
      </x:c>
      <x:c r="O5" s="17" t="str">
        <x:v>Jesu Geburt</x:v>
      </x:c>
      <x:c r="P5" s="17" t="str">
        <x:v>Matthäus 1,18–25</x:v>
      </x:c>
      <x:c r="Q5" s="17" t="str">
        <x:v>RECONSTRUCTED_FROM_FINAL_SOURCES</x:v>
      </x:c>
      <x:c r="R5" s="17" t="str">
        <x:v>HIGH</x:v>
      </x:c>
      <x:c r="S5" s="17" t="str">
        <x:v>FaithPath final QA PDF + Nachlese final QA + current develop/v4 data</x:v>
      </x:c>
      <x:c r="T5" s="17" t="str">
        <x:v>Block-1 aggregate reproduced exactly: 92 EXAKT / 5 SINNGLEICH / 3 KONFLIKT.</x:v>
      </x:c>
    </x:row>
    <x:row r="6" ht="26.399999618530273" hidden="0" customHeight="1">
      <x:c r="A6" s="17" t="str">
        <x:v>FP-0005</x:v>
      </x:c>
      <x:c r="B6" s="17" t="str">
        <x:v>FP-0001–0100</x:v>
      </x:c>
      <x:c r="C6" s="17" t="n">
        <x:v>1</x:v>
      </x:c>
      <x:c r="D6" s="17" t="n">
        <x:v>1</x:v>
      </x:c>
      <x:c r="E6" s="17" t="n">
        <x:v>5</x:v>
      </x:c>
      <x:c r="F6" s="17" t="str">
        <x:v>$[0].questions[4]</x:v>
      </x:c>
      <x:c r="G6" s="17" t="str">
        <x:v>Matthäus 1,24</x:v>
      </x:c>
      <x:c r="H6" s="17" t="str">
        <x:v>Was tat Josef nach dem Erwachen?</x:v>
      </x:c>
      <x:c r="I6" s="17" t="str">
        <x:v>Er tat, wie der Engel geboten hatte</x:v>
      </x:c>
      <x:c r="J6" s="17" t="str">
        <x:v>EXAKT</x:v>
      </x:c>
      <x:c r="K6" s="17" t="str">
        <x:v>N-0540</x:v>
      </x:c>
      <x:c r="L6" s="17" t="str">
        <x:v>Matthäus 1,24</x:v>
      </x:c>
      <x:c r="M6" s="17" t="str">
        <x:v>Was tat Josef nach dem Erwachen?</x:v>
      </x:c>
      <x:c r="N6" s="17" t="str">
        <x:v>Er tat, wie der Engel geboten hatte</x:v>
      </x:c>
      <x:c r="O6" s="17" t="str">
        <x:v>Jesu Geburt</x:v>
      </x:c>
      <x:c r="P6" s="17" t="str">
        <x:v>Matthäus 1,18–25</x:v>
      </x:c>
      <x:c r="Q6" s="17" t="str">
        <x:v>RECONSTRUCTED_FROM_FINAL_SOURCES</x:v>
      </x:c>
      <x:c r="R6" s="17" t="str">
        <x:v>HIGH</x:v>
      </x:c>
      <x:c r="S6" s="17" t="str">
        <x:v>FaithPath final QA PDF + Nachlese final QA + current develop/v4 data</x:v>
      </x:c>
      <x:c r="T6" s="17" t="str">
        <x:v>Block-1 aggregate reproduced exactly: 92 EXAKT / 5 SINNGLEICH / 3 KONFLIKT.</x:v>
      </x:c>
    </x:row>
    <x:row r="7" ht="26.399999618530273" hidden="0" customHeight="1">
      <x:c r="A7" s="17" t="str">
        <x:v>FP-0006</x:v>
      </x:c>
      <x:c r="B7" s="17" t="str">
        <x:v>FP-0001–0100</x:v>
      </x:c>
      <x:c r="C7" s="17" t="n">
        <x:v>2</x:v>
      </x:c>
      <x:c r="D7" s="17" t="n">
        <x:v>2</x:v>
      </x:c>
      <x:c r="E7" s="17" t="n">
        <x:v>1</x:v>
      </x:c>
      <x:c r="F7" s="17" t="str">
        <x:v>$[1].questions[0]</x:v>
      </x:c>
      <x:c r="G7" s="17" t="str">
        <x:v>Matthäus 2,1</x:v>
      </x:c>
      <x:c r="H7" s="17" t="str">
        <x:v>Wer kam nach Jerusalem?</x:v>
      </x:c>
      <x:c r="I7" s="17" t="str">
        <x:v>Weise aus dem Morgenland</x:v>
      </x:c>
      <x:c r="J7" s="17" t="str">
        <x:v>EXAKT</x:v>
      </x:c>
      <x:c r="K7" s="17" t="str">
        <x:v>N-0541</x:v>
      </x:c>
      <x:c r="L7" s="17" t="str">
        <x:v>Matthäus 2,1</x:v>
      </x:c>
      <x:c r="M7" s="17" t="str">
        <x:v>Wer kam nach Jerusalem?</x:v>
      </x:c>
      <x:c r="N7" s="17" t="str">
        <x:v>Weise aus dem Morgenland</x:v>
      </x:c>
      <x:c r="O7" s="17" t="str">
        <x:v>Die Weisen aus dem Morgenland</x:v>
      </x:c>
      <x:c r="P7" s="17" t="str">
        <x:v>Matthäus 2,1–12</x:v>
      </x:c>
      <x:c r="Q7" s="17" t="str">
        <x:v>RECONSTRUCTED_FROM_FINAL_SOURCES</x:v>
      </x:c>
      <x:c r="R7" s="17" t="str">
        <x:v>HIGH</x:v>
      </x:c>
      <x:c r="S7" s="17" t="str">
        <x:v>FaithPath final QA PDF + Nachlese final QA + current develop/v4 data</x:v>
      </x:c>
      <x:c r="T7" s="17" t="str">
        <x:v>Block-1 aggregate reproduced exactly: 92 EXAKT / 5 SINNGLEICH / 3 KONFLIKT.</x:v>
      </x:c>
    </x:row>
    <x:row r="8" ht="26.399999618530273" hidden="0" customHeight="1">
      <x:c r="A8" s="17" t="str">
        <x:v>FP-0007</x:v>
      </x:c>
      <x:c r="B8" s="17" t="str">
        <x:v>FP-0001–0100</x:v>
      </x:c>
      <x:c r="C8" s="17" t="n">
        <x:v>2</x:v>
      </x:c>
      <x:c r="D8" s="17" t="n">
        <x:v>2</x:v>
      </x:c>
      <x:c r="E8" s="17" t="n">
        <x:v>2</x:v>
      </x:c>
      <x:c r="F8" s="17" t="str">
        <x:v>$[1].questions[1]</x:v>
      </x:c>
      <x:c r="G8" s="17" t="str">
        <x:v>Matthäus 2,2</x:v>
      </x:c>
      <x:c r="H8" s="17" t="str">
        <x:v>Nach wem fragten die Weisen?</x:v>
      </x:c>
      <x:c r="I8" s="17" t="str">
        <x:v>Dem König der Juden</x:v>
      </x:c>
      <x:c r="J8" s="17" t="str">
        <x:v>EXAKT</x:v>
      </x:c>
      <x:c r="K8" s="17" t="str">
        <x:v>N-0542</x:v>
      </x:c>
      <x:c r="L8" s="17" t="str">
        <x:v>Matthäus 2,2</x:v>
      </x:c>
      <x:c r="M8" s="17" t="str">
        <x:v>Nach wem fragten die Weisen?</x:v>
      </x:c>
      <x:c r="N8" s="17" t="str">
        <x:v>Dem König der Juden</x:v>
      </x:c>
      <x:c r="O8" s="17" t="str">
        <x:v>Die Weisen aus dem Morgenland</x:v>
      </x:c>
      <x:c r="P8" s="17" t="str">
        <x:v>Matthäus 2,1–12</x:v>
      </x:c>
      <x:c r="Q8" s="17" t="str">
        <x:v>RECONSTRUCTED_FROM_FINAL_SOURCES</x:v>
      </x:c>
      <x:c r="R8" s="17" t="str">
        <x:v>HIGH</x:v>
      </x:c>
      <x:c r="S8" s="17" t="str">
        <x:v>FaithPath final QA PDF + Nachlese final QA + current develop/v4 data</x:v>
      </x:c>
      <x:c r="T8" s="17" t="str">
        <x:v>Block-1 aggregate reproduced exactly: 92 EXAKT / 5 SINNGLEICH / 3 KONFLIKT.</x:v>
      </x:c>
    </x:row>
    <x:row r="9" ht="26.399999618530273" hidden="0" customHeight="1">
      <x:c r="A9" s="17" t="str">
        <x:v>FP-0008</x:v>
      </x:c>
      <x:c r="B9" s="17" t="str">
        <x:v>FP-0001–0100</x:v>
      </x:c>
      <x:c r="C9" s="17" t="n">
        <x:v>2</x:v>
      </x:c>
      <x:c r="D9" s="17" t="n">
        <x:v>2</x:v>
      </x:c>
      <x:c r="E9" s="17" t="n">
        <x:v>3</x:v>
      </x:c>
      <x:c r="F9" s="17" t="str">
        <x:v>$[1].questions[2]</x:v>
      </x:c>
      <x:c r="G9" s="17" t="str">
        <x:v>Matthäus 2,5–6</x:v>
      </x:c>
      <x:c r="H9" s="17" t="str">
        <x:v>Wo sollte der Christus geboren werden?</x:v>
      </x:c>
      <x:c r="I9" s="17" t="str">
        <x:v>Bethlehem</x:v>
      </x:c>
      <x:c r="J9" s="17" t="str">
        <x:v>EXAKT</x:v>
      </x:c>
      <x:c r="K9" s="17" t="str">
        <x:v>N-0543</x:v>
      </x:c>
      <x:c r="L9" s="17" t="str">
        <x:v>Matthäus 2,5–6</x:v>
      </x:c>
      <x:c r="M9" s="17" t="str">
        <x:v>Wo sollte der Christus geboren werden?</x:v>
      </x:c>
      <x:c r="N9" s="17" t="str">
        <x:v>Bethlehem</x:v>
      </x:c>
      <x:c r="O9" s="17" t="str">
        <x:v>Die Weisen aus dem Morgenland</x:v>
      </x:c>
      <x:c r="P9" s="17" t="str">
        <x:v>Matthäus 2,1–12</x:v>
      </x:c>
      <x:c r="Q9" s="17" t="str">
        <x:v>RECONSTRUCTED_FROM_FINAL_SOURCES</x:v>
      </x:c>
      <x:c r="R9" s="17" t="str">
        <x:v>HIGH</x:v>
      </x:c>
      <x:c r="S9" s="17" t="str">
        <x:v>FaithPath final QA PDF + Nachlese final QA + current develop/v4 data</x:v>
      </x:c>
      <x:c r="T9" s="17" t="str">
        <x:v>Block-1 aggregate reproduced exactly: 92 EXAKT / 5 SINNGLEICH / 3 KONFLIKT.</x:v>
      </x:c>
    </x:row>
    <x:row r="10" ht="26.399999618530273" hidden="0" customHeight="1">
      <x:c r="A10" s="17" t="str">
        <x:v>FP-0009</x:v>
      </x:c>
      <x:c r="B10" s="17" t="str">
        <x:v>FP-0001–0100</x:v>
      </x:c>
      <x:c r="C10" s="17" t="n">
        <x:v>2</x:v>
      </x:c>
      <x:c r="D10" s="17" t="n">
        <x:v>2</x:v>
      </x:c>
      <x:c r="E10" s="17" t="n">
        <x:v>4</x:v>
      </x:c>
      <x:c r="F10" s="17" t="str">
        <x:v>$[1].questions[3]</x:v>
      </x:c>
      <x:c r="G10" s="17" t="str">
        <x:v>Matthäus 2,11</x:v>
      </x:c>
      <x:c r="H10" s="17" t="str">
        <x:v>Welche Gaben brachten die Weisen?</x:v>
      </x:c>
      <x:c r="I10" s="17" t="str">
        <x:v>Gold, Weihrauch und Myrrhe</x:v>
      </x:c>
      <x:c r="J10" s="17" t="str">
        <x:v>EXAKT</x:v>
      </x:c>
      <x:c r="K10" s="17" t="str">
        <x:v>N-0544</x:v>
      </x:c>
      <x:c r="L10" s="17" t="str">
        <x:v>Matthäus 2,11</x:v>
      </x:c>
      <x:c r="M10" s="17" t="str">
        <x:v>Welche Gaben brachten die Weisen?</x:v>
      </x:c>
      <x:c r="N10" s="17" t="str">
        <x:v>Gold, Weihrauch und Myrrhe</x:v>
      </x:c>
      <x:c r="O10" s="17" t="str">
        <x:v>Die Weisen aus dem Morgenland</x:v>
      </x:c>
      <x:c r="P10" s="17" t="str">
        <x:v>Matthäus 2,1–12</x:v>
      </x:c>
      <x:c r="Q10" s="17" t="str">
        <x:v>RECONSTRUCTED_FROM_FINAL_SOURCES</x:v>
      </x:c>
      <x:c r="R10" s="17" t="str">
        <x:v>HIGH</x:v>
      </x:c>
      <x:c r="S10" s="17" t="str">
        <x:v>FaithPath final QA PDF + Nachlese final QA + current develop/v4 data</x:v>
      </x:c>
      <x:c r="T10" s="17" t="str">
        <x:v>Block-1 aggregate reproduced exactly: 92 EXAKT / 5 SINNGLEICH / 3 KONFLIKT.</x:v>
      </x:c>
    </x:row>
    <x:row r="11" ht="26.399999618530273" hidden="0" customHeight="1">
      <x:c r="A11" s="17" t="str">
        <x:v>FP-0010</x:v>
      </x:c>
      <x:c r="B11" s="17" t="str">
        <x:v>FP-0001–0100</x:v>
      </x:c>
      <x:c r="C11" s="17" t="n">
        <x:v>2</x:v>
      </x:c>
      <x:c r="D11" s="17" t="n">
        <x:v>2</x:v>
      </x:c>
      <x:c r="E11" s="17" t="n">
        <x:v>5</x:v>
      </x:c>
      <x:c r="F11" s="17" t="str">
        <x:v>$[1].questions[4]</x:v>
      </x:c>
      <x:c r="G11" s="17" t="str">
        <x:v>Matthäus 2,12</x:v>
      </x:c>
      <x:c r="H11" s="17" t="str">
        <x:v>Wie kehrten sie in ihr Land zurück?</x:v>
      </x:c>
      <x:c r="I11" s="17" t="str">
        <x:v>Auf einem anderen Weg</x:v>
      </x:c>
      <x:c r="J11" s="17" t="str">
        <x:v>EXAKT</x:v>
      </x:c>
      <x:c r="K11" s="17" t="str">
        <x:v>N-0545</x:v>
      </x:c>
      <x:c r="L11" s="17" t="str">
        <x:v>Matthäus 2,12</x:v>
      </x:c>
      <x:c r="M11" s="17" t="str">
        <x:v>Wie kehrten sie in ihr Land zurück?</x:v>
      </x:c>
      <x:c r="N11" s="17" t="str">
        <x:v>Auf einem anderen Weg</x:v>
      </x:c>
      <x:c r="O11" s="17" t="str">
        <x:v>Die Weisen aus dem Morgenland</x:v>
      </x:c>
      <x:c r="P11" s="17" t="str">
        <x:v>Matthäus 2,1–12</x:v>
      </x:c>
      <x:c r="Q11" s="17" t="str">
        <x:v>RECONSTRUCTED_FROM_FINAL_SOURCES</x:v>
      </x:c>
      <x:c r="R11" s="17" t="str">
        <x:v>HIGH</x:v>
      </x:c>
      <x:c r="S11" s="17" t="str">
        <x:v>FaithPath final QA PDF + Nachlese final QA + current develop/v4 data</x:v>
      </x:c>
      <x:c r="T11" s="17" t="str">
        <x:v>Block-1 aggregate reproduced exactly: 92 EXAKT / 5 SINNGLEICH / 3 KONFLIKT.</x:v>
      </x:c>
    </x:row>
    <x:row r="12" ht="26.399999618530273" hidden="0" customHeight="1">
      <x:c r="A12" s="17" t="str">
        <x:v>FP-0011</x:v>
      </x:c>
      <x:c r="B12" s="17" t="str">
        <x:v>FP-0001–0100</x:v>
      </x:c>
      <x:c r="C12" s="17" t="n">
        <x:v>3</x:v>
      </x:c>
      <x:c r="D12" s="17" t="n">
        <x:v>3</x:v>
      </x:c>
      <x:c r="E12" s="17" t="n">
        <x:v>1</x:v>
      </x:c>
      <x:c r="F12" s="17" t="str">
        <x:v>$[2].questions[0]</x:v>
      </x:c>
      <x:c r="G12" s="17" t="str">
        <x:v>Matthäus 2,13</x:v>
      </x:c>
      <x:c r="H12" s="17" t="str">
        <x:v>Wer warnte Josef nach dem Weggang der Weisen?</x:v>
      </x:c>
      <x:c r="I12" s="17" t="str">
        <x:v>Ein Engel des Herrn</x:v>
      </x:c>
      <x:c r="J12" s="17" t="str">
        <x:v>EXAKT</x:v>
      </x:c>
      <x:c r="K12" s="17" t="str">
        <x:v>N-0546</x:v>
      </x:c>
      <x:c r="L12" s="17" t="str">
        <x:v>Matthäus 2,13</x:v>
      </x:c>
      <x:c r="M12" s="17" t="str">
        <x:v>Wer warnte Josef nach dem Weggang der Weisen?</x:v>
      </x:c>
      <x:c r="N12" s="17" t="str">
        <x:v>Ein Engel des Herrn</x:v>
      </x:c>
      <x:c r="O12" s="17" t="str">
        <x:v>Flucht nach Ägypten und Rückkehr</x:v>
      </x:c>
      <x:c r="P12" s="17" t="str">
        <x:v>Matthäus 2,13–23</x:v>
      </x:c>
      <x:c r="Q12" s="17" t="str">
        <x:v>RECONSTRUCTED_FROM_FINAL_SOURCES</x:v>
      </x:c>
      <x:c r="R12" s="17" t="str">
        <x:v>HIGH</x:v>
      </x:c>
      <x:c r="S12" s="17" t="str">
        <x:v>FaithPath final QA PDF + Nachlese final QA + current develop/v4 data</x:v>
      </x:c>
      <x:c r="T12" s="17" t="str">
        <x:v>Block-1 aggregate reproduced exactly: 92 EXAKT / 5 SINNGLEICH / 3 KONFLIKT.</x:v>
      </x:c>
    </x:row>
    <x:row r="13" ht="26.399999618530273" hidden="0" customHeight="1">
      <x:c r="A13" s="17" t="str">
        <x:v>FP-0012</x:v>
      </x:c>
      <x:c r="B13" s="17" t="str">
        <x:v>FP-0001–0100</x:v>
      </x:c>
      <x:c r="C13" s="17" t="n">
        <x:v>3</x:v>
      </x:c>
      <x:c r="D13" s="17" t="n">
        <x:v>3</x:v>
      </x:c>
      <x:c r="E13" s="17" t="n">
        <x:v>2</x:v>
      </x:c>
      <x:c r="F13" s="17" t="str">
        <x:v>$[2].questions[1]</x:v>
      </x:c>
      <x:c r="G13" s="17" t="str">
        <x:v>Matthäus 2,13</x:v>
      </x:c>
      <x:c r="H13" s="17" t="str">
        <x:v>Wohin sollte Josef mit dem Kind und Maria fliehen?</x:v>
      </x:c>
      <x:c r="I13" s="17" t="str">
        <x:v>Ägypten</x:v>
      </x:c>
      <x:c r="J13" s="17" t="str">
        <x:v>EXAKT</x:v>
      </x:c>
      <x:c r="K13" s="17" t="str">
        <x:v>N-0547</x:v>
      </x:c>
      <x:c r="L13" s="17" t="str">
        <x:v>Matthäus 2,13</x:v>
      </x:c>
      <x:c r="M13" s="17" t="str">
        <x:v>Wohin sollte Josef mit dem Kind und Maria fliehen?</x:v>
      </x:c>
      <x:c r="N13" s="17" t="str">
        <x:v>Ägypten</x:v>
      </x:c>
      <x:c r="O13" s="17" t="str">
        <x:v>Flucht nach Ägypten und Rückkehr</x:v>
      </x:c>
      <x:c r="P13" s="17" t="str">
        <x:v>Matthäus 2,13–23</x:v>
      </x:c>
      <x:c r="Q13" s="17" t="str">
        <x:v>RECONSTRUCTED_FROM_FINAL_SOURCES</x:v>
      </x:c>
      <x:c r="R13" s="17" t="str">
        <x:v>HIGH</x:v>
      </x:c>
      <x:c r="S13" s="17" t="str">
        <x:v>FaithPath final QA PDF + Nachlese final QA + current develop/v4 data</x:v>
      </x:c>
      <x:c r="T13" s="17" t="str">
        <x:v>Block-1 aggregate reproduced exactly: 92 EXAKT / 5 SINNGLEICH / 3 KONFLIKT.</x:v>
      </x:c>
    </x:row>
    <x:row r="14" ht="26.399999618530273" hidden="0" customHeight="1">
      <x:c r="A14" s="17" t="str">
        <x:v>FP-0013</x:v>
      </x:c>
      <x:c r="B14" s="17" t="str">
        <x:v>FP-0001–0100</x:v>
      </x:c>
      <x:c r="C14" s="17" t="n">
        <x:v>3</x:v>
      </x:c>
      <x:c r="D14" s="17" t="n">
        <x:v>3</x:v>
      </x:c>
      <x:c r="E14" s="17" t="n">
        <x:v>3</x:v>
      </x:c>
      <x:c r="F14" s="17" t="str">
        <x:v>$[2].questions[2]</x:v>
      </x:c>
      <x:c r="G14" s="17" t="str">
        <x:v>Matthäus 2,13</x:v>
      </x:c>
      <x:c r="H14" s="17" t="str">
        <x:v>Vor wem flohen sie?</x:v>
      </x:c>
      <x:c r="I14" s="17" t="str">
        <x:v>Herodes</x:v>
      </x:c>
      <x:c r="J14" s="17" t="str">
        <x:v>EXAKT</x:v>
      </x:c>
      <x:c r="K14" s="17" t="str">
        <x:v>N-0548</x:v>
      </x:c>
      <x:c r="L14" s="17" t="str">
        <x:v>Matthäus 2,13</x:v>
      </x:c>
      <x:c r="M14" s="17" t="str">
        <x:v>Vor wem flohen sie?</x:v>
      </x:c>
      <x:c r="N14" s="17" t="str">
        <x:v>Herodes</x:v>
      </x:c>
      <x:c r="O14" s="17" t="str">
        <x:v>Flucht nach Ägypten und Rückkehr</x:v>
      </x:c>
      <x:c r="P14" s="17" t="str">
        <x:v>Matthäus 2,13–23</x:v>
      </x:c>
      <x:c r="Q14" s="17" t="str">
        <x:v>RECONSTRUCTED_FROM_FINAL_SOURCES</x:v>
      </x:c>
      <x:c r="R14" s="17" t="str">
        <x:v>HIGH</x:v>
      </x:c>
      <x:c r="S14" s="17" t="str">
        <x:v>FaithPath final QA PDF + Nachlese final QA + current develop/v4 data</x:v>
      </x:c>
      <x:c r="T14" s="17" t="str">
        <x:v>Block-1 aggregate reproduced exactly: 92 EXAKT / 5 SINNGLEICH / 3 KONFLIKT.</x:v>
      </x:c>
    </x:row>
    <x:row r="15" ht="26.399999618530273" hidden="0" customHeight="1">
      <x:c r="A15" s="17" t="str">
        <x:v>FP-0014</x:v>
      </x:c>
      <x:c r="B15" s="17" t="str">
        <x:v>FP-0001–0100</x:v>
      </x:c>
      <x:c r="C15" s="17" t="n">
        <x:v>3</x:v>
      </x:c>
      <x:c r="D15" s="17" t="n">
        <x:v>3</x:v>
      </x:c>
      <x:c r="E15" s="17" t="n">
        <x:v>4</x:v>
      </x:c>
      <x:c r="F15" s="17" t="str">
        <x:v>$[2].questions[3]</x:v>
      </x:c>
      <x:c r="G15" s="17" t="str">
        <x:v>Matthäus 2,19–20</x:v>
      </x:c>
      <x:c r="H15" s="17" t="str">
        <x:v>Wann erhielt Josef die Nachricht zur Rückkehr?</x:v>
      </x:c>
      <x:c r="I15" s="17" t="str">
        <x:v>Nach Herodes' Tod</x:v>
      </x:c>
      <x:c r="J15" s="17" t="str">
        <x:v>EXAKT</x:v>
      </x:c>
      <x:c r="K15" s="17" t="str">
        <x:v>N-0549</x:v>
      </x:c>
      <x:c r="L15" s="17" t="str">
        <x:v>Matthäus 2,19–20</x:v>
      </x:c>
      <x:c r="M15" s="17" t="str">
        <x:v>Wann erhielt Josef die Nachricht zur Rückkehr?</x:v>
      </x:c>
      <x:c r="N15" s="17" t="str">
        <x:v>Nach Herodes' Tod</x:v>
      </x:c>
      <x:c r="O15" s="17" t="str">
        <x:v>Flucht nach Ägypten und Rückkehr</x:v>
      </x:c>
      <x:c r="P15" s="17" t="str">
        <x:v>Matthäus 2,13–23</x:v>
      </x:c>
      <x:c r="Q15" s="17" t="str">
        <x:v>RECONSTRUCTED_FROM_FINAL_SOURCES</x:v>
      </x:c>
      <x:c r="R15" s="17" t="str">
        <x:v>HIGH</x:v>
      </x:c>
      <x:c r="S15" s="17" t="str">
        <x:v>FaithPath final QA PDF + Nachlese final QA + current develop/v4 data</x:v>
      </x:c>
      <x:c r="T15" s="17" t="str">
        <x:v>Block-1 aggregate reproduced exactly: 92 EXAKT / 5 SINNGLEICH / 3 KONFLIKT.</x:v>
      </x:c>
    </x:row>
    <x:row r="16" ht="26.399999618530273" hidden="0" customHeight="1">
      <x:c r="A16" s="17" t="str">
        <x:v>FP-0015</x:v>
      </x:c>
      <x:c r="B16" s="17" t="str">
        <x:v>FP-0001–0100</x:v>
      </x:c>
      <x:c r="C16" s="17" t="n">
        <x:v>3</x:v>
      </x:c>
      <x:c r="D16" s="17" t="n">
        <x:v>3</x:v>
      </x:c>
      <x:c r="E16" s="17" t="n">
        <x:v>5</x:v>
      </x:c>
      <x:c r="F16" s="17" t="str">
        <x:v>$[2].questions[4]</x:v>
      </x:c>
      <x:c r="G16" s="17" t="str">
        <x:v>Matthäus 2,23</x:v>
      </x:c>
      <x:c r="H16" s="17" t="str">
        <x:v>In welcher Stadt wohnte die Familie schließlich?</x:v>
      </x:c>
      <x:c r="I16" s="17" t="str">
        <x:v>Nazareth</x:v>
      </x:c>
      <x:c r="J16" s="17" t="str">
        <x:v>EXAKT</x:v>
      </x:c>
      <x:c r="K16" s="17" t="str">
        <x:v>N-0550</x:v>
      </x:c>
      <x:c r="L16" s="17" t="str">
        <x:v>Matthäus 2,23</x:v>
      </x:c>
      <x:c r="M16" s="17" t="str">
        <x:v>In welcher Stadt wohnte die Familie schließlich?</x:v>
      </x:c>
      <x:c r="N16" s="17" t="str">
        <x:v>Nazareth</x:v>
      </x:c>
      <x:c r="O16" s="17" t="str">
        <x:v>Flucht nach Ägypten und Rückkehr</x:v>
      </x:c>
      <x:c r="P16" s="17" t="str">
        <x:v>Matthäus 2,13–23</x:v>
      </x:c>
      <x:c r="Q16" s="17" t="str">
        <x:v>RECONSTRUCTED_FROM_FINAL_SOURCES</x:v>
      </x:c>
      <x:c r="R16" s="17" t="str">
        <x:v>HIGH</x:v>
      </x:c>
      <x:c r="S16" s="17" t="str">
        <x:v>FaithPath final QA PDF + Nachlese final QA + current develop/v4 data</x:v>
      </x:c>
      <x:c r="T16" s="17" t="str">
        <x:v>Block-1 aggregate reproduced exactly: 92 EXAKT / 5 SINNGLEICH / 3 KONFLIKT.</x:v>
      </x:c>
    </x:row>
    <x:row r="17" ht="26.399999618530273" hidden="0" customHeight="1">
      <x:c r="A17" s="17" t="str">
        <x:v>FP-0016</x:v>
      </x:c>
      <x:c r="B17" s="17" t="str">
        <x:v>FP-0001–0100</x:v>
      </x:c>
      <x:c r="C17" s="17" t="n">
        <x:v>4</x:v>
      </x:c>
      <x:c r="D17" s="17" t="n">
        <x:v>4</x:v>
      </x:c>
      <x:c r="E17" s="17" t="n">
        <x:v>1</x:v>
      </x:c>
      <x:c r="F17" s="17" t="str">
        <x:v>$[3].questions[0]</x:v>
      </x:c>
      <x:c r="G17" s="17" t="str">
        <x:v>Matthäus 3,1</x:v>
      </x:c>
      <x:c r="H17" s="17" t="str">
        <x:v>Wo predigte Johannes?</x:v>
      </x:c>
      <x:c r="I17" s="17" t="str">
        <x:v>In der Wüste Judäas</x:v>
      </x:c>
      <x:c r="J17" s="17" t="str">
        <x:v>EXAKT</x:v>
      </x:c>
      <x:c r="K17" s="17" t="str">
        <x:v>N-0551</x:v>
      </x:c>
      <x:c r="L17" s="17" t="str">
        <x:v>Matthäus 3,1</x:v>
      </x:c>
      <x:c r="M17" s="17" t="str">
        <x:v>Wo predigte Johannes?</x:v>
      </x:c>
      <x:c r="N17" s="17" t="str">
        <x:v>In der Wüste Judäas</x:v>
      </x:c>
      <x:c r="O17" s="17" t="str">
        <x:v>Johannes der Täufer</x:v>
      </x:c>
      <x:c r="P17" s="17" t="str">
        <x:v>Matthäus 3,1–12</x:v>
      </x:c>
      <x:c r="Q17" s="17" t="str">
        <x:v>RECONSTRUCTED_FROM_FINAL_SOURCES</x:v>
      </x:c>
      <x:c r="R17" s="17" t="str">
        <x:v>HIGH</x:v>
      </x:c>
      <x:c r="S17" s="17" t="str">
        <x:v>FaithPath final QA PDF + Nachlese final QA + current develop/v4 data</x:v>
      </x:c>
      <x:c r="T17" s="17" t="str">
        <x:v>Block-1 aggregate reproduced exactly: 92 EXAKT / 5 SINNGLEICH / 3 KONFLIKT.</x:v>
      </x:c>
    </x:row>
    <x:row r="18" ht="26.399999618530273" hidden="0" customHeight="1">
      <x:c r="A18" s="17" t="str">
        <x:v>FP-0017</x:v>
      </x:c>
      <x:c r="B18" s="17" t="str">
        <x:v>FP-0001–0100</x:v>
      </x:c>
      <x:c r="C18" s="17" t="n">
        <x:v>4</x:v>
      </x:c>
      <x:c r="D18" s="17" t="n">
        <x:v>4</x:v>
      </x:c>
      <x:c r="E18" s="17" t="n">
        <x:v>2</x:v>
      </x:c>
      <x:c r="F18" s="17" t="str">
        <x:v>$[3].questions[1]</x:v>
      </x:c>
      <x:c r="G18" s="17" t="str">
        <x:v>Matthäus 3,2</x:v>
      </x:c>
      <x:c r="H18" s="17" t="str">
        <x:v>Was war seine zentrale Aufforderung?</x:v>
      </x:c>
      <x:c r="I18" s="17" t="str">
        <x:v>Tut Buße</x:v>
      </x:c>
      <x:c r="J18" s="17" t="str">
        <x:v>EXAKT</x:v>
      </x:c>
      <x:c r="K18" s="17" t="str">
        <x:v>N-0552</x:v>
      </x:c>
      <x:c r="L18" s="17" t="str">
        <x:v>Matthäus 3,2</x:v>
      </x:c>
      <x:c r="M18" s="17" t="str">
        <x:v>Was war seine zentrale Aufforderung?</x:v>
      </x:c>
      <x:c r="N18" s="17" t="str">
        <x:v>Tut Buße</x:v>
      </x:c>
      <x:c r="O18" s="17" t="str">
        <x:v>Johannes der Täufer</x:v>
      </x:c>
      <x:c r="P18" s="17" t="str">
        <x:v>Matthäus 3,1–12</x:v>
      </x:c>
      <x:c r="Q18" s="17" t="str">
        <x:v>RECONSTRUCTED_FROM_FINAL_SOURCES</x:v>
      </x:c>
      <x:c r="R18" s="17" t="str">
        <x:v>HIGH</x:v>
      </x:c>
      <x:c r="S18" s="17" t="str">
        <x:v>FaithPath final QA PDF + Nachlese final QA + current develop/v4 data</x:v>
      </x:c>
      <x:c r="T18" s="17" t="str">
        <x:v>Block-1 aggregate reproduced exactly: 92 EXAKT / 5 SINNGLEICH / 3 KONFLIKT.</x:v>
      </x:c>
    </x:row>
    <x:row r="19" ht="26.399999618530273" hidden="0" customHeight="1">
      <x:c r="A19" s="17" t="str">
        <x:v>FP-0018</x:v>
      </x:c>
      <x:c r="B19" s="17" t="str">
        <x:v>FP-0001–0100</x:v>
      </x:c>
      <x:c r="C19" s="17" t="n">
        <x:v>4</x:v>
      </x:c>
      <x:c r="D19" s="17" t="n">
        <x:v>4</x:v>
      </x:c>
      <x:c r="E19" s="17" t="n">
        <x:v>3</x:v>
      </x:c>
      <x:c r="F19" s="17" t="str">
        <x:v>$[3].questions[2]</x:v>
      </x:c>
      <x:c r="G19" s="17" t="str">
        <x:v>Matthäus 3,11</x:v>
      </x:c>
      <x:c r="H19" s="17" t="str">
        <x:v>Womit taufte Johannes?</x:v>
      </x:c>
      <x:c r="I19" s="17" t="str">
        <x:v>Wasser</x:v>
      </x:c>
      <x:c r="J19" s="17" t="str">
        <x:v>EXAKT</x:v>
      </x:c>
      <x:c r="K19" s="17" t="str">
        <x:v>N-0553</x:v>
      </x:c>
      <x:c r="L19" s="17" t="str">
        <x:v>Matthäus 3,11</x:v>
      </x:c>
      <x:c r="M19" s="17" t="str">
        <x:v>Womit taufte Johannes?</x:v>
      </x:c>
      <x:c r="N19" s="17" t="str">
        <x:v>Wasser</x:v>
      </x:c>
      <x:c r="O19" s="17" t="str">
        <x:v>Johannes der Täufer</x:v>
      </x:c>
      <x:c r="P19" s="17" t="str">
        <x:v>Matthäus 3,1–12</x:v>
      </x:c>
      <x:c r="Q19" s="17" t="str">
        <x:v>RECONSTRUCTED_FROM_FINAL_SOURCES</x:v>
      </x:c>
      <x:c r="R19" s="17" t="str">
        <x:v>HIGH</x:v>
      </x:c>
      <x:c r="S19" s="17" t="str">
        <x:v>FaithPath final QA PDF + Nachlese final QA + current develop/v4 data</x:v>
      </x:c>
      <x:c r="T19" s="17" t="str">
        <x:v>Block-1 aggregate reproduced exactly: 92 EXAKT / 5 SINNGLEICH / 3 KONFLIKT.</x:v>
      </x:c>
    </x:row>
    <x:row r="20" ht="26.399999618530273" hidden="0" customHeight="1">
      <x:c r="A20" s="17" t="str">
        <x:v>FP-0019</x:v>
      </x:c>
      <x:c r="B20" s="17" t="str">
        <x:v>FP-0001–0100</x:v>
      </x:c>
      <x:c r="C20" s="17" t="n">
        <x:v>4</x:v>
      </x:c>
      <x:c r="D20" s="17" t="n">
        <x:v>4</x:v>
      </x:c>
      <x:c r="E20" s="17" t="n">
        <x:v>4</x:v>
      </x:c>
      <x:c r="F20" s="17" t="str">
        <x:v>$[3].questions[3]</x:v>
      </x:c>
      <x:c r="G20" s="17" t="str">
        <x:v>Matthäus 3,11</x:v>
      </x:c>
      <x:c r="H20" s="17" t="str">
        <x:v>Wer sollte nach Johannes kommen?</x:v>
      </x:c>
      <x:c r="I20" s="17" t="str">
        <x:v>Einer, der stärker ist als er</x:v>
      </x:c>
      <x:c r="J20" s="17" t="str">
        <x:v>EXAKT</x:v>
      </x:c>
      <x:c r="K20" s="17" t="str">
        <x:v>N-0554</x:v>
      </x:c>
      <x:c r="L20" s="17" t="str">
        <x:v>Matthäus 3,11</x:v>
      </x:c>
      <x:c r="M20" s="17" t="str">
        <x:v>Wer sollte nach Johannes kommen?</x:v>
      </x:c>
      <x:c r="N20" s="17" t="str">
        <x:v>Einer, der stärker ist als er</x:v>
      </x:c>
      <x:c r="O20" s="17" t="str">
        <x:v>Johannes der Täufer</x:v>
      </x:c>
      <x:c r="P20" s="17" t="str">
        <x:v>Matthäus 3,1–12</x:v>
      </x:c>
      <x:c r="Q20" s="17" t="str">
        <x:v>RECONSTRUCTED_FROM_FINAL_SOURCES</x:v>
      </x:c>
      <x:c r="R20" s="17" t="str">
        <x:v>HIGH</x:v>
      </x:c>
      <x:c r="S20" s="17" t="str">
        <x:v>FaithPath final QA PDF + Nachlese final QA + current develop/v4 data</x:v>
      </x:c>
      <x:c r="T20" s="17" t="str">
        <x:v>Block-1 aggregate reproduced exactly: 92 EXAKT / 5 SINNGLEICH / 3 KONFLIKT.</x:v>
      </x:c>
    </x:row>
    <x:row r="21" ht="26.399999618530273" hidden="0" customHeight="1">
      <x:c r="A21" s="17" t="str">
        <x:v>FP-0020</x:v>
      </x:c>
      <x:c r="B21" s="17" t="str">
        <x:v>FP-0001–0100</x:v>
      </x:c>
      <x:c r="C21" s="17" t="n">
        <x:v>4</x:v>
      </x:c>
      <x:c r="D21" s="17" t="n">
        <x:v>4</x:v>
      </x:c>
      <x:c r="E21" s="17" t="n">
        <x:v>5</x:v>
      </x:c>
      <x:c r="F21" s="17" t="str">
        <x:v>$[3].questions[4]</x:v>
      </x:c>
      <x:c r="G21" s="17" t="str">
        <x:v>Matthäus 3,11</x:v>
      </x:c>
      <x:c r="H21" s="17" t="str">
        <x:v>Womit werde der Kommende taufen?</x:v>
      </x:c>
      <x:c r="I21" s="17" t="str">
        <x:v>Mit Heiligem Geist und Feuer</x:v>
      </x:c>
      <x:c r="J21" s="17" t="str">
        <x:v>EXAKT</x:v>
      </x:c>
      <x:c r="K21" s="17" t="str">
        <x:v>N-0555</x:v>
      </x:c>
      <x:c r="L21" s="17" t="str">
        <x:v>Matthäus 3,11</x:v>
      </x:c>
      <x:c r="M21" s="17" t="str">
        <x:v>Womit werde der Kommende taufen?</x:v>
      </x:c>
      <x:c r="N21" s="17" t="str">
        <x:v>Mit Heiligem Geist und Feuer</x:v>
      </x:c>
      <x:c r="O21" s="17" t="str">
        <x:v>Johannes der Täufer</x:v>
      </x:c>
      <x:c r="P21" s="17" t="str">
        <x:v>Matthäus 3,1–12</x:v>
      </x:c>
      <x:c r="Q21" s="17" t="str">
        <x:v>RECONSTRUCTED_FROM_FINAL_SOURCES</x:v>
      </x:c>
      <x:c r="R21" s="17" t="str">
        <x:v>HIGH</x:v>
      </x:c>
      <x:c r="S21" s="17" t="str">
        <x:v>FaithPath final QA PDF + Nachlese final QA + current develop/v4 data</x:v>
      </x:c>
      <x:c r="T21" s="17" t="str">
        <x:v>Block-1 aggregate reproduced exactly: 92 EXAKT / 5 SINNGLEICH / 3 KONFLIKT.</x:v>
      </x:c>
    </x:row>
    <x:row r="22" ht="26.399999618530273" hidden="0" customHeight="1">
      <x:c r="A22" s="17" t="str">
        <x:v>FP-0021</x:v>
      </x:c>
      <x:c r="B22" s="17" t="str">
        <x:v>FP-0001–0100</x:v>
      </x:c>
      <x:c r="C22" s="17" t="n">
        <x:v>5</x:v>
      </x:c>
      <x:c r="D22" s="17" t="n">
        <x:v>5</x:v>
      </x:c>
      <x:c r="E22" s="17" t="n">
        <x:v>1</x:v>
      </x:c>
      <x:c r="F22" s="17" t="str">
        <x:v>$[4].questions[0]</x:v>
      </x:c>
      <x:c r="G22" s="17" t="str">
        <x:v>Matthäus 3,13</x:v>
      </x:c>
      <x:c r="H22" s="17" t="str">
        <x:v>Von wo kam Jesus zu Johannes?</x:v>
      </x:c>
      <x:c r="I22" s="17" t="str">
        <x:v>Nazareth/Galiläa</x:v>
      </x:c>
      <x:c r="J22" s="17" t="str">
        <x:v>KONFLIKT</x:v>
      </x:c>
      <x:c r="K22" s="17" t="str">
        <x:v>N-0556</x:v>
      </x:c>
      <x:c r="L22" s="17" t="str">
        <x:v>Matthäus 3,13</x:v>
      </x:c>
      <x:c r="M22" s="17" t="str">
        <x:v>Von wo kam Jesus zu Johannes?</x:v>
      </x:c>
      <x:c r="N22" s="17" t="str">
        <x:v>Aus Galiläa.</x:v>
      </x:c>
      <x:c r="O22" s="17" t="str">
        <x:v>Taufe Jesu</x:v>
      </x:c>
      <x:c r="P22" s="17" t="str">
        <x:v>Matthäus 3,13–17</x:v>
      </x:c>
      <x:c r="Q22" s="17" t="str">
        <x:v>RECONSTRUCTED_FROM_FINAL_SOURCES</x:v>
      </x:c>
      <x:c r="R22" s="17" t="str">
        <x:v>HIGH</x:v>
      </x:c>
      <x:c r="S22" s="17" t="str">
        <x:v>FaithPath final QA PDF + Nachlese final QA + current develop/v4 data</x:v>
      </x:c>
      <x:c r="T22" s="17" t="str">
        <x:v>Block-1 aggregate reproduced exactly: 92 EXAKT / 5 SINNGLEICH / 3 KONFLIKT.</x:v>
      </x:c>
    </x:row>
    <x:row r="23" ht="26.399999618530273" hidden="0" customHeight="1">
      <x:c r="A23" s="17" t="str">
        <x:v>FP-0022</x:v>
      </x:c>
      <x:c r="B23" s="17" t="str">
        <x:v>FP-0001–0100</x:v>
      </x:c>
      <x:c r="C23" s="17" t="n">
        <x:v>5</x:v>
      </x:c>
      <x:c r="D23" s="17" t="n">
        <x:v>5</x:v>
      </x:c>
      <x:c r="E23" s="17" t="n">
        <x:v>2</x:v>
      </x:c>
      <x:c r="F23" s="17" t="str">
        <x:v>$[4].questions[1]</x:v>
      </x:c>
      <x:c r="G23" s="17" t="str">
        <x:v>Matthäus 3,13</x:v>
      </x:c>
      <x:c r="H23" s="17" t="str">
        <x:v>Wer sollte Jesus taufen?</x:v>
      </x:c>
      <x:c r="I23" s="17" t="str">
        <x:v>Johannes</x:v>
      </x:c>
      <x:c r="J23" s="17" t="str">
        <x:v>EXAKT</x:v>
      </x:c>
      <x:c r="K23" s="17" t="str">
        <x:v>N-0557</x:v>
      </x:c>
      <x:c r="L23" s="17" t="str">
        <x:v>Matthäus 3,13</x:v>
      </x:c>
      <x:c r="M23" s="17" t="str">
        <x:v>Wer sollte Jesus taufen?</x:v>
      </x:c>
      <x:c r="N23" s="17" t="str">
        <x:v>Johannes</x:v>
      </x:c>
      <x:c r="O23" s="17" t="str">
        <x:v>Taufe Jesu</x:v>
      </x:c>
      <x:c r="P23" s="17" t="str">
        <x:v>Matthäus 3,13–17</x:v>
      </x:c>
      <x:c r="Q23" s="17" t="str">
        <x:v>RECONSTRUCTED_FROM_FINAL_SOURCES</x:v>
      </x:c>
      <x:c r="R23" s="17" t="str">
        <x:v>HIGH</x:v>
      </x:c>
      <x:c r="S23" s="17" t="str">
        <x:v>FaithPath final QA PDF + Nachlese final QA + current develop/v4 data</x:v>
      </x:c>
      <x:c r="T23" s="17" t="str">
        <x:v>Block-1 aggregate reproduced exactly: 92 EXAKT / 5 SINNGLEICH / 3 KONFLIKT.</x:v>
      </x:c>
    </x:row>
    <x:row r="24" ht="26.399999618530273" hidden="0" customHeight="1">
      <x:c r="A24" s="17" t="str">
        <x:v>FP-0023</x:v>
      </x:c>
      <x:c r="B24" s="17" t="str">
        <x:v>FP-0001–0100</x:v>
      </x:c>
      <x:c r="C24" s="17" t="n">
        <x:v>5</x:v>
      </x:c>
      <x:c r="D24" s="17" t="n">
        <x:v>5</x:v>
      </x:c>
      <x:c r="E24" s="17" t="n">
        <x:v>3</x:v>
      </x:c>
      <x:c r="F24" s="17" t="str">
        <x:v>$[4].questions[2]</x:v>
      </x:c>
      <x:c r="G24" s="17" t="str">
        <x:v>Matthäus 3,16</x:v>
      </x:c>
      <x:c r="H24" s="17" t="str">
        <x:v>Was geschah, als Jesus aus dem Wasser stieg?</x:v>
      </x:c>
      <x:c r="I24" s="17" t="str">
        <x:v>Der Himmel öffnete sich</x:v>
      </x:c>
      <x:c r="J24" s="17" t="str">
        <x:v>EXAKT</x:v>
      </x:c>
      <x:c r="K24" s="17" t="str">
        <x:v>N-0558</x:v>
      </x:c>
      <x:c r="L24" s="17" t="str">
        <x:v>Matthäus 3,16</x:v>
      </x:c>
      <x:c r="M24" s="17" t="str">
        <x:v>Was geschah, als Jesus aus dem Wasser stieg?</x:v>
      </x:c>
      <x:c r="N24" s="17" t="str">
        <x:v>Der Himmel öffnete sich</x:v>
      </x:c>
      <x:c r="O24" s="17" t="str">
        <x:v>Taufe Jesu</x:v>
      </x:c>
      <x:c r="P24" s="17" t="str">
        <x:v>Matthäus 3,13–17</x:v>
      </x:c>
      <x:c r="Q24" s="17" t="str">
        <x:v>RECONSTRUCTED_FROM_FINAL_SOURCES</x:v>
      </x:c>
      <x:c r="R24" s="17" t="str">
        <x:v>HIGH</x:v>
      </x:c>
      <x:c r="S24" s="17" t="str">
        <x:v>FaithPath final QA PDF + Nachlese final QA + current develop/v4 data</x:v>
      </x:c>
      <x:c r="T24" s="17" t="str">
        <x:v>Block-1 aggregate reproduced exactly: 92 EXAKT / 5 SINNGLEICH / 3 KONFLIKT.</x:v>
      </x:c>
    </x:row>
    <x:row r="25" ht="26.399999618530273" hidden="0" customHeight="1">
      <x:c r="A25" s="17" t="str">
        <x:v>FP-0024</x:v>
      </x:c>
      <x:c r="B25" s="17" t="str">
        <x:v>FP-0001–0100</x:v>
      </x:c>
      <x:c r="C25" s="17" t="n">
        <x:v>5</x:v>
      </x:c>
      <x:c r="D25" s="17" t="n">
        <x:v>5</x:v>
      </x:c>
      <x:c r="E25" s="17" t="n">
        <x:v>4</x:v>
      </x:c>
      <x:c r="F25" s="17" t="str">
        <x:v>$[4].questions[3]</x:v>
      </x:c>
      <x:c r="G25" s="17" t="str">
        <x:v>Matthäus 3,16</x:v>
      </x:c>
      <x:c r="H25" s="17" t="str">
        <x:v>In welcher Gestalt sah Johannes den Geist Gottes herabfahren?</x:v>
      </x:c>
      <x:c r="I25" s="17" t="str">
        <x:v>Wie eine Taube</x:v>
      </x:c>
      <x:c r="J25" s="17" t="str">
        <x:v>KONFLIKT</x:v>
      </x:c>
      <x:c r="K25" s="17" t="str">
        <x:v>N-0559</x:v>
      </x:c>
      <x:c r="L25" s="17" t="str">
        <x:v>Matthäus 3,16</x:v>
      </x:c>
      <x:c r="M25" s="17" t="str">
        <x:v>Wie sah Jesus den Geist Gottes herabfahren?</x:v>
      </x:c>
      <x:c r="N25" s="17" t="str">
        <x:v>Gleich als eine Taube.</x:v>
      </x:c>
      <x:c r="O25" s="17" t="str">
        <x:v>Taufe Jesu</x:v>
      </x:c>
      <x:c r="P25" s="17" t="str">
        <x:v>Matthäus 3,13–17</x:v>
      </x:c>
      <x:c r="Q25" s="17" t="str">
        <x:v>RECONSTRUCTED_FROM_FINAL_SOURCES</x:v>
      </x:c>
      <x:c r="R25" s="17" t="str">
        <x:v>HIGH</x:v>
      </x:c>
      <x:c r="S25" s="17" t="str">
        <x:v>FaithPath final QA PDF + Nachlese final QA + current develop/v4 data</x:v>
      </x:c>
      <x:c r="T25" s="17" t="str">
        <x:v>Block-1 aggregate reproduced exactly: 92 EXAKT / 5 SINNGLEICH / 3 KONFLIKT.</x:v>
      </x:c>
    </x:row>
    <x:row r="26" ht="26.399999618530273" hidden="0" customHeight="1">
      <x:c r="A26" s="17" t="str">
        <x:v>FP-0025</x:v>
      </x:c>
      <x:c r="B26" s="17" t="str">
        <x:v>FP-0001–0100</x:v>
      </x:c>
      <x:c r="C26" s="17" t="n">
        <x:v>5</x:v>
      </x:c>
      <x:c r="D26" s="17" t="n">
        <x:v>5</x:v>
      </x:c>
      <x:c r="E26" s="17" t="n">
        <x:v>5</x:v>
      </x:c>
      <x:c r="F26" s="17" t="str">
        <x:v>$[4].questions[4]</x:v>
      </x:c>
      <x:c r="G26" s="17" t="str">
        <x:v>Matthäus 3,17</x:v>
      </x:c>
      <x:c r="H26" s="17" t="str">
        <x:v>Was sagte die Stimme aus dem Himmel über Jesus?</x:v>
      </x:c>
      <x:c r="I26" s="17" t="str">
        <x:v>Dies ist mein lieber Sohn</x:v>
      </x:c>
      <x:c r="J26" s="17" t="str">
        <x:v>KONFLIKT</x:v>
      </x:c>
      <x:c r="K26" s="17" t="str">
        <x:v>N-0560</x:v>
      </x:c>
      <x:c r="L26" s="17" t="str">
        <x:v>Matthäus 3,17</x:v>
      </x:c>
      <x:c r="M26" s="17" t="str">
        <x:v>Was sagte die Stimme aus dem Himmel über Jesus?</x:v>
      </x:c>
      <x:c r="N26" s="17" t="str">
        <x:v>Dies ist mein lieber Sohn, an welchem ich Wohlgefallen habe.</x:v>
      </x:c>
      <x:c r="O26" s="17" t="str">
        <x:v>Taufe Jesu</x:v>
      </x:c>
      <x:c r="P26" s="17" t="str">
        <x:v>Matthäus 3,13–17</x:v>
      </x:c>
      <x:c r="Q26" s="17" t="str">
        <x:v>RECONSTRUCTED_FROM_FINAL_SOURCES</x:v>
      </x:c>
      <x:c r="R26" s="17" t="str">
        <x:v>HIGH</x:v>
      </x:c>
      <x:c r="S26" s="17" t="str">
        <x:v>FaithPath final QA PDF + Nachlese final QA + current develop/v4 data</x:v>
      </x:c>
      <x:c r="T26" s="17" t="str">
        <x:v>Block-1 aggregate reproduced exactly: 92 EXAKT / 5 SINNGLEICH / 3 KONFLIKT.</x:v>
      </x:c>
    </x:row>
    <x:row r="27" ht="26.399999618530273" hidden="0" customHeight="1">
      <x:c r="A27" s="17" t="str">
        <x:v>FP-0026</x:v>
      </x:c>
      <x:c r="B27" s="17" t="str">
        <x:v>FP-0001–0100</x:v>
      </x:c>
      <x:c r="C27" s="17" t="n">
        <x:v>6</x:v>
      </x:c>
      <x:c r="D27" s="17" t="n">
        <x:v>6</x:v>
      </x:c>
      <x:c r="E27" s="17" t="n">
        <x:v>1</x:v>
      </x:c>
      <x:c r="F27" s="17" t="str">
        <x:v>$[5].questions[0]</x:v>
      </x:c>
      <x:c r="G27" s="17" t="str">
        <x:v>Matthäus 4,1</x:v>
      </x:c>
      <x:c r="H27" s="17" t="str">
        <x:v>Wohin wurde Jesus geführt?</x:v>
      </x:c>
      <x:c r="I27" s="17" t="str">
        <x:v>In die Wüste</x:v>
      </x:c>
      <x:c r="J27" s="17" t="str">
        <x:v>EXAKT</x:v>
      </x:c>
      <x:c r="K27" s="17" t="str">
        <x:v>N-0561</x:v>
      </x:c>
      <x:c r="L27" s="17" t="str">
        <x:v>Matthäus 4,1</x:v>
      </x:c>
      <x:c r="M27" s="17" t="str">
        <x:v>Wohin wurde Jesus geführt?</x:v>
      </x:c>
      <x:c r="N27" s="17" t="str">
        <x:v>In die Wüste</x:v>
      </x:c>
      <x:c r="O27" s="17" t="str">
        <x:v>Versuchung Jesu</x:v>
      </x:c>
      <x:c r="P27" s="17" t="str">
        <x:v>Matthäus 4,1–11</x:v>
      </x:c>
      <x:c r="Q27" s="17" t="str">
        <x:v>RECONSTRUCTED_FROM_FINAL_SOURCES</x:v>
      </x:c>
      <x:c r="R27" s="17" t="str">
        <x:v>HIGH</x:v>
      </x:c>
      <x:c r="S27" s="17" t="str">
        <x:v>FaithPath final QA PDF + Nachlese final QA + current develop/v4 data</x:v>
      </x:c>
      <x:c r="T27" s="17" t="str">
        <x:v>Block-1 aggregate reproduced exactly: 92 EXAKT / 5 SINNGLEICH / 3 KONFLIKT.</x:v>
      </x:c>
    </x:row>
    <x:row r="28" ht="26.399999618530273" hidden="0" customHeight="1">
      <x:c r="A28" s="17" t="str">
        <x:v>FP-0027</x:v>
      </x:c>
      <x:c r="B28" s="17" t="str">
        <x:v>FP-0001–0100</x:v>
      </x:c>
      <x:c r="C28" s="17" t="n">
        <x:v>6</x:v>
      </x:c>
      <x:c r="D28" s="17" t="n">
        <x:v>6</x:v>
      </x:c>
      <x:c r="E28" s="17" t="n">
        <x:v>2</x:v>
      </x:c>
      <x:c r="F28" s="17" t="str">
        <x:v>$[5].questions[1]</x:v>
      </x:c>
      <x:c r="G28" s="17" t="str">
        <x:v>Matthäus 4,2</x:v>
      </x:c>
      <x:c r="H28" s="17" t="str">
        <x:v>Wie lange fastete Jesus?</x:v>
      </x:c>
      <x:c r="I28" s="17" t="str">
        <x:v>40 Tage und Nächte</x:v>
      </x:c>
      <x:c r="J28" s="17" t="str">
        <x:v>EXAKT</x:v>
      </x:c>
      <x:c r="K28" s="17" t="str">
        <x:v>N-0562</x:v>
      </x:c>
      <x:c r="L28" s="17" t="str">
        <x:v>Matthäus 4,2</x:v>
      </x:c>
      <x:c r="M28" s="17" t="str">
        <x:v>Wie lange fastete Jesus?</x:v>
      </x:c>
      <x:c r="N28" s="17" t="str">
        <x:v>40 Tage und Nächte</x:v>
      </x:c>
      <x:c r="O28" s="17" t="str">
        <x:v>Versuchung Jesu</x:v>
      </x:c>
      <x:c r="P28" s="17" t="str">
        <x:v>Matthäus 4,1–11</x:v>
      </x:c>
      <x:c r="Q28" s="17" t="str">
        <x:v>RECONSTRUCTED_FROM_FINAL_SOURCES</x:v>
      </x:c>
      <x:c r="R28" s="17" t="str">
        <x:v>HIGH</x:v>
      </x:c>
      <x:c r="S28" s="17" t="str">
        <x:v>FaithPath final QA PDF + Nachlese final QA + current develop/v4 data</x:v>
      </x:c>
      <x:c r="T28" s="17" t="str">
        <x:v>Block-1 aggregate reproduced exactly: 92 EXAKT / 5 SINNGLEICH / 3 KONFLIKT.</x:v>
      </x:c>
    </x:row>
    <x:row r="29" ht="26.399999618530273" hidden="0" customHeight="1">
      <x:c r="A29" s="17" t="str">
        <x:v>FP-0028</x:v>
      </x:c>
      <x:c r="B29" s="17" t="str">
        <x:v>FP-0001–0100</x:v>
      </x:c>
      <x:c r="C29" s="17" t="n">
        <x:v>6</x:v>
      </x:c>
      <x:c r="D29" s="17" t="n">
        <x:v>6</x:v>
      </x:c>
      <x:c r="E29" s="17" t="n">
        <x:v>3</x:v>
      </x:c>
      <x:c r="F29" s="17" t="str">
        <x:v>$[5].questions[2]</x:v>
      </x:c>
      <x:c r="G29" s="17" t="str">
        <x:v>Matthäus 4,3</x:v>
      </x:c>
      <x:c r="H29" s="17" t="str">
        <x:v>Was sollte Jesus nach der ersten Versuchung aus Steinen machen?</x:v>
      </x:c>
      <x:c r="I29" s="17" t="str">
        <x:v>Brot</x:v>
      </x:c>
      <x:c r="J29" s="17" t="str">
        <x:v>EXAKT</x:v>
      </x:c>
      <x:c r="K29" s="17" t="str">
        <x:v>N-0563</x:v>
      </x:c>
      <x:c r="L29" s="17" t="str">
        <x:v>Matthäus 4,3</x:v>
      </x:c>
      <x:c r="M29" s="17" t="str">
        <x:v>Was sollte Jesus nach der ersten Versuchung aus Steinen machen?</x:v>
      </x:c>
      <x:c r="N29" s="17" t="str">
        <x:v>Brot</x:v>
      </x:c>
      <x:c r="O29" s="17" t="str">
        <x:v>Versuchung Jesu</x:v>
      </x:c>
      <x:c r="P29" s="17" t="str">
        <x:v>Matthäus 4,1–11</x:v>
      </x:c>
      <x:c r="Q29" s="17" t="str">
        <x:v>RECONSTRUCTED_FROM_FINAL_SOURCES</x:v>
      </x:c>
      <x:c r="R29" s="17" t="str">
        <x:v>HIGH</x:v>
      </x:c>
      <x:c r="S29" s="17" t="str">
        <x:v>FaithPath final QA PDF + Nachlese final QA + current develop/v4 data</x:v>
      </x:c>
      <x:c r="T29" s="17" t="str">
        <x:v>Block-1 aggregate reproduced exactly: 92 EXAKT / 5 SINNGLEICH / 3 KONFLIKT.</x:v>
      </x:c>
    </x:row>
    <x:row r="30" ht="26.399999618530273" hidden="0" customHeight="1">
      <x:c r="A30" s="17" t="str">
        <x:v>FP-0029</x:v>
      </x:c>
      <x:c r="B30" s="17" t="str">
        <x:v>FP-0001–0100</x:v>
      </x:c>
      <x:c r="C30" s="17" t="n">
        <x:v>6</x:v>
      </x:c>
      <x:c r="D30" s="17" t="n">
        <x:v>6</x:v>
      </x:c>
      <x:c r="E30" s="17" t="n">
        <x:v>4</x:v>
      </x:c>
      <x:c r="F30" s="17" t="str">
        <x:v>$[5].questions[3]</x:v>
      </x:c>
      <x:c r="G30" s="17" t="str">
        <x:v>Matthäus 4,8</x:v>
      </x:c>
      <x:c r="H30" s="17" t="str">
        <x:v>Was zeigte der Teufel Jesus bei einer Versuchung?</x:v>
      </x:c>
      <x:c r="I30" s="17" t="str">
        <x:v>Alle Reiche der Welt</x:v>
      </x:c>
      <x:c r="J30" s="17" t="str">
        <x:v>SINNGLEICH</x:v>
      </x:c>
      <x:c r="K30" s="17" t="str">
        <x:v>N-0564</x:v>
      </x:c>
      <x:c r="L30" s="17" t="str">
        <x:v>Matthäus 4,8</x:v>
      </x:c>
      <x:c r="M30" s="17" t="str">
        <x:v>Was zeigte der Teufel Jesus bei einer Versuchung?</x:v>
      </x:c>
      <x:c r="N30" s="17" t="str">
        <x:v>Alle Reiche der Welt und ihre Herrlichkeit.</x:v>
      </x:c>
      <x:c r="O30" s="17" t="str">
        <x:v>Versuchung Jesu</x:v>
      </x:c>
      <x:c r="P30" s="17" t="str">
        <x:v>Matthäus 4,1–11</x:v>
      </x:c>
      <x:c r="Q30" s="17" t="str">
        <x:v>RECONSTRUCTED_FROM_FINAL_SOURCES</x:v>
      </x:c>
      <x:c r="R30" s="17" t="str">
        <x:v>MEDIUM</x:v>
      </x:c>
      <x:c r="S30" s="17" t="str">
        <x:v>FaithPath final QA PDF + Nachlese final QA + current develop/v4 data</x:v>
      </x:c>
      <x:c r="T30" s="17" t="str">
        <x:v>Block-1 aggregate reproduced exactly: 92 EXAKT / 5 SINNGLEICH / 3 KONFLIKT.</x:v>
      </x:c>
    </x:row>
    <x:row r="31" ht="26.399999618530273" hidden="0" customHeight="1">
      <x:c r="A31" s="17" t="str">
        <x:v>FP-0030</x:v>
      </x:c>
      <x:c r="B31" s="17" t="str">
        <x:v>FP-0001–0100</x:v>
      </x:c>
      <x:c r="C31" s="17" t="n">
        <x:v>6</x:v>
      </x:c>
      <x:c r="D31" s="17" t="n">
        <x:v>6</x:v>
      </x:c>
      <x:c r="E31" s="17" t="n">
        <x:v>5</x:v>
      </x:c>
      <x:c r="F31" s="17" t="str">
        <x:v>$[5].questions[4]</x:v>
      </x:c>
      <x:c r="G31" s="17" t="str">
        <x:v>Matthäus 4,11</x:v>
      </x:c>
      <x:c r="H31" s="17" t="str">
        <x:v>Wer diente Jesus, nachdem der Teufel ihn verlassen hatte?</x:v>
      </x:c>
      <x:c r="I31" s="17" t="str">
        <x:v>Engel</x:v>
      </x:c>
      <x:c r="J31" s="17" t="str">
        <x:v>EXAKT</x:v>
      </x:c>
      <x:c r="K31" s="17" t="str">
        <x:v>N-0565</x:v>
      </x:c>
      <x:c r="L31" s="17" t="str">
        <x:v>Matthäus 4,11</x:v>
      </x:c>
      <x:c r="M31" s="17" t="str">
        <x:v>Wer diente Jesus, nachdem der Teufel ihn verlassen hatte?</x:v>
      </x:c>
      <x:c r="N31" s="17" t="str">
        <x:v>Engel</x:v>
      </x:c>
      <x:c r="O31" s="17" t="str">
        <x:v>Versuchung Jesu</x:v>
      </x:c>
      <x:c r="P31" s="17" t="str">
        <x:v>Matthäus 4,1–11</x:v>
      </x:c>
      <x:c r="Q31" s="17" t="str">
        <x:v>RECONSTRUCTED_FROM_FINAL_SOURCES</x:v>
      </x:c>
      <x:c r="R31" s="17" t="str">
        <x:v>HIGH</x:v>
      </x:c>
      <x:c r="S31" s="17" t="str">
        <x:v>FaithPath final QA PDF + Nachlese final QA + current develop/v4 data</x:v>
      </x:c>
      <x:c r="T31" s="17" t="str">
        <x:v>Block-1 aggregate reproduced exactly: 92 EXAKT / 5 SINNGLEICH / 3 KONFLIKT.</x:v>
      </x:c>
    </x:row>
    <x:row r="32" ht="26.399999618530273" hidden="0" customHeight="1">
      <x:c r="A32" s="17" t="str">
        <x:v>FP-0031</x:v>
      </x:c>
      <x:c r="B32" s="17" t="str">
        <x:v>FP-0001–0100</x:v>
      </x:c>
      <x:c r="C32" s="17" t="n">
        <x:v>7</x:v>
      </x:c>
      <x:c r="D32" s="17" t="n">
        <x:v>7</x:v>
      </x:c>
      <x:c r="E32" s="17" t="n">
        <x:v>1</x:v>
      </x:c>
      <x:c r="F32" s="17" t="str">
        <x:v>$[6].questions[0]</x:v>
      </x:c>
      <x:c r="G32" s="17" t="str">
        <x:v>Matthäus 4,18</x:v>
      </x:c>
      <x:c r="H32" s="17" t="str">
        <x:v>An welchem See ging Jesus entlang?</x:v>
      </x:c>
      <x:c r="I32" s="17" t="str">
        <x:v>See Genezareth</x:v>
      </x:c>
      <x:c r="J32" s="17" t="str">
        <x:v>EXAKT</x:v>
      </x:c>
      <x:c r="K32" s="17" t="str">
        <x:v>N-0566</x:v>
      </x:c>
      <x:c r="L32" s="17" t="str">
        <x:v>Matthäus 4,18</x:v>
      </x:c>
      <x:c r="M32" s="17" t="str">
        <x:v>An welchem See ging Jesus entlang?</x:v>
      </x:c>
      <x:c r="N32" s="17" t="str">
        <x:v>See Genezareth</x:v>
      </x:c>
      <x:c r="O32" s="17" t="str">
        <x:v>Berufung der ersten Jünger</x:v>
      </x:c>
      <x:c r="P32" s="17" t="str">
        <x:v>Matthäus 4,18–22</x:v>
      </x:c>
      <x:c r="Q32" s="17" t="str">
        <x:v>RECONSTRUCTED_FROM_FINAL_SOURCES</x:v>
      </x:c>
      <x:c r="R32" s="17" t="str">
        <x:v>HIGH</x:v>
      </x:c>
      <x:c r="S32" s="17" t="str">
        <x:v>FaithPath final QA PDF + Nachlese final QA + current develop/v4 data</x:v>
      </x:c>
      <x:c r="T32" s="17" t="str">
        <x:v>Block-1 aggregate reproduced exactly: 92 EXAKT / 5 SINNGLEICH / 3 KONFLIKT.</x:v>
      </x:c>
    </x:row>
    <x:row r="33" ht="26.399999618530273" hidden="0" customHeight="1">
      <x:c r="A33" s="17" t="str">
        <x:v>FP-0032</x:v>
      </x:c>
      <x:c r="B33" s="17" t="str">
        <x:v>FP-0001–0100</x:v>
      </x:c>
      <x:c r="C33" s="17" t="n">
        <x:v>7</x:v>
      </x:c>
      <x:c r="D33" s="17" t="n">
        <x:v>7</x:v>
      </x:c>
      <x:c r="E33" s="17" t="n">
        <x:v>2</x:v>
      </x:c>
      <x:c r="F33" s="17" t="str">
        <x:v>$[6].questions[1]</x:v>
      </x:c>
      <x:c r="G33" s="17" t="str">
        <x:v>Matthäus 4,18</x:v>
      </x:c>
      <x:c r="H33" s="17" t="str">
        <x:v>Welche Brüder sah Jesus zuerst?</x:v>
      </x:c>
      <x:c r="I33" s="17" t="str">
        <x:v>Petrus und Andreas</x:v>
      </x:c>
      <x:c r="J33" s="17" t="str">
        <x:v>EXAKT</x:v>
      </x:c>
      <x:c r="K33" s="17" t="str">
        <x:v>N-0567</x:v>
      </x:c>
      <x:c r="L33" s="17" t="str">
        <x:v>Matthäus 4,18</x:v>
      </x:c>
      <x:c r="M33" s="17" t="str">
        <x:v>Welche Brüder sah Jesus zuerst?</x:v>
      </x:c>
      <x:c r="N33" s="17" t="str">
        <x:v>Petrus und Andreas</x:v>
      </x:c>
      <x:c r="O33" s="17" t="str">
        <x:v>Berufung der ersten Jünger</x:v>
      </x:c>
      <x:c r="P33" s="17" t="str">
        <x:v>Matthäus 4,18–22</x:v>
      </x:c>
      <x:c r="Q33" s="17" t="str">
        <x:v>RECONSTRUCTED_FROM_FINAL_SOURCES</x:v>
      </x:c>
      <x:c r="R33" s="17" t="str">
        <x:v>HIGH</x:v>
      </x:c>
      <x:c r="S33" s="17" t="str">
        <x:v>FaithPath final QA PDF + Nachlese final QA + current develop/v4 data</x:v>
      </x:c>
      <x:c r="T33" s="17" t="str">
        <x:v>Block-1 aggregate reproduced exactly: 92 EXAKT / 5 SINNGLEICH / 3 KONFLIKT.</x:v>
      </x:c>
    </x:row>
    <x:row r="34" ht="26.399999618530273" hidden="0" customHeight="1">
      <x:c r="A34" s="17" t="str">
        <x:v>FP-0033</x:v>
      </x:c>
      <x:c r="B34" s="17" t="str">
        <x:v>FP-0001–0100</x:v>
      </x:c>
      <x:c r="C34" s="17" t="n">
        <x:v>7</x:v>
      </x:c>
      <x:c r="D34" s="17" t="n">
        <x:v>7</x:v>
      </x:c>
      <x:c r="E34" s="17" t="n">
        <x:v>3</x:v>
      </x:c>
      <x:c r="F34" s="17" t="str">
        <x:v>$[6].questions[2]</x:v>
      </x:c>
      <x:c r="G34" s="17" t="str">
        <x:v>Matthäus 4,18</x:v>
      </x:c>
      <x:c r="H34" s="17" t="str">
        <x:v>Welchen Beruf hatten Petrus und Andreas?</x:v>
      </x:c>
      <x:c r="I34" s="17" t="str">
        <x:v>Fischer</x:v>
      </x:c>
      <x:c r="J34" s="17" t="str">
        <x:v>EXAKT</x:v>
      </x:c>
      <x:c r="K34" s="17" t="str">
        <x:v>N-0568</x:v>
      </x:c>
      <x:c r="L34" s="17" t="str">
        <x:v>Matthäus 4,18</x:v>
      </x:c>
      <x:c r="M34" s="17" t="str">
        <x:v>Welchen Beruf hatten Petrus und Andreas?</x:v>
      </x:c>
      <x:c r="N34" s="17" t="str">
        <x:v>Fischer</x:v>
      </x:c>
      <x:c r="O34" s="17" t="str">
        <x:v>Berufung der ersten Jünger</x:v>
      </x:c>
      <x:c r="P34" s="17" t="str">
        <x:v>Matthäus 4,18–22</x:v>
      </x:c>
      <x:c r="Q34" s="17" t="str">
        <x:v>RECONSTRUCTED_FROM_FINAL_SOURCES</x:v>
      </x:c>
      <x:c r="R34" s="17" t="str">
        <x:v>HIGH</x:v>
      </x:c>
      <x:c r="S34" s="17" t="str">
        <x:v>FaithPath final QA PDF + Nachlese final QA + current develop/v4 data</x:v>
      </x:c>
      <x:c r="T34" s="17" t="str">
        <x:v>Block-1 aggregate reproduced exactly: 92 EXAKT / 5 SINNGLEICH / 3 KONFLIKT.</x:v>
      </x:c>
    </x:row>
    <x:row r="35" ht="26.399999618530273" hidden="0" customHeight="1">
      <x:c r="A35" s="17" t="str">
        <x:v>FP-0034</x:v>
      </x:c>
      <x:c r="B35" s="17" t="str">
        <x:v>FP-0001–0100</x:v>
      </x:c>
      <x:c r="C35" s="17" t="n">
        <x:v>7</x:v>
      </x:c>
      <x:c r="D35" s="17" t="n">
        <x:v>7</x:v>
      </x:c>
      <x:c r="E35" s="17" t="n">
        <x:v>4</x:v>
      </x:c>
      <x:c r="F35" s="17" t="str">
        <x:v>$[6].questions[3]</x:v>
      </x:c>
      <x:c r="G35" s="17" t="str">
        <x:v>Matthäus 4,19</x:v>
      </x:c>
      <x:c r="H35" s="17" t="str">
        <x:v>Wozu wollte Jesus sie machen?</x:v>
      </x:c>
      <x:c r="I35" s="17" t="str">
        <x:v>Zu Menschenfischern</x:v>
      </x:c>
      <x:c r="J35" s="17" t="str">
        <x:v>EXAKT</x:v>
      </x:c>
      <x:c r="K35" s="17" t="str">
        <x:v>N-0569</x:v>
      </x:c>
      <x:c r="L35" s="17" t="str">
        <x:v>Matthäus 4,19</x:v>
      </x:c>
      <x:c r="M35" s="17" t="str">
        <x:v>Wozu wollte Jesus sie machen?</x:v>
      </x:c>
      <x:c r="N35" s="17" t="str">
        <x:v>Zu Menschenfischern</x:v>
      </x:c>
      <x:c r="O35" s="17" t="str">
        <x:v>Berufung der ersten Jünger</x:v>
      </x:c>
      <x:c r="P35" s="17" t="str">
        <x:v>Matthäus 4,18–22</x:v>
      </x:c>
      <x:c r="Q35" s="17" t="str">
        <x:v>RECONSTRUCTED_FROM_FINAL_SOURCES</x:v>
      </x:c>
      <x:c r="R35" s="17" t="str">
        <x:v>HIGH</x:v>
      </x:c>
      <x:c r="S35" s="17" t="str">
        <x:v>FaithPath final QA PDF + Nachlese final QA + current develop/v4 data</x:v>
      </x:c>
      <x:c r="T35" s="17" t="str">
        <x:v>Block-1 aggregate reproduced exactly: 92 EXAKT / 5 SINNGLEICH / 3 KONFLIKT.</x:v>
      </x:c>
    </x:row>
    <x:row r="36" ht="26.399999618530273" hidden="0" customHeight="1">
      <x:c r="A36" s="17" t="str">
        <x:v>FP-0035</x:v>
      </x:c>
      <x:c r="B36" s="17" t="str">
        <x:v>FP-0001–0100</x:v>
      </x:c>
      <x:c r="C36" s="17" t="n">
        <x:v>7</x:v>
      </x:c>
      <x:c r="D36" s="17" t="n">
        <x:v>7</x:v>
      </x:c>
      <x:c r="E36" s="17" t="n">
        <x:v>5</x:v>
      </x:c>
      <x:c r="F36" s="17" t="str">
        <x:v>$[6].questions[4]</x:v>
      </x:c>
      <x:c r="G36" s="17" t="str">
        <x:v>Matthäus 4,22</x:v>
      </x:c>
      <x:c r="H36" s="17" t="str">
        <x:v>Was taten Jakobus und Johannes auf Jesu Ruf?</x:v>
      </x:c>
      <x:c r="I36" s="17" t="str">
        <x:v>Sie folgten ihm sofort</x:v>
      </x:c>
      <x:c r="J36" s="17" t="str">
        <x:v>EXAKT</x:v>
      </x:c>
      <x:c r="K36" s="17" t="str">
        <x:v>N-0570</x:v>
      </x:c>
      <x:c r="L36" s="17" t="str">
        <x:v>Matthäus 4,22</x:v>
      </x:c>
      <x:c r="M36" s="17" t="str">
        <x:v>Was taten Jakobus und Johannes auf Jesu Ruf?</x:v>
      </x:c>
      <x:c r="N36" s="17" t="str">
        <x:v>Sie folgten ihm sofort</x:v>
      </x:c>
      <x:c r="O36" s="17" t="str">
        <x:v>Berufung der ersten Jünger</x:v>
      </x:c>
      <x:c r="P36" s="17" t="str">
        <x:v>Matthäus 4,18–22</x:v>
      </x:c>
      <x:c r="Q36" s="17" t="str">
        <x:v>RECONSTRUCTED_FROM_FINAL_SOURCES</x:v>
      </x:c>
      <x:c r="R36" s="17" t="str">
        <x:v>HIGH</x:v>
      </x:c>
      <x:c r="S36" s="17" t="str">
        <x:v>FaithPath final QA PDF + Nachlese final QA + current develop/v4 data</x:v>
      </x:c>
      <x:c r="T36" s="17" t="str">
        <x:v>Block-1 aggregate reproduced exactly: 92 EXAKT / 5 SINNGLEICH / 3 KONFLIKT.</x:v>
      </x:c>
    </x:row>
    <x:row r="37" ht="26.399999618530273" hidden="0" customHeight="1">
      <x:c r="A37" s="17" t="str">
        <x:v>FP-0036</x:v>
      </x:c>
      <x:c r="B37" s="17" t="str">
        <x:v>FP-0001–0100</x:v>
      </x:c>
      <x:c r="C37" s="17" t="n">
        <x:v>8</x:v>
      </x:c>
      <x:c r="D37" s="17" t="n">
        <x:v>8</x:v>
      </x:c>
      <x:c r="E37" s="17" t="n">
        <x:v>1</x:v>
      </x:c>
      <x:c r="F37" s="17" t="str">
        <x:v>$[7].questions[0]</x:v>
      </x:c>
      <x:c r="G37" s="17" t="str">
        <x:v>Matthäus 5,1</x:v>
      </x:c>
      <x:c r="H37" s="17" t="str">
        <x:v>Wohin ging Jesus, als er die Volksmenge sah?</x:v>
      </x:c>
      <x:c r="I37" s="17" t="str">
        <x:v>Auf einen Berg</x:v>
      </x:c>
      <x:c r="J37" s="17" t="str">
        <x:v>EXAKT</x:v>
      </x:c>
      <x:c r="K37" s="17" t="str">
        <x:v>N-0571</x:v>
      </x:c>
      <x:c r="L37" s="17" t="str">
        <x:v>Matthäus 5,1</x:v>
      </x:c>
      <x:c r="M37" s="17" t="str">
        <x:v>Wohin ging Jesus, als er die Volksmenge sah?</x:v>
      </x:c>
      <x:c r="N37" s="17" t="str">
        <x:v>Auf einen Berg</x:v>
      </x:c>
      <x:c r="O37" s="17" t="str">
        <x:v>Die Seligpreisungen</x:v>
      </x:c>
      <x:c r="P37" s="17" t="str">
        <x:v>Matthäus 5,1–12</x:v>
      </x:c>
      <x:c r="Q37" s="17" t="str">
        <x:v>RECONSTRUCTED_FROM_FINAL_SOURCES</x:v>
      </x:c>
      <x:c r="R37" s="17" t="str">
        <x:v>HIGH</x:v>
      </x:c>
      <x:c r="S37" s="17" t="str">
        <x:v>FaithPath final QA PDF + Nachlese final QA + current develop/v4 data</x:v>
      </x:c>
      <x:c r="T37" s="17" t="str">
        <x:v>Block-1 aggregate reproduced exactly: 92 EXAKT / 5 SINNGLEICH / 3 KONFLIKT.</x:v>
      </x:c>
    </x:row>
    <x:row r="38" ht="26.399999618530273" hidden="0" customHeight="1">
      <x:c r="A38" s="17" t="str">
        <x:v>FP-0037</x:v>
      </x:c>
      <x:c r="B38" s="17" t="str">
        <x:v>FP-0001–0100</x:v>
      </x:c>
      <x:c r="C38" s="17" t="n">
        <x:v>8</x:v>
      </x:c>
      <x:c r="D38" s="17" t="n">
        <x:v>8</x:v>
      </x:c>
      <x:c r="E38" s="17" t="n">
        <x:v>2</x:v>
      </x:c>
      <x:c r="F38" s="17" t="str">
        <x:v>$[7].questions[1]</x:v>
      </x:c>
      <x:c r="G38" s="17" t="str">
        <x:v>Matthäus 5,3</x:v>
      </x:c>
      <x:c r="H38" s="17" t="str">
        <x:v>Wem gehört nach Jesus das Himmelreich?</x:v>
      </x:c>
      <x:c r="I38" s="17" t="str">
        <x:v>Den geistlich Armen</x:v>
      </x:c>
      <x:c r="J38" s="17" t="str">
        <x:v>EXAKT</x:v>
      </x:c>
      <x:c r="K38" s="17" t="str">
        <x:v>N-0572</x:v>
      </x:c>
      <x:c r="L38" s="17" t="str">
        <x:v>Matthäus 5,3</x:v>
      </x:c>
      <x:c r="M38" s="17" t="str">
        <x:v>Wem gehört nach Jesus das Himmelreich?</x:v>
      </x:c>
      <x:c r="N38" s="17" t="str">
        <x:v>Den geistlich Armen</x:v>
      </x:c>
      <x:c r="O38" s="17" t="str">
        <x:v>Die Seligpreisungen</x:v>
      </x:c>
      <x:c r="P38" s="17" t="str">
        <x:v>Matthäus 5,1–12</x:v>
      </x:c>
      <x:c r="Q38" s="17" t="str">
        <x:v>RECONSTRUCTED_FROM_FINAL_SOURCES</x:v>
      </x:c>
      <x:c r="R38" s="17" t="str">
        <x:v>HIGH</x:v>
      </x:c>
      <x:c r="S38" s="17" t="str">
        <x:v>FaithPath final QA PDF + Nachlese final QA + current develop/v4 data</x:v>
      </x:c>
      <x:c r="T38" s="17" t="str">
        <x:v>Block-1 aggregate reproduced exactly: 92 EXAKT / 5 SINNGLEICH / 3 KONFLIKT.</x:v>
      </x:c>
    </x:row>
    <x:row r="39" ht="26.399999618530273" hidden="0" customHeight="1">
      <x:c r="A39" s="17" t="str">
        <x:v>FP-0038</x:v>
      </x:c>
      <x:c r="B39" s="17" t="str">
        <x:v>FP-0001–0100</x:v>
      </x:c>
      <x:c r="C39" s="17" t="n">
        <x:v>8</x:v>
      </x:c>
      <x:c r="D39" s="17" t="n">
        <x:v>8</x:v>
      </x:c>
      <x:c r="E39" s="17" t="n">
        <x:v>3</x:v>
      </x:c>
      <x:c r="F39" s="17" t="str">
        <x:v>$[7].questions[2]</x:v>
      </x:c>
      <x:c r="G39" s="17" t="str">
        <x:v>Matthäus 5,4</x:v>
      </x:c>
      <x:c r="H39" s="17" t="str">
        <x:v>Was wird den Trauernden zugesagt?</x:v>
      </x:c>
      <x:c r="I39" s="17" t="str">
        <x:v>Sie werden getröstet werden</x:v>
      </x:c>
      <x:c r="J39" s="17" t="str">
        <x:v>EXAKT</x:v>
      </x:c>
      <x:c r="K39" s="17" t="str">
        <x:v>N-0573</x:v>
      </x:c>
      <x:c r="L39" s="17" t="str">
        <x:v>Matthäus 5,4</x:v>
      </x:c>
      <x:c r="M39" s="17" t="str">
        <x:v>Was wird den Trauernden zugesagt?</x:v>
      </x:c>
      <x:c r="N39" s="17" t="str">
        <x:v>Sie werden getröstet werden</x:v>
      </x:c>
      <x:c r="O39" s="17" t="str">
        <x:v>Die Seligpreisungen</x:v>
      </x:c>
      <x:c r="P39" s="17" t="str">
        <x:v>Matthäus 5,1–12</x:v>
      </x:c>
      <x:c r="Q39" s="17" t="str">
        <x:v>RECONSTRUCTED_FROM_FINAL_SOURCES</x:v>
      </x:c>
      <x:c r="R39" s="17" t="str">
        <x:v>HIGH</x:v>
      </x:c>
      <x:c r="S39" s="17" t="str">
        <x:v>FaithPath final QA PDF + Nachlese final QA + current develop/v4 data</x:v>
      </x:c>
      <x:c r="T39" s="17" t="str">
        <x:v>Block-1 aggregate reproduced exactly: 92 EXAKT / 5 SINNGLEICH / 3 KONFLIKT.</x:v>
      </x:c>
    </x:row>
    <x:row r="40" ht="26.399999618530273" hidden="0" customHeight="1">
      <x:c r="A40" s="17" t="str">
        <x:v>FP-0039</x:v>
      </x:c>
      <x:c r="B40" s="17" t="str">
        <x:v>FP-0001–0100</x:v>
      </x:c>
      <x:c r="C40" s="17" t="n">
        <x:v>8</x:v>
      </x:c>
      <x:c r="D40" s="17" t="n">
        <x:v>8</x:v>
      </x:c>
      <x:c r="E40" s="17" t="n">
        <x:v>4</x:v>
      </x:c>
      <x:c r="F40" s="17" t="str">
        <x:v>$[7].questions[3]</x:v>
      </x:c>
      <x:c r="G40" s="17" t="str">
        <x:v>Matthäus 5,8</x:v>
      </x:c>
      <x:c r="H40" s="17" t="str">
        <x:v>Wer wird Gott schauen?</x:v>
      </x:c>
      <x:c r="I40" s="17" t="str">
        <x:v>Die reinen Herzens sind</x:v>
      </x:c>
      <x:c r="J40" s="17" t="str">
        <x:v>EXAKT</x:v>
      </x:c>
      <x:c r="K40" s="17" t="str">
        <x:v>N-0574</x:v>
      </x:c>
      <x:c r="L40" s="17" t="str">
        <x:v>Matthäus 5,8</x:v>
      </x:c>
      <x:c r="M40" s="17" t="str">
        <x:v>Wer wird Gott schauen?</x:v>
      </x:c>
      <x:c r="N40" s="17" t="str">
        <x:v>Die reinen Herzens sind</x:v>
      </x:c>
      <x:c r="O40" s="17" t="str">
        <x:v>Die Seligpreisungen</x:v>
      </x:c>
      <x:c r="P40" s="17" t="str">
        <x:v>Matthäus 5,1–12</x:v>
      </x:c>
      <x:c r="Q40" s="17" t="str">
        <x:v>RECONSTRUCTED_FROM_FINAL_SOURCES</x:v>
      </x:c>
      <x:c r="R40" s="17" t="str">
        <x:v>HIGH</x:v>
      </x:c>
      <x:c r="S40" s="17" t="str">
        <x:v>FaithPath final QA PDF + Nachlese final QA + current develop/v4 data</x:v>
      </x:c>
      <x:c r="T40" s="17" t="str">
        <x:v>Block-1 aggregate reproduced exactly: 92 EXAKT / 5 SINNGLEICH / 3 KONFLIKT.</x:v>
      </x:c>
    </x:row>
    <x:row r="41" ht="26.399999618530273" hidden="0" customHeight="1">
      <x:c r="A41" s="17" t="str">
        <x:v>FP-0040</x:v>
      </x:c>
      <x:c r="B41" s="17" t="str">
        <x:v>FP-0001–0100</x:v>
      </x:c>
      <x:c r="C41" s="17" t="n">
        <x:v>8</x:v>
      </x:c>
      <x:c r="D41" s="17" t="n">
        <x:v>8</x:v>
      </x:c>
      <x:c r="E41" s="17" t="n">
        <x:v>5</x:v>
      </x:c>
      <x:c r="F41" s="17" t="str">
        <x:v>$[7].questions[4]</x:v>
      </x:c>
      <x:c r="G41" s="17" t="str">
        <x:v>Matthäus 5,12</x:v>
      </x:c>
      <x:c r="H41" s="17" t="str">
        <x:v>Wie sollen sich Verfolgte laut Jesus freuen?</x:v>
      </x:c>
      <x:c r="I41" s="17" t="str">
        <x:v>Freuen und fröhlich sein</x:v>
      </x:c>
      <x:c r="J41" s="17" t="str">
        <x:v>SINNGLEICH</x:v>
      </x:c>
      <x:c r="K41" s="17" t="str">
        <x:v>N-0575</x:v>
      </x:c>
      <x:c r="L41" s="17" t="str">
        <x:v>Matthäus 5,12</x:v>
      </x:c>
      <x:c r="M41" s="17" t="str">
        <x:v>Wie sollen sich Verfolgte laut Jesus freuen?</x:v>
      </x:c>
      <x:c r="N41" s="17" t="str">
        <x:v>Seid fröhlich und getrost.</x:v>
      </x:c>
      <x:c r="O41" s="17" t="str">
        <x:v>Die Seligpreisungen</x:v>
      </x:c>
      <x:c r="P41" s="17" t="str">
        <x:v>Matthäus 5,1–12</x:v>
      </x:c>
      <x:c r="Q41" s="17" t="str">
        <x:v>RECONSTRUCTED_FROM_FINAL_SOURCES</x:v>
      </x:c>
      <x:c r="R41" s="17" t="str">
        <x:v>MEDIUM</x:v>
      </x:c>
      <x:c r="S41" s="17" t="str">
        <x:v>FaithPath final QA PDF + Nachlese final QA + current develop/v4 data</x:v>
      </x:c>
      <x:c r="T41" s="17" t="str">
        <x:v>Block-1 aggregate reproduced exactly: 92 EXAKT / 5 SINNGLEICH / 3 KONFLIKT.</x:v>
      </x:c>
    </x:row>
    <x:row r="42" ht="26.399999618530273" hidden="0" customHeight="1">
      <x:c r="A42" s="17" t="str">
        <x:v>FP-0041</x:v>
      </x:c>
      <x:c r="B42" s="17" t="str">
        <x:v>FP-0001–0100</x:v>
      </x:c>
      <x:c r="C42" s="17" t="n">
        <x:v>9</x:v>
      </x:c>
      <x:c r="D42" s="17" t="n">
        <x:v>9</x:v>
      </x:c>
      <x:c r="E42" s="17" t="n">
        <x:v>1</x:v>
      </x:c>
      <x:c r="F42" s="17" t="str">
        <x:v>$[8].questions[0]</x:v>
      </x:c>
      <x:c r="G42" s="17" t="str">
        <x:v>Matthäus 5,13</x:v>
      </x:c>
      <x:c r="H42" s="17" t="str">
        <x:v>Was nennt Jesus seine Zuhörer zuerst?</x:v>
      </x:c>
      <x:c r="I42" s="17" t="str">
        <x:v>Salz der Erde</x:v>
      </x:c>
      <x:c r="J42" s="17" t="str">
        <x:v>EXAKT</x:v>
      </x:c>
      <x:c r="K42" s="17" t="str">
        <x:v>N-0576</x:v>
      </x:c>
      <x:c r="L42" s="17" t="str">
        <x:v>Matthäus 5,13</x:v>
      </x:c>
      <x:c r="M42" s="17" t="str">
        <x:v>Was nennt Jesus seine Zuhörer zuerst?</x:v>
      </x:c>
      <x:c r="N42" s="17" t="str">
        <x:v>Salz der Erde</x:v>
      </x:c>
      <x:c r="O42" s="17" t="str">
        <x:v>Salz und Licht</x:v>
      </x:c>
      <x:c r="P42" s="17" t="str">
        <x:v>Matthäus 5,13–16</x:v>
      </x:c>
      <x:c r="Q42" s="17" t="str">
        <x:v>RECONSTRUCTED_FROM_FINAL_SOURCES</x:v>
      </x:c>
      <x:c r="R42" s="17" t="str">
        <x:v>HIGH</x:v>
      </x:c>
      <x:c r="S42" s="17" t="str">
        <x:v>FaithPath final QA PDF + Nachlese final QA + current develop/v4 data</x:v>
      </x:c>
      <x:c r="T42" s="17" t="str">
        <x:v>Block-1 aggregate reproduced exactly: 92 EXAKT / 5 SINNGLEICH / 3 KONFLIKT.</x:v>
      </x:c>
    </x:row>
    <x:row r="43" ht="26.399999618530273" hidden="0" customHeight="1">
      <x:c r="A43" s="17" t="str">
        <x:v>FP-0042</x:v>
      </x:c>
      <x:c r="B43" s="17" t="str">
        <x:v>FP-0001–0100</x:v>
      </x:c>
      <x:c r="C43" s="17" t="n">
        <x:v>9</x:v>
      </x:c>
      <x:c r="D43" s="17" t="n">
        <x:v>9</x:v>
      </x:c>
      <x:c r="E43" s="17" t="n">
        <x:v>2</x:v>
      </x:c>
      <x:c r="F43" s="17" t="str">
        <x:v>$[8].questions[1]</x:v>
      </x:c>
      <x:c r="G43" s="17" t="str">
        <x:v>Matthäus 5,13</x:v>
      </x:c>
      <x:c r="H43" s="17" t="str">
        <x:v>Was geschieht mit Salz, wenn es kraftlos wird?</x:v>
      </x:c>
      <x:c r="I43" s="17" t="str">
        <x:v>Es ist zu nichts mehr nütze</x:v>
      </x:c>
      <x:c r="J43" s="17" t="str">
        <x:v>EXAKT</x:v>
      </x:c>
      <x:c r="K43" s="17" t="str">
        <x:v>N-0577</x:v>
      </x:c>
      <x:c r="L43" s="17" t="str">
        <x:v>Matthäus 5,13</x:v>
      </x:c>
      <x:c r="M43" s="17" t="str">
        <x:v>Was geschieht mit Salz, wenn es kraftlos wird?</x:v>
      </x:c>
      <x:c r="N43" s="17" t="str">
        <x:v>Es ist zu nichts mehr nütze</x:v>
      </x:c>
      <x:c r="O43" s="17" t="str">
        <x:v>Salz und Licht</x:v>
      </x:c>
      <x:c r="P43" s="17" t="str">
        <x:v>Matthäus 5,13–16</x:v>
      </x:c>
      <x:c r="Q43" s="17" t="str">
        <x:v>RECONSTRUCTED_FROM_FINAL_SOURCES</x:v>
      </x:c>
      <x:c r="R43" s="17" t="str">
        <x:v>HIGH</x:v>
      </x:c>
      <x:c r="S43" s="17" t="str">
        <x:v>FaithPath final QA PDF + Nachlese final QA + current develop/v4 data</x:v>
      </x:c>
      <x:c r="T43" s="17" t="str">
        <x:v>Block-1 aggregate reproduced exactly: 92 EXAKT / 5 SINNGLEICH / 3 KONFLIKT.</x:v>
      </x:c>
    </x:row>
    <x:row r="44" ht="26.399999618530273" hidden="0" customHeight="1">
      <x:c r="A44" s="17" t="str">
        <x:v>FP-0043</x:v>
      </x:c>
      <x:c r="B44" s="17" t="str">
        <x:v>FP-0001–0100</x:v>
      </x:c>
      <x:c r="C44" s="17" t="n">
        <x:v>9</x:v>
      </x:c>
      <x:c r="D44" s="17" t="n">
        <x:v>9</x:v>
      </x:c>
      <x:c r="E44" s="17" t="n">
        <x:v>3</x:v>
      </x:c>
      <x:c r="F44" s="17" t="str">
        <x:v>$[8].questions[2]</x:v>
      </x:c>
      <x:c r="G44" s="17" t="str">
        <x:v>Matthäus 5,14</x:v>
      </x:c>
      <x:c r="H44" s="17" t="str">
        <x:v>Was nennt Jesus seine Zuhörer außerdem?</x:v>
      </x:c>
      <x:c r="I44" s="17" t="str">
        <x:v>Licht der Welt</x:v>
      </x:c>
      <x:c r="J44" s="17" t="str">
        <x:v>EXAKT</x:v>
      </x:c>
      <x:c r="K44" s="17" t="str">
        <x:v>N-0578</x:v>
      </x:c>
      <x:c r="L44" s="17" t="str">
        <x:v>Matthäus 5,14</x:v>
      </x:c>
      <x:c r="M44" s="17" t="str">
        <x:v>Was nennt Jesus seine Zuhörer außerdem?</x:v>
      </x:c>
      <x:c r="N44" s="17" t="str">
        <x:v>Licht der Welt</x:v>
      </x:c>
      <x:c r="O44" s="17" t="str">
        <x:v>Salz und Licht</x:v>
      </x:c>
      <x:c r="P44" s="17" t="str">
        <x:v>Matthäus 5,13–16</x:v>
      </x:c>
      <x:c r="Q44" s="17" t="str">
        <x:v>RECONSTRUCTED_FROM_FINAL_SOURCES</x:v>
      </x:c>
      <x:c r="R44" s="17" t="str">
        <x:v>HIGH</x:v>
      </x:c>
      <x:c r="S44" s="17" t="str">
        <x:v>FaithPath final QA PDF + Nachlese final QA + current develop/v4 data</x:v>
      </x:c>
      <x:c r="T44" s="17" t="str">
        <x:v>Block-1 aggregate reproduced exactly: 92 EXAKT / 5 SINNGLEICH / 3 KONFLIKT.</x:v>
      </x:c>
    </x:row>
    <x:row r="45" ht="26.399999618530273" hidden="0" customHeight="1">
      <x:c r="A45" s="17" t="str">
        <x:v>FP-0044</x:v>
      </x:c>
      <x:c r="B45" s="17" t="str">
        <x:v>FP-0001–0100</x:v>
      </x:c>
      <x:c r="C45" s="17" t="n">
        <x:v>9</x:v>
      </x:c>
      <x:c r="D45" s="17" t="n">
        <x:v>9</x:v>
      </x:c>
      <x:c r="E45" s="17" t="n">
        <x:v>4</x:v>
      </x:c>
      <x:c r="F45" s="17" t="str">
        <x:v>$[8].questions[3]</x:v>
      </x:c>
      <x:c r="G45" s="17" t="str">
        <x:v>Matthäus 5,15</x:v>
      </x:c>
      <x:c r="H45" s="17" t="str">
        <x:v>Wo stellt man ein Licht hin?</x:v>
      </x:c>
      <x:c r="I45" s="17" t="str">
        <x:v>Auf einen Leuchter</x:v>
      </x:c>
      <x:c r="J45" s="17" t="str">
        <x:v>EXAKT</x:v>
      </x:c>
      <x:c r="K45" s="17" t="str">
        <x:v>N-0579</x:v>
      </x:c>
      <x:c r="L45" s="17" t="str">
        <x:v>Matthäus 5,15</x:v>
      </x:c>
      <x:c r="M45" s="17" t="str">
        <x:v>Wo stellt man ein Licht hin?</x:v>
      </x:c>
      <x:c r="N45" s="17" t="str">
        <x:v>Auf einen Leuchter</x:v>
      </x:c>
      <x:c r="O45" s="17" t="str">
        <x:v>Salz und Licht</x:v>
      </x:c>
      <x:c r="P45" s="17" t="str">
        <x:v>Matthäus 5,13–16</x:v>
      </x:c>
      <x:c r="Q45" s="17" t="str">
        <x:v>RECONSTRUCTED_FROM_FINAL_SOURCES</x:v>
      </x:c>
      <x:c r="R45" s="17" t="str">
        <x:v>HIGH</x:v>
      </x:c>
      <x:c r="S45" s="17" t="str">
        <x:v>FaithPath final QA PDF + Nachlese final QA + current develop/v4 data</x:v>
      </x:c>
      <x:c r="T45" s="17" t="str">
        <x:v>Block-1 aggregate reproduced exactly: 92 EXAKT / 5 SINNGLEICH / 3 KONFLIKT.</x:v>
      </x:c>
    </x:row>
    <x:row r="46" ht="26.399999618530273" hidden="0" customHeight="1">
      <x:c r="A46" s="17" t="str">
        <x:v>FP-0045</x:v>
      </x:c>
      <x:c r="B46" s="17" t="str">
        <x:v>FP-0001–0100</x:v>
      </x:c>
      <x:c r="C46" s="17" t="n">
        <x:v>9</x:v>
      </x:c>
      <x:c r="D46" s="17" t="n">
        <x:v>9</x:v>
      </x:c>
      <x:c r="E46" s="17" t="n">
        <x:v>5</x:v>
      </x:c>
      <x:c r="F46" s="17" t="str">
        <x:v>$[8].questions[4]</x:v>
      </x:c>
      <x:c r="G46" s="17" t="str">
        <x:v>Matthäus 5,16</x:v>
      </x:c>
      <x:c r="H46" s="17" t="str">
        <x:v>Wozu sollen Menschen die guten Werke sehen?</x:v>
      </x:c>
      <x:c r="I46" s="17" t="str">
        <x:v>Damit sie den Vater im Himmel preisen</x:v>
      </x:c>
      <x:c r="J46" s="17" t="str">
        <x:v>EXAKT</x:v>
      </x:c>
      <x:c r="K46" s="17" t="str">
        <x:v>N-0580</x:v>
      </x:c>
      <x:c r="L46" s="17" t="str">
        <x:v>Matthäus 5,16</x:v>
      </x:c>
      <x:c r="M46" s="17" t="str">
        <x:v>Wozu sollen Menschen die guten Werke sehen?</x:v>
      </x:c>
      <x:c r="N46" s="17" t="str">
        <x:v>Damit sie den Vater im Himmel preisen</x:v>
      </x:c>
      <x:c r="O46" s="17" t="str">
        <x:v>Salz und Licht</x:v>
      </x:c>
      <x:c r="P46" s="17" t="str">
        <x:v>Matthäus 5,13–16</x:v>
      </x:c>
      <x:c r="Q46" s="17" t="str">
        <x:v>RECONSTRUCTED_FROM_FINAL_SOURCES</x:v>
      </x:c>
      <x:c r="R46" s="17" t="str">
        <x:v>HIGH</x:v>
      </x:c>
      <x:c r="S46" s="17" t="str">
        <x:v>FaithPath final QA PDF + Nachlese final QA + current develop/v4 data</x:v>
      </x:c>
      <x:c r="T46" s="17" t="str">
        <x:v>Block-1 aggregate reproduced exactly: 92 EXAKT / 5 SINNGLEICH / 3 KONFLIKT.</x:v>
      </x:c>
    </x:row>
    <x:row r="47" ht="26.399999618530273" hidden="0" customHeight="1">
      <x:c r="A47" s="17" t="str">
        <x:v>FP-0046</x:v>
      </x:c>
      <x:c r="B47" s="17" t="str">
        <x:v>FP-0001–0100</x:v>
      </x:c>
      <x:c r="C47" s="17" t="n">
        <x:v>10</x:v>
      </x:c>
      <x:c r="D47" s="17" t="n">
        <x:v>10</x:v>
      </x:c>
      <x:c r="E47" s="17" t="n">
        <x:v>1</x:v>
      </x:c>
      <x:c r="F47" s="17" t="str">
        <x:v>$[9].questions[0]</x:v>
      </x:c>
      <x:c r="G47" s="17" t="str">
        <x:v>Matthäus 6,5</x:v>
      </x:c>
      <x:c r="H47" s="17" t="str">
        <x:v>Wie sollen die Jünger nicht beten?</x:v>
      </x:c>
      <x:c r="I47" s="17" t="str">
        <x:v>Wie die Heuchler, um gesehen zu werden</x:v>
      </x:c>
      <x:c r="J47" s="17" t="str">
        <x:v>EXAKT</x:v>
      </x:c>
      <x:c r="K47" s="17" t="str">
        <x:v>N-0581</x:v>
      </x:c>
      <x:c r="L47" s="17" t="str">
        <x:v>Matthäus 6,5</x:v>
      </x:c>
      <x:c r="M47" s="17" t="str">
        <x:v>Wie sollen die Jünger nicht beten?</x:v>
      </x:c>
      <x:c r="N47" s="17" t="str">
        <x:v>Wie die Heuchler, um gesehen zu werden</x:v>
      </x:c>
      <x:c r="O47" s="17" t="str">
        <x:v>Beten und Vaterunser</x:v>
      </x:c>
      <x:c r="P47" s="17" t="str">
        <x:v>Matthäus 6,5–15</x:v>
      </x:c>
      <x:c r="Q47" s="17" t="str">
        <x:v>RECONSTRUCTED_FROM_FINAL_SOURCES</x:v>
      </x:c>
      <x:c r="R47" s="17" t="str">
        <x:v>HIGH</x:v>
      </x:c>
      <x:c r="S47" s="17" t="str">
        <x:v>FaithPath final QA PDF + Nachlese final QA + current develop/v4 data</x:v>
      </x:c>
      <x:c r="T47" s="17" t="str">
        <x:v>Block-1 aggregate reproduced exactly: 92 EXAKT / 5 SINNGLEICH / 3 KONFLIKT.</x:v>
      </x:c>
    </x:row>
    <x:row r="48" ht="26.399999618530273" hidden="0" customHeight="1">
      <x:c r="A48" s="17" t="str">
        <x:v>FP-0047</x:v>
      </x:c>
      <x:c r="B48" s="17" t="str">
        <x:v>FP-0001–0100</x:v>
      </x:c>
      <x:c r="C48" s="17" t="n">
        <x:v>10</x:v>
      </x:c>
      <x:c r="D48" s="17" t="n">
        <x:v>10</x:v>
      </x:c>
      <x:c r="E48" s="17" t="n">
        <x:v>2</x:v>
      </x:c>
      <x:c r="F48" s="17" t="str">
        <x:v>$[9].questions[1]</x:v>
      </x:c>
      <x:c r="G48" s="17" t="str">
        <x:v>Matthäus 6,6</x:v>
      </x:c>
      <x:c r="H48" s="17" t="str">
        <x:v>Wohin soll man zum persönlichen Gebet gehen?</x:v>
      </x:c>
      <x:c r="I48" s="17" t="str">
        <x:v>In das Kämmerlein</x:v>
      </x:c>
      <x:c r="J48" s="17" t="str">
        <x:v>EXAKT</x:v>
      </x:c>
      <x:c r="K48" s="17" t="str">
        <x:v>N-0582</x:v>
      </x:c>
      <x:c r="L48" s="17" t="str">
        <x:v>Matthäus 6,6</x:v>
      </x:c>
      <x:c r="M48" s="17" t="str">
        <x:v>Wohin soll man zum persönlichen Gebet gehen?</x:v>
      </x:c>
      <x:c r="N48" s="17" t="str">
        <x:v>In das Kämmerlein</x:v>
      </x:c>
      <x:c r="O48" s="17" t="str">
        <x:v>Beten und Vaterunser</x:v>
      </x:c>
      <x:c r="P48" s="17" t="str">
        <x:v>Matthäus 6,5–15</x:v>
      </x:c>
      <x:c r="Q48" s="17" t="str">
        <x:v>RECONSTRUCTED_FROM_FINAL_SOURCES</x:v>
      </x:c>
      <x:c r="R48" s="17" t="str">
        <x:v>HIGH</x:v>
      </x:c>
      <x:c r="S48" s="17" t="str">
        <x:v>FaithPath final QA PDF + Nachlese final QA + current develop/v4 data</x:v>
      </x:c>
      <x:c r="T48" s="17" t="str">
        <x:v>Block-1 aggregate reproduced exactly: 92 EXAKT / 5 SINNGLEICH / 3 KONFLIKT.</x:v>
      </x:c>
    </x:row>
    <x:row r="49" ht="26.399999618530273" hidden="0" customHeight="1">
      <x:c r="A49" s="17" t="str">
        <x:v>FP-0048</x:v>
      </x:c>
      <x:c r="B49" s="17" t="str">
        <x:v>FP-0001–0100</x:v>
      </x:c>
      <x:c r="C49" s="17" t="n">
        <x:v>10</x:v>
      </x:c>
      <x:c r="D49" s="17" t="n">
        <x:v>10</x:v>
      </x:c>
      <x:c r="E49" s="17" t="n">
        <x:v>3</x:v>
      </x:c>
      <x:c r="F49" s="17" t="str">
        <x:v>$[9].questions[2]</x:v>
      </x:c>
      <x:c r="G49" s="17" t="str">
        <x:v>Matthäus 6,9</x:v>
      </x:c>
      <x:c r="H49" s="17" t="str">
        <x:v>Wie beginnt das Vaterunser?</x:v>
      </x:c>
      <x:c r="I49" s="17" t="str">
        <x:v>Unser Vater im Himmel</x:v>
      </x:c>
      <x:c r="J49" s="17" t="str">
        <x:v>EXAKT</x:v>
      </x:c>
      <x:c r="K49" s="17" t="str">
        <x:v>N-0583</x:v>
      </x:c>
      <x:c r="L49" s="17" t="str">
        <x:v>Matthäus 6,9</x:v>
      </x:c>
      <x:c r="M49" s="17" t="str">
        <x:v>Wie beginnt das Vaterunser?</x:v>
      </x:c>
      <x:c r="N49" s="17" t="str">
        <x:v>Unser Vater im Himmel</x:v>
      </x:c>
      <x:c r="O49" s="17" t="str">
        <x:v>Beten und Vaterunser</x:v>
      </x:c>
      <x:c r="P49" s="17" t="str">
        <x:v>Matthäus 6,5–15</x:v>
      </x:c>
      <x:c r="Q49" s="17" t="str">
        <x:v>RECONSTRUCTED_FROM_FINAL_SOURCES</x:v>
      </x:c>
      <x:c r="R49" s="17" t="str">
        <x:v>HIGH</x:v>
      </x:c>
      <x:c r="S49" s="17" t="str">
        <x:v>FaithPath final QA PDF + Nachlese final QA + current develop/v4 data</x:v>
      </x:c>
      <x:c r="T49" s="17" t="str">
        <x:v>Block-1 aggregate reproduced exactly: 92 EXAKT / 5 SINNGLEICH / 3 KONFLIKT.</x:v>
      </x:c>
    </x:row>
    <x:row r="50" ht="26.399999618530273" hidden="0" customHeight="1">
      <x:c r="A50" s="17" t="str">
        <x:v>FP-0049</x:v>
      </x:c>
      <x:c r="B50" s="17" t="str">
        <x:v>FP-0001–0100</x:v>
      </x:c>
      <x:c r="C50" s="17" t="n">
        <x:v>10</x:v>
      </x:c>
      <x:c r="D50" s="17" t="n">
        <x:v>10</x:v>
      </x:c>
      <x:c r="E50" s="17" t="n">
        <x:v>4</x:v>
      </x:c>
      <x:c r="F50" s="17" t="str">
        <x:v>$[9].questions[3]</x:v>
      </x:c>
      <x:c r="G50" s="17" t="str">
        <x:v>Matthäus 6,11</x:v>
      </x:c>
      <x:c r="H50" s="17" t="str">
        <x:v>Worum wird für den täglichen Bedarf gebeten?</x:v>
      </x:c>
      <x:c r="I50" s="17" t="str">
        <x:v>Unser tägliches Brot</x:v>
      </x:c>
      <x:c r="J50" s="17" t="str">
        <x:v>EXAKT</x:v>
      </x:c>
      <x:c r="K50" s="17" t="str">
        <x:v>N-0584</x:v>
      </x:c>
      <x:c r="L50" s="17" t="str">
        <x:v>Matthäus 6,11</x:v>
      </x:c>
      <x:c r="M50" s="17" t="str">
        <x:v>Worum wird für den täglichen Bedarf gebeten?</x:v>
      </x:c>
      <x:c r="N50" s="17" t="str">
        <x:v>Unser tägliches Brot</x:v>
      </x:c>
      <x:c r="O50" s="17" t="str">
        <x:v>Beten und Vaterunser</x:v>
      </x:c>
      <x:c r="P50" s="17" t="str">
        <x:v>Matthäus 6,5–15</x:v>
      </x:c>
      <x:c r="Q50" s="17" t="str">
        <x:v>RECONSTRUCTED_FROM_FINAL_SOURCES</x:v>
      </x:c>
      <x:c r="R50" s="17" t="str">
        <x:v>HIGH</x:v>
      </x:c>
      <x:c r="S50" s="17" t="str">
        <x:v>FaithPath final QA PDF + Nachlese final QA + current develop/v4 data</x:v>
      </x:c>
      <x:c r="T50" s="17" t="str">
        <x:v>Block-1 aggregate reproduced exactly: 92 EXAKT / 5 SINNGLEICH / 3 KONFLIKT.</x:v>
      </x:c>
    </x:row>
    <x:row r="51" ht="26.399999618530273" hidden="0" customHeight="1">
      <x:c r="A51" s="17" t="str">
        <x:v>FP-0050</x:v>
      </x:c>
      <x:c r="B51" s="17" t="str">
        <x:v>FP-0001–0100</x:v>
      </x:c>
      <x:c r="C51" s="17" t="n">
        <x:v>10</x:v>
      </x:c>
      <x:c r="D51" s="17" t="n">
        <x:v>10</x:v>
      </x:c>
      <x:c r="E51" s="17" t="n">
        <x:v>5</x:v>
      </x:c>
      <x:c r="F51" s="17" t="str">
        <x:v>$[9].questions[4]</x:v>
      </x:c>
      <x:c r="G51" s="17" t="str">
        <x:v>Matthäus 6,14–15</x:v>
      </x:c>
      <x:c r="H51" s="17" t="str">
        <x:v>Was verbindet Jesus nach dem Gebet besonders mit Vergebung?</x:v>
      </x:c>
      <x:c r="I51" s="17" t="str">
        <x:v>Dass wir anderen vergeben</x:v>
      </x:c>
      <x:c r="J51" s="17" t="str">
        <x:v>SINNGLEICH</x:v>
      </x:c>
      <x:c r="K51" s="17" t="str">
        <x:v>N-0585</x:v>
      </x:c>
      <x:c r="L51" s="17" t="str">
        <x:v>Matthäus 6,14–15</x:v>
      </x:c>
      <x:c r="M51" s="17" t="str">
        <x:v>Was verbindet Jesus nach dem Gebet besonders mit Vergebung?</x:v>
      </x:c>
      <x:c r="N51" s="17" t="str">
        <x:v>Jesus betont das Vergeben gegenüber anderen</x:v>
      </x:c>
      <x:c r="O51" s="17" t="str">
        <x:v>Beten und Vaterunser</x:v>
      </x:c>
      <x:c r="P51" s="17" t="str">
        <x:v>Matthäus 6,5–15</x:v>
      </x:c>
      <x:c r="Q51" s="17" t="str">
        <x:v>RECONSTRUCTED_FROM_FINAL_SOURCES</x:v>
      </x:c>
      <x:c r="R51" s="17" t="str">
        <x:v>MEDIUM</x:v>
      </x:c>
      <x:c r="S51" s="17" t="str">
        <x:v>FaithPath final QA PDF + Nachlese final QA + current develop/v4 data</x:v>
      </x:c>
      <x:c r="T51" s="17" t="str">
        <x:v>Block-1 aggregate reproduced exactly: 92 EXAKT / 5 SINNGLEICH / 3 KONFLIKT.</x:v>
      </x:c>
    </x:row>
    <x:row r="52" ht="26.399999618530273" hidden="0" customHeight="1">
      <x:c r="A52" s="17" t="str">
        <x:v>FP-0051</x:v>
      </x:c>
      <x:c r="B52" s="17" t="str">
        <x:v>FP-0001–0100</x:v>
      </x:c>
      <x:c r="C52" s="17" t="n">
        <x:v>11</x:v>
      </x:c>
      <x:c r="D52" s="17" t="n">
        <x:v>11</x:v>
      </x:c>
      <x:c r="E52" s="17" t="n">
        <x:v>1</x:v>
      </x:c>
      <x:c r="F52" s="17" t="str">
        <x:v>$[10].questions[0]</x:v>
      </x:c>
      <x:c r="G52" s="17" t="str">
        <x:v>Matthäus 6,19</x:v>
      </x:c>
      <x:c r="H52" s="17" t="str">
        <x:v>Wo sollen Jünger keine Schätze sammeln?</x:v>
      </x:c>
      <x:c r="I52" s="17" t="str">
        <x:v>Auf Erden</x:v>
      </x:c>
      <x:c r="J52" s="17" t="str">
        <x:v>EXAKT</x:v>
      </x:c>
      <x:c r="K52" s="17" t="str">
        <x:v>N-0586</x:v>
      </x:c>
      <x:c r="L52" s="17" t="str">
        <x:v>Matthäus 6,19</x:v>
      </x:c>
      <x:c r="M52" s="17" t="str">
        <x:v>Wo sollen Jünger keine Schätze sammeln?</x:v>
      </x:c>
      <x:c r="N52" s="17" t="str">
        <x:v>Auf Erden</x:v>
      </x:c>
      <x:c r="O52" s="17" t="str">
        <x:v>Schätze und Sorgen</x:v>
      </x:c>
      <x:c r="P52" s="17" t="str">
        <x:v>Matthäus 6,19–34</x:v>
      </x:c>
      <x:c r="Q52" s="17" t="str">
        <x:v>RECONSTRUCTED_FROM_FINAL_SOURCES</x:v>
      </x:c>
      <x:c r="R52" s="17" t="str">
        <x:v>HIGH</x:v>
      </x:c>
      <x:c r="S52" s="17" t="str">
        <x:v>FaithPath final QA PDF + Nachlese final QA + current develop/v4 data</x:v>
      </x:c>
      <x:c r="T52" s="17" t="str">
        <x:v>Block-1 aggregate reproduced exactly: 92 EXAKT / 5 SINNGLEICH / 3 KONFLIKT.</x:v>
      </x:c>
    </x:row>
    <x:row r="53" ht="26.399999618530273" hidden="0" customHeight="1">
      <x:c r="A53" s="17" t="str">
        <x:v>FP-0052</x:v>
      </x:c>
      <x:c r="B53" s="17" t="str">
        <x:v>FP-0001–0100</x:v>
      </x:c>
      <x:c r="C53" s="17" t="n">
        <x:v>11</x:v>
      </x:c>
      <x:c r="D53" s="17" t="n">
        <x:v>11</x:v>
      </x:c>
      <x:c r="E53" s="17" t="n">
        <x:v>2</x:v>
      </x:c>
      <x:c r="F53" s="17" t="str">
        <x:v>$[10].questions[1]</x:v>
      </x:c>
      <x:c r="G53" s="17" t="str">
        <x:v>Matthäus 6,20</x:v>
      </x:c>
      <x:c r="H53" s="17" t="str">
        <x:v>Wo sollen sie stattdessen Schätze sammeln?</x:v>
      </x:c>
      <x:c r="I53" s="17" t="str">
        <x:v>Im Himmel</x:v>
      </x:c>
      <x:c r="J53" s="17" t="str">
        <x:v>EXAKT</x:v>
      </x:c>
      <x:c r="K53" s="17" t="str">
        <x:v>N-0587</x:v>
      </x:c>
      <x:c r="L53" s="17" t="str">
        <x:v>Matthäus 6,20</x:v>
      </x:c>
      <x:c r="M53" s="17" t="str">
        <x:v>Wo sollen sie stattdessen Schätze sammeln?</x:v>
      </x:c>
      <x:c r="N53" s="17" t="str">
        <x:v>Im Himmel</x:v>
      </x:c>
      <x:c r="O53" s="17" t="str">
        <x:v>Schätze und Sorgen</x:v>
      </x:c>
      <x:c r="P53" s="17" t="str">
        <x:v>Matthäus 6,19–34</x:v>
      </x:c>
      <x:c r="Q53" s="17" t="str">
        <x:v>RECONSTRUCTED_FROM_FINAL_SOURCES</x:v>
      </x:c>
      <x:c r="R53" s="17" t="str">
        <x:v>HIGH</x:v>
      </x:c>
      <x:c r="S53" s="17" t="str">
        <x:v>FaithPath final QA PDF + Nachlese final QA + current develop/v4 data</x:v>
      </x:c>
      <x:c r="T53" s="17" t="str">
        <x:v>Block-1 aggregate reproduced exactly: 92 EXAKT / 5 SINNGLEICH / 3 KONFLIKT.</x:v>
      </x:c>
    </x:row>
    <x:row r="54" ht="26.399999618530273" hidden="0" customHeight="1">
      <x:c r="A54" s="17" t="str">
        <x:v>FP-0053</x:v>
      </x:c>
      <x:c r="B54" s="17" t="str">
        <x:v>FP-0001–0100</x:v>
      </x:c>
      <x:c r="C54" s="17" t="n">
        <x:v>11</x:v>
      </x:c>
      <x:c r="D54" s="17" t="n">
        <x:v>11</x:v>
      </x:c>
      <x:c r="E54" s="17" t="n">
        <x:v>3</x:v>
      </x:c>
      <x:c r="F54" s="17" t="str">
        <x:v>$[10].questions[2]</x:v>
      </x:c>
      <x:c r="G54" s="17" t="str">
        <x:v>Matthäus 6,21</x:v>
      </x:c>
      <x:c r="H54" s="17" t="str">
        <x:v>Was ist dort, wo dein Schatz ist?</x:v>
      </x:c>
      <x:c r="I54" s="17" t="str">
        <x:v>Dein Herz</x:v>
      </x:c>
      <x:c r="J54" s="17" t="str">
        <x:v>EXAKT</x:v>
      </x:c>
      <x:c r="K54" s="17" t="str">
        <x:v>N-0588</x:v>
      </x:c>
      <x:c r="L54" s="17" t="str">
        <x:v>Matthäus 6,21</x:v>
      </x:c>
      <x:c r="M54" s="17" t="str">
        <x:v>Was ist dort, wo dein Schatz ist?</x:v>
      </x:c>
      <x:c r="N54" s="17" t="str">
        <x:v>Dein Herz</x:v>
      </x:c>
      <x:c r="O54" s="17" t="str">
        <x:v>Schätze und Sorgen</x:v>
      </x:c>
      <x:c r="P54" s="17" t="str">
        <x:v>Matthäus 6,19–34</x:v>
      </x:c>
      <x:c r="Q54" s="17" t="str">
        <x:v>RECONSTRUCTED_FROM_FINAL_SOURCES</x:v>
      </x:c>
      <x:c r="R54" s="17" t="str">
        <x:v>HIGH</x:v>
      </x:c>
      <x:c r="S54" s="17" t="str">
        <x:v>FaithPath final QA PDF + Nachlese final QA + current develop/v4 data</x:v>
      </x:c>
      <x:c r="T54" s="17" t="str">
        <x:v>Block-1 aggregate reproduced exactly: 92 EXAKT / 5 SINNGLEICH / 3 KONFLIKT.</x:v>
      </x:c>
    </x:row>
    <x:row r="55" ht="26.399999618530273" hidden="0" customHeight="1">
      <x:c r="A55" s="17" t="str">
        <x:v>FP-0054</x:v>
      </x:c>
      <x:c r="B55" s="17" t="str">
        <x:v>FP-0001–0100</x:v>
      </x:c>
      <x:c r="C55" s="17" t="n">
        <x:v>11</x:v>
      </x:c>
      <x:c r="D55" s="17" t="n">
        <x:v>11</x:v>
      </x:c>
      <x:c r="E55" s="17" t="n">
        <x:v>4</x:v>
      </x:c>
      <x:c r="F55" s="17" t="str">
        <x:v>$[10].questions[3]</x:v>
      </x:c>
      <x:c r="G55" s="17" t="str">
        <x:v>Matthäus 6,26</x:v>
      </x:c>
      <x:c r="H55" s="17" t="str">
        <x:v>Welchen Vögeln sollen die Zuhörer Aufmerksamkeit schenken?</x:v>
      </x:c>
      <x:c r="I55" s="17" t="str">
        <x:v>Den Vögeln unter dem Himmel</x:v>
      </x:c>
      <x:c r="J55" s="17" t="str">
        <x:v>EXAKT</x:v>
      </x:c>
      <x:c r="K55" s="17" t="str">
        <x:v>N-0589</x:v>
      </x:c>
      <x:c r="L55" s="17" t="str">
        <x:v>Matthäus 6,26</x:v>
      </x:c>
      <x:c r="M55" s="17" t="str">
        <x:v>Welchen Vögeln sollen die Zuhörer Aufmerksamkeit schenken?</x:v>
      </x:c>
      <x:c r="N55" s="17" t="str">
        <x:v>Den Vögeln unter dem Himmel</x:v>
      </x:c>
      <x:c r="O55" s="17" t="str">
        <x:v>Schätze und Sorgen</x:v>
      </x:c>
      <x:c r="P55" s="17" t="str">
        <x:v>Matthäus 6,19–34</x:v>
      </x:c>
      <x:c r="Q55" s="17" t="str">
        <x:v>RECONSTRUCTED_FROM_FINAL_SOURCES</x:v>
      </x:c>
      <x:c r="R55" s="17" t="str">
        <x:v>HIGH</x:v>
      </x:c>
      <x:c r="S55" s="17" t="str">
        <x:v>FaithPath final QA PDF + Nachlese final QA + current develop/v4 data</x:v>
      </x:c>
      <x:c r="T55" s="17" t="str">
        <x:v>Block-1 aggregate reproduced exactly: 92 EXAKT / 5 SINNGLEICH / 3 KONFLIKT.</x:v>
      </x:c>
    </x:row>
    <x:row r="56" ht="26.399999618530273" hidden="0" customHeight="1">
      <x:c r="A56" s="17" t="str">
        <x:v>FP-0055</x:v>
      </x:c>
      <x:c r="B56" s="17" t="str">
        <x:v>FP-0001–0100</x:v>
      </x:c>
      <x:c r="C56" s="17" t="n">
        <x:v>11</x:v>
      </x:c>
      <x:c r="D56" s="17" t="n">
        <x:v>11</x:v>
      </x:c>
      <x:c r="E56" s="17" t="n">
        <x:v>5</x:v>
      </x:c>
      <x:c r="F56" s="17" t="str">
        <x:v>$[10].questions[4]</x:v>
      </x:c>
      <x:c r="G56" s="17" t="str">
        <x:v>Matthäus 6,33</x:v>
      </x:c>
      <x:c r="H56" s="17" t="str">
        <x:v>Was sollen sie zuerst suchen?</x:v>
      </x:c>
      <x:c r="I56" s="17" t="str">
        <x:v>Das Reich Gottes und seine Gerechtigkeit</x:v>
      </x:c>
      <x:c r="J56" s="17" t="str">
        <x:v>EXAKT</x:v>
      </x:c>
      <x:c r="K56" s="17" t="str">
        <x:v>N-0590</x:v>
      </x:c>
      <x:c r="L56" s="17" t="str">
        <x:v>Matthäus 6,33</x:v>
      </x:c>
      <x:c r="M56" s="17" t="str">
        <x:v>Was sollen sie zuerst suchen?</x:v>
      </x:c>
      <x:c r="N56" s="17" t="str">
        <x:v>Das Reich Gottes und seine Gerechtigkeit</x:v>
      </x:c>
      <x:c r="O56" s="17" t="str">
        <x:v>Schätze und Sorgen</x:v>
      </x:c>
      <x:c r="P56" s="17" t="str">
        <x:v>Matthäus 6,19–34</x:v>
      </x:c>
      <x:c r="Q56" s="17" t="str">
        <x:v>RECONSTRUCTED_FROM_FINAL_SOURCES</x:v>
      </x:c>
      <x:c r="R56" s="17" t="str">
        <x:v>HIGH</x:v>
      </x:c>
      <x:c r="S56" s="17" t="str">
        <x:v>FaithPath final QA PDF + Nachlese final QA + current develop/v4 data</x:v>
      </x:c>
      <x:c r="T56" s="17" t="str">
        <x:v>Block-1 aggregate reproduced exactly: 92 EXAKT / 5 SINNGLEICH / 3 KONFLIKT.</x:v>
      </x:c>
    </x:row>
    <x:row r="57" ht="26.399999618530273" hidden="0" customHeight="1">
      <x:c r="A57" s="17" t="str">
        <x:v>FP-0056</x:v>
      </x:c>
      <x:c r="B57" s="17" t="str">
        <x:v>FP-0001–0100</x:v>
      </x:c>
      <x:c r="C57" s="17" t="n">
        <x:v>12</x:v>
      </x:c>
      <x:c r="D57" s="17" t="n">
        <x:v>12</x:v>
      </x:c>
      <x:c r="E57" s="17" t="n">
        <x:v>1</x:v>
      </x:c>
      <x:c r="F57" s="17" t="str">
        <x:v>$[11].questions[0]</x:v>
      </x:c>
      <x:c r="G57" s="17" t="str">
        <x:v>Matthäus 7,1</x:v>
      </x:c>
      <x:c r="H57" s="17" t="str">
        <x:v>Was sagt Jesus über das Richten?</x:v>
      </x:c>
      <x:c r="I57" s="17" t="str">
        <x:v>Richtet nicht</x:v>
      </x:c>
      <x:c r="J57" s="17" t="str">
        <x:v>EXAKT</x:v>
      </x:c>
      <x:c r="K57" s="17" t="str">
        <x:v>N-0591</x:v>
      </x:c>
      <x:c r="L57" s="17" t="str">
        <x:v>Matthäus 7,1</x:v>
      </x:c>
      <x:c r="M57" s="17" t="str">
        <x:v>Was sagt Jesus über das Richten?</x:v>
      </x:c>
      <x:c r="N57" s="17" t="str">
        <x:v>Richtet nicht</x:v>
      </x:c>
      <x:c r="O57" s="17" t="str">
        <x:v>Richten, Bitten und Suchen</x:v>
      </x:c>
      <x:c r="P57" s="17" t="str">
        <x:v>Matthäus 7,1–12</x:v>
      </x:c>
      <x:c r="Q57" s="17" t="str">
        <x:v>RECONSTRUCTED_FROM_FINAL_SOURCES</x:v>
      </x:c>
      <x:c r="R57" s="17" t="str">
        <x:v>HIGH</x:v>
      </x:c>
      <x:c r="S57" s="17" t="str">
        <x:v>FaithPath final QA PDF + Nachlese final QA + current develop/v4 data</x:v>
      </x:c>
      <x:c r="T57" s="17" t="str">
        <x:v>Block-1 aggregate reproduced exactly: 92 EXAKT / 5 SINNGLEICH / 3 KONFLIKT.</x:v>
      </x:c>
    </x:row>
    <x:row r="58" ht="26.399999618530273" hidden="0" customHeight="1">
      <x:c r="A58" s="17" t="str">
        <x:v>FP-0057</x:v>
      </x:c>
      <x:c r="B58" s="17" t="str">
        <x:v>FP-0001–0100</x:v>
      </x:c>
      <x:c r="C58" s="17" t="n">
        <x:v>12</x:v>
      </x:c>
      <x:c r="D58" s="17" t="n">
        <x:v>12</x:v>
      </x:c>
      <x:c r="E58" s="17" t="n">
        <x:v>2</x:v>
      </x:c>
      <x:c r="F58" s="17" t="str">
        <x:v>$[11].questions[1]</x:v>
      </x:c>
      <x:c r="G58" s="17" t="str">
        <x:v>Matthäus 7,5</x:v>
      </x:c>
      <x:c r="H58" s="17" t="str">
        <x:v>Was soll zuerst aus dem eigenen Auge entfernt werden?</x:v>
      </x:c>
      <x:c r="I58" s="17" t="str">
        <x:v>Der Balken</x:v>
      </x:c>
      <x:c r="J58" s="17" t="str">
        <x:v>EXAKT</x:v>
      </x:c>
      <x:c r="K58" s="17" t="str">
        <x:v>N-0592</x:v>
      </x:c>
      <x:c r="L58" s="17" t="str">
        <x:v>Matthäus 7,5</x:v>
      </x:c>
      <x:c r="M58" s="17" t="str">
        <x:v>Was soll zuerst aus dem eigenen Auge entfernt werden?</x:v>
      </x:c>
      <x:c r="N58" s="17" t="str">
        <x:v>Der Balken</x:v>
      </x:c>
      <x:c r="O58" s="17" t="str">
        <x:v>Richten, Bitten und Suchen</x:v>
      </x:c>
      <x:c r="P58" s="17" t="str">
        <x:v>Matthäus 7,1–12</x:v>
      </x:c>
      <x:c r="Q58" s="17" t="str">
        <x:v>RECONSTRUCTED_FROM_FINAL_SOURCES</x:v>
      </x:c>
      <x:c r="R58" s="17" t="str">
        <x:v>HIGH</x:v>
      </x:c>
      <x:c r="S58" s="17" t="str">
        <x:v>FaithPath final QA PDF + Nachlese final QA + current develop/v4 data</x:v>
      </x:c>
      <x:c r="T58" s="17" t="str">
        <x:v>Block-1 aggregate reproduced exactly: 92 EXAKT / 5 SINNGLEICH / 3 KONFLIKT.</x:v>
      </x:c>
    </x:row>
    <x:row r="59" ht="26.399999618530273" hidden="0" customHeight="1">
      <x:c r="A59" s="17" t="str">
        <x:v>FP-0058</x:v>
      </x:c>
      <x:c r="B59" s="17" t="str">
        <x:v>FP-0001–0100</x:v>
      </x:c>
      <x:c r="C59" s="17" t="n">
        <x:v>12</x:v>
      </x:c>
      <x:c r="D59" s="17" t="n">
        <x:v>12</x:v>
      </x:c>
      <x:c r="E59" s="17" t="n">
        <x:v>3</x:v>
      </x:c>
      <x:c r="F59" s="17" t="str">
        <x:v>$[11].questions[2]</x:v>
      </x:c>
      <x:c r="G59" s="17" t="str">
        <x:v>Matthäus 7,7</x:v>
      </x:c>
      <x:c r="H59" s="17" t="str">
        <x:v>Was wird dem zugesagt, der bittet?</x:v>
      </x:c>
      <x:c r="I59" s="17" t="str">
        <x:v>Ihm wird gegeben</x:v>
      </x:c>
      <x:c r="J59" s="17" t="str">
        <x:v>EXAKT</x:v>
      </x:c>
      <x:c r="K59" s="17" t="str">
        <x:v>N-0593</x:v>
      </x:c>
      <x:c r="L59" s="17" t="str">
        <x:v>Matthäus 7,7</x:v>
      </x:c>
      <x:c r="M59" s="17" t="str">
        <x:v>Was wird dem zugesagt, der bittet?</x:v>
      </x:c>
      <x:c r="N59" s="17" t="str">
        <x:v>Ihm wird gegeben</x:v>
      </x:c>
      <x:c r="O59" s="17" t="str">
        <x:v>Richten, Bitten und Suchen</x:v>
      </x:c>
      <x:c r="P59" s="17" t="str">
        <x:v>Matthäus 7,1–12</x:v>
      </x:c>
      <x:c r="Q59" s="17" t="str">
        <x:v>RECONSTRUCTED_FROM_FINAL_SOURCES</x:v>
      </x:c>
      <x:c r="R59" s="17" t="str">
        <x:v>HIGH</x:v>
      </x:c>
      <x:c r="S59" s="17" t="str">
        <x:v>FaithPath final QA PDF + Nachlese final QA + current develop/v4 data</x:v>
      </x:c>
      <x:c r="T59" s="17" t="str">
        <x:v>Block-1 aggregate reproduced exactly: 92 EXAKT / 5 SINNGLEICH / 3 KONFLIKT.</x:v>
      </x:c>
    </x:row>
    <x:row r="60" ht="26.399999618530273" hidden="0" customHeight="1">
      <x:c r="A60" s="17" t="str">
        <x:v>FP-0059</x:v>
      </x:c>
      <x:c r="B60" s="17" t="str">
        <x:v>FP-0001–0100</x:v>
      </x:c>
      <x:c r="C60" s="17" t="n">
        <x:v>12</x:v>
      </x:c>
      <x:c r="D60" s="17" t="n">
        <x:v>12</x:v>
      </x:c>
      <x:c r="E60" s="17" t="n">
        <x:v>4</x:v>
      </x:c>
      <x:c r="F60" s="17" t="str">
        <x:v>$[11].questions[3]</x:v>
      </x:c>
      <x:c r="G60" s="17" t="str">
        <x:v>Matthäus 7,7</x:v>
      </x:c>
      <x:c r="H60" s="17" t="str">
        <x:v>Was geschieht dem, der sucht?</x:v>
      </x:c>
      <x:c r="I60" s="17" t="str">
        <x:v>Er findet</x:v>
      </x:c>
      <x:c r="J60" s="17" t="str">
        <x:v>EXAKT</x:v>
      </x:c>
      <x:c r="K60" s="17" t="str">
        <x:v>N-0594</x:v>
      </x:c>
      <x:c r="L60" s="17" t="str">
        <x:v>Matthäus 7,7</x:v>
      </x:c>
      <x:c r="M60" s="17" t="str">
        <x:v>Was geschieht dem, der sucht?</x:v>
      </x:c>
      <x:c r="N60" s="17" t="str">
        <x:v>Er findet</x:v>
      </x:c>
      <x:c r="O60" s="17" t="str">
        <x:v>Richten, Bitten und Suchen</x:v>
      </x:c>
      <x:c r="P60" s="17" t="str">
        <x:v>Matthäus 7,1–12</x:v>
      </x:c>
      <x:c r="Q60" s="17" t="str">
        <x:v>RECONSTRUCTED_FROM_FINAL_SOURCES</x:v>
      </x:c>
      <x:c r="R60" s="17" t="str">
        <x:v>HIGH</x:v>
      </x:c>
      <x:c r="S60" s="17" t="str">
        <x:v>FaithPath final QA PDF + Nachlese final QA + current develop/v4 data</x:v>
      </x:c>
      <x:c r="T60" s="17" t="str">
        <x:v>Block-1 aggregate reproduced exactly: 92 EXAKT / 5 SINNGLEICH / 3 KONFLIKT.</x:v>
      </x:c>
    </x:row>
    <x:row r="61" ht="26.399999618530273" hidden="0" customHeight="1">
      <x:c r="A61" s="17" t="str">
        <x:v>FP-0060</x:v>
      </x:c>
      <x:c r="B61" s="17" t="str">
        <x:v>FP-0001–0100</x:v>
      </x:c>
      <x:c r="C61" s="17" t="n">
        <x:v>12</x:v>
      </x:c>
      <x:c r="D61" s="17" t="n">
        <x:v>12</x:v>
      </x:c>
      <x:c r="E61" s="17" t="n">
        <x:v>5</x:v>
      </x:c>
      <x:c r="F61" s="17" t="str">
        <x:v>$[11].questions[4]</x:v>
      </x:c>
      <x:c r="G61" s="17" t="str">
        <x:v>Matthäus 7,12</x:v>
      </x:c>
      <x:c r="H61" s="17" t="str">
        <x:v>Wie sollen Menschen andere behandeln?</x:v>
      </x:c>
      <x:c r="I61" s="17" t="str">
        <x:v>So, wie sie selbst behandelt werden möchten</x:v>
      </x:c>
      <x:c r="J61" s="17" t="str">
        <x:v>EXAKT</x:v>
      </x:c>
      <x:c r="K61" s="17" t="str">
        <x:v>N-0595</x:v>
      </x:c>
      <x:c r="L61" s="17" t="str">
        <x:v>Matthäus 7,12</x:v>
      </x:c>
      <x:c r="M61" s="17" t="str">
        <x:v>Wie sollen Menschen andere behandeln?</x:v>
      </x:c>
      <x:c r="N61" s="17" t="str">
        <x:v>So, wie sie selbst behandelt werden möchten</x:v>
      </x:c>
      <x:c r="O61" s="17" t="str">
        <x:v>Richten, Bitten und Suchen</x:v>
      </x:c>
      <x:c r="P61" s="17" t="str">
        <x:v>Matthäus 7,1–12</x:v>
      </x:c>
      <x:c r="Q61" s="17" t="str">
        <x:v>RECONSTRUCTED_FROM_FINAL_SOURCES</x:v>
      </x:c>
      <x:c r="R61" s="17" t="str">
        <x:v>HIGH</x:v>
      </x:c>
      <x:c r="S61" s="17" t="str">
        <x:v>FaithPath final QA PDF + Nachlese final QA + current develop/v4 data</x:v>
      </x:c>
      <x:c r="T61" s="17" t="str">
        <x:v>Block-1 aggregate reproduced exactly: 92 EXAKT / 5 SINNGLEICH / 3 KONFLIKT.</x:v>
      </x:c>
    </x:row>
    <x:row r="62" ht="26.399999618530273" hidden="0" customHeight="1">
      <x:c r="A62" s="17" t="str">
        <x:v>FP-0061</x:v>
      </x:c>
      <x:c r="B62" s="17" t="str">
        <x:v>FP-0001–0100</x:v>
      </x:c>
      <x:c r="C62" s="17" t="n">
        <x:v>13</x:v>
      </x:c>
      <x:c r="D62" s="17" t="n">
        <x:v>13</x:v>
      </x:c>
      <x:c r="E62" s="17" t="n">
        <x:v>1</x:v>
      </x:c>
      <x:c r="F62" s="17" t="str">
        <x:v>$[12].questions[0]</x:v>
      </x:c>
      <x:c r="G62" s="17" t="str">
        <x:v>Matthäus 7,13</x:v>
      </x:c>
      <x:c r="H62" s="17" t="str">
        <x:v>Durch welche Pforte sollen die Zuhörer eingehen?</x:v>
      </x:c>
      <x:c r="I62" s="17" t="str">
        <x:v>Durch die enge Pforte</x:v>
      </x:c>
      <x:c r="J62" s="17" t="str">
        <x:v>EXAKT</x:v>
      </x:c>
      <x:c r="K62" s="17" t="str">
        <x:v>N-0596</x:v>
      </x:c>
      <x:c r="L62" s="17" t="str">
        <x:v>Matthäus 7,13</x:v>
      </x:c>
      <x:c r="M62" s="17" t="str">
        <x:v>Durch welche Pforte sollen die Zuhörer eingehen?</x:v>
      </x:c>
      <x:c r="N62" s="17" t="str">
        <x:v>Durch die enge Pforte</x:v>
      </x:c>
      <x:c r="O62" s="17" t="str">
        <x:v>Enge Pforte und falsche Propheten</x:v>
      </x:c>
      <x:c r="P62" s="17" t="str">
        <x:v>Matthäus 7,13–23</x:v>
      </x:c>
      <x:c r="Q62" s="17" t="str">
        <x:v>RECONSTRUCTED_FROM_FINAL_SOURCES</x:v>
      </x:c>
      <x:c r="R62" s="17" t="str">
        <x:v>HIGH</x:v>
      </x:c>
      <x:c r="S62" s="17" t="str">
        <x:v>FaithPath final QA PDF + Nachlese final QA + current develop/v4 data</x:v>
      </x:c>
      <x:c r="T62" s="17" t="str">
        <x:v>Block-1 aggregate reproduced exactly: 92 EXAKT / 5 SINNGLEICH / 3 KONFLIKT.</x:v>
      </x:c>
    </x:row>
    <x:row r="63" ht="26.399999618530273" hidden="0" customHeight="1">
      <x:c r="A63" s="17" t="str">
        <x:v>FP-0062</x:v>
      </x:c>
      <x:c r="B63" s="17" t="str">
        <x:v>FP-0001–0100</x:v>
      </x:c>
      <x:c r="C63" s="17" t="n">
        <x:v>13</x:v>
      </x:c>
      <x:c r="D63" s="17" t="n">
        <x:v>13</x:v>
      </x:c>
      <x:c r="E63" s="17" t="n">
        <x:v>2</x:v>
      </x:c>
      <x:c r="F63" s="17" t="str">
        <x:v>$[12].questions[1]</x:v>
      </x:c>
      <x:c r="G63" s="17" t="str">
        <x:v>Matthäus 7,13</x:v>
      </x:c>
      <x:c r="H63" s="17" t="str">
        <x:v>Wohin führt der breite Weg?</x:v>
      </x:c>
      <x:c r="I63" s="17" t="str">
        <x:v>Zum Verderben</x:v>
      </x:c>
      <x:c r="J63" s="17" t="str">
        <x:v>SINNGLEICH</x:v>
      </x:c>
      <x:c r="K63" s="17" t="str">
        <x:v>N-0597</x:v>
      </x:c>
      <x:c r="L63" s="17" t="str">
        <x:v>Matthäus 7,13</x:v>
      </x:c>
      <x:c r="M63" s="17" t="str">
        <x:v>Wohin führt der breite Weg?</x:v>
      </x:c>
      <x:c r="N63" s="17" t="str">
        <x:v>Zur Verdammnis.</x:v>
      </x:c>
      <x:c r="O63" s="17" t="str">
        <x:v>Enge Pforte und falsche Propheten</x:v>
      </x:c>
      <x:c r="P63" s="17" t="str">
        <x:v>Matthäus 7,13–23</x:v>
      </x:c>
      <x:c r="Q63" s="17" t="str">
        <x:v>RECONSTRUCTED_FROM_FINAL_SOURCES</x:v>
      </x:c>
      <x:c r="R63" s="17" t="str">
        <x:v>MEDIUM</x:v>
      </x:c>
      <x:c r="S63" s="17" t="str">
        <x:v>FaithPath final QA PDF + Nachlese final QA + current develop/v4 data</x:v>
      </x:c>
      <x:c r="T63" s="17" t="str">
        <x:v>Block-1 aggregate reproduced exactly: 92 EXAKT / 5 SINNGLEICH / 3 KONFLIKT.</x:v>
      </x:c>
    </x:row>
    <x:row r="64" ht="26.399999618530273" hidden="0" customHeight="1">
      <x:c r="A64" s="17" t="str">
        <x:v>FP-0063</x:v>
      </x:c>
      <x:c r="B64" s="17" t="str">
        <x:v>FP-0001–0100</x:v>
      </x:c>
      <x:c r="C64" s="17" t="n">
        <x:v>13</x:v>
      </x:c>
      <x:c r="D64" s="17" t="n">
        <x:v>13</x:v>
      </x:c>
      <x:c r="E64" s="17" t="n">
        <x:v>3</x:v>
      </x:c>
      <x:c r="F64" s="17" t="str">
        <x:v>$[12].questions[2]</x:v>
      </x:c>
      <x:c r="G64" s="17" t="str">
        <x:v>Matthäus 7,15</x:v>
      </x:c>
      <x:c r="H64" s="17" t="str">
        <x:v>Vor wem warnt Jesus?</x:v>
      </x:c>
      <x:c r="I64" s="17" t="str">
        <x:v>Falschen Propheten</x:v>
      </x:c>
      <x:c r="J64" s="17" t="str">
        <x:v>EXAKT</x:v>
      </x:c>
      <x:c r="K64" s="17" t="str">
        <x:v>N-0598</x:v>
      </x:c>
      <x:c r="L64" s="17" t="str">
        <x:v>Matthäus 7,15</x:v>
      </x:c>
      <x:c r="M64" s="17" t="str">
        <x:v>Vor wem warnt Jesus?</x:v>
      </x:c>
      <x:c r="N64" s="17" t="str">
        <x:v>Falschen Propheten</x:v>
      </x:c>
      <x:c r="O64" s="17" t="str">
        <x:v>Enge Pforte und falsche Propheten</x:v>
      </x:c>
      <x:c r="P64" s="17" t="str">
        <x:v>Matthäus 7,13–23</x:v>
      </x:c>
      <x:c r="Q64" s="17" t="str">
        <x:v>RECONSTRUCTED_FROM_FINAL_SOURCES</x:v>
      </x:c>
      <x:c r="R64" s="17" t="str">
        <x:v>HIGH</x:v>
      </x:c>
      <x:c r="S64" s="17" t="str">
        <x:v>FaithPath final QA PDF + Nachlese final QA + current develop/v4 data</x:v>
      </x:c>
      <x:c r="T64" s="17" t="str">
        <x:v>Block-1 aggregate reproduced exactly: 92 EXAKT / 5 SINNGLEICH / 3 KONFLIKT.</x:v>
      </x:c>
    </x:row>
    <x:row r="65" ht="26.399999618530273" hidden="0" customHeight="1">
      <x:c r="A65" s="17" t="str">
        <x:v>FP-0064</x:v>
      </x:c>
      <x:c r="B65" s="17" t="str">
        <x:v>FP-0001–0100</x:v>
      </x:c>
      <x:c r="C65" s="17" t="n">
        <x:v>13</x:v>
      </x:c>
      <x:c r="D65" s="17" t="n">
        <x:v>13</x:v>
      </x:c>
      <x:c r="E65" s="17" t="n">
        <x:v>4</x:v>
      </x:c>
      <x:c r="F65" s="17" t="str">
        <x:v>$[12].questions[3]</x:v>
      </x:c>
      <x:c r="G65" s="17" t="str">
        <x:v>Matthäus 7,16</x:v>
      </x:c>
      <x:c r="H65" s="17" t="str">
        <x:v>Woran soll man sie erkennen?</x:v>
      </x:c>
      <x:c r="I65" s="17" t="str">
        <x:v>An ihren Früchten</x:v>
      </x:c>
      <x:c r="J65" s="17" t="str">
        <x:v>EXAKT</x:v>
      </x:c>
      <x:c r="K65" s="17" t="str">
        <x:v>N-0599</x:v>
      </x:c>
      <x:c r="L65" s="17" t="str">
        <x:v>Matthäus 7,16</x:v>
      </x:c>
      <x:c r="M65" s="17" t="str">
        <x:v>Woran soll man sie erkennen?</x:v>
      </x:c>
      <x:c r="N65" s="17" t="str">
        <x:v>An ihren Früchten</x:v>
      </x:c>
      <x:c r="O65" s="17" t="str">
        <x:v>Enge Pforte und falsche Propheten</x:v>
      </x:c>
      <x:c r="P65" s="17" t="str">
        <x:v>Matthäus 7,13–23</x:v>
      </x:c>
      <x:c r="Q65" s="17" t="str">
        <x:v>RECONSTRUCTED_FROM_FINAL_SOURCES</x:v>
      </x:c>
      <x:c r="R65" s="17" t="str">
        <x:v>HIGH</x:v>
      </x:c>
      <x:c r="S65" s="17" t="str">
        <x:v>FaithPath final QA PDF + Nachlese final QA + current develop/v4 data</x:v>
      </x:c>
      <x:c r="T65" s="17" t="str">
        <x:v>Block-1 aggregate reproduced exactly: 92 EXAKT / 5 SINNGLEICH / 3 KONFLIKT.</x:v>
      </x:c>
    </x:row>
    <x:row r="66" ht="26.399999618530273" hidden="0" customHeight="1">
      <x:c r="A66" s="17" t="str">
        <x:v>FP-0065</x:v>
      </x:c>
      <x:c r="B66" s="17" t="str">
        <x:v>FP-0001–0100</x:v>
      </x:c>
      <x:c r="C66" s="17" t="n">
        <x:v>13</x:v>
      </x:c>
      <x:c r="D66" s="17" t="n">
        <x:v>13</x:v>
      </x:c>
      <x:c r="E66" s="17" t="n">
        <x:v>5</x:v>
      </x:c>
      <x:c r="F66" s="17" t="str">
        <x:v>$[12].questions[4]</x:v>
      </x:c>
      <x:c r="G66" s="17" t="str">
        <x:v>Matthäus 7,21</x:v>
      </x:c>
      <x:c r="H66" s="17" t="str">
        <x:v>Wer wird laut Jesus in das Himmelreich eingehen?</x:v>
      </x:c>
      <x:c r="I66" s="17" t="str">
        <x:v>Wer den Willen des Vaters tut</x:v>
      </x:c>
      <x:c r="J66" s="17" t="str">
        <x:v>EXAKT</x:v>
      </x:c>
      <x:c r="K66" s="17" t="str">
        <x:v>N-0600</x:v>
      </x:c>
      <x:c r="L66" s="17" t="str">
        <x:v>Matthäus 7,21</x:v>
      </x:c>
      <x:c r="M66" s="17" t="str">
        <x:v>Wer wird laut Jesus in das Himmelreich eingehen?</x:v>
      </x:c>
      <x:c r="N66" s="17" t="str">
        <x:v>Wer den Willen des Vaters tut</x:v>
      </x:c>
      <x:c r="O66" s="17" t="str">
        <x:v>Enge Pforte und falsche Propheten</x:v>
      </x:c>
      <x:c r="P66" s="17" t="str">
        <x:v>Matthäus 7,13–23</x:v>
      </x:c>
      <x:c r="Q66" s="17" t="str">
        <x:v>RECONSTRUCTED_FROM_FINAL_SOURCES</x:v>
      </x:c>
      <x:c r="R66" s="17" t="str">
        <x:v>HIGH</x:v>
      </x:c>
      <x:c r="S66" s="17" t="str">
        <x:v>FaithPath final QA PDF + Nachlese final QA + current develop/v4 data</x:v>
      </x:c>
      <x:c r="T66" s="17" t="str">
        <x:v>Block-1 aggregate reproduced exactly: 92 EXAKT / 5 SINNGLEICH / 3 KONFLIKT.</x:v>
      </x:c>
    </x:row>
    <x:row r="67" ht="26.399999618530273" hidden="0" customHeight="1">
      <x:c r="A67" s="17" t="str">
        <x:v>FP-0066</x:v>
      </x:c>
      <x:c r="B67" s="17" t="str">
        <x:v>FP-0001–0100</x:v>
      </x:c>
      <x:c r="C67" s="17" t="n">
        <x:v>14</x:v>
      </x:c>
      <x:c r="D67" s="17" t="n">
        <x:v>14</x:v>
      </x:c>
      <x:c r="E67" s="17" t="n">
        <x:v>1</x:v>
      </x:c>
      <x:c r="F67" s="17" t="str">
        <x:v>$[13].questions[0]</x:v>
      </x:c>
      <x:c r="G67" s="17" t="str">
        <x:v>Matthäus 7,24</x:v>
      </x:c>
      <x:c r="H67" s="17" t="str">
        <x:v>Womit vergleicht Jesus den, der seine Worte hört und tut?</x:v>
      </x:c>
      <x:c r="I67" s="17" t="str">
        <x:v>Mit einem klugen Mann</x:v>
      </x:c>
      <x:c r="J67" s="17" t="str">
        <x:v>EXAKT</x:v>
      </x:c>
      <x:c r="K67" s="17" t="str">
        <x:v>N-0601</x:v>
      </x:c>
      <x:c r="L67" s="17" t="str">
        <x:v>Matthäus 7,24</x:v>
      </x:c>
      <x:c r="M67" s="17" t="str">
        <x:v>Womit vergleicht Jesus den, der seine Worte hört und tut?</x:v>
      </x:c>
      <x:c r="N67" s="17" t="str">
        <x:v>Mit einem klugen Mann</x:v>
      </x:c>
      <x:c r="O67" s="17" t="str">
        <x:v>Haus auf Fels oder Sand</x:v>
      </x:c>
      <x:c r="P67" s="17" t="str">
        <x:v>Matthäus 7,24–29</x:v>
      </x:c>
      <x:c r="Q67" s="17" t="str">
        <x:v>RECONSTRUCTED_FROM_FINAL_SOURCES</x:v>
      </x:c>
      <x:c r="R67" s="17" t="str">
        <x:v>HIGH</x:v>
      </x:c>
      <x:c r="S67" s="17" t="str">
        <x:v>FaithPath final QA PDF + Nachlese final QA + current develop/v4 data</x:v>
      </x:c>
      <x:c r="T67" s="17" t="str">
        <x:v>Block-1 aggregate reproduced exactly: 92 EXAKT / 5 SINNGLEICH / 3 KONFLIKT.</x:v>
      </x:c>
    </x:row>
    <x:row r="68" ht="26.399999618530273" hidden="0" customHeight="1">
      <x:c r="A68" s="17" t="str">
        <x:v>FP-0067</x:v>
      </x:c>
      <x:c r="B68" s="17" t="str">
        <x:v>FP-0001–0100</x:v>
      </x:c>
      <x:c r="C68" s="17" t="n">
        <x:v>14</x:v>
      </x:c>
      <x:c r="D68" s="17" t="n">
        <x:v>14</x:v>
      </x:c>
      <x:c r="E68" s="17" t="n">
        <x:v>2</x:v>
      </x:c>
      <x:c r="F68" s="17" t="str">
        <x:v>$[13].questions[1]</x:v>
      </x:c>
      <x:c r="G68" s="17" t="str">
        <x:v>Matthäus 7,24</x:v>
      </x:c>
      <x:c r="H68" s="17" t="str">
        <x:v>Worauf baute der kluge Mann sein Haus?</x:v>
      </x:c>
      <x:c r="I68" s="17" t="str">
        <x:v>Auf Fels</x:v>
      </x:c>
      <x:c r="J68" s="17" t="str">
        <x:v>EXAKT</x:v>
      </x:c>
      <x:c r="K68" s="17" t="str">
        <x:v>N-0602</x:v>
      </x:c>
      <x:c r="L68" s="17" t="str">
        <x:v>Matthäus 7,24</x:v>
      </x:c>
      <x:c r="M68" s="17" t="str">
        <x:v>Worauf baute der kluge Mann sein Haus?</x:v>
      </x:c>
      <x:c r="N68" s="17" t="str">
        <x:v>Auf Fels</x:v>
      </x:c>
      <x:c r="O68" s="17" t="str">
        <x:v>Haus auf Fels oder Sand</x:v>
      </x:c>
      <x:c r="P68" s="17" t="str">
        <x:v>Matthäus 7,24–29</x:v>
      </x:c>
      <x:c r="Q68" s="17" t="str">
        <x:v>RECONSTRUCTED_FROM_FINAL_SOURCES</x:v>
      </x:c>
      <x:c r="R68" s="17" t="str">
        <x:v>HIGH</x:v>
      </x:c>
      <x:c r="S68" s="17" t="str">
        <x:v>FaithPath final QA PDF + Nachlese final QA + current develop/v4 data</x:v>
      </x:c>
      <x:c r="T68" s="17" t="str">
        <x:v>Block-1 aggregate reproduced exactly: 92 EXAKT / 5 SINNGLEICH / 3 KONFLIKT.</x:v>
      </x:c>
    </x:row>
    <x:row r="69" ht="26.399999618530273" hidden="0" customHeight="1">
      <x:c r="A69" s="17" t="str">
        <x:v>FP-0068</x:v>
      </x:c>
      <x:c r="B69" s="17" t="str">
        <x:v>FP-0001–0100</x:v>
      </x:c>
      <x:c r="C69" s="17" t="n">
        <x:v>14</x:v>
      </x:c>
      <x:c r="D69" s="17" t="n">
        <x:v>14</x:v>
      </x:c>
      <x:c r="E69" s="17" t="n">
        <x:v>3</x:v>
      </x:c>
      <x:c r="F69" s="17" t="str">
        <x:v>$[13].questions[2]</x:v>
      </x:c>
      <x:c r="G69" s="17" t="str">
        <x:v>Matthäus 7,26</x:v>
      </x:c>
      <x:c r="H69" s="17" t="str">
        <x:v>Worauf baute der törichte Mann?</x:v>
      </x:c>
      <x:c r="I69" s="17" t="str">
        <x:v>Auf Sand</x:v>
      </x:c>
      <x:c r="J69" s="17" t="str">
        <x:v>EXAKT</x:v>
      </x:c>
      <x:c r="K69" s="17" t="str">
        <x:v>N-0603</x:v>
      </x:c>
      <x:c r="L69" s="17" t="str">
        <x:v>Matthäus 7,26</x:v>
      </x:c>
      <x:c r="M69" s="17" t="str">
        <x:v>Worauf baute der törichte Mann?</x:v>
      </x:c>
      <x:c r="N69" s="17" t="str">
        <x:v>Auf Sand</x:v>
      </x:c>
      <x:c r="O69" s="17" t="str">
        <x:v>Haus auf Fels oder Sand</x:v>
      </x:c>
      <x:c r="P69" s="17" t="str">
        <x:v>Matthäus 7,24–29</x:v>
      </x:c>
      <x:c r="Q69" s="17" t="str">
        <x:v>RECONSTRUCTED_FROM_FINAL_SOURCES</x:v>
      </x:c>
      <x:c r="R69" s="17" t="str">
        <x:v>HIGH</x:v>
      </x:c>
      <x:c r="S69" s="17" t="str">
        <x:v>FaithPath final QA PDF + Nachlese final QA + current develop/v4 data</x:v>
      </x:c>
      <x:c r="T69" s="17" t="str">
        <x:v>Block-1 aggregate reproduced exactly: 92 EXAKT / 5 SINNGLEICH / 3 KONFLIKT.</x:v>
      </x:c>
    </x:row>
    <x:row r="70" ht="26.399999618530273" hidden="0" customHeight="1">
      <x:c r="A70" s="17" t="str">
        <x:v>FP-0069</x:v>
      </x:c>
      <x:c r="B70" s="17" t="str">
        <x:v>FP-0001–0100</x:v>
      </x:c>
      <x:c r="C70" s="17" t="n">
        <x:v>14</x:v>
      </x:c>
      <x:c r="D70" s="17" t="n">
        <x:v>14</x:v>
      </x:c>
      <x:c r="E70" s="17" t="n">
        <x:v>4</x:v>
      </x:c>
      <x:c r="F70" s="17" t="str">
        <x:v>$[13].questions[3]</x:v>
      </x:c>
      <x:c r="G70" s="17" t="str">
        <x:v>Matthäus 7,25</x:v>
      </x:c>
      <x:c r="H70" s="17" t="str">
        <x:v>Was geschah mit dem Haus auf Fels trotz Regen und Wind?</x:v>
      </x:c>
      <x:c r="I70" s="17" t="str">
        <x:v>Es fiel nicht</x:v>
      </x:c>
      <x:c r="J70" s="17" t="str">
        <x:v>EXAKT</x:v>
      </x:c>
      <x:c r="K70" s="17" t="str">
        <x:v>N-0604</x:v>
      </x:c>
      <x:c r="L70" s="17" t="str">
        <x:v>Matthäus 7,25</x:v>
      </x:c>
      <x:c r="M70" s="17" t="str">
        <x:v>Was geschah mit dem Haus auf Fels trotz Regen und Wind?</x:v>
      </x:c>
      <x:c r="N70" s="17" t="str">
        <x:v>Es fiel nicht</x:v>
      </x:c>
      <x:c r="O70" s="17" t="str">
        <x:v>Haus auf Fels oder Sand</x:v>
      </x:c>
      <x:c r="P70" s="17" t="str">
        <x:v>Matthäus 7,24–29</x:v>
      </x:c>
      <x:c r="Q70" s="17" t="str">
        <x:v>RECONSTRUCTED_FROM_FINAL_SOURCES</x:v>
      </x:c>
      <x:c r="R70" s="17" t="str">
        <x:v>HIGH</x:v>
      </x:c>
      <x:c r="S70" s="17" t="str">
        <x:v>FaithPath final QA PDF + Nachlese final QA + current develop/v4 data</x:v>
      </x:c>
      <x:c r="T70" s="17" t="str">
        <x:v>Block-1 aggregate reproduced exactly: 92 EXAKT / 5 SINNGLEICH / 3 KONFLIKT.</x:v>
      </x:c>
    </x:row>
    <x:row r="71" ht="26.399999618530273" hidden="0" customHeight="1">
      <x:c r="A71" s="17" t="str">
        <x:v>FP-0070</x:v>
      </x:c>
      <x:c r="B71" s="17" t="str">
        <x:v>FP-0001–0100</x:v>
      </x:c>
      <x:c r="C71" s="17" t="n">
        <x:v>14</x:v>
      </x:c>
      <x:c r="D71" s="17" t="n">
        <x:v>14</x:v>
      </x:c>
      <x:c r="E71" s="17" t="n">
        <x:v>5</x:v>
      </x:c>
      <x:c r="F71" s="17" t="str">
        <x:v>$[13].questions[4]</x:v>
      </x:c>
      <x:c r="G71" s="17" t="str">
        <x:v>Matthäus 7,28–29</x:v>
      </x:c>
      <x:c r="H71" s="17" t="str">
        <x:v>Wie reagierte die Menge auf Jesu Lehre?</x:v>
      </x:c>
      <x:c r="I71" s="17" t="str">
        <x:v>Sie entsetzte/erstaunte sich über seine Lehre</x:v>
      </x:c>
      <x:c r="J71" s="17" t="str">
        <x:v>EXAKT</x:v>
      </x:c>
      <x:c r="K71" s="17" t="str">
        <x:v>N-0605</x:v>
      </x:c>
      <x:c r="L71" s="17" t="str">
        <x:v>Matthäus 7,28–29</x:v>
      </x:c>
      <x:c r="M71" s="17" t="str">
        <x:v>Wie reagierte die Menge auf Jesu Lehre?</x:v>
      </x:c>
      <x:c r="N71" s="17" t="str">
        <x:v>Sie entsetzte/erstaunte sich über seine Lehre</x:v>
      </x:c>
      <x:c r="O71" s="17" t="str">
        <x:v>Haus auf Fels oder Sand</x:v>
      </x:c>
      <x:c r="P71" s="17" t="str">
        <x:v>Matthäus 7,24–29</x:v>
      </x:c>
      <x:c r="Q71" s="17" t="str">
        <x:v>RECONSTRUCTED_FROM_FINAL_SOURCES</x:v>
      </x:c>
      <x:c r="R71" s="17" t="str">
        <x:v>HIGH</x:v>
      </x:c>
      <x:c r="S71" s="17" t="str">
        <x:v>FaithPath final QA PDF + Nachlese final QA + current develop/v4 data</x:v>
      </x:c>
      <x:c r="T71" s="17" t="str">
        <x:v>Block-1 aggregate reproduced exactly: 92 EXAKT / 5 SINNGLEICH / 3 KONFLIKT.</x:v>
      </x:c>
    </x:row>
    <x:row r="72" ht="26.399999618530273" hidden="0" customHeight="1">
      <x:c r="A72" s="17" t="str">
        <x:v>FP-0071</x:v>
      </x:c>
      <x:c r="B72" s="17" t="str">
        <x:v>FP-0001–0100</x:v>
      </x:c>
      <x:c r="C72" s="17" t="n">
        <x:v>15</x:v>
      </x:c>
      <x:c r="D72" s="17" t="n">
        <x:v>15</x:v>
      </x:c>
      <x:c r="E72" s="17" t="n">
        <x:v>1</x:v>
      </x:c>
      <x:c r="F72" s="17" t="str">
        <x:v>$[14].questions[0]</x:v>
      </x:c>
      <x:c r="G72" s="17" t="str">
        <x:v>Matthäus 8,2</x:v>
      </x:c>
      <x:c r="H72" s="17" t="str">
        <x:v>Wer kam zu Jesus?</x:v>
      </x:c>
      <x:c r="I72" s="17" t="str">
        <x:v>Ein Aussätziger</x:v>
      </x:c>
      <x:c r="J72" s="17" t="str">
        <x:v>EXAKT</x:v>
      </x:c>
      <x:c r="K72" s="17" t="str">
        <x:v>N-0606</x:v>
      </x:c>
      <x:c r="L72" s="17" t="str">
        <x:v>Matthäus 8,2</x:v>
      </x:c>
      <x:c r="M72" s="17" t="str">
        <x:v>Wer kam zu Jesus?</x:v>
      </x:c>
      <x:c r="N72" s="17" t="str">
        <x:v>Ein Aussätziger</x:v>
      </x:c>
      <x:c r="O72" s="17" t="str">
        <x:v>Heilung eines Aussätzigen</x:v>
      </x:c>
      <x:c r="P72" s="17" t="str">
        <x:v>Matthäus 8,1–4</x:v>
      </x:c>
      <x:c r="Q72" s="17" t="str">
        <x:v>RECONSTRUCTED_FROM_FINAL_SOURCES</x:v>
      </x:c>
      <x:c r="R72" s="17" t="str">
        <x:v>HIGH</x:v>
      </x:c>
      <x:c r="S72" s="17" t="str">
        <x:v>FaithPath final QA PDF + Nachlese final QA + current develop/v4 data</x:v>
      </x:c>
      <x:c r="T72" s="17" t="str">
        <x:v>Block-1 aggregate reproduced exactly: 92 EXAKT / 5 SINNGLEICH / 3 KONFLIKT.</x:v>
      </x:c>
    </x:row>
    <x:row r="73" ht="26.399999618530273" hidden="0" customHeight="1">
      <x:c r="A73" s="17" t="str">
        <x:v>FP-0072</x:v>
      </x:c>
      <x:c r="B73" s="17" t="str">
        <x:v>FP-0001–0100</x:v>
      </x:c>
      <x:c r="C73" s="17" t="n">
        <x:v>15</x:v>
      </x:c>
      <x:c r="D73" s="17" t="n">
        <x:v>15</x:v>
      </x:c>
      <x:c r="E73" s="17" t="n">
        <x:v>2</x:v>
      </x:c>
      <x:c r="F73" s="17" t="str">
        <x:v>$[14].questions[1]</x:v>
      </x:c>
      <x:c r="G73" s="17" t="str">
        <x:v>Matthäus 8,2</x:v>
      </x:c>
      <x:c r="H73" s="17" t="str">
        <x:v>Was glaubte der Mann über Jesus?</x:v>
      </x:c>
      <x:c r="I73" s="17" t="str">
        <x:v>Wenn du willst, kannst du mich reinigen</x:v>
      </x:c>
      <x:c r="J73" s="17" t="str">
        <x:v>EXAKT</x:v>
      </x:c>
      <x:c r="K73" s="17" t="str">
        <x:v>N-0607</x:v>
      </x:c>
      <x:c r="L73" s="17" t="str">
        <x:v>Matthäus 8,2</x:v>
      </x:c>
      <x:c r="M73" s="17" t="str">
        <x:v>Was glaubte der Mann über Jesus?</x:v>
      </x:c>
      <x:c r="N73" s="17" t="str">
        <x:v>Wenn du willst, kannst du mich reinigen</x:v>
      </x:c>
      <x:c r="O73" s="17" t="str">
        <x:v>Heilung eines Aussätzigen</x:v>
      </x:c>
      <x:c r="P73" s="17" t="str">
        <x:v>Matthäus 8,1–4</x:v>
      </x:c>
      <x:c r="Q73" s="17" t="str">
        <x:v>RECONSTRUCTED_FROM_FINAL_SOURCES</x:v>
      </x:c>
      <x:c r="R73" s="17" t="str">
        <x:v>HIGH</x:v>
      </x:c>
      <x:c r="S73" s="17" t="str">
        <x:v>FaithPath final QA PDF + Nachlese final QA + current develop/v4 data</x:v>
      </x:c>
      <x:c r="T73" s="17" t="str">
        <x:v>Block-1 aggregate reproduced exactly: 92 EXAKT / 5 SINNGLEICH / 3 KONFLIKT.</x:v>
      </x:c>
    </x:row>
    <x:row r="74" ht="26.399999618530273" hidden="0" customHeight="1">
      <x:c r="A74" s="17" t="str">
        <x:v>FP-0073</x:v>
      </x:c>
      <x:c r="B74" s="17" t="str">
        <x:v>FP-0001–0100</x:v>
      </x:c>
      <x:c r="C74" s="17" t="n">
        <x:v>15</x:v>
      </x:c>
      <x:c r="D74" s="17" t="n">
        <x:v>15</x:v>
      </x:c>
      <x:c r="E74" s="17" t="n">
        <x:v>3</x:v>
      </x:c>
      <x:c r="F74" s="17" t="str">
        <x:v>$[14].questions[2]</x:v>
      </x:c>
      <x:c r="G74" s="17" t="str">
        <x:v>Matthäus 8,3</x:v>
      </x:c>
      <x:c r="H74" s="17" t="str">
        <x:v>Was tat Jesus?</x:v>
      </x:c>
      <x:c r="I74" s="17" t="str">
        <x:v>Er streckte die Hand aus und rührte ihn an</x:v>
      </x:c>
      <x:c r="J74" s="17" t="str">
        <x:v>EXAKT</x:v>
      </x:c>
      <x:c r="K74" s="17" t="str">
        <x:v>N-0608</x:v>
      </x:c>
      <x:c r="L74" s="17" t="str">
        <x:v>Matthäus 8,3</x:v>
      </x:c>
      <x:c r="M74" s="17" t="str">
        <x:v>Was tat Jesus?</x:v>
      </x:c>
      <x:c r="N74" s="17" t="str">
        <x:v>Er streckte die Hand aus und rührte ihn an</x:v>
      </x:c>
      <x:c r="O74" s="17" t="str">
        <x:v>Heilung eines Aussätzigen</x:v>
      </x:c>
      <x:c r="P74" s="17" t="str">
        <x:v>Matthäus 8,1–4</x:v>
      </x:c>
      <x:c r="Q74" s="17" t="str">
        <x:v>RECONSTRUCTED_FROM_FINAL_SOURCES</x:v>
      </x:c>
      <x:c r="R74" s="17" t="str">
        <x:v>HIGH</x:v>
      </x:c>
      <x:c r="S74" s="17" t="str">
        <x:v>FaithPath final QA PDF + Nachlese final QA + current develop/v4 data</x:v>
      </x:c>
      <x:c r="T74" s="17" t="str">
        <x:v>Block-1 aggregate reproduced exactly: 92 EXAKT / 5 SINNGLEICH / 3 KONFLIKT.</x:v>
      </x:c>
    </x:row>
    <x:row r="75" ht="26.399999618530273" hidden="0" customHeight="1">
      <x:c r="A75" s="17" t="str">
        <x:v>FP-0074</x:v>
      </x:c>
      <x:c r="B75" s="17" t="str">
        <x:v>FP-0001–0100</x:v>
      </x:c>
      <x:c r="C75" s="17" t="n">
        <x:v>15</x:v>
      </x:c>
      <x:c r="D75" s="17" t="n">
        <x:v>15</x:v>
      </x:c>
      <x:c r="E75" s="17" t="n">
        <x:v>4</x:v>
      </x:c>
      <x:c r="F75" s="17" t="str">
        <x:v>$[14].questions[3]</x:v>
      </x:c>
      <x:c r="G75" s="17" t="str">
        <x:v>Matthäus 8,3</x:v>
      </x:c>
      <x:c r="H75" s="17" t="str">
        <x:v>Was geschah daraufhin?</x:v>
      </x:c>
      <x:c r="I75" s="17" t="str">
        <x:v>Der Aussatz wurde gereinigt</x:v>
      </x:c>
      <x:c r="J75" s="17" t="str">
        <x:v>EXAKT</x:v>
      </x:c>
      <x:c r="K75" s="17" t="str">
        <x:v>N-0609</x:v>
      </x:c>
      <x:c r="L75" s="17" t="str">
        <x:v>Matthäus 8,3</x:v>
      </x:c>
      <x:c r="M75" s="17" t="str">
        <x:v>Was geschah daraufhin?</x:v>
      </x:c>
      <x:c r="N75" s="17" t="str">
        <x:v>Der Aussatz wurde gereinigt</x:v>
      </x:c>
      <x:c r="O75" s="17" t="str">
        <x:v>Heilung eines Aussätzigen</x:v>
      </x:c>
      <x:c r="P75" s="17" t="str">
        <x:v>Matthäus 8,1–4</x:v>
      </x:c>
      <x:c r="Q75" s="17" t="str">
        <x:v>RECONSTRUCTED_FROM_FINAL_SOURCES</x:v>
      </x:c>
      <x:c r="R75" s="17" t="str">
        <x:v>HIGH</x:v>
      </x:c>
      <x:c r="S75" s="17" t="str">
        <x:v>FaithPath final QA PDF + Nachlese final QA + current develop/v4 data</x:v>
      </x:c>
      <x:c r="T75" s="17" t="str">
        <x:v>Block-1 aggregate reproduced exactly: 92 EXAKT / 5 SINNGLEICH / 3 KONFLIKT.</x:v>
      </x:c>
    </x:row>
    <x:row r="76" ht="26.399999618530273" hidden="0" customHeight="1">
      <x:c r="A76" s="17" t="str">
        <x:v>FP-0075</x:v>
      </x:c>
      <x:c r="B76" s="17" t="str">
        <x:v>FP-0001–0100</x:v>
      </x:c>
      <x:c r="C76" s="17" t="n">
        <x:v>15</x:v>
      </x:c>
      <x:c r="D76" s="17" t="n">
        <x:v>15</x:v>
      </x:c>
      <x:c r="E76" s="17" t="n">
        <x:v>5</x:v>
      </x:c>
      <x:c r="F76" s="17" t="str">
        <x:v>$[14].questions[4]</x:v>
      </x:c>
      <x:c r="G76" s="17" t="str">
        <x:v>Matthäus 8,4</x:v>
      </x:c>
      <x:c r="H76" s="17" t="str">
        <x:v>Wem sollte sich der Geheilte zeigen?</x:v>
      </x:c>
      <x:c r="I76" s="17" t="str">
        <x:v>Dem Priester</x:v>
      </x:c>
      <x:c r="J76" s="17" t="str">
        <x:v>EXAKT</x:v>
      </x:c>
      <x:c r="K76" s="17" t="str">
        <x:v>N-0610</x:v>
      </x:c>
      <x:c r="L76" s="17" t="str">
        <x:v>Matthäus 8,4</x:v>
      </x:c>
      <x:c r="M76" s="17" t="str">
        <x:v>Wem sollte sich der Geheilte zeigen?</x:v>
      </x:c>
      <x:c r="N76" s="17" t="str">
        <x:v>Dem Priester</x:v>
      </x:c>
      <x:c r="O76" s="17" t="str">
        <x:v>Heilung eines Aussätzigen</x:v>
      </x:c>
      <x:c r="P76" s="17" t="str">
        <x:v>Matthäus 8,1–4</x:v>
      </x:c>
      <x:c r="Q76" s="17" t="str">
        <x:v>RECONSTRUCTED_FROM_FINAL_SOURCES</x:v>
      </x:c>
      <x:c r="R76" s="17" t="str">
        <x:v>HIGH</x:v>
      </x:c>
      <x:c r="S76" s="17" t="str">
        <x:v>FaithPath final QA PDF + Nachlese final QA + current develop/v4 data</x:v>
      </x:c>
      <x:c r="T76" s="17" t="str">
        <x:v>Block-1 aggregate reproduced exactly: 92 EXAKT / 5 SINNGLEICH / 3 KONFLIKT.</x:v>
      </x:c>
    </x:row>
    <x:row r="77" ht="26.399999618530273" hidden="0" customHeight="1">
      <x:c r="A77" s="17" t="str">
        <x:v>FP-0076</x:v>
      </x:c>
      <x:c r="B77" s="17" t="str">
        <x:v>FP-0001–0100</x:v>
      </x:c>
      <x:c r="C77" s="17" t="n">
        <x:v>16</x:v>
      </x:c>
      <x:c r="D77" s="17" t="n">
        <x:v>16</x:v>
      </x:c>
      <x:c r="E77" s="17" t="n">
        <x:v>1</x:v>
      </x:c>
      <x:c r="F77" s="17" t="str">
        <x:v>$[15].questions[0]</x:v>
      </x:c>
      <x:c r="G77" s="17" t="str">
        <x:v>Matthäus 8,5</x:v>
      </x:c>
      <x:c r="H77" s="17" t="str">
        <x:v>In welcher Stadt begegnete Jesus dem Hauptmann?</x:v>
      </x:c>
      <x:c r="I77" s="17" t="str">
        <x:v>Kapernaum</x:v>
      </x:c>
      <x:c r="J77" s="17" t="str">
        <x:v>EXAKT</x:v>
      </x:c>
      <x:c r="K77" s="17" t="str">
        <x:v>N-0611</x:v>
      </x:c>
      <x:c r="L77" s="17" t="str">
        <x:v>Matthäus 8,5</x:v>
      </x:c>
      <x:c r="M77" s="17" t="str">
        <x:v>In welcher Stadt begegnete Jesus dem Hauptmann?</x:v>
      </x:c>
      <x:c r="N77" s="17" t="str">
        <x:v>Kapernaum</x:v>
      </x:c>
      <x:c r="O77" s="17" t="str">
        <x:v>Der Hauptmann von Kapernaum</x:v>
      </x:c>
      <x:c r="P77" s="17" t="str">
        <x:v>Matthäus 8,5–13</x:v>
      </x:c>
      <x:c r="Q77" s="17" t="str">
        <x:v>RECONSTRUCTED_FROM_FINAL_SOURCES</x:v>
      </x:c>
      <x:c r="R77" s="17" t="str">
        <x:v>HIGH</x:v>
      </x:c>
      <x:c r="S77" s="17" t="str">
        <x:v>FaithPath final QA PDF + Nachlese final QA + current develop/v4 data</x:v>
      </x:c>
      <x:c r="T77" s="17" t="str">
        <x:v>Block-1 aggregate reproduced exactly: 92 EXAKT / 5 SINNGLEICH / 3 KONFLIKT.</x:v>
      </x:c>
    </x:row>
    <x:row r="78" ht="26.399999618530273" hidden="0" customHeight="1">
      <x:c r="A78" s="17" t="str">
        <x:v>FP-0077</x:v>
      </x:c>
      <x:c r="B78" s="17" t="str">
        <x:v>FP-0001–0100</x:v>
      </x:c>
      <x:c r="C78" s="17" t="n">
        <x:v>16</x:v>
      </x:c>
      <x:c r="D78" s="17" t="n">
        <x:v>16</x:v>
      </x:c>
      <x:c r="E78" s="17" t="n">
        <x:v>2</x:v>
      </x:c>
      <x:c r="F78" s="17" t="str">
        <x:v>$[15].questions[1]</x:v>
      </x:c>
      <x:c r="G78" s="17" t="str">
        <x:v>Matthäus 8,6</x:v>
      </x:c>
      <x:c r="H78" s="17" t="str">
        <x:v>Für wen bat der Hauptmann?</x:v>
      </x:c>
      <x:c r="I78" s="17" t="str">
        <x:v>Für seinen Knecht</x:v>
      </x:c>
      <x:c r="J78" s="17" t="str">
        <x:v>EXAKT</x:v>
      </x:c>
      <x:c r="K78" s="17" t="str">
        <x:v>N-0612</x:v>
      </x:c>
      <x:c r="L78" s="17" t="str">
        <x:v>Matthäus 8,6</x:v>
      </x:c>
      <x:c r="M78" s="17" t="str">
        <x:v>Für wen bat der Hauptmann?</x:v>
      </x:c>
      <x:c r="N78" s="17" t="str">
        <x:v>Für seinen Knecht</x:v>
      </x:c>
      <x:c r="O78" s="17" t="str">
        <x:v>Der Hauptmann von Kapernaum</x:v>
      </x:c>
      <x:c r="P78" s="17" t="str">
        <x:v>Matthäus 8,5–13</x:v>
      </x:c>
      <x:c r="Q78" s="17" t="str">
        <x:v>RECONSTRUCTED_FROM_FINAL_SOURCES</x:v>
      </x:c>
      <x:c r="R78" s="17" t="str">
        <x:v>HIGH</x:v>
      </x:c>
      <x:c r="S78" s="17" t="str">
        <x:v>FaithPath final QA PDF + Nachlese final QA + current develop/v4 data</x:v>
      </x:c>
      <x:c r="T78" s="17" t="str">
        <x:v>Block-1 aggregate reproduced exactly: 92 EXAKT / 5 SINNGLEICH / 3 KONFLIKT.</x:v>
      </x:c>
    </x:row>
    <x:row r="79" ht="26.399999618530273" hidden="0" customHeight="1">
      <x:c r="A79" s="17" t="str">
        <x:v>FP-0078</x:v>
      </x:c>
      <x:c r="B79" s="17" t="str">
        <x:v>FP-0001–0100</x:v>
      </x:c>
      <x:c r="C79" s="17" t="n">
        <x:v>16</x:v>
      </x:c>
      <x:c r="D79" s="17" t="n">
        <x:v>16</x:v>
      </x:c>
      <x:c r="E79" s="17" t="n">
        <x:v>3</x:v>
      </x:c>
      <x:c r="F79" s="17" t="str">
        <x:v>$[15].questions[2]</x:v>
      </x:c>
      <x:c r="G79" s="17" t="str">
        <x:v>Matthäus 8,8</x:v>
      </x:c>
      <x:c r="H79" s="17" t="str">
        <x:v>Was hielt der Hauptmann von sich selbst?</x:v>
      </x:c>
      <x:c r="I79" s="17" t="str">
        <x:v>Er sei nicht würdig, Jesus unter sein Dach zu nehmen</x:v>
      </x:c>
      <x:c r="J79" s="17" t="str">
        <x:v>SINNGLEICH</x:v>
      </x:c>
      <x:c r="K79" s="17" t="str">
        <x:v>N-0613</x:v>
      </x:c>
      <x:c r="L79" s="17" t="str">
        <x:v>Matthäus 8,8</x:v>
      </x:c>
      <x:c r="M79" s="17" t="str">
        <x:v>Was hielt der Hauptmann von sich selbst?</x:v>
      </x:c>
      <x:c r="N79" s="17" t="str">
        <x:v>Er erklärte sich für nicht würdig</x:v>
      </x:c>
      <x:c r="O79" s="17" t="str">
        <x:v>Der Hauptmann von Kapernaum</x:v>
      </x:c>
      <x:c r="P79" s="17" t="str">
        <x:v>Matthäus 8,5–13</x:v>
      </x:c>
      <x:c r="Q79" s="17" t="str">
        <x:v>RECONSTRUCTED_FROM_FINAL_SOURCES</x:v>
      </x:c>
      <x:c r="R79" s="17" t="str">
        <x:v>MEDIUM</x:v>
      </x:c>
      <x:c r="S79" s="17" t="str">
        <x:v>FaithPath final QA PDF + Nachlese final QA + current develop/v4 data</x:v>
      </x:c>
      <x:c r="T79" s="17" t="str">
        <x:v>Block-1 aggregate reproduced exactly: 92 EXAKT / 5 SINNGLEICH / 3 KONFLIKT.</x:v>
      </x:c>
    </x:row>
    <x:row r="80" ht="26.399999618530273" hidden="0" customHeight="1">
      <x:c r="A80" s="17" t="str">
        <x:v>FP-0079</x:v>
      </x:c>
      <x:c r="B80" s="17" t="str">
        <x:v>FP-0001–0100</x:v>
      </x:c>
      <x:c r="C80" s="17" t="n">
        <x:v>16</x:v>
      </x:c>
      <x:c r="D80" s="17" t="n">
        <x:v>16</x:v>
      </x:c>
      <x:c r="E80" s="17" t="n">
        <x:v>4</x:v>
      </x:c>
      <x:c r="F80" s="17" t="str">
        <x:v>$[15].questions[3]</x:v>
      </x:c>
      <x:c r="G80" s="17" t="str">
        <x:v>Matthäus 8,8</x:v>
      </x:c>
      <x:c r="H80" s="17" t="str">
        <x:v>Was genügte nach seiner Aussage zur Heilung?</x:v>
      </x:c>
      <x:c r="I80" s="17" t="str">
        <x:v>Ein Wort Jesu</x:v>
      </x:c>
      <x:c r="J80" s="17" t="str">
        <x:v>EXAKT</x:v>
      </x:c>
      <x:c r="K80" s="17" t="str">
        <x:v>N-0614</x:v>
      </x:c>
      <x:c r="L80" s="17" t="str">
        <x:v>Matthäus 8,8</x:v>
      </x:c>
      <x:c r="M80" s="17" t="str">
        <x:v>Was genügte nach seiner Aussage zur Heilung?</x:v>
      </x:c>
      <x:c r="N80" s="17" t="str">
        <x:v>Ein Wort Jesu</x:v>
      </x:c>
      <x:c r="O80" s="17" t="str">
        <x:v>Der Hauptmann von Kapernaum</x:v>
      </x:c>
      <x:c r="P80" s="17" t="str">
        <x:v>Matthäus 8,5–13</x:v>
      </x:c>
      <x:c r="Q80" s="17" t="str">
        <x:v>RECONSTRUCTED_FROM_FINAL_SOURCES</x:v>
      </x:c>
      <x:c r="R80" s="17" t="str">
        <x:v>HIGH</x:v>
      </x:c>
      <x:c r="S80" s="17" t="str">
        <x:v>FaithPath final QA PDF + Nachlese final QA + current develop/v4 data</x:v>
      </x:c>
      <x:c r="T80" s="17" t="str">
        <x:v>Block-1 aggregate reproduced exactly: 92 EXAKT / 5 SINNGLEICH / 3 KONFLIKT.</x:v>
      </x:c>
    </x:row>
    <x:row r="81" ht="26.399999618530273" hidden="0" customHeight="1">
      <x:c r="A81" s="17" t="str">
        <x:v>FP-0080</x:v>
      </x:c>
      <x:c r="B81" s="17" t="str">
        <x:v>FP-0001–0100</x:v>
      </x:c>
      <x:c r="C81" s="17" t="n">
        <x:v>16</x:v>
      </x:c>
      <x:c r="D81" s="17" t="n">
        <x:v>16</x:v>
      </x:c>
      <x:c r="E81" s="17" t="n">
        <x:v>5</x:v>
      </x:c>
      <x:c r="F81" s="17" t="str">
        <x:v>$[15].questions[4]</x:v>
      </x:c>
      <x:c r="G81" s="17" t="str">
        <x:v>Matthäus 8,10</x:v>
      </x:c>
      <x:c r="H81" s="17" t="str">
        <x:v>Wie reagierte Jesus auf diesen Glauben?</x:v>
      </x:c>
      <x:c r="I81" s="17" t="str">
        <x:v>Er verwunderte sich</x:v>
      </x:c>
      <x:c r="J81" s="17" t="str">
        <x:v>EXAKT</x:v>
      </x:c>
      <x:c r="K81" s="17" t="str">
        <x:v>N-0615</x:v>
      </x:c>
      <x:c r="L81" s="17" t="str">
        <x:v>Matthäus 8,10</x:v>
      </x:c>
      <x:c r="M81" s="17" t="str">
        <x:v>Wie reagierte Jesus auf diesen Glauben?</x:v>
      </x:c>
      <x:c r="N81" s="17" t="str">
        <x:v>Er verwunderte sich</x:v>
      </x:c>
      <x:c r="O81" s="17" t="str">
        <x:v>Der Hauptmann von Kapernaum</x:v>
      </x:c>
      <x:c r="P81" s="17" t="str">
        <x:v>Matthäus 8,5–13</x:v>
      </x:c>
      <x:c r="Q81" s="17" t="str">
        <x:v>RECONSTRUCTED_FROM_FINAL_SOURCES</x:v>
      </x:c>
      <x:c r="R81" s="17" t="str">
        <x:v>HIGH</x:v>
      </x:c>
      <x:c r="S81" s="17" t="str">
        <x:v>FaithPath final QA PDF + Nachlese final QA + current develop/v4 data</x:v>
      </x:c>
      <x:c r="T81" s="17" t="str">
        <x:v>Block-1 aggregate reproduced exactly: 92 EXAKT / 5 SINNGLEICH / 3 KONFLIKT.</x:v>
      </x:c>
    </x:row>
    <x:row r="82" ht="26.399999618530273" hidden="0" customHeight="1">
      <x:c r="A82" s="17" t="str">
        <x:v>FP-0081</x:v>
      </x:c>
      <x:c r="B82" s="17" t="str">
        <x:v>FP-0001–0100</x:v>
      </x:c>
      <x:c r="C82" s="17" t="n">
        <x:v>17</x:v>
      </x:c>
      <x:c r="D82" s="17" t="n">
        <x:v>17</x:v>
      </x:c>
      <x:c r="E82" s="17" t="n">
        <x:v>1</x:v>
      </x:c>
      <x:c r="F82" s="17" t="str">
        <x:v>$[16].questions[0]</x:v>
      </x:c>
      <x:c r="G82" s="17" t="str">
        <x:v>Matthäus 8,14</x:v>
      </x:c>
      <x:c r="H82" s="17" t="str">
        <x:v>In wessen Haus kam Jesus?</x:v>
      </x:c>
      <x:c r="I82" s="17" t="str">
        <x:v>Petrus</x:v>
      </x:c>
      <x:c r="J82" s="17" t="str">
        <x:v>EXAKT</x:v>
      </x:c>
      <x:c r="K82" s="17" t="str">
        <x:v>N-0616</x:v>
      </x:c>
      <x:c r="L82" s="17" t="str">
        <x:v>Matthäus 8,14</x:v>
      </x:c>
      <x:c r="M82" s="17" t="str">
        <x:v>In wessen Haus kam Jesus?</x:v>
      </x:c>
      <x:c r="N82" s="17" t="str">
        <x:v>Petrus</x:v>
      </x:c>
      <x:c r="O82" s="17" t="str">
        <x:v>Jesus im Haus des Petrus</x:v>
      </x:c>
      <x:c r="P82" s="17" t="str">
        <x:v>Matthäus 8,14–17</x:v>
      </x:c>
      <x:c r="Q82" s="17" t="str">
        <x:v>RECONSTRUCTED_FROM_FINAL_SOURCES</x:v>
      </x:c>
      <x:c r="R82" s="17" t="str">
        <x:v>HIGH</x:v>
      </x:c>
      <x:c r="S82" s="17" t="str">
        <x:v>FaithPath final QA PDF + Nachlese final QA + current develop/v4 data</x:v>
      </x:c>
      <x:c r="T82" s="17" t="str">
        <x:v>Block-1 aggregate reproduced exactly: 92 EXAKT / 5 SINNGLEICH / 3 KONFLIKT.</x:v>
      </x:c>
    </x:row>
    <x:row r="83" ht="26.399999618530273" hidden="0" customHeight="1">
      <x:c r="A83" s="17" t="str">
        <x:v>FP-0082</x:v>
      </x:c>
      <x:c r="B83" s="17" t="str">
        <x:v>FP-0001–0100</x:v>
      </x:c>
      <x:c r="C83" s="17" t="n">
        <x:v>17</x:v>
      </x:c>
      <x:c r="D83" s="17" t="n">
        <x:v>17</x:v>
      </x:c>
      <x:c r="E83" s="17" t="n">
        <x:v>2</x:v>
      </x:c>
      <x:c r="F83" s="17" t="str">
        <x:v>$[16].questions[1]</x:v>
      </x:c>
      <x:c r="G83" s="17" t="str">
        <x:v>Matthäus 8,14</x:v>
      </x:c>
      <x:c r="H83" s="17" t="str">
        <x:v>Wer lag dort krank?</x:v>
      </x:c>
      <x:c r="I83" s="17" t="str">
        <x:v>Petrus' Schwiegermutter</x:v>
      </x:c>
      <x:c r="J83" s="17" t="str">
        <x:v>EXAKT</x:v>
      </x:c>
      <x:c r="K83" s="17" t="str">
        <x:v>N-0617</x:v>
      </x:c>
      <x:c r="L83" s="17" t="str">
        <x:v>Matthäus 8,14</x:v>
      </x:c>
      <x:c r="M83" s="17" t="str">
        <x:v>Wer lag dort krank?</x:v>
      </x:c>
      <x:c r="N83" s="17" t="str">
        <x:v>Petrus' Schwiegermutter</x:v>
      </x:c>
      <x:c r="O83" s="17" t="str">
        <x:v>Jesus im Haus des Petrus</x:v>
      </x:c>
      <x:c r="P83" s="17" t="str">
        <x:v>Matthäus 8,14–17</x:v>
      </x:c>
      <x:c r="Q83" s="17" t="str">
        <x:v>RECONSTRUCTED_FROM_FINAL_SOURCES</x:v>
      </x:c>
      <x:c r="R83" s="17" t="str">
        <x:v>HIGH</x:v>
      </x:c>
      <x:c r="S83" s="17" t="str">
        <x:v>FaithPath final QA PDF + Nachlese final QA + current develop/v4 data</x:v>
      </x:c>
      <x:c r="T83" s="17" t="str">
        <x:v>Block-1 aggregate reproduced exactly: 92 EXAKT / 5 SINNGLEICH / 3 KONFLIKT.</x:v>
      </x:c>
    </x:row>
    <x:row r="84" ht="26.399999618530273" hidden="0" customHeight="1">
      <x:c r="A84" s="17" t="str">
        <x:v>FP-0083</x:v>
      </x:c>
      <x:c r="B84" s="17" t="str">
        <x:v>FP-0001–0100</x:v>
      </x:c>
      <x:c r="C84" s="17" t="n">
        <x:v>17</x:v>
      </x:c>
      <x:c r="D84" s="17" t="n">
        <x:v>17</x:v>
      </x:c>
      <x:c r="E84" s="17" t="n">
        <x:v>3</x:v>
      </x:c>
      <x:c r="F84" s="17" t="str">
        <x:v>$[16].questions[2]</x:v>
      </x:c>
      <x:c r="G84" s="17" t="str">
        <x:v>Matthäus 8,14</x:v>
      </x:c>
      <x:c r="H84" s="17" t="str">
        <x:v>Woran litt sie?</x:v>
      </x:c>
      <x:c r="I84" s="17" t="str">
        <x:v>Fieber</x:v>
      </x:c>
      <x:c r="J84" s="17" t="str">
        <x:v>EXAKT</x:v>
      </x:c>
      <x:c r="K84" s="17" t="str">
        <x:v>N-0618</x:v>
      </x:c>
      <x:c r="L84" s="17" t="str">
        <x:v>Matthäus 8,14</x:v>
      </x:c>
      <x:c r="M84" s="17" t="str">
        <x:v>Woran litt sie?</x:v>
      </x:c>
      <x:c r="N84" s="17" t="str">
        <x:v>Fieber</x:v>
      </x:c>
      <x:c r="O84" s="17" t="str">
        <x:v>Jesus im Haus des Petrus</x:v>
      </x:c>
      <x:c r="P84" s="17" t="str">
        <x:v>Matthäus 8,14–17</x:v>
      </x:c>
      <x:c r="Q84" s="17" t="str">
        <x:v>RECONSTRUCTED_FROM_FINAL_SOURCES</x:v>
      </x:c>
      <x:c r="R84" s="17" t="str">
        <x:v>HIGH</x:v>
      </x:c>
      <x:c r="S84" s="17" t="str">
        <x:v>FaithPath final QA PDF + Nachlese final QA + current develop/v4 data</x:v>
      </x:c>
      <x:c r="T84" s="17" t="str">
        <x:v>Block-1 aggregate reproduced exactly: 92 EXAKT / 5 SINNGLEICH / 3 KONFLIKT.</x:v>
      </x:c>
    </x:row>
    <x:row r="85" ht="26.399999618530273" hidden="0" customHeight="1">
      <x:c r="A85" s="17" t="str">
        <x:v>FP-0084</x:v>
      </x:c>
      <x:c r="B85" s="17" t="str">
        <x:v>FP-0001–0100</x:v>
      </x:c>
      <x:c r="C85" s="17" t="n">
        <x:v>17</x:v>
      </x:c>
      <x:c r="D85" s="17" t="n">
        <x:v>17</x:v>
      </x:c>
      <x:c r="E85" s="17" t="n">
        <x:v>4</x:v>
      </x:c>
      <x:c r="F85" s="17" t="str">
        <x:v>$[16].questions[3]</x:v>
      </x:c>
      <x:c r="G85" s="17" t="str">
        <x:v>Matthäus 8,15</x:v>
      </x:c>
      <x:c r="H85" s="17" t="str">
        <x:v>Was geschah, als Jesus ihre Hand berührte?</x:v>
      </x:c>
      <x:c r="I85" s="17" t="str">
        <x:v>Das Fieber verließ sie</x:v>
      </x:c>
      <x:c r="J85" s="17" t="str">
        <x:v>EXAKT</x:v>
      </x:c>
      <x:c r="K85" s="17" t="str">
        <x:v>N-0619</x:v>
      </x:c>
      <x:c r="L85" s="17" t="str">
        <x:v>Matthäus 8,15</x:v>
      </x:c>
      <x:c r="M85" s="17" t="str">
        <x:v>Was geschah, als Jesus ihre Hand berührte?</x:v>
      </x:c>
      <x:c r="N85" s="17" t="str">
        <x:v>Das Fieber verließ sie</x:v>
      </x:c>
      <x:c r="O85" s="17" t="str">
        <x:v>Jesus im Haus des Petrus</x:v>
      </x:c>
      <x:c r="P85" s="17" t="str">
        <x:v>Matthäus 8,14–17</x:v>
      </x:c>
      <x:c r="Q85" s="17" t="str">
        <x:v>RECONSTRUCTED_FROM_FINAL_SOURCES</x:v>
      </x:c>
      <x:c r="R85" s="17" t="str">
        <x:v>HIGH</x:v>
      </x:c>
      <x:c r="S85" s="17" t="str">
        <x:v>FaithPath final QA PDF + Nachlese final QA + current develop/v4 data</x:v>
      </x:c>
      <x:c r="T85" s="17" t="str">
        <x:v>Block-1 aggregate reproduced exactly: 92 EXAKT / 5 SINNGLEICH / 3 KONFLIKT.</x:v>
      </x:c>
    </x:row>
    <x:row r="86" ht="26.399999618530273" hidden="0" customHeight="1">
      <x:c r="A86" s="17" t="str">
        <x:v>FP-0085</x:v>
      </x:c>
      <x:c r="B86" s="17" t="str">
        <x:v>FP-0001–0100</x:v>
      </x:c>
      <x:c r="C86" s="17" t="n">
        <x:v>17</x:v>
      </x:c>
      <x:c r="D86" s="17" t="n">
        <x:v>17</x:v>
      </x:c>
      <x:c r="E86" s="17" t="n">
        <x:v>5</x:v>
      </x:c>
      <x:c r="F86" s="17" t="str">
        <x:v>$[16].questions[4]</x:v>
      </x:c>
      <x:c r="G86" s="17" t="str">
        <x:v>Matthäus 8,15</x:v>
      </x:c>
      <x:c r="H86" s="17" t="str">
        <x:v>Was tat sie danach?</x:v>
      </x:c>
      <x:c r="I86" s="17" t="str">
        <x:v>Sie stand auf und diente ihnen</x:v>
      </x:c>
      <x:c r="J86" s="17" t="str">
        <x:v>EXAKT</x:v>
      </x:c>
      <x:c r="K86" s="17" t="str">
        <x:v>N-0620</x:v>
      </x:c>
      <x:c r="L86" s="17" t="str">
        <x:v>Matthäus 8,15</x:v>
      </x:c>
      <x:c r="M86" s="17" t="str">
        <x:v>Was tat sie danach?</x:v>
      </x:c>
      <x:c r="N86" s="17" t="str">
        <x:v>Sie stand auf und diente ihnen</x:v>
      </x:c>
      <x:c r="O86" s="17" t="str">
        <x:v>Jesus im Haus des Petrus</x:v>
      </x:c>
      <x:c r="P86" s="17" t="str">
        <x:v>Matthäus 8,14–17</x:v>
      </x:c>
      <x:c r="Q86" s="17" t="str">
        <x:v>RECONSTRUCTED_FROM_FINAL_SOURCES</x:v>
      </x:c>
      <x:c r="R86" s="17" t="str">
        <x:v>HIGH</x:v>
      </x:c>
      <x:c r="S86" s="17" t="str">
        <x:v>FaithPath final QA PDF + Nachlese final QA + current develop/v4 data</x:v>
      </x:c>
      <x:c r="T86" s="17" t="str">
        <x:v>Block-1 aggregate reproduced exactly: 92 EXAKT / 5 SINNGLEICH / 3 KONFLIKT.</x:v>
      </x:c>
    </x:row>
    <x:row r="87" ht="26.399999618530273" hidden="0" customHeight="1">
      <x:c r="A87" s="17" t="str">
        <x:v>FP-0086</x:v>
      </x:c>
      <x:c r="B87" s="17" t="str">
        <x:v>FP-0001–0100</x:v>
      </x:c>
      <x:c r="C87" s="17" t="n">
        <x:v>18</x:v>
      </x:c>
      <x:c r="D87" s="17" t="n">
        <x:v>18</x:v>
      </x:c>
      <x:c r="E87" s="17" t="n">
        <x:v>1</x:v>
      </x:c>
      <x:c r="F87" s="17" t="str">
        <x:v>$[17].questions[0]</x:v>
      </x:c>
      <x:c r="G87" s="17" t="str">
        <x:v>Matthäus 8,23</x:v>
      </x:c>
      <x:c r="H87" s="17" t="str">
        <x:v>Wohin stieg Jesus mit seinen Jüngern?</x:v>
      </x:c>
      <x:c r="I87" s="17" t="str">
        <x:v>In ein Schiff</x:v>
      </x:c>
      <x:c r="J87" s="17" t="str">
        <x:v>EXAKT</x:v>
      </x:c>
      <x:c r="K87" s="17" t="str">
        <x:v>N-0621</x:v>
      </x:c>
      <x:c r="L87" s="17" t="str">
        <x:v>Matthäus 8,23</x:v>
      </x:c>
      <x:c r="M87" s="17" t="str">
        <x:v>Wohin stieg Jesus mit seinen Jüngern?</x:v>
      </x:c>
      <x:c r="N87" s="17" t="str">
        <x:v>In ein Schiff</x:v>
      </x:c>
      <x:c r="O87" s="17" t="str">
        <x:v>Stillung des Sturms</x:v>
      </x:c>
      <x:c r="P87" s="17" t="str">
        <x:v>Matthäus 8,23–27</x:v>
      </x:c>
      <x:c r="Q87" s="17" t="str">
        <x:v>RECONSTRUCTED_FROM_FINAL_SOURCES</x:v>
      </x:c>
      <x:c r="R87" s="17" t="str">
        <x:v>HIGH</x:v>
      </x:c>
      <x:c r="S87" s="17" t="str">
        <x:v>FaithPath final QA PDF + Nachlese final QA + current develop/v4 data</x:v>
      </x:c>
      <x:c r="T87" s="17" t="str">
        <x:v>Block-1 aggregate reproduced exactly: 92 EXAKT / 5 SINNGLEICH / 3 KONFLIKT.</x:v>
      </x:c>
    </x:row>
    <x:row r="88" ht="26.399999618530273" hidden="0" customHeight="1">
      <x:c r="A88" s="17" t="str">
        <x:v>FP-0087</x:v>
      </x:c>
      <x:c r="B88" s="17" t="str">
        <x:v>FP-0001–0100</x:v>
      </x:c>
      <x:c r="C88" s="17" t="n">
        <x:v>18</x:v>
      </x:c>
      <x:c r="D88" s="17" t="n">
        <x:v>18</x:v>
      </x:c>
      <x:c r="E88" s="17" t="n">
        <x:v>2</x:v>
      </x:c>
      <x:c r="F88" s="17" t="str">
        <x:v>$[17].questions[1]</x:v>
      </x:c>
      <x:c r="G88" s="17" t="str">
        <x:v>Matthäus 8,24</x:v>
      </x:c>
      <x:c r="H88" s="17" t="str">
        <x:v>Was entstand auf dem See?</x:v>
      </x:c>
      <x:c r="I88" s="17" t="str">
        <x:v>Ein großer Sturm</x:v>
      </x:c>
      <x:c r="J88" s="17" t="str">
        <x:v>EXAKT</x:v>
      </x:c>
      <x:c r="K88" s="17" t="str">
        <x:v>N-0622</x:v>
      </x:c>
      <x:c r="L88" s="17" t="str">
        <x:v>Matthäus 8,24</x:v>
      </x:c>
      <x:c r="M88" s="17" t="str">
        <x:v>Was entstand auf dem See?</x:v>
      </x:c>
      <x:c r="N88" s="17" t="str">
        <x:v>Ein großer Sturm</x:v>
      </x:c>
      <x:c r="O88" s="17" t="str">
        <x:v>Stillung des Sturms</x:v>
      </x:c>
      <x:c r="P88" s="17" t="str">
        <x:v>Matthäus 8,23–27</x:v>
      </x:c>
      <x:c r="Q88" s="17" t="str">
        <x:v>RECONSTRUCTED_FROM_FINAL_SOURCES</x:v>
      </x:c>
      <x:c r="R88" s="17" t="str">
        <x:v>HIGH</x:v>
      </x:c>
      <x:c r="S88" s="17" t="str">
        <x:v>FaithPath final QA PDF + Nachlese final QA + current develop/v4 data</x:v>
      </x:c>
      <x:c r="T88" s="17" t="str">
        <x:v>Block-1 aggregate reproduced exactly: 92 EXAKT / 5 SINNGLEICH / 3 KONFLIKT.</x:v>
      </x:c>
    </x:row>
    <x:row r="89" ht="26.399999618530273" hidden="0" customHeight="1">
      <x:c r="A89" s="17" t="str">
        <x:v>FP-0088</x:v>
      </x:c>
      <x:c r="B89" s="17" t="str">
        <x:v>FP-0001–0100</x:v>
      </x:c>
      <x:c r="C89" s="17" t="n">
        <x:v>18</x:v>
      </x:c>
      <x:c r="D89" s="17" t="n">
        <x:v>18</x:v>
      </x:c>
      <x:c r="E89" s="17" t="n">
        <x:v>3</x:v>
      </x:c>
      <x:c r="F89" s="17" t="str">
        <x:v>$[17].questions[2]</x:v>
      </x:c>
      <x:c r="G89" s="17" t="str">
        <x:v>Matthäus 8,24</x:v>
      </x:c>
      <x:c r="H89" s="17" t="str">
        <x:v>Was tat Jesus währenddessen?</x:v>
      </x:c>
      <x:c r="I89" s="17" t="str">
        <x:v>Er schlief</x:v>
      </x:c>
      <x:c r="J89" s="17" t="str">
        <x:v>EXAKT</x:v>
      </x:c>
      <x:c r="K89" s="17" t="str">
        <x:v>N-0623</x:v>
      </x:c>
      <x:c r="L89" s="17" t="str">
        <x:v>Matthäus 8,24</x:v>
      </x:c>
      <x:c r="M89" s="17" t="str">
        <x:v>Was tat Jesus währenddessen?</x:v>
      </x:c>
      <x:c r="N89" s="17" t="str">
        <x:v>Er schlief</x:v>
      </x:c>
      <x:c r="O89" s="17" t="str">
        <x:v>Stillung des Sturms</x:v>
      </x:c>
      <x:c r="P89" s="17" t="str">
        <x:v>Matthäus 8,23–27</x:v>
      </x:c>
      <x:c r="Q89" s="17" t="str">
        <x:v>RECONSTRUCTED_FROM_FINAL_SOURCES</x:v>
      </x:c>
      <x:c r="R89" s="17" t="str">
        <x:v>HIGH</x:v>
      </x:c>
      <x:c r="S89" s="17" t="str">
        <x:v>FaithPath final QA PDF + Nachlese final QA + current develop/v4 data</x:v>
      </x:c>
      <x:c r="T89" s="17" t="str">
        <x:v>Block-1 aggregate reproduced exactly: 92 EXAKT / 5 SINNGLEICH / 3 KONFLIKT.</x:v>
      </x:c>
    </x:row>
    <x:row r="90" ht="26.399999618530273" hidden="0" customHeight="1">
      <x:c r="A90" s="17" t="str">
        <x:v>FP-0089</x:v>
      </x:c>
      <x:c r="B90" s="17" t="str">
        <x:v>FP-0001–0100</x:v>
      </x:c>
      <x:c r="C90" s="17" t="n">
        <x:v>18</x:v>
      </x:c>
      <x:c r="D90" s="17" t="n">
        <x:v>18</x:v>
      </x:c>
      <x:c r="E90" s="17" t="n">
        <x:v>4</x:v>
      </x:c>
      <x:c r="F90" s="17" t="str">
        <x:v>$[17].questions[3]</x:v>
      </x:c>
      <x:c r="G90" s="17" t="str">
        <x:v>Matthäus 8,26</x:v>
      </x:c>
      <x:c r="H90" s="17" t="str">
        <x:v>Was tat Jesus nach dem Wecken?</x:v>
      </x:c>
      <x:c r="I90" s="17" t="str">
        <x:v>Er bedrohte Wind und Meer</x:v>
      </x:c>
      <x:c r="J90" s="17" t="str">
        <x:v>EXAKT</x:v>
      </x:c>
      <x:c r="K90" s="17" t="str">
        <x:v>N-0624</x:v>
      </x:c>
      <x:c r="L90" s="17" t="str">
        <x:v>Matthäus 8,26</x:v>
      </x:c>
      <x:c r="M90" s="17" t="str">
        <x:v>Was tat Jesus nach dem Wecken?</x:v>
      </x:c>
      <x:c r="N90" s="17" t="str">
        <x:v>Er bedrohte Wind und Meer</x:v>
      </x:c>
      <x:c r="O90" s="17" t="str">
        <x:v>Stillung des Sturms</x:v>
      </x:c>
      <x:c r="P90" s="17" t="str">
        <x:v>Matthäus 8,23–27</x:v>
      </x:c>
      <x:c r="Q90" s="17" t="str">
        <x:v>RECONSTRUCTED_FROM_FINAL_SOURCES</x:v>
      </x:c>
      <x:c r="R90" s="17" t="str">
        <x:v>HIGH</x:v>
      </x:c>
      <x:c r="S90" s="17" t="str">
        <x:v>FaithPath final QA PDF + Nachlese final QA + current develop/v4 data</x:v>
      </x:c>
      <x:c r="T90" s="17" t="str">
        <x:v>Block-1 aggregate reproduced exactly: 92 EXAKT / 5 SINNGLEICH / 3 KONFLIKT.</x:v>
      </x:c>
    </x:row>
    <x:row r="91" ht="26.399999618530273" hidden="0" customHeight="1">
      <x:c r="A91" s="17" t="str">
        <x:v>FP-0090</x:v>
      </x:c>
      <x:c r="B91" s="17" t="str">
        <x:v>FP-0001–0100</x:v>
      </x:c>
      <x:c r="C91" s="17" t="n">
        <x:v>18</x:v>
      </x:c>
      <x:c r="D91" s="17" t="n">
        <x:v>18</x:v>
      </x:c>
      <x:c r="E91" s="17" t="n">
        <x:v>5</x:v>
      </x:c>
      <x:c r="F91" s="17" t="str">
        <x:v>$[17].questions[4]</x:v>
      </x:c>
      <x:c r="G91" s="17" t="str">
        <x:v>Matthäus 8,26</x:v>
      </x:c>
      <x:c r="H91" s="17" t="str">
        <x:v>Was stellt Jesus in seiner Reaktion auf die Jünger besonders infrage?</x:v>
      </x:c>
      <x:c r="I91" s="17" t="str">
        <x:v>ihre Angst und ihren kleinen Glauben</x:v>
      </x:c>
      <x:c r="J91" s="17" t="str">
        <x:v>EXAKT</x:v>
      </x:c>
      <x:c r="K91" s="17" t="str">
        <x:v>N-0625</x:v>
      </x:c>
      <x:c r="L91" s="17" t="str">
        <x:v>Matthäus 8,26</x:v>
      </x:c>
      <x:c r="M91" s="17" t="str">
        <x:v>Was stellt Jesus in seiner Reaktion auf die Jünger besonders infrage?</x:v>
      </x:c>
      <x:c r="N91" s="17" t="str">
        <x:v>ihre Angst und ihren kleinen Glauben</x:v>
      </x:c>
      <x:c r="O91" s="17" t="str">
        <x:v>Stillung des Sturms</x:v>
      </x:c>
      <x:c r="P91" s="17" t="str">
        <x:v>Matthäus 8,23–27</x:v>
      </x:c>
      <x:c r="Q91" s="17" t="str">
        <x:v>RECONSTRUCTED_FROM_FINAL_SOURCES</x:v>
      </x:c>
      <x:c r="R91" s="17" t="str">
        <x:v>HIGH</x:v>
      </x:c>
      <x:c r="S91" s="17" t="str">
        <x:v>FaithPath final QA PDF + Nachlese final QA + current develop/v4 data</x:v>
      </x:c>
      <x:c r="T91" s="17" t="str">
        <x:v>Block-1 aggregate reproduced exactly: 92 EXAKT / 5 SINNGLEICH / 3 KONFLIKT.</x:v>
      </x:c>
    </x:row>
    <x:row r="92" ht="26.399999618530273" hidden="0" customHeight="1">
      <x:c r="A92" s="17" t="str">
        <x:v>FP-0091</x:v>
      </x:c>
      <x:c r="B92" s="17" t="str">
        <x:v>FP-0001–0100</x:v>
      </x:c>
      <x:c r="C92" s="17" t="n">
        <x:v>19</x:v>
      </x:c>
      <x:c r="D92" s="17" t="n">
        <x:v>19</x:v>
      </x:c>
      <x:c r="E92" s="17" t="n">
        <x:v>1</x:v>
      </x:c>
      <x:c r="F92" s="17" t="str">
        <x:v>$[18].questions[0]</x:v>
      </x:c>
      <x:c r="G92" s="17" t="str">
        <x:v>Matthäus 8,28</x:v>
      </x:c>
      <x:c r="H92" s="17" t="str">
        <x:v>Wie viele Besessene begegneten Jesus?</x:v>
      </x:c>
      <x:c r="I92" s="17" t="str">
        <x:v>Zwei</x:v>
      </x:c>
      <x:c r="J92" s="17" t="str">
        <x:v>EXAKT</x:v>
      </x:c>
      <x:c r="K92" s="17" t="str">
        <x:v>N-0626</x:v>
      </x:c>
      <x:c r="L92" s="17" t="str">
        <x:v>Matthäus 8,28</x:v>
      </x:c>
      <x:c r="M92" s="17" t="str">
        <x:v>Wie viele Besessene begegneten Jesus?</x:v>
      </x:c>
      <x:c r="N92" s="17" t="str">
        <x:v>Zwei</x:v>
      </x:c>
      <x:c r="O92" s="17" t="str">
        <x:v>Heilung der zwei Besessenen</x:v>
      </x:c>
      <x:c r="P92" s="17" t="str">
        <x:v>Matthäus 8,28–34</x:v>
      </x:c>
      <x:c r="Q92" s="17" t="str">
        <x:v>RECONSTRUCTED_FROM_FINAL_SOURCES</x:v>
      </x:c>
      <x:c r="R92" s="17" t="str">
        <x:v>HIGH</x:v>
      </x:c>
      <x:c r="S92" s="17" t="str">
        <x:v>FaithPath final QA PDF + Nachlese final QA + current develop/v4 data</x:v>
      </x:c>
      <x:c r="T92" s="17" t="str">
        <x:v>Block-1 aggregate reproduced exactly: 92 EXAKT / 5 SINNGLEICH / 3 KONFLIKT.</x:v>
      </x:c>
    </x:row>
    <x:row r="93" ht="26.399999618530273" hidden="0" customHeight="1">
      <x:c r="A93" s="17" t="str">
        <x:v>FP-0092</x:v>
      </x:c>
      <x:c r="B93" s="17" t="str">
        <x:v>FP-0001–0100</x:v>
      </x:c>
      <x:c r="C93" s="17" t="n">
        <x:v>19</x:v>
      </x:c>
      <x:c r="D93" s="17" t="n">
        <x:v>19</x:v>
      </x:c>
      <x:c r="E93" s="17" t="n">
        <x:v>2</x:v>
      </x:c>
      <x:c r="F93" s="17" t="str">
        <x:v>$[18].questions[1]</x:v>
      </x:c>
      <x:c r="G93" s="17" t="str">
        <x:v>Matthäus 8,28</x:v>
      </x:c>
      <x:c r="H93" s="17" t="str">
        <x:v>Woher kamen sie?</x:v>
      </x:c>
      <x:c r="I93" s="17" t="str">
        <x:v>Aus den Grabhöhlen</x:v>
      </x:c>
      <x:c r="J93" s="17" t="str">
        <x:v>EXAKT</x:v>
      </x:c>
      <x:c r="K93" s="17" t="str">
        <x:v>N-0627</x:v>
      </x:c>
      <x:c r="L93" s="17" t="str">
        <x:v>Matthäus 8,28</x:v>
      </x:c>
      <x:c r="M93" s="17" t="str">
        <x:v>Woher kamen sie?</x:v>
      </x:c>
      <x:c r="N93" s="17" t="str">
        <x:v>Aus den Grabhöhlen</x:v>
      </x:c>
      <x:c r="O93" s="17" t="str">
        <x:v>Heilung der zwei Besessenen</x:v>
      </x:c>
      <x:c r="P93" s="17" t="str">
        <x:v>Matthäus 8,28–34</x:v>
      </x:c>
      <x:c r="Q93" s="17" t="str">
        <x:v>RECONSTRUCTED_FROM_FINAL_SOURCES</x:v>
      </x:c>
      <x:c r="R93" s="17" t="str">
        <x:v>HIGH</x:v>
      </x:c>
      <x:c r="S93" s="17" t="str">
        <x:v>FaithPath final QA PDF + Nachlese final QA + current develop/v4 data</x:v>
      </x:c>
      <x:c r="T93" s="17" t="str">
        <x:v>Block-1 aggregate reproduced exactly: 92 EXAKT / 5 SINNGLEICH / 3 KONFLIKT.</x:v>
      </x:c>
    </x:row>
    <x:row r="94" ht="26.399999618530273" hidden="0" customHeight="1">
      <x:c r="A94" s="17" t="str">
        <x:v>FP-0093</x:v>
      </x:c>
      <x:c r="B94" s="17" t="str">
        <x:v>FP-0001–0100</x:v>
      </x:c>
      <x:c r="C94" s="17" t="n">
        <x:v>19</x:v>
      </x:c>
      <x:c r="D94" s="17" t="n">
        <x:v>19</x:v>
      </x:c>
      <x:c r="E94" s="17" t="n">
        <x:v>3</x:v>
      </x:c>
      <x:c r="F94" s="17" t="str">
        <x:v>$[18].questions[2]</x:v>
      </x:c>
      <x:c r="G94" s="17" t="str">
        <x:v>Matthäus 8,30</x:v>
      </x:c>
      <x:c r="H94" s="17" t="str">
        <x:v>Welche Tiere weideten in der Nähe?</x:v>
      </x:c>
      <x:c r="I94" s="17" t="str">
        <x:v>Schweine</x:v>
      </x:c>
      <x:c r="J94" s="17" t="str">
        <x:v>EXAKT</x:v>
      </x:c>
      <x:c r="K94" s="17" t="str">
        <x:v>N-0628</x:v>
      </x:c>
      <x:c r="L94" s="17" t="str">
        <x:v>Matthäus 8,30</x:v>
      </x:c>
      <x:c r="M94" s="17" t="str">
        <x:v>Welche Tiere weideten in der Nähe?</x:v>
      </x:c>
      <x:c r="N94" s="17" t="str">
        <x:v>Schweine</x:v>
      </x:c>
      <x:c r="O94" s="17" t="str">
        <x:v>Heilung der zwei Besessenen</x:v>
      </x:c>
      <x:c r="P94" s="17" t="str">
        <x:v>Matthäus 8,28–34</x:v>
      </x:c>
      <x:c r="Q94" s="17" t="str">
        <x:v>RECONSTRUCTED_FROM_FINAL_SOURCES</x:v>
      </x:c>
      <x:c r="R94" s="17" t="str">
        <x:v>HIGH</x:v>
      </x:c>
      <x:c r="S94" s="17" t="str">
        <x:v>FaithPath final QA PDF + Nachlese final QA + current develop/v4 data</x:v>
      </x:c>
      <x:c r="T94" s="17" t="str">
        <x:v>Block-1 aggregate reproduced exactly: 92 EXAKT / 5 SINNGLEICH / 3 KONFLIKT.</x:v>
      </x:c>
    </x:row>
    <x:row r="95" ht="26.399999618530273" hidden="0" customHeight="1">
      <x:c r="A95" s="17" t="str">
        <x:v>FP-0094</x:v>
      </x:c>
      <x:c r="B95" s="17" t="str">
        <x:v>FP-0001–0100</x:v>
      </x:c>
      <x:c r="C95" s="17" t="n">
        <x:v>19</x:v>
      </x:c>
      <x:c r="D95" s="17" t="n">
        <x:v>19</x:v>
      </x:c>
      <x:c r="E95" s="17" t="n">
        <x:v>4</x:v>
      </x:c>
      <x:c r="F95" s="17" t="str">
        <x:v>$[18].questions[3]</x:v>
      </x:c>
      <x:c r="G95" s="17" t="str">
        <x:v>Matthäus 8,31</x:v>
      </x:c>
      <x:c r="H95" s="17" t="str">
        <x:v>Wohin baten die Dämonen geschickt zu werden?</x:v>
      </x:c>
      <x:c r="I95" s="17" t="str">
        <x:v>In die Schweineherde</x:v>
      </x:c>
      <x:c r="J95" s="17" t="str">
        <x:v>EXAKT</x:v>
      </x:c>
      <x:c r="K95" s="17" t="str">
        <x:v>N-0629</x:v>
      </x:c>
      <x:c r="L95" s="17" t="str">
        <x:v>Matthäus 8,31</x:v>
      </x:c>
      <x:c r="M95" s="17" t="str">
        <x:v>Wohin baten die Dämonen geschickt zu werden?</x:v>
      </x:c>
      <x:c r="N95" s="17" t="str">
        <x:v>In die Schweineherde</x:v>
      </x:c>
      <x:c r="O95" s="17" t="str">
        <x:v>Heilung der zwei Besessenen</x:v>
      </x:c>
      <x:c r="P95" s="17" t="str">
        <x:v>Matthäus 8,28–34</x:v>
      </x:c>
      <x:c r="Q95" s="17" t="str">
        <x:v>RECONSTRUCTED_FROM_FINAL_SOURCES</x:v>
      </x:c>
      <x:c r="R95" s="17" t="str">
        <x:v>HIGH</x:v>
      </x:c>
      <x:c r="S95" s="17" t="str">
        <x:v>FaithPath final QA PDF + Nachlese final QA + current develop/v4 data</x:v>
      </x:c>
      <x:c r="T95" s="17" t="str">
        <x:v>Block-1 aggregate reproduced exactly: 92 EXAKT / 5 SINNGLEICH / 3 KONFLIKT.</x:v>
      </x:c>
    </x:row>
    <x:row r="96" ht="26.399999618530273" hidden="0" customHeight="1">
      <x:c r="A96" s="17" t="str">
        <x:v>FP-0095</x:v>
      </x:c>
      <x:c r="B96" s="17" t="str">
        <x:v>FP-0001–0100</x:v>
      </x:c>
      <x:c r="C96" s="17" t="n">
        <x:v>19</x:v>
      </x:c>
      <x:c r="D96" s="17" t="n">
        <x:v>19</x:v>
      </x:c>
      <x:c r="E96" s="17" t="n">
        <x:v>5</x:v>
      </x:c>
      <x:c r="F96" s="17" t="str">
        <x:v>$[18].questions[4]</x:v>
      </x:c>
      <x:c r="G96" s="17" t="str">
        <x:v>Matthäus 8,32</x:v>
      </x:c>
      <x:c r="H96" s="17" t="str">
        <x:v>Was tat die Herde danach?</x:v>
      </x:c>
      <x:c r="I96" s="17" t="str">
        <x:v>Sie stürzte sich ins Meer</x:v>
      </x:c>
      <x:c r="J96" s="17" t="str">
        <x:v>EXAKT</x:v>
      </x:c>
      <x:c r="K96" s="17" t="str">
        <x:v>N-0630</x:v>
      </x:c>
      <x:c r="L96" s="17" t="str">
        <x:v>Matthäus 8,32</x:v>
      </x:c>
      <x:c r="M96" s="17" t="str">
        <x:v>Was tat die Herde danach?</x:v>
      </x:c>
      <x:c r="N96" s="17" t="str">
        <x:v>Sie stürzte sich ins Meer</x:v>
      </x:c>
      <x:c r="O96" s="17" t="str">
        <x:v>Heilung der zwei Besessenen</x:v>
      </x:c>
      <x:c r="P96" s="17" t="str">
        <x:v>Matthäus 8,28–34</x:v>
      </x:c>
      <x:c r="Q96" s="17" t="str">
        <x:v>RECONSTRUCTED_FROM_FINAL_SOURCES</x:v>
      </x:c>
      <x:c r="R96" s="17" t="str">
        <x:v>HIGH</x:v>
      </x:c>
      <x:c r="S96" s="17" t="str">
        <x:v>FaithPath final QA PDF + Nachlese final QA + current develop/v4 data</x:v>
      </x:c>
      <x:c r="T96" s="17" t="str">
        <x:v>Block-1 aggregate reproduced exactly: 92 EXAKT / 5 SINNGLEICH / 3 KONFLIKT.</x:v>
      </x:c>
    </x:row>
    <x:row r="97" ht="26.399999618530273" hidden="0" customHeight="1">
      <x:c r="A97" s="17" t="str">
        <x:v>FP-0096</x:v>
      </x:c>
      <x:c r="B97" s="17" t="str">
        <x:v>FP-0001–0100</x:v>
      </x:c>
      <x:c r="C97" s="17" t="n">
        <x:v>20</x:v>
      </x:c>
      <x:c r="D97" s="17" t="n">
        <x:v>20</x:v>
      </x:c>
      <x:c r="E97" s="17" t="n">
        <x:v>1</x:v>
      </x:c>
      <x:c r="F97" s="17" t="str">
        <x:v>$[19].questions[0]</x:v>
      </x:c>
      <x:c r="G97" s="17" t="str">
        <x:v>Matthäus 9,2</x:v>
      </x:c>
      <x:c r="H97" s="17" t="str">
        <x:v>Wer wurde zu Jesus gebracht?</x:v>
      </x:c>
      <x:c r="I97" s="17" t="str">
        <x:v>Ein Gelähmter</x:v>
      </x:c>
      <x:c r="J97" s="17" t="str">
        <x:v>EXAKT</x:v>
      </x:c>
      <x:c r="K97" s="17" t="str">
        <x:v>N-0631</x:v>
      </x:c>
      <x:c r="L97" s="17" t="str">
        <x:v>Matthäus 9,2</x:v>
      </x:c>
      <x:c r="M97" s="17" t="str">
        <x:v>Wer wurde zu Jesus gebracht?</x:v>
      </x:c>
      <x:c r="N97" s="17" t="str">
        <x:v>Ein Gelähmter</x:v>
      </x:c>
      <x:c r="O97" s="17" t="str">
        <x:v>Heilung des Gelähmten</x:v>
      </x:c>
      <x:c r="P97" s="17" t="str">
        <x:v>Matthäus 9,1–8</x:v>
      </x:c>
      <x:c r="Q97" s="17" t="str">
        <x:v>RECONSTRUCTED_FROM_FINAL_SOURCES</x:v>
      </x:c>
      <x:c r="R97" s="17" t="str">
        <x:v>HIGH</x:v>
      </x:c>
      <x:c r="S97" s="17" t="str">
        <x:v>FaithPath final QA PDF + Nachlese final QA + current develop/v4 data</x:v>
      </x:c>
      <x:c r="T97" s="17" t="str">
        <x:v>Block-1 aggregate reproduced exactly: 92 EXAKT / 5 SINNGLEICH / 3 KONFLIKT.</x:v>
      </x:c>
    </x:row>
    <x:row r="98" ht="26.399999618530273" hidden="0" customHeight="1">
      <x:c r="A98" s="17" t="str">
        <x:v>FP-0097</x:v>
      </x:c>
      <x:c r="B98" s="17" t="str">
        <x:v>FP-0001–0100</x:v>
      </x:c>
      <x:c r="C98" s="17" t="n">
        <x:v>20</x:v>
      </x:c>
      <x:c r="D98" s="17" t="n">
        <x:v>20</x:v>
      </x:c>
      <x:c r="E98" s="17" t="n">
        <x:v>2</x:v>
      </x:c>
      <x:c r="F98" s="17" t="str">
        <x:v>$[19].questions[1]</x:v>
      </x:c>
      <x:c r="G98" s="17" t="str">
        <x:v>Matthäus 9,2</x:v>
      </x:c>
      <x:c r="H98" s="17" t="str">
        <x:v>Was sah Jesus bei den Menschen?</x:v>
      </x:c>
      <x:c r="I98" s="17" t="str">
        <x:v>Ihren Glauben</x:v>
      </x:c>
      <x:c r="J98" s="17" t="str">
        <x:v>EXAKT</x:v>
      </x:c>
      <x:c r="K98" s="17" t="str">
        <x:v>N-0632</x:v>
      </x:c>
      <x:c r="L98" s="17" t="str">
        <x:v>Matthäus 9,2</x:v>
      </x:c>
      <x:c r="M98" s="17" t="str">
        <x:v>Was sah Jesus bei den Menschen?</x:v>
      </x:c>
      <x:c r="N98" s="17" t="str">
        <x:v>Ihren Glauben</x:v>
      </x:c>
      <x:c r="O98" s="17" t="str">
        <x:v>Heilung des Gelähmten</x:v>
      </x:c>
      <x:c r="P98" s="17" t="str">
        <x:v>Matthäus 9,1–8</x:v>
      </x:c>
      <x:c r="Q98" s="17" t="str">
        <x:v>RECONSTRUCTED_FROM_FINAL_SOURCES</x:v>
      </x:c>
      <x:c r="R98" s="17" t="str">
        <x:v>HIGH</x:v>
      </x:c>
      <x:c r="S98" s="17" t="str">
        <x:v>FaithPath final QA PDF + Nachlese final QA + current develop/v4 data</x:v>
      </x:c>
      <x:c r="T98" s="17" t="str">
        <x:v>Block-1 aggregate reproduced exactly: 92 EXAKT / 5 SINNGLEICH / 3 KONFLIKT.</x:v>
      </x:c>
    </x:row>
    <x:row r="99" ht="26.399999618530273" hidden="0" customHeight="1">
      <x:c r="A99" s="17" t="str">
        <x:v>FP-0098</x:v>
      </x:c>
      <x:c r="B99" s="17" t="str">
        <x:v>FP-0001–0100</x:v>
      </x:c>
      <x:c r="C99" s="17" t="n">
        <x:v>20</x:v>
      </x:c>
      <x:c r="D99" s="17" t="n">
        <x:v>20</x:v>
      </x:c>
      <x:c r="E99" s="17" t="n">
        <x:v>3</x:v>
      </x:c>
      <x:c r="F99" s="17" t="str">
        <x:v>$[19].questions[2]</x:v>
      </x:c>
      <x:c r="G99" s="17" t="str">
        <x:v>Matthäus 9,2</x:v>
      </x:c>
      <x:c r="H99" s="17" t="str">
        <x:v>Was sagte Jesus zuerst zum Gelähmten?</x:v>
      </x:c>
      <x:c r="I99" s="17" t="str">
        <x:v>Deine Sünden sind dir vergeben</x:v>
      </x:c>
      <x:c r="J99" s="17" t="str">
        <x:v>EXAKT</x:v>
      </x:c>
      <x:c r="K99" s="17" t="str">
        <x:v>N-0633</x:v>
      </x:c>
      <x:c r="L99" s="17" t="str">
        <x:v>Matthäus 9,2</x:v>
      </x:c>
      <x:c r="M99" s="17" t="str">
        <x:v>Was sagte Jesus zuerst zum Gelähmten?</x:v>
      </x:c>
      <x:c r="N99" s="17" t="str">
        <x:v>Deine Sünden sind dir vergeben</x:v>
      </x:c>
      <x:c r="O99" s="17" t="str">
        <x:v>Heilung des Gelähmten</x:v>
      </x:c>
      <x:c r="P99" s="17" t="str">
        <x:v>Matthäus 9,1–8</x:v>
      </x:c>
      <x:c r="Q99" s="17" t="str">
        <x:v>RECONSTRUCTED_FROM_FINAL_SOURCES</x:v>
      </x:c>
      <x:c r="R99" s="17" t="str">
        <x:v>HIGH</x:v>
      </x:c>
      <x:c r="S99" s="17" t="str">
        <x:v>FaithPath final QA PDF + Nachlese final QA + current develop/v4 data</x:v>
      </x:c>
      <x:c r="T99" s="17" t="str">
        <x:v>Block-1 aggregate reproduced exactly: 92 EXAKT / 5 SINNGLEICH / 3 KONFLIKT.</x:v>
      </x:c>
    </x:row>
    <x:row r="100" ht="26.399999618530273" hidden="0" customHeight="1">
      <x:c r="A100" s="17" t="str">
        <x:v>FP-0099</x:v>
      </x:c>
      <x:c r="B100" s="17" t="str">
        <x:v>FP-0001–0100</x:v>
      </x:c>
      <x:c r="C100" s="17" t="n">
        <x:v>20</x:v>
      </x:c>
      <x:c r="D100" s="17" t="n">
        <x:v>20</x:v>
      </x:c>
      <x:c r="E100" s="17" t="n">
        <x:v>4</x:v>
      </x:c>
      <x:c r="F100" s="17" t="str">
        <x:v>$[19].questions[3]</x:v>
      </x:c>
      <x:c r="G100" s="17" t="str">
        <x:v>Matthäus 9,3</x:v>
      </x:c>
      <x:c r="H100" s="17" t="str">
        <x:v>Was dachten einige Schriftgelehrte?</x:v>
      </x:c>
      <x:c r="I100" s="17" t="str">
        <x:v>Er lästert Gott</x:v>
      </x:c>
      <x:c r="J100" s="17" t="str">
        <x:v>EXAKT</x:v>
      </x:c>
      <x:c r="K100" s="17" t="str">
        <x:v>N-0634</x:v>
      </x:c>
      <x:c r="L100" s="17" t="str">
        <x:v>Matthäus 9,3</x:v>
      </x:c>
      <x:c r="M100" s="17" t="str">
        <x:v>Was dachten einige Schriftgelehrte?</x:v>
      </x:c>
      <x:c r="N100" s="17" t="str">
        <x:v>Er lästert Gott</x:v>
      </x:c>
      <x:c r="O100" s="17" t="str">
        <x:v>Heilung des Gelähmten</x:v>
      </x:c>
      <x:c r="P100" s="17" t="str">
        <x:v>Matthäus 9,1–8</x:v>
      </x:c>
      <x:c r="Q100" s="17" t="str">
        <x:v>RECONSTRUCTED_FROM_FINAL_SOURCES</x:v>
      </x:c>
      <x:c r="R100" s="17" t="str">
        <x:v>HIGH</x:v>
      </x:c>
      <x:c r="S100" s="17" t="str">
        <x:v>FaithPath final QA PDF + Nachlese final QA + current develop/v4 data</x:v>
      </x:c>
      <x:c r="T100" s="17" t="str">
        <x:v>Block-1 aggregate reproduced exactly: 92 EXAKT / 5 SINNGLEICH / 3 KONFLIKT.</x:v>
      </x:c>
    </x:row>
    <x:row r="101" ht="26.399999618530273" hidden="0" customHeight="1">
      <x:c r="A101" s="17" t="str">
        <x:v>FP-0100</x:v>
      </x:c>
      <x:c r="B101" s="17" t="str">
        <x:v>FP-0001–0100</x:v>
      </x:c>
      <x:c r="C101" s="17" t="n">
        <x:v>20</x:v>
      </x:c>
      <x:c r="D101" s="17" t="n">
        <x:v>20</x:v>
      </x:c>
      <x:c r="E101" s="17" t="n">
        <x:v>5</x:v>
      </x:c>
      <x:c r="F101" s="17" t="str">
        <x:v>$[19].questions[4]</x:v>
      </x:c>
      <x:c r="G101" s="17" t="str">
        <x:v>Matthäus 9,7</x:v>
      </x:c>
      <x:c r="H101" s="17" t="str">
        <x:v>Was tat der Mann nach Jesu Aufforderung?</x:v>
      </x:c>
      <x:c r="I101" s="17" t="str">
        <x:v>Er stand auf und ging heim</x:v>
      </x:c>
      <x:c r="J101" s="17" t="str">
        <x:v>EXAKT</x:v>
      </x:c>
      <x:c r="K101" s="17" t="str">
        <x:v>N-0635</x:v>
      </x:c>
      <x:c r="L101" s="17" t="str">
        <x:v>Matthäus 9,7</x:v>
      </x:c>
      <x:c r="M101" s="17" t="str">
        <x:v>Was tat der Mann nach Jesu Aufforderung?</x:v>
      </x:c>
      <x:c r="N101" s="17" t="str">
        <x:v>Er stand auf und ging heim</x:v>
      </x:c>
      <x:c r="O101" s="17" t="str">
        <x:v>Heilung des Gelähmten</x:v>
      </x:c>
      <x:c r="P101" s="17" t="str">
        <x:v>Matthäus 9,1–8</x:v>
      </x:c>
      <x:c r="Q101" s="17" t="str">
        <x:v>RECONSTRUCTED_FROM_FINAL_SOURCES</x:v>
      </x:c>
      <x:c r="R101" s="17" t="str">
        <x:v>HIGH</x:v>
      </x:c>
      <x:c r="S101" s="17" t="str">
        <x:v>FaithPath final QA PDF + Nachlese final QA + current develop/v4 data</x:v>
      </x:c>
      <x:c r="T101" s="17" t="str">
        <x:v>Block-1 aggregate reproduced exactly: 92 EXAKT / 5 SINNGLEICH / 3 KONFLIKT.</x:v>
      </x:c>
    </x:row>
    <x:row r="102" ht="26.399999618530273" hidden="0" customHeight="1">
      <x:c r="A102" s="17" t="str">
        <x:v>FP-0101</x:v>
      </x:c>
      <x:c r="B102" s="17" t="str">
        <x:v>FP-0101–0200</x:v>
      </x:c>
      <x:c r="C102" s="17" t="n">
        <x:v>21</x:v>
      </x:c>
      <x:c r="D102" s="17" t="n">
        <x:v>21</x:v>
      </x:c>
      <x:c r="E102" s="17" t="n">
        <x:v>1</x:v>
      </x:c>
      <x:c r="F102" s="17" t="str">
        <x:v>$[20].questions[0]</x:v>
      </x:c>
      <x:c r="G102" s="17" t="str">
        <x:v>Johannes 1,29</x:v>
      </x:c>
      <x:c r="H102" s="17" t="str">
        <x:v>Wie wird Jesus von Johannes dem Täufer bezeichnet, als er ihn kommen sieht?</x:v>
      </x:c>
      <x:c r="I102" s="17" t="str">
        <x:v>Gottes Lamm</x:v>
      </x:c>
      <x:c r="J102" s="17" t="str">
        <x:v>SINNGLEICH</x:v>
      </x:c>
      <x:c r="K102" s="17" t="str">
        <x:v>N-1424</x:v>
      </x:c>
      <x:c r="L102" s="17" t="str">
        <x:v>Johannes 1,29</x:v>
      </x:c>
      <x:c r="M102" s="17" t="str">
        <x:v>Wie nennt er Jesus, der zu ihm kommt?</x:v>
      </x:c>
      <x:c r="N102" s="17" t="str">
        <x:v>Das ist Gottes Lamm, welches der Welt Sünde (Johannes 1,29)</x:v>
      </x:c>
      <x:c r="O102" s="17" t="str">
        <x:v>Gottes Lamm</x:v>
      </x:c>
      <x:c r="P102" s="17" t="str">
        <x:v>Johannes 1,19–34</x:v>
      </x:c>
      <x:c r="Q102" s="17" t="str">
        <x:v>RECONSTRUCTED_AGGREGATE_CONSTRAINED</x:v>
      </x:c>
      <x:c r="R102" s="17" t="str">
        <x:v>HIGH</x:v>
      </x:c>
      <x:c r="S102" s="17" t="str">
        <x:v>FaithPath final QA aggregate (57 SINNGLEICH / 42 FAITHPATH_ONLY / 1 KONFLIKT) + Nachlese final catalog/QA</x:v>
      </x:c>
      <x:c r="T102" s="17" t="str">
        <x:v>Reconstructed row-level mapping; original historical Block2 XLSX unavailable.</x:v>
      </x:c>
    </x:row>
    <x:row r="103" ht="26.399999618530273" hidden="0" customHeight="1">
      <x:c r="A103" s="17" t="str">
        <x:v>FP-0102</x:v>
      </x:c>
      <x:c r="B103" s="17" t="str">
        <x:v>FP-0101–0200</x:v>
      </x:c>
      <x:c r="C103" s="17" t="n">
        <x:v>21</x:v>
      </x:c>
      <x:c r="D103" s="17" t="n">
        <x:v>21</x:v>
      </x:c>
      <x:c r="E103" s="17" t="n">
        <x:v>2</x:v>
      </x:c>
      <x:c r="F103" s="17" t="str">
        <x:v>$[20].questions[1]</x:v>
      </x:c>
      <x:c r="G103" s="17" t="str">
        <x:v>Johannes 1,40-41</x:v>
      </x:c>
      <x:c r="H103" s="17" t="str">
        <x:v>Welcher Jünger sagt zu seinem Bruder Simon: „Wir haben den Messias gefunden“?</x:v>
      </x:c>
      <x:c r="I103" s="17" t="str">
        <x:v>Andreas</x:v>
      </x:c>
      <x:c r="J103" s="17" t="str">
        <x:v>SINNGLEICH</x:v>
      </x:c>
      <x:c r="K103" s="17" t="str">
        <x:v>N-1428</x:v>
      </x:c>
      <x:c r="L103" s="17" t="str"/>
      <x:c r="M103" s="17" t="str">
        <x:v>Wer von den zweien findet zuerst seinen Bruder?</x:v>
      </x:c>
      <x:c r="N103" s="17" t="str">
        <x:v>Andreas, der Bruder des Simon Petrus (Johannes 1,40–</x:v>
      </x:c>
      <x:c r="O103" s="17" t="str">
        <x:v>Komm und sieh es</x:v>
      </x:c>
      <x:c r="P103" s="17" t="str">
        <x:v>Johannes 1,35–51</x:v>
      </x:c>
      <x:c r="Q103" s="17" t="str">
        <x:v>RECONSTRUCTED_AGGREGATE_CONSTRAINED</x:v>
      </x:c>
      <x:c r="R103" s="17" t="str">
        <x:v>HIGH</x:v>
      </x:c>
      <x:c r="S103" s="17" t="str">
        <x:v>FaithPath final QA aggregate (57 SINNGLEICH / 42 FAITHPATH_ONLY / 1 KONFLIKT) + Nachlese final catalog/QA</x:v>
      </x:c>
      <x:c r="T103" s="17" t="str">
        <x:v>Reconstructed row-level mapping; original historical Block2 XLSX unavailable.</x:v>
      </x:c>
    </x:row>
    <x:row r="104" ht="26.399999618530273" hidden="0" customHeight="1">
      <x:c r="A104" s="17" t="str">
        <x:v>FP-0103</x:v>
      </x:c>
      <x:c r="B104" s="17" t="str">
        <x:v>FP-0101–0200</x:v>
      </x:c>
      <x:c r="C104" s="17" t="n">
        <x:v>21</x:v>
      </x:c>
      <x:c r="D104" s="17" t="n">
        <x:v>21</x:v>
      </x:c>
      <x:c r="E104" s="17" t="n">
        <x:v>3</x:v>
      </x:c>
      <x:c r="F104" s="17" t="str">
        <x:v>$[20].questions[2]</x:v>
      </x:c>
      <x:c r="G104" s="17" t="str">
        <x:v>Johannes 1,42</x:v>
      </x:c>
      <x:c r="H104" s="17" t="str">
        <x:v>Welchen neuen Namen kündigt Jesus Simon an?</x:v>
      </x:c>
      <x:c r="I104" s="17" t="str">
        <x:v>Kephas</x:v>
      </x:c>
      <x:c r="J104" s="17" t="str">
        <x:v>SINNGLEICH</x:v>
      </x:c>
      <x:c r="K104" s="17" t="str">
        <x:v>N-1430</x:v>
      </x:c>
      <x:c r="L104" s="17" t="str">
        <x:v>Johannes 1,42</x:v>
      </x:c>
      <x:c r="M104" s="17" t="str">
        <x:v>Welchen Namen gibt Jesus dem Simon?</x:v>
      </x:c>
      <x:c r="N104" s="17" t="str">
        <x:v>Kephas (Fels) (Johannes 1,42)</x:v>
      </x:c>
      <x:c r="O104" s="17" t="str">
        <x:v>Komm und sieh es</x:v>
      </x:c>
      <x:c r="P104" s="17" t="str">
        <x:v>Johannes 1,35–51</x:v>
      </x:c>
      <x:c r="Q104" s="17" t="str">
        <x:v>RECONSTRUCTED_AGGREGATE_CONSTRAINED</x:v>
      </x:c>
      <x:c r="R104" s="17" t="str">
        <x:v>HIGH</x:v>
      </x:c>
      <x:c r="S104" s="17" t="str">
        <x:v>FaithPath final QA aggregate (57 SINNGLEICH / 42 FAITHPATH_ONLY / 1 KONFLIKT) + Nachlese final catalog/QA</x:v>
      </x:c>
      <x:c r="T104" s="17" t="str">
        <x:v>Reconstructed row-level mapping; original historical Block2 XLSX unavailable.</x:v>
      </x:c>
    </x:row>
    <x:row r="105" ht="26.399999618530273" hidden="0" customHeight="1">
      <x:c r="A105" s="17" t="str">
        <x:v>FP-0104</x:v>
      </x:c>
      <x:c r="B105" s="17" t="str">
        <x:v>FP-0101–0200</x:v>
      </x:c>
      <x:c r="C105" s="17" t="n">
        <x:v>21</x:v>
      </x:c>
      <x:c r="D105" s="17" t="n">
        <x:v>21</x:v>
      </x:c>
      <x:c r="E105" s="17" t="n">
        <x:v>4</x:v>
      </x:c>
      <x:c r="F105" s="17" t="str">
        <x:v>$[20].questions[3]</x:v>
      </x:c>
      <x:c r="G105" s="17" t="str">
        <x:v>Johannes 1,45</x:v>
      </x:c>
      <x:c r="H105" s="17" t="str">
        <x:v>Wen findet Philippus und erzählt ihm von Jesus?</x:v>
      </x:c>
      <x:c r="I105" s="17" t="str">
        <x:v>Nathanael</x:v>
      </x:c>
      <x:c r="J105" s="17" t="str">
        <x:v>FAITHPATH_ONLY</x:v>
      </x:c>
      <x:c r="K105" s="17" t="str"/>
      <x:c r="L105" s="17" t="str"/>
      <x:c r="M105" s="17" t="str"/>
      <x:c r="N105" s="17" t="str"/>
      <x:c r="O105" s="17" t="str"/>
      <x:c r="P105" s="17" t="str"/>
      <x:c r="Q105" s="17" t="str">
        <x:v>NO_SOURCE_EQUIVALENT_SELECTED</x:v>
      </x:c>
      <x:c r="R105" s="17" t="str">
        <x:v>N/A</x:v>
      </x:c>
      <x:c r="S105" s="17" t="str">
        <x:v>FaithPath final QA aggregate (57 SINNGLEICH / 42 FAITHPATH_ONLY / 1 KONFLIKT) + Nachlese final catalog/QA</x:v>
      </x:c>
      <x:c r="T105" s="17" t="str">
        <x:v>Kein N-Mapping in reconstructed final block allocation.</x:v>
      </x:c>
    </x:row>
    <x:row r="106" ht="26.399999618530273" hidden="0" customHeight="1">
      <x:c r="A106" s="17" t="str">
        <x:v>FP-0105</x:v>
      </x:c>
      <x:c r="B106" s="17" t="str">
        <x:v>FP-0101–0200</x:v>
      </x:c>
      <x:c r="C106" s="17" t="n">
        <x:v>21</x:v>
      </x:c>
      <x:c r="D106" s="17" t="n">
        <x:v>21</x:v>
      </x:c>
      <x:c r="E106" s="17" t="n">
        <x:v>5</x:v>
      </x:c>
      <x:c r="F106" s="17" t="str">
        <x:v>$[20].questions[4]</x:v>
      </x:c>
      <x:c r="G106" s="17" t="str">
        <x:v>Johannes 1,48</x:v>
      </x:c>
      <x:c r="H106" s="17" t="str">
        <x:v>Wo hatte Jesus Nathanael nach eigener Aussage schon gesehen?</x:v>
      </x:c>
      <x:c r="I106" s="17" t="str">
        <x:v>Unter dem Feigenbaum</x:v>
      </x:c>
      <x:c r="J106" s="17" t="str">
        <x:v>SINNGLEICH</x:v>
      </x:c>
      <x:c r="K106" s="17" t="str">
        <x:v>N-1432</x:v>
      </x:c>
      <x:c r="L106" s="17" t="str">
        <x:v>Johannes 1,48</x:v>
      </x:c>
      <x:c r="M106" s="17" t="str">
        <x:v>Wo hatte Jesus ihn gesehen?</x:v>
      </x:c>
      <x:c r="N106" s="17" t="str">
        <x:v>Unter dem Feigenbaum (Johannes 1,48)</x:v>
      </x:c>
      <x:c r="O106" s="17" t="str">
        <x:v>Komm und sieh es</x:v>
      </x:c>
      <x:c r="P106" s="17" t="str">
        <x:v>Johannes 1,35–51</x:v>
      </x:c>
      <x:c r="Q106" s="17" t="str">
        <x:v>RECONSTRUCTED_AGGREGATE_CONSTRAINED</x:v>
      </x:c>
      <x:c r="R106" s="17" t="str">
        <x:v>HIGH</x:v>
      </x:c>
      <x:c r="S106" s="17" t="str">
        <x:v>FaithPath final QA aggregate (57 SINNGLEICH / 42 FAITHPATH_ONLY / 1 KONFLIKT) + Nachlese final catalog/QA</x:v>
      </x:c>
      <x:c r="T106" s="17" t="str">
        <x:v>Reconstructed row-level mapping; original historical Block2 XLSX unavailable.</x:v>
      </x:c>
    </x:row>
    <x:row r="107" ht="26.399999618530273" hidden="0" customHeight="1">
      <x:c r="A107" s="17" t="str">
        <x:v>FP-0106</x:v>
      </x:c>
      <x:c r="B107" s="17" t="str">
        <x:v>FP-0101–0200</x:v>
      </x:c>
      <x:c r="C107" s="17" t="n">
        <x:v>22</x:v>
      </x:c>
      <x:c r="D107" s="17" t="n">
        <x:v>22</x:v>
      </x:c>
      <x:c r="E107" s="17" t="n">
        <x:v>1</x:v>
      </x:c>
      <x:c r="F107" s="17" t="str">
        <x:v>$[21].questions[0]</x:v>
      </x:c>
      <x:c r="G107" s="17" t="str">
        <x:v>Johannes 2,1-11</x:v>
      </x:c>
      <x:c r="H107" s="17" t="str">
        <x:v>In welchem Ort findet die Hochzeit statt, auf der Jesus Wasser zu Wein macht?</x:v>
      </x:c>
      <x:c r="I107" s="17" t="str">
        <x:v>Kana in Galiläa</x:v>
      </x:c>
      <x:c r="J107" s="17" t="str">
        <x:v>SINNGLEICH</x:v>
      </x:c>
      <x:c r="K107" s="17" t="str">
        <x:v>N-1433</x:v>
      </x:c>
      <x:c r="L107" s="17" t="str">
        <x:v>Johannes 2,1</x:v>
      </x:c>
      <x:c r="M107" s="17" t="str">
        <x:v>Wo war die Hochzeit?</x:v>
      </x:c>
      <x:c r="N107" s="17" t="str">
        <x:v>Zu Kana in Galiläa (Johannes 2,1)</x:v>
      </x:c>
      <x:c r="O107" s="17" t="str">
        <x:v>Hochzeit zu Kana</x:v>
      </x:c>
      <x:c r="P107" s="17" t="str">
        <x:v>Johannes 2,1–12</x:v>
      </x:c>
      <x:c r="Q107" s="17" t="str">
        <x:v>RECONSTRUCTED_AGGREGATE_CONSTRAINED</x:v>
      </x:c>
      <x:c r="R107" s="17" t="str">
        <x:v>HIGH</x:v>
      </x:c>
      <x:c r="S107" s="17" t="str">
        <x:v>FaithPath final QA aggregate (57 SINNGLEICH / 42 FAITHPATH_ONLY / 1 KONFLIKT) + Nachlese final catalog/QA</x:v>
      </x:c>
      <x:c r="T107" s="17" t="str">
        <x:v>Reconstructed row-level mapping; original historical Block2 XLSX unavailable.</x:v>
      </x:c>
    </x:row>
    <x:row r="108" ht="26.399999618530273" hidden="0" customHeight="1">
      <x:c r="A108" s="17" t="str">
        <x:v>FP-0107</x:v>
      </x:c>
      <x:c r="B108" s="17" t="str">
        <x:v>FP-0101–0200</x:v>
      </x:c>
      <x:c r="C108" s="17" t="n">
        <x:v>22</x:v>
      </x:c>
      <x:c r="D108" s="17" t="n">
        <x:v>22</x:v>
      </x:c>
      <x:c r="E108" s="17" t="n">
        <x:v>2</x:v>
      </x:c>
      <x:c r="F108" s="17" t="str">
        <x:v>$[21].questions[1]</x:v>
      </x:c>
      <x:c r="G108" s="17" t="str">
        <x:v>Johannes 2,6</x:v>
      </x:c>
      <x:c r="H108" s="17" t="str">
        <x:v>Wie viele steinerne Wasserkrüge standen bei der Hochzeit bereit?</x:v>
      </x:c>
      <x:c r="I108" s="17" t="str">
        <x:v>Sechs</x:v>
      </x:c>
      <x:c r="J108" s="17" t="str">
        <x:v>FAITHPATH_ONLY</x:v>
      </x:c>
      <x:c r="K108" s="17" t="str"/>
      <x:c r="L108" s="17" t="str"/>
      <x:c r="M108" s="17" t="str"/>
      <x:c r="N108" s="17" t="str"/>
      <x:c r="O108" s="17" t="str"/>
      <x:c r="P108" s="17" t="str"/>
      <x:c r="Q108" s="17" t="str">
        <x:v>NO_SOURCE_EQUIVALENT_SELECTED</x:v>
      </x:c>
      <x:c r="R108" s="17" t="str">
        <x:v>N/A</x:v>
      </x:c>
      <x:c r="S108" s="17" t="str">
        <x:v>FaithPath final QA aggregate (57 SINNGLEICH / 42 FAITHPATH_ONLY / 1 KONFLIKT) + Nachlese final catalog/QA</x:v>
      </x:c>
      <x:c r="T108" s="17" t="str">
        <x:v>Kein N-Mapping in reconstructed final block allocation.</x:v>
      </x:c>
    </x:row>
    <x:row r="109" ht="26.399999618530273" hidden="0" customHeight="1">
      <x:c r="A109" s="17" t="str">
        <x:v>FP-0108</x:v>
      </x:c>
      <x:c r="B109" s="17" t="str">
        <x:v>FP-0101–0200</x:v>
      </x:c>
      <x:c r="C109" s="17" t="n">
        <x:v>22</x:v>
      </x:c>
      <x:c r="D109" s="17" t="n">
        <x:v>22</x:v>
      </x:c>
      <x:c r="E109" s="17" t="n">
        <x:v>3</x:v>
      </x:c>
      <x:c r="F109" s="17" t="str">
        <x:v>$[21].questions[2]</x:v>
      </x:c>
      <x:c r="G109" s="17" t="str">
        <x:v>Johannes 2,5</x:v>
      </x:c>
      <x:c r="H109" s="17" t="str">
        <x:v>Was sagt Maria zu den Dienern?</x:v>
      </x:c>
      <x:c r="I109" s="17" t="str">
        <x:v>Was er euch sagt, das tut</x:v>
      </x:c>
      <x:c r="J109" s="17" t="str">
        <x:v>SINNGLEICH</x:v>
      </x:c>
      <x:c r="K109" s="17" t="str">
        <x:v>N-1435</x:v>
      </x:c>
      <x:c r="L109" s="17" t="str">
        <x:v>Johannes 2,5</x:v>
      </x:c>
      <x:c r="M109" s="17" t="str">
        <x:v>Was sagt die Mutter den Dienern?</x:v>
      </x:c>
      <x:c r="N109" s="17" t="str">
        <x:v>Was er euch sagt, das tut (Johannes 2,5)</x:v>
      </x:c>
      <x:c r="O109" s="17" t="str">
        <x:v>Hochzeit zu Kana</x:v>
      </x:c>
      <x:c r="P109" s="17" t="str">
        <x:v>Johannes 2,1–12</x:v>
      </x:c>
      <x:c r="Q109" s="17" t="str">
        <x:v>RECONSTRUCTED_AGGREGATE_CONSTRAINED</x:v>
      </x:c>
      <x:c r="R109" s="17" t="str">
        <x:v>HIGH</x:v>
      </x:c>
      <x:c r="S109" s="17" t="str">
        <x:v>FaithPath final QA aggregate (57 SINNGLEICH / 42 FAITHPATH_ONLY / 1 KONFLIKT) + Nachlese final catalog/QA</x:v>
      </x:c>
      <x:c r="T109" s="17" t="str">
        <x:v>Reconstructed row-level mapping; original historical Block2 XLSX unavailable.</x:v>
      </x:c>
    </x:row>
    <x:row r="110" ht="26.399999618530273" hidden="0" customHeight="1">
      <x:c r="A110" s="17" t="str">
        <x:v>FP-0109</x:v>
      </x:c>
      <x:c r="B110" s="17" t="str">
        <x:v>FP-0101–0200</x:v>
      </x:c>
      <x:c r="C110" s="17" t="n">
        <x:v>22</x:v>
      </x:c>
      <x:c r="D110" s="17" t="n">
        <x:v>22</x:v>
      </x:c>
      <x:c r="E110" s="17" t="n">
        <x:v>4</x:v>
      </x:c>
      <x:c r="F110" s="17" t="str">
        <x:v>$[21].questions[3]</x:v>
      </x:c>
      <x:c r="G110" s="17" t="str">
        <x:v>Johannes 2,15</x:v>
      </x:c>
      <x:c r="H110" s="17" t="str">
        <x:v>Was tut Jesus im Tempel mit den Tischen der Wechsler?</x:v>
      </x:c>
      <x:c r="I110" s="17" t="str">
        <x:v>Er stößt sie um</x:v>
      </x:c>
      <x:c r="J110" s="17" t="str">
        <x:v>FAITHPATH_ONLY</x:v>
      </x:c>
      <x:c r="K110" s="17" t="str"/>
      <x:c r="L110" s="17" t="str"/>
      <x:c r="M110" s="17" t="str"/>
      <x:c r="N110" s="17" t="str"/>
      <x:c r="O110" s="17" t="str"/>
      <x:c r="P110" s="17" t="str"/>
      <x:c r="Q110" s="17" t="str">
        <x:v>NO_SOURCE_EQUIVALENT_SELECTED</x:v>
      </x:c>
      <x:c r="R110" s="17" t="str">
        <x:v>N/A</x:v>
      </x:c>
      <x:c r="S110" s="17" t="str">
        <x:v>FaithPath final QA aggregate (57 SINNGLEICH / 42 FAITHPATH_ONLY / 1 KONFLIKT) + Nachlese final catalog/QA</x:v>
      </x:c>
      <x:c r="T110" s="17" t="str">
        <x:v>Kein N-Mapping in reconstructed final block allocation.</x:v>
      </x:c>
    </x:row>
    <x:row r="111" ht="26.399999618530273" hidden="0" customHeight="1">
      <x:c r="A111" s="17" t="str">
        <x:v>FP-0110</x:v>
      </x:c>
      <x:c r="B111" s="17" t="str">
        <x:v>FP-0101–0200</x:v>
      </x:c>
      <x:c r="C111" s="17" t="n">
        <x:v>22</x:v>
      </x:c>
      <x:c r="D111" s="17" t="n">
        <x:v>22</x:v>
      </x:c>
      <x:c r="E111" s="17" t="n">
        <x:v>5</x:v>
      </x:c>
      <x:c r="F111" s="17" t="str">
        <x:v>$[21].questions[4]</x:v>
      </x:c>
      <x:c r="G111" s="17" t="str">
        <x:v>Johannes 2,19-21</x:v>
      </x:c>
      <x:c r="H111" s="17" t="str">
        <x:v>Wovon spricht Jesus, als er sagt: „Brechet diesen Tempel, und am dritten Tage will ich ihn aufrichten“?</x:v>
      </x:c>
      <x:c r="I111" s="17" t="str">
        <x:v>Von seinem Leib</x:v>
      </x:c>
      <x:c r="J111" s="17" t="str">
        <x:v>SINNGLEICH</x:v>
      </x:c>
      <x:c r="K111" s="17" t="str">
        <x:v>N-1443</x:v>
      </x:c>
      <x:c r="L111" s="17" t="str">
        <x:v>Johannes 2,21</x:v>
      </x:c>
      <x:c r="M111" s="17" t="str">
        <x:v>Wovon redete er?</x:v>
      </x:c>
      <x:c r="N111" s="17" t="str">
        <x:v>Von dem Tempel seines Leibes</x:v>
      </x:c>
      <x:c r="O111" s="17" t="str">
        <x:v>Nicht zum Kaufhause</x:v>
      </x:c>
      <x:c r="P111" s="17" t="str">
        <x:v>Johannes 2,13–25</x:v>
      </x:c>
      <x:c r="Q111" s="17" t="str">
        <x:v>RECONSTRUCTED_AGGREGATE_CONSTRAINED</x:v>
      </x:c>
      <x:c r="R111" s="17" t="str">
        <x:v>MEDIUM</x:v>
      </x:c>
      <x:c r="S111" s="17" t="str">
        <x:v>FaithPath final QA aggregate (57 SINNGLEICH / 42 FAITHPATH_ONLY / 1 KONFLIKT) + Nachlese final catalog/QA</x:v>
      </x:c>
      <x:c r="T111" s="17" t="str">
        <x:v>Reconstructed row-level mapping; original historical Block2 XLSX unavailable.</x:v>
      </x:c>
    </x:row>
    <x:row r="112" ht="26.399999618530273" hidden="0" customHeight="1">
      <x:c r="A112" s="17" t="str">
        <x:v>FP-0111</x:v>
      </x:c>
      <x:c r="B112" s="17" t="str">
        <x:v>FP-0101–0200</x:v>
      </x:c>
      <x:c r="C112" s="17" t="n">
        <x:v>23</x:v>
      </x:c>
      <x:c r="D112" s="17" t="n">
        <x:v>23</x:v>
      </x:c>
      <x:c r="E112" s="17" t="n">
        <x:v>1</x:v>
      </x:c>
      <x:c r="F112" s="17" t="str">
        <x:v>$[22].questions[0]</x:v>
      </x:c>
      <x:c r="G112" s="17" t="str">
        <x:v>Johannes 3,1-2</x:v>
      </x:c>
      <x:c r="H112" s="17" t="str">
        <x:v>Wie heißt der Pharisäer, der Jesus nachts aufsucht?</x:v>
      </x:c>
      <x:c r="I112" s="17" t="str">
        <x:v>Nikodemus</x:v>
      </x:c>
      <x:c r="J112" s="17" t="str">
        <x:v>SINNGLEICH</x:v>
      </x:c>
      <x:c r="K112" s="17" t="str">
        <x:v>N-1444</x:v>
      </x:c>
      <x:c r="L112" s="17" t="str">
        <x:v>Johannes 3,1–2</x:v>
      </x:c>
      <x:c r="M112" s="17" t="str">
        <x:v>Wer kam bei der Nacht?</x:v>
      </x:c>
      <x:c r="N112" s="17" t="str">
        <x:v>Nikodemus, ein Oberster unter den Juden</x:v>
      </x:c>
      <x:c r="O112" s="17" t="str">
        <x:v>Von neuem geboren</x:v>
      </x:c>
      <x:c r="P112" s="17" t="str">
        <x:v>Johannes 3,1–21</x:v>
      </x:c>
      <x:c r="Q112" s="17" t="str">
        <x:v>RECONSTRUCTED_AGGREGATE_CONSTRAINED</x:v>
      </x:c>
      <x:c r="R112" s="17" t="str">
        <x:v>HIGH</x:v>
      </x:c>
      <x:c r="S112" s="17" t="str">
        <x:v>FaithPath final QA aggregate (57 SINNGLEICH / 42 FAITHPATH_ONLY / 1 KONFLIKT) + Nachlese final catalog/QA</x:v>
      </x:c>
      <x:c r="T112" s="17" t="str">
        <x:v>Reconstructed row-level mapping; original historical Block2 XLSX unavailable.</x:v>
      </x:c>
    </x:row>
    <x:row r="113" ht="26.399999618530273" hidden="0" customHeight="1">
      <x:c r="A113" s="17" t="str">
        <x:v>FP-0112</x:v>
      </x:c>
      <x:c r="B113" s="17" t="str">
        <x:v>FP-0101–0200</x:v>
      </x:c>
      <x:c r="C113" s="17" t="n">
        <x:v>23</x:v>
      </x:c>
      <x:c r="D113" s="17" t="n">
        <x:v>23</x:v>
      </x:c>
      <x:c r="E113" s="17" t="n">
        <x:v>2</x:v>
      </x:c>
      <x:c r="F113" s="17" t="str">
        <x:v>$[22].questions[1]</x:v>
      </x:c>
      <x:c r="G113" s="17" t="str">
        <x:v>Johannes 3,3</x:v>
      </x:c>
      <x:c r="H113" s="17" t="str">
        <x:v>Was ist laut Jesus nötig, um das Reich Gottes zu sehen?</x:v>
      </x:c>
      <x:c r="I113" s="17" t="str">
        <x:v>Von neuem geboren zu werden</x:v>
      </x:c>
      <x:c r="J113" s="17" t="str">
        <x:v>SINNGLEICH</x:v>
      </x:c>
      <x:c r="K113" s="17" t="str">
        <x:v>N-1445</x:v>
      </x:c>
      <x:c r="L113" s="17" t="str">
        <x:v>Johannes 3,3</x:v>
      </x:c>
      <x:c r="M113" s="17" t="str">
        <x:v>Was muss geschehen, sonst kann man das Reich nicht sehen?</x:v>
      </x:c>
      <x:c r="N113" s="17" t="str">
        <x:v>Es sei denn, dass jemand von neuem geboren werde.</x:v>
      </x:c>
      <x:c r="O113" s="17" t="str">
        <x:v>Von neuem geboren</x:v>
      </x:c>
      <x:c r="P113" s="17" t="str">
        <x:v>Johannes 3,1–21</x:v>
      </x:c>
      <x:c r="Q113" s="17" t="str">
        <x:v>RECONSTRUCTED_AGGREGATE_CONSTRAINED</x:v>
      </x:c>
      <x:c r="R113" s="17" t="str">
        <x:v>HIGH</x:v>
      </x:c>
      <x:c r="S113" s="17" t="str">
        <x:v>FaithPath final QA aggregate (57 SINNGLEICH / 42 FAITHPATH_ONLY / 1 KONFLIKT) + Nachlese final catalog/QA</x:v>
      </x:c>
      <x:c r="T113" s="17" t="str">
        <x:v>Reconstructed row-level mapping; original historical Block2 XLSX unavailable.</x:v>
      </x:c>
    </x:row>
    <x:row r="114" ht="26.399999618530273" hidden="0" customHeight="1">
      <x:c r="A114" s="17" t="str">
        <x:v>FP-0113</x:v>
      </x:c>
      <x:c r="B114" s="17" t="str">
        <x:v>FP-0101–0200</x:v>
      </x:c>
      <x:c r="C114" s="17" t="n">
        <x:v>23</x:v>
      </x:c>
      <x:c r="D114" s="17" t="n">
        <x:v>23</x:v>
      </x:c>
      <x:c r="E114" s="17" t="n">
        <x:v>3</x:v>
      </x:c>
      <x:c r="F114" s="17" t="str">
        <x:v>$[22].questions[2]</x:v>
      </x:c>
      <x:c r="G114" s="17" t="str">
        <x:v>Johannes 3,8</x:v>
      </x:c>
      <x:c r="H114" s="17" t="str">
        <x:v>Womit vergleicht Jesus das Wirken des Geistes?</x:v>
      </x:c>
      <x:c r="I114" s="17" t="str">
        <x:v>Mit dem Wind</x:v>
      </x:c>
      <x:c r="J114" s="17" t="str">
        <x:v>SINNGLEICH</x:v>
      </x:c>
      <x:c r="K114" s="17" t="str">
        <x:v>N-1447</x:v>
      </x:c>
      <x:c r="L114" s="17" t="str">
        <x:v>Johannes 3,8</x:v>
      </x:c>
      <x:c r="M114" s="17" t="str">
        <x:v>Womit vergleicht er den aus dem Geist Geborenen?</x:v>
      </x:c>
      <x:c r="N114" s="17" t="str">
        <x:v>Wie der Wind: er bläst, wo er will.</x:v>
      </x:c>
      <x:c r="O114" s="17" t="str">
        <x:v>Von neuem geboren</x:v>
      </x:c>
      <x:c r="P114" s="17" t="str">
        <x:v>Johannes 3,1–21</x:v>
      </x:c>
      <x:c r="Q114" s="17" t="str">
        <x:v>RECONSTRUCTED_AGGREGATE_CONSTRAINED</x:v>
      </x:c>
      <x:c r="R114" s="17" t="str">
        <x:v>HIGH</x:v>
      </x:c>
      <x:c r="S114" s="17" t="str">
        <x:v>FaithPath final QA aggregate (57 SINNGLEICH / 42 FAITHPATH_ONLY / 1 KONFLIKT) + Nachlese final catalog/QA</x:v>
      </x:c>
      <x:c r="T114" s="17" t="str">
        <x:v>Reconstructed row-level mapping; original historical Block2 XLSX unavailable.</x:v>
      </x:c>
    </x:row>
    <x:row r="115" ht="26.399999618530273" hidden="0" customHeight="1">
      <x:c r="A115" s="17" t="str">
        <x:v>FP-0114</x:v>
      </x:c>
      <x:c r="B115" s="17" t="str">
        <x:v>FP-0101–0200</x:v>
      </x:c>
      <x:c r="C115" s="17" t="n">
        <x:v>23</x:v>
      </x:c>
      <x:c r="D115" s="17" t="n">
        <x:v>23</x:v>
      </x:c>
      <x:c r="E115" s="17" t="n">
        <x:v>4</x:v>
      </x:c>
      <x:c r="F115" s="17" t="str">
        <x:v>$[22].questions[3]</x:v>
      </x:c>
      <x:c r="G115" s="17" t="str">
        <x:v>Johannes 3,16</x:v>
      </x:c>
      <x:c r="H115" s="17" t="str">
        <x:v>Warum gab Gott nach Johannes 3,16 seinen eingeborenen Sohn?</x:v>
      </x:c>
      <x:c r="I115" s="17" t="str">
        <x:v>Weil er die Welt liebte</x:v>
      </x:c>
      <x:c r="J115" s="17" t="str">
        <x:v>SINNGLEICH</x:v>
      </x:c>
      <x:c r="K115" s="17" t="str">
        <x:v>N-1448</x:v>
      </x:c>
      <x:c r="L115" s="17" t="str">
        <x:v>Johannes 3,16</x:v>
      </x:c>
      <x:c r="M115" s="17" t="str">
        <x:v>Wie sehr hat Gott die Welt geliebt?</x:v>
      </x:c>
      <x:c r="N115" s="17" t="str">
        <x:v>Also hat Gott die Welt geliebt, dass er seinen eingeborenen Sohn gab.</x:v>
      </x:c>
      <x:c r="O115" s="17" t="str">
        <x:v>Von neuem geboren</x:v>
      </x:c>
      <x:c r="P115" s="17" t="str">
        <x:v>Johannes 3,1–21</x:v>
      </x:c>
      <x:c r="Q115" s="17" t="str">
        <x:v>RECONSTRUCTED_AGGREGATE_CONSTRAINED</x:v>
      </x:c>
      <x:c r="R115" s="17" t="str">
        <x:v>MEDIUM</x:v>
      </x:c>
      <x:c r="S115" s="17" t="str">
        <x:v>FaithPath final QA aggregate (57 SINNGLEICH / 42 FAITHPATH_ONLY / 1 KONFLIKT) + Nachlese final catalog/QA</x:v>
      </x:c>
      <x:c r="T115" s="17" t="str">
        <x:v>Reconstructed row-level mapping; original historical Block2 XLSX unavailable.</x:v>
      </x:c>
    </x:row>
    <x:row r="116" ht="26.399999618530273" hidden="0" customHeight="1">
      <x:c r="A116" s="17" t="str">
        <x:v>FP-0115</x:v>
      </x:c>
      <x:c r="B116" s="17" t="str">
        <x:v>FP-0101–0200</x:v>
      </x:c>
      <x:c r="C116" s="17" t="n">
        <x:v>23</x:v>
      </x:c>
      <x:c r="D116" s="17" t="n">
        <x:v>23</x:v>
      </x:c>
      <x:c r="E116" s="17" t="n">
        <x:v>5</x:v>
      </x:c>
      <x:c r="F116" s="17" t="str">
        <x:v>$[22].questions[4]</x:v>
      </x:c>
      <x:c r="G116" s="17" t="str">
        <x:v>Johannes 3,30</x:v>
      </x:c>
      <x:c r="H116" s="17" t="str">
        <x:v>Was sagt Johannes der Täufer über sein Verhältnis zu Jesus?</x:v>
      </x:c>
      <x:c r="I116" s="17" t="str">
        <x:v>Er muss wachsen, ich aber muss abnehmen</x:v>
      </x:c>
      <x:c r="J116" s="17" t="str">
        <x:v>SINNGLEICH</x:v>
      </x:c>
      <x:c r="K116" s="17" t="str">
        <x:v>N-1454</x:v>
      </x:c>
      <x:c r="L116" s="17" t="str">
        <x:v>Johannes 3,30</x:v>
      </x:c>
      <x:c r="M116" s="17" t="str">
        <x:v>Welchen Satz sagt er über sich und ihn?</x:v>
      </x:c>
      <x:c r="N116" s="17" t="str">
        <x:v>Er muss wachsen, ich aber muss abnehmen</x:v>
      </x:c>
      <x:c r="O116" s="17" t="str">
        <x:v>Er muss wachsen</x:v>
      </x:c>
      <x:c r="P116" s="17" t="str">
        <x:v>Johannes 3,22–36</x:v>
      </x:c>
      <x:c r="Q116" s="17" t="str">
        <x:v>RECONSTRUCTED_AGGREGATE_CONSTRAINED</x:v>
      </x:c>
      <x:c r="R116" s="17" t="str">
        <x:v>HIGH</x:v>
      </x:c>
      <x:c r="S116" s="17" t="str">
        <x:v>FaithPath final QA aggregate (57 SINNGLEICH / 42 FAITHPATH_ONLY / 1 KONFLIKT) + Nachlese final catalog/QA</x:v>
      </x:c>
      <x:c r="T116" s="17" t="str">
        <x:v>Reconstructed row-level mapping; original historical Block2 XLSX unavailable.</x:v>
      </x:c>
    </x:row>
    <x:row r="117" ht="26.399999618530273" hidden="0" customHeight="1">
      <x:c r="A117" s="17" t="str">
        <x:v>FP-0116</x:v>
      </x:c>
      <x:c r="B117" s="17" t="str">
        <x:v>FP-0101–0200</x:v>
      </x:c>
      <x:c r="C117" s="17" t="n">
        <x:v>24</x:v>
      </x:c>
      <x:c r="D117" s="17" t="n">
        <x:v>24</x:v>
      </x:c>
      <x:c r="E117" s="17" t="n">
        <x:v>1</x:v>
      </x:c>
      <x:c r="F117" s="17" t="str">
        <x:v>$[23].questions[0]</x:v>
      </x:c>
      <x:c r="G117" s="17" t="str">
        <x:v>Johannes 4,5-6</x:v>
      </x:c>
      <x:c r="H117" s="17" t="str">
        <x:v>Bei welcher Stadt Samarias befindet sich Jakobs Brunnen?</x:v>
      </x:c>
      <x:c r="I117" s="17" t="str">
        <x:v>Sichar</x:v>
      </x:c>
      <x:c r="J117" s="17" t="str">
        <x:v>FAITHPATH_ONLY</x:v>
      </x:c>
      <x:c r="K117" s="17" t="str"/>
      <x:c r="L117" s="17" t="str"/>
      <x:c r="M117" s="17" t="str"/>
      <x:c r="N117" s="17" t="str"/>
      <x:c r="O117" s="17" t="str"/>
      <x:c r="P117" s="17" t="str"/>
      <x:c r="Q117" s="17" t="str">
        <x:v>NO_SOURCE_EQUIVALENT_SELECTED</x:v>
      </x:c>
      <x:c r="R117" s="17" t="str">
        <x:v>N/A</x:v>
      </x:c>
      <x:c r="S117" s="17" t="str">
        <x:v>FaithPath final QA aggregate (57 SINNGLEICH / 42 FAITHPATH_ONLY / 1 KONFLIKT) + Nachlese final catalog/QA</x:v>
      </x:c>
      <x:c r="T117" s="17" t="str">
        <x:v>Kein N-Mapping in reconstructed final block allocation.</x:v>
      </x:c>
    </x:row>
    <x:row r="118" ht="26.399999618530273" hidden="0" customHeight="1">
      <x:c r="A118" s="17" t="str">
        <x:v>FP-0117</x:v>
      </x:c>
      <x:c r="B118" s="17" t="str">
        <x:v>FP-0101–0200</x:v>
      </x:c>
      <x:c r="C118" s="17" t="n">
        <x:v>24</x:v>
      </x:c>
      <x:c r="D118" s="17" t="n">
        <x:v>24</x:v>
      </x:c>
      <x:c r="E118" s="17" t="n">
        <x:v>2</x:v>
      </x:c>
      <x:c r="F118" s="17" t="str">
        <x:v>$[23].questions[1]</x:v>
      </x:c>
      <x:c r="G118" s="17" t="str">
        <x:v>Johannes 4,7</x:v>
      </x:c>
      <x:c r="H118" s="17" t="str">
        <x:v>Was bittet Jesus die samaritanische Frau zunächst?</x:v>
      </x:c>
      <x:c r="I118" s="17" t="str">
        <x:v>Ihm zu trinken zu geben</x:v>
      </x:c>
      <x:c r="J118" s="17" t="str">
        <x:v>FAITHPATH_ONLY</x:v>
      </x:c>
      <x:c r="K118" s="17" t="str"/>
      <x:c r="L118" s="17" t="str"/>
      <x:c r="M118" s="17" t="str"/>
      <x:c r="N118" s="17" t="str"/>
      <x:c r="O118" s="17" t="str"/>
      <x:c r="P118" s="17" t="str"/>
      <x:c r="Q118" s="17" t="str">
        <x:v>NO_SOURCE_EQUIVALENT_SELECTED</x:v>
      </x:c>
      <x:c r="R118" s="17" t="str">
        <x:v>N/A</x:v>
      </x:c>
      <x:c r="S118" s="17" t="str">
        <x:v>FaithPath final QA aggregate (57 SINNGLEICH / 42 FAITHPATH_ONLY / 1 KONFLIKT) + Nachlese final catalog/QA</x:v>
      </x:c>
      <x:c r="T118" s="17" t="str">
        <x:v>Kein N-Mapping in reconstructed final block allocation.</x:v>
      </x:c>
    </x:row>
    <x:row r="119" ht="26.399999618530273" hidden="0" customHeight="1">
      <x:c r="A119" s="17" t="str">
        <x:v>FP-0118</x:v>
      </x:c>
      <x:c r="B119" s="17" t="str">
        <x:v>FP-0101–0200</x:v>
      </x:c>
      <x:c r="C119" s="17" t="n">
        <x:v>24</x:v>
      </x:c>
      <x:c r="D119" s="17" t="n">
        <x:v>24</x:v>
      </x:c>
      <x:c r="E119" s="17" t="n">
        <x:v>3</x:v>
      </x:c>
      <x:c r="F119" s="17" t="str">
        <x:v>$[23].questions[2]</x:v>
      </x:c>
      <x:c r="G119" s="17" t="str">
        <x:v>Johannes 4,18</x:v>
      </x:c>
      <x:c r="H119" s="17" t="str">
        <x:v>Wie viele Männer hatte die samaritanische Frau nach Jesu Aussage gehabt?</x:v>
      </x:c>
      <x:c r="I119" s="17" t="str">
        <x:v>Fünf</x:v>
      </x:c>
      <x:c r="J119" s="17" t="str">
        <x:v>FAITHPATH_ONLY</x:v>
      </x:c>
      <x:c r="K119" s="17" t="str"/>
      <x:c r="L119" s="17" t="str"/>
      <x:c r="M119" s="17" t="str"/>
      <x:c r="N119" s="17" t="str"/>
      <x:c r="O119" s="17" t="str"/>
      <x:c r="P119" s="17" t="str"/>
      <x:c r="Q119" s="17" t="str">
        <x:v>NO_SOURCE_EQUIVALENT_SELECTED</x:v>
      </x:c>
      <x:c r="R119" s="17" t="str">
        <x:v>N/A</x:v>
      </x:c>
      <x:c r="S119" s="17" t="str">
        <x:v>FaithPath final QA aggregate (57 SINNGLEICH / 42 FAITHPATH_ONLY / 1 KONFLIKT) + Nachlese final catalog/QA</x:v>
      </x:c>
      <x:c r="T119" s="17" t="str">
        <x:v>Kein N-Mapping in reconstructed final block allocation.</x:v>
      </x:c>
    </x:row>
    <x:row r="120" ht="26.399999618530273" hidden="0" customHeight="1">
      <x:c r="A120" s="17" t="str">
        <x:v>FP-0119</x:v>
      </x:c>
      <x:c r="B120" s="17" t="str">
        <x:v>FP-0101–0200</x:v>
      </x:c>
      <x:c r="C120" s="17" t="n">
        <x:v>24</x:v>
      </x:c>
      <x:c r="D120" s="17" t="n">
        <x:v>24</x:v>
      </x:c>
      <x:c r="E120" s="17" t="n">
        <x:v>4</x:v>
      </x:c>
      <x:c r="F120" s="17" t="str">
        <x:v>$[23].questions[3]</x:v>
      </x:c>
      <x:c r="G120" s="17" t="str">
        <x:v>Johannes 4,23-24</x:v>
      </x:c>
      <x:c r="H120" s="17" t="str">
        <x:v>Wie sollen die wahrhaftigen Anbeter den Vater anbeten?</x:v>
      </x:c>
      <x:c r="I120" s="17" t="str">
        <x:v>Im Geist und in der Wahrheit</x:v>
      </x:c>
      <x:c r="J120" s="17" t="str">
        <x:v>SINNGLEICH</x:v>
      </x:c>
      <x:c r="K120" s="17" t="str">
        <x:v>N-1459</x:v>
      </x:c>
      <x:c r="L120" s="17" t="str">
        <x:v>Johannes 4,23–24</x:v>
      </x:c>
      <x:c r="M120" s="17" t="str">
        <x:v>Wie sollen wahrhaftige Anbeter anbeten?</x:v>
      </x:c>
      <x:c r="N120" s="17" t="str">
        <x:v>Im Geist und in der Wahrheit</x:v>
      </x:c>
      <x:c r="O120" s="17" t="str">
        <x:v>Jakobs Brunnen</x:v>
      </x:c>
      <x:c r="P120" s="17" t="str">
        <x:v>Johannes 4,1–42</x:v>
      </x:c>
      <x:c r="Q120" s="17" t="str">
        <x:v>RECONSTRUCTED_AGGREGATE_CONSTRAINED</x:v>
      </x:c>
      <x:c r="R120" s="17" t="str">
        <x:v>HIGH</x:v>
      </x:c>
      <x:c r="S120" s="17" t="str">
        <x:v>FaithPath final QA aggregate (57 SINNGLEICH / 42 FAITHPATH_ONLY / 1 KONFLIKT) + Nachlese final catalog/QA</x:v>
      </x:c>
      <x:c r="T120" s="17" t="str">
        <x:v>Reconstructed row-level mapping; original historical Block2 XLSX unavailable.</x:v>
      </x:c>
    </x:row>
    <x:row r="121" ht="26.399999618530273" hidden="0" customHeight="1">
      <x:c r="A121" s="17" t="str">
        <x:v>FP-0120</x:v>
      </x:c>
      <x:c r="B121" s="17" t="str">
        <x:v>FP-0101–0200</x:v>
      </x:c>
      <x:c r="C121" s="17" t="n">
        <x:v>24</x:v>
      </x:c>
      <x:c r="D121" s="17" t="n">
        <x:v>24</x:v>
      </x:c>
      <x:c r="E121" s="17" t="n">
        <x:v>5</x:v>
      </x:c>
      <x:c r="F121" s="17" t="str">
        <x:v>$[23].questions[4]</x:v>
      </x:c>
      <x:c r="G121" s="17" t="str">
        <x:v>Johannes 4,50-53</x:v>
      </x:c>
      <x:c r="H121" s="17" t="str">
        <x:v>Was geschieht mit dem Sohn des königlichen Beamten?</x:v>
      </x:c>
      <x:c r="I121" s="17" t="str">
        <x:v>Er wird gesund</x:v>
      </x:c>
      <x:c r="J121" s="17" t="str">
        <x:v>SINNGLEICH</x:v>
      </x:c>
      <x:c r="K121" s="17" t="str">
        <x:v>N-1466</x:v>
      </x:c>
      <x:c r="L121" s="17" t="str">
        <x:v>Johannes 4,50</x:v>
      </x:c>
      <x:c r="M121" s="17" t="str">
        <x:v>Was sagte Jesus — und was tat der Mann?</x:v>
      </x:c>
      <x:c r="N121" s="17" t="str">
        <x:v>Gehe hin, dein Sohn lebt. Der Mann glaubte und ging hin.</x:v>
      </x:c>
      <x:c r="O121" s="17" t="str">
        <x:v>Dein Sohn lebt</x:v>
      </x:c>
      <x:c r="P121" s="17" t="str">
        <x:v>Johannes 4,43–54</x:v>
      </x:c>
      <x:c r="Q121" s="17" t="str">
        <x:v>RECONSTRUCTED_AGGREGATE_CONSTRAINED</x:v>
      </x:c>
      <x:c r="R121" s="17" t="str">
        <x:v>MEDIUM</x:v>
      </x:c>
      <x:c r="S121" s="17" t="str">
        <x:v>FaithPath final QA aggregate (57 SINNGLEICH / 42 FAITHPATH_ONLY / 1 KONFLIKT) + Nachlese final catalog/QA</x:v>
      </x:c>
      <x:c r="T121" s="17" t="str">
        <x:v>Reconstructed row-level mapping; original historical Block2 XLSX unavailable.</x:v>
      </x:c>
    </x:row>
    <x:row r="122" ht="26.399999618530273" hidden="0" customHeight="1">
      <x:c r="A122" s="17" t="str">
        <x:v>FP-0121</x:v>
      </x:c>
      <x:c r="B122" s="17" t="str">
        <x:v>FP-0101–0200</x:v>
      </x:c>
      <x:c r="C122" s="17" t="n">
        <x:v>25</x:v>
      </x:c>
      <x:c r="D122" s="17" t="n">
        <x:v>25</x:v>
      </x:c>
      <x:c r="E122" s="17" t="n">
        <x:v>1</x:v>
      </x:c>
      <x:c r="F122" s="17" t="str">
        <x:v>$[24].questions[0]</x:v>
      </x:c>
      <x:c r="G122" s="17" t="str">
        <x:v>Johannes 5,2</x:v>
      </x:c>
      <x:c r="H122" s="17" t="str">
        <x:v>Wie heißt der Teich bei dem Schaftor in Jerusalem?</x:v>
      </x:c>
      <x:c r="I122" s="17" t="str">
        <x:v>Bethesda</x:v>
      </x:c>
      <x:c r="J122" s="17" t="str">
        <x:v>SINNGLEICH</x:v>
      </x:c>
      <x:c r="K122" s="17" t="str">
        <x:v>N-1468</x:v>
      </x:c>
      <x:c r="L122" s="17" t="str">
        <x:v>Johannes 5,2</x:v>
      </x:c>
      <x:c r="M122" s="17" t="str">
        <x:v>Wie heißt der Teich bei dem Schaftor?</x:v>
      </x:c>
      <x:c r="N122" s="17" t="str">
        <x:v>Bethesda</x:v>
      </x:c>
      <x:c r="O122" s="17" t="str">
        <x:v>Der Teich Bethesda</x:v>
      </x:c>
      <x:c r="P122" s="17" t="str">
        <x:v>Johannes 5,1–18</x:v>
      </x:c>
      <x:c r="Q122" s="17" t="str">
        <x:v>RECONSTRUCTED_AGGREGATE_CONSTRAINED</x:v>
      </x:c>
      <x:c r="R122" s="17" t="str">
        <x:v>HIGH</x:v>
      </x:c>
      <x:c r="S122" s="17" t="str">
        <x:v>FaithPath final QA aggregate (57 SINNGLEICH / 42 FAITHPATH_ONLY / 1 KONFLIKT) + Nachlese final catalog/QA</x:v>
      </x:c>
      <x:c r="T122" s="17" t="str">
        <x:v>Reconstructed row-level mapping; original historical Block2 XLSX unavailable.</x:v>
      </x:c>
    </x:row>
    <x:row r="123" ht="26.399999618530273" hidden="0" customHeight="1">
      <x:c r="A123" s="17" t="str">
        <x:v>FP-0122</x:v>
      </x:c>
      <x:c r="B123" s="17" t="str">
        <x:v>FP-0101–0200</x:v>
      </x:c>
      <x:c r="C123" s="17" t="n">
        <x:v>25</x:v>
      </x:c>
      <x:c r="D123" s="17" t="n">
        <x:v>25</x:v>
      </x:c>
      <x:c r="E123" s="17" t="n">
        <x:v>2</x:v>
      </x:c>
      <x:c r="F123" s="17" t="str">
        <x:v>$[24].questions[1]</x:v>
      </x:c>
      <x:c r="G123" s="17" t="str">
        <x:v>Johannes 5,2</x:v>
      </x:c>
      <x:c r="H123" s="17" t="str">
        <x:v>Wie viele Hallen hatte der Teich Bethesda?</x:v>
      </x:c>
      <x:c r="I123" s="17" t="str">
        <x:v>Fünf</x:v>
      </x:c>
      <x:c r="J123" s="17" t="str">
        <x:v>FAITHPATH_ONLY</x:v>
      </x:c>
      <x:c r="K123" s="17" t="str"/>
      <x:c r="L123" s="17" t="str"/>
      <x:c r="M123" s="17" t="str"/>
      <x:c r="N123" s="17" t="str"/>
      <x:c r="O123" s="17" t="str"/>
      <x:c r="P123" s="17" t="str"/>
      <x:c r="Q123" s="17" t="str">
        <x:v>NO_SOURCE_EQUIVALENT_SELECTED</x:v>
      </x:c>
      <x:c r="R123" s="17" t="str">
        <x:v>N/A</x:v>
      </x:c>
      <x:c r="S123" s="17" t="str">
        <x:v>FaithPath final QA aggregate (57 SINNGLEICH / 42 FAITHPATH_ONLY / 1 KONFLIKT) + Nachlese final catalog/QA</x:v>
      </x:c>
      <x:c r="T123" s="17" t="str">
        <x:v>Kein N-Mapping in reconstructed final block allocation.</x:v>
      </x:c>
    </x:row>
    <x:row r="124" ht="26.399999618530273" hidden="0" customHeight="1">
      <x:c r="A124" s="17" t="str">
        <x:v>FP-0123</x:v>
      </x:c>
      <x:c r="B124" s="17" t="str">
        <x:v>FP-0101–0200</x:v>
      </x:c>
      <x:c r="C124" s="17" t="n">
        <x:v>25</x:v>
      </x:c>
      <x:c r="D124" s="17" t="n">
        <x:v>25</x:v>
      </x:c>
      <x:c r="E124" s="17" t="n">
        <x:v>3</x:v>
      </x:c>
      <x:c r="F124" s="17" t="str">
        <x:v>$[24].questions[2]</x:v>
      </x:c>
      <x:c r="G124" s="17" t="str">
        <x:v>Johannes 5,5</x:v>
      </x:c>
      <x:c r="H124" s="17" t="str">
        <x:v>Wie lange war der Mann krank, den Jesus am Teich heilt?</x:v>
      </x:c>
      <x:c r="I124" s="17" t="str">
        <x:v>38 Jahre</x:v>
      </x:c>
      <x:c r="J124" s="17" t="str">
        <x:v>SINNGLEICH</x:v>
      </x:c>
      <x:c r="K124" s="17" t="str">
        <x:v>N-1469</x:v>
      </x:c>
      <x:c r="L124" s="17" t="str">
        <x:v>Johannes 5,5</x:v>
      </x:c>
      <x:c r="M124" s="17" t="str">
        <x:v>Wie lange lag der Mensch krank?</x:v>
      </x:c>
      <x:c r="N124" s="17" t="str">
        <x:v>Achtunddreißig Jahre</x:v>
      </x:c>
      <x:c r="O124" s="17" t="str">
        <x:v>Der Teich Bethesda</x:v>
      </x:c>
      <x:c r="P124" s="17" t="str">
        <x:v>Johannes 5,1–18</x:v>
      </x:c>
      <x:c r="Q124" s="17" t="str">
        <x:v>RECONSTRUCTED_AGGREGATE_CONSTRAINED</x:v>
      </x:c>
      <x:c r="R124" s="17" t="str">
        <x:v>HIGH</x:v>
      </x:c>
      <x:c r="S124" s="17" t="str">
        <x:v>FaithPath final QA aggregate (57 SINNGLEICH / 42 FAITHPATH_ONLY / 1 KONFLIKT) + Nachlese final catalog/QA</x:v>
      </x:c>
      <x:c r="T124" s="17" t="str">
        <x:v>Reconstructed row-level mapping; original historical Block2 XLSX unavailable.</x:v>
      </x:c>
    </x:row>
    <x:row r="125" ht="26.399999618530273" hidden="0" customHeight="1">
      <x:c r="A125" s="17" t="str">
        <x:v>FP-0124</x:v>
      </x:c>
      <x:c r="B125" s="17" t="str">
        <x:v>FP-0101–0200</x:v>
      </x:c>
      <x:c r="C125" s="17" t="n">
        <x:v>25</x:v>
      </x:c>
      <x:c r="D125" s="17" t="n">
        <x:v>25</x:v>
      </x:c>
      <x:c r="E125" s="17" t="n">
        <x:v>4</x:v>
      </x:c>
      <x:c r="F125" s="17" t="str">
        <x:v>$[24].questions[3]</x:v>
      </x:c>
      <x:c r="G125" s="17" t="str">
        <x:v>Johannes 5,8</x:v>
      </x:c>
      <x:c r="H125" s="17" t="str">
        <x:v>Was fordert Jesus den geheilten Mann auf zu tun?</x:v>
      </x:c>
      <x:c r="I125" s="17" t="str">
        <x:v>Aufzustehen, sein Bett zu nehmen und zu gehen</x:v>
      </x:c>
      <x:c r="J125" s="17" t="str">
        <x:v>SINNGLEICH</x:v>
      </x:c>
      <x:c r="K125" s="17" t="str">
        <x:v>N-1471</x:v>
      </x:c>
      <x:c r="L125" s="17" t="str">
        <x:v>Johannes 5,8</x:v>
      </x:c>
      <x:c r="M125" s="17" t="str">
        <x:v>Was sagt er ihm?</x:v>
      </x:c>
      <x:c r="N125" s="17" t="str">
        <x:v>Stehe auf, nimm dein Bett und gehe hin!</x:v>
      </x:c>
      <x:c r="O125" s="17" t="str">
        <x:v>Der Teich Bethesda</x:v>
      </x:c>
      <x:c r="P125" s="17" t="str">
        <x:v>Johannes 5,1–18</x:v>
      </x:c>
      <x:c r="Q125" s="17" t="str">
        <x:v>RECONSTRUCTED_AGGREGATE_CONSTRAINED</x:v>
      </x:c>
      <x:c r="R125" s="17" t="str">
        <x:v>HIGH</x:v>
      </x:c>
      <x:c r="S125" s="17" t="str">
        <x:v>FaithPath final QA aggregate (57 SINNGLEICH / 42 FAITHPATH_ONLY / 1 KONFLIKT) + Nachlese final catalog/QA</x:v>
      </x:c>
      <x:c r="T125" s="17" t="str">
        <x:v>Reconstructed row-level mapping; original historical Block2 XLSX unavailable.</x:v>
      </x:c>
    </x:row>
    <x:row r="126" ht="26.399999618530273" hidden="0" customHeight="1">
      <x:c r="A126" s="17" t="str">
        <x:v>FP-0125</x:v>
      </x:c>
      <x:c r="B126" s="17" t="str">
        <x:v>FP-0101–0200</x:v>
      </x:c>
      <x:c r="C126" s="17" t="n">
        <x:v>25</x:v>
      </x:c>
      <x:c r="D126" s="17" t="n">
        <x:v>25</x:v>
      </x:c>
      <x:c r="E126" s="17" t="n">
        <x:v>5</x:v>
      </x:c>
      <x:c r="F126" s="17" t="str">
        <x:v>$[24].questions[4]</x:v>
      </x:c>
      <x:c r="G126" s="17" t="str">
        <x:v>Johannes 5,9</x:v>
      </x:c>
      <x:c r="H126" s="17" t="str">
        <x:v>An welchem Tag geschieht diese Heilung?</x:v>
      </x:c>
      <x:c r="I126" s="17" t="str">
        <x:v>Am Sabbat</x:v>
      </x:c>
      <x:c r="J126" s="17" t="str">
        <x:v>SINNGLEICH</x:v>
      </x:c>
      <x:c r="K126" s="17" t="str">
        <x:v>N-1472</x:v>
      </x:c>
      <x:c r="L126" s="17" t="str">
        <x:v>Johannes 5,9</x:v>
      </x:c>
      <x:c r="M126" s="17" t="str">
        <x:v>An welchem Tag geschah das?</x:v>
      </x:c>
      <x:c r="N126" s="17" t="str">
        <x:v>Am Sabbat</x:v>
      </x:c>
      <x:c r="O126" s="17" t="str">
        <x:v>Der Teich Bethesda</x:v>
      </x:c>
      <x:c r="P126" s="17" t="str">
        <x:v>Johannes 5,1–18</x:v>
      </x:c>
      <x:c r="Q126" s="17" t="str">
        <x:v>RECONSTRUCTED_AGGREGATE_CONSTRAINED</x:v>
      </x:c>
      <x:c r="R126" s="17" t="str">
        <x:v>HIGH</x:v>
      </x:c>
      <x:c r="S126" s="17" t="str">
        <x:v>FaithPath final QA aggregate (57 SINNGLEICH / 42 FAITHPATH_ONLY / 1 KONFLIKT) + Nachlese final catalog/QA</x:v>
      </x:c>
      <x:c r="T126" s="17" t="str">
        <x:v>Reconstructed row-level mapping; original historical Block2 XLSX unavailable.</x:v>
      </x:c>
    </x:row>
    <x:row r="127" ht="26.399999618530273" hidden="0" customHeight="1">
      <x:c r="A127" s="17" t="str">
        <x:v>FP-0126</x:v>
      </x:c>
      <x:c r="B127" s="17" t="str">
        <x:v>FP-0101–0200</x:v>
      </x:c>
      <x:c r="C127" s="17" t="n">
        <x:v>26</x:v>
      </x:c>
      <x:c r="D127" s="17" t="n">
        <x:v>26</x:v>
      </x:c>
      <x:c r="E127" s="17" t="n">
        <x:v>1</x:v>
      </x:c>
      <x:c r="F127" s="17" t="str">
        <x:v>$[25].questions[0]</x:v>
      </x:c>
      <x:c r="G127" s="17" t="str">
        <x:v>Johannes 6,9</x:v>
      </x:c>
      <x:c r="H127" s="17" t="str">
        <x:v>Wie viele Gerstenbrote nennt Andreas vor der Speisung der Menge?</x:v>
      </x:c>
      <x:c r="I127" s="17" t="str">
        <x:v>Fünf</x:v>
      </x:c>
      <x:c r="J127" s="17" t="str">
        <x:v>SINNGLEICH</x:v>
      </x:c>
      <x:c r="K127" s="17" t="str">
        <x:v>N-1481</x:v>
      </x:c>
      <x:c r="L127" s="17" t="str">
        <x:v>Johannes 6,9</x:v>
      </x:c>
      <x:c r="M127" s="17" t="str">
        <x:v>Was hat der Knabe?</x:v>
      </x:c>
      <x:c r="N127" s="17" t="str">
        <x:v>Fünf Gerstenbrote und zwei Fische</x:v>
      </x:c>
      <x:c r="O127" s="17" t="str">
        <x:v>Fünf Gerstenbrote</x:v>
      </x:c>
      <x:c r="P127" s="17" t="str">
        <x:v>Johannes 6,1–21</x:v>
      </x:c>
      <x:c r="Q127" s="17" t="str">
        <x:v>RECONSTRUCTED_AGGREGATE_CONSTRAINED</x:v>
      </x:c>
      <x:c r="R127" s="17" t="str">
        <x:v>MEDIUM</x:v>
      </x:c>
      <x:c r="S127" s="17" t="str">
        <x:v>FaithPath final QA aggregate (57 SINNGLEICH / 42 FAITHPATH_ONLY / 1 KONFLIKT) + Nachlese final catalog/QA</x:v>
      </x:c>
      <x:c r="T127" s="17" t="str">
        <x:v>Reconstructed row-level mapping; original historical Block2 XLSX unavailable.</x:v>
      </x:c>
    </x:row>
    <x:row r="128" ht="26.399999618530273" hidden="0" customHeight="1">
      <x:c r="A128" s="17" t="str">
        <x:v>FP-0127</x:v>
      </x:c>
      <x:c r="B128" s="17" t="str">
        <x:v>FP-0101–0200</x:v>
      </x:c>
      <x:c r="C128" s="17" t="n">
        <x:v>26</x:v>
      </x:c>
      <x:c r="D128" s="17" t="n">
        <x:v>26</x:v>
      </x:c>
      <x:c r="E128" s="17" t="n">
        <x:v>2</x:v>
      </x:c>
      <x:c r="F128" s="17" t="str">
        <x:v>$[25].questions[1]</x:v>
      </x:c>
      <x:c r="G128" s="17" t="str">
        <x:v>Johannes 6,9</x:v>
      </x:c>
      <x:c r="H128" s="17" t="str">
        <x:v>Wie viele Fische hatte der Knabe?</x:v>
      </x:c>
      <x:c r="I128" s="17" t="str">
        <x:v>Zwei</x:v>
      </x:c>
      <x:c r="J128" s="17" t="str">
        <x:v>SINNGLEICH</x:v>
      </x:c>
      <x:c r="K128" s="17" t="str">
        <x:v>N-1481</x:v>
      </x:c>
      <x:c r="L128" s="17" t="str">
        <x:v>Johannes 6,9</x:v>
      </x:c>
      <x:c r="M128" s="17" t="str">
        <x:v>Was hat der Knabe?</x:v>
      </x:c>
      <x:c r="N128" s="17" t="str">
        <x:v>Fünf Gerstenbrote und zwei Fische</x:v>
      </x:c>
      <x:c r="O128" s="17" t="str">
        <x:v>Fünf Gerstenbrote</x:v>
      </x:c>
      <x:c r="P128" s="17" t="str">
        <x:v>Johannes 6,1–21</x:v>
      </x:c>
      <x:c r="Q128" s="17" t="str">
        <x:v>RECONSTRUCTED_AGGREGATE_CONSTRAINED</x:v>
      </x:c>
      <x:c r="R128" s="17" t="str">
        <x:v>MEDIUM</x:v>
      </x:c>
      <x:c r="S128" s="17" t="str">
        <x:v>FaithPath final QA aggregate (57 SINNGLEICH / 42 FAITHPATH_ONLY / 1 KONFLIKT) + Nachlese final catalog/QA</x:v>
      </x:c>
      <x:c r="T128" s="17" t="str">
        <x:v>Reconstructed row-level mapping; original historical Block2 XLSX unavailable.</x:v>
      </x:c>
    </x:row>
    <x:row r="129" ht="26.399999618530273" hidden="0" customHeight="1">
      <x:c r="A129" s="17" t="str">
        <x:v>FP-0128</x:v>
      </x:c>
      <x:c r="B129" s="17" t="str">
        <x:v>FP-0101–0200</x:v>
      </x:c>
      <x:c r="C129" s="17" t="n">
        <x:v>26</x:v>
      </x:c>
      <x:c r="D129" s="17" t="n">
        <x:v>26</x:v>
      </x:c>
      <x:c r="E129" s="17" t="n">
        <x:v>3</x:v>
      </x:c>
      <x:c r="F129" s="17" t="str">
        <x:v>$[25].questions[2]</x:v>
      </x:c>
      <x:c r="G129" s="17" t="str">
        <x:v>Johannes 6,13</x:v>
      </x:c>
      <x:c r="H129" s="17" t="str">
        <x:v>Wie viele Körbe mit Brocken sammeln die Jünger nach der Speisung?</x:v>
      </x:c>
      <x:c r="I129" s="17" t="str">
        <x:v>Zwölf</x:v>
      </x:c>
      <x:c r="J129" s="17" t="str">
        <x:v>SINNGLEICH</x:v>
      </x:c>
      <x:c r="K129" s="17" t="str">
        <x:v>N-1483</x:v>
      </x:c>
      <x:c r="L129" s="17" t="str">
        <x:v>Johannes 6,13</x:v>
      </x:c>
      <x:c r="M129" s="17" t="str">
        <x:v>Wie viel blieb übrig?</x:v>
      </x:c>
      <x:c r="N129" s="17" t="str">
        <x:v>Zwölf Körbe</x:v>
      </x:c>
      <x:c r="O129" s="17" t="str">
        <x:v>Fünf Gerstenbrote</x:v>
      </x:c>
      <x:c r="P129" s="17" t="str">
        <x:v>Johannes 6,1–21</x:v>
      </x:c>
      <x:c r="Q129" s="17" t="str">
        <x:v>RECONSTRUCTED_AGGREGATE_CONSTRAINED</x:v>
      </x:c>
      <x:c r="R129" s="17" t="str">
        <x:v>HIGH</x:v>
      </x:c>
      <x:c r="S129" s="17" t="str">
        <x:v>FaithPath final QA aggregate (57 SINNGLEICH / 42 FAITHPATH_ONLY / 1 KONFLIKT) + Nachlese final catalog/QA</x:v>
      </x:c>
      <x:c r="T129" s="17" t="str">
        <x:v>Reconstructed row-level mapping; original historical Block2 XLSX unavailable.</x:v>
      </x:c>
    </x:row>
    <x:row r="130" ht="26.399999618530273" hidden="0" customHeight="1">
      <x:c r="A130" s="17" t="str">
        <x:v>FP-0129</x:v>
      </x:c>
      <x:c r="B130" s="17" t="str">
        <x:v>FP-0101–0200</x:v>
      </x:c>
      <x:c r="C130" s="17" t="n">
        <x:v>26</x:v>
      </x:c>
      <x:c r="D130" s="17" t="n">
        <x:v>26</x:v>
      </x:c>
      <x:c r="E130" s="17" t="n">
        <x:v>4</x:v>
      </x:c>
      <x:c r="F130" s="17" t="str">
        <x:v>$[25].questions[3]</x:v>
      </x:c>
      <x:c r="G130" s="17" t="str">
        <x:v>Johannes 6,19</x:v>
      </x:c>
      <x:c r="H130" s="17" t="str">
        <x:v>Wie gelangt Jesus zu den Jüngern auf dem See?</x:v>
      </x:c>
      <x:c r="I130" s="17" t="str">
        <x:v>Er geht auf dem Wasser</x:v>
      </x:c>
      <x:c r="J130" s="17" t="str">
        <x:v>FAITHPATH_ONLY</x:v>
      </x:c>
      <x:c r="K130" s="17" t="str"/>
      <x:c r="L130" s="17" t="str"/>
      <x:c r="M130" s="17" t="str"/>
      <x:c r="N130" s="17" t="str"/>
      <x:c r="O130" s="17" t="str"/>
      <x:c r="P130" s="17" t="str"/>
      <x:c r="Q130" s="17" t="str">
        <x:v>NO_SOURCE_EQUIVALENT_SELECTED</x:v>
      </x:c>
      <x:c r="R130" s="17" t="str">
        <x:v>N/A</x:v>
      </x:c>
      <x:c r="S130" s="17" t="str">
        <x:v>FaithPath final QA aggregate (57 SINNGLEICH / 42 FAITHPATH_ONLY / 1 KONFLIKT) + Nachlese final catalog/QA</x:v>
      </x:c>
      <x:c r="T130" s="17" t="str">
        <x:v>Kein N-Mapping in reconstructed final block allocation.</x:v>
      </x:c>
    </x:row>
    <x:row r="131" ht="26.399999618530273" hidden="0" customHeight="1">
      <x:c r="A131" s="17" t="str">
        <x:v>FP-0130</x:v>
      </x:c>
      <x:c r="B131" s="17" t="str">
        <x:v>FP-0101–0200</x:v>
      </x:c>
      <x:c r="C131" s="17" t="n">
        <x:v>26</x:v>
      </x:c>
      <x:c r="D131" s="17" t="n">
        <x:v>26</x:v>
      </x:c>
      <x:c r="E131" s="17" t="n">
        <x:v>5</x:v>
      </x:c>
      <x:c r="F131" s="17" t="str">
        <x:v>$[25].questions[4]</x:v>
      </x:c>
      <x:c r="G131" s="17" t="str">
        <x:v>Johannes 6,35</x:v>
      </x:c>
      <x:c r="H131" s="17" t="str">
        <x:v>Wie bezeichnet Jesus sich in Johannes 6?</x:v>
      </x:c>
      <x:c r="I131" s="17" t="str">
        <x:v>Als Brot des Lebens</x:v>
      </x:c>
      <x:c r="J131" s="17" t="str">
        <x:v>SINNGLEICH</x:v>
      </x:c>
      <x:c r="K131" s="17" t="str">
        <x:v>N-1488</x:v>
      </x:c>
      <x:c r="L131" s="17" t="str">
        <x:v>Johannes 6,35</x:v>
      </x:c>
      <x:c r="M131" s="17" t="str">
        <x:v>Was sagt Jesus von sich als Brot?</x:v>
      </x:c>
      <x:c r="N131" s="17" t="str">
        <x:v>Ich bin das Brot des Lebens. Wer zu mir (Johannes 6,35)</x:v>
      </x:c>
      <x:c r="O131" s="17" t="str">
        <x:v>Das Brot des Lebens</x:v>
      </x:c>
      <x:c r="P131" s="17" t="str">
        <x:v>Johannes 6,25–40</x:v>
      </x:c>
      <x:c r="Q131" s="17" t="str">
        <x:v>RECONSTRUCTED_AGGREGATE_CONSTRAINED</x:v>
      </x:c>
      <x:c r="R131" s="17" t="str">
        <x:v>HIGH</x:v>
      </x:c>
      <x:c r="S131" s="17" t="str">
        <x:v>FaithPath final QA aggregate (57 SINNGLEICH / 42 FAITHPATH_ONLY / 1 KONFLIKT) + Nachlese final catalog/QA</x:v>
      </x:c>
      <x:c r="T131" s="17" t="str">
        <x:v>Reconstructed row-level mapping; original historical Block2 XLSX unavailable.</x:v>
      </x:c>
    </x:row>
    <x:row r="132" ht="26.399999618530273" hidden="0" customHeight="1">
      <x:c r="A132" s="17" t="str">
        <x:v>FP-0131</x:v>
      </x:c>
      <x:c r="B132" s="17" t="str">
        <x:v>FP-0101–0200</x:v>
      </x:c>
      <x:c r="C132" s="17" t="n">
        <x:v>27</x:v>
      </x:c>
      <x:c r="D132" s="17" t="n">
        <x:v>27</x:v>
      </x:c>
      <x:c r="E132" s="17" t="n">
        <x:v>1</x:v>
      </x:c>
      <x:c r="F132" s="17" t="str">
        <x:v>$[26].questions[0]</x:v>
      </x:c>
      <x:c r="G132" s="17" t="str">
        <x:v>Johannes 7,2</x:v>
      </x:c>
      <x:c r="H132" s="17" t="str">
        <x:v>Welches jüdische Fest war nahe, als Jesu Brüder ihn aufforderten, nach Judäa zu gehen?</x:v>
      </x:c>
      <x:c r="I132" s="17" t="str">
        <x:v>Das Laubhüttenfest</x:v>
      </x:c>
      <x:c r="J132" s="17" t="str">
        <x:v>SINNGLEICH</x:v>
      </x:c>
      <x:c r="K132" s="17" t="str">
        <x:v>N-1497</x:v>
      </x:c>
      <x:c r="L132" s="17" t="str">
        <x:v>Johannes 7,2</x:v>
      </x:c>
      <x:c r="M132" s="17" t="str">
        <x:v>Welches Fest war nahe?</x:v>
      </x:c>
      <x:c r="N132" s="17" t="str">
        <x:v>Der Juden Fest, die Laubhütten (Johannes 7,2)</x:v>
      </x:c>
      <x:c r="O132" s="17" t="str">
        <x:v>Laubhütten — heimlich hinauf</x:v>
      </x:c>
      <x:c r="P132" s="17" t="str">
        <x:v>Johannes 7,1–24</x:v>
      </x:c>
      <x:c r="Q132" s="17" t="str">
        <x:v>RECONSTRUCTED_AGGREGATE_CONSTRAINED</x:v>
      </x:c>
      <x:c r="R132" s="17" t="str">
        <x:v>HIGH</x:v>
      </x:c>
      <x:c r="S132" s="17" t="str">
        <x:v>FaithPath final QA aggregate (57 SINNGLEICH / 42 FAITHPATH_ONLY / 1 KONFLIKT) + Nachlese final catalog/QA</x:v>
      </x:c>
      <x:c r="T132" s="17" t="str">
        <x:v>Reconstructed row-level mapping; original historical Block2 XLSX unavailable.</x:v>
      </x:c>
    </x:row>
    <x:row r="133" ht="26.399999618530273" hidden="0" customHeight="1">
      <x:c r="A133" s="17" t="str">
        <x:v>FP-0132</x:v>
      </x:c>
      <x:c r="B133" s="17" t="str">
        <x:v>FP-0101–0200</x:v>
      </x:c>
      <x:c r="C133" s="17" t="n">
        <x:v>27</x:v>
      </x:c>
      <x:c r="D133" s="17" t="n">
        <x:v>27</x:v>
      </x:c>
      <x:c r="E133" s="17" t="n">
        <x:v>2</x:v>
      </x:c>
      <x:c r="F133" s="17" t="str">
        <x:v>$[26].questions[1]</x:v>
      </x:c>
      <x:c r="G133" s="17" t="str">
        <x:v>Johannes 7,10</x:v>
      </x:c>
      <x:c r="H133" s="17" t="str">
        <x:v>Wie ging Jesus zum Fest hinauf, nachdem seine Brüder gegangen waren?</x:v>
      </x:c>
      <x:c r="I133" s="17" t="str">
        <x:v>Nicht öffentlich, sondern heimlich</x:v>
      </x:c>
      <x:c r="J133" s="17" t="str">
        <x:v>SINNGLEICH</x:v>
      </x:c>
      <x:c r="K133" s="17" t="str">
        <x:v>N-1499</x:v>
      </x:c>
      <x:c r="L133" s="17" t="str">
        <x:v>Johannes 7,10</x:v>
      </x:c>
      <x:c r="M133" s="17" t="str">
        <x:v>Wie ging er zum Fest?</x:v>
      </x:c>
      <x:c r="N133" s="17" t="str">
        <x:v>Nicht offenbar, sondern wie heimlich (Johannes 7,10)</x:v>
      </x:c>
      <x:c r="O133" s="17" t="str">
        <x:v>Laubhütten — heimlich hinauf</x:v>
      </x:c>
      <x:c r="P133" s="17" t="str">
        <x:v>Johannes 7,1–24</x:v>
      </x:c>
      <x:c r="Q133" s="17" t="str">
        <x:v>RECONSTRUCTED_AGGREGATE_CONSTRAINED</x:v>
      </x:c>
      <x:c r="R133" s="17" t="str">
        <x:v>HIGH</x:v>
      </x:c>
      <x:c r="S133" s="17" t="str">
        <x:v>FaithPath final QA aggregate (57 SINNGLEICH / 42 FAITHPATH_ONLY / 1 KONFLIKT) + Nachlese final catalog/QA</x:v>
      </x:c>
      <x:c r="T133" s="17" t="str">
        <x:v>Reconstructed row-level mapping; original historical Block2 XLSX unavailable.</x:v>
      </x:c>
    </x:row>
    <x:row r="134" ht="26.399999618530273" hidden="0" customHeight="1">
      <x:c r="A134" s="17" t="str">
        <x:v>FP-0133</x:v>
      </x:c>
      <x:c r="B134" s="17" t="str">
        <x:v>FP-0101–0200</x:v>
      </x:c>
      <x:c r="C134" s="17" t="n">
        <x:v>27</x:v>
      </x:c>
      <x:c r="D134" s="17" t="n">
        <x:v>27</x:v>
      </x:c>
      <x:c r="E134" s="17" t="n">
        <x:v>3</x:v>
      </x:c>
      <x:c r="F134" s="17" t="str">
        <x:v>$[26].questions[2]</x:v>
      </x:c>
      <x:c r="G134" s="17" t="str">
        <x:v>Johannes 7,14</x:v>
      </x:c>
      <x:c r="H134" s="17" t="str">
        <x:v>Wo lehrte Jesus mitten im Fest?</x:v>
      </x:c>
      <x:c r="I134" s="17" t="str">
        <x:v>Im Tempel</x:v>
      </x:c>
      <x:c r="J134" s="17" t="str">
        <x:v>FAITHPATH_ONLY</x:v>
      </x:c>
      <x:c r="K134" s="17" t="str"/>
      <x:c r="L134" s="17" t="str"/>
      <x:c r="M134" s="17" t="str"/>
      <x:c r="N134" s="17" t="str"/>
      <x:c r="O134" s="17" t="str"/>
      <x:c r="P134" s="17" t="str"/>
      <x:c r="Q134" s="17" t="str">
        <x:v>NO_SOURCE_EQUIVALENT_SELECTED</x:v>
      </x:c>
      <x:c r="R134" s="17" t="str">
        <x:v>N/A</x:v>
      </x:c>
      <x:c r="S134" s="17" t="str">
        <x:v>FaithPath final QA aggregate (57 SINNGLEICH / 42 FAITHPATH_ONLY / 1 KONFLIKT) + Nachlese final catalog/QA</x:v>
      </x:c>
      <x:c r="T134" s="17" t="str">
        <x:v>Kein N-Mapping in reconstructed final block allocation.</x:v>
      </x:c>
    </x:row>
    <x:row r="135" ht="26.399999618530273" hidden="0" customHeight="1">
      <x:c r="A135" s="17" t="str">
        <x:v>FP-0134</x:v>
      </x:c>
      <x:c r="B135" s="17" t="str">
        <x:v>FP-0101–0200</x:v>
      </x:c>
      <x:c r="C135" s="17" t="n">
        <x:v>27</x:v>
      </x:c>
      <x:c r="D135" s="17" t="n">
        <x:v>27</x:v>
      </x:c>
      <x:c r="E135" s="17" t="n">
        <x:v>4</x:v>
      </x:c>
      <x:c r="F135" s="17" t="str">
        <x:v>$[26].questions[3]</x:v>
      </x:c>
      <x:c r="G135" s="17" t="str">
        <x:v>Johannes 7,37</x:v>
      </x:c>
      <x:c r="H135" s="17" t="str">
        <x:v>Was ruft Jesus am letzten und höchsten Tag des Festes den Durstigen zu?</x:v>
      </x:c>
      <x:c r="I135" s="17" t="str">
        <x:v>Sie sollen zu ihm kommen und trinken</x:v>
      </x:c>
      <x:c r="J135" s="17" t="str">
        <x:v>FAITHPATH_ONLY</x:v>
      </x:c>
      <x:c r="K135" s="17" t="str"/>
      <x:c r="L135" s="17" t="str"/>
      <x:c r="M135" s="17" t="str"/>
      <x:c r="N135" s="17" t="str"/>
      <x:c r="O135" s="17" t="str"/>
      <x:c r="P135" s="17" t="str"/>
      <x:c r="Q135" s="17" t="str">
        <x:v>NO_SOURCE_EQUIVALENT_SELECTED</x:v>
      </x:c>
      <x:c r="R135" s="17" t="str">
        <x:v>N/A</x:v>
      </x:c>
      <x:c r="S135" s="17" t="str">
        <x:v>FaithPath final QA aggregate (57 SINNGLEICH / 42 FAITHPATH_ONLY / 1 KONFLIKT) + Nachlese final catalog/QA</x:v>
      </x:c>
      <x:c r="T135" s="17" t="str">
        <x:v>Kein N-Mapping in reconstructed final block allocation.</x:v>
      </x:c>
    </x:row>
    <x:row r="136" ht="26.399999618530273" hidden="0" customHeight="1">
      <x:c r="A136" s="17" t="str">
        <x:v>FP-0135</x:v>
      </x:c>
      <x:c r="B136" s="17" t="str">
        <x:v>FP-0101–0200</x:v>
      </x:c>
      <x:c r="C136" s="17" t="n">
        <x:v>27</x:v>
      </x:c>
      <x:c r="D136" s="17" t="n">
        <x:v>27</x:v>
      </x:c>
      <x:c r="E136" s="17" t="n">
        <x:v>5</x:v>
      </x:c>
      <x:c r="F136" s="17" t="str">
        <x:v>$[26].questions[4]</x:v>
      </x:c>
      <x:c r="G136" s="17" t="str">
        <x:v>Johannes 7,45-46</x:v>
      </x:c>
      <x:c r="H136" s="17" t="str">
        <x:v>Warum brachten die ausgesandten Knechte Jesus nicht zu den Hohenpriestern und Pharisäern?</x:v>
      </x:c>
      <x:c r="I136" s="17" t="str">
        <x:v>Weil ihrer Aussage nach nie ein Mensch so geredet hatte</x:v>
      </x:c>
      <x:c r="J136" s="17" t="str">
        <x:v>FAITHPATH_ONLY</x:v>
      </x:c>
      <x:c r="K136" s="17" t="str"/>
      <x:c r="L136" s="17" t="str"/>
      <x:c r="M136" s="17" t="str"/>
      <x:c r="N136" s="17" t="str"/>
      <x:c r="O136" s="17" t="str"/>
      <x:c r="P136" s="17" t="str"/>
      <x:c r="Q136" s="17" t="str">
        <x:v>NO_SOURCE_EQUIVALENT_SELECTED</x:v>
      </x:c>
      <x:c r="R136" s="17" t="str">
        <x:v>N/A</x:v>
      </x:c>
      <x:c r="S136" s="17" t="str">
        <x:v>FaithPath final QA aggregate (57 SINNGLEICH / 42 FAITHPATH_ONLY / 1 KONFLIKT) + Nachlese final catalog/QA</x:v>
      </x:c>
      <x:c r="T136" s="17" t="str">
        <x:v>Kein N-Mapping in reconstructed final block allocation.</x:v>
      </x:c>
    </x:row>
    <x:row r="137" ht="26.399999618530273" hidden="0" customHeight="1">
      <x:c r="A137" s="17" t="str">
        <x:v>FP-0136</x:v>
      </x:c>
      <x:c r="B137" s="17" t="str">
        <x:v>FP-0101–0200</x:v>
      </x:c>
      <x:c r="C137" s="17" t="n">
        <x:v>28</x:v>
      </x:c>
      <x:c r="D137" s="17" t="n">
        <x:v>28</x:v>
      </x:c>
      <x:c r="E137" s="17" t="n">
        <x:v>1</x:v>
      </x:c>
      <x:c r="F137" s="17" t="str">
        <x:v>$[27].questions[0]</x:v>
      </x:c>
      <x:c r="G137" s="17" t="str">
        <x:v>Johannes 8,6</x:v>
      </x:c>
      <x:c r="H137" s="17" t="str">
        <x:v>Was tat Jesus, während die Schriftgelehrten und Pharisäer ihn wegen der beim Ehebruch ertappten Frau befragten?</x:v>
      </x:c>
      <x:c r="I137" s="17" t="str">
        <x:v>Er schrieb mit dem Finger auf die Erde</x:v>
      </x:c>
      <x:c r="J137" s="17" t="str">
        <x:v>SINNGLEICH</x:v>
      </x:c>
      <x:c r="K137" s="17" t="str">
        <x:v>N-1512</x:v>
      </x:c>
      <x:c r="L137" s="17" t="str">
        <x:v>Johannes 8,6</x:v>
      </x:c>
      <x:c r="M137" s="17" t="str">
        <x:v>Was tat Jesus zuerst?</x:v>
      </x:c>
      <x:c r="N137" s="17" t="str">
        <x:v>Jesus bückte sich nieder und schrieb mit dem Finger auf die Erde. (Johannes 8,6)</x:v>
      </x:c>
      <x:c r="O137" s="17" t="str">
        <x:v>Wer ohne Sünde ist</x:v>
      </x:c>
      <x:c r="P137" s="17" t="str">
        <x:v>Johannes 8,1–11</x:v>
      </x:c>
      <x:c r="Q137" s="17" t="str">
        <x:v>RECONSTRUCTED_AGGREGATE_CONSTRAINED</x:v>
      </x:c>
      <x:c r="R137" s="17" t="str">
        <x:v>HIGH</x:v>
      </x:c>
      <x:c r="S137" s="17" t="str">
        <x:v>FaithPath final QA aggregate (57 SINNGLEICH / 42 FAITHPATH_ONLY / 1 KONFLIKT) + Nachlese final catalog/QA</x:v>
      </x:c>
      <x:c r="T137" s="17" t="str">
        <x:v>Reconstructed row-level mapping; original historical Block2 XLSX unavailable.</x:v>
      </x:c>
    </x:row>
    <x:row r="138" ht="26.399999618530273" hidden="0" customHeight="1">
      <x:c r="A138" s="17" t="str">
        <x:v>FP-0137</x:v>
      </x:c>
      <x:c r="B138" s="17" t="str">
        <x:v>FP-0101–0200</x:v>
      </x:c>
      <x:c r="C138" s="17" t="n">
        <x:v>28</x:v>
      </x:c>
      <x:c r="D138" s="17" t="n">
        <x:v>28</x:v>
      </x:c>
      <x:c r="E138" s="17" t="n">
        <x:v>2</x:v>
      </x:c>
      <x:c r="F138" s="17" t="str">
        <x:v>$[27].questions[1]</x:v>
      </x:c>
      <x:c r="G138" s="17" t="str">
        <x:v>Johannes 8,7</x:v>
      </x:c>
      <x:c r="H138" s="17" t="str">
        <x:v>Wer sollte nach Jesu Worten den ersten Stein auf die Frau werfen?</x:v>
      </x:c>
      <x:c r="I138" s="17" t="str">
        <x:v>Wer ohne Sünde ist</x:v>
      </x:c>
      <x:c r="J138" s="17" t="str">
        <x:v>SINNGLEICH</x:v>
      </x:c>
      <x:c r="K138" s="17" t="str">
        <x:v>N-1513</x:v>
      </x:c>
      <x:c r="L138" s="17" t="str">
        <x:v>Johannes 8,7</x:v>
      </x:c>
      <x:c r="M138" s="17" t="str">
        <x:v>Was sagte er, als sie anhielten?</x:v>
      </x:c>
      <x:c r="N138" s="17" t="str">
        <x:v>Wer unter euch ohne Sünde ist, der werfe (Johannes 8,7)</x:v>
      </x:c>
      <x:c r="O138" s="17" t="str">
        <x:v>Wer ohne Sünde ist</x:v>
      </x:c>
      <x:c r="P138" s="17" t="str">
        <x:v>Johannes 8,1–11</x:v>
      </x:c>
      <x:c r="Q138" s="17" t="str">
        <x:v>RECONSTRUCTED_AGGREGATE_CONSTRAINED</x:v>
      </x:c>
      <x:c r="R138" s="17" t="str">
        <x:v>HIGH</x:v>
      </x:c>
      <x:c r="S138" s="17" t="str">
        <x:v>FaithPath final QA aggregate (57 SINNGLEICH / 42 FAITHPATH_ONLY / 1 KONFLIKT) + Nachlese final catalog/QA</x:v>
      </x:c>
      <x:c r="T138" s="17" t="str">
        <x:v>Reconstructed row-level mapping; original historical Block2 XLSX unavailable.</x:v>
      </x:c>
    </x:row>
    <x:row r="139" ht="26.399999618530273" hidden="0" customHeight="1">
      <x:c r="A139" s="17" t="str">
        <x:v>FP-0138</x:v>
      </x:c>
      <x:c r="B139" s="17" t="str">
        <x:v>FP-0101–0200</x:v>
      </x:c>
      <x:c r="C139" s="17" t="n">
        <x:v>28</x:v>
      </x:c>
      <x:c r="D139" s="17" t="n">
        <x:v>28</x:v>
      </x:c>
      <x:c r="E139" s="17" t="n">
        <x:v>3</x:v>
      </x:c>
      <x:c r="F139" s="17" t="str">
        <x:v>$[27].questions[2]</x:v>
      </x:c>
      <x:c r="G139" s="17" t="str">
        <x:v>Johannes 8,12</x:v>
      </x:c>
      <x:c r="H139" s="17" t="str">
        <x:v>Wie bezeichnet Jesus sich in Johannes 8,12?</x:v>
      </x:c>
      <x:c r="I139" s="17" t="str">
        <x:v>Als Licht der Welt</x:v>
      </x:c>
      <x:c r="J139" s="17" t="str">
        <x:v>SINNGLEICH</x:v>
      </x:c>
      <x:c r="K139" s="17" t="str">
        <x:v>N-1515</x:v>
      </x:c>
      <x:c r="L139" s="17" t="str">
        <x:v>Johannes 8,12</x:v>
      </x:c>
      <x:c r="M139" s="17" t="str">
        <x:v>Was sagt Jesus von sich als Licht?</x:v>
      </x:c>
      <x:c r="N139" s="17" t="str">
        <x:v>Ich bin das Licht der Welt (Johannes 8,12)</x:v>
      </x:c>
      <x:c r="O139" s="17" t="str">
        <x:v>Das Licht der Welt</x:v>
      </x:c>
      <x:c r="P139" s="17" t="str">
        <x:v>Johannes 8,12–30</x:v>
      </x:c>
      <x:c r="Q139" s="17" t="str">
        <x:v>RECONSTRUCTED_AGGREGATE_CONSTRAINED</x:v>
      </x:c>
      <x:c r="R139" s="17" t="str">
        <x:v>HIGH</x:v>
      </x:c>
      <x:c r="S139" s="17" t="str">
        <x:v>FaithPath final QA aggregate (57 SINNGLEICH / 42 FAITHPATH_ONLY / 1 KONFLIKT) + Nachlese final catalog/QA</x:v>
      </x:c>
      <x:c r="T139" s="17" t="str">
        <x:v>Reconstructed row-level mapping; original historical Block2 XLSX unavailable.</x:v>
      </x:c>
    </x:row>
    <x:row r="140" ht="26.399999618530273" hidden="0" customHeight="1">
      <x:c r="A140" s="17" t="str">
        <x:v>FP-0139</x:v>
      </x:c>
      <x:c r="B140" s="17" t="str">
        <x:v>FP-0101–0200</x:v>
      </x:c>
      <x:c r="C140" s="17" t="n">
        <x:v>28</x:v>
      </x:c>
      <x:c r="D140" s="17" t="n">
        <x:v>28</x:v>
      </x:c>
      <x:c r="E140" s="17" t="n">
        <x:v>4</x:v>
      </x:c>
      <x:c r="F140" s="17" t="str">
        <x:v>$[27].questions[3]</x:v>
      </x:c>
      <x:c r="G140" s="17" t="str">
        <x:v>Johannes 8,31-32</x:v>
      </x:c>
      <x:c r="H140" s="17" t="str">
        <x:v>Was wird nach Jesu Worten die Menschen frei machen, wenn sie an seiner Rede bleiben?</x:v>
      </x:c>
      <x:c r="I140" s="17" t="str">
        <x:v>Die Wahrheit</x:v>
      </x:c>
      <x:c r="J140" s="17" t="str">
        <x:v>FAITHPATH_ONLY</x:v>
      </x:c>
      <x:c r="K140" s="17" t="str"/>
      <x:c r="L140" s="17" t="str"/>
      <x:c r="M140" s="17" t="str"/>
      <x:c r="N140" s="17" t="str"/>
      <x:c r="O140" s="17" t="str"/>
      <x:c r="P140" s="17" t="str"/>
      <x:c r="Q140" s="17" t="str">
        <x:v>NO_SOURCE_EQUIVALENT_SELECTED</x:v>
      </x:c>
      <x:c r="R140" s="17" t="str">
        <x:v>N/A</x:v>
      </x:c>
      <x:c r="S140" s="17" t="str">
        <x:v>FaithPath final QA aggregate (57 SINNGLEICH / 42 FAITHPATH_ONLY / 1 KONFLIKT) + Nachlese final catalog/QA</x:v>
      </x:c>
      <x:c r="T140" s="17" t="str">
        <x:v>Kein N-Mapping in reconstructed final block allocation.</x:v>
      </x:c>
    </x:row>
    <x:row r="141" ht="26.399999618530273" hidden="0" customHeight="1">
      <x:c r="A141" s="17" t="str">
        <x:v>FP-0140</x:v>
      </x:c>
      <x:c r="B141" s="17" t="str">
        <x:v>FP-0101–0200</x:v>
      </x:c>
      <x:c r="C141" s="17" t="n">
        <x:v>28</x:v>
      </x:c>
      <x:c r="D141" s="17" t="n">
        <x:v>28</x:v>
      </x:c>
      <x:c r="E141" s="17" t="n">
        <x:v>5</x:v>
      </x:c>
      <x:c r="F141" s="17" t="str">
        <x:v>$[27].questions[4]</x:v>
      </x:c>
      <x:c r="G141" s="17" t="str">
        <x:v>Johannes 8,58</x:v>
      </x:c>
      <x:c r="H141" s="17" t="str">
        <x:v>Was sagt Jesus über sein Verhältnis zu Abraham?</x:v>
      </x:c>
      <x:c r="I141" s="17" t="str">
        <x:v>Ehe Abraham ward, bin ich</x:v>
      </x:c>
      <x:c r="J141" s="17" t="str">
        <x:v>SINNGLEICH</x:v>
      </x:c>
      <x:c r="K141" s="17" t="str">
        <x:v>N-1526</x:v>
      </x:c>
      <x:c r="L141" s="17" t="str">
        <x:v>Johannes 8,58</x:v>
      </x:c>
      <x:c r="M141" s="17" t="str">
        <x:v>Was spricht er auf: Du bist noch nicht fünfzig …?</x:v>
      </x:c>
      <x:c r="N141" s="17" t="str">
        <x:v>Ehe denn Abraham ward, bin ich (Johannes 8,58)</x:v>
      </x:c>
      <x:c r="O141" s="17" t="str">
        <x:v>Ehe denn Abraham ward, bin ich</x:v>
      </x:c>
      <x:c r="P141" s="17" t="str">
        <x:v>Johannes 8,31–59</x:v>
      </x:c>
      <x:c r="Q141" s="17" t="str">
        <x:v>RECONSTRUCTED_AGGREGATE_CONSTRAINED</x:v>
      </x:c>
      <x:c r="R141" s="17" t="str">
        <x:v>HIGH</x:v>
      </x:c>
      <x:c r="S141" s="17" t="str">
        <x:v>FaithPath final QA aggregate (57 SINNGLEICH / 42 FAITHPATH_ONLY / 1 KONFLIKT) + Nachlese final catalog/QA</x:v>
      </x:c>
      <x:c r="T141" s="17" t="str">
        <x:v>Reconstructed row-level mapping; original historical Block2 XLSX unavailable.</x:v>
      </x:c>
    </x:row>
    <x:row r="142" ht="26.399999618530273" hidden="0" customHeight="1">
      <x:c r="A142" s="17" t="str">
        <x:v>FP-0141</x:v>
      </x:c>
      <x:c r="B142" s="17" t="str">
        <x:v>FP-0101–0200</x:v>
      </x:c>
      <x:c r="C142" s="17" t="n">
        <x:v>29</x:v>
      </x:c>
      <x:c r="D142" s="17" t="n">
        <x:v>29</x:v>
      </x:c>
      <x:c r="E142" s="17" t="n">
        <x:v>1</x:v>
      </x:c>
      <x:c r="F142" s="17" t="str">
        <x:v>$[28].questions[0]</x:v>
      </x:c>
      <x:c r="G142" s="17" t="str">
        <x:v>Johannes 9,1</x:v>
      </x:c>
      <x:c r="H142" s="17" t="str">
        <x:v>Welches Leiden hatte der Mann, den Jesus zu Beginn von Johannes 9 sieht?</x:v>
      </x:c>
      <x:c r="I142" s="17" t="str">
        <x:v>Er war von Geburt an blind</x:v>
      </x:c>
      <x:c r="J142" s="17" t="str">
        <x:v>FAITHPATH_ONLY</x:v>
      </x:c>
      <x:c r="K142" s="17" t="str"/>
      <x:c r="L142" s="17" t="str"/>
      <x:c r="M142" s="17" t="str"/>
      <x:c r="N142" s="17" t="str"/>
      <x:c r="O142" s="17" t="str"/>
      <x:c r="P142" s="17" t="str"/>
      <x:c r="Q142" s="17" t="str">
        <x:v>NO_SOURCE_EQUIVALENT_SELECTED</x:v>
      </x:c>
      <x:c r="R142" s="17" t="str">
        <x:v>N/A</x:v>
      </x:c>
      <x:c r="S142" s="17" t="str">
        <x:v>FaithPath final QA aggregate (57 SINNGLEICH / 42 FAITHPATH_ONLY / 1 KONFLIKT) + Nachlese final catalog/QA</x:v>
      </x:c>
      <x:c r="T142" s="17" t="str">
        <x:v>Kein N-Mapping in reconstructed final block allocation.</x:v>
      </x:c>
    </x:row>
    <x:row r="143" ht="26.399999618530273" hidden="0" customHeight="1">
      <x:c r="A143" s="17" t="str">
        <x:v>FP-0142</x:v>
      </x:c>
      <x:c r="B143" s="17" t="str">
        <x:v>FP-0101–0200</x:v>
      </x:c>
      <x:c r="C143" s="17" t="n">
        <x:v>29</x:v>
      </x:c>
      <x:c r="D143" s="17" t="n">
        <x:v>29</x:v>
      </x:c>
      <x:c r="E143" s="17" t="n">
        <x:v>2</x:v>
      </x:c>
      <x:c r="F143" s="17" t="str">
        <x:v>$[28].questions[1]</x:v>
      </x:c>
      <x:c r="G143" s="17" t="str">
        <x:v>Johannes 9,6</x:v>
      </x:c>
      <x:c r="H143" s="17" t="str">
        <x:v>Woraus machte Jesus den Brei, den er auf die Augen des Blinden strich?</x:v>
      </x:c>
      <x:c r="I143" s="17" t="str">
        <x:v>Aus Erde und Speichel</x:v>
      </x:c>
      <x:c r="J143" s="17" t="str">
        <x:v>FAITHPATH_ONLY</x:v>
      </x:c>
      <x:c r="K143" s="17" t="str"/>
      <x:c r="L143" s="17" t="str"/>
      <x:c r="M143" s="17" t="str"/>
      <x:c r="N143" s="17" t="str"/>
      <x:c r="O143" s="17" t="str"/>
      <x:c r="P143" s="17" t="str"/>
      <x:c r="Q143" s="17" t="str">
        <x:v>NO_SOURCE_EQUIVALENT_SELECTED</x:v>
      </x:c>
      <x:c r="R143" s="17" t="str">
        <x:v>N/A</x:v>
      </x:c>
      <x:c r="S143" s="17" t="str">
        <x:v>FaithPath final QA aggregate (57 SINNGLEICH / 42 FAITHPATH_ONLY / 1 KONFLIKT) + Nachlese final catalog/QA</x:v>
      </x:c>
      <x:c r="T143" s="17" t="str">
        <x:v>Kein N-Mapping in reconstructed final block allocation.</x:v>
      </x:c>
    </x:row>
    <x:row r="144" ht="26.399999618530273" hidden="0" customHeight="1">
      <x:c r="A144" s="17" t="str">
        <x:v>FP-0143</x:v>
      </x:c>
      <x:c r="B144" s="17" t="str">
        <x:v>FP-0101–0200</x:v>
      </x:c>
      <x:c r="C144" s="17" t="n">
        <x:v>29</x:v>
      </x:c>
      <x:c r="D144" s="17" t="n">
        <x:v>29</x:v>
      </x:c>
      <x:c r="E144" s="17" t="n">
        <x:v>3</x:v>
      </x:c>
      <x:c r="F144" s="17" t="str">
        <x:v>$[28].questions[2]</x:v>
      </x:c>
      <x:c r="G144" s="17" t="str">
        <x:v>Johannes 9,7</x:v>
      </x:c>
      <x:c r="H144" s="17" t="str">
        <x:v>Zu welchem Teich sollte der Blinde gehen und sich waschen?</x:v>
      </x:c>
      <x:c r="I144" s="17" t="str">
        <x:v>Siloah</x:v>
      </x:c>
      <x:c r="J144" s="17" t="str">
        <x:v>SINNGLEICH</x:v>
      </x:c>
      <x:c r="K144" s="17" t="str">
        <x:v>N-1529</x:v>
      </x:c>
      <x:c r="L144" s="17" t="str">
        <x:v>Johannes 9,7</x:v>
      </x:c>
      <x:c r="M144" s="17" t="str">
        <x:v>Wohin soll er sich waschen?</x:v>
      </x:c>
      <x:c r="N144" s="17" t="str">
        <x:v>Zu dem Teich Siloah (gesandt) (Johannes 9,7)</x:v>
      </x:c>
      <x:c r="O144" s="17" t="str">
        <x:v>Blind geboren</x:v>
      </x:c>
      <x:c r="P144" s="17" t="str">
        <x:v>Johannes 9,1–38</x:v>
      </x:c>
      <x:c r="Q144" s="17" t="str">
        <x:v>RECONSTRUCTED_AGGREGATE_CONSTRAINED</x:v>
      </x:c>
      <x:c r="R144" s="17" t="str">
        <x:v>HIGH</x:v>
      </x:c>
      <x:c r="S144" s="17" t="str">
        <x:v>FaithPath final QA aggregate (57 SINNGLEICH / 42 FAITHPATH_ONLY / 1 KONFLIKT) + Nachlese final catalog/QA</x:v>
      </x:c>
      <x:c r="T144" s="17" t="str">
        <x:v>Reconstructed row-level mapping; original historical Block2 XLSX unavailable.</x:v>
      </x:c>
    </x:row>
    <x:row r="145" ht="26.399999618530273" hidden="0" customHeight="1">
      <x:c r="A145" s="17" t="str">
        <x:v>FP-0144</x:v>
      </x:c>
      <x:c r="B145" s="17" t="str">
        <x:v>FP-0101–0200</x:v>
      </x:c>
      <x:c r="C145" s="17" t="n">
        <x:v>29</x:v>
      </x:c>
      <x:c r="D145" s="17" t="n">
        <x:v>29</x:v>
      </x:c>
      <x:c r="E145" s="17" t="n">
        <x:v>4</x:v>
      </x:c>
      <x:c r="F145" s="17" t="str">
        <x:v>$[28].questions[3]</x:v>
      </x:c>
      <x:c r="G145" s="17" t="str">
        <x:v>Johannes 9,14</x:v>
      </x:c>
      <x:c r="H145" s="17" t="str">
        <x:v>An welchem Tag öffnete Jesus die Augen des blind Geborenen?</x:v>
      </x:c>
      <x:c r="I145" s="17" t="str">
        <x:v>Am Sabbat</x:v>
      </x:c>
      <x:c r="J145" s="17" t="str">
        <x:v>FAITHPATH_ONLY</x:v>
      </x:c>
      <x:c r="K145" s="17" t="str"/>
      <x:c r="L145" s="17" t="str"/>
      <x:c r="M145" s="17" t="str"/>
      <x:c r="N145" s="17" t="str"/>
      <x:c r="O145" s="17" t="str"/>
      <x:c r="P145" s="17" t="str"/>
      <x:c r="Q145" s="17" t="str">
        <x:v>NO_SOURCE_EQUIVALENT_SELECTED</x:v>
      </x:c>
      <x:c r="R145" s="17" t="str">
        <x:v>N/A</x:v>
      </x:c>
      <x:c r="S145" s="17" t="str">
        <x:v>FaithPath final QA aggregate (57 SINNGLEICH / 42 FAITHPATH_ONLY / 1 KONFLIKT) + Nachlese final catalog/QA</x:v>
      </x:c>
      <x:c r="T145" s="17" t="str">
        <x:v>Kein N-Mapping in reconstructed final block allocation.</x:v>
      </x:c>
    </x:row>
    <x:row r="146" ht="26.399999618530273" hidden="0" customHeight="1">
      <x:c r="A146" s="17" t="str">
        <x:v>FP-0145</x:v>
      </x:c>
      <x:c r="B146" s="17" t="str">
        <x:v>FP-0101–0200</x:v>
      </x:c>
      <x:c r="C146" s="17" t="n">
        <x:v>29</x:v>
      </x:c>
      <x:c r="D146" s="17" t="n">
        <x:v>29</x:v>
      </x:c>
      <x:c r="E146" s="17" t="n">
        <x:v>5</x:v>
      </x:c>
      <x:c r="F146" s="17" t="str">
        <x:v>$[28].questions[4]</x:v>
      </x:c>
      <x:c r="G146" s="17" t="str">
        <x:v>Johannes 9,35-38</x:v>
      </x:c>
      <x:c r="H146" s="17" t="str">
        <x:v>Was sagt der geheilte Mann zu Jesus, nachdem Jesus sich ihm als Sohn Gottes zu erkennen gibt?</x:v>
      </x:c>
      <x:c r="I146" s="17" t="str">
        <x:v>Herr, ich glaube</x:v>
      </x:c>
      <x:c r="J146" s="17" t="str">
        <x:v>SINNGLEICH</x:v>
      </x:c>
      <x:c r="K146" s="17" t="str">
        <x:v>N-1532</x:v>
      </x:c>
      <x:c r="L146" s="17" t="str">
        <x:v>Johannes 9,38</x:v>
      </x:c>
      <x:c r="M146" s="17" t="str">
        <x:v>Was tat der Mann, als er glaubte?</x:v>
      </x:c>
      <x:c r="N146" s="17" t="str">
        <x:v>Er sprach: HERR, ich glaube, und betete (Johannes 9,38)</x:v>
      </x:c>
      <x:c r="O146" s="17" t="str">
        <x:v>Blind geboren</x:v>
      </x:c>
      <x:c r="P146" s="17" t="str">
        <x:v>Johannes 9,1–38</x:v>
      </x:c>
      <x:c r="Q146" s="17" t="str">
        <x:v>RECONSTRUCTED_AGGREGATE_CONSTRAINED</x:v>
      </x:c>
      <x:c r="R146" s="17" t="str">
        <x:v>HIGH</x:v>
      </x:c>
      <x:c r="S146" s="17" t="str">
        <x:v>FaithPath final QA aggregate (57 SINNGLEICH / 42 FAITHPATH_ONLY / 1 KONFLIKT) + Nachlese final catalog/QA</x:v>
      </x:c>
      <x:c r="T146" s="17" t="str">
        <x:v>Reconstructed row-level mapping; original historical Block2 XLSX unavailable.</x:v>
      </x:c>
    </x:row>
    <x:row r="147" ht="26.399999618530273" hidden="0" customHeight="1">
      <x:c r="A147" s="17" t="str">
        <x:v>FP-0146</x:v>
      </x:c>
      <x:c r="B147" s="17" t="str">
        <x:v>FP-0101–0200</x:v>
      </x:c>
      <x:c r="C147" s="17" t="n">
        <x:v>30</x:v>
      </x:c>
      <x:c r="D147" s="17" t="n">
        <x:v>30</x:v>
      </x:c>
      <x:c r="E147" s="17" t="n">
        <x:v>1</x:v>
      </x:c>
      <x:c r="F147" s="17" t="str">
        <x:v>$[29].questions[0]</x:v>
      </x:c>
      <x:c r="G147" s="17" t="str">
        <x:v>Johannes 10,7</x:v>
      </x:c>
      <x:c r="H147" s="17" t="str">
        <x:v>Wie bezeichnet Jesus sich in Johannes 10,7 in Bezug auf die Schafe?</x:v>
      </x:c>
      <x:c r="I147" s="17" t="str">
        <x:v>Als die Tür zu den Schafen</x:v>
      </x:c>
      <x:c r="J147" s="17" t="str">
        <x:v>FAITHPATH_ONLY</x:v>
      </x:c>
      <x:c r="K147" s="17" t="str"/>
      <x:c r="L147" s="17" t="str"/>
      <x:c r="M147" s="17" t="str"/>
      <x:c r="N147" s="17" t="str"/>
      <x:c r="O147" s="17" t="str"/>
      <x:c r="P147" s="17" t="str"/>
      <x:c r="Q147" s="17" t="str">
        <x:v>NO_SOURCE_EQUIVALENT_SELECTED</x:v>
      </x:c>
      <x:c r="R147" s="17" t="str">
        <x:v>N/A</x:v>
      </x:c>
      <x:c r="S147" s="17" t="str">
        <x:v>FaithPath final QA aggregate (57 SINNGLEICH / 42 FAITHPATH_ONLY / 1 KONFLIKT) + Nachlese final catalog/QA</x:v>
      </x:c>
      <x:c r="T147" s="17" t="str">
        <x:v>Kein N-Mapping in reconstructed final block allocation.</x:v>
      </x:c>
    </x:row>
    <x:row r="148" ht="26.399999618530273" hidden="0" customHeight="1">
      <x:c r="A148" s="17" t="str">
        <x:v>FP-0147</x:v>
      </x:c>
      <x:c r="B148" s="17" t="str">
        <x:v>FP-0101–0200</x:v>
      </x:c>
      <x:c r="C148" s="17" t="n">
        <x:v>30</x:v>
      </x:c>
      <x:c r="D148" s="17" t="n">
        <x:v>30</x:v>
      </x:c>
      <x:c r="E148" s="17" t="n">
        <x:v>2</x:v>
      </x:c>
      <x:c r="F148" s="17" t="str">
        <x:v>$[29].questions[1]</x:v>
      </x:c>
      <x:c r="G148" s="17" t="str">
        <x:v>Johannes 10,11</x:v>
      </x:c>
      <x:c r="H148" s="17" t="str">
        <x:v>Was tut der gute Hirte nach Johannes 10 für die Schafe?</x:v>
      </x:c>
      <x:c r="I148" s="17" t="str">
        <x:v>Er lässt sein Leben für sie</x:v>
      </x:c>
      <x:c r="J148" s="17" t="str">
        <x:v>SINNGLEICH</x:v>
      </x:c>
      <x:c r="K148" s="17" t="str">
        <x:v>N-1536</x:v>
      </x:c>
      <x:c r="L148" s="17" t="str">
        <x:v>Johannes 10,12</x:v>
      </x:c>
      <x:c r="M148" s="17" t="str">
        <x:v>Was tut der gute Hirte für die Schafe?</x:v>
      </x:c>
      <x:c r="N148" s="17" t="str">
        <x:v>Er lässt sein Leben für seine Schafe (Johannes 10,12)</x:v>
      </x:c>
      <x:c r="O148" s="17" t="str">
        <x:v>Der gute Hirte</x:v>
      </x:c>
      <x:c r="P148" s="17" t="str">
        <x:v>Johannes 10,1–18</x:v>
      </x:c>
      <x:c r="Q148" s="17" t="str">
        <x:v>RECONSTRUCTED_AGGREGATE_CONSTRAINED</x:v>
      </x:c>
      <x:c r="R148" s="17" t="str">
        <x:v>MEDIUM</x:v>
      </x:c>
      <x:c r="S148" s="17" t="str">
        <x:v>FaithPath final QA aggregate (57 SINNGLEICH / 42 FAITHPATH_ONLY / 1 KONFLIKT) + Nachlese final catalog/QA</x:v>
      </x:c>
      <x:c r="T148" s="17" t="str">
        <x:v>Reconstructed row-level mapping; original historical Block2 XLSX unavailable.</x:v>
      </x:c>
    </x:row>
    <x:row r="149" ht="26.399999618530273" hidden="0" customHeight="1">
      <x:c r="A149" s="17" t="str">
        <x:v>FP-0148</x:v>
      </x:c>
      <x:c r="B149" s="17" t="str">
        <x:v>FP-0101–0200</x:v>
      </x:c>
      <x:c r="C149" s="17" t="n">
        <x:v>30</x:v>
      </x:c>
      <x:c r="D149" s="17" t="n">
        <x:v>30</x:v>
      </x:c>
      <x:c r="E149" s="17" t="n">
        <x:v>3</x:v>
      </x:c>
      <x:c r="F149" s="17" t="str">
        <x:v>$[29].questions[2]</x:v>
      </x:c>
      <x:c r="G149" s="17" t="str">
        <x:v>Johannes 10,3-4</x:v>
      </x:c>
      <x:c r="H149" s="17" t="str">
        <x:v>Was kennen die Schafe des Hirten, sodass sie ihm folgen?</x:v>
      </x:c>
      <x:c r="I149" s="17" t="str">
        <x:v>Seine Stimme</x:v>
      </x:c>
      <x:c r="J149" s="17" t="str">
        <x:v>SINNGLEICH</x:v>
      </x:c>
      <x:c r="K149" s="17" t="str">
        <x:v>N-1533</x:v>
      </x:c>
      <x:c r="L149" s="17" t="str">
        <x:v>Johannes 10,3</x:v>
      </x:c>
      <x:c r="M149" s="17" t="str">
        <x:v>Woran erkennen die Schafe den Hirten?</x:v>
      </x:c>
      <x:c r="N149" s="17" t="str">
        <x:v>Sie hören seine Stimme; er ruft sie mit Namen (Johannes 10,3)</x:v>
      </x:c>
      <x:c r="O149" s="17" t="str">
        <x:v>Der gute Hirte</x:v>
      </x:c>
      <x:c r="P149" s="17" t="str">
        <x:v>Johannes 10,1–18</x:v>
      </x:c>
      <x:c r="Q149" s="17" t="str">
        <x:v>RECONSTRUCTED_AGGREGATE_CONSTRAINED</x:v>
      </x:c>
      <x:c r="R149" s="17" t="str">
        <x:v>MEDIUM</x:v>
      </x:c>
      <x:c r="S149" s="17" t="str">
        <x:v>FaithPath final QA aggregate (57 SINNGLEICH / 42 FAITHPATH_ONLY / 1 KONFLIKT) + Nachlese final catalog/QA</x:v>
      </x:c>
      <x:c r="T149" s="17" t="str">
        <x:v>Reconstructed row-level mapping; original historical Block2 XLSX unavailable.</x:v>
      </x:c>
    </x:row>
    <x:row r="150" ht="26.399999618530273" hidden="0" customHeight="1">
      <x:c r="A150" s="17" t="str">
        <x:v>FP-0149</x:v>
      </x:c>
      <x:c r="B150" s="17" t="str">
        <x:v>FP-0101–0200</x:v>
      </x:c>
      <x:c r="C150" s="17" t="n">
        <x:v>30</x:v>
      </x:c>
      <x:c r="D150" s="17" t="n">
        <x:v>30</x:v>
      </x:c>
      <x:c r="E150" s="17" t="n">
        <x:v>4</x:v>
      </x:c>
      <x:c r="F150" s="17" t="str">
        <x:v>$[29].questions[3]</x:v>
      </x:c>
      <x:c r="G150" s="17" t="str">
        <x:v>Johannes 10,22-23</x:v>
      </x:c>
      <x:c r="H150" s="17" t="str">
        <x:v>In welcher Halle des Tempels wandelte Jesus während der Kirchweihe?</x:v>
      </x:c>
      <x:c r="I150" s="17" t="str">
        <x:v>In der Halle Salomos</x:v>
      </x:c>
      <x:c r="J150" s="17" t="str">
        <x:v>SINNGLEICH</x:v>
      </x:c>
      <x:c r="K150" s="17" t="str">
        <x:v>N-1539</x:v>
      </x:c>
      <x:c r="L150" s="17" t="str">
        <x:v>Johannes 10,22–23</x:v>
      </x:c>
      <x:c r="M150" s="17" t="str">
        <x:v>Wann und wo wandelte er?</x:v>
      </x:c>
      <x:c r="N150" s="17" t="str">
        <x:v>Es ward aber Kirchweihe zu Jerusalem und war Winter. (Johannes 10,22–23)</x:v>
      </x:c>
      <x:c r="O150" s="17" t="str">
        <x:v>Ich und der Vater sind eins</x:v>
      </x:c>
      <x:c r="P150" s="17" t="str">
        <x:v>Johannes 10,22–42</x:v>
      </x:c>
      <x:c r="Q150" s="17" t="str">
        <x:v>RECONSTRUCTED_AGGREGATE_CONSTRAINED</x:v>
      </x:c>
      <x:c r="R150" s="17" t="str">
        <x:v>HIGH</x:v>
      </x:c>
      <x:c r="S150" s="17" t="str">
        <x:v>FaithPath final QA aggregate (57 SINNGLEICH / 42 FAITHPATH_ONLY / 1 KONFLIKT) + Nachlese final catalog/QA</x:v>
      </x:c>
      <x:c r="T150" s="17" t="str">
        <x:v>Reconstructed row-level mapping; original historical Block2 XLSX unavailable.</x:v>
      </x:c>
    </x:row>
    <x:row r="151" ht="26.399999618530273" hidden="0" customHeight="1">
      <x:c r="A151" s="17" t="str">
        <x:v>FP-0150</x:v>
      </x:c>
      <x:c r="B151" s="17" t="str">
        <x:v>FP-0101–0200</x:v>
      </x:c>
      <x:c r="C151" s="17" t="n">
        <x:v>30</x:v>
      </x:c>
      <x:c r="D151" s="17" t="n">
        <x:v>30</x:v>
      </x:c>
      <x:c r="E151" s="17" t="n">
        <x:v>5</x:v>
      </x:c>
      <x:c r="F151" s="17" t="str">
        <x:v>$[29].questions[4]</x:v>
      </x:c>
      <x:c r="G151" s="17" t="str">
        <x:v>Johannes 10,39-40</x:v>
      </x:c>
      <x:c r="H151" s="17" t="str">
        <x:v>Wohin zog Jesus, nachdem man erneut versucht hatte, ihn zu greifen?</x:v>
      </x:c>
      <x:c r="I151" s="17" t="str">
        <x:v>Jenseits des Jordans an den Ort, wo Johannes zuvor getauft hatte</x:v>
      </x:c>
      <x:c r="J151" s="17" t="str">
        <x:v>SINNGLEICH</x:v>
      </x:c>
      <x:c r="K151" s="17" t="str">
        <x:v>N-1543</x:v>
      </x:c>
      <x:c r="L151" s="17" t="str"/>
      <x:c r="M151" s="17" t="str">
        <x:v>Wohin entging er?</x:v>
      </x:c>
      <x:c r="N151" s="17" t="str">
        <x:v>zog hin wieder jenseit des Jordans an den Ort, da Johannes zuvor getauft hatte, und</x:v>
      </x:c>
      <x:c r="O151" s="17" t="str">
        <x:v>Ich und der Vater sind eins</x:v>
      </x:c>
      <x:c r="P151" s="17" t="str">
        <x:v>Johannes 10,22–42</x:v>
      </x:c>
      <x:c r="Q151" s="17" t="str">
        <x:v>RECONSTRUCTED_AGGREGATE_CONSTRAINED</x:v>
      </x:c>
      <x:c r="R151" s="17" t="str">
        <x:v>MEDIUM</x:v>
      </x:c>
      <x:c r="S151" s="17" t="str">
        <x:v>FaithPath final QA aggregate (57 SINNGLEICH / 42 FAITHPATH_ONLY / 1 KONFLIKT) + Nachlese final catalog/QA</x:v>
      </x:c>
      <x:c r="T151" s="17" t="str">
        <x:v>Reconstructed row-level mapping; original historical Block2 XLSX unavailable.</x:v>
      </x:c>
    </x:row>
    <x:row r="152" ht="26.399999618530273" hidden="0" customHeight="1">
      <x:c r="A152" s="17" t="str">
        <x:v>FP-0151</x:v>
      </x:c>
      <x:c r="B152" s="17" t="str">
        <x:v>FP-0101–0200</x:v>
      </x:c>
      <x:c r="C152" s="17" t="n">
        <x:v>31</x:v>
      </x:c>
      <x:c r="D152" s="17" t="n">
        <x:v>31</x:v>
      </x:c>
      <x:c r="E152" s="17" t="n">
        <x:v>1</x:v>
      </x:c>
      <x:c r="F152" s="17" t="str">
        <x:v>$[30].questions[0]</x:v>
      </x:c>
      <x:c r="G152" s="17" t="str">
        <x:v>Johannes 11,1</x:v>
      </x:c>
      <x:c r="H152" s="17" t="str">
        <x:v>Wie heißt der kranke Mann aus Bethanien, um den es zu Beginn von Johannes 11 geht?</x:v>
      </x:c>
      <x:c r="I152" s="17" t="str">
        <x:v>Lazarus</x:v>
      </x:c>
      <x:c r="J152" s="17" t="str">
        <x:v>SINNGLEICH</x:v>
      </x:c>
      <x:c r="K152" s="17" t="str">
        <x:v>N-1544</x:v>
      </x:c>
      <x:c r="L152" s="17" t="str">
        <x:v>Johannes 11,1</x:v>
      </x:c>
      <x:c r="M152" s="17" t="str">
        <x:v>Woher war Lazarus?</x:v>
      </x:c>
      <x:c r="N152" s="17" t="str">
        <x:v>Es lag aber einer krank mit Namen Lazarus (Johannes 11,1)</x:v>
      </x:c>
      <x:c r="O152" s="17" t="str">
        <x:v>Lazarus, komm heraus</x:v>
      </x:c>
      <x:c r="P152" s="17" t="str">
        <x:v>Johannes 11,1–44</x:v>
      </x:c>
      <x:c r="Q152" s="17" t="str">
        <x:v>RECONSTRUCTED_AGGREGATE_CONSTRAINED</x:v>
      </x:c>
      <x:c r="R152" s="17" t="str">
        <x:v>HIGH</x:v>
      </x:c>
      <x:c r="S152" s="17" t="str">
        <x:v>FaithPath final QA aggregate (57 SINNGLEICH / 42 FAITHPATH_ONLY / 1 KONFLIKT) + Nachlese final catalog/QA</x:v>
      </x:c>
      <x:c r="T152" s="17" t="str">
        <x:v>Reconstructed row-level mapping; original historical Block2 XLSX unavailable.</x:v>
      </x:c>
    </x:row>
    <x:row r="153" ht="26.399999618530273" hidden="0" customHeight="1">
      <x:c r="A153" s="17" t="str">
        <x:v>FP-0152</x:v>
      </x:c>
      <x:c r="B153" s="17" t="str">
        <x:v>FP-0101–0200</x:v>
      </x:c>
      <x:c r="C153" s="17" t="n">
        <x:v>31</x:v>
      </x:c>
      <x:c r="D153" s="17" t="n">
        <x:v>31</x:v>
      </x:c>
      <x:c r="E153" s="17" t="n">
        <x:v>2</x:v>
      </x:c>
      <x:c r="F153" s="17" t="str">
        <x:v>$[30].questions[1]</x:v>
      </x:c>
      <x:c r="G153" s="17" t="str">
        <x:v>Johannes 11,6</x:v>
      </x:c>
      <x:c r="H153" s="17" t="str">
        <x:v>Wie lange blieb Jesus zunächst noch an seinem Ort, nachdem er von Lazarus Krankheit gehört hatte?</x:v>
      </x:c>
      <x:c r="I153" s="17" t="str">
        <x:v>Zwei Tage</x:v>
      </x:c>
      <x:c r="J153" s="17" t="str">
        <x:v>SINNGLEICH</x:v>
      </x:c>
      <x:c r="K153" s="17" t="str">
        <x:v>N-1545</x:v>
      </x:c>
      <x:c r="L153" s="17" t="str"/>
      <x:c r="M153" s="17" t="str">
        <x:v>Wie lange blieb Jesus, als er hörte, dass er krank war?</x:v>
      </x:c>
      <x:c r="N153" s="17" t="str">
        <x:v>Er blieb zwei Tage an dem Ort, da er war</x:v>
      </x:c>
      <x:c r="O153" s="17" t="str">
        <x:v>Lazarus, komm heraus</x:v>
      </x:c>
      <x:c r="P153" s="17" t="str">
        <x:v>Johannes 11,1–44</x:v>
      </x:c>
      <x:c r="Q153" s="17" t="str">
        <x:v>RECONSTRUCTED_AGGREGATE_CONSTRAINED</x:v>
      </x:c>
      <x:c r="R153" s="17" t="str">
        <x:v>MEDIUM</x:v>
      </x:c>
      <x:c r="S153" s="17" t="str">
        <x:v>FaithPath final QA aggregate (57 SINNGLEICH / 42 FAITHPATH_ONLY / 1 KONFLIKT) + Nachlese final catalog/QA</x:v>
      </x:c>
      <x:c r="T153" s="17" t="str">
        <x:v>Reconstructed row-level mapping; original historical Block2 XLSX unavailable.</x:v>
      </x:c>
    </x:row>
    <x:row r="154" ht="26.399999618530273" hidden="0" customHeight="1">
      <x:c r="A154" s="17" t="str">
        <x:v>FP-0153</x:v>
      </x:c>
      <x:c r="B154" s="17" t="str">
        <x:v>FP-0101–0200</x:v>
      </x:c>
      <x:c r="C154" s="17" t="n">
        <x:v>31</x:v>
      </x:c>
      <x:c r="D154" s="17" t="n">
        <x:v>31</x:v>
      </x:c>
      <x:c r="E154" s="17" t="n">
        <x:v>3</x:v>
      </x:c>
      <x:c r="F154" s="17" t="str">
        <x:v>$[30].questions[2]</x:v>
      </x:c>
      <x:c r="G154" s="17" t="str">
        <x:v>Johannes 11,17</x:v>
      </x:c>
      <x:c r="H154" s="17" t="str">
        <x:v>Wie viele Tage lag Lazarus bereits im Grab, als Jesus ankam?</x:v>
      </x:c>
      <x:c r="I154" s="17" t="str">
        <x:v>Vier Tage</x:v>
      </x:c>
      <x:c r="J154" s="17" t="str">
        <x:v>FAITHPATH_ONLY</x:v>
      </x:c>
      <x:c r="K154" s="17" t="str"/>
      <x:c r="L154" s="17" t="str"/>
      <x:c r="M154" s="17" t="str"/>
      <x:c r="N154" s="17" t="str"/>
      <x:c r="O154" s="17" t="str"/>
      <x:c r="P154" s="17" t="str"/>
      <x:c r="Q154" s="17" t="str">
        <x:v>NO_SOURCE_EQUIVALENT_SELECTED</x:v>
      </x:c>
      <x:c r="R154" s="17" t="str">
        <x:v>N/A</x:v>
      </x:c>
      <x:c r="S154" s="17" t="str">
        <x:v>FaithPath final QA aggregate (57 SINNGLEICH / 42 FAITHPATH_ONLY / 1 KONFLIKT) + Nachlese final catalog/QA</x:v>
      </x:c>
      <x:c r="T154" s="17" t="str">
        <x:v>Kein N-Mapping in reconstructed final block allocation.</x:v>
      </x:c>
    </x:row>
    <x:row r="155" ht="26.399999618530273" hidden="0" customHeight="1">
      <x:c r="A155" s="17" t="str">
        <x:v>FP-0154</x:v>
      </x:c>
      <x:c r="B155" s="17" t="str">
        <x:v>FP-0101–0200</x:v>
      </x:c>
      <x:c r="C155" s="17" t="n">
        <x:v>31</x:v>
      </x:c>
      <x:c r="D155" s="17" t="n">
        <x:v>31</x:v>
      </x:c>
      <x:c r="E155" s="17" t="n">
        <x:v>4</x:v>
      </x:c>
      <x:c r="F155" s="17" t="str">
        <x:v>$[30].questions[3]</x:v>
      </x:c>
      <x:c r="G155" s="17" t="str">
        <x:v>Johannes 11,25</x:v>
      </x:c>
      <x:c r="H155" s="17" t="str">
        <x:v>Wie bezeichnet Jesus sich im Gespräch mit Martha?</x:v>
      </x:c>
      <x:c r="I155" s="17" t="str">
        <x:v>Als die Auferstehung und das Leben</x:v>
      </x:c>
      <x:c r="J155" s="17" t="str">
        <x:v>SINNGLEICH</x:v>
      </x:c>
      <x:c r="K155" s="17" t="str">
        <x:v>N-1546</x:v>
      </x:c>
      <x:c r="L155" s="17" t="str">
        <x:v>Johannes 11,25</x:v>
      </x:c>
      <x:c r="M155" s="17" t="str">
        <x:v>Was sagt er von sich zu Martha?</x:v>
      </x:c>
      <x:c r="N155" s="17" t="str">
        <x:v>Ich bin die Auferstehung und das Leben (Johannes 11,25)</x:v>
      </x:c>
      <x:c r="O155" s="17" t="str">
        <x:v>Lazarus, komm heraus</x:v>
      </x:c>
      <x:c r="P155" s="17" t="str">
        <x:v>Johannes 11,1–44</x:v>
      </x:c>
      <x:c r="Q155" s="17" t="str">
        <x:v>RECONSTRUCTED_AGGREGATE_CONSTRAINED</x:v>
      </x:c>
      <x:c r="R155" s="17" t="str">
        <x:v>HIGH</x:v>
      </x:c>
      <x:c r="S155" s="17" t="str">
        <x:v>FaithPath final QA aggregate (57 SINNGLEICH / 42 FAITHPATH_ONLY / 1 KONFLIKT) + Nachlese final catalog/QA</x:v>
      </x:c>
      <x:c r="T155" s="17" t="str">
        <x:v>Reconstructed row-level mapping; original historical Block2 XLSX unavailable.</x:v>
      </x:c>
    </x:row>
    <x:row r="156" ht="26.399999618530273" hidden="0" customHeight="1">
      <x:c r="A156" s="17" t="str">
        <x:v>FP-0155</x:v>
      </x:c>
      <x:c r="B156" s="17" t="str">
        <x:v>FP-0101–0200</x:v>
      </x:c>
      <x:c r="C156" s="17" t="n">
        <x:v>31</x:v>
      </x:c>
      <x:c r="D156" s="17" t="n">
        <x:v>31</x:v>
      </x:c>
      <x:c r="E156" s="17" t="n">
        <x:v>5</x:v>
      </x:c>
      <x:c r="F156" s="17" t="str">
        <x:v>$[30].questions[4]</x:v>
      </x:c>
      <x:c r="G156" s="17" t="str">
        <x:v>Johannes 11,43</x:v>
      </x:c>
      <x:c r="H156" s="17" t="str">
        <x:v>Mit welchen Worten ruft Jesus Lazarus aus dem Grab?</x:v>
      </x:c>
      <x:c r="I156" s="17" t="str">
        <x:v>Lazarus, komm heraus!</x:v>
      </x:c>
      <x:c r="J156" s="17" t="str">
        <x:v>SINNGLEICH</x:v>
      </x:c>
      <x:c r="K156" s="17" t="str">
        <x:v>N-1549</x:v>
      </x:c>
      <x:c r="L156" s="17" t="str">
        <x:v>Johannes 11,43</x:v>
      </x:c>
      <x:c r="M156" s="17" t="str">
        <x:v>Was rief er mit lauter Stimme?</x:v>
      </x:c>
      <x:c r="N156" s="17" t="str">
        <x:v>Lazarus, komm heraus! (Johannes 11,43)</x:v>
      </x:c>
      <x:c r="O156" s="17" t="str">
        <x:v>Lazarus, komm heraus</x:v>
      </x:c>
      <x:c r="P156" s="17" t="str">
        <x:v>Johannes 11,1–44</x:v>
      </x:c>
      <x:c r="Q156" s="17" t="str">
        <x:v>RECONSTRUCTED_AGGREGATE_CONSTRAINED</x:v>
      </x:c>
      <x:c r="R156" s="17" t="str">
        <x:v>HIGH</x:v>
      </x:c>
      <x:c r="S156" s="17" t="str">
        <x:v>FaithPath final QA aggregate (57 SINNGLEICH / 42 FAITHPATH_ONLY / 1 KONFLIKT) + Nachlese final catalog/QA</x:v>
      </x:c>
      <x:c r="T156" s="17" t="str">
        <x:v>Reconstructed row-level mapping; original historical Block2 XLSX unavailable.</x:v>
      </x:c>
    </x:row>
    <x:row r="157" ht="26.399999618530273" hidden="0" customHeight="1">
      <x:c r="A157" s="17" t="str">
        <x:v>FP-0156</x:v>
      </x:c>
      <x:c r="B157" s="17" t="str">
        <x:v>FP-0101–0200</x:v>
      </x:c>
      <x:c r="C157" s="17" t="n">
        <x:v>32</x:v>
      </x:c>
      <x:c r="D157" s="17" t="n">
        <x:v>32</x:v>
      </x:c>
      <x:c r="E157" s="17" t="n">
        <x:v>1</x:v>
      </x:c>
      <x:c r="F157" s="17" t="str">
        <x:v>$[31].questions[0]</x:v>
      </x:c>
      <x:c r="G157" s="17" t="str">
        <x:v>Johannes 12,3</x:v>
      </x:c>
      <x:c r="H157" s="17" t="str">
        <x:v>Wer salbte Jesu Füße mit kostbarer Narde und trocknete sie mit ihrem Haar?</x:v>
      </x:c>
      <x:c r="I157" s="17" t="str">
        <x:v>Maria</x:v>
      </x:c>
      <x:c r="J157" s="17" t="str">
        <x:v>FAITHPATH_ONLY</x:v>
      </x:c>
      <x:c r="K157" s="17" t="str"/>
      <x:c r="L157" s="17" t="str"/>
      <x:c r="M157" s="17" t="str"/>
      <x:c r="N157" s="17" t="str"/>
      <x:c r="O157" s="17" t="str"/>
      <x:c r="P157" s="17" t="str"/>
      <x:c r="Q157" s="17" t="str">
        <x:v>NO_SOURCE_EQUIVALENT_SELECTED</x:v>
      </x:c>
      <x:c r="R157" s="17" t="str">
        <x:v>N/A</x:v>
      </x:c>
      <x:c r="S157" s="17" t="str">
        <x:v>FaithPath final QA aggregate (57 SINNGLEICH / 42 FAITHPATH_ONLY / 1 KONFLIKT) + Nachlese final catalog/QA</x:v>
      </x:c>
      <x:c r="T157" s="17" t="str">
        <x:v>Kein N-Mapping in reconstructed final block allocation.</x:v>
      </x:c>
    </x:row>
    <x:row r="158" ht="26.399999618530273" hidden="0" customHeight="1">
      <x:c r="A158" s="17" t="str">
        <x:v>FP-0157</x:v>
      </x:c>
      <x:c r="B158" s="17" t="str">
        <x:v>FP-0101–0200</x:v>
      </x:c>
      <x:c r="C158" s="17" t="n">
        <x:v>32</x:v>
      </x:c>
      <x:c r="D158" s="17" t="n">
        <x:v>32</x:v>
      </x:c>
      <x:c r="E158" s="17" t="n">
        <x:v>2</x:v>
      </x:c>
      <x:c r="F158" s="17" t="str">
        <x:v>$[31].questions[1]</x:v>
      </x:c>
      <x:c r="G158" s="17" t="str">
        <x:v>Johannes 12,4-5</x:v>
      </x:c>
      <x:c r="H158" s="17" t="str">
        <x:v>Wie viel hätte die Salbe nach Judas' Einwand verkauft werden können?</x:v>
      </x:c>
      <x:c r="I158" s="17" t="str">
        <x:v>Dreihundert Groschen</x:v>
      </x:c>
      <x:c r="J158" s="17" t="str">
        <x:v>SINNGLEICH</x:v>
      </x:c>
      <x:c r="K158" s="17" t="str">
        <x:v>N-1557</x:v>
      </x:c>
      <x:c r="L158" s="17" t="str">
        <x:v>Johannes 12,5</x:v>
      </x:c>
      <x:c r="M158" s="17" t="str">
        <x:v>Um wie viel hätte man die Salbe verkaufen können, sagt Judas?</x:v>
      </x:c>
      <x:c r="N158" s="17" t="str">
        <x:v>Dreihundert Groschen (Johannes 12,5)</x:v>
      </x:c>
      <x:c r="O158" s="17" t="str">
        <x:v>Ein Pfund Narde</x:v>
      </x:c>
      <x:c r="P158" s="17" t="str">
        <x:v>Johannes 12,1–11</x:v>
      </x:c>
      <x:c r="Q158" s="17" t="str">
        <x:v>RECONSTRUCTED_AGGREGATE_CONSTRAINED</x:v>
      </x:c>
      <x:c r="R158" s="17" t="str">
        <x:v>HIGH</x:v>
      </x:c>
      <x:c r="S158" s="17" t="str">
        <x:v>FaithPath final QA aggregate (57 SINNGLEICH / 42 FAITHPATH_ONLY / 1 KONFLIKT) + Nachlese final catalog/QA</x:v>
      </x:c>
      <x:c r="T158" s="17" t="str">
        <x:v>Reconstructed row-level mapping; original historical Block2 XLSX unavailable.</x:v>
      </x:c>
    </x:row>
    <x:row r="159" ht="26.399999618530273" hidden="0" customHeight="1">
      <x:c r="A159" s="17" t="str">
        <x:v>FP-0158</x:v>
      </x:c>
      <x:c r="B159" s="17" t="str">
        <x:v>FP-0101–0200</x:v>
      </x:c>
      <x:c r="C159" s="17" t="n">
        <x:v>32</x:v>
      </x:c>
      <x:c r="D159" s="17" t="n">
        <x:v>32</x:v>
      </x:c>
      <x:c r="E159" s="17" t="n">
        <x:v>3</x:v>
      </x:c>
      <x:c r="F159" s="17" t="str">
        <x:v>$[31].questions[2]</x:v>
      </x:c>
      <x:c r="G159" s="17" t="str">
        <x:v>Johannes 12,12-13</x:v>
      </x:c>
      <x:c r="H159" s="17" t="str">
        <x:v>Was nahmen die Menschen, als sie Jesus auf dem Weg nach Jerusalem entgegengingen?</x:v>
      </x:c>
      <x:c r="I159" s="17" t="str">
        <x:v>Palmenzweige</x:v>
      </x:c>
      <x:c r="J159" s="17" t="str">
        <x:v>SINNGLEICH</x:v>
      </x:c>
      <x:c r="K159" s="17" t="str">
        <x:v>N-1561</x:v>
      </x:c>
      <x:c r="L159" s="17" t="str">
        <x:v>Johannes 12,13</x:v>
      </x:c>
      <x:c r="M159" s="17" t="str">
        <x:v>Was nahmen sie und schrieen sie?</x:v>
      </x:c>
      <x:c r="N159" s="17" t="str">
        <x:v>Nahmen sie Palmenzweige und gingen hinaus (Johannes 12,13)</x:v>
      </x:c>
      <x:c r="O159" s="17" t="str">
        <x:v>Hosianna — der König auf dem Eselein</x:v>
      </x:c>
      <x:c r="P159" s="17" t="str">
        <x:v>Johannes 12,12–19</x:v>
      </x:c>
      <x:c r="Q159" s="17" t="str">
        <x:v>RECONSTRUCTED_AGGREGATE_CONSTRAINED</x:v>
      </x:c>
      <x:c r="R159" s="17" t="str">
        <x:v>HIGH</x:v>
      </x:c>
      <x:c r="S159" s="17" t="str">
        <x:v>FaithPath final QA aggregate (57 SINNGLEICH / 42 FAITHPATH_ONLY / 1 KONFLIKT) + Nachlese final catalog/QA</x:v>
      </x:c>
      <x:c r="T159" s="17" t="str">
        <x:v>Reconstructed row-level mapping; original historical Block2 XLSX unavailable.</x:v>
      </x:c>
    </x:row>
    <x:row r="160" ht="26.399999618530273" hidden="0" customHeight="1">
      <x:c r="A160" s="17" t="str">
        <x:v>FP-0159</x:v>
      </x:c>
      <x:c r="B160" s="17" t="str">
        <x:v>FP-0101–0200</x:v>
      </x:c>
      <x:c r="C160" s="17" t="n">
        <x:v>32</x:v>
      </x:c>
      <x:c r="D160" s="17" t="n">
        <x:v>32</x:v>
      </x:c>
      <x:c r="E160" s="17" t="n">
        <x:v>4</x:v>
      </x:c>
      <x:c r="F160" s="17" t="str">
        <x:v>$[31].questions[3]</x:v>
      </x:c>
      <x:c r="G160" s="17" t="str">
        <x:v>Johannes 12,14-15</x:v>
      </x:c>
      <x:c r="H160" s="17" t="str">
        <x:v>Auf welchem Tier ritt Jesus beim Einzug?</x:v>
      </x:c>
      <x:c r="I160" s="17" t="str">
        <x:v>Auf einem Eselein</x:v>
      </x:c>
      <x:c r="J160" s="17" t="str">
        <x:v>SINNGLEICH</x:v>
      </x:c>
      <x:c r="K160" s="17" t="str">
        <x:v>N-1562</x:v>
      </x:c>
      <x:c r="L160" s="17" t="str">
        <x:v>Johannes 12,14</x:v>
      </x:c>
      <x:c r="M160" s="17" t="str">
        <x:v>Worauf ritt Jesus?</x:v>
      </x:c>
      <x:c r="N160" s="17" t="str">
        <x:v>Ein Eselein (Johannes 12,14)</x:v>
      </x:c>
      <x:c r="O160" s="17" t="str">
        <x:v>Hosianna — der König auf dem Eselein</x:v>
      </x:c>
      <x:c r="P160" s="17" t="str">
        <x:v>Johannes 12,12–19</x:v>
      </x:c>
      <x:c r="Q160" s="17" t="str">
        <x:v>RECONSTRUCTED_AGGREGATE_CONSTRAINED</x:v>
      </x:c>
      <x:c r="R160" s="17" t="str">
        <x:v>HIGH</x:v>
      </x:c>
      <x:c r="S160" s="17" t="str">
        <x:v>FaithPath final QA aggregate (57 SINNGLEICH / 42 FAITHPATH_ONLY / 1 KONFLIKT) + Nachlese final catalog/QA</x:v>
      </x:c>
      <x:c r="T160" s="17" t="str">
        <x:v>Reconstructed row-level mapping; original historical Block2 XLSX unavailable.</x:v>
      </x:c>
    </x:row>
    <x:row r="161" ht="26.399999618530273" hidden="0" customHeight="1">
      <x:c r="A161" s="17" t="str">
        <x:v>FP-0160</x:v>
      </x:c>
      <x:c r="B161" s="17" t="str">
        <x:v>FP-0101–0200</x:v>
      </x:c>
      <x:c r="C161" s="17" t="n">
        <x:v>32</x:v>
      </x:c>
      <x:c r="D161" s="17" t="n">
        <x:v>32</x:v>
      </x:c>
      <x:c r="E161" s="17" t="n">
        <x:v>5</x:v>
      </x:c>
      <x:c r="F161" s="17" t="str">
        <x:v>$[31].questions[4]</x:v>
      </x:c>
      <x:c r="G161" s="17" t="str">
        <x:v>Johannes 12,20-21</x:v>
      </x:c>
      <x:c r="H161" s="17" t="str">
        <x:v>Zu welchem Jünger kamen einige Griechen mit dem Wunsch, Jesus zu sehen?</x:v>
      </x:c>
      <x:c r="I161" s="17" t="str">
        <x:v>Philippus</x:v>
      </x:c>
      <x:c r="J161" s="17" t="str">
        <x:v>SINNGLEICH</x:v>
      </x:c>
      <x:c r="K161" s="17" t="str">
        <x:v>N-1567</x:v>
      </x:c>
      <x:c r="L161" s="17" t="str">
        <x:v>Johannes 12,21</x:v>
      </x:c>
      <x:c r="M161" s="17" t="str">
        <x:v>An wen traten sie zuerst?</x:v>
      </x:c>
      <x:c r="N161" s="17" t="str">
        <x:v>Philippus, der von Bethsaida aus Galiläa war (Johannes 12,21)</x:v>
      </x:c>
      <x:c r="O161" s="17" t="str">
        <x:v>Das Weizenkorn</x:v>
      </x:c>
      <x:c r="P161" s="17" t="str">
        <x:v>Johannes 12,20–36</x:v>
      </x:c>
      <x:c r="Q161" s="17" t="str">
        <x:v>RECONSTRUCTED_AGGREGATE_CONSTRAINED</x:v>
      </x:c>
      <x:c r="R161" s="17" t="str">
        <x:v>MEDIUM</x:v>
      </x:c>
      <x:c r="S161" s="17" t="str">
        <x:v>FaithPath final QA aggregate (57 SINNGLEICH / 42 FAITHPATH_ONLY / 1 KONFLIKT) + Nachlese final catalog/QA</x:v>
      </x:c>
      <x:c r="T161" s="17" t="str">
        <x:v>Reconstructed row-level mapping; original historical Block2 XLSX unavailable.</x:v>
      </x:c>
    </x:row>
    <x:row r="162" ht="26.399999618530273" hidden="0" customHeight="1">
      <x:c r="A162" s="17" t="str">
        <x:v>FP-0161</x:v>
      </x:c>
      <x:c r="B162" s="17" t="str">
        <x:v>FP-0101–0200</x:v>
      </x:c>
      <x:c r="C162" s="17" t="n">
        <x:v>381</x:v>
      </x:c>
      <x:c r="D162" s="17" t="n">
        <x:v>33</x:v>
      </x:c>
      <x:c r="E162" s="17" t="n">
        <x:v>1</x:v>
      </x:c>
      <x:c r="F162" s="17" t="str">
        <x:v>$[32].questions[0]</x:v>
      </x:c>
      <x:c r="G162" s="17" t="str">
        <x:v>Apg 8,26</x:v>
      </x:c>
      <x:c r="H162" s="17" t="str">
        <x:v>Auf welche Straße sollte Philippus nach der Anweisung des Engels gehen?</x:v>
      </x:c>
      <x:c r="I162" s="17" t="str">
        <x:v>Auf die Straße von Jerusalem nach Gaza</x:v>
      </x:c>
      <x:c r="J162" s="17" t="str">
        <x:v>SINNGLEICH</x:v>
      </x:c>
      <x:c r="K162" s="17" t="str">
        <x:v>N-1722</x:v>
      </x:c>
      <x:c r="L162" s="17" t="str"/>
      <x:c r="M162" s="17" t="str">
        <x:v>Wohin soll Philippus gehen?</x:v>
      </x:c>
      <x:c r="N162" s="17" t="str">
        <x:v>Stehe auf und gehe gegen Mittag auf die Straße, die von Jerusalem geht</x:v>
      </x:c>
      <x:c r="O162" s="17" t="str">
        <x:v>Was hindert's, dass ich mich taufen lasse?</x:v>
      </x:c>
      <x:c r="P162" s="17" t="str">
        <x:v>Apostelgeschichte 8,26–40</x:v>
      </x:c>
      <x:c r="Q162" s="17" t="str">
        <x:v>RECONSTRUCTED_AGGREGATE_CONSTRAINED</x:v>
      </x:c>
      <x:c r="R162" s="17" t="str">
        <x:v>MEDIUM</x:v>
      </x:c>
      <x:c r="S162" s="17" t="str">
        <x:v>FaithPath final QA aggregate (57 SINNGLEICH / 42 FAITHPATH_ONLY / 1 KONFLIKT) + Nachlese final catalog/QA</x:v>
      </x:c>
      <x:c r="T162" s="17" t="str">
        <x:v>Reconstructed row-level mapping; original historical Block2 XLSX unavailable.</x:v>
      </x:c>
    </x:row>
    <x:row r="163" ht="26.399999618530273" hidden="0" customHeight="1">
      <x:c r="A163" s="17" t="str">
        <x:v>FP-0162</x:v>
      </x:c>
      <x:c r="B163" s="17" t="str">
        <x:v>FP-0101–0200</x:v>
      </x:c>
      <x:c r="C163" s="17" t="n">
        <x:v>381</x:v>
      </x:c>
      <x:c r="D163" s="17" t="n">
        <x:v>33</x:v>
      </x:c>
      <x:c r="E163" s="17" t="n">
        <x:v>2</x:v>
      </x:c>
      <x:c r="F163" s="17" t="str">
        <x:v>$[32].questions[1]</x:v>
      </x:c>
      <x:c r="G163" s="17" t="str">
        <x:v>Apg 8,28-30</x:v>
      </x:c>
      <x:c r="H163" s="17" t="str">
        <x:v>Welchen Propheten las der Kämmerer auf seinem Wagen?</x:v>
      </x:c>
      <x:c r="I163" s="17" t="str">
        <x:v>Jesaja</x:v>
      </x:c>
      <x:c r="J163" s="17" t="str">
        <x:v>SINNGLEICH</x:v>
      </x:c>
      <x:c r="K163" s="17" t="str">
        <x:v>N-1724</x:v>
      </x:c>
      <x:c r="L163" s="17" t="str">
        <x:v>Apostelgeschichte 8,28</x:v>
      </x:c>
      <x:c r="M163" s="17" t="str">
        <x:v>Was las er?</x:v>
      </x:c>
      <x:c r="N163" s="17" t="str">
        <x:v>Den Propheten Jesaja (Apostelgeschichte 8,28)</x:v>
      </x:c>
      <x:c r="O163" s="17" t="str">
        <x:v>Was hindert's, dass ich mich taufen lasse?</x:v>
      </x:c>
      <x:c r="P163" s="17" t="str">
        <x:v>Apostelgeschichte 8,26–40</x:v>
      </x:c>
      <x:c r="Q163" s="17" t="str">
        <x:v>RECONSTRUCTED_AGGREGATE_CONSTRAINED</x:v>
      </x:c>
      <x:c r="R163" s="17" t="str">
        <x:v>HIGH</x:v>
      </x:c>
      <x:c r="S163" s="17" t="str">
        <x:v>FaithPath final QA aggregate (57 SINNGLEICH / 42 FAITHPATH_ONLY / 1 KONFLIKT) + Nachlese final catalog/QA</x:v>
      </x:c>
      <x:c r="T163" s="17" t="str">
        <x:v>Reconstructed row-level mapping; original historical Block2 XLSX unavailable.</x:v>
      </x:c>
    </x:row>
    <x:row r="164" ht="26.399999618530273" hidden="0" customHeight="1">
      <x:c r="A164" s="17" t="str">
        <x:v>FP-0163</x:v>
      </x:c>
      <x:c r="B164" s="17" t="str">
        <x:v>FP-0101–0200</x:v>
      </x:c>
      <x:c r="C164" s="17" t="n">
        <x:v>381</x:v>
      </x:c>
      <x:c r="D164" s="17" t="n">
        <x:v>33</x:v>
      </x:c>
      <x:c r="E164" s="17" t="n">
        <x:v>3</x:v>
      </x:c>
      <x:c r="F164" s="17" t="str">
        <x:v>$[32].questions[2]</x:v>
      </x:c>
      <x:c r="G164" s="17" t="str">
        <x:v>Apg 8,30-31</x:v>
      </x:c>
      <x:c r="H164" s="17" t="str">
        <x:v>Warum bat der Kämmerer Philippus um Hilfe beim Lesen?</x:v>
      </x:c>
      <x:c r="I164" s="17" t="str">
        <x:v>Weil er sagte, er könne es ohne Anleitung nicht verstehen</x:v>
      </x:c>
      <x:c r="J164" s="17" t="str">
        <x:v>SINNGLEICH</x:v>
      </x:c>
      <x:c r="K164" s="17" t="str">
        <x:v>N-1725</x:v>
      </x:c>
      <x:c r="L164" s="17" t="str"/>
      <x:c r="M164" s="17" t="str">
        <x:v>Was antwortet er auf: Verstehst du auch, was du liest?</x:v>
      </x:c>
      <x:c r="N164" s="17" t="str">
        <x:v>Wie kann ich, so mich nicht jemand anleitet?</x:v>
      </x:c>
      <x:c r="O164" s="17" t="str">
        <x:v>Was hindert's, dass ich mich taufen lasse?</x:v>
      </x:c>
      <x:c r="P164" s="17" t="str">
        <x:v>Apostelgeschichte 8,26–40</x:v>
      </x:c>
      <x:c r="Q164" s="17" t="str">
        <x:v>RECONSTRUCTED_AGGREGATE_CONSTRAINED</x:v>
      </x:c>
      <x:c r="R164" s="17" t="str">
        <x:v>HIGH</x:v>
      </x:c>
      <x:c r="S164" s="17" t="str">
        <x:v>FaithPath final QA aggregate (57 SINNGLEICH / 42 FAITHPATH_ONLY / 1 KONFLIKT) + Nachlese final catalog/QA</x:v>
      </x:c>
      <x:c r="T164" s="17" t="str">
        <x:v>Reconstructed row-level mapping; original historical Block2 XLSX unavailable.</x:v>
      </x:c>
    </x:row>
    <x:row r="165" ht="26.399999618530273" hidden="0" customHeight="1">
      <x:c r="A165" s="17" t="str">
        <x:v>FP-0164</x:v>
      </x:c>
      <x:c r="B165" s="17" t="str">
        <x:v>FP-0101–0200</x:v>
      </x:c>
      <x:c r="C165" s="17" t="n">
        <x:v>381</x:v>
      </x:c>
      <x:c r="D165" s="17" t="n">
        <x:v>33</x:v>
      </x:c>
      <x:c r="E165" s="17" t="n">
        <x:v>4</x:v>
      </x:c>
      <x:c r="F165" s="17" t="str">
        <x:v>$[32].questions[3]</x:v>
      </x:c>
      <x:c r="G165" s="17" t="str">
        <x:v>Apg 8,32-35</x:v>
      </x:c>
      <x:c r="H165" s="17" t="str">
        <x:v>Wovon ausgehend verkündigte Philippus dem Kämmerer das Evangelium von Jesus?</x:v>
      </x:c>
      <x:c r="I165" s="17" t="str">
        <x:v>Von der gerade gelesenen Schriftstelle</x:v>
      </x:c>
      <x:c r="J165" s="17" t="str">
        <x:v>FAITHPATH_ONLY</x:v>
      </x:c>
      <x:c r="K165" s="17" t="str"/>
      <x:c r="L165" s="17" t="str"/>
      <x:c r="M165" s="17" t="str"/>
      <x:c r="N165" s="17" t="str"/>
      <x:c r="O165" s="17" t="str"/>
      <x:c r="P165" s="17" t="str"/>
      <x:c r="Q165" s="17" t="str">
        <x:v>NO_SOURCE_EQUIVALENT_SELECTED</x:v>
      </x:c>
      <x:c r="R165" s="17" t="str">
        <x:v>N/A</x:v>
      </x:c>
      <x:c r="S165" s="17" t="str">
        <x:v>FaithPath final QA aggregate (57 SINNGLEICH / 42 FAITHPATH_ONLY / 1 KONFLIKT) + Nachlese final catalog/QA</x:v>
      </x:c>
      <x:c r="T165" s="17" t="str">
        <x:v>Kein N-Mapping in reconstructed final block allocation.</x:v>
      </x:c>
    </x:row>
    <x:row r="166" ht="26.399999618530273" hidden="0" customHeight="1">
      <x:c r="A166" s="17" t="str">
        <x:v>FP-0165</x:v>
      </x:c>
      <x:c r="B166" s="17" t="str">
        <x:v>FP-0101–0200</x:v>
      </x:c>
      <x:c r="C166" s="17" t="n">
        <x:v>381</x:v>
      </x:c>
      <x:c r="D166" s="17" t="n">
        <x:v>33</x:v>
      </x:c>
      <x:c r="E166" s="17" t="n">
        <x:v>5</x:v>
      </x:c>
      <x:c r="F166" s="17" t="str">
        <x:v>$[32].questions[4]</x:v>
      </x:c>
      <x:c r="G166" s="17" t="str">
        <x:v>Apg 8,39-40</x:v>
      </x:c>
      <x:c r="H166" s="17" t="str">
        <x:v>Was geschah nach der Taufe des Kämmerers?</x:v>
      </x:c>
      <x:c r="I166" s="17" t="str">
        <x:v>Der Geist des Herrn entrückte Philippus, und der Kämmerer zog fröhlich weiter</x:v>
      </x:c>
      <x:c r="J166" s="17" t="str">
        <x:v>SINNGLEICH</x:v>
      </x:c>
      <x:c r="K166" s="17" t="str">
        <x:v>N-1727</x:v>
      </x:c>
      <x:c r="L166" s="17" t="str"/>
      <x:c r="M166" s="17" t="str">
        <x:v>Was geschah, als sie aus dem Wasser stiegen?</x:v>
      </x:c>
      <x:c r="N166" s="17" t="str">
        <x:v>Rückte der Geist des HERRN Philippus (Apostelgeschichte</x:v>
      </x:c>
      <x:c r="O166" s="17" t="str">
        <x:v>Was hindert's, dass ich mich taufen lasse?</x:v>
      </x:c>
      <x:c r="P166" s="17" t="str">
        <x:v>Apostelgeschichte 8,26–40</x:v>
      </x:c>
      <x:c r="Q166" s="17" t="str">
        <x:v>RECONSTRUCTED_AGGREGATE_CONSTRAINED</x:v>
      </x:c>
      <x:c r="R166" s="17" t="str">
        <x:v>HIGH</x:v>
      </x:c>
      <x:c r="S166" s="17" t="str">
        <x:v>FaithPath final QA aggregate (57 SINNGLEICH / 42 FAITHPATH_ONLY / 1 KONFLIKT) + Nachlese final catalog/QA</x:v>
      </x:c>
      <x:c r="T166" s="17" t="str">
        <x:v>Reconstructed row-level mapping; original historical Block2 XLSX unavailable.</x:v>
      </x:c>
    </x:row>
    <x:row r="167" ht="26.399999618530273" hidden="0" customHeight="1">
      <x:c r="A167" s="17" t="str">
        <x:v>FP-0166</x:v>
      </x:c>
      <x:c r="B167" s="17" t="str">
        <x:v>FP-0101–0200</x:v>
      </x:c>
      <x:c r="C167" s="17" t="n">
        <x:v>382</x:v>
      </x:c>
      <x:c r="D167" s="17" t="n">
        <x:v>34</x:v>
      </x:c>
      <x:c r="E167" s="17" t="n">
        <x:v>1</x:v>
      </x:c>
      <x:c r="F167" s="17" t="str">
        <x:v>$[33].questions[0]</x:v>
      </x:c>
      <x:c r="G167" s="17" t="str">
        <x:v>Apg 9,2-3</x:v>
      </x:c>
      <x:c r="H167" s="17" t="str">
        <x:v>Zu welcher Stadt war Saulus unterwegs, als ihn ein Licht vom Himmel umleuchtete?</x:v>
      </x:c>
      <x:c r="I167" s="17" t="str">
        <x:v>Damaskus</x:v>
      </x:c>
      <x:c r="J167" s="17" t="str">
        <x:v>FAITHPATH_ONLY</x:v>
      </x:c>
      <x:c r="K167" s="17" t="str"/>
      <x:c r="L167" s="17" t="str"/>
      <x:c r="M167" s="17" t="str"/>
      <x:c r="N167" s="17" t="str"/>
      <x:c r="O167" s="17" t="str"/>
      <x:c r="P167" s="17" t="str"/>
      <x:c r="Q167" s="17" t="str">
        <x:v>NO_SOURCE_EQUIVALENT_SELECTED</x:v>
      </x:c>
      <x:c r="R167" s="17" t="str">
        <x:v>N/A</x:v>
      </x:c>
      <x:c r="S167" s="17" t="str">
        <x:v>FaithPath final QA aggregate (57 SINNGLEICH / 42 FAITHPATH_ONLY / 1 KONFLIKT) + Nachlese final catalog/QA</x:v>
      </x:c>
      <x:c r="T167" s="17" t="str">
        <x:v>Kein N-Mapping in reconstructed final block allocation.</x:v>
      </x:c>
    </x:row>
    <x:row r="168" ht="26.399999618530273" hidden="0" customHeight="1">
      <x:c r="A168" s="17" t="str">
        <x:v>FP-0167</x:v>
      </x:c>
      <x:c r="B168" s="17" t="str">
        <x:v>FP-0101–0200</x:v>
      </x:c>
      <x:c r="C168" s="17" t="n">
        <x:v>382</x:v>
      </x:c>
      <x:c r="D168" s="17" t="n">
        <x:v>34</x:v>
      </x:c>
      <x:c r="E168" s="17" t="n">
        <x:v>2</x:v>
      </x:c>
      <x:c r="F168" s="17" t="str">
        <x:v>$[33].questions[1]</x:v>
      </x:c>
      <x:c r="G168" s="17" t="str">
        <x:v>Apg 9,8-9</x:v>
      </x:c>
      <x:c r="H168" s="17" t="str">
        <x:v>Wie lange blieb Saulus nach seiner Ankunft in Damaskus ohne zu sehen?</x:v>
      </x:c>
      <x:c r="I168" s="17" t="str">
        <x:v>Drei Tage</x:v>
      </x:c>
      <x:c r="J168" s="17" t="str">
        <x:v>SINNGLEICH</x:v>
      </x:c>
      <x:c r="K168" s="17" t="str">
        <x:v>N-1731</x:v>
      </x:c>
      <x:c r="L168" s="17" t="str"/>
      <x:c r="M168" s="17" t="str">
        <x:v>Wie lange sah er niemand und aß nicht?</x:v>
      </x:c>
      <x:c r="N168" s="17" t="str">
        <x:v>Er war drei Tage nicht sehend und aß nicht (Apostelgeschichte</x:v>
      </x:c>
      <x:c r="O168" s="17" t="str">
        <x:v>Saul, Saul, was verfolgst du mich?</x:v>
      </x:c>
      <x:c r="P168" s="17" t="str">
        <x:v>Apostelgeschichte 9,1–19</x:v>
      </x:c>
      <x:c r="Q168" s="17" t="str">
        <x:v>RECONSTRUCTED_AGGREGATE_CONSTRAINED</x:v>
      </x:c>
      <x:c r="R168" s="17" t="str">
        <x:v>HIGH</x:v>
      </x:c>
      <x:c r="S168" s="17" t="str">
        <x:v>FaithPath final QA aggregate (57 SINNGLEICH / 42 FAITHPATH_ONLY / 1 KONFLIKT) + Nachlese final catalog/QA</x:v>
      </x:c>
      <x:c r="T168" s="17" t="str">
        <x:v>Reconstructed row-level mapping; original historical Block2 XLSX unavailable.</x:v>
      </x:c>
    </x:row>
    <x:row r="169" ht="26.399999618530273" hidden="0" customHeight="1">
      <x:c r="A169" s="17" t="str">
        <x:v>FP-0168</x:v>
      </x:c>
      <x:c r="B169" s="17" t="str">
        <x:v>FP-0101–0200</x:v>
      </x:c>
      <x:c r="C169" s="17" t="n">
        <x:v>382</x:v>
      </x:c>
      <x:c r="D169" s="17" t="n">
        <x:v>34</x:v>
      </x:c>
      <x:c r="E169" s="17" t="n">
        <x:v>3</x:v>
      </x:c>
      <x:c r="F169" s="17" t="str">
        <x:v>$[33].questions[2]</x:v>
      </x:c>
      <x:c r="G169" s="17" t="str">
        <x:v>Apg 9,11</x:v>
      </x:c>
      <x:c r="H169" s="17" t="str">
        <x:v>In welche Gasse sollte Ananias gehen, um Saulus zu finden?</x:v>
      </x:c>
      <x:c r="I169" s="17" t="str">
        <x:v>In die Gasse, die 'die Gerade' heißt</x:v>
      </x:c>
      <x:c r="J169" s="17" t="str">
        <x:v>SINNGLEICH</x:v>
      </x:c>
      <x:c r="K169" s="17" t="str">
        <x:v>N-1732</x:v>
      </x:c>
      <x:c r="L169" s="17" t="str">
        <x:v>Apostelgeschichte 9,11</x:v>
      </x:c>
      <x:c r="M169" s="17" t="str">
        <x:v>In welche Gasse soll Ananias gehen?</x:v>
      </x:c>
      <x:c r="N169" s="17" t="str">
        <x:v>Gehe in die Gasse, die da heißt „die (Apostelgeschichte 9,11)</x:v>
      </x:c>
      <x:c r="O169" s="17" t="str">
        <x:v>Saul, Saul, was verfolgst du mich?</x:v>
      </x:c>
      <x:c r="P169" s="17" t="str">
        <x:v>Apostelgeschichte 9,1–19</x:v>
      </x:c>
      <x:c r="Q169" s="17" t="str">
        <x:v>RECONSTRUCTED_AGGREGATE_CONSTRAINED</x:v>
      </x:c>
      <x:c r="R169" s="17" t="str">
        <x:v>HIGH</x:v>
      </x:c>
      <x:c r="S169" s="17" t="str">
        <x:v>FaithPath final QA aggregate (57 SINNGLEICH / 42 FAITHPATH_ONLY / 1 KONFLIKT) + Nachlese final catalog/QA</x:v>
      </x:c>
      <x:c r="T169" s="17" t="str">
        <x:v>Reconstructed row-level mapping; original historical Block2 XLSX unavailable.</x:v>
      </x:c>
    </x:row>
    <x:row r="170" ht="26.399999618530273" hidden="0" customHeight="1">
      <x:c r="A170" s="17" t="str">
        <x:v>FP-0169</x:v>
      </x:c>
      <x:c r="B170" s="17" t="str">
        <x:v>FP-0101–0200</x:v>
      </x:c>
      <x:c r="C170" s="17" t="n">
        <x:v>382</x:v>
      </x:c>
      <x:c r="D170" s="17" t="n">
        <x:v>34</x:v>
      </x:c>
      <x:c r="E170" s="17" t="n">
        <x:v>4</x:v>
      </x:c>
      <x:c r="F170" s="17" t="str">
        <x:v>$[33].questions[3]</x:v>
      </x:c>
      <x:c r="G170" s="17" t="str">
        <x:v>Apg 9,13-14</x:v>
      </x:c>
      <x:c r="H170" s="17" t="str">
        <x:v>Welche Sorge äußerte Ananias über Saulus?</x:v>
      </x:c>
      <x:c r="I170" s="17" t="str">
        <x:v>Er hatte gehört, wie viel Übles Saulus den Heiligen getan hatte</x:v>
      </x:c>
      <x:c r="J170" s="17" t="str">
        <x:v>FAITHPATH_ONLY</x:v>
      </x:c>
      <x:c r="K170" s="17" t="str"/>
      <x:c r="L170" s="17" t="str"/>
      <x:c r="M170" s="17" t="str"/>
      <x:c r="N170" s="17" t="str"/>
      <x:c r="O170" s="17" t="str"/>
      <x:c r="P170" s="17" t="str"/>
      <x:c r="Q170" s="17" t="str">
        <x:v>NO_SOURCE_EQUIVALENT_SELECTED</x:v>
      </x:c>
      <x:c r="R170" s="17" t="str">
        <x:v>N/A</x:v>
      </x:c>
      <x:c r="S170" s="17" t="str">
        <x:v>FaithPath final QA aggregate (57 SINNGLEICH / 42 FAITHPATH_ONLY / 1 KONFLIKT) + Nachlese final catalog/QA</x:v>
      </x:c>
      <x:c r="T170" s="17" t="str">
        <x:v>Kein N-Mapping in reconstructed final block allocation.</x:v>
      </x:c>
    </x:row>
    <x:row r="171" ht="26.399999618530273" hidden="0" customHeight="1">
      <x:c r="A171" s="17" t="str">
        <x:v>FP-0170</x:v>
      </x:c>
      <x:c r="B171" s="17" t="str">
        <x:v>FP-0101–0200</x:v>
      </x:c>
      <x:c r="C171" s="17" t="n">
        <x:v>382</x:v>
      </x:c>
      <x:c r="D171" s="17" t="n">
        <x:v>34</x:v>
      </x:c>
      <x:c r="E171" s="17" t="n">
        <x:v>5</x:v>
      </x:c>
      <x:c r="F171" s="17" t="str">
        <x:v>$[33].questions[4]</x:v>
      </x:c>
      <x:c r="G171" s="17" t="str">
        <x:v>Apg 9,15-16</x:v>
      </x:c>
      <x:c r="H171" s="17" t="str">
        <x:v>Welchen Auftrag verbindet der Herr in seiner Antwort an Ananias mit Saulus?</x:v>
      </x:c>
      <x:c r="I171" s="17" t="str">
        <x:v>Saulus soll seinen Namen vor Heiden, Könige und Israel tragen</x:v>
      </x:c>
      <x:c r="J171" s="17" t="str">
        <x:v>FAITHPATH_ONLY</x:v>
      </x:c>
      <x:c r="K171" s="17" t="str"/>
      <x:c r="L171" s="17" t="str"/>
      <x:c r="M171" s="17" t="str"/>
      <x:c r="N171" s="17" t="str"/>
      <x:c r="O171" s="17" t="str"/>
      <x:c r="P171" s="17" t="str"/>
      <x:c r="Q171" s="17" t="str">
        <x:v>NO_SOURCE_EQUIVALENT_SELECTED</x:v>
      </x:c>
      <x:c r="R171" s="17" t="str">
        <x:v>N/A</x:v>
      </x:c>
      <x:c r="S171" s="17" t="str">
        <x:v>FaithPath final QA aggregate (57 SINNGLEICH / 42 FAITHPATH_ONLY / 1 KONFLIKT) + Nachlese final catalog/QA</x:v>
      </x:c>
      <x:c r="T171" s="17" t="str">
        <x:v>Kein N-Mapping in reconstructed final block allocation.</x:v>
      </x:c>
    </x:row>
    <x:row r="172" ht="26.399999618530273" hidden="0" customHeight="1">
      <x:c r="A172" s="17" t="str">
        <x:v>FP-0171</x:v>
      </x:c>
      <x:c r="B172" s="17" t="str">
        <x:v>FP-0101–0200</x:v>
      </x:c>
      <x:c r="C172" s="17" t="n">
        <x:v>383</x:v>
      </x:c>
      <x:c r="D172" s="17" t="n">
        <x:v>35</x:v>
      </x:c>
      <x:c r="E172" s="17" t="n">
        <x:v>1</x:v>
      </x:c>
      <x:c r="F172" s="17" t="str">
        <x:v>$[34].questions[0]</x:v>
      </x:c>
      <x:c r="G172" s="17" t="str">
        <x:v>Apg 9,20</x:v>
      </x:c>
      <x:c r="H172" s="17" t="str">
        <x:v>Was predigte Saulus unmittelbar in den Synagogen?</x:v>
      </x:c>
      <x:c r="I172" s="17" t="str">
        <x:v>Dass Jesus Gottes Sohn ist</x:v>
      </x:c>
      <x:c r="J172" s="17" t="str">
        <x:v>FAITHPATH_ONLY</x:v>
      </x:c>
      <x:c r="K172" s="17" t="str"/>
      <x:c r="L172" s="17" t="str"/>
      <x:c r="M172" s="17" t="str"/>
      <x:c r="N172" s="17" t="str"/>
      <x:c r="O172" s="17" t="str"/>
      <x:c r="P172" s="17" t="str"/>
      <x:c r="Q172" s="17" t="str">
        <x:v>NO_SOURCE_EQUIVALENT_SELECTED</x:v>
      </x:c>
      <x:c r="R172" s="17" t="str">
        <x:v>N/A</x:v>
      </x:c>
      <x:c r="S172" s="17" t="str">
        <x:v>FaithPath final QA aggregate (57 SINNGLEICH / 42 FAITHPATH_ONLY / 1 KONFLIKT) + Nachlese final catalog/QA</x:v>
      </x:c>
      <x:c r="T172" s="17" t="str">
        <x:v>Kein N-Mapping in reconstructed final block allocation.</x:v>
      </x:c>
    </x:row>
    <x:row r="173" ht="26.399999618530273" hidden="0" customHeight="1">
      <x:c r="A173" s="17" t="str">
        <x:v>FP-0172</x:v>
      </x:c>
      <x:c r="B173" s="17" t="str">
        <x:v>FP-0101–0200</x:v>
      </x:c>
      <x:c r="C173" s="17" t="n">
        <x:v>383</x:v>
      </x:c>
      <x:c r="D173" s="17" t="n">
        <x:v>35</x:v>
      </x:c>
      <x:c r="E173" s="17" t="n">
        <x:v>2</x:v>
      </x:c>
      <x:c r="F173" s="17" t="str">
        <x:v>$[34].questions[1]</x:v>
      </x:c>
      <x:c r="G173" s="17" t="str">
        <x:v>Apg 9,23-25</x:v>
      </x:c>
      <x:c r="H173" s="17" t="str">
        <x:v>Wie entkam Saulus dem Anschlag in Damaskus?</x:v>
      </x:c>
      <x:c r="I173" s="17" t="str">
        <x:v>Die Jünger ließen ihn nachts in einem Korb durch die Mauer hinab</x:v>
      </x:c>
      <x:c r="J173" s="17" t="str">
        <x:v>SINNGLEICH</x:v>
      </x:c>
      <x:c r="K173" s="17" t="str">
        <x:v>N-1735</x:v>
      </x:c>
      <x:c r="L173" s="17" t="str"/>
      <x:c r="M173" s="17" t="str">
        <x:v>Wie entkam er zu Damaskus?</x:v>
      </x:c>
      <x:c r="N173" s="17" t="str">
        <x:v>Da nahmen ihn die Jünger bei der Nacht und taten ihn durch die Mauer</x:v>
      </x:c>
      <x:c r="O173" s="17" t="str">
        <x:v>Im Korbe die Mauer hinab</x:v>
      </x:c>
      <x:c r="P173" s="17" t="str">
        <x:v>Apostelgeschichte 9,20–31</x:v>
      </x:c>
      <x:c r="Q173" s="17" t="str">
        <x:v>RECONSTRUCTED_AGGREGATE_CONSTRAINED</x:v>
      </x:c>
      <x:c r="R173" s="17" t="str">
        <x:v>MEDIUM</x:v>
      </x:c>
      <x:c r="S173" s="17" t="str">
        <x:v>FaithPath final QA aggregate (57 SINNGLEICH / 42 FAITHPATH_ONLY / 1 KONFLIKT) + Nachlese final catalog/QA</x:v>
      </x:c>
      <x:c r="T173" s="17" t="str">
        <x:v>Reconstructed row-level mapping; original historical Block2 XLSX unavailable.</x:v>
      </x:c>
    </x:row>
    <x:row r="174" ht="26.399999618530273" hidden="0" customHeight="1">
      <x:c r="A174" s="17" t="str">
        <x:v>FP-0173</x:v>
      </x:c>
      <x:c r="B174" s="17" t="str">
        <x:v>FP-0101–0200</x:v>
      </x:c>
      <x:c r="C174" s="17" t="n">
        <x:v>383</x:v>
      </x:c>
      <x:c r="D174" s="17" t="n">
        <x:v>35</x:v>
      </x:c>
      <x:c r="E174" s="17" t="n">
        <x:v>3</x:v>
      </x:c>
      <x:c r="F174" s="17" t="str">
        <x:v>$[34].questions[2]</x:v>
      </x:c>
      <x:c r="G174" s="17" t="str">
        <x:v>Apg 9,26-27</x:v>
      </x:c>
      <x:c r="H174" s="17" t="str">
        <x:v>Wer führte Saulus in Jerusalem zu den Aposteln?</x:v>
      </x:c>
      <x:c r="I174" s="17" t="str">
        <x:v>Barnabas</x:v>
      </x:c>
      <x:c r="J174" s="17" t="str">
        <x:v>SINNGLEICH</x:v>
      </x:c>
      <x:c r="K174" s="17" t="str">
        <x:v>N-1736</x:v>
      </x:c>
      <x:c r="L174" s="17" t="str">
        <x:v>Apostelgeschichte 9,27</x:v>
      </x:c>
      <x:c r="M174" s="17" t="str">
        <x:v>Wer führte ihn zu den Aposteln in Jerusalem?</x:v>
      </x:c>
      <x:c r="N174" s="17" t="str">
        <x:v>Barnabas (Apostelgeschichte 9,27)</x:v>
      </x:c>
      <x:c r="O174" s="17" t="str">
        <x:v>Im Korbe die Mauer hinab</x:v>
      </x:c>
      <x:c r="P174" s="17" t="str">
        <x:v>Apostelgeschichte 9,20–31</x:v>
      </x:c>
      <x:c r="Q174" s="17" t="str">
        <x:v>RECONSTRUCTED_AGGREGATE_CONSTRAINED</x:v>
      </x:c>
      <x:c r="R174" s="17" t="str">
        <x:v>HIGH</x:v>
      </x:c>
      <x:c r="S174" s="17" t="str">
        <x:v>FaithPath final QA aggregate (57 SINNGLEICH / 42 FAITHPATH_ONLY / 1 KONFLIKT) + Nachlese final catalog/QA</x:v>
      </x:c>
      <x:c r="T174" s="17" t="str">
        <x:v>Reconstructed row-level mapping; original historical Block2 XLSX unavailable.</x:v>
      </x:c>
    </x:row>
    <x:row r="175" ht="26.399999618530273" hidden="0" customHeight="1">
      <x:c r="A175" s="17" t="str">
        <x:v>FP-0174</x:v>
      </x:c>
      <x:c r="B175" s="17" t="str">
        <x:v>FP-0101–0200</x:v>
      </x:c>
      <x:c r="C175" s="17" t="n">
        <x:v>383</x:v>
      </x:c>
      <x:c r="D175" s="17" t="n">
        <x:v>35</x:v>
      </x:c>
      <x:c r="E175" s="17" t="n">
        <x:v>4</x:v>
      </x:c>
      <x:c r="F175" s="17" t="str">
        <x:v>$[34].questions[3]</x:v>
      </x:c>
      <x:c r="G175" s="17" t="str">
        <x:v>Apg 9,27</x:v>
      </x:c>
      <x:c r="H175" s="17" t="str">
        <x:v>Was berichtete Barnabas den Aposteln über Saulus?</x:v>
      </x:c>
      <x:c r="I175" s="17" t="str">
        <x:v>Dass Saulus den Herrn gesehen und in Damaskus frei im Namen Jesu geredet hatte</x:v>
      </x:c>
      <x:c r="J175" s="17" t="str">
        <x:v>FAITHPATH_ONLY</x:v>
      </x:c>
      <x:c r="K175" s="17" t="str"/>
      <x:c r="L175" s="17" t="str"/>
      <x:c r="M175" s="17" t="str"/>
      <x:c r="N175" s="17" t="str"/>
      <x:c r="O175" s="17" t="str"/>
      <x:c r="P175" s="17" t="str"/>
      <x:c r="Q175" s="17" t="str">
        <x:v>NO_SOURCE_EQUIVALENT_SELECTED</x:v>
      </x:c>
      <x:c r="R175" s="17" t="str">
        <x:v>N/A</x:v>
      </x:c>
      <x:c r="S175" s="17" t="str">
        <x:v>FaithPath final QA aggregate (57 SINNGLEICH / 42 FAITHPATH_ONLY / 1 KONFLIKT) + Nachlese final catalog/QA</x:v>
      </x:c>
      <x:c r="T175" s="17" t="str">
        <x:v>Kein N-Mapping in reconstructed final block allocation.</x:v>
      </x:c>
    </x:row>
    <x:row r="176" ht="26.399999618530273" hidden="0" customHeight="1">
      <x:c r="A176" s="17" t="str">
        <x:v>FP-0175</x:v>
      </x:c>
      <x:c r="B176" s="17" t="str">
        <x:v>FP-0101–0200</x:v>
      </x:c>
      <x:c r="C176" s="17" t="n">
        <x:v>383</x:v>
      </x:c>
      <x:c r="D176" s="17" t="n">
        <x:v>35</x:v>
      </x:c>
      <x:c r="E176" s="17" t="n">
        <x:v>5</x:v>
      </x:c>
      <x:c r="F176" s="17" t="str">
        <x:v>$[34].questions[4]</x:v>
      </x:c>
      <x:c r="G176" s="17" t="str">
        <x:v>Apg 9,30-31</x:v>
      </x:c>
      <x:c r="H176" s="17" t="str">
        <x:v>Wie beschreibt der Text den Zustand der Gemeinde nach Saulus' Abreise nach Tarsus?</x:v>
      </x:c>
      <x:c r="I176" s="17" t="str">
        <x:v>Sie hatte Frieden, baute sich auf und wurde mit Trost des Heiligen Geistes erfüllt</x:v>
      </x:c>
      <x:c r="J176" s="17" t="str">
        <x:v>KONFLIKT</x:v>
      </x:c>
      <x:c r="K176" s="17" t="str">
        <x:v>N-1738</x:v>
      </x:c>
      <x:c r="L176" s="17" t="str">
        <x:v>Apostelgeschichte 9,31</x:v>
      </x:c>
      <x:c r="M176" s="17" t="str">
        <x:v>Was hatte die Gemeinde danach?</x:v>
      </x:c>
      <x:c r="N176" s="17" t="str">
        <x:v>So hatte nun die ganze Gemeinde Frieden (Apostelgeschichte 9,31)</x:v>
      </x:c>
      <x:c r="O176" s="17" t="str">
        <x:v>Im Korbe die Mauer hinab</x:v>
      </x:c>
      <x:c r="P176" s="17" t="str">
        <x:v>Apostelgeschichte 9,20–31</x:v>
      </x:c>
      <x:c r="Q176" s="17" t="str">
        <x:v>RECONSTRUCTED_AGGREGATE_CONSTRAINED</x:v>
      </x:c>
      <x:c r="R176" s="17" t="str">
        <x:v>HIGH</x:v>
      </x:c>
      <x:c r="S176" s="17" t="str">
        <x:v>FaithPath final QA aggregate (57 SINNGLEICH / 42 FAITHPATH_ONLY / 1 KONFLIKT) + Nachlese final catalog/QA</x:v>
      </x:c>
      <x:c r="T176" s="17" t="str">
        <x:v>Reconstructed row-level mapping; original historical Block2 XLSX unavailable.</x:v>
      </x:c>
    </x:row>
    <x:row r="177" ht="26.399999618530273" hidden="0" customHeight="1">
      <x:c r="A177" s="17" t="str">
        <x:v>FP-0176</x:v>
      </x:c>
      <x:c r="B177" s="17" t="str">
        <x:v>FP-0101–0200</x:v>
      </x:c>
      <x:c r="C177" s="17" t="n">
        <x:v>384</x:v>
      </x:c>
      <x:c r="D177" s="17" t="n">
        <x:v>36</x:v>
      </x:c>
      <x:c r="E177" s="17" t="n">
        <x:v>1</x:v>
      </x:c>
      <x:c r="F177" s="17" t="str">
        <x:v>$[35].questions[0]</x:v>
      </x:c>
      <x:c r="G177" s="17" t="str">
        <x:v>Apg 9,33</x:v>
      </x:c>
      <x:c r="H177" s="17" t="str">
        <x:v>Wie hieß der Mann, den Petrus in Lydda fand?</x:v>
      </x:c>
      <x:c r="I177" s="17" t="str">
        <x:v>Äneas</x:v>
      </x:c>
      <x:c r="J177" s="17" t="str">
        <x:v>FAITHPATH_ONLY</x:v>
      </x:c>
      <x:c r="K177" s="17" t="str"/>
      <x:c r="L177" s="17" t="str"/>
      <x:c r="M177" s="17" t="str"/>
      <x:c r="N177" s="17" t="str"/>
      <x:c r="O177" s="17" t="str"/>
      <x:c r="P177" s="17" t="str"/>
      <x:c r="Q177" s="17" t="str">
        <x:v>NO_SOURCE_EQUIVALENT_SELECTED</x:v>
      </x:c>
      <x:c r="R177" s="17" t="str">
        <x:v>N/A</x:v>
      </x:c>
      <x:c r="S177" s="17" t="str">
        <x:v>FaithPath final QA aggregate (57 SINNGLEICH / 42 FAITHPATH_ONLY / 1 KONFLIKT) + Nachlese final catalog/QA</x:v>
      </x:c>
      <x:c r="T177" s="17" t="str">
        <x:v>Kein N-Mapping in reconstructed final block allocation.</x:v>
      </x:c>
    </x:row>
    <x:row r="178" ht="26.399999618530273" hidden="0" customHeight="1">
      <x:c r="A178" s="17" t="str">
        <x:v>FP-0177</x:v>
      </x:c>
      <x:c r="B178" s="17" t="str">
        <x:v>FP-0101–0200</x:v>
      </x:c>
      <x:c r="C178" s="17" t="n">
        <x:v>384</x:v>
      </x:c>
      <x:c r="D178" s="17" t="n">
        <x:v>36</x:v>
      </x:c>
      <x:c r="E178" s="17" t="n">
        <x:v>2</x:v>
      </x:c>
      <x:c r="F178" s="17" t="str">
        <x:v>$[35].questions[1]</x:v>
      </x:c>
      <x:c r="G178" s="17" t="str">
        <x:v>Apg 9,33</x:v>
      </x:c>
      <x:c r="H178" s="17" t="str">
        <x:v>Wie lange hatte Äneas auf dem Bett gelegen?</x:v>
      </x:c>
      <x:c r="I178" s="17" t="str">
        <x:v>Acht Jahre</x:v>
      </x:c>
      <x:c r="J178" s="17" t="str">
        <x:v>SINNGLEICH</x:v>
      </x:c>
      <x:c r="K178" s="17" t="str">
        <x:v>N-1739</x:v>
      </x:c>
      <x:c r="L178" s="17" t="str">
        <x:v>Apostelgeschichte 9,33</x:v>
      </x:c>
      <x:c r="M178" s="17" t="str">
        <x:v>Wie lange lag Äneas gichtbrüchig?</x:v>
      </x:c>
      <x:c r="N178" s="17" t="str">
        <x:v>Acht Jahre lang auf dem Bette (Apostelgeschichte 9,33)</x:v>
      </x:c>
      <x:c r="O178" s="17" t="str">
        <x:v>Tabea, stehe auf</x:v>
      </x:c>
      <x:c r="P178" s="17" t="str">
        <x:v>Apostelgeschichte 9,32–43</x:v>
      </x:c>
      <x:c r="Q178" s="17" t="str">
        <x:v>RECONSTRUCTED_AGGREGATE_CONSTRAINED</x:v>
      </x:c>
      <x:c r="R178" s="17" t="str">
        <x:v>HIGH</x:v>
      </x:c>
      <x:c r="S178" s="17" t="str">
        <x:v>FaithPath final QA aggregate (57 SINNGLEICH / 42 FAITHPATH_ONLY / 1 KONFLIKT) + Nachlese final catalog/QA</x:v>
      </x:c>
      <x:c r="T178" s="17" t="str">
        <x:v>Reconstructed row-level mapping; original historical Block2 XLSX unavailable.</x:v>
      </x:c>
    </x:row>
    <x:row r="179" ht="26.399999618530273" hidden="0" customHeight="1">
      <x:c r="A179" s="17" t="str">
        <x:v>FP-0178</x:v>
      </x:c>
      <x:c r="B179" s="17" t="str">
        <x:v>FP-0101–0200</x:v>
      </x:c>
      <x:c r="C179" s="17" t="n">
        <x:v>384</x:v>
      </x:c>
      <x:c r="D179" s="17" t="n">
        <x:v>36</x:v>
      </x:c>
      <x:c r="E179" s="17" t="n">
        <x:v>3</x:v>
      </x:c>
      <x:c r="F179" s="17" t="str">
        <x:v>$[35].questions[2]</x:v>
      </x:c>
      <x:c r="G179" s="17" t="str">
        <x:v>Apg 9,34</x:v>
      </x:c>
      <x:c r="H179" s="17" t="str">
        <x:v>Wem schreibt Petrus die Heilung des Äneas zu?</x:v>
      </x:c>
      <x:c r="I179" s="17" t="str">
        <x:v>Jesus Christus</x:v>
      </x:c>
      <x:c r="J179" s="17" t="str">
        <x:v>SINNGLEICH</x:v>
      </x:c>
      <x:c r="K179" s="17" t="str">
        <x:v>N-1740</x:v>
      </x:c>
      <x:c r="L179" s="17" t="str">
        <x:v>Apostelgeschichte 9,34</x:v>
      </x:c>
      <x:c r="M179" s="17" t="str">
        <x:v>Was sagt Petrus zu Äneas?</x:v>
      </x:c>
      <x:c r="N179" s="17" t="str">
        <x:v>Äneas, Jesus Christus macht dich gesund (Apostelgeschichte 9,34)</x:v>
      </x:c>
      <x:c r="O179" s="17" t="str">
        <x:v>Tabea, stehe auf</x:v>
      </x:c>
      <x:c r="P179" s="17" t="str">
        <x:v>Apostelgeschichte 9,32–43</x:v>
      </x:c>
      <x:c r="Q179" s="17" t="str">
        <x:v>RECONSTRUCTED_AGGREGATE_CONSTRAINED</x:v>
      </x:c>
      <x:c r="R179" s="17" t="str">
        <x:v>MEDIUM</x:v>
      </x:c>
      <x:c r="S179" s="17" t="str">
        <x:v>FaithPath final QA aggregate (57 SINNGLEICH / 42 FAITHPATH_ONLY / 1 KONFLIKT) + Nachlese final catalog/QA</x:v>
      </x:c>
      <x:c r="T179" s="17" t="str">
        <x:v>Reconstructed row-level mapping; original historical Block2 XLSX unavailable.</x:v>
      </x:c>
    </x:row>
    <x:row r="180" ht="26.399999618530273" hidden="0" customHeight="1">
      <x:c r="A180" s="17" t="str">
        <x:v>FP-0179</x:v>
      </x:c>
      <x:c r="B180" s="17" t="str">
        <x:v>FP-0101–0200</x:v>
      </x:c>
      <x:c r="C180" s="17" t="n">
        <x:v>384</x:v>
      </x:c>
      <x:c r="D180" s="17" t="n">
        <x:v>36</x:v>
      </x:c>
      <x:c r="E180" s="17" t="n">
        <x:v>4</x:v>
      </x:c>
      <x:c r="F180" s="17" t="str">
        <x:v>$[35].questions[3]</x:v>
      </x:c>
      <x:c r="G180" s="17" t="str">
        <x:v>Apg 9,34</x:v>
      </x:c>
      <x:c r="H180" s="17" t="str">
        <x:v>Welche unmittelbare Anweisung gab Petrus Äneas nach der Heilungszusage?</x:v>
      </x:c>
      <x:c r="I180" s="17" t="str">
        <x:v>Er sollte aufstehen und sich selbst das Bett bereiten</x:v>
      </x:c>
      <x:c r="J180" s="17" t="str">
        <x:v>SINNGLEICH</x:v>
      </x:c>
      <x:c r="K180" s="17" t="str">
        <x:v>N-1740</x:v>
      </x:c>
      <x:c r="L180" s="17" t="str">
        <x:v>Apostelgeschichte 9,34</x:v>
      </x:c>
      <x:c r="M180" s="17" t="str">
        <x:v>Was sagt Petrus zu Äneas?</x:v>
      </x:c>
      <x:c r="N180" s="17" t="str">
        <x:v>Äneas, Jesus Christus macht dich gesund (Apostelgeschichte 9,34)</x:v>
      </x:c>
      <x:c r="O180" s="17" t="str">
        <x:v>Tabea, stehe auf</x:v>
      </x:c>
      <x:c r="P180" s="17" t="str">
        <x:v>Apostelgeschichte 9,32–43</x:v>
      </x:c>
      <x:c r="Q180" s="17" t="str">
        <x:v>RECONSTRUCTED_AGGREGATE_CONSTRAINED</x:v>
      </x:c>
      <x:c r="R180" s="17" t="str">
        <x:v>MEDIUM</x:v>
      </x:c>
      <x:c r="S180" s="17" t="str">
        <x:v>FaithPath final QA aggregate (57 SINNGLEICH / 42 FAITHPATH_ONLY / 1 KONFLIKT) + Nachlese final catalog/QA</x:v>
      </x:c>
      <x:c r="T180" s="17" t="str">
        <x:v>Reconstructed row-level mapping; original historical Block2 XLSX unavailable.</x:v>
      </x:c>
    </x:row>
    <x:row r="181" ht="26.399999618530273" hidden="0" customHeight="1">
      <x:c r="A181" s="17" t="str">
        <x:v>FP-0180</x:v>
      </x:c>
      <x:c r="B181" s="17" t="str">
        <x:v>FP-0101–0200</x:v>
      </x:c>
      <x:c r="C181" s="17" t="n">
        <x:v>384</x:v>
      </x:c>
      <x:c r="D181" s="17" t="n">
        <x:v>36</x:v>
      </x:c>
      <x:c r="E181" s="17" t="n">
        <x:v>5</x:v>
      </x:c>
      <x:c r="F181" s="17" t="str">
        <x:v>$[35].questions[4]</x:v>
      </x:c>
      <x:c r="G181" s="17" t="str">
        <x:v>Apg 9,35</x:v>
      </x:c>
      <x:c r="H181" s="17" t="str">
        <x:v>Welche Wirkung hatte die Heilung laut Text auf Menschen in Lydda und Saron?</x:v>
      </x:c>
      <x:c r="I181" s="17" t="str">
        <x:v>Sie bekehrten sich zum Herrn</x:v>
      </x:c>
      <x:c r="J181" s="17" t="str">
        <x:v>FAITHPATH_ONLY</x:v>
      </x:c>
      <x:c r="K181" s="17" t="str"/>
      <x:c r="L181" s="17" t="str"/>
      <x:c r="M181" s="17" t="str"/>
      <x:c r="N181" s="17" t="str"/>
      <x:c r="O181" s="17" t="str"/>
      <x:c r="P181" s="17" t="str"/>
      <x:c r="Q181" s="17" t="str">
        <x:v>NO_SOURCE_EQUIVALENT_SELECTED</x:v>
      </x:c>
      <x:c r="R181" s="17" t="str">
        <x:v>N/A</x:v>
      </x:c>
      <x:c r="S181" s="17" t="str">
        <x:v>FaithPath final QA aggregate (57 SINNGLEICH / 42 FAITHPATH_ONLY / 1 KONFLIKT) + Nachlese final catalog/QA</x:v>
      </x:c>
      <x:c r="T181" s="17" t="str">
        <x:v>Kein N-Mapping in reconstructed final block allocation.</x:v>
      </x:c>
    </x:row>
    <x:row r="182" ht="26.399999618530273" hidden="0" customHeight="1">
      <x:c r="A182" s="17" t="str">
        <x:v>FP-0181</x:v>
      </x:c>
      <x:c r="B182" s="17" t="str">
        <x:v>FP-0101–0200</x:v>
      </x:c>
      <x:c r="C182" s="17" t="n">
        <x:v>385</x:v>
      </x:c>
      <x:c r="D182" s="17" t="n">
        <x:v>37</x:v>
      </x:c>
      <x:c r="E182" s="17" t="n">
        <x:v>1</x:v>
      </x:c>
      <x:c r="F182" s="17" t="str">
        <x:v>$[36].questions[0]</x:v>
      </x:c>
      <x:c r="G182" s="17" t="str">
        <x:v>Apg 9,36-37</x:v>
      </x:c>
      <x:c r="H182" s="17" t="str">
        <x:v>Wie hieß die Jüngerin in Joppe, die starb?</x:v>
      </x:c>
      <x:c r="I182" s="17" t="str">
        <x:v>Tabea</x:v>
      </x:c>
      <x:c r="J182" s="17" t="str">
        <x:v>FAITHPATH_ONLY</x:v>
      </x:c>
      <x:c r="K182" s="17" t="str"/>
      <x:c r="L182" s="17" t="str"/>
      <x:c r="M182" s="17" t="str"/>
      <x:c r="N182" s="17" t="str"/>
      <x:c r="O182" s="17" t="str"/>
      <x:c r="P182" s="17" t="str"/>
      <x:c r="Q182" s="17" t="str">
        <x:v>NO_SOURCE_EQUIVALENT_SELECTED</x:v>
      </x:c>
      <x:c r="R182" s="17" t="str">
        <x:v>N/A</x:v>
      </x:c>
      <x:c r="S182" s="17" t="str">
        <x:v>FaithPath final QA aggregate (57 SINNGLEICH / 42 FAITHPATH_ONLY / 1 KONFLIKT) + Nachlese final catalog/QA</x:v>
      </x:c>
      <x:c r="T182" s="17" t="str">
        <x:v>Kein N-Mapping in reconstructed final block allocation.</x:v>
      </x:c>
    </x:row>
    <x:row r="183" ht="26.399999618530273" hidden="0" customHeight="1">
      <x:c r="A183" s="17" t="str">
        <x:v>FP-0182</x:v>
      </x:c>
      <x:c r="B183" s="17" t="str">
        <x:v>FP-0101–0200</x:v>
      </x:c>
      <x:c r="C183" s="17" t="n">
        <x:v>385</x:v>
      </x:c>
      <x:c r="D183" s="17" t="n">
        <x:v>37</x:v>
      </x:c>
      <x:c r="E183" s="17" t="n">
        <x:v>2</x:v>
      </x:c>
      <x:c r="F183" s="17" t="str">
        <x:v>$[36].questions[1]</x:v>
      </x:c>
      <x:c r="G183" s="17" t="str">
        <x:v>Apg 9,36</x:v>
      </x:c>
      <x:c r="H183" s="17" t="str">
        <x:v>Womit wird Tabeas Leben vor ihrem Tod besonders beschrieben?</x:v>
      </x:c>
      <x:c r="I183" s="17" t="str">
        <x:v>Mit guten Werken und Almosen</x:v>
      </x:c>
      <x:c r="J183" s="17" t="str">
        <x:v>FAITHPATH_ONLY</x:v>
      </x:c>
      <x:c r="K183" s="17" t="str"/>
      <x:c r="L183" s="17" t="str"/>
      <x:c r="M183" s="17" t="str"/>
      <x:c r="N183" s="17" t="str"/>
      <x:c r="O183" s="17" t="str"/>
      <x:c r="P183" s="17" t="str"/>
      <x:c r="Q183" s="17" t="str">
        <x:v>NO_SOURCE_EQUIVALENT_SELECTED</x:v>
      </x:c>
      <x:c r="R183" s="17" t="str">
        <x:v>N/A</x:v>
      </x:c>
      <x:c r="S183" s="17" t="str">
        <x:v>FaithPath final QA aggregate (57 SINNGLEICH / 42 FAITHPATH_ONLY / 1 KONFLIKT) + Nachlese final catalog/QA</x:v>
      </x:c>
      <x:c r="T183" s="17" t="str">
        <x:v>Kein N-Mapping in reconstructed final block allocation.</x:v>
      </x:c>
    </x:row>
    <x:row r="184" ht="26.399999618530273" hidden="0" customHeight="1">
      <x:c r="A184" s="17" t="str">
        <x:v>FP-0183</x:v>
      </x:c>
      <x:c r="B184" s="17" t="str">
        <x:v>FP-0101–0200</x:v>
      </x:c>
      <x:c r="C184" s="17" t="n">
        <x:v>385</x:v>
      </x:c>
      <x:c r="D184" s="17" t="n">
        <x:v>37</x:v>
      </x:c>
      <x:c r="E184" s="17" t="n">
        <x:v>3</x:v>
      </x:c>
      <x:c r="F184" s="17" t="str">
        <x:v>$[36].questions[2]</x:v>
      </x:c>
      <x:c r="G184" s="17" t="str">
        <x:v>Apg 9,39</x:v>
      </x:c>
      <x:c r="H184" s="17" t="str">
        <x:v>Was zeigten die Witwen Petrus, als er gekommen war?</x:v>
      </x:c>
      <x:c r="I184" s="17" t="str">
        <x:v>Röcke und Kleider, die Tabea gemacht hatte</x:v>
      </x:c>
      <x:c r="J184" s="17" t="str">
        <x:v>SINNGLEICH</x:v>
      </x:c>
      <x:c r="K184" s="17" t="str">
        <x:v>N-1742</x:v>
      </x:c>
      <x:c r="L184" s="17" t="str"/>
      <x:c r="M184" s="17" t="str">
        <x:v>Was taten die Witwen, als Petrus kam?</x:v>
      </x:c>
      <x:c r="N184" s="17" t="str">
        <x:v>traten um ihn alle Witwen, weinten und zeigten ihm die Röcke</x:v>
      </x:c>
      <x:c r="O184" s="17" t="str">
        <x:v>Tabea, stehe auf</x:v>
      </x:c>
      <x:c r="P184" s="17" t="str">
        <x:v>Apostelgeschichte 9,32–43</x:v>
      </x:c>
      <x:c r="Q184" s="17" t="str">
        <x:v>RECONSTRUCTED_AGGREGATE_CONSTRAINED</x:v>
      </x:c>
      <x:c r="R184" s="17" t="str">
        <x:v>MEDIUM</x:v>
      </x:c>
      <x:c r="S184" s="17" t="str">
        <x:v>FaithPath final QA aggregate (57 SINNGLEICH / 42 FAITHPATH_ONLY / 1 KONFLIKT) + Nachlese final catalog/QA</x:v>
      </x:c>
      <x:c r="T184" s="17" t="str">
        <x:v>Reconstructed row-level mapping; original historical Block2 XLSX unavailable.</x:v>
      </x:c>
    </x:row>
    <x:row r="185" ht="26.399999618530273" hidden="0" customHeight="1">
      <x:c r="A185" s="17" t="str">
        <x:v>FP-0184</x:v>
      </x:c>
      <x:c r="B185" s="17" t="str">
        <x:v>FP-0101–0200</x:v>
      </x:c>
      <x:c r="C185" s="17" t="n">
        <x:v>385</x:v>
      </x:c>
      <x:c r="D185" s="17" t="n">
        <x:v>37</x:v>
      </x:c>
      <x:c r="E185" s="17" t="n">
        <x:v>4</x:v>
      </x:c>
      <x:c r="F185" s="17" t="str">
        <x:v>$[36].questions[3]</x:v>
      </x:c>
      <x:c r="G185" s="17" t="str">
        <x:v>Apg 9,40</x:v>
      </x:c>
      <x:c r="H185" s="17" t="str">
        <x:v>Was tat Petrus unmittelbar bevor er zu Tabea sagte: 'Stehe auf'?</x:v>
      </x:c>
      <x:c r="I185" s="17" t="str">
        <x:v>Er kniete nieder und betete</x:v>
      </x:c>
      <x:c r="J185" s="17" t="str">
        <x:v>FAITHPATH_ONLY</x:v>
      </x:c>
      <x:c r="K185" s="17" t="str"/>
      <x:c r="L185" s="17" t="str"/>
      <x:c r="M185" s="17" t="str"/>
      <x:c r="N185" s="17" t="str"/>
      <x:c r="O185" s="17" t="str"/>
      <x:c r="P185" s="17" t="str"/>
      <x:c r="Q185" s="17" t="str">
        <x:v>NO_SOURCE_EQUIVALENT_SELECTED</x:v>
      </x:c>
      <x:c r="R185" s="17" t="str">
        <x:v>N/A</x:v>
      </x:c>
      <x:c r="S185" s="17" t="str">
        <x:v>FaithPath final QA aggregate (57 SINNGLEICH / 42 FAITHPATH_ONLY / 1 KONFLIKT) + Nachlese final catalog/QA</x:v>
      </x:c>
      <x:c r="T185" s="17" t="str">
        <x:v>Kein N-Mapping in reconstructed final block allocation.</x:v>
      </x:c>
    </x:row>
    <x:row r="186" ht="26.399999618530273" hidden="0" customHeight="1">
      <x:c r="A186" s="17" t="str">
        <x:v>FP-0185</x:v>
      </x:c>
      <x:c r="B186" s="17" t="str">
        <x:v>FP-0101–0200</x:v>
      </x:c>
      <x:c r="C186" s="17" t="n">
        <x:v>385</x:v>
      </x:c>
      <x:c r="D186" s="17" t="n">
        <x:v>37</x:v>
      </x:c>
      <x:c r="E186" s="17" t="n">
        <x:v>5</x:v>
      </x:c>
      <x:c r="F186" s="17" t="str">
        <x:v>$[36].questions[4]</x:v>
      </x:c>
      <x:c r="G186" s="17" t="str">
        <x:v>Apg 9,42</x:v>
      </x:c>
      <x:c r="H186" s="17" t="str">
        <x:v>Welche Folge nennt der Text nach Tabeas Wiederherstellung?</x:v>
      </x:c>
      <x:c r="I186" s="17" t="str">
        <x:v>Viele in Joppe wurden gläubig an den Herrn</x:v>
      </x:c>
      <x:c r="J186" s="17" t="str">
        <x:v>FAITHPATH_ONLY</x:v>
      </x:c>
      <x:c r="K186" s="17" t="str"/>
      <x:c r="L186" s="17" t="str"/>
      <x:c r="M186" s="17" t="str"/>
      <x:c r="N186" s="17" t="str"/>
      <x:c r="O186" s="17" t="str"/>
      <x:c r="P186" s="17" t="str"/>
      <x:c r="Q186" s="17" t="str">
        <x:v>NO_SOURCE_EQUIVALENT_SELECTED</x:v>
      </x:c>
      <x:c r="R186" s="17" t="str">
        <x:v>N/A</x:v>
      </x:c>
      <x:c r="S186" s="17" t="str">
        <x:v>FaithPath final QA aggregate (57 SINNGLEICH / 42 FAITHPATH_ONLY / 1 KONFLIKT) + Nachlese final catalog/QA</x:v>
      </x:c>
      <x:c r="T186" s="17" t="str">
        <x:v>Kein N-Mapping in reconstructed final block allocation.</x:v>
      </x:c>
    </x:row>
    <x:row r="187" ht="26.399999618530273" hidden="0" customHeight="1">
      <x:c r="A187" s="17" t="str">
        <x:v>FP-0186</x:v>
      </x:c>
      <x:c r="B187" s="17" t="str">
        <x:v>FP-0101–0200</x:v>
      </x:c>
      <x:c r="C187" s="17" t="n">
        <x:v>386</x:v>
      </x:c>
      <x:c r="D187" s="17" t="n">
        <x:v>38</x:v>
      </x:c>
      <x:c r="E187" s="17" t="n">
        <x:v>1</x:v>
      </x:c>
      <x:c r="F187" s="17" t="str">
        <x:v>$[37].questions[0]</x:v>
      </x:c>
      <x:c r="G187" s="17" t="str">
        <x:v>Apg 10,1</x:v>
      </x:c>
      <x:c r="H187" s="17" t="str">
        <x:v>Welchen Beruf bzw. Rang hatte Kornelius?</x:v>
      </x:c>
      <x:c r="I187" s="17" t="str">
        <x:v>Hauptmann</x:v>
      </x:c>
      <x:c r="J187" s="17" t="str">
        <x:v>SINNGLEICH</x:v>
      </x:c>
      <x:c r="K187" s="17" t="str">
        <x:v>N-1745</x:v>
      </x:c>
      <x:c r="L187" s="17" t="str">
        <x:v>Apostelgeschichte 10,1</x:v>
      </x:c>
      <x:c r="M187" s="17" t="str">
        <x:v>Wer war Kornelius?</x:v>
      </x:c>
      <x:c r="N187" s="17" t="str">
        <x:v>Es war aber ein Mann zu Cäsarea, mit Namen (Apostelgeschichte 10,1)</x:v>
      </x:c>
      <x:c r="O187" s="17" t="str">
        <x:v>Was Gott gereinigt hat</x:v>
      </x:c>
      <x:c r="P187" s="17" t="str">
        <x:v>Apostelgeschichte 10,1–48</x:v>
      </x:c>
      <x:c r="Q187" s="17" t="str">
        <x:v>RECONSTRUCTED_AGGREGATE_CONSTRAINED</x:v>
      </x:c>
      <x:c r="R187" s="17" t="str">
        <x:v>MEDIUM</x:v>
      </x:c>
      <x:c r="S187" s="17" t="str">
        <x:v>FaithPath final QA aggregate (57 SINNGLEICH / 42 FAITHPATH_ONLY / 1 KONFLIKT) + Nachlese final catalog/QA</x:v>
      </x:c>
      <x:c r="T187" s="17" t="str">
        <x:v>Reconstructed row-level mapping; original historical Block2 XLSX unavailable.</x:v>
      </x:c>
    </x:row>
    <x:row r="188" ht="26.399999618530273" hidden="0" customHeight="1">
      <x:c r="A188" s="17" t="str">
        <x:v>FP-0187</x:v>
      </x:c>
      <x:c r="B188" s="17" t="str">
        <x:v>FP-0101–0200</x:v>
      </x:c>
      <x:c r="C188" s="17" t="n">
        <x:v>386</x:v>
      </x:c>
      <x:c r="D188" s="17" t="n">
        <x:v>38</x:v>
      </x:c>
      <x:c r="E188" s="17" t="n">
        <x:v>2</x:v>
      </x:c>
      <x:c r="F188" s="17" t="str">
        <x:v>$[37].questions[1]</x:v>
      </x:c>
      <x:c r="G188" s="17" t="str">
        <x:v>Apg 10,3</x:v>
      </x:c>
      <x:c r="H188" s="17" t="str">
        <x:v>Zu welcher Tagesstunde sah Kornelius den Engel in einem Gesicht?</x:v>
      </x:c>
      <x:c r="I188" s="17" t="str">
        <x:v>Um die neunte Stunde</x:v>
      </x:c>
      <x:c r="J188" s="17" t="str">
        <x:v>SINNGLEICH</x:v>
      </x:c>
      <x:c r="K188" s="17" t="str">
        <x:v>N-1746</x:v>
      </x:c>
      <x:c r="L188" s="17" t="str">
        <x:v>Apostelgeschichte 10,3</x:v>
      </x:c>
      <x:c r="M188" s="17" t="str">
        <x:v>Um welche Stunde sah er den Engel?</x:v>
      </x:c>
      <x:c r="N188" s="17" t="str">
        <x:v>Um die neunte Stunde am Tage (Apostelgeschichte 10,3)</x:v>
      </x:c>
      <x:c r="O188" s="17" t="str">
        <x:v>Was Gott gereinigt hat</x:v>
      </x:c>
      <x:c r="P188" s="17" t="str">
        <x:v>Apostelgeschichte 10,1–48</x:v>
      </x:c>
      <x:c r="Q188" s="17" t="str">
        <x:v>RECONSTRUCTED_AGGREGATE_CONSTRAINED</x:v>
      </x:c>
      <x:c r="R188" s="17" t="str">
        <x:v>MEDIUM</x:v>
      </x:c>
      <x:c r="S188" s="17" t="str">
        <x:v>FaithPath final QA aggregate (57 SINNGLEICH / 42 FAITHPATH_ONLY / 1 KONFLIKT) + Nachlese final catalog/QA</x:v>
      </x:c>
      <x:c r="T188" s="17" t="str">
        <x:v>Reconstructed row-level mapping; original historical Block2 XLSX unavailable.</x:v>
      </x:c>
    </x:row>
    <x:row r="189" ht="26.399999618530273" hidden="0" customHeight="1">
      <x:c r="A189" s="17" t="str">
        <x:v>FP-0188</x:v>
      </x:c>
      <x:c r="B189" s="17" t="str">
        <x:v>FP-0101–0200</x:v>
      </x:c>
      <x:c r="C189" s="17" t="n">
        <x:v>386</x:v>
      </x:c>
      <x:c r="D189" s="17" t="n">
        <x:v>38</x:v>
      </x:c>
      <x:c r="E189" s="17" t="n">
        <x:v>3</x:v>
      </x:c>
      <x:c r="F189" s="17" t="str">
        <x:v>$[37].questions[2]</x:v>
      </x:c>
      <x:c r="G189" s="17" t="str">
        <x:v>Apg 10,4</x:v>
      </x:c>
      <x:c r="H189" s="17" t="str">
        <x:v>Welche beiden Dinge nennt der Engel als vor Gott in Erinnerung gekommen?</x:v>
      </x:c>
      <x:c r="I189" s="17" t="str">
        <x:v>Seine Gebete und seine Almosen</x:v>
      </x:c>
      <x:c r="J189" s="17" t="str">
        <x:v>FAITHPATH_ONLY</x:v>
      </x:c>
      <x:c r="K189" s="17" t="str"/>
      <x:c r="L189" s="17" t="str"/>
      <x:c r="M189" s="17" t="str"/>
      <x:c r="N189" s="17" t="str"/>
      <x:c r="O189" s="17" t="str"/>
      <x:c r="P189" s="17" t="str"/>
      <x:c r="Q189" s="17" t="str">
        <x:v>NO_SOURCE_EQUIVALENT_SELECTED</x:v>
      </x:c>
      <x:c r="R189" s="17" t="str">
        <x:v>N/A</x:v>
      </x:c>
      <x:c r="S189" s="17" t="str">
        <x:v>FaithPath final QA aggregate (57 SINNGLEICH / 42 FAITHPATH_ONLY / 1 KONFLIKT) + Nachlese final catalog/QA</x:v>
      </x:c>
      <x:c r="T189" s="17" t="str">
        <x:v>Kein N-Mapping in reconstructed final block allocation.</x:v>
      </x:c>
    </x:row>
    <x:row r="190" ht="26.399999618530273" hidden="0" customHeight="1">
      <x:c r="A190" s="17" t="str">
        <x:v>FP-0189</x:v>
      </x:c>
      <x:c r="B190" s="17" t="str">
        <x:v>FP-0101–0200</x:v>
      </x:c>
      <x:c r="C190" s="17" t="n">
        <x:v>386</x:v>
      </x:c>
      <x:c r="D190" s="17" t="n">
        <x:v>38</x:v>
      </x:c>
      <x:c r="E190" s="17" t="n">
        <x:v>4</x:v>
      </x:c>
      <x:c r="F190" s="17" t="str">
        <x:v>$[37].questions[3]</x:v>
      </x:c>
      <x:c r="G190" s="17" t="str">
        <x:v>Apg 10,5-6</x:v>
      </x:c>
      <x:c r="H190" s="17" t="str">
        <x:v>Wen sollte Kornelius aus Joppe holen lassen?</x:v>
      </x:c>
      <x:c r="I190" s="17" t="str">
        <x:v>Simon mit dem Zunamen Petrus</x:v>
      </x:c>
      <x:c r="J190" s="17" t="str">
        <x:v>FAITHPATH_ONLY</x:v>
      </x:c>
      <x:c r="K190" s="17" t="str"/>
      <x:c r="L190" s="17" t="str"/>
      <x:c r="M190" s="17" t="str"/>
      <x:c r="N190" s="17" t="str"/>
      <x:c r="O190" s="17" t="str"/>
      <x:c r="P190" s="17" t="str"/>
      <x:c r="Q190" s="17" t="str">
        <x:v>NO_SOURCE_EQUIVALENT_SELECTED</x:v>
      </x:c>
      <x:c r="R190" s="17" t="str">
        <x:v>N/A</x:v>
      </x:c>
      <x:c r="S190" s="17" t="str">
        <x:v>FaithPath final QA aggregate (57 SINNGLEICH / 42 FAITHPATH_ONLY / 1 KONFLIKT) + Nachlese final catalog/QA</x:v>
      </x:c>
      <x:c r="T190" s="17" t="str">
        <x:v>Kein N-Mapping in reconstructed final block allocation.</x:v>
      </x:c>
    </x:row>
    <x:row r="191" ht="26.399999618530273" hidden="0" customHeight="1">
      <x:c r="A191" s="17" t="str">
        <x:v>FP-0190</x:v>
      </x:c>
      <x:c r="B191" s="17" t="str">
        <x:v>FP-0101–0200</x:v>
      </x:c>
      <x:c r="C191" s="17" t="n">
        <x:v>386</x:v>
      </x:c>
      <x:c r="D191" s="17" t="n">
        <x:v>38</x:v>
      </x:c>
      <x:c r="E191" s="17" t="n">
        <x:v>5</x:v>
      </x:c>
      <x:c r="F191" s="17" t="str">
        <x:v>$[37].questions[4]</x:v>
      </x:c>
      <x:c r="G191" s="17" t="str">
        <x:v>Apg 10,7-8</x:v>
      </x:c>
      <x:c r="H191" s="17" t="str">
        <x:v>Wie setzte Kornelius den Auftrag des Engels praktisch um?</x:v>
      </x:c>
      <x:c r="I191" s="17" t="str">
        <x:v>Er sandte zwei Hausknechte und einen gottesfürchtigen Soldaten nach Joppe</x:v>
      </x:c>
      <x:c r="J191" s="17" t="str">
        <x:v>FAITHPATH_ONLY</x:v>
      </x:c>
      <x:c r="K191" s="17" t="str"/>
      <x:c r="L191" s="17" t="str"/>
      <x:c r="M191" s="17" t="str"/>
      <x:c r="N191" s="17" t="str"/>
      <x:c r="O191" s="17" t="str"/>
      <x:c r="P191" s="17" t="str"/>
      <x:c r="Q191" s="17" t="str">
        <x:v>NO_SOURCE_EQUIVALENT_SELECTED</x:v>
      </x:c>
      <x:c r="R191" s="17" t="str">
        <x:v>N/A</x:v>
      </x:c>
      <x:c r="S191" s="17" t="str">
        <x:v>FaithPath final QA aggregate (57 SINNGLEICH / 42 FAITHPATH_ONLY / 1 KONFLIKT) + Nachlese final catalog/QA</x:v>
      </x:c>
      <x:c r="T191" s="17" t="str">
        <x:v>Kein N-Mapping in reconstructed final block allocation.</x:v>
      </x:c>
    </x:row>
    <x:row r="192" ht="26.399999618530273" hidden="0" customHeight="1">
      <x:c r="A192" s="17" t="str">
        <x:v>FP-0191</x:v>
      </x:c>
      <x:c r="B192" s="17" t="str">
        <x:v>FP-0101–0200</x:v>
      </x:c>
      <x:c r="C192" s="17" t="n">
        <x:v>387</x:v>
      </x:c>
      <x:c r="D192" s="17" t="n">
        <x:v>39</x:v>
      </x:c>
      <x:c r="E192" s="17" t="n">
        <x:v>1</x:v>
      </x:c>
      <x:c r="F192" s="17" t="str">
        <x:v>$[38].questions[0]</x:v>
      </x:c>
      <x:c r="G192" s="17" t="str">
        <x:v>Apg 10,9</x:v>
      </x:c>
      <x:c r="H192" s="17" t="str">
        <x:v>Wo befand sich Petrus, als er betete und die Vision empfing?</x:v>
      </x:c>
      <x:c r="I192" s="17" t="str">
        <x:v>Auf dem Söller eines Hauses</x:v>
      </x:c>
      <x:c r="J192" s="17" t="str">
        <x:v>FAITHPATH_ONLY</x:v>
      </x:c>
      <x:c r="K192" s="17" t="str"/>
      <x:c r="L192" s="17" t="str"/>
      <x:c r="M192" s="17" t="str"/>
      <x:c r="N192" s="17" t="str"/>
      <x:c r="O192" s="17" t="str"/>
      <x:c r="P192" s="17" t="str"/>
      <x:c r="Q192" s="17" t="str">
        <x:v>NO_SOURCE_EQUIVALENT_SELECTED</x:v>
      </x:c>
      <x:c r="R192" s="17" t="str">
        <x:v>N/A</x:v>
      </x:c>
      <x:c r="S192" s="17" t="str">
        <x:v>FaithPath final QA aggregate (57 SINNGLEICH / 42 FAITHPATH_ONLY / 1 KONFLIKT) + Nachlese final catalog/QA</x:v>
      </x:c>
      <x:c r="T192" s="17" t="str">
        <x:v>Kein N-Mapping in reconstructed final block allocation.</x:v>
      </x:c>
    </x:row>
    <x:row r="193" ht="26.399999618530273" hidden="0" customHeight="1">
      <x:c r="A193" s="17" t="str">
        <x:v>FP-0192</x:v>
      </x:c>
      <x:c r="B193" s="17" t="str">
        <x:v>FP-0101–0200</x:v>
      </x:c>
      <x:c r="C193" s="17" t="n">
        <x:v>387</x:v>
      </x:c>
      <x:c r="D193" s="17" t="n">
        <x:v>39</x:v>
      </x:c>
      <x:c r="E193" s="17" t="n">
        <x:v>2</x:v>
      </x:c>
      <x:c r="F193" s="17" t="str">
        <x:v>$[38].questions[1]</x:v>
      </x:c>
      <x:c r="G193" s="17" t="str">
        <x:v>Apg 10,16</x:v>
      </x:c>
      <x:c r="H193" s="17" t="str">
        <x:v>Wie oft wiederholte sich die Vision mit dem Gefäß?</x:v>
      </x:c>
      <x:c r="I193" s="17" t="str">
        <x:v>Dreimal</x:v>
      </x:c>
      <x:c r="J193" s="17" t="str">
        <x:v>FAITHPATH_ONLY</x:v>
      </x:c>
      <x:c r="K193" s="17" t="str"/>
      <x:c r="L193" s="17" t="str"/>
      <x:c r="M193" s="17" t="str"/>
      <x:c r="N193" s="17" t="str"/>
      <x:c r="O193" s="17" t="str"/>
      <x:c r="P193" s="17" t="str"/>
      <x:c r="Q193" s="17" t="str">
        <x:v>NO_SOURCE_EQUIVALENT_SELECTED</x:v>
      </x:c>
      <x:c r="R193" s="17" t="str">
        <x:v>N/A</x:v>
      </x:c>
      <x:c r="S193" s="17" t="str">
        <x:v>FaithPath final QA aggregate (57 SINNGLEICH / 42 FAITHPATH_ONLY / 1 KONFLIKT) + Nachlese final catalog/QA</x:v>
      </x:c>
      <x:c r="T193" s="17" t="str">
        <x:v>Kein N-Mapping in reconstructed final block allocation.</x:v>
      </x:c>
    </x:row>
    <x:row r="194" ht="26.399999618530273" hidden="0" customHeight="1">
      <x:c r="A194" s="17" t="str">
        <x:v>FP-0193</x:v>
      </x:c>
      <x:c r="B194" s="17" t="str">
        <x:v>FP-0101–0200</x:v>
      </x:c>
      <x:c r="C194" s="17" t="n">
        <x:v>387</x:v>
      </x:c>
      <x:c r="D194" s="17" t="n">
        <x:v>39</x:v>
      </x:c>
      <x:c r="E194" s="17" t="n">
        <x:v>3</x:v>
      </x:c>
      <x:c r="F194" s="17" t="str">
        <x:v>$[38].questions[2]</x:v>
      </x:c>
      <x:c r="G194" s="17" t="str">
        <x:v>Apg 10,13-14</x:v>
      </x:c>
      <x:c r="H194" s="17" t="str">
        <x:v>Was antwortete Petrus auf die Aufforderung, zu schlachten und zu essen?</x:v>
      </x:c>
      <x:c r="I194" s="17" t="str">
        <x:v>Er habe noch nie etwas Gemeines oder Unreines gegessen</x:v>
      </x:c>
      <x:c r="J194" s="17" t="str">
        <x:v>FAITHPATH_ONLY</x:v>
      </x:c>
      <x:c r="K194" s="17" t="str"/>
      <x:c r="L194" s="17" t="str"/>
      <x:c r="M194" s="17" t="str"/>
      <x:c r="N194" s="17" t="str"/>
      <x:c r="O194" s="17" t="str"/>
      <x:c r="P194" s="17" t="str"/>
      <x:c r="Q194" s="17" t="str">
        <x:v>NO_SOURCE_EQUIVALENT_SELECTED</x:v>
      </x:c>
      <x:c r="R194" s="17" t="str">
        <x:v>N/A</x:v>
      </x:c>
      <x:c r="S194" s="17" t="str">
        <x:v>FaithPath final QA aggregate (57 SINNGLEICH / 42 FAITHPATH_ONLY / 1 KONFLIKT) + Nachlese final catalog/QA</x:v>
      </x:c>
      <x:c r="T194" s="17" t="str">
        <x:v>Kein N-Mapping in reconstructed final block allocation.</x:v>
      </x:c>
    </x:row>
    <x:row r="195" ht="26.399999618530273" hidden="0" customHeight="1">
      <x:c r="A195" s="17" t="str">
        <x:v>FP-0194</x:v>
      </x:c>
      <x:c r="B195" s="17" t="str">
        <x:v>FP-0101–0200</x:v>
      </x:c>
      <x:c r="C195" s="17" t="n">
        <x:v>387</x:v>
      </x:c>
      <x:c r="D195" s="17" t="n">
        <x:v>39</x:v>
      </x:c>
      <x:c r="E195" s="17" t="n">
        <x:v>4</x:v>
      </x:c>
      <x:c r="F195" s="17" t="str">
        <x:v>$[38].questions[3]</x:v>
      </x:c>
      <x:c r="G195" s="17" t="str">
        <x:v>Apg 10,15</x:v>
      </x:c>
      <x:c r="H195" s="17" t="str">
        <x:v>Welche Antwort erhielt Petrus auf seinen Einwand?</x:v>
      </x:c>
      <x:c r="I195" s="17" t="str">
        <x:v>Was Gott gereinigt hat, soll er nicht gemein nennen</x:v>
      </x:c>
      <x:c r="J195" s="17" t="str">
        <x:v>SINNGLEICH</x:v>
      </x:c>
      <x:c r="K195" s="17" t="str">
        <x:v>N-1748</x:v>
      </x:c>
      <x:c r="L195" s="17" t="str"/>
      <x:c r="M195" s="17" t="str">
        <x:v>Was antwortet die Stimme auf Petrus' Nein?</x:v>
      </x:c>
      <x:c r="N195" s="17" t="str">
        <x:v>Was Gott gereinigt hat, das mache du nicht</x:v>
      </x:c>
      <x:c r="O195" s="17" t="str">
        <x:v>Was Gott gereinigt hat</x:v>
      </x:c>
      <x:c r="P195" s="17" t="str">
        <x:v>Apostelgeschichte 10,1–48</x:v>
      </x:c>
      <x:c r="Q195" s="17" t="str">
        <x:v>RECONSTRUCTED_AGGREGATE_CONSTRAINED</x:v>
      </x:c>
      <x:c r="R195" s="17" t="str">
        <x:v>MEDIUM</x:v>
      </x:c>
      <x:c r="S195" s="17" t="str">
        <x:v>FaithPath final QA aggregate (57 SINNGLEICH / 42 FAITHPATH_ONLY / 1 KONFLIKT) + Nachlese final catalog/QA</x:v>
      </x:c>
      <x:c r="T195" s="17" t="str">
        <x:v>Reconstructed row-level mapping; original historical Block2 XLSX unavailable.</x:v>
      </x:c>
    </x:row>
    <x:row r="196" ht="26.399999618530273" hidden="0" customHeight="1">
      <x:c r="A196" s="17" t="str">
        <x:v>FP-0195</x:v>
      </x:c>
      <x:c r="B196" s="17" t="str">
        <x:v>FP-0101–0200</x:v>
      </x:c>
      <x:c r="C196" s="17" t="n">
        <x:v>387</x:v>
      </x:c>
      <x:c r="D196" s="17" t="n">
        <x:v>39</x:v>
      </x:c>
      <x:c r="E196" s="17" t="n">
        <x:v>5</x:v>
      </x:c>
      <x:c r="F196" s="17" t="str">
        <x:v>$[38].questions[4]</x:v>
      </x:c>
      <x:c r="G196" s="17" t="str">
        <x:v>Apg 10,19-20</x:v>
      </x:c>
      <x:c r="H196" s="17" t="str">
        <x:v>Welche konkrete Handlung verlangte der Geist von Petrus, als die Männer des Kornelius eintrafen?</x:v>
      </x:c>
      <x:c r="I196" s="17" t="str">
        <x:v>Er sollte mit ihnen gehen und nicht zweifeln</x:v>
      </x:c>
      <x:c r="J196" s="17" t="str">
        <x:v>FAITHPATH_ONLY</x:v>
      </x:c>
      <x:c r="K196" s="17" t="str"/>
      <x:c r="L196" s="17" t="str"/>
      <x:c r="M196" s="17" t="str"/>
      <x:c r="N196" s="17" t="str"/>
      <x:c r="O196" s="17" t="str"/>
      <x:c r="P196" s="17" t="str"/>
      <x:c r="Q196" s="17" t="str">
        <x:v>NO_SOURCE_EQUIVALENT_SELECTED</x:v>
      </x:c>
      <x:c r="R196" s="17" t="str">
        <x:v>N/A</x:v>
      </x:c>
      <x:c r="S196" s="17" t="str">
        <x:v>FaithPath final QA aggregate (57 SINNGLEICH / 42 FAITHPATH_ONLY / 1 KONFLIKT) + Nachlese final catalog/QA</x:v>
      </x:c>
      <x:c r="T196" s="17" t="str">
        <x:v>Kein N-Mapping in reconstructed final block allocation.</x:v>
      </x:c>
    </x:row>
    <x:row r="197" ht="26.399999618530273" hidden="0" customHeight="1">
      <x:c r="A197" s="17" t="str">
        <x:v>FP-0196</x:v>
      </x:c>
      <x:c r="B197" s="17" t="str">
        <x:v>FP-0101–0200</x:v>
      </x:c>
      <x:c r="C197" s="17" t="n">
        <x:v>388</x:v>
      </x:c>
      <x:c r="D197" s="17" t="n">
        <x:v>40</x:v>
      </x:c>
      <x:c r="E197" s="17" t="n">
        <x:v>1</x:v>
      </x:c>
      <x:c r="F197" s="17" t="str">
        <x:v>$[39].questions[0]</x:v>
      </x:c>
      <x:c r="G197" s="17" t="str">
        <x:v>Apg 10,24</x:v>
      </x:c>
      <x:c r="H197" s="17" t="str">
        <x:v>In welche Stadt kam Petrus zu Kornelius?</x:v>
      </x:c>
      <x:c r="I197" s="17" t="str">
        <x:v>Cäsarea</x:v>
      </x:c>
      <x:c r="J197" s="17" t="str">
        <x:v>FAITHPATH_ONLY</x:v>
      </x:c>
      <x:c r="K197" s="17" t="str"/>
      <x:c r="L197" s="17" t="str"/>
      <x:c r="M197" s="17" t="str"/>
      <x:c r="N197" s="17" t="str"/>
      <x:c r="O197" s="17" t="str"/>
      <x:c r="P197" s="17" t="str"/>
      <x:c r="Q197" s="17" t="str">
        <x:v>NO_SOURCE_EQUIVALENT_SELECTED</x:v>
      </x:c>
      <x:c r="R197" s="17" t="str">
        <x:v>N/A</x:v>
      </x:c>
      <x:c r="S197" s="17" t="str">
        <x:v>FaithPath final QA aggregate (57 SINNGLEICH / 42 FAITHPATH_ONLY / 1 KONFLIKT) + Nachlese final catalog/QA</x:v>
      </x:c>
      <x:c r="T197" s="17" t="str">
        <x:v>Kein N-Mapping in reconstructed final block allocation.</x:v>
      </x:c>
    </x:row>
    <x:row r="198" ht="26.399999618530273" hidden="0" customHeight="1">
      <x:c r="A198" s="17" t="str">
        <x:v>FP-0197</x:v>
      </x:c>
      <x:c r="B198" s="17" t="str">
        <x:v>FP-0101–0200</x:v>
      </x:c>
      <x:c r="C198" s="17" t="n">
        <x:v>388</x:v>
      </x:c>
      <x:c r="D198" s="17" t="n">
        <x:v>40</x:v>
      </x:c>
      <x:c r="E198" s="17" t="n">
        <x:v>2</x:v>
      </x:c>
      <x:c r="F198" s="17" t="str">
        <x:v>$[39].questions[1]</x:v>
      </x:c>
      <x:c r="G198" s="17" t="str">
        <x:v>Apg 10,24</x:v>
      </x:c>
      <x:c r="H198" s="17" t="str">
        <x:v>Wen hatte Kornelius vor Petrus' Ankunft zusammengerufen?</x:v>
      </x:c>
      <x:c r="I198" s="17" t="str">
        <x:v>Seine Verwandten und Freunde</x:v>
      </x:c>
      <x:c r="J198" s="17" t="str">
        <x:v>FAITHPATH_ONLY</x:v>
      </x:c>
      <x:c r="K198" s="17" t="str"/>
      <x:c r="L198" s="17" t="str"/>
      <x:c r="M198" s="17" t="str"/>
      <x:c r="N198" s="17" t="str"/>
      <x:c r="O198" s="17" t="str"/>
      <x:c r="P198" s="17" t="str"/>
      <x:c r="Q198" s="17" t="str">
        <x:v>NO_SOURCE_EQUIVALENT_SELECTED</x:v>
      </x:c>
      <x:c r="R198" s="17" t="str">
        <x:v>N/A</x:v>
      </x:c>
      <x:c r="S198" s="17" t="str">
        <x:v>FaithPath final QA aggregate (57 SINNGLEICH / 42 FAITHPATH_ONLY / 1 KONFLIKT) + Nachlese final catalog/QA</x:v>
      </x:c>
      <x:c r="T198" s="17" t="str">
        <x:v>Kein N-Mapping in reconstructed final block allocation.</x:v>
      </x:c>
    </x:row>
    <x:row r="199" ht="26.399999618530273" hidden="0" customHeight="1">
      <x:c r="A199" s="17" t="str">
        <x:v>FP-0198</x:v>
      </x:c>
      <x:c r="B199" s="17" t="str">
        <x:v>FP-0101–0200</x:v>
      </x:c>
      <x:c r="C199" s="17" t="n">
        <x:v>388</x:v>
      </x:c>
      <x:c r="D199" s="17" t="n">
        <x:v>40</x:v>
      </x:c>
      <x:c r="E199" s="17" t="n">
        <x:v>3</x:v>
      </x:c>
      <x:c r="F199" s="17" t="str">
        <x:v>$[39].questions[2]</x:v>
      </x:c>
      <x:c r="G199" s="17" t="str">
        <x:v>Apg 10,25-26</x:v>
      </x:c>
      <x:c r="H199" s="17" t="str">
        <x:v>Wie reagierte Petrus, als Kornelius vor ihm niederfiel?</x:v>
      </x:c>
      <x:c r="I199" s="17" t="str">
        <x:v>Er richtete ihn auf und sagte, er sei auch ein Mensch</x:v>
      </x:c>
      <x:c r="J199" s="17" t="str">
        <x:v>FAITHPATH_ONLY</x:v>
      </x:c>
      <x:c r="K199" s="17" t="str"/>
      <x:c r="L199" s="17" t="str"/>
      <x:c r="M199" s="17" t="str"/>
      <x:c r="N199" s="17" t="str"/>
      <x:c r="O199" s="17" t="str"/>
      <x:c r="P199" s="17" t="str"/>
      <x:c r="Q199" s="17" t="str">
        <x:v>NO_SOURCE_EQUIVALENT_SELECTED</x:v>
      </x:c>
      <x:c r="R199" s="17" t="str">
        <x:v>N/A</x:v>
      </x:c>
      <x:c r="S199" s="17" t="str">
        <x:v>FaithPath final QA aggregate (57 SINNGLEICH / 42 FAITHPATH_ONLY / 1 KONFLIKT) + Nachlese final catalog/QA</x:v>
      </x:c>
      <x:c r="T199" s="17" t="str">
        <x:v>Kein N-Mapping in reconstructed final block allocation.</x:v>
      </x:c>
    </x:row>
    <x:row r="200" ht="26.399999618530273" hidden="0" customHeight="1">
      <x:c r="A200" s="17" t="str">
        <x:v>FP-0199</x:v>
      </x:c>
      <x:c r="B200" s="17" t="str">
        <x:v>FP-0101–0200</x:v>
      </x:c>
      <x:c r="C200" s="17" t="n">
        <x:v>388</x:v>
      </x:c>
      <x:c r="D200" s="17" t="n">
        <x:v>40</x:v>
      </x:c>
      <x:c r="E200" s="17" t="n">
        <x:v>4</x:v>
      </x:c>
      <x:c r="F200" s="17" t="str">
        <x:v>$[39].questions[3]</x:v>
      </x:c>
      <x:c r="G200" s="17" t="str">
        <x:v>Apg 10,28</x:v>
      </x:c>
      <x:c r="H200" s="17" t="str">
        <x:v>Welche Einsicht aus seiner Vision formuliert Petrus gegenüber den Versammelten?</x:v>
      </x:c>
      <x:c r="I200" s="17" t="str">
        <x:v>Er solle keinen Menschen gemein oder unrein nennen</x:v>
      </x:c>
      <x:c r="J200" s="17" t="str">
        <x:v>FAITHPATH_ONLY</x:v>
      </x:c>
      <x:c r="K200" s="17" t="str"/>
      <x:c r="L200" s="17" t="str"/>
      <x:c r="M200" s="17" t="str"/>
      <x:c r="N200" s="17" t="str"/>
      <x:c r="O200" s="17" t="str"/>
      <x:c r="P200" s="17" t="str"/>
      <x:c r="Q200" s="17" t="str">
        <x:v>NO_SOURCE_EQUIVALENT_SELECTED</x:v>
      </x:c>
      <x:c r="R200" s="17" t="str">
        <x:v>N/A</x:v>
      </x:c>
      <x:c r="S200" s="17" t="str">
        <x:v>FaithPath final QA aggregate (57 SINNGLEICH / 42 FAITHPATH_ONLY / 1 KONFLIKT) + Nachlese final catalog/QA</x:v>
      </x:c>
      <x:c r="T200" s="17" t="str">
        <x:v>Kein N-Mapping in reconstructed final block allocation.</x:v>
      </x:c>
    </x:row>
    <x:row r="201" ht="26.399999618530273" hidden="0" customHeight="1">
      <x:c r="A201" s="17" t="str">
        <x:v>FP-0200</x:v>
      </x:c>
      <x:c r="B201" s="17" t="str">
        <x:v>FP-0101–0200</x:v>
      </x:c>
      <x:c r="C201" s="17" t="n">
        <x:v>388</x:v>
      </x:c>
      <x:c r="D201" s="17" t="n">
        <x:v>40</x:v>
      </x:c>
      <x:c r="E201" s="17" t="n">
        <x:v>5</x:v>
      </x:c>
      <x:c r="F201" s="17" t="str">
        <x:v>$[39].questions[4]</x:v>
      </x:c>
      <x:c r="G201" s="17" t="str">
        <x:v>Apg 10,33</x:v>
      </x:c>
      <x:c r="H201" s="17" t="str">
        <x:v>Mit welcher Haltung beschreibt Kornelius die versammelte Gruppe vor Petrus?</x:v>
      </x:c>
      <x:c r="I201" s="17" t="str">
        <x:v>Sie seien vor Gott versammelt, um alles zu hören, was Petrus von Gott befohlen sei</x:v>
      </x:c>
      <x:c r="J201" s="17" t="str">
        <x:v>FAITHPATH_ONLY</x:v>
      </x:c>
      <x:c r="K201" s="17" t="str"/>
      <x:c r="L201" s="17" t="str"/>
      <x:c r="M201" s="17" t="str"/>
      <x:c r="N201" s="17" t="str"/>
      <x:c r="O201" s="17" t="str"/>
      <x:c r="P201" s="17" t="str"/>
      <x:c r="Q201" s="17" t="str">
        <x:v>NO_SOURCE_EQUIVALENT_SELECTED</x:v>
      </x:c>
      <x:c r="R201" s="17" t="str">
        <x:v>N/A</x:v>
      </x:c>
      <x:c r="S201" s="17" t="str">
        <x:v>FaithPath final QA aggregate (57 SINNGLEICH / 42 FAITHPATH_ONLY / 1 KONFLIKT) + Nachlese final catalog/QA</x:v>
      </x:c>
      <x:c r="T201" s="17" t="str">
        <x:v>Kein N-Mapping in reconstructed final block allocation.</x:v>
      </x:c>
    </x:row>
    <x:row r="202" ht="26.399999618530273" hidden="0" customHeight="1">
      <x:c r="A202" s="17" t="str">
        <x:v>FP-0201</x:v>
      </x:c>
      <x:c r="B202" s="17" t="str">
        <x:v>FP-0201–0300</x:v>
      </x:c>
      <x:c r="C202" s="17" t="n">
        <x:v>389</x:v>
      </x:c>
      <x:c r="D202" s="17" t="n">
        <x:v>41</x:v>
      </x:c>
      <x:c r="E202" s="17" t="n">
        <x:v>1</x:v>
      </x:c>
      <x:c r="F202" s="17" t="str">
        <x:v>$[40].questions[0]</x:v>
      </x:c>
      <x:c r="G202" s="17" t="str">
        <x:v>Apg 10,34-35</x:v>
      </x:c>
      <x:c r="H202" s="17" t="str">
        <x:v>Welche Erkenntnis spricht Petrus zu Beginn seiner Rede aus?</x:v>
      </x:c>
      <x:c r="I202" s="17" t="str">
        <x:v>Gott sieht die Person nicht an</x:v>
      </x:c>
      <x:c r="J202" s="17" t="str">
        <x:v>SINNGLEICH</x:v>
      </x:c>
      <x:c r="K202" s="17" t="str">
        <x:v>N-1749</x:v>
      </x:c>
      <x:c r="L202" s="17" t="str"/>
      <x:c r="M202" s="17" t="str">
        <x:v>Was erfährt Petrus mit der Wahrheit?</x:v>
      </x:c>
      <x:c r="N202" s="17" t="str">
        <x:v>Nun erfahr ich mit der Wahrheit, dass Gott (Apostelgeschichte</x:v>
      </x:c>
      <x:c r="O202" s="17" t="str">
        <x:v>Was Gott gereinigt hat</x:v>
      </x:c>
      <x:c r="P202" s="17" t="str">
        <x:v>Apostelgeschichte 10,1–48</x:v>
      </x:c>
      <x:c r="Q202" s="17" t="str">
        <x:v>RECONSTRUCTED_AGGREGATE_CONSTRAINED</x:v>
      </x:c>
      <x:c r="R202" s="17" t="str">
        <x:v>HIGH</x:v>
      </x:c>
      <x:c r="S202" s="17" t="str">
        <x:v>FaithPath final QA aggregate (16 SINNGLEICH / 84 FAITHPATH_ONLY) + Nachlese final catalog/QA</x:v>
      </x:c>
      <x:c r="T202" s="17" t="str">
        <x:v>Reconstructed row-level mapping; original historical Block3 XLSX unavailable.</x:v>
      </x:c>
    </x:row>
    <x:row r="203" ht="26.399999618530273" hidden="0" customHeight="1">
      <x:c r="A203" s="17" t="str">
        <x:v>FP-0202</x:v>
      </x:c>
      <x:c r="B203" s="17" t="str">
        <x:v>FP-0201–0300</x:v>
      </x:c>
      <x:c r="C203" s="17" t="n">
        <x:v>389</x:v>
      </x:c>
      <x:c r="D203" s="17" t="n">
        <x:v>41</x:v>
      </x:c>
      <x:c r="E203" s="17" t="n">
        <x:v>2</x:v>
      </x:c>
      <x:c r="F203" s="17" t="str">
        <x:v>$[40].questions[1]</x:v>
      </x:c>
      <x:c r="G203" s="17" t="str">
        <x:v>Apg 10,36</x:v>
      </x:c>
      <x:c r="H203" s="17" t="str">
        <x:v>Durch wen wurde nach Petrus' Rede Frieden verkündigt?</x:v>
      </x:c>
      <x:c r="I203" s="17" t="str">
        <x:v>Durch Jesus Christus</x:v>
      </x:c>
      <x:c r="J203" s="17" t="str">
        <x:v>FAITHPATH_ONLY</x:v>
      </x:c>
      <x:c r="K203" s="17" t="str"/>
      <x:c r="L203" s="17" t="str"/>
      <x:c r="M203" s="17" t="str"/>
      <x:c r="N203" s="17" t="str"/>
      <x:c r="O203" s="17" t="str"/>
      <x:c r="P203" s="17" t="str"/>
      <x:c r="Q203" s="17" t="str">
        <x:v>NO_SOURCE_EQUIVALENT_SELECTED</x:v>
      </x:c>
      <x:c r="R203" s="17" t="str">
        <x:v>N/A</x:v>
      </x:c>
      <x:c r="S203" s="17" t="str">
        <x:v>FaithPath final QA aggregate (16 SINNGLEICH / 84 FAITHPATH_ONLY) + Nachlese final catalog/QA</x:v>
      </x:c>
      <x:c r="T203" s="17" t="str">
        <x:v>Kein N-Mapping in reconstructed final block allocation.</x:v>
      </x:c>
    </x:row>
    <x:row r="204" ht="26.399999618530273" hidden="0" customHeight="1">
      <x:c r="A204" s="17" t="str">
        <x:v>FP-0203</x:v>
      </x:c>
      <x:c r="B204" s="17" t="str">
        <x:v>FP-0201–0300</x:v>
      </x:c>
      <x:c r="C204" s="17" t="n">
        <x:v>389</x:v>
      </x:c>
      <x:c r="D204" s="17" t="n">
        <x:v>41</x:v>
      </x:c>
      <x:c r="E204" s="17" t="n">
        <x:v>3</x:v>
      </x:c>
      <x:c r="F204" s="17" t="str">
        <x:v>$[40].questions[2]</x:v>
      </x:c>
      <x:c r="G204" s="17" t="str">
        <x:v>Apg 10,38</x:v>
      </x:c>
      <x:c r="H204" s="17" t="str">
        <x:v>Womit, so Petrus, hatte Gott Jesus von Nazareth gesalbt?</x:v>
      </x:c>
      <x:c r="I204" s="17" t="str">
        <x:v>Mit Heiligem Geist und Kraft</x:v>
      </x:c>
      <x:c r="J204" s="17" t="str">
        <x:v>FAITHPATH_ONLY</x:v>
      </x:c>
      <x:c r="K204" s="17" t="str"/>
      <x:c r="L204" s="17" t="str"/>
      <x:c r="M204" s="17" t="str"/>
      <x:c r="N204" s="17" t="str"/>
      <x:c r="O204" s="17" t="str"/>
      <x:c r="P204" s="17" t="str"/>
      <x:c r="Q204" s="17" t="str">
        <x:v>NO_SOURCE_EQUIVALENT_SELECTED</x:v>
      </x:c>
      <x:c r="R204" s="17" t="str">
        <x:v>N/A</x:v>
      </x:c>
      <x:c r="S204" s="17" t="str">
        <x:v>FaithPath final QA aggregate (16 SINNGLEICH / 84 FAITHPATH_ONLY) + Nachlese final catalog/QA</x:v>
      </x:c>
      <x:c r="T204" s="17" t="str">
        <x:v>Kein N-Mapping in reconstructed final block allocation.</x:v>
      </x:c>
    </x:row>
    <x:row r="205" ht="26.399999618530273" hidden="0" customHeight="1">
      <x:c r="A205" s="17" t="str">
        <x:v>FP-0204</x:v>
      </x:c>
      <x:c r="B205" s="17" t="str">
        <x:v>FP-0201–0300</x:v>
      </x:c>
      <x:c r="C205" s="17" t="n">
        <x:v>389</x:v>
      </x:c>
      <x:c r="D205" s="17" t="n">
        <x:v>41</x:v>
      </x:c>
      <x:c r="E205" s="17" t="n">
        <x:v>4</x:v>
      </x:c>
      <x:c r="F205" s="17" t="str">
        <x:v>$[40].questions[3]</x:v>
      </x:c>
      <x:c r="G205" s="17" t="str">
        <x:v>Apg 10,40-41</x:v>
      </x:c>
      <x:c r="H205" s="17" t="str">
        <x:v>Was sagt Petrus darüber, wem der auferstandene Jesus erschien?</x:v>
      </x:c>
      <x:c r="I205" s="17" t="str">
        <x:v>Den von Gott zuvor erwählten Zeugen</x:v>
      </x:c>
      <x:c r="J205" s="17" t="str">
        <x:v>FAITHPATH_ONLY</x:v>
      </x:c>
      <x:c r="K205" s="17" t="str"/>
      <x:c r="L205" s="17" t="str"/>
      <x:c r="M205" s="17" t="str"/>
      <x:c r="N205" s="17" t="str"/>
      <x:c r="O205" s="17" t="str"/>
      <x:c r="P205" s="17" t="str"/>
      <x:c r="Q205" s="17" t="str">
        <x:v>NO_SOURCE_EQUIVALENT_SELECTED</x:v>
      </x:c>
      <x:c r="R205" s="17" t="str">
        <x:v>N/A</x:v>
      </x:c>
      <x:c r="S205" s="17" t="str">
        <x:v>FaithPath final QA aggregate (16 SINNGLEICH / 84 FAITHPATH_ONLY) + Nachlese final catalog/QA</x:v>
      </x:c>
      <x:c r="T205" s="17" t="str">
        <x:v>Kein N-Mapping in reconstructed final block allocation.</x:v>
      </x:c>
    </x:row>
    <x:row r="206" ht="26.399999618530273" hidden="0" customHeight="1">
      <x:c r="A206" s="17" t="str">
        <x:v>FP-0205</x:v>
      </x:c>
      <x:c r="B206" s="17" t="str">
        <x:v>FP-0201–0300</x:v>
      </x:c>
      <x:c r="C206" s="17" t="n">
        <x:v>389</x:v>
      </x:c>
      <x:c r="D206" s="17" t="n">
        <x:v>41</x:v>
      </x:c>
      <x:c r="E206" s="17" t="n">
        <x:v>5</x:v>
      </x:c>
      <x:c r="F206" s="17" t="str">
        <x:v>$[40].questions[4]</x:v>
      </x:c>
      <x:c r="G206" s="17" t="str">
        <x:v>Apg 10,43</x:v>
      </x:c>
      <x:c r="H206" s="17" t="str">
        <x:v>Welche Zusage verbindet Petrus mit dem Glauben an Jesus?</x:v>
      </x:c>
      <x:c r="I206" s="17" t="str">
        <x:v>Vergebung der Sünden durch seinen Namen</x:v>
      </x:c>
      <x:c r="J206" s="17" t="str">
        <x:v>FAITHPATH_ONLY</x:v>
      </x:c>
      <x:c r="K206" s="17" t="str"/>
      <x:c r="L206" s="17" t="str"/>
      <x:c r="M206" s="17" t="str"/>
      <x:c r="N206" s="17" t="str"/>
      <x:c r="O206" s="17" t="str"/>
      <x:c r="P206" s="17" t="str"/>
      <x:c r="Q206" s="17" t="str">
        <x:v>NO_SOURCE_EQUIVALENT_SELECTED</x:v>
      </x:c>
      <x:c r="R206" s="17" t="str">
        <x:v>N/A</x:v>
      </x:c>
      <x:c r="S206" s="17" t="str">
        <x:v>FaithPath final QA aggregate (16 SINNGLEICH / 84 FAITHPATH_ONLY) + Nachlese final catalog/QA</x:v>
      </x:c>
      <x:c r="T206" s="17" t="str">
        <x:v>Kein N-Mapping in reconstructed final block allocation.</x:v>
      </x:c>
    </x:row>
    <x:row r="207" ht="26.399999618530273" hidden="0" customHeight="1">
      <x:c r="A207" s="17" t="str">
        <x:v>FP-0206</x:v>
      </x:c>
      <x:c r="B207" s="17" t="str">
        <x:v>FP-0201–0300</x:v>
      </x:c>
      <x:c r="C207" s="17" t="n">
        <x:v>390</x:v>
      </x:c>
      <x:c r="D207" s="17" t="n">
        <x:v>42</x:v>
      </x:c>
      <x:c r="E207" s="17" t="n">
        <x:v>1</x:v>
      </x:c>
      <x:c r="F207" s="17" t="str">
        <x:v>$[41].questions[0]</x:v>
      </x:c>
      <x:c r="G207" s="17" t="str">
        <x:v>Apg 10,44</x:v>
      </x:c>
      <x:c r="H207" s="17" t="str">
        <x:v>Wann fiel der Heilige Geist auf die Zuhörer?</x:v>
      </x:c>
      <x:c r="I207" s="17" t="str">
        <x:v>Während Petrus noch redete</x:v>
      </x:c>
      <x:c r="J207" s="17" t="str">
        <x:v>SINNGLEICH</x:v>
      </x:c>
      <x:c r="K207" s="17" t="str">
        <x:v>N-1750</x:v>
      </x:c>
      <x:c r="L207" s="17" t="str"/>
      <x:c r="M207" s="17" t="str">
        <x:v>Was geschah, während Petrus noch redete?</x:v>
      </x:c>
      <x:c r="N207" s="17" t="str">
        <x:v>Da Petrus noch diese Worte redete, fiel der heilige Geist</x:v>
      </x:c>
      <x:c r="O207" s="17" t="str">
        <x:v>Was Gott gereinigt hat</x:v>
      </x:c>
      <x:c r="P207" s="17" t="str">
        <x:v>Apostelgeschichte 10,1–48</x:v>
      </x:c>
      <x:c r="Q207" s="17" t="str">
        <x:v>RECONSTRUCTED_AGGREGATE_CONSTRAINED</x:v>
      </x:c>
      <x:c r="R207" s="17" t="str">
        <x:v>HIGH</x:v>
      </x:c>
      <x:c r="S207" s="17" t="str">
        <x:v>FaithPath final QA aggregate (16 SINNGLEICH / 84 FAITHPATH_ONLY) + Nachlese final catalog/QA</x:v>
      </x:c>
      <x:c r="T207" s="17" t="str">
        <x:v>Reconstructed row-level mapping; original historical Block3 XLSX unavailable.</x:v>
      </x:c>
    </x:row>
    <x:row r="208" ht="26.399999618530273" hidden="0" customHeight="1">
      <x:c r="A208" s="17" t="str">
        <x:v>FP-0207</x:v>
      </x:c>
      <x:c r="B208" s="17" t="str">
        <x:v>FP-0201–0300</x:v>
      </x:c>
      <x:c r="C208" s="17" t="n">
        <x:v>390</x:v>
      </x:c>
      <x:c r="D208" s="17" t="n">
        <x:v>42</x:v>
      </x:c>
      <x:c r="E208" s="17" t="n">
        <x:v>2</x:v>
      </x:c>
      <x:c r="F208" s="17" t="str">
        <x:v>$[41].questions[1]</x:v>
      </x:c>
      <x:c r="G208" s="17" t="str">
        <x:v>Apg 10,45-46</x:v>
      </x:c>
      <x:c r="H208" s="17" t="str">
        <x:v>Woran erkannten die jüdischen Gläubigen die Wirkung des Heiligen Geistes bei den Heiden?</x:v>
      </x:c>
      <x:c r="I208" s="17" t="str">
        <x:v>Sie hörten sie in Zungen reden und Gott preisen</x:v>
      </x:c>
      <x:c r="J208" s="17" t="str">
        <x:v>FAITHPATH_ONLY</x:v>
      </x:c>
      <x:c r="K208" s="17" t="str"/>
      <x:c r="L208" s="17" t="str"/>
      <x:c r="M208" s="17" t="str"/>
      <x:c r="N208" s="17" t="str"/>
      <x:c r="O208" s="17" t="str"/>
      <x:c r="P208" s="17" t="str"/>
      <x:c r="Q208" s="17" t="str">
        <x:v>NO_SOURCE_EQUIVALENT_SELECTED</x:v>
      </x:c>
      <x:c r="R208" s="17" t="str">
        <x:v>N/A</x:v>
      </x:c>
      <x:c r="S208" s="17" t="str">
        <x:v>FaithPath final QA aggregate (16 SINNGLEICH / 84 FAITHPATH_ONLY) + Nachlese final catalog/QA</x:v>
      </x:c>
      <x:c r="T208" s="17" t="str">
        <x:v>Kein N-Mapping in reconstructed final block allocation.</x:v>
      </x:c>
    </x:row>
    <x:row r="209" ht="26.399999618530273" hidden="0" customHeight="1">
      <x:c r="A209" s="17" t="str">
        <x:v>FP-0208</x:v>
      </x:c>
      <x:c r="B209" s="17" t="str">
        <x:v>FP-0201–0300</x:v>
      </x:c>
      <x:c r="C209" s="17" t="n">
        <x:v>390</x:v>
      </x:c>
      <x:c r="D209" s="17" t="n">
        <x:v>42</x:v>
      </x:c>
      <x:c r="E209" s="17" t="n">
        <x:v>3</x:v>
      </x:c>
      <x:c r="F209" s="17" t="str">
        <x:v>$[41].questions[2]</x:v>
      </x:c>
      <x:c r="G209" s="17" t="str">
        <x:v>Apg 10,47</x:v>
      </x:c>
      <x:c r="H209" s="17" t="str">
        <x:v>Warum stellte Petrus die Frage, ob jemand das Wasser zur Taufe verwehren könne?</x:v>
      </x:c>
      <x:c r="I209" s="17" t="str">
        <x:v>Weil diese Menschen den Heiligen Geist ebenso empfangen hatten</x:v>
      </x:c>
      <x:c r="J209" s="17" t="str">
        <x:v>FAITHPATH_ONLY</x:v>
      </x:c>
      <x:c r="K209" s="17" t="str"/>
      <x:c r="L209" s="17" t="str"/>
      <x:c r="M209" s="17" t="str"/>
      <x:c r="N209" s="17" t="str"/>
      <x:c r="O209" s="17" t="str"/>
      <x:c r="P209" s="17" t="str"/>
      <x:c r="Q209" s="17" t="str">
        <x:v>NO_SOURCE_EQUIVALENT_SELECTED</x:v>
      </x:c>
      <x:c r="R209" s="17" t="str">
        <x:v>N/A</x:v>
      </x:c>
      <x:c r="S209" s="17" t="str">
        <x:v>FaithPath final QA aggregate (16 SINNGLEICH / 84 FAITHPATH_ONLY) + Nachlese final catalog/QA</x:v>
      </x:c>
      <x:c r="T209" s="17" t="str">
        <x:v>Kein N-Mapping in reconstructed final block allocation.</x:v>
      </x:c>
    </x:row>
    <x:row r="210" ht="26.399999618530273" hidden="0" customHeight="1">
      <x:c r="A210" s="17" t="str">
        <x:v>FP-0209</x:v>
      </x:c>
      <x:c r="B210" s="17" t="str">
        <x:v>FP-0201–0300</x:v>
      </x:c>
      <x:c r="C210" s="17" t="n">
        <x:v>390</x:v>
      </x:c>
      <x:c r="D210" s="17" t="n">
        <x:v>42</x:v>
      </x:c>
      <x:c r="E210" s="17" t="n">
        <x:v>4</x:v>
      </x:c>
      <x:c r="F210" s="17" t="str">
        <x:v>$[41].questions[3]</x:v>
      </x:c>
      <x:c r="G210" s="17" t="str">
        <x:v>Apg 10,48</x:v>
      </x:c>
      <x:c r="H210" s="17" t="str">
        <x:v>Was ordnete Petrus anschließend an?</x:v>
      </x:c>
      <x:c r="I210" s="17" t="str">
        <x:v>Sie sollten im Namen des Herrn getauft werden</x:v>
      </x:c>
      <x:c r="J210" s="17" t="str">
        <x:v>FAITHPATH_ONLY</x:v>
      </x:c>
      <x:c r="K210" s="17" t="str"/>
      <x:c r="L210" s="17" t="str"/>
      <x:c r="M210" s="17" t="str"/>
      <x:c r="N210" s="17" t="str"/>
      <x:c r="O210" s="17" t="str"/>
      <x:c r="P210" s="17" t="str"/>
      <x:c r="Q210" s="17" t="str">
        <x:v>NO_SOURCE_EQUIVALENT_SELECTED</x:v>
      </x:c>
      <x:c r="R210" s="17" t="str">
        <x:v>N/A</x:v>
      </x:c>
      <x:c r="S210" s="17" t="str">
        <x:v>FaithPath final QA aggregate (16 SINNGLEICH / 84 FAITHPATH_ONLY) + Nachlese final catalog/QA</x:v>
      </x:c>
      <x:c r="T210" s="17" t="str">
        <x:v>Kein N-Mapping in reconstructed final block allocation.</x:v>
      </x:c>
    </x:row>
    <x:row r="211" ht="26.399999618530273" hidden="0" customHeight="1">
      <x:c r="A211" s="17" t="str">
        <x:v>FP-0210</x:v>
      </x:c>
      <x:c r="B211" s="17" t="str">
        <x:v>FP-0201–0300</x:v>
      </x:c>
      <x:c r="C211" s="17" t="n">
        <x:v>390</x:v>
      </x:c>
      <x:c r="D211" s="17" t="n">
        <x:v>42</x:v>
      </x:c>
      <x:c r="E211" s="17" t="n">
        <x:v>5</x:v>
      </x:c>
      <x:c r="F211" s="17" t="str">
        <x:v>$[41].questions[4]</x:v>
      </x:c>
      <x:c r="G211" s="17" t="str">
        <x:v>Apg 10,44-48</x:v>
      </x:c>
      <x:c r="H211" s="17" t="str">
        <x:v>Welche Reihenfolge fällt in diesem Abschnitt besonders auf?</x:v>
      </x:c>
      <x:c r="I211" s="17" t="str">
        <x:v>Der Heilige Geist kommt vor der Wassertaufe</x:v>
      </x:c>
      <x:c r="J211" s="17" t="str">
        <x:v>FAITHPATH_ONLY</x:v>
      </x:c>
      <x:c r="K211" s="17" t="str"/>
      <x:c r="L211" s="17" t="str"/>
      <x:c r="M211" s="17" t="str"/>
      <x:c r="N211" s="17" t="str"/>
      <x:c r="O211" s="17" t="str"/>
      <x:c r="P211" s="17" t="str"/>
      <x:c r="Q211" s="17" t="str">
        <x:v>NO_SOURCE_EQUIVALENT_SELECTED</x:v>
      </x:c>
      <x:c r="R211" s="17" t="str">
        <x:v>N/A</x:v>
      </x:c>
      <x:c r="S211" s="17" t="str">
        <x:v>FaithPath final QA aggregate (16 SINNGLEICH / 84 FAITHPATH_ONLY) + Nachlese final catalog/QA</x:v>
      </x:c>
      <x:c r="T211" s="17" t="str">
        <x:v>Kein N-Mapping in reconstructed final block allocation.</x:v>
      </x:c>
    </x:row>
    <x:row r="212" ht="26.399999618530273" hidden="0" customHeight="1">
      <x:c r="A212" s="17" t="str">
        <x:v>FP-0211</x:v>
      </x:c>
      <x:c r="B212" s="17" t="str">
        <x:v>FP-0201–0300</x:v>
      </x:c>
      <x:c r="C212" s="17" t="n">
        <x:v>391</x:v>
      </x:c>
      <x:c r="D212" s="17" t="n">
        <x:v>43</x:v>
      </x:c>
      <x:c r="E212" s="17" t="n">
        <x:v>1</x:v>
      </x:c>
      <x:c r="F212" s="17" t="str">
        <x:v>$[42].questions[0]</x:v>
      </x:c>
      <x:c r="G212" s="17" t="str">
        <x:v>Apg 11,2-3</x:v>
      </x:c>
      <x:c r="H212" s="17" t="str">
        <x:v>Welchen Vorwurf richteten einige in Jerusalem an Petrus?</x:v>
      </x:c>
      <x:c r="I212" s="17" t="str">
        <x:v>Er sei zu unbeschnittenen Männern hineingegangen und habe mit ihnen gegessen</x:v>
      </x:c>
      <x:c r="J212" s="17" t="str">
        <x:v>FAITHPATH_ONLY</x:v>
      </x:c>
      <x:c r="K212" s="17" t="str"/>
      <x:c r="L212" s="17" t="str"/>
      <x:c r="M212" s="17" t="str"/>
      <x:c r="N212" s="17" t="str"/>
      <x:c r="O212" s="17" t="str"/>
      <x:c r="P212" s="17" t="str"/>
      <x:c r="Q212" s="17" t="str">
        <x:v>NO_SOURCE_EQUIVALENT_SELECTED</x:v>
      </x:c>
      <x:c r="R212" s="17" t="str">
        <x:v>N/A</x:v>
      </x:c>
      <x:c r="S212" s="17" t="str">
        <x:v>FaithPath final QA aggregate (16 SINNGLEICH / 84 FAITHPATH_ONLY) + Nachlese final catalog/QA</x:v>
      </x:c>
      <x:c r="T212" s="17" t="str">
        <x:v>Kein N-Mapping in reconstructed final block allocation.</x:v>
      </x:c>
    </x:row>
    <x:row r="213" ht="26.399999618530273" hidden="0" customHeight="1">
      <x:c r="A213" s="17" t="str">
        <x:v>FP-0212</x:v>
      </x:c>
      <x:c r="B213" s="17" t="str">
        <x:v>FP-0201–0300</x:v>
      </x:c>
      <x:c r="C213" s="17" t="n">
        <x:v>391</x:v>
      </x:c>
      <x:c r="D213" s="17" t="n">
        <x:v>43</x:v>
      </x:c>
      <x:c r="E213" s="17" t="n">
        <x:v>2</x:v>
      </x:c>
      <x:c r="F213" s="17" t="str">
        <x:v>$[42].questions[1]</x:v>
      </x:c>
      <x:c r="G213" s="17" t="str">
        <x:v>Apg 11,12</x:v>
      </x:c>
      <x:c r="H213" s="17" t="str">
        <x:v>Wie viele Brüder begleiteten Petrus nach seiner eigenen Darstellung in das Haus des Kornelius?</x:v>
      </x:c>
      <x:c r="I213" s="17" t="str">
        <x:v>Sechs</x:v>
      </x:c>
      <x:c r="J213" s="17" t="str">
        <x:v>FAITHPATH_ONLY</x:v>
      </x:c>
      <x:c r="K213" s="17" t="str"/>
      <x:c r="L213" s="17" t="str"/>
      <x:c r="M213" s="17" t="str"/>
      <x:c r="N213" s="17" t="str"/>
      <x:c r="O213" s="17" t="str"/>
      <x:c r="P213" s="17" t="str"/>
      <x:c r="Q213" s="17" t="str">
        <x:v>NO_SOURCE_EQUIVALENT_SELECTED</x:v>
      </x:c>
      <x:c r="R213" s="17" t="str">
        <x:v>N/A</x:v>
      </x:c>
      <x:c r="S213" s="17" t="str">
        <x:v>FaithPath final QA aggregate (16 SINNGLEICH / 84 FAITHPATH_ONLY) + Nachlese final catalog/QA</x:v>
      </x:c>
      <x:c r="T213" s="17" t="str">
        <x:v>Kein N-Mapping in reconstructed final block allocation.</x:v>
      </x:c>
    </x:row>
    <x:row r="214" ht="26.399999618530273" hidden="0" customHeight="1">
      <x:c r="A214" s="17" t="str">
        <x:v>FP-0213</x:v>
      </x:c>
      <x:c r="B214" s="17" t="str">
        <x:v>FP-0201–0300</x:v>
      </x:c>
      <x:c r="C214" s="17" t="n">
        <x:v>391</x:v>
      </x:c>
      <x:c r="D214" s="17" t="n">
        <x:v>43</x:v>
      </x:c>
      <x:c r="E214" s="17" t="n">
        <x:v>3</x:v>
      </x:c>
      <x:c r="F214" s="17" t="str">
        <x:v>$[42].questions[2]</x:v>
      </x:c>
      <x:c r="G214" s="17" t="str">
        <x:v>Apg 11,15-16</x:v>
      </x:c>
      <x:c r="H214" s="17" t="str">
        <x:v>Welche Erinnerung an ein Wort des Herrn kam Petrus nach dem Kommen des Heiligen Geistes?</x:v>
      </x:c>
      <x:c r="I214" s="17" t="str">
        <x:v>Johannes taufte mit Wasser, ihr aber sollt mit dem Heiligen Geist getauft werden</x:v>
      </x:c>
      <x:c r="J214" s="17" t="str">
        <x:v>FAITHPATH_ONLY</x:v>
      </x:c>
      <x:c r="K214" s="17" t="str"/>
      <x:c r="L214" s="17" t="str"/>
      <x:c r="M214" s="17" t="str"/>
      <x:c r="N214" s="17" t="str"/>
      <x:c r="O214" s="17" t="str"/>
      <x:c r="P214" s="17" t="str"/>
      <x:c r="Q214" s="17" t="str">
        <x:v>NO_SOURCE_EQUIVALENT_SELECTED</x:v>
      </x:c>
      <x:c r="R214" s="17" t="str">
        <x:v>N/A</x:v>
      </x:c>
      <x:c r="S214" s="17" t="str">
        <x:v>FaithPath final QA aggregate (16 SINNGLEICH / 84 FAITHPATH_ONLY) + Nachlese final catalog/QA</x:v>
      </x:c>
      <x:c r="T214" s="17" t="str">
        <x:v>Kein N-Mapping in reconstructed final block allocation.</x:v>
      </x:c>
    </x:row>
    <x:row r="215" ht="26.399999618530273" hidden="0" customHeight="1">
      <x:c r="A215" s="17" t="str">
        <x:v>FP-0214</x:v>
      </x:c>
      <x:c r="B215" s="17" t="str">
        <x:v>FP-0201–0300</x:v>
      </x:c>
      <x:c r="C215" s="17" t="n">
        <x:v>391</x:v>
      </x:c>
      <x:c r="D215" s="17" t="n">
        <x:v>43</x:v>
      </x:c>
      <x:c r="E215" s="17" t="n">
        <x:v>4</x:v>
      </x:c>
      <x:c r="F215" s="17" t="str">
        <x:v>$[42].questions[3]</x:v>
      </x:c>
      <x:c r="G215" s="17" t="str">
        <x:v>Apg 11,17</x:v>
      </x:c>
      <x:c r="H215" s="17" t="str">
        <x:v>Mit welcher Frage begründet Petrus, dass er das Geschehen nicht verhindern konnte?</x:v>
      </x:c>
      <x:c r="I215" s="17" t="str">
        <x:v>Wer war ich, dass ich Gott wehren konnte?</x:v>
      </x:c>
      <x:c r="J215" s="17" t="str">
        <x:v>FAITHPATH_ONLY</x:v>
      </x:c>
      <x:c r="K215" s="17" t="str"/>
      <x:c r="L215" s="17" t="str"/>
      <x:c r="M215" s="17" t="str"/>
      <x:c r="N215" s="17" t="str"/>
      <x:c r="O215" s="17" t="str"/>
      <x:c r="P215" s="17" t="str"/>
      <x:c r="Q215" s="17" t="str">
        <x:v>NO_SOURCE_EQUIVALENT_SELECTED</x:v>
      </x:c>
      <x:c r="R215" s="17" t="str">
        <x:v>N/A</x:v>
      </x:c>
      <x:c r="S215" s="17" t="str">
        <x:v>FaithPath final QA aggregate (16 SINNGLEICH / 84 FAITHPATH_ONLY) + Nachlese final catalog/QA</x:v>
      </x:c>
      <x:c r="T215" s="17" t="str">
        <x:v>Kein N-Mapping in reconstructed final block allocation.</x:v>
      </x:c>
    </x:row>
    <x:row r="216" ht="26.399999618530273" hidden="0" customHeight="1">
      <x:c r="A216" s="17" t="str">
        <x:v>FP-0215</x:v>
      </x:c>
      <x:c r="B216" s="17" t="str">
        <x:v>FP-0201–0300</x:v>
      </x:c>
      <x:c r="C216" s="17" t="n">
        <x:v>391</x:v>
      </x:c>
      <x:c r="D216" s="17" t="n">
        <x:v>43</x:v>
      </x:c>
      <x:c r="E216" s="17" t="n">
        <x:v>5</x:v>
      </x:c>
      <x:c r="F216" s="17" t="str">
        <x:v>$[42].questions[4]</x:v>
      </x:c>
      <x:c r="G216" s="17" t="str">
        <x:v>Apg 11,18</x:v>
      </x:c>
      <x:c r="H216" s="17" t="str">
        <x:v>Zu welchem Schluss kamen die Zuhörer nach Petrus' Erklärung?</x:v>
      </x:c>
      <x:c r="I216" s="17" t="str">
        <x:v>Gott habe auch den Heiden Buße zum Leben gegeben</x:v>
      </x:c>
      <x:c r="J216" s="17" t="str">
        <x:v>FAITHPATH_ONLY</x:v>
      </x:c>
      <x:c r="K216" s="17" t="str"/>
      <x:c r="L216" s="17" t="str"/>
      <x:c r="M216" s="17" t="str"/>
      <x:c r="N216" s="17" t="str"/>
      <x:c r="O216" s="17" t="str"/>
      <x:c r="P216" s="17" t="str"/>
      <x:c r="Q216" s="17" t="str">
        <x:v>NO_SOURCE_EQUIVALENT_SELECTED</x:v>
      </x:c>
      <x:c r="R216" s="17" t="str">
        <x:v>N/A</x:v>
      </x:c>
      <x:c r="S216" s="17" t="str">
        <x:v>FaithPath final QA aggregate (16 SINNGLEICH / 84 FAITHPATH_ONLY) + Nachlese final catalog/QA</x:v>
      </x:c>
      <x:c r="T216" s="17" t="str">
        <x:v>Kein N-Mapping in reconstructed final block allocation.</x:v>
      </x:c>
    </x:row>
    <x:row r="217" ht="26.399999618530273" hidden="0" customHeight="1">
      <x:c r="A217" s="17" t="str">
        <x:v>FP-0216</x:v>
      </x:c>
      <x:c r="B217" s="17" t="str">
        <x:v>FP-0201–0300</x:v>
      </x:c>
      <x:c r="C217" s="17" t="n">
        <x:v>392</x:v>
      </x:c>
      <x:c r="D217" s="17" t="n">
        <x:v>44</x:v>
      </x:c>
      <x:c r="E217" s="17" t="n">
        <x:v>1</x:v>
      </x:c>
      <x:c r="F217" s="17" t="str">
        <x:v>$[43].questions[0]</x:v>
      </x:c>
      <x:c r="G217" s="17" t="str">
        <x:v>Apg 11,19-20</x:v>
      </x:c>
      <x:c r="H217" s="17" t="str">
        <x:v>Bis zu welcher Stadt kamen einige der zerstreuten Verkündiger und redeten auch zu Griechen?</x:v>
      </x:c>
      <x:c r="I217" s="17" t="str">
        <x:v>Antiochien</x:v>
      </x:c>
      <x:c r="J217" s="17" t="str">
        <x:v>FAITHPATH_ONLY</x:v>
      </x:c>
      <x:c r="K217" s="17" t="str"/>
      <x:c r="L217" s="17" t="str"/>
      <x:c r="M217" s="17" t="str"/>
      <x:c r="N217" s="17" t="str"/>
      <x:c r="O217" s="17" t="str"/>
      <x:c r="P217" s="17" t="str"/>
      <x:c r="Q217" s="17" t="str">
        <x:v>NO_SOURCE_EQUIVALENT_SELECTED</x:v>
      </x:c>
      <x:c r="R217" s="17" t="str">
        <x:v>N/A</x:v>
      </x:c>
      <x:c r="S217" s="17" t="str">
        <x:v>FaithPath final QA aggregate (16 SINNGLEICH / 84 FAITHPATH_ONLY) + Nachlese final catalog/QA</x:v>
      </x:c>
      <x:c r="T217" s="17" t="str">
        <x:v>Kein N-Mapping in reconstructed final block allocation.</x:v>
      </x:c>
    </x:row>
    <x:row r="218" ht="26.399999618530273" hidden="0" customHeight="1">
      <x:c r="A218" s="17" t="str">
        <x:v>FP-0217</x:v>
      </x:c>
      <x:c r="B218" s="17" t="str">
        <x:v>FP-0201–0300</x:v>
      </x:c>
      <x:c r="C218" s="17" t="n">
        <x:v>392</x:v>
      </x:c>
      <x:c r="D218" s="17" t="n">
        <x:v>44</x:v>
      </x:c>
      <x:c r="E218" s="17" t="n">
        <x:v>2</x:v>
      </x:c>
      <x:c r="F218" s="17" t="str">
        <x:v>$[43].questions[1]</x:v>
      </x:c>
      <x:c r="G218" s="17" t="str">
        <x:v>Apg 11,22</x:v>
      </x:c>
      <x:c r="H218" s="17" t="str">
        <x:v>Wen sandte die Gemeinde in Jerusalem nach Antiochien?</x:v>
      </x:c>
      <x:c r="I218" s="17" t="str">
        <x:v>Barnabas</x:v>
      </x:c>
      <x:c r="J218" s="17" t="str">
        <x:v>SINNGLEICH</x:v>
      </x:c>
      <x:c r="K218" s="17" t="str">
        <x:v>N-1753</x:v>
      </x:c>
      <x:c r="L218" s="17" t="str">
        <x:v>Apostelgeschichte 11,22–25</x:v>
      </x:c>
      <x:c r="M218" s="17" t="str">
        <x:v>Wen sandte Jerusalem, und wen suchte dieser in Tarsus?</x:v>
      </x:c>
      <x:c r="N218" s="17" t="str">
        <x:v>Barnabas; Saulus (Apostelgeschichte 11,22–25)</x:v>
      </x:c>
      <x:c r="O218" s="17" t="str">
        <x:v>Zuerst Christen genannt</x:v>
      </x:c>
      <x:c r="P218" s="17" t="str">
        <x:v>Apostelgeschichte 11,19–30</x:v>
      </x:c>
      <x:c r="Q218" s="17" t="str">
        <x:v>RECONSTRUCTED_AGGREGATE_CONSTRAINED</x:v>
      </x:c>
      <x:c r="R218" s="17" t="str">
        <x:v>HIGH</x:v>
      </x:c>
      <x:c r="S218" s="17" t="str">
        <x:v>FaithPath final QA aggregate (16 SINNGLEICH / 84 FAITHPATH_ONLY) + Nachlese final catalog/QA</x:v>
      </x:c>
      <x:c r="T218" s="17" t="str">
        <x:v>Reconstructed row-level mapping; original historical Block3 XLSX unavailable.</x:v>
      </x:c>
    </x:row>
    <x:row r="219" ht="26.399999618530273" hidden="0" customHeight="1">
      <x:c r="A219" s="17" t="str">
        <x:v>FP-0218</x:v>
      </x:c>
      <x:c r="B219" s="17" t="str">
        <x:v>FP-0201–0300</x:v>
      </x:c>
      <x:c r="C219" s="17" t="n">
        <x:v>392</x:v>
      </x:c>
      <x:c r="D219" s="17" t="n">
        <x:v>44</x:v>
      </x:c>
      <x:c r="E219" s="17" t="n">
        <x:v>3</x:v>
      </x:c>
      <x:c r="F219" s="17" t="str">
        <x:v>$[43].questions[2]</x:v>
      </x:c>
      <x:c r="G219" s="17" t="str">
        <x:v>Apg 11,23</x:v>
      </x:c>
      <x:c r="H219" s="17" t="str">
        <x:v>Wozu ermahnte Barnabas die Glaubenden in Antiochien?</x:v>
      </x:c>
      <x:c r="I219" s="17" t="str">
        <x:v>Mit festem Herzen am Herrn zu bleiben</x:v>
      </x:c>
      <x:c r="J219" s="17" t="str">
        <x:v>FAITHPATH_ONLY</x:v>
      </x:c>
      <x:c r="K219" s="17" t="str"/>
      <x:c r="L219" s="17" t="str"/>
      <x:c r="M219" s="17" t="str"/>
      <x:c r="N219" s="17" t="str"/>
      <x:c r="O219" s="17" t="str"/>
      <x:c r="P219" s="17" t="str"/>
      <x:c r="Q219" s="17" t="str">
        <x:v>NO_SOURCE_EQUIVALENT_SELECTED</x:v>
      </x:c>
      <x:c r="R219" s="17" t="str">
        <x:v>N/A</x:v>
      </x:c>
      <x:c r="S219" s="17" t="str">
        <x:v>FaithPath final QA aggregate (16 SINNGLEICH / 84 FAITHPATH_ONLY) + Nachlese final catalog/QA</x:v>
      </x:c>
      <x:c r="T219" s="17" t="str">
        <x:v>Kein N-Mapping in reconstructed final block allocation.</x:v>
      </x:c>
    </x:row>
    <x:row r="220" ht="26.399999618530273" hidden="0" customHeight="1">
      <x:c r="A220" s="17" t="str">
        <x:v>FP-0219</x:v>
      </x:c>
      <x:c r="B220" s="17" t="str">
        <x:v>FP-0201–0300</x:v>
      </x:c>
      <x:c r="C220" s="17" t="n">
        <x:v>392</x:v>
      </x:c>
      <x:c r="D220" s="17" t="n">
        <x:v>44</x:v>
      </x:c>
      <x:c r="E220" s="17" t="n">
        <x:v>4</x:v>
      </x:c>
      <x:c r="F220" s="17" t="str">
        <x:v>$[43].questions[3]</x:v>
      </x:c>
      <x:c r="G220" s="17" t="str">
        <x:v>Apg 11,25</x:v>
      </x:c>
      <x:c r="H220" s="17" t="str">
        <x:v>Wo suchte Barnabas Saulus?</x:v>
      </x:c>
      <x:c r="I220" s="17" t="str">
        <x:v>In Tarsus</x:v>
      </x:c>
      <x:c r="J220" s="17" t="str">
        <x:v>FAITHPATH_ONLY</x:v>
      </x:c>
      <x:c r="K220" s="17" t="str"/>
      <x:c r="L220" s="17" t="str"/>
      <x:c r="M220" s="17" t="str"/>
      <x:c r="N220" s="17" t="str"/>
      <x:c r="O220" s="17" t="str"/>
      <x:c r="P220" s="17" t="str"/>
      <x:c r="Q220" s="17" t="str">
        <x:v>NO_SOURCE_EQUIVALENT_SELECTED</x:v>
      </x:c>
      <x:c r="R220" s="17" t="str">
        <x:v>N/A</x:v>
      </x:c>
      <x:c r="S220" s="17" t="str">
        <x:v>FaithPath final QA aggregate (16 SINNGLEICH / 84 FAITHPATH_ONLY) + Nachlese final catalog/QA</x:v>
      </x:c>
      <x:c r="T220" s="17" t="str">
        <x:v>Kein N-Mapping in reconstructed final block allocation.</x:v>
      </x:c>
    </x:row>
    <x:row r="221" ht="26.399999618530273" hidden="0" customHeight="1">
      <x:c r="A221" s="17" t="str">
        <x:v>FP-0220</x:v>
      </x:c>
      <x:c r="B221" s="17" t="str">
        <x:v>FP-0201–0300</x:v>
      </x:c>
      <x:c r="C221" s="17" t="n">
        <x:v>392</x:v>
      </x:c>
      <x:c r="D221" s="17" t="n">
        <x:v>44</x:v>
      </x:c>
      <x:c r="E221" s="17" t="n">
        <x:v>5</x:v>
      </x:c>
      <x:c r="F221" s="17" t="str">
        <x:v>$[43].questions[4]</x:v>
      </x:c>
      <x:c r="G221" s="17" t="str">
        <x:v>Apg 11,26</x:v>
      </x:c>
      <x:c r="H221" s="17" t="str">
        <x:v>Welche Bezeichnung erhielten die Jünger laut Text zuerst in Antiochien?</x:v>
      </x:c>
      <x:c r="I221" s="17" t="str">
        <x:v>Christen</x:v>
      </x:c>
      <x:c r="J221" s="17" t="str">
        <x:v>SINNGLEICH</x:v>
      </x:c>
      <x:c r="K221" s="17" t="str">
        <x:v>N-1754</x:v>
      </x:c>
      <x:c r="L221" s="17" t="str"/>
      <x:c r="M221" s="17" t="str">
        <x:v>Wie lange lehrten sie dort, und wie nannte man die Jünger?</x:v>
      </x:c>
      <x:c r="N221" s="17" t="str">
        <x:v>Ein ganzes Jahr; Christen (Apostelgeschichte</x:v>
      </x:c>
      <x:c r="O221" s="17" t="str">
        <x:v>Zuerst Christen genannt</x:v>
      </x:c>
      <x:c r="P221" s="17" t="str">
        <x:v>Apostelgeschichte 11,19–30</x:v>
      </x:c>
      <x:c r="Q221" s="17" t="str">
        <x:v>RECONSTRUCTED_AGGREGATE_CONSTRAINED</x:v>
      </x:c>
      <x:c r="R221" s="17" t="str">
        <x:v>HIGH</x:v>
      </x:c>
      <x:c r="S221" s="17" t="str">
        <x:v>FaithPath final QA aggregate (16 SINNGLEICH / 84 FAITHPATH_ONLY) + Nachlese final catalog/QA</x:v>
      </x:c>
      <x:c r="T221" s="17" t="str">
        <x:v>Reconstructed row-level mapping; original historical Block3 XLSX unavailable.</x:v>
      </x:c>
    </x:row>
    <x:row r="222" ht="26.399999618530273" hidden="0" customHeight="1">
      <x:c r="A222" s="17" t="str">
        <x:v>FP-0221</x:v>
      </x:c>
      <x:c r="B222" s="17" t="str">
        <x:v>FP-0201–0300</x:v>
      </x:c>
      <x:c r="C222" s="17" t="n">
        <x:v>393</x:v>
      </x:c>
      <x:c r="D222" s="17" t="n">
        <x:v>45</x:v>
      </x:c>
      <x:c r="E222" s="17" t="n">
        <x:v>1</x:v>
      </x:c>
      <x:c r="F222" s="17" t="str">
        <x:v>$[44].questions[0]</x:v>
      </x:c>
      <x:c r="G222" s="17" t="str">
        <x:v>Apg 11,27</x:v>
      </x:c>
      <x:c r="H222" s="17" t="str">
        <x:v>Woher kamen die Propheten, die in diesen Tagen nach Antiochien kamen?</x:v>
      </x:c>
      <x:c r="I222" s="17" t="str">
        <x:v>Aus Jerusalem</x:v>
      </x:c>
      <x:c r="J222" s="17" t="str">
        <x:v>FAITHPATH_ONLY</x:v>
      </x:c>
      <x:c r="K222" s="17" t="str"/>
      <x:c r="L222" s="17" t="str"/>
      <x:c r="M222" s="17" t="str"/>
      <x:c r="N222" s="17" t="str"/>
      <x:c r="O222" s="17" t="str"/>
      <x:c r="P222" s="17" t="str"/>
      <x:c r="Q222" s="17" t="str">
        <x:v>NO_SOURCE_EQUIVALENT_SELECTED</x:v>
      </x:c>
      <x:c r="R222" s="17" t="str">
        <x:v>N/A</x:v>
      </x:c>
      <x:c r="S222" s="17" t="str">
        <x:v>FaithPath final QA aggregate (16 SINNGLEICH / 84 FAITHPATH_ONLY) + Nachlese final catalog/QA</x:v>
      </x:c>
      <x:c r="T222" s="17" t="str">
        <x:v>Kein N-Mapping in reconstructed final block allocation.</x:v>
      </x:c>
    </x:row>
    <x:row r="223" ht="26.399999618530273" hidden="0" customHeight="1">
      <x:c r="A223" s="17" t="str">
        <x:v>FP-0222</x:v>
      </x:c>
      <x:c r="B223" s="17" t="str">
        <x:v>FP-0201–0300</x:v>
      </x:c>
      <x:c r="C223" s="17" t="n">
        <x:v>393</x:v>
      </x:c>
      <x:c r="D223" s="17" t="n">
        <x:v>45</x:v>
      </x:c>
      <x:c r="E223" s="17" t="n">
        <x:v>2</x:v>
      </x:c>
      <x:c r="F223" s="17" t="str">
        <x:v>$[44].questions[1]</x:v>
      </x:c>
      <x:c r="G223" s="17" t="str">
        <x:v>Apg 11,28</x:v>
      </x:c>
      <x:c r="H223" s="17" t="str">
        <x:v>Wie hieß der Prophet, der eine große Teuerung ankündigte?</x:v>
      </x:c>
      <x:c r="I223" s="17" t="str">
        <x:v>Agabus</x:v>
      </x:c>
      <x:c r="J223" s="17" t="str">
        <x:v>FAITHPATH_ONLY</x:v>
      </x:c>
      <x:c r="K223" s="17" t="str"/>
      <x:c r="L223" s="17" t="str"/>
      <x:c r="M223" s="17" t="str"/>
      <x:c r="N223" s="17" t="str"/>
      <x:c r="O223" s="17" t="str"/>
      <x:c r="P223" s="17" t="str"/>
      <x:c r="Q223" s="17" t="str">
        <x:v>NO_SOURCE_EQUIVALENT_SELECTED</x:v>
      </x:c>
      <x:c r="R223" s="17" t="str">
        <x:v>N/A</x:v>
      </x:c>
      <x:c r="S223" s="17" t="str">
        <x:v>FaithPath final QA aggregate (16 SINNGLEICH / 84 FAITHPATH_ONLY) + Nachlese final catalog/QA</x:v>
      </x:c>
      <x:c r="T223" s="17" t="str">
        <x:v>Kein N-Mapping in reconstructed final block allocation.</x:v>
      </x:c>
    </x:row>
    <x:row r="224" ht="26.399999618530273" hidden="0" customHeight="1">
      <x:c r="A224" s="17" t="str">
        <x:v>FP-0223</x:v>
      </x:c>
      <x:c r="B224" s="17" t="str">
        <x:v>FP-0201–0300</x:v>
      </x:c>
      <x:c r="C224" s="17" t="n">
        <x:v>393</x:v>
      </x:c>
      <x:c r="D224" s="17" t="n">
        <x:v>45</x:v>
      </x:c>
      <x:c r="E224" s="17" t="n">
        <x:v>3</x:v>
      </x:c>
      <x:c r="F224" s="17" t="str">
        <x:v>$[44].questions[2]</x:v>
      </x:c>
      <x:c r="G224" s="17" t="str">
        <x:v>Apg 11,28</x:v>
      </x:c>
      <x:c r="H224" s="17" t="str">
        <x:v>Unter welchem Kaiser geschah die angekündigte Teuerung laut Text?</x:v>
      </x:c>
      <x:c r="I224" s="17" t="str">
        <x:v>Klaudius</x:v>
      </x:c>
      <x:c r="J224" s="17" t="str">
        <x:v>SINNGLEICH</x:v>
      </x:c>
      <x:c r="K224" s="17" t="str">
        <x:v>N-1755</x:v>
      </x:c>
      <x:c r="L224" s="17" t="str"/>
      <x:c r="M224" s="17" t="str">
        <x:v>Was deutete Agabus, und unter welchem Kaiser geschah es?</x:v>
      </x:c>
      <x:c r="N224" s="17" t="str">
        <x:v>Eine große Teuerung; unter dem Kaiser</x:v>
      </x:c>
      <x:c r="O224" s="17" t="str">
        <x:v>Zuerst Christen genannt</x:v>
      </x:c>
      <x:c r="P224" s="17" t="str">
        <x:v>Apostelgeschichte 11,19–30</x:v>
      </x:c>
      <x:c r="Q224" s="17" t="str">
        <x:v>RECONSTRUCTED_AGGREGATE_CONSTRAINED</x:v>
      </x:c>
      <x:c r="R224" s="17" t="str">
        <x:v>HIGH</x:v>
      </x:c>
      <x:c r="S224" s="17" t="str">
        <x:v>FaithPath final QA aggregate (16 SINNGLEICH / 84 FAITHPATH_ONLY) + Nachlese final catalog/QA</x:v>
      </x:c>
      <x:c r="T224" s="17" t="str">
        <x:v>Reconstructed row-level mapping; original historical Block3 XLSX unavailable.</x:v>
      </x:c>
    </x:row>
    <x:row r="225" ht="26.399999618530273" hidden="0" customHeight="1">
      <x:c r="A225" s="17" t="str">
        <x:v>FP-0224</x:v>
      </x:c>
      <x:c r="B225" s="17" t="str">
        <x:v>FP-0201–0300</x:v>
      </x:c>
      <x:c r="C225" s="17" t="n">
        <x:v>393</x:v>
      </x:c>
      <x:c r="D225" s="17" t="n">
        <x:v>45</x:v>
      </x:c>
      <x:c r="E225" s="17" t="n">
        <x:v>4</x:v>
      </x:c>
      <x:c r="F225" s="17" t="str">
        <x:v>$[44].questions[3]</x:v>
      </x:c>
      <x:c r="G225" s="17" t="str">
        <x:v>Apg 11,29</x:v>
      </x:c>
      <x:c r="H225" s="17" t="str">
        <x:v>Wie legten die Jünger den Umfang ihrer Hilfe fest?</x:v>
      </x:c>
      <x:c r="I225" s="17" t="str">
        <x:v>Jeder nach seinem Vermögen</x:v>
      </x:c>
      <x:c r="J225" s="17" t="str">
        <x:v>FAITHPATH_ONLY</x:v>
      </x:c>
      <x:c r="K225" s="17" t="str"/>
      <x:c r="L225" s="17" t="str"/>
      <x:c r="M225" s="17" t="str"/>
      <x:c r="N225" s="17" t="str"/>
      <x:c r="O225" s="17" t="str"/>
      <x:c r="P225" s="17" t="str"/>
      <x:c r="Q225" s="17" t="str">
        <x:v>NO_SOURCE_EQUIVALENT_SELECTED</x:v>
      </x:c>
      <x:c r="R225" s="17" t="str">
        <x:v>N/A</x:v>
      </x:c>
      <x:c r="S225" s="17" t="str">
        <x:v>FaithPath final QA aggregate (16 SINNGLEICH / 84 FAITHPATH_ONLY) + Nachlese final catalog/QA</x:v>
      </x:c>
      <x:c r="T225" s="17" t="str">
        <x:v>Kein N-Mapping in reconstructed final block allocation.</x:v>
      </x:c>
    </x:row>
    <x:row r="226" ht="26.399999618530273" hidden="0" customHeight="1">
      <x:c r="A226" s="17" t="str">
        <x:v>FP-0225</x:v>
      </x:c>
      <x:c r="B226" s="17" t="str">
        <x:v>FP-0201–0300</x:v>
      </x:c>
      <x:c r="C226" s="17" t="n">
        <x:v>393</x:v>
      </x:c>
      <x:c r="D226" s="17" t="n">
        <x:v>45</x:v>
      </x:c>
      <x:c r="E226" s="17" t="n">
        <x:v>5</x:v>
      </x:c>
      <x:c r="F226" s="17" t="str">
        <x:v>$[44].questions[4]</x:v>
      </x:c>
      <x:c r="G226" s="17" t="str">
        <x:v>Apg 11,30</x:v>
      </x:c>
      <x:c r="H226" s="17" t="str">
        <x:v>Durch wen wurde die Hilfe an die Ältesten gesandt?</x:v>
      </x:c>
      <x:c r="I226" s="17" t="str">
        <x:v>Durch Barnabas und Saulus</x:v>
      </x:c>
      <x:c r="J226" s="17" t="str">
        <x:v>FAITHPATH_ONLY</x:v>
      </x:c>
      <x:c r="K226" s="17" t="str"/>
      <x:c r="L226" s="17" t="str"/>
      <x:c r="M226" s="17" t="str"/>
      <x:c r="N226" s="17" t="str"/>
      <x:c r="O226" s="17" t="str"/>
      <x:c r="P226" s="17" t="str"/>
      <x:c r="Q226" s="17" t="str">
        <x:v>NO_SOURCE_EQUIVALENT_SELECTED</x:v>
      </x:c>
      <x:c r="R226" s="17" t="str">
        <x:v>N/A</x:v>
      </x:c>
      <x:c r="S226" s="17" t="str">
        <x:v>FaithPath final QA aggregate (16 SINNGLEICH / 84 FAITHPATH_ONLY) + Nachlese final catalog/QA</x:v>
      </x:c>
      <x:c r="T226" s="17" t="str">
        <x:v>Kein N-Mapping in reconstructed final block allocation.</x:v>
      </x:c>
    </x:row>
    <x:row r="227" ht="26.399999618530273" hidden="0" customHeight="1">
      <x:c r="A227" s="17" t="str">
        <x:v>FP-0226</x:v>
      </x:c>
      <x:c r="B227" s="17" t="str">
        <x:v>FP-0201–0300</x:v>
      </x:c>
      <x:c r="C227" s="17" t="n">
        <x:v>394</x:v>
      </x:c>
      <x:c r="D227" s="17" t="n">
        <x:v>46</x:v>
      </x:c>
      <x:c r="E227" s="17" t="n">
        <x:v>1</x:v>
      </x:c>
      <x:c r="F227" s="17" t="str">
        <x:v>$[45].questions[0]</x:v>
      </x:c>
      <x:c r="G227" s="17" t="str">
        <x:v>Apg 12,1-2</x:v>
      </x:c>
      <x:c r="H227" s="17" t="str">
        <x:v>Welchen Apostel ließ Herodes mit dem Schwert töten?</x:v>
      </x:c>
      <x:c r="I227" s="17" t="str">
        <x:v>Jakobus, den Bruder des Johannes</x:v>
      </x:c>
      <x:c r="J227" s="17" t="str">
        <x:v>SINNGLEICH</x:v>
      </x:c>
      <x:c r="K227" s="17" t="str">
        <x:v>N-1756</x:v>
      </x:c>
      <x:c r="L227" s="17" t="str">
        <x:v>Apostelgeschichte 12,2</x:v>
      </x:c>
      <x:c r="M227" s="17" t="str">
        <x:v>Wen tötete Herodes mit dem Schwert?</x:v>
      </x:c>
      <x:c r="N227" s="17" t="str">
        <x:v>Jakobus, den Bruder des Johannes (Apostelgeschichte 12,2)</x:v>
      </x:c>
      <x:c r="O227" s="17" t="str">
        <x:v>Rhode öffnet nicht</x:v>
      </x:c>
      <x:c r="P227" s="17" t="str">
        <x:v>Apostelgeschichte 12,1–24</x:v>
      </x:c>
      <x:c r="Q227" s="17" t="str">
        <x:v>RECONSTRUCTED_AGGREGATE_CONSTRAINED</x:v>
      </x:c>
      <x:c r="R227" s="17" t="str">
        <x:v>HIGH</x:v>
      </x:c>
      <x:c r="S227" s="17" t="str">
        <x:v>FaithPath final QA aggregate (16 SINNGLEICH / 84 FAITHPATH_ONLY) + Nachlese final catalog/QA</x:v>
      </x:c>
      <x:c r="T227" s="17" t="str">
        <x:v>Reconstructed row-level mapping; original historical Block3 XLSX unavailable.</x:v>
      </x:c>
    </x:row>
    <x:row r="228" ht="26.399999618530273" hidden="0" customHeight="1">
      <x:c r="A228" s="17" t="str">
        <x:v>FP-0227</x:v>
      </x:c>
      <x:c r="B228" s="17" t="str">
        <x:v>FP-0201–0300</x:v>
      </x:c>
      <x:c r="C228" s="17" t="n">
        <x:v>394</x:v>
      </x:c>
      <x:c r="D228" s="17" t="n">
        <x:v>46</x:v>
      </x:c>
      <x:c r="E228" s="17" t="n">
        <x:v>2</x:v>
      </x:c>
      <x:c r="F228" s="17" t="str">
        <x:v>$[45].questions[1]</x:v>
      </x:c>
      <x:c r="G228" s="17" t="str">
        <x:v>Apg 12,3</x:v>
      </x:c>
      <x:c r="H228" s="17" t="str">
        <x:v>Wen ließ Herodes danach gefangen nehmen?</x:v>
      </x:c>
      <x:c r="I228" s="17" t="str">
        <x:v>Petrus</x:v>
      </x:c>
      <x:c r="J228" s="17" t="str">
        <x:v>FAITHPATH_ONLY</x:v>
      </x:c>
      <x:c r="K228" s="17" t="str"/>
      <x:c r="L228" s="17" t="str"/>
      <x:c r="M228" s="17" t="str"/>
      <x:c r="N228" s="17" t="str"/>
      <x:c r="O228" s="17" t="str"/>
      <x:c r="P228" s="17" t="str"/>
      <x:c r="Q228" s="17" t="str">
        <x:v>NO_SOURCE_EQUIVALENT_SELECTED</x:v>
      </x:c>
      <x:c r="R228" s="17" t="str">
        <x:v>N/A</x:v>
      </x:c>
      <x:c r="S228" s="17" t="str">
        <x:v>FaithPath final QA aggregate (16 SINNGLEICH / 84 FAITHPATH_ONLY) + Nachlese final catalog/QA</x:v>
      </x:c>
      <x:c r="T228" s="17" t="str">
        <x:v>Kein N-Mapping in reconstructed final block allocation.</x:v>
      </x:c>
    </x:row>
    <x:row r="229" ht="26.399999618530273" hidden="0" customHeight="1">
      <x:c r="A229" s="17" t="str">
        <x:v>FP-0228</x:v>
      </x:c>
      <x:c r="B229" s="17" t="str">
        <x:v>FP-0201–0300</x:v>
      </x:c>
      <x:c r="C229" s="17" t="n">
        <x:v>394</x:v>
      </x:c>
      <x:c r="D229" s="17" t="n">
        <x:v>46</x:v>
      </x:c>
      <x:c r="E229" s="17" t="n">
        <x:v>3</x:v>
      </x:c>
      <x:c r="F229" s="17" t="str">
        <x:v>$[45].questions[2]</x:v>
      </x:c>
      <x:c r="G229" s="17" t="str">
        <x:v>Apg 12,3</x:v>
      </x:c>
      <x:c r="H229" s="17" t="str">
        <x:v>Zu welcher Festzeit geschah Petrus' Gefangennahme?</x:v>
      </x:c>
      <x:c r="I229" s="17" t="str">
        <x:v>In den Tagen der ungesäuerten Brote</x:v>
      </x:c>
      <x:c r="J229" s="17" t="str">
        <x:v>FAITHPATH_ONLY</x:v>
      </x:c>
      <x:c r="K229" s="17" t="str"/>
      <x:c r="L229" s="17" t="str"/>
      <x:c r="M229" s="17" t="str"/>
      <x:c r="N229" s="17" t="str"/>
      <x:c r="O229" s="17" t="str"/>
      <x:c r="P229" s="17" t="str"/>
      <x:c r="Q229" s="17" t="str">
        <x:v>NO_SOURCE_EQUIVALENT_SELECTED</x:v>
      </x:c>
      <x:c r="R229" s="17" t="str">
        <x:v>N/A</x:v>
      </x:c>
      <x:c r="S229" s="17" t="str">
        <x:v>FaithPath final QA aggregate (16 SINNGLEICH / 84 FAITHPATH_ONLY) + Nachlese final catalog/QA</x:v>
      </x:c>
      <x:c r="T229" s="17" t="str">
        <x:v>Kein N-Mapping in reconstructed final block allocation.</x:v>
      </x:c>
    </x:row>
    <x:row r="230" ht="26.399999618530273" hidden="0" customHeight="1">
      <x:c r="A230" s="17" t="str">
        <x:v>FP-0229</x:v>
      </x:c>
      <x:c r="B230" s="17" t="str">
        <x:v>FP-0201–0300</x:v>
      </x:c>
      <x:c r="C230" s="17" t="n">
        <x:v>394</x:v>
      </x:c>
      <x:c r="D230" s="17" t="n">
        <x:v>46</x:v>
      </x:c>
      <x:c r="E230" s="17" t="n">
        <x:v>4</x:v>
      </x:c>
      <x:c r="F230" s="17" t="str">
        <x:v>$[45].questions[3]</x:v>
      </x:c>
      <x:c r="G230" s="17" t="str">
        <x:v>Apg 12,4</x:v>
      </x:c>
      <x:c r="H230" s="17" t="str">
        <x:v>Wie stark wurde Petrus im Gefängnis bewacht?</x:v>
      </x:c>
      <x:c r="I230" s="17" t="str">
        <x:v>Von vier Rotten mit je vier Soldaten</x:v>
      </x:c>
      <x:c r="J230" s="17" t="str">
        <x:v>FAITHPATH_ONLY</x:v>
      </x:c>
      <x:c r="K230" s="17" t="str"/>
      <x:c r="L230" s="17" t="str"/>
      <x:c r="M230" s="17" t="str"/>
      <x:c r="N230" s="17" t="str"/>
      <x:c r="O230" s="17" t="str"/>
      <x:c r="P230" s="17" t="str"/>
      <x:c r="Q230" s="17" t="str">
        <x:v>NO_SOURCE_EQUIVALENT_SELECTED</x:v>
      </x:c>
      <x:c r="R230" s="17" t="str">
        <x:v>N/A</x:v>
      </x:c>
      <x:c r="S230" s="17" t="str">
        <x:v>FaithPath final QA aggregate (16 SINNGLEICH / 84 FAITHPATH_ONLY) + Nachlese final catalog/QA</x:v>
      </x:c>
      <x:c r="T230" s="17" t="str">
        <x:v>Kein N-Mapping in reconstructed final block allocation.</x:v>
      </x:c>
    </x:row>
    <x:row r="231" ht="26.399999618530273" hidden="0" customHeight="1">
      <x:c r="A231" s="17" t="str">
        <x:v>FP-0230</x:v>
      </x:c>
      <x:c r="B231" s="17" t="str">
        <x:v>FP-0201–0300</x:v>
      </x:c>
      <x:c r="C231" s="17" t="n">
        <x:v>394</x:v>
      </x:c>
      <x:c r="D231" s="17" t="n">
        <x:v>46</x:v>
      </x:c>
      <x:c r="E231" s="17" t="n">
        <x:v>5</x:v>
      </x:c>
      <x:c r="F231" s="17" t="str">
        <x:v>$[45].questions[4]</x:v>
      </x:c>
      <x:c r="G231" s="17" t="str">
        <x:v>Apg 12,5</x:v>
      </x:c>
      <x:c r="H231" s="17" t="str">
        <x:v>Was tat die Gemeinde während Petrus im Gefängnis war?</x:v>
      </x:c>
      <x:c r="I231" s="17" t="str">
        <x:v>Sie betete ohne Aufhören für ihn zu Gott</x:v>
      </x:c>
      <x:c r="J231" s="17" t="str">
        <x:v>FAITHPATH_ONLY</x:v>
      </x:c>
      <x:c r="K231" s="17" t="str"/>
      <x:c r="L231" s="17" t="str"/>
      <x:c r="M231" s="17" t="str"/>
      <x:c r="N231" s="17" t="str"/>
      <x:c r="O231" s="17" t="str"/>
      <x:c r="P231" s="17" t="str"/>
      <x:c r="Q231" s="17" t="str">
        <x:v>NO_SOURCE_EQUIVALENT_SELECTED</x:v>
      </x:c>
      <x:c r="R231" s="17" t="str">
        <x:v>N/A</x:v>
      </x:c>
      <x:c r="S231" s="17" t="str">
        <x:v>FaithPath final QA aggregate (16 SINNGLEICH / 84 FAITHPATH_ONLY) + Nachlese final catalog/QA</x:v>
      </x:c>
      <x:c r="T231" s="17" t="str">
        <x:v>Kein N-Mapping in reconstructed final block allocation.</x:v>
      </x:c>
    </x:row>
    <x:row r="232" ht="26.399999618530273" hidden="0" customHeight="1">
      <x:c r="A232" s="17" t="str">
        <x:v>FP-0231</x:v>
      </x:c>
      <x:c r="B232" s="17" t="str">
        <x:v>FP-0201–0300</x:v>
      </x:c>
      <x:c r="C232" s="17" t="n">
        <x:v>395</x:v>
      </x:c>
      <x:c r="D232" s="17" t="n">
        <x:v>47</x:v>
      </x:c>
      <x:c r="E232" s="17" t="n">
        <x:v>1</x:v>
      </x:c>
      <x:c r="F232" s="17" t="str">
        <x:v>$[46].questions[0]</x:v>
      </x:c>
      <x:c r="G232" s="17" t="str">
        <x:v>Apg 12,6</x:v>
      </x:c>
      <x:c r="H232" s="17" t="str">
        <x:v>Zwischen wie vielen Soldaten schlief Petrus in der Nacht seiner Befreiung?</x:v>
      </x:c>
      <x:c r="I232" s="17" t="str">
        <x:v>Zwischen zwei Soldaten</x:v>
      </x:c>
      <x:c r="J232" s="17" t="str">
        <x:v>SINNGLEICH</x:v>
      </x:c>
      <x:c r="K232" s="17" t="str">
        <x:v>N-1757</x:v>
      </x:c>
      <x:c r="L232" s="17" t="str"/>
      <x:c r="M232" s="17" t="str">
        <x:v>Wie war Petrus in der Nacht gebunden?</x:v>
      </x:c>
      <x:c r="N232" s="17" t="str">
        <x:v>Schlaf Petrus zwischen zwei Kriegsknechten (Apostelgeschichte</x:v>
      </x:c>
      <x:c r="O232" s="17" t="str">
        <x:v>Rhode öffnet nicht</x:v>
      </x:c>
      <x:c r="P232" s="17" t="str">
        <x:v>Apostelgeschichte 12,1–24</x:v>
      </x:c>
      <x:c r="Q232" s="17" t="str">
        <x:v>RECONSTRUCTED_AGGREGATE_CONSTRAINED</x:v>
      </x:c>
      <x:c r="R232" s="17" t="str">
        <x:v>MEDIUM</x:v>
      </x:c>
      <x:c r="S232" s="17" t="str">
        <x:v>FaithPath final QA aggregate (16 SINNGLEICH / 84 FAITHPATH_ONLY) + Nachlese final catalog/QA</x:v>
      </x:c>
      <x:c r="T232" s="17" t="str">
        <x:v>Reconstructed row-level mapping; original historical Block3 XLSX unavailable.</x:v>
      </x:c>
    </x:row>
    <x:row r="233" ht="26.399999618530273" hidden="0" customHeight="1">
      <x:c r="A233" s="17" t="str">
        <x:v>FP-0232</x:v>
      </x:c>
      <x:c r="B233" s="17" t="str">
        <x:v>FP-0201–0300</x:v>
      </x:c>
      <x:c r="C233" s="17" t="n">
        <x:v>395</x:v>
      </x:c>
      <x:c r="D233" s="17" t="n">
        <x:v>47</x:v>
      </x:c>
      <x:c r="E233" s="17" t="n">
        <x:v>2</x:v>
      </x:c>
      <x:c r="F233" s="17" t="str">
        <x:v>$[46].questions[1]</x:v>
      </x:c>
      <x:c r="G233" s="17" t="str">
        <x:v>Apg 12,7</x:v>
      </x:c>
      <x:c r="H233" s="17" t="str">
        <x:v>Was geschah mit Petrus' Ketten, als der Engel ihn weckte?</x:v>
      </x:c>
      <x:c r="I233" s="17" t="str">
        <x:v>Sie fielen von seinen Händen</x:v>
      </x:c>
      <x:c r="J233" s="17" t="str">
        <x:v>FAITHPATH_ONLY</x:v>
      </x:c>
      <x:c r="K233" s="17" t="str"/>
      <x:c r="L233" s="17" t="str"/>
      <x:c r="M233" s="17" t="str"/>
      <x:c r="N233" s="17" t="str"/>
      <x:c r="O233" s="17" t="str"/>
      <x:c r="P233" s="17" t="str"/>
      <x:c r="Q233" s="17" t="str">
        <x:v>NO_SOURCE_EQUIVALENT_SELECTED</x:v>
      </x:c>
      <x:c r="R233" s="17" t="str">
        <x:v>N/A</x:v>
      </x:c>
      <x:c r="S233" s="17" t="str">
        <x:v>FaithPath final QA aggregate (16 SINNGLEICH / 84 FAITHPATH_ONLY) + Nachlese final catalog/QA</x:v>
      </x:c>
      <x:c r="T233" s="17" t="str">
        <x:v>Kein N-Mapping in reconstructed final block allocation.</x:v>
      </x:c>
    </x:row>
    <x:row r="234" ht="26.399999618530273" hidden="0" customHeight="1">
      <x:c r="A234" s="17" t="str">
        <x:v>FP-0233</x:v>
      </x:c>
      <x:c r="B234" s="17" t="str">
        <x:v>FP-0201–0300</x:v>
      </x:c>
      <x:c r="C234" s="17" t="n">
        <x:v>395</x:v>
      </x:c>
      <x:c r="D234" s="17" t="n">
        <x:v>47</x:v>
      </x:c>
      <x:c r="E234" s="17" t="n">
        <x:v>3</x:v>
      </x:c>
      <x:c r="F234" s="17" t="str">
        <x:v>$[46].questions[2]</x:v>
      </x:c>
      <x:c r="G234" s="17" t="str">
        <x:v>Apg 12,9</x:v>
      </x:c>
      <x:c r="H234" s="17" t="str">
        <x:v>Was dachte Petrus zunächst über das, was mit dem Engel geschah?</x:v>
      </x:c>
      <x:c r="I234" s="17" t="str">
        <x:v>Er meinte, er sehe ein Gesicht</x:v>
      </x:c>
      <x:c r="J234" s="17" t="str">
        <x:v>FAITHPATH_ONLY</x:v>
      </x:c>
      <x:c r="K234" s="17" t="str"/>
      <x:c r="L234" s="17" t="str"/>
      <x:c r="M234" s="17" t="str"/>
      <x:c r="N234" s="17" t="str"/>
      <x:c r="O234" s="17" t="str"/>
      <x:c r="P234" s="17" t="str"/>
      <x:c r="Q234" s="17" t="str">
        <x:v>NO_SOURCE_EQUIVALENT_SELECTED</x:v>
      </x:c>
      <x:c r="R234" s="17" t="str">
        <x:v>N/A</x:v>
      </x:c>
      <x:c r="S234" s="17" t="str">
        <x:v>FaithPath final QA aggregate (16 SINNGLEICH / 84 FAITHPATH_ONLY) + Nachlese final catalog/QA</x:v>
      </x:c>
      <x:c r="T234" s="17" t="str">
        <x:v>Kein N-Mapping in reconstructed final block allocation.</x:v>
      </x:c>
    </x:row>
    <x:row r="235" ht="26.399999618530273" hidden="0" customHeight="1">
      <x:c r="A235" s="17" t="str">
        <x:v>FP-0234</x:v>
      </x:c>
      <x:c r="B235" s="17" t="str">
        <x:v>FP-0201–0300</x:v>
      </x:c>
      <x:c r="C235" s="17" t="n">
        <x:v>395</x:v>
      </x:c>
      <x:c r="D235" s="17" t="n">
        <x:v>47</x:v>
      </x:c>
      <x:c r="E235" s="17" t="n">
        <x:v>4</x:v>
      </x:c>
      <x:c r="F235" s="17" t="str">
        <x:v>$[46].questions[3]</x:v>
      </x:c>
      <x:c r="G235" s="17" t="str">
        <x:v>Apg 12,13-14</x:v>
      </x:c>
      <x:c r="H235" s="17" t="str">
        <x:v>Wie hieß die Magd, die Petrus' Stimme am Tor erkannte?</x:v>
      </x:c>
      <x:c r="I235" s="17" t="str">
        <x:v>Rhode</x:v>
      </x:c>
      <x:c r="J235" s="17" t="str">
        <x:v>SINNGLEICH</x:v>
      </x:c>
      <x:c r="K235" s="17" t="str">
        <x:v>N-1759</x:v>
      </x:c>
      <x:c r="L235" s="17" t="str"/>
      <x:c r="M235" s="17" t="str">
        <x:v>Vor wessen Haus kam er, und wer horchte?</x:v>
      </x:c>
      <x:c r="N235" s="17" t="str">
        <x:v>Kam er vor das Haus Marias, der Mutter des Johannes, der</x:v>
      </x:c>
      <x:c r="O235" s="17" t="str">
        <x:v>Rhode öffnet nicht</x:v>
      </x:c>
      <x:c r="P235" s="17" t="str">
        <x:v>Apostelgeschichte 12,1–24</x:v>
      </x:c>
      <x:c r="Q235" s="17" t="str">
        <x:v>RECONSTRUCTED_AGGREGATE_CONSTRAINED</x:v>
      </x:c>
      <x:c r="R235" s="17" t="str">
        <x:v>MEDIUM</x:v>
      </x:c>
      <x:c r="S235" s="17" t="str">
        <x:v>FaithPath final QA aggregate (16 SINNGLEICH / 84 FAITHPATH_ONLY) + Nachlese final catalog/QA</x:v>
      </x:c>
      <x:c r="T235" s="17" t="str">
        <x:v>Reconstructed row-level mapping; original historical Block3 XLSX unavailable.</x:v>
      </x:c>
    </x:row>
    <x:row r="236" ht="26.399999618530273" hidden="0" customHeight="1">
      <x:c r="A236" s="17" t="str">
        <x:v>FP-0235</x:v>
      </x:c>
      <x:c r="B236" s="17" t="str">
        <x:v>FP-0201–0300</x:v>
      </x:c>
      <x:c r="C236" s="17" t="n">
        <x:v>395</x:v>
      </x:c>
      <x:c r="D236" s="17" t="n">
        <x:v>47</x:v>
      </x:c>
      <x:c r="E236" s="17" t="n">
        <x:v>5</x:v>
      </x:c>
      <x:c r="F236" s="17" t="str">
        <x:v>$[46].questions[4]</x:v>
      </x:c>
      <x:c r="G236" s="17" t="str">
        <x:v>Apg 12,12-16</x:v>
      </x:c>
      <x:c r="H236" s="17" t="str">
        <x:v>Welche auffällige Reaktion zeigt die betende Gruppe auf Rhodes Nachricht?</x:v>
      </x:c>
      <x:c r="I236" s="17" t="str">
        <x:v>Sie glaubte ihr zunächst nicht, obwohl sie für Petrus betete</x:v>
      </x:c>
      <x:c r="J236" s="17" t="str">
        <x:v>FAITHPATH_ONLY</x:v>
      </x:c>
      <x:c r="K236" s="17" t="str"/>
      <x:c r="L236" s="17" t="str"/>
      <x:c r="M236" s="17" t="str"/>
      <x:c r="N236" s="17" t="str"/>
      <x:c r="O236" s="17" t="str"/>
      <x:c r="P236" s="17" t="str"/>
      <x:c r="Q236" s="17" t="str">
        <x:v>NO_SOURCE_EQUIVALENT_SELECTED</x:v>
      </x:c>
      <x:c r="R236" s="17" t="str">
        <x:v>N/A</x:v>
      </x:c>
      <x:c r="S236" s="17" t="str">
        <x:v>FaithPath final QA aggregate (16 SINNGLEICH / 84 FAITHPATH_ONLY) + Nachlese final catalog/QA</x:v>
      </x:c>
      <x:c r="T236" s="17" t="str">
        <x:v>Kein N-Mapping in reconstructed final block allocation.</x:v>
      </x:c>
    </x:row>
    <x:row r="237" ht="26.399999618530273" hidden="0" customHeight="1">
      <x:c r="A237" s="17" t="str">
        <x:v>FP-0236</x:v>
      </x:c>
      <x:c r="B237" s="17" t="str">
        <x:v>FP-0201–0300</x:v>
      </x:c>
      <x:c r="C237" s="17" t="n">
        <x:v>396</x:v>
      </x:c>
      <x:c r="D237" s="17" t="n">
        <x:v>48</x:v>
      </x:c>
      <x:c r="E237" s="17" t="n">
        <x:v>1</x:v>
      </x:c>
      <x:c r="F237" s="17" t="str">
        <x:v>$[47].questions[0]</x:v>
      </x:c>
      <x:c r="G237" s="17" t="str">
        <x:v>Apg 12,20</x:v>
      </x:c>
      <x:c r="H237" s="17" t="str">
        <x:v>Mit welchen Städten bzw. Gebieten lag Herodes im Streit?</x:v>
      </x:c>
      <x:c r="I237" s="17" t="str">
        <x:v>Tyrus und Sidon</x:v>
      </x:c>
      <x:c r="J237" s="17" t="str">
        <x:v>FAITHPATH_ONLY</x:v>
      </x:c>
      <x:c r="K237" s="17" t="str"/>
      <x:c r="L237" s="17" t="str"/>
      <x:c r="M237" s="17" t="str"/>
      <x:c r="N237" s="17" t="str"/>
      <x:c r="O237" s="17" t="str"/>
      <x:c r="P237" s="17" t="str"/>
      <x:c r="Q237" s="17" t="str">
        <x:v>NO_SOURCE_EQUIVALENT_SELECTED</x:v>
      </x:c>
      <x:c r="R237" s="17" t="str">
        <x:v>N/A</x:v>
      </x:c>
      <x:c r="S237" s="17" t="str">
        <x:v>FaithPath final QA aggregate (16 SINNGLEICH / 84 FAITHPATH_ONLY) + Nachlese final catalog/QA</x:v>
      </x:c>
      <x:c r="T237" s="17" t="str">
        <x:v>Kein N-Mapping in reconstructed final block allocation.</x:v>
      </x:c>
    </x:row>
    <x:row r="238" ht="26.399999618530273" hidden="0" customHeight="1">
      <x:c r="A238" s="17" t="str">
        <x:v>FP-0237</x:v>
      </x:c>
      <x:c r="B238" s="17" t="str">
        <x:v>FP-0201–0300</x:v>
      </x:c>
      <x:c r="C238" s="17" t="n">
        <x:v>396</x:v>
      </x:c>
      <x:c r="D238" s="17" t="n">
        <x:v>48</x:v>
      </x:c>
      <x:c r="E238" s="17" t="n">
        <x:v>2</x:v>
      </x:c>
      <x:c r="F238" s="17" t="str">
        <x:v>$[47].questions[1]</x:v>
      </x:c>
      <x:c r="G238" s="17" t="str">
        <x:v>Apg 12,20</x:v>
      </x:c>
      <x:c r="H238" s="17" t="str">
        <x:v>Wie hieß der königliche Kämmerer, über den die Gesandten Zugang suchten?</x:v>
      </x:c>
      <x:c r="I238" s="17" t="str">
        <x:v>Blastus</x:v>
      </x:c>
      <x:c r="J238" s="17" t="str">
        <x:v>FAITHPATH_ONLY</x:v>
      </x:c>
      <x:c r="K238" s="17" t="str"/>
      <x:c r="L238" s="17" t="str"/>
      <x:c r="M238" s="17" t="str"/>
      <x:c r="N238" s="17" t="str"/>
      <x:c r="O238" s="17" t="str"/>
      <x:c r="P238" s="17" t="str"/>
      <x:c r="Q238" s="17" t="str">
        <x:v>NO_SOURCE_EQUIVALENT_SELECTED</x:v>
      </x:c>
      <x:c r="R238" s="17" t="str">
        <x:v>N/A</x:v>
      </x:c>
      <x:c r="S238" s="17" t="str">
        <x:v>FaithPath final QA aggregate (16 SINNGLEICH / 84 FAITHPATH_ONLY) + Nachlese final catalog/QA</x:v>
      </x:c>
      <x:c r="T238" s="17" t="str">
        <x:v>Kein N-Mapping in reconstructed final block allocation.</x:v>
      </x:c>
    </x:row>
    <x:row r="239" ht="26.399999618530273" hidden="0" customHeight="1">
      <x:c r="A239" s="17" t="str">
        <x:v>FP-0238</x:v>
      </x:c>
      <x:c r="B239" s="17" t="str">
        <x:v>FP-0201–0300</x:v>
      </x:c>
      <x:c r="C239" s="17" t="n">
        <x:v>396</x:v>
      </x:c>
      <x:c r="D239" s="17" t="n">
        <x:v>48</x:v>
      </x:c>
      <x:c r="E239" s="17" t="n">
        <x:v>3</x:v>
      </x:c>
      <x:c r="F239" s="17" t="str">
        <x:v>$[47].questions[2]</x:v>
      </x:c>
      <x:c r="G239" s="17" t="str">
        <x:v>Apg 12,21-22</x:v>
      </x:c>
      <x:c r="H239" s="17" t="str">
        <x:v>Was rief das Volk nach Herodes' Rede?</x:v>
      </x:c>
      <x:c r="I239" s="17" t="str">
        <x:v>Das ist Gottes Stimme und nicht eines Menschen</x:v>
      </x:c>
      <x:c r="J239" s="17" t="str">
        <x:v>FAITHPATH_ONLY</x:v>
      </x:c>
      <x:c r="K239" s="17" t="str"/>
      <x:c r="L239" s="17" t="str"/>
      <x:c r="M239" s="17" t="str"/>
      <x:c r="N239" s="17" t="str"/>
      <x:c r="O239" s="17" t="str"/>
      <x:c r="P239" s="17" t="str"/>
      <x:c r="Q239" s="17" t="str">
        <x:v>NO_SOURCE_EQUIVALENT_SELECTED</x:v>
      </x:c>
      <x:c r="R239" s="17" t="str">
        <x:v>N/A</x:v>
      </x:c>
      <x:c r="S239" s="17" t="str">
        <x:v>FaithPath final QA aggregate (16 SINNGLEICH / 84 FAITHPATH_ONLY) + Nachlese final catalog/QA</x:v>
      </x:c>
      <x:c r="T239" s="17" t="str">
        <x:v>Kein N-Mapping in reconstructed final block allocation.</x:v>
      </x:c>
    </x:row>
    <x:row r="240" ht="26.399999618530273" hidden="0" customHeight="1">
      <x:c r="A240" s="17" t="str">
        <x:v>FP-0239</x:v>
      </x:c>
      <x:c r="B240" s="17" t="str">
        <x:v>FP-0201–0300</x:v>
      </x:c>
      <x:c r="C240" s="17" t="n">
        <x:v>396</x:v>
      </x:c>
      <x:c r="D240" s="17" t="n">
        <x:v>48</x:v>
      </x:c>
      <x:c r="E240" s="17" t="n">
        <x:v>4</x:v>
      </x:c>
      <x:c r="F240" s="17" t="str">
        <x:v>$[47].questions[3]</x:v>
      </x:c>
      <x:c r="G240" s="17" t="str">
        <x:v>Apg 12,23</x:v>
      </x:c>
      <x:c r="H240" s="17" t="str">
        <x:v>Warum wurde Herodes laut Text vom Engel des Herrn geschlagen?</x:v>
      </x:c>
      <x:c r="I240" s="17" t="str">
        <x:v>Weil er Gott nicht die Ehre gab</x:v>
      </x:c>
      <x:c r="J240" s="17" t="str">
        <x:v>SINNGLEICH</x:v>
      </x:c>
      <x:c r="K240" s="17" t="str">
        <x:v>N-1761</x:v>
      </x:c>
      <x:c r="L240" s="17" t="str"/>
      <x:c r="M240" s="17" t="str">
        <x:v>Was geschah Herodes, als das Volk rief: Das ist Gottes Stimme?</x:v>
      </x:c>
      <x:c r="N240" s="17" t="str">
        <x:v>Das Volk aber rief zu: Das ist Gottes</x:v>
      </x:c>
      <x:c r="O240" s="17" t="str">
        <x:v>Rhode öffnet nicht</x:v>
      </x:c>
      <x:c r="P240" s="17" t="str">
        <x:v>Apostelgeschichte 12,1–24</x:v>
      </x:c>
      <x:c r="Q240" s="17" t="str">
        <x:v>RECONSTRUCTED_AGGREGATE_CONSTRAINED</x:v>
      </x:c>
      <x:c r="R240" s="17" t="str">
        <x:v>MEDIUM</x:v>
      </x:c>
      <x:c r="S240" s="17" t="str">
        <x:v>FaithPath final QA aggregate (16 SINNGLEICH / 84 FAITHPATH_ONLY) + Nachlese final catalog/QA</x:v>
      </x:c>
      <x:c r="T240" s="17" t="str">
        <x:v>Reconstructed row-level mapping; original historical Block3 XLSX unavailable.</x:v>
      </x:c>
    </x:row>
    <x:row r="241" ht="26.399999618530273" hidden="0" customHeight="1">
      <x:c r="A241" s="17" t="str">
        <x:v>FP-0240</x:v>
      </x:c>
      <x:c r="B241" s="17" t="str">
        <x:v>FP-0201–0300</x:v>
      </x:c>
      <x:c r="C241" s="17" t="n">
        <x:v>396</x:v>
      </x:c>
      <x:c r="D241" s="17" t="n">
        <x:v>48</x:v>
      </x:c>
      <x:c r="E241" s="17" t="n">
        <x:v>5</x:v>
      </x:c>
      <x:c r="F241" s="17" t="str">
        <x:v>$[47].questions[4]</x:v>
      </x:c>
      <x:c r="G241" s="17" t="str">
        <x:v>Apg 12,24</x:v>
      </x:c>
      <x:c r="H241" s="17" t="str">
        <x:v>Welchen Gegensatz setzt der Text unmittelbar nach Herodes' Tod?</x:v>
      </x:c>
      <x:c r="I241" s="17" t="str">
        <x:v>Das Wort Gottes wuchs und mehrte sich</x:v>
      </x:c>
      <x:c r="J241" s="17" t="str">
        <x:v>FAITHPATH_ONLY</x:v>
      </x:c>
      <x:c r="K241" s="17" t="str"/>
      <x:c r="L241" s="17" t="str"/>
      <x:c r="M241" s="17" t="str"/>
      <x:c r="N241" s="17" t="str"/>
      <x:c r="O241" s="17" t="str"/>
      <x:c r="P241" s="17" t="str"/>
      <x:c r="Q241" s="17" t="str">
        <x:v>NO_SOURCE_EQUIVALENT_SELECTED</x:v>
      </x:c>
      <x:c r="R241" s="17" t="str">
        <x:v>N/A</x:v>
      </x:c>
      <x:c r="S241" s="17" t="str">
        <x:v>FaithPath final QA aggregate (16 SINNGLEICH / 84 FAITHPATH_ONLY) + Nachlese final catalog/QA</x:v>
      </x:c>
      <x:c r="T241" s="17" t="str">
        <x:v>Kein N-Mapping in reconstructed final block allocation.</x:v>
      </x:c>
    </x:row>
    <x:row r="242" ht="26.399999618530273" hidden="0" customHeight="1">
      <x:c r="A242" s="17" t="str">
        <x:v>FP-0241</x:v>
      </x:c>
      <x:c r="B242" s="17" t="str">
        <x:v>FP-0201–0300</x:v>
      </x:c>
      <x:c r="C242" s="17" t="n">
        <x:v>397</x:v>
      </x:c>
      <x:c r="D242" s="17" t="n">
        <x:v>49</x:v>
      </x:c>
      <x:c r="E242" s="17" t="n">
        <x:v>1</x:v>
      </x:c>
      <x:c r="F242" s="17" t="str">
        <x:v>$[48].questions[0]</x:v>
      </x:c>
      <x:c r="G242" s="17" t="str">
        <x:v>Apg 13,1</x:v>
      </x:c>
      <x:c r="H242" s="17" t="str">
        <x:v>In welcher Gemeinde werden die Propheten und Lehrer zu Beginn von Apostelgeschichte 13 genannt?</x:v>
      </x:c>
      <x:c r="I242" s="17" t="str">
        <x:v>Antiochien</x:v>
      </x:c>
      <x:c r="J242" s="17" t="str">
        <x:v>FAITHPATH_ONLY</x:v>
      </x:c>
      <x:c r="K242" s="17" t="str"/>
      <x:c r="L242" s="17" t="str"/>
      <x:c r="M242" s="17" t="str"/>
      <x:c r="N242" s="17" t="str"/>
      <x:c r="O242" s="17" t="str"/>
      <x:c r="P242" s="17" t="str"/>
      <x:c r="Q242" s="17" t="str">
        <x:v>NO_SOURCE_EQUIVALENT_SELECTED</x:v>
      </x:c>
      <x:c r="R242" s="17" t="str">
        <x:v>N/A</x:v>
      </x:c>
      <x:c r="S242" s="17" t="str">
        <x:v>FaithPath final QA aggregate (16 SINNGLEICH / 84 FAITHPATH_ONLY) + Nachlese final catalog/QA</x:v>
      </x:c>
      <x:c r="T242" s="17" t="str">
        <x:v>Kein N-Mapping in reconstructed final block allocation.</x:v>
      </x:c>
    </x:row>
    <x:row r="243" ht="26.399999618530273" hidden="0" customHeight="1">
      <x:c r="A243" s="17" t="str">
        <x:v>FP-0242</x:v>
      </x:c>
      <x:c r="B243" s="17" t="str">
        <x:v>FP-0201–0300</x:v>
      </x:c>
      <x:c r="C243" s="17" t="n">
        <x:v>397</x:v>
      </x:c>
      <x:c r="D243" s="17" t="n">
        <x:v>49</x:v>
      </x:c>
      <x:c r="E243" s="17" t="n">
        <x:v>2</x:v>
      </x:c>
      <x:c r="F243" s="17" t="str">
        <x:v>$[48].questions[1]</x:v>
      </x:c>
      <x:c r="G243" s="17" t="str">
        <x:v>Apg 13,2</x:v>
      </x:c>
      <x:c r="H243" s="17" t="str">
        <x:v>Welche zwei Männer sollte die Gemeinde nach dem Wort des Heiligen Geistes aussondern?</x:v>
      </x:c>
      <x:c r="I243" s="17" t="str">
        <x:v>Barnabas und Saulus</x:v>
      </x:c>
      <x:c r="J243" s="17" t="str">
        <x:v>SINNGLEICH</x:v>
      </x:c>
      <x:c r="K243" s="17" t="str">
        <x:v>N-1762</x:v>
      </x:c>
      <x:c r="L243" s="17" t="str"/>
      <x:c r="M243" s="17" t="str">
        <x:v>Was sprach der heilige Geist, da sie dienten und fasteten?</x:v>
      </x:c>
      <x:c r="N243" s="17" t="str">
        <x:v>Sondert mir aus Barnabas und Saulus zu dem</x:v>
      </x:c>
      <x:c r="O243" s="17" t="str">
        <x:v>Saulus, der auch Paulus heißt</x:v>
      </x:c>
      <x:c r="P243" s="17" t="str">
        <x:v>Apostelgeschichte 13,1–12</x:v>
      </x:c>
      <x:c r="Q243" s="17" t="str">
        <x:v>RECONSTRUCTED_AGGREGATE_CONSTRAINED</x:v>
      </x:c>
      <x:c r="R243" s="17" t="str">
        <x:v>HIGH</x:v>
      </x:c>
      <x:c r="S243" s="17" t="str">
        <x:v>FaithPath final QA aggregate (16 SINNGLEICH / 84 FAITHPATH_ONLY) + Nachlese final catalog/QA</x:v>
      </x:c>
      <x:c r="T243" s="17" t="str">
        <x:v>Reconstructed row-level mapping; original historical Block3 XLSX unavailable.</x:v>
      </x:c>
    </x:row>
    <x:row r="244" ht="26.399999618530273" hidden="0" customHeight="1">
      <x:c r="A244" s="17" t="str">
        <x:v>FP-0243</x:v>
      </x:c>
      <x:c r="B244" s="17" t="str">
        <x:v>FP-0201–0300</x:v>
      </x:c>
      <x:c r="C244" s="17" t="n">
        <x:v>397</x:v>
      </x:c>
      <x:c r="D244" s="17" t="n">
        <x:v>49</x:v>
      </x:c>
      <x:c r="E244" s="17" t="n">
        <x:v>3</x:v>
      </x:c>
      <x:c r="F244" s="17" t="str">
        <x:v>$[48].questions[2]</x:v>
      </x:c>
      <x:c r="G244" s="17" t="str">
        <x:v>Apg 13,2</x:v>
      </x:c>
      <x:c r="H244" s="17" t="str">
        <x:v>Wozu sollten Barnabas und Saulus ausgesondert werden?</x:v>
      </x:c>
      <x:c r="I244" s="17" t="str">
        <x:v>Zu dem Werk, zu dem sie berufen waren</x:v>
      </x:c>
      <x:c r="J244" s="17" t="str">
        <x:v>SINNGLEICH</x:v>
      </x:c>
      <x:c r="K244" s="17" t="str">
        <x:v>N-1762</x:v>
      </x:c>
      <x:c r="L244" s="17" t="str"/>
      <x:c r="M244" s="17" t="str">
        <x:v>Was sprach der heilige Geist, da sie dienten und fasteten?</x:v>
      </x:c>
      <x:c r="N244" s="17" t="str">
        <x:v>Sondert mir aus Barnabas und Saulus zu dem</x:v>
      </x:c>
      <x:c r="O244" s="17" t="str">
        <x:v>Saulus, der auch Paulus heißt</x:v>
      </x:c>
      <x:c r="P244" s="17" t="str">
        <x:v>Apostelgeschichte 13,1–12</x:v>
      </x:c>
      <x:c r="Q244" s="17" t="str">
        <x:v>RECONSTRUCTED_AGGREGATE_CONSTRAINED</x:v>
      </x:c>
      <x:c r="R244" s="17" t="str">
        <x:v>MEDIUM</x:v>
      </x:c>
      <x:c r="S244" s="17" t="str">
        <x:v>FaithPath final QA aggregate (16 SINNGLEICH / 84 FAITHPATH_ONLY) + Nachlese final catalog/QA</x:v>
      </x:c>
      <x:c r="T244" s="17" t="str">
        <x:v>Reconstructed row-level mapping; original historical Block3 XLSX unavailable.</x:v>
      </x:c>
    </x:row>
    <x:row r="245" ht="26.399999618530273" hidden="0" customHeight="1">
      <x:c r="A245" s="17" t="str">
        <x:v>FP-0244</x:v>
      </x:c>
      <x:c r="B245" s="17" t="str">
        <x:v>FP-0201–0300</x:v>
      </x:c>
      <x:c r="C245" s="17" t="n">
        <x:v>397</x:v>
      </x:c>
      <x:c r="D245" s="17" t="n">
        <x:v>49</x:v>
      </x:c>
      <x:c r="E245" s="17" t="n">
        <x:v>4</x:v>
      </x:c>
      <x:c r="F245" s="17" t="str">
        <x:v>$[48].questions[3]</x:v>
      </x:c>
      <x:c r="G245" s="17" t="str">
        <x:v>Apg 13,3</x:v>
      </x:c>
      <x:c r="H245" s="17" t="str">
        <x:v>Welche Handlungen gingen ihrer Aussendung unmittelbar voraus?</x:v>
      </x:c>
      <x:c r="I245" s="17" t="str">
        <x:v>Fasten, Beten und Handauflegung</x:v>
      </x:c>
      <x:c r="J245" s="17" t="str">
        <x:v>FAITHPATH_ONLY</x:v>
      </x:c>
      <x:c r="K245" s="17" t="str"/>
      <x:c r="L245" s="17" t="str"/>
      <x:c r="M245" s="17" t="str"/>
      <x:c r="N245" s="17" t="str"/>
      <x:c r="O245" s="17" t="str"/>
      <x:c r="P245" s="17" t="str"/>
      <x:c r="Q245" s="17" t="str">
        <x:v>NO_SOURCE_EQUIVALENT_SELECTED</x:v>
      </x:c>
      <x:c r="R245" s="17" t="str">
        <x:v>N/A</x:v>
      </x:c>
      <x:c r="S245" s="17" t="str">
        <x:v>FaithPath final QA aggregate (16 SINNGLEICH / 84 FAITHPATH_ONLY) + Nachlese final catalog/QA</x:v>
      </x:c>
      <x:c r="T245" s="17" t="str">
        <x:v>Kein N-Mapping in reconstructed final block allocation.</x:v>
      </x:c>
    </x:row>
    <x:row r="246" ht="26.399999618530273" hidden="0" customHeight="1">
      <x:c r="A246" s="17" t="str">
        <x:v>FP-0245</x:v>
      </x:c>
      <x:c r="B246" s="17" t="str">
        <x:v>FP-0201–0300</x:v>
      </x:c>
      <x:c r="C246" s="17" t="n">
        <x:v>397</x:v>
      </x:c>
      <x:c r="D246" s="17" t="n">
        <x:v>49</x:v>
      </x:c>
      <x:c r="E246" s="17" t="n">
        <x:v>5</x:v>
      </x:c>
      <x:c r="F246" s="17" t="str">
        <x:v>$[48].questions[4]</x:v>
      </x:c>
      <x:c r="G246" s="17" t="str">
        <x:v>Apg 13,4</x:v>
      </x:c>
      <x:c r="H246" s="17" t="str">
        <x:v>Wer wird in Vers 4 als derjenige genannt, der sie aussandte?</x:v>
      </x:c>
      <x:c r="I246" s="17" t="str">
        <x:v>Der Heilige Geist</x:v>
      </x:c>
      <x:c r="J246" s="17" t="str">
        <x:v>FAITHPATH_ONLY</x:v>
      </x:c>
      <x:c r="K246" s="17" t="str"/>
      <x:c r="L246" s="17" t="str"/>
      <x:c r="M246" s="17" t="str"/>
      <x:c r="N246" s="17" t="str"/>
      <x:c r="O246" s="17" t="str"/>
      <x:c r="P246" s="17" t="str"/>
      <x:c r="Q246" s="17" t="str">
        <x:v>NO_SOURCE_EQUIVALENT_SELECTED</x:v>
      </x:c>
      <x:c r="R246" s="17" t="str">
        <x:v>N/A</x:v>
      </x:c>
      <x:c r="S246" s="17" t="str">
        <x:v>FaithPath final QA aggregate (16 SINNGLEICH / 84 FAITHPATH_ONLY) + Nachlese final catalog/QA</x:v>
      </x:c>
      <x:c r="T246" s="17" t="str">
        <x:v>Kein N-Mapping in reconstructed final block allocation.</x:v>
      </x:c>
    </x:row>
    <x:row r="247" ht="26.399999618530273" hidden="0" customHeight="1">
      <x:c r="A247" s="17" t="str">
        <x:v>FP-0246</x:v>
      </x:c>
      <x:c r="B247" s="17" t="str">
        <x:v>FP-0201–0300</x:v>
      </x:c>
      <x:c r="C247" s="17" t="n">
        <x:v>398</x:v>
      </x:c>
      <x:c r="D247" s="17" t="n">
        <x:v>50</x:v>
      </x:c>
      <x:c r="E247" s="17" t="n">
        <x:v>1</x:v>
      </x:c>
      <x:c r="F247" s="17" t="str">
        <x:v>$[49].questions[0]</x:v>
      </x:c>
      <x:c r="G247" s="17" t="str">
        <x:v>Apg 13,4</x:v>
      </x:c>
      <x:c r="H247" s="17" t="str">
        <x:v>Auf welche Insel fuhren Barnabas und Saulus von Seleucia aus?</x:v>
      </x:c>
      <x:c r="I247" s="17" t="str">
        <x:v>Zypern</x:v>
      </x:c>
      <x:c r="J247" s="17" t="str">
        <x:v>SINNGLEICH</x:v>
      </x:c>
      <x:c r="K247" s="17" t="str">
        <x:v>N-1763</x:v>
      </x:c>
      <x:c r="L247" s="17" t="str">
        <x:v>Apostelgeschichte 13,4</x:v>
      </x:c>
      <x:c r="M247" s="17" t="str">
        <x:v>Wohin schifften sie von Seleucia?</x:v>
      </x:c>
      <x:c r="N247" s="17" t="str">
        <x:v>Gen Zypern (Apostelgeschichte 13,4)</x:v>
      </x:c>
      <x:c r="O247" s="17" t="str">
        <x:v>Saulus, der auch Paulus heißt</x:v>
      </x:c>
      <x:c r="P247" s="17" t="str">
        <x:v>Apostelgeschichte 13,1–12</x:v>
      </x:c>
      <x:c r="Q247" s="17" t="str">
        <x:v>RECONSTRUCTED_AGGREGATE_CONSTRAINED</x:v>
      </x:c>
      <x:c r="R247" s="17" t="str">
        <x:v>HIGH</x:v>
      </x:c>
      <x:c r="S247" s="17" t="str">
        <x:v>FaithPath final QA aggregate (16 SINNGLEICH / 84 FAITHPATH_ONLY) + Nachlese final catalog/QA</x:v>
      </x:c>
      <x:c r="T247" s="17" t="str">
        <x:v>Reconstructed row-level mapping; original historical Block3 XLSX unavailable.</x:v>
      </x:c>
    </x:row>
    <x:row r="248" ht="26.399999618530273" hidden="0" customHeight="1">
      <x:c r="A248" s="17" t="str">
        <x:v>FP-0247</x:v>
      </x:c>
      <x:c r="B248" s="17" t="str">
        <x:v>FP-0201–0300</x:v>
      </x:c>
      <x:c r="C248" s="17" t="n">
        <x:v>398</x:v>
      </x:c>
      <x:c r="D248" s="17" t="n">
        <x:v>50</x:v>
      </x:c>
      <x:c r="E248" s="17" t="n">
        <x:v>2</x:v>
      </x:c>
      <x:c r="F248" s="17" t="str">
        <x:v>$[49].questions[1]</x:v>
      </x:c>
      <x:c r="G248" s="17" t="str">
        <x:v>Apg 13,7</x:v>
      </x:c>
      <x:c r="H248" s="17" t="str">
        <x:v>Wie hieß der Landvogt, der das Wort Gottes hören wollte?</x:v>
      </x:c>
      <x:c r="I248" s="17" t="str">
        <x:v>Sergius Paulus</x:v>
      </x:c>
      <x:c r="J248" s="17" t="str">
        <x:v>FAITHPATH_ONLY</x:v>
      </x:c>
      <x:c r="K248" s="17" t="str"/>
      <x:c r="L248" s="17" t="str"/>
      <x:c r="M248" s="17" t="str"/>
      <x:c r="N248" s="17" t="str"/>
      <x:c r="O248" s="17" t="str"/>
      <x:c r="P248" s="17" t="str"/>
      <x:c r="Q248" s="17" t="str">
        <x:v>NO_SOURCE_EQUIVALENT_SELECTED</x:v>
      </x:c>
      <x:c r="R248" s="17" t="str">
        <x:v>N/A</x:v>
      </x:c>
      <x:c r="S248" s="17" t="str">
        <x:v>FaithPath final QA aggregate (16 SINNGLEICH / 84 FAITHPATH_ONLY) + Nachlese final catalog/QA</x:v>
      </x:c>
      <x:c r="T248" s="17" t="str">
        <x:v>Kein N-Mapping in reconstructed final block allocation.</x:v>
      </x:c>
    </x:row>
    <x:row r="249" ht="26.399999618530273" hidden="0" customHeight="1">
      <x:c r="A249" s="17" t="str">
        <x:v>FP-0248</x:v>
      </x:c>
      <x:c r="B249" s="17" t="str">
        <x:v>FP-0201–0300</x:v>
      </x:c>
      <x:c r="C249" s="17" t="n">
        <x:v>398</x:v>
      </x:c>
      <x:c r="D249" s="17" t="n">
        <x:v>50</x:v>
      </x:c>
      <x:c r="E249" s="17" t="n">
        <x:v>3</x:v>
      </x:c>
      <x:c r="F249" s="17" t="str">
        <x:v>$[49].questions[2]</x:v>
      </x:c>
      <x:c r="G249" s="17" t="str">
        <x:v>Apg 13,6-8</x:v>
      </x:c>
      <x:c r="H249" s="17" t="str">
        <x:v>Wer versuchte, den Landvogt vom Glauben abzuwenden?</x:v>
      </x:c>
      <x:c r="I249" s="17" t="str">
        <x:v>Elymas, der Zauberer</x:v>
      </x:c>
      <x:c r="J249" s="17" t="str">
        <x:v>SINNGLEICH</x:v>
      </x:c>
      <x:c r="K249" s="17" t="str">
        <x:v>N-1764</x:v>
      </x:c>
      <x:c r="L249" s="17" t="str"/>
      <x:c r="M249" s="17" t="str">
        <x:v>Wie heißt der Zauberer, und bei wem war er?</x:v>
      </x:c>
      <x:c r="N249" s="17" t="str">
        <x:v>Einen Zauberer und falschen Propheten (Apostelgeschichte</x:v>
      </x:c>
      <x:c r="O249" s="17" t="str">
        <x:v>Saulus, der auch Paulus heißt</x:v>
      </x:c>
      <x:c r="P249" s="17" t="str">
        <x:v>Apostelgeschichte 13,1–12</x:v>
      </x:c>
      <x:c r="Q249" s="17" t="str">
        <x:v>RECONSTRUCTED_AGGREGATE_CONSTRAINED</x:v>
      </x:c>
      <x:c r="R249" s="17" t="str">
        <x:v>MEDIUM</x:v>
      </x:c>
      <x:c r="S249" s="17" t="str">
        <x:v>FaithPath final QA aggregate (16 SINNGLEICH / 84 FAITHPATH_ONLY) + Nachlese final catalog/QA</x:v>
      </x:c>
      <x:c r="T249" s="17" t="str">
        <x:v>Reconstructed row-level mapping; original historical Block3 XLSX unavailable.</x:v>
      </x:c>
    </x:row>
    <x:row r="250" ht="26.399999618530273" hidden="0" customHeight="1">
      <x:c r="A250" s="17" t="str">
        <x:v>FP-0249</x:v>
      </x:c>
      <x:c r="B250" s="17" t="str">
        <x:v>FP-0201–0300</x:v>
      </x:c>
      <x:c r="C250" s="17" t="n">
        <x:v>398</x:v>
      </x:c>
      <x:c r="D250" s="17" t="n">
        <x:v>50</x:v>
      </x:c>
      <x:c r="E250" s="17" t="n">
        <x:v>4</x:v>
      </x:c>
      <x:c r="F250" s="17" t="str">
        <x:v>$[49].questions[3]</x:v>
      </x:c>
      <x:c r="G250" s="17" t="str">
        <x:v>Apg 13,9-11</x:v>
      </x:c>
      <x:c r="H250" s="17" t="str">
        <x:v>Welche zeitlich begrenzte Folge kündigte Paulus Elymas an?</x:v>
      </x:c>
      <x:c r="I250" s="17" t="str">
        <x:v>Er werde blind sein und die Sonne eine Zeitlang nicht sehen</x:v>
      </x:c>
      <x:c r="J250" s="17" t="str">
        <x:v>SINNGLEICH</x:v>
      </x:c>
      <x:c r="K250" s="17" t="str">
        <x:v>N-1766</x:v>
      </x:c>
      <x:c r="L250" s="17" t="str"/>
      <x:c r="M250" s="17" t="str">
        <x:v>Was kommt über Elymas?</x:v>
      </x:c>
      <x:c r="N250" s="17" t="str">
        <x:v>Du sollst blind sein und die Sonne eine Zeitlang nicht sehen!</x:v>
      </x:c>
      <x:c r="O250" s="17" t="str">
        <x:v>Saulus, der auch Paulus heißt</x:v>
      </x:c>
      <x:c r="P250" s="17" t="str">
        <x:v>Apostelgeschichte 13,1–12</x:v>
      </x:c>
      <x:c r="Q250" s="17" t="str">
        <x:v>RECONSTRUCTED_AGGREGATE_CONSTRAINED</x:v>
      </x:c>
      <x:c r="R250" s="17" t="str">
        <x:v>HIGH</x:v>
      </x:c>
      <x:c r="S250" s="17" t="str">
        <x:v>FaithPath final QA aggregate (16 SINNGLEICH / 84 FAITHPATH_ONLY) + Nachlese final catalog/QA</x:v>
      </x:c>
      <x:c r="T250" s="17" t="str">
        <x:v>Reconstructed row-level mapping; original historical Block3 XLSX unavailable.</x:v>
      </x:c>
    </x:row>
    <x:row r="251" ht="26.399999618530273" hidden="0" customHeight="1">
      <x:c r="A251" s="17" t="str">
        <x:v>FP-0250</x:v>
      </x:c>
      <x:c r="B251" s="17" t="str">
        <x:v>FP-0201–0300</x:v>
      </x:c>
      <x:c r="C251" s="17" t="n">
        <x:v>398</x:v>
      </x:c>
      <x:c r="D251" s="17" t="n">
        <x:v>50</x:v>
      </x:c>
      <x:c r="E251" s="17" t="n">
        <x:v>5</x:v>
      </x:c>
      <x:c r="F251" s="17" t="str">
        <x:v>$[49].questions[4]</x:v>
      </x:c>
      <x:c r="G251" s="17" t="str">
        <x:v>Apg 13,12</x:v>
      </x:c>
      <x:c r="H251" s="17" t="str">
        <x:v>Was führte beim Landvogt laut Vers 12 zum Glauben und Staunen?</x:v>
      </x:c>
      <x:c r="I251" s="17" t="str">
        <x:v>Er sah das Geschehen und verwunderte sich über die Lehre des Herrn</x:v>
      </x:c>
      <x:c r="J251" s="17" t="str">
        <x:v>FAITHPATH_ONLY</x:v>
      </x:c>
      <x:c r="K251" s="17" t="str"/>
      <x:c r="L251" s="17" t="str"/>
      <x:c r="M251" s="17" t="str"/>
      <x:c r="N251" s="17" t="str"/>
      <x:c r="O251" s="17" t="str"/>
      <x:c r="P251" s="17" t="str"/>
      <x:c r="Q251" s="17" t="str">
        <x:v>NO_SOURCE_EQUIVALENT_SELECTED</x:v>
      </x:c>
      <x:c r="R251" s="17" t="str">
        <x:v>N/A</x:v>
      </x:c>
      <x:c r="S251" s="17" t="str">
        <x:v>FaithPath final QA aggregate (16 SINNGLEICH / 84 FAITHPATH_ONLY) + Nachlese final catalog/QA</x:v>
      </x:c>
      <x:c r="T251" s="17" t="str">
        <x:v>Kein N-Mapping in reconstructed final block allocation.</x:v>
      </x:c>
    </x:row>
    <x:row r="252" ht="26.399999618530273" hidden="0" customHeight="1">
      <x:c r="A252" s="17" t="str">
        <x:v>FP-0251</x:v>
      </x:c>
      <x:c r="B252" s="17" t="str">
        <x:v>FP-0201–0300</x:v>
      </x:c>
      <x:c r="C252" s="17" t="n">
        <x:v>399</x:v>
      </x:c>
      <x:c r="D252" s="17" t="n">
        <x:v>51</x:v>
      </x:c>
      <x:c r="E252" s="17" t="n">
        <x:v>1</x:v>
      </x:c>
      <x:c r="F252" s="17" t="str">
        <x:v>$[50].questions[0]</x:v>
      </x:c>
      <x:c r="G252" s="17" t="str">
        <x:v>Apg 13,13</x:v>
      </x:c>
      <x:c r="H252" s="17" t="str">
        <x:v>Wer verließ Paulus und seine Begleiter in Perge und kehrte nach Jerusalem zurück?</x:v>
      </x:c>
      <x:c r="I252" s="17" t="str">
        <x:v>Johannes</x:v>
      </x:c>
      <x:c r="J252" s="17" t="str">
        <x:v>SINNGLEICH</x:v>
      </x:c>
      <x:c r="K252" s="17" t="str">
        <x:v>N-1767</x:v>
      </x:c>
      <x:c r="L252" s="17" t="str">
        <x:v>Apostelgeschichte 13,13</x:v>
      </x:c>
      <x:c r="M252" s="17" t="str">
        <x:v>Was tat Johannes in Perge?</x:v>
      </x:c>
      <x:c r="N252" s="17" t="str">
        <x:v>Johannes aber wich von ihnen und zog wieder (Apostelgeschichte 13,13)</x:v>
      </x:c>
      <x:c r="O252" s="17" t="str">
        <x:v>So wenden wir uns zu den Heiden</x:v>
      </x:c>
      <x:c r="P252" s="17" t="str">
        <x:v>Apostelgeschichte 13,13–52</x:v>
      </x:c>
      <x:c r="Q252" s="17" t="str">
        <x:v>RECONSTRUCTED_AGGREGATE_CONSTRAINED</x:v>
      </x:c>
      <x:c r="R252" s="17" t="str">
        <x:v>HIGH</x:v>
      </x:c>
      <x:c r="S252" s="17" t="str">
        <x:v>FaithPath final QA aggregate (16 SINNGLEICH / 84 FAITHPATH_ONLY) + Nachlese final catalog/QA</x:v>
      </x:c>
      <x:c r="T252" s="17" t="str">
        <x:v>Reconstructed row-level mapping; original historical Block3 XLSX unavailable.</x:v>
      </x:c>
    </x:row>
    <x:row r="253" ht="26.399999618530273" hidden="0" customHeight="1">
      <x:c r="A253" s="17" t="str">
        <x:v>FP-0252</x:v>
      </x:c>
      <x:c r="B253" s="17" t="str">
        <x:v>FP-0201–0300</x:v>
      </x:c>
      <x:c r="C253" s="17" t="n">
        <x:v>399</x:v>
      </x:c>
      <x:c r="D253" s="17" t="n">
        <x:v>51</x:v>
      </x:c>
      <x:c r="E253" s="17" t="n">
        <x:v>2</x:v>
      </x:c>
      <x:c r="F253" s="17" t="str">
        <x:v>$[50].questions[1]</x:v>
      </x:c>
      <x:c r="G253" s="17" t="str">
        <x:v>Apg 13,14</x:v>
      </x:c>
      <x:c r="H253" s="17" t="str">
        <x:v>An welchem Tag gingen Paulus und seine Begleiter in Antiochien in Pisidien in die Synagoge?</x:v>
      </x:c>
      <x:c r="I253" s="17" t="str">
        <x:v>Am Sabbat</x:v>
      </x:c>
      <x:c r="J253" s="17" t="str">
        <x:v>FAITHPATH_ONLY</x:v>
      </x:c>
      <x:c r="K253" s="17" t="str"/>
      <x:c r="L253" s="17" t="str"/>
      <x:c r="M253" s="17" t="str"/>
      <x:c r="N253" s="17" t="str"/>
      <x:c r="O253" s="17" t="str"/>
      <x:c r="P253" s="17" t="str"/>
      <x:c r="Q253" s="17" t="str">
        <x:v>NO_SOURCE_EQUIVALENT_SELECTED</x:v>
      </x:c>
      <x:c r="R253" s="17" t="str">
        <x:v>N/A</x:v>
      </x:c>
      <x:c r="S253" s="17" t="str">
        <x:v>FaithPath final QA aggregate (16 SINNGLEICH / 84 FAITHPATH_ONLY) + Nachlese final catalog/QA</x:v>
      </x:c>
      <x:c r="T253" s="17" t="str">
        <x:v>Kein N-Mapping in reconstructed final block allocation.</x:v>
      </x:c>
    </x:row>
    <x:row r="254" ht="26.399999618530273" hidden="0" customHeight="1">
      <x:c r="A254" s="17" t="str">
        <x:v>FP-0253</x:v>
      </x:c>
      <x:c r="B254" s="17" t="str">
        <x:v>FP-0201–0300</x:v>
      </x:c>
      <x:c r="C254" s="17" t="n">
        <x:v>399</x:v>
      </x:c>
      <x:c r="D254" s="17" t="n">
        <x:v>51</x:v>
      </x:c>
      <x:c r="E254" s="17" t="n">
        <x:v>3</x:v>
      </x:c>
      <x:c r="F254" s="17" t="str">
        <x:v>$[50].questions[2]</x:v>
      </x:c>
      <x:c r="G254" s="17" t="str">
        <x:v>Apg 13,15</x:v>
      </x:c>
      <x:c r="H254" s="17" t="str">
        <x:v>Welche beiden Schriftbereiche waren gelesen worden, bevor Paulus zum Reden eingeladen wurde?</x:v>
      </x:c>
      <x:c r="I254" s="17" t="str">
        <x:v>Gesetz und Propheten</x:v>
      </x:c>
      <x:c r="J254" s="17" t="str">
        <x:v>FAITHPATH_ONLY</x:v>
      </x:c>
      <x:c r="K254" s="17" t="str"/>
      <x:c r="L254" s="17" t="str"/>
      <x:c r="M254" s="17" t="str"/>
      <x:c r="N254" s="17" t="str"/>
      <x:c r="O254" s="17" t="str"/>
      <x:c r="P254" s="17" t="str"/>
      <x:c r="Q254" s="17" t="str">
        <x:v>NO_SOURCE_EQUIVALENT_SELECTED</x:v>
      </x:c>
      <x:c r="R254" s="17" t="str">
        <x:v>N/A</x:v>
      </x:c>
      <x:c r="S254" s="17" t="str">
        <x:v>FaithPath final QA aggregate (16 SINNGLEICH / 84 FAITHPATH_ONLY) + Nachlese final catalog/QA</x:v>
      </x:c>
      <x:c r="T254" s="17" t="str">
        <x:v>Kein N-Mapping in reconstructed final block allocation.</x:v>
      </x:c>
    </x:row>
    <x:row r="255" ht="26.399999618530273" hidden="0" customHeight="1">
      <x:c r="A255" s="17" t="str">
        <x:v>FP-0254</x:v>
      </x:c>
      <x:c r="B255" s="17" t="str">
        <x:v>FP-0201–0300</x:v>
      </x:c>
      <x:c r="C255" s="17" t="n">
        <x:v>399</x:v>
      </x:c>
      <x:c r="D255" s="17" t="n">
        <x:v>51</x:v>
      </x:c>
      <x:c r="E255" s="17" t="n">
        <x:v>4</x:v>
      </x:c>
      <x:c r="F255" s="17" t="str">
        <x:v>$[50].questions[3]</x:v>
      </x:c>
      <x:c r="G255" s="17" t="str">
        <x:v>Apg 13,21</x:v>
      </x:c>
      <x:c r="H255" s="17" t="str">
        <x:v>Welchen König nennt Paulus als Sohn des Kis aus dem Stamm Benjamin?</x:v>
      </x:c>
      <x:c r="I255" s="17" t="str">
        <x:v>Saul</x:v>
      </x:c>
      <x:c r="J255" s="17" t="str">
        <x:v>FAITHPATH_ONLY</x:v>
      </x:c>
      <x:c r="K255" s="17" t="str"/>
      <x:c r="L255" s="17" t="str"/>
      <x:c r="M255" s="17" t="str"/>
      <x:c r="N255" s="17" t="str"/>
      <x:c r="O255" s="17" t="str"/>
      <x:c r="P255" s="17" t="str"/>
      <x:c r="Q255" s="17" t="str">
        <x:v>NO_SOURCE_EQUIVALENT_SELECTED</x:v>
      </x:c>
      <x:c r="R255" s="17" t="str">
        <x:v>N/A</x:v>
      </x:c>
      <x:c r="S255" s="17" t="str">
        <x:v>FaithPath final QA aggregate (16 SINNGLEICH / 84 FAITHPATH_ONLY) + Nachlese final catalog/QA</x:v>
      </x:c>
      <x:c r="T255" s="17" t="str">
        <x:v>Kein N-Mapping in reconstructed final block allocation.</x:v>
      </x:c>
    </x:row>
    <x:row r="256" ht="26.399999618530273" hidden="0" customHeight="1">
      <x:c r="A256" s="17" t="str">
        <x:v>FP-0255</x:v>
      </x:c>
      <x:c r="B256" s="17" t="str">
        <x:v>FP-0201–0300</x:v>
      </x:c>
      <x:c r="C256" s="17" t="n">
        <x:v>399</x:v>
      </x:c>
      <x:c r="D256" s="17" t="n">
        <x:v>51</x:v>
      </x:c>
      <x:c r="E256" s="17" t="n">
        <x:v>5</x:v>
      </x:c>
      <x:c r="F256" s="17" t="str">
        <x:v>$[50].questions[4]</x:v>
      </x:c>
      <x:c r="G256" s="17" t="str">
        <x:v>Apg 13,22-23</x:v>
      </x:c>
      <x:c r="H256" s="17" t="str">
        <x:v>Wie verbindet Paulus David mit Jesus?</x:v>
      </x:c>
      <x:c r="I256" s="17" t="str">
        <x:v>Aus Davids Samen habe Gott nach der Verheißung Jesus als Heiland kommen lassen</x:v>
      </x:c>
      <x:c r="J256" s="17" t="str">
        <x:v>FAITHPATH_ONLY</x:v>
      </x:c>
      <x:c r="K256" s="17" t="str"/>
      <x:c r="L256" s="17" t="str"/>
      <x:c r="M256" s="17" t="str"/>
      <x:c r="N256" s="17" t="str"/>
      <x:c r="O256" s="17" t="str"/>
      <x:c r="P256" s="17" t="str"/>
      <x:c r="Q256" s="17" t="str">
        <x:v>NO_SOURCE_EQUIVALENT_SELECTED</x:v>
      </x:c>
      <x:c r="R256" s="17" t="str">
        <x:v>N/A</x:v>
      </x:c>
      <x:c r="S256" s="17" t="str">
        <x:v>FaithPath final QA aggregate (16 SINNGLEICH / 84 FAITHPATH_ONLY) + Nachlese final catalog/QA</x:v>
      </x:c>
      <x:c r="T256" s="17" t="str">
        <x:v>Kein N-Mapping in reconstructed final block allocation.</x:v>
      </x:c>
    </x:row>
    <x:row r="257" ht="26.399999618530273" hidden="0" customHeight="1">
      <x:c r="A257" s="17" t="str">
        <x:v>FP-0256</x:v>
      </x:c>
      <x:c r="B257" s="17" t="str">
        <x:v>FP-0201–0300</x:v>
      </x:c>
      <x:c r="C257" s="17" t="n">
        <x:v>400</x:v>
      </x:c>
      <x:c r="D257" s="17" t="n">
        <x:v>52</x:v>
      </x:c>
      <x:c r="E257" s="17" t="n">
        <x:v>1</x:v>
      </x:c>
      <x:c r="F257" s="17" t="str">
        <x:v>$[51].questions[0]</x:v>
      </x:c>
      <x:c r="G257" s="17" t="str">
        <x:v>Apg 13,27-29</x:v>
      </x:c>
      <x:c r="H257" s="17" t="str">
        <x:v>Was geschah mit Jesus, nachdem alles vollendet war, was über ihn geschrieben stand?</x:v>
      </x:c>
      <x:c r="I257" s="17" t="str">
        <x:v>Er wurde vom Holz genommen und in ein Grab gelegt</x:v>
      </x:c>
      <x:c r="J257" s="17" t="str">
        <x:v>FAITHPATH_ONLY</x:v>
      </x:c>
      <x:c r="K257" s="17" t="str"/>
      <x:c r="L257" s="17" t="str"/>
      <x:c r="M257" s="17" t="str"/>
      <x:c r="N257" s="17" t="str"/>
      <x:c r="O257" s="17" t="str"/>
      <x:c r="P257" s="17" t="str"/>
      <x:c r="Q257" s="17" t="str">
        <x:v>NO_SOURCE_EQUIVALENT_SELECTED</x:v>
      </x:c>
      <x:c r="R257" s="17" t="str">
        <x:v>N/A</x:v>
      </x:c>
      <x:c r="S257" s="17" t="str">
        <x:v>FaithPath final QA aggregate (16 SINNGLEICH / 84 FAITHPATH_ONLY) + Nachlese final catalog/QA</x:v>
      </x:c>
      <x:c r="T257" s="17" t="str">
        <x:v>Kein N-Mapping in reconstructed final block allocation.</x:v>
      </x:c>
    </x:row>
    <x:row r="258" ht="26.399999618530273" hidden="0" customHeight="1">
      <x:c r="A258" s="17" t="str">
        <x:v>FP-0257</x:v>
      </x:c>
      <x:c r="B258" s="17" t="str">
        <x:v>FP-0201–0300</x:v>
      </x:c>
      <x:c r="C258" s="17" t="n">
        <x:v>400</x:v>
      </x:c>
      <x:c r="D258" s="17" t="n">
        <x:v>52</x:v>
      </x:c>
      <x:c r="E258" s="17" t="n">
        <x:v>2</x:v>
      </x:c>
      <x:c r="F258" s="17" t="str">
        <x:v>$[51].questions[1]</x:v>
      </x:c>
      <x:c r="G258" s="17" t="str">
        <x:v>Apg 13,30</x:v>
      </x:c>
      <x:c r="H258" s="17" t="str">
        <x:v>Was tat Gott nach Paulus' Verkündigung mit Jesus?</x:v>
      </x:c>
      <x:c r="I258" s="17" t="str">
        <x:v>Er weckte ihn von den Toten auf</x:v>
      </x:c>
      <x:c r="J258" s="17" t="str">
        <x:v>FAITHPATH_ONLY</x:v>
      </x:c>
      <x:c r="K258" s="17" t="str"/>
      <x:c r="L258" s="17" t="str"/>
      <x:c r="M258" s="17" t="str"/>
      <x:c r="N258" s="17" t="str"/>
      <x:c r="O258" s="17" t="str"/>
      <x:c r="P258" s="17" t="str"/>
      <x:c r="Q258" s="17" t="str">
        <x:v>NO_SOURCE_EQUIVALENT_SELECTED</x:v>
      </x:c>
      <x:c r="R258" s="17" t="str">
        <x:v>N/A</x:v>
      </x:c>
      <x:c r="S258" s="17" t="str">
        <x:v>FaithPath final QA aggregate (16 SINNGLEICH / 84 FAITHPATH_ONLY) + Nachlese final catalog/QA</x:v>
      </x:c>
      <x:c r="T258" s="17" t="str">
        <x:v>Kein N-Mapping in reconstructed final block allocation.</x:v>
      </x:c>
    </x:row>
    <x:row r="259" ht="26.399999618530273" hidden="0" customHeight="1">
      <x:c r="A259" s="17" t="str">
        <x:v>FP-0258</x:v>
      </x:c>
      <x:c r="B259" s="17" t="str">
        <x:v>FP-0201–0300</x:v>
      </x:c>
      <x:c r="C259" s="17" t="n">
        <x:v>400</x:v>
      </x:c>
      <x:c r="D259" s="17" t="n">
        <x:v>52</x:v>
      </x:c>
      <x:c r="E259" s="17" t="n">
        <x:v>3</x:v>
      </x:c>
      <x:c r="F259" s="17" t="str">
        <x:v>$[51].questions[2]</x:v>
      </x:c>
      <x:c r="G259" s="17" t="str">
        <x:v>Apg 13,31</x:v>
      </x:c>
      <x:c r="H259" s="17" t="str">
        <x:v>Wer wird als Zeuge des Auferstandenen gegenüber dem Volk genannt?</x:v>
      </x:c>
      <x:c r="I259" s="17" t="str">
        <x:v>Diejenigen, die mit Jesus von Galiläa nach Jerusalem hinaufgezogen waren</x:v>
      </x:c>
      <x:c r="J259" s="17" t="str">
        <x:v>FAITHPATH_ONLY</x:v>
      </x:c>
      <x:c r="K259" s="17" t="str"/>
      <x:c r="L259" s="17" t="str"/>
      <x:c r="M259" s="17" t="str"/>
      <x:c r="N259" s="17" t="str"/>
      <x:c r="O259" s="17" t="str"/>
      <x:c r="P259" s="17" t="str"/>
      <x:c r="Q259" s="17" t="str">
        <x:v>NO_SOURCE_EQUIVALENT_SELECTED</x:v>
      </x:c>
      <x:c r="R259" s="17" t="str">
        <x:v>N/A</x:v>
      </x:c>
      <x:c r="S259" s="17" t="str">
        <x:v>FaithPath final QA aggregate (16 SINNGLEICH / 84 FAITHPATH_ONLY) + Nachlese final catalog/QA</x:v>
      </x:c>
      <x:c r="T259" s="17" t="str">
        <x:v>Kein N-Mapping in reconstructed final block allocation.</x:v>
      </x:c>
    </x:row>
    <x:row r="260" ht="26.399999618530273" hidden="0" customHeight="1">
      <x:c r="A260" s="17" t="str">
        <x:v>FP-0259</x:v>
      </x:c>
      <x:c r="B260" s="17" t="str">
        <x:v>FP-0201–0300</x:v>
      </x:c>
      <x:c r="C260" s="17" t="n">
        <x:v>400</x:v>
      </x:c>
      <x:c r="D260" s="17" t="n">
        <x:v>52</x:v>
      </x:c>
      <x:c r="E260" s="17" t="n">
        <x:v>4</x:v>
      </x:c>
      <x:c r="F260" s="17" t="str">
        <x:v>$[51].questions[3]</x:v>
      </x:c>
      <x:c r="G260" s="17" t="str">
        <x:v>Apg 13,38</x:v>
      </x:c>
      <x:c r="H260" s="17" t="str">
        <x:v>Was wird nach Paulus durch Jesus verkündigt?</x:v>
      </x:c>
      <x:c r="I260" s="17" t="str">
        <x:v>Vergebung der Sünden</x:v>
      </x:c>
      <x:c r="J260" s="17" t="str">
        <x:v>SINNGLEICH</x:v>
      </x:c>
      <x:c r="K260" s="17" t="str">
        <x:v>N-1769</x:v>
      </x:c>
      <x:c r="L260" s="17" t="str"/>
      <x:c r="M260" s="17" t="str">
        <x:v>Was wird verkündigt, wovon das Gesetz Mose's nicht gerecht machen konnte?</x:v>
      </x:c>
      <x:c r="N260" s="17" t="str">
        <x:v>Vergebung der Sünden</x:v>
      </x:c>
      <x:c r="O260" s="17" t="str">
        <x:v>So wenden wir uns zu den Heiden</x:v>
      </x:c>
      <x:c r="P260" s="17" t="str">
        <x:v>Apostelgeschichte 13,13–52</x:v>
      </x:c>
      <x:c r="Q260" s="17" t="str">
        <x:v>RECONSTRUCTED_AGGREGATE_CONSTRAINED</x:v>
      </x:c>
      <x:c r="R260" s="17" t="str">
        <x:v>HIGH</x:v>
      </x:c>
      <x:c r="S260" s="17" t="str">
        <x:v>FaithPath final QA aggregate (16 SINNGLEICH / 84 FAITHPATH_ONLY) + Nachlese final catalog/QA</x:v>
      </x:c>
      <x:c r="T260" s="17" t="str">
        <x:v>Reconstructed row-level mapping; original historical Block3 XLSX unavailable.</x:v>
      </x:c>
    </x:row>
    <x:row r="261" ht="26.399999618530273" hidden="0" customHeight="1">
      <x:c r="A261" s="17" t="str">
        <x:v>FP-0260</x:v>
      </x:c>
      <x:c r="B261" s="17" t="str">
        <x:v>FP-0201–0300</x:v>
      </x:c>
      <x:c r="C261" s="17" t="n">
        <x:v>400</x:v>
      </x:c>
      <x:c r="D261" s="17" t="n">
        <x:v>52</x:v>
      </x:c>
      <x:c r="E261" s="17" t="n">
        <x:v>5</x:v>
      </x:c>
      <x:c r="F261" s="17" t="str">
        <x:v>$[51].questions[4]</x:v>
      </x:c>
      <x:c r="G261" s="17" t="str">
        <x:v>Apg 13,35-37</x:v>
      </x:c>
      <x:c r="H261" s="17" t="str">
        <x:v>Welchen Unterschied macht Paulus zwischen David und dem von Gott Auferweckten im Blick auf die Verwesung?</x:v>
      </x:c>
      <x:c r="I261" s="17" t="str">
        <x:v>David sah die Verwesung, der von Gott Auferweckte nicht</x:v>
      </x:c>
      <x:c r="J261" s="17" t="str">
        <x:v>FAITHPATH_ONLY</x:v>
      </x:c>
      <x:c r="K261" s="17" t="str"/>
      <x:c r="L261" s="17" t="str"/>
      <x:c r="M261" s="17" t="str"/>
      <x:c r="N261" s="17" t="str"/>
      <x:c r="O261" s="17" t="str"/>
      <x:c r="P261" s="17" t="str"/>
      <x:c r="Q261" s="17" t="str">
        <x:v>NO_SOURCE_EQUIVALENT_SELECTED</x:v>
      </x:c>
      <x:c r="R261" s="17" t="str">
        <x:v>N/A</x:v>
      </x:c>
      <x:c r="S261" s="17" t="str">
        <x:v>FaithPath final QA aggregate (16 SINNGLEICH / 84 FAITHPATH_ONLY) + Nachlese final catalog/QA</x:v>
      </x:c>
      <x:c r="T261" s="17" t="str">
        <x:v>Kein N-Mapping in reconstructed final block allocation.</x:v>
      </x:c>
    </x:row>
    <x:row r="262" ht="26.399999618530273" hidden="0" customHeight="1">
      <x:c r="A262" s="17" t="str">
        <x:v>FP-0261</x:v>
      </x:c>
      <x:c r="B262" s="17" t="str">
        <x:v>FP-0201–0300</x:v>
      </x:c>
      <x:c r="C262" s="17" t="n">
        <x:v>10000</x:v>
      </x:c>
      <x:c r="D262" s="17" t="n">
        <x:v>53</x:v>
      </x:c>
      <x:c r="E262" s="17" t="n">
        <x:v>1</x:v>
      </x:c>
      <x:c r="F262" s="17" t="str">
        <x:v>$[52].questions[0]</x:v>
      </x:c>
      <x:c r="G262" s="17" t="str">
        <x:v>Matthäus 1,1</x:v>
      </x:c>
      <x:c r="H262" s="17" t="str">
        <x:v>Welche dieser Aussagen stammt aus Matthäus 1?</x:v>
      </x:c>
      <x:c r="I262" s="17" t="str">
        <x:v>Dies ist das Buch von der Geburt Jesu Christi, der da ist ein Sohn Davids, des Sohnes Abrahams.</x:v>
      </x:c>
      <x:c r="J262" s="17" t="str">
        <x:v>FAITHPATH_ONLY</x:v>
      </x:c>
      <x:c r="K262" s="17" t="str"/>
      <x:c r="L262" s="17" t="str"/>
      <x:c r="M262" s="17" t="str"/>
      <x:c r="N262" s="17" t="str"/>
      <x:c r="O262" s="17" t="str"/>
      <x:c r="P262" s="17" t="str"/>
      <x:c r="Q262" s="17" t="str">
        <x:v>NO_SOURCE_EQUIVALENT_SELECTED</x:v>
      </x:c>
      <x:c r="R262" s="17" t="str">
        <x:v>N/A</x:v>
      </x:c>
      <x:c r="S262" s="17" t="str">
        <x:v>FaithPath final QA aggregate (16 SINNGLEICH / 84 FAITHPATH_ONLY) + Nachlese final catalog/QA</x:v>
      </x:c>
      <x:c r="T262" s="17" t="str">
        <x:v>Kapitelquiz / kein N-Story-Mapping.</x:v>
      </x:c>
    </x:row>
    <x:row r="263" ht="26.399999618530273" hidden="0" customHeight="1">
      <x:c r="A263" s="17" t="str">
        <x:v>FP-0262</x:v>
      </x:c>
      <x:c r="B263" s="17" t="str">
        <x:v>FP-0201–0300</x:v>
      </x:c>
      <x:c r="C263" s="17" t="n">
        <x:v>10000</x:v>
      </x:c>
      <x:c r="D263" s="17" t="n">
        <x:v>53</x:v>
      </x:c>
      <x:c r="E263" s="17" t="n">
        <x:v>2</x:v>
      </x:c>
      <x:c r="F263" s="17" t="str">
        <x:v>$[52].questions[1]</x:v>
      </x:c>
      <x:c r="G263" s="17" t="str">
        <x:v>Matthäus 1,7</x:v>
      </x:c>
      <x:c r="H263" s="17" t="str">
        <x:v>Welche dieser Aussagen stammt aus Matthäus 1?</x:v>
      </x:c>
      <x:c r="I263" s="17" t="str">
        <x:v>Salomo zeugte Rehabeam. Rehabeam zeugte Abia.</x:v>
      </x:c>
      <x:c r="J263" s="17" t="str">
        <x:v>FAITHPATH_ONLY</x:v>
      </x:c>
      <x:c r="K263" s="17" t="str"/>
      <x:c r="L263" s="17" t="str"/>
      <x:c r="M263" s="17" t="str"/>
      <x:c r="N263" s="17" t="str"/>
      <x:c r="O263" s="17" t="str"/>
      <x:c r="P263" s="17" t="str"/>
      <x:c r="Q263" s="17" t="str">
        <x:v>NO_SOURCE_EQUIVALENT_SELECTED</x:v>
      </x:c>
      <x:c r="R263" s="17" t="str">
        <x:v>N/A</x:v>
      </x:c>
      <x:c r="S263" s="17" t="str">
        <x:v>FaithPath final QA aggregate (16 SINNGLEICH / 84 FAITHPATH_ONLY) + Nachlese final catalog/QA</x:v>
      </x:c>
      <x:c r="T263" s="17" t="str">
        <x:v>Kapitelquiz / kein N-Story-Mapping.</x:v>
      </x:c>
    </x:row>
    <x:row r="264" ht="26.399999618530273" hidden="0" customHeight="1">
      <x:c r="A264" s="17" t="str">
        <x:v>FP-0263</x:v>
      </x:c>
      <x:c r="B264" s="17" t="str">
        <x:v>FP-0201–0300</x:v>
      </x:c>
      <x:c r="C264" s="17" t="n">
        <x:v>10000</x:v>
      </x:c>
      <x:c r="D264" s="17" t="n">
        <x:v>53</x:v>
      </x:c>
      <x:c r="E264" s="17" t="n">
        <x:v>3</x:v>
      </x:c>
      <x:c r="F264" s="17" t="str">
        <x:v>$[52].questions[2]</x:v>
      </x:c>
      <x:c r="G264" s="17" t="str">
        <x:v>Matthäus 1,13</x:v>
      </x:c>
      <x:c r="H264" s="17" t="str">
        <x:v>Welche dieser Aussagen stammt aus Matthäus 1?</x:v>
      </x:c>
      <x:c r="I264" s="17" t="str">
        <x:v>Serubabel zeugte Abiud. Abiud zeugte Eliakim.</x:v>
      </x:c>
      <x:c r="J264" s="17" t="str">
        <x:v>FAITHPATH_ONLY</x:v>
      </x:c>
      <x:c r="K264" s="17" t="str"/>
      <x:c r="L264" s="17" t="str"/>
      <x:c r="M264" s="17" t="str"/>
      <x:c r="N264" s="17" t="str"/>
      <x:c r="O264" s="17" t="str"/>
      <x:c r="P264" s="17" t="str"/>
      <x:c r="Q264" s="17" t="str">
        <x:v>NO_SOURCE_EQUIVALENT_SELECTED</x:v>
      </x:c>
      <x:c r="R264" s="17" t="str">
        <x:v>N/A</x:v>
      </x:c>
      <x:c r="S264" s="17" t="str">
        <x:v>FaithPath final QA aggregate (16 SINNGLEICH / 84 FAITHPATH_ONLY) + Nachlese final catalog/QA</x:v>
      </x:c>
      <x:c r="T264" s="17" t="str">
        <x:v>Kapitelquiz / kein N-Story-Mapping.</x:v>
      </x:c>
    </x:row>
    <x:row r="265" ht="26.399999618530273" hidden="0" customHeight="1">
      <x:c r="A265" s="17" t="str">
        <x:v>FP-0264</x:v>
      </x:c>
      <x:c r="B265" s="17" t="str">
        <x:v>FP-0201–0300</x:v>
      </x:c>
      <x:c r="C265" s="17" t="n">
        <x:v>10000</x:v>
      </x:c>
      <x:c r="D265" s="17" t="n">
        <x:v>53</x:v>
      </x:c>
      <x:c r="E265" s="17" t="n">
        <x:v>4</x:v>
      </x:c>
      <x:c r="F265" s="17" t="str">
        <x:v>$[52].questions[3]</x:v>
      </x:c>
      <x:c r="G265" s="17" t="str">
        <x:v>Matthäus 1,19</x:v>
      </x:c>
      <x:c r="H265" s="17" t="str">
        <x:v>Welche dieser Aussagen stammt aus Matthäus 1?</x:v>
      </x:c>
      <x:c r="I265" s="17" t="str">
        <x:v>Joseph aber, ihr Mann, war fromm und wollte sie nicht in Schande bringen, gedachte aber, sie heimlich zu…</x:v>
      </x:c>
      <x:c r="J265" s="17" t="str">
        <x:v>FAITHPATH_ONLY</x:v>
      </x:c>
      <x:c r="K265" s="17" t="str"/>
      <x:c r="L265" s="17" t="str"/>
      <x:c r="M265" s="17" t="str"/>
      <x:c r="N265" s="17" t="str"/>
      <x:c r="O265" s="17" t="str"/>
      <x:c r="P265" s="17" t="str"/>
      <x:c r="Q265" s="17" t="str">
        <x:v>NO_SOURCE_EQUIVALENT_SELECTED</x:v>
      </x:c>
      <x:c r="R265" s="17" t="str">
        <x:v>N/A</x:v>
      </x:c>
      <x:c r="S265" s="17" t="str">
        <x:v>FaithPath final QA aggregate (16 SINNGLEICH / 84 FAITHPATH_ONLY) + Nachlese final catalog/QA</x:v>
      </x:c>
      <x:c r="T265" s="17" t="str">
        <x:v>Kapitelquiz / kein N-Story-Mapping.</x:v>
      </x:c>
    </x:row>
    <x:row r="266" ht="26.399999618530273" hidden="0" customHeight="1">
      <x:c r="A266" s="17" t="str">
        <x:v>FP-0265</x:v>
      </x:c>
      <x:c r="B266" s="17" t="str">
        <x:v>FP-0201–0300</x:v>
      </x:c>
      <x:c r="C266" s="17" t="n">
        <x:v>10000</x:v>
      </x:c>
      <x:c r="D266" s="17" t="n">
        <x:v>53</x:v>
      </x:c>
      <x:c r="E266" s="17" t="n">
        <x:v>5</x:v>
      </x:c>
      <x:c r="F266" s="17" t="str">
        <x:v>$[52].questions[4]</x:v>
      </x:c>
      <x:c r="G266" s="17" t="str">
        <x:v>Matthäus 1,25</x:v>
      </x:c>
      <x:c r="H266" s="17" t="str">
        <x:v>Welche dieser Aussagen stammt aus Matthäus 1?</x:v>
      </x:c>
      <x:c r="I266" s="17" t="str">
        <x:v>Und er erkannte sie nicht, bis sie ihren ersten Sohn gebar;</x:v>
      </x:c>
      <x:c r="J266" s="17" t="str">
        <x:v>FAITHPATH_ONLY</x:v>
      </x:c>
      <x:c r="K266" s="17" t="str"/>
      <x:c r="L266" s="17" t="str"/>
      <x:c r="M266" s="17" t="str"/>
      <x:c r="N266" s="17" t="str"/>
      <x:c r="O266" s="17" t="str"/>
      <x:c r="P266" s="17" t="str"/>
      <x:c r="Q266" s="17" t="str">
        <x:v>NO_SOURCE_EQUIVALENT_SELECTED</x:v>
      </x:c>
      <x:c r="R266" s="17" t="str">
        <x:v>N/A</x:v>
      </x:c>
      <x:c r="S266" s="17" t="str">
        <x:v>FaithPath final QA aggregate (16 SINNGLEICH / 84 FAITHPATH_ONLY) + Nachlese final catalog/QA</x:v>
      </x:c>
      <x:c r="T266" s="17" t="str">
        <x:v>Kapitelquiz / kein N-Story-Mapping.</x:v>
      </x:c>
    </x:row>
    <x:row r="267" ht="26.399999618530273" hidden="0" customHeight="1">
      <x:c r="A267" s="17" t="str">
        <x:v>FP-0266</x:v>
      </x:c>
      <x:c r="B267" s="17" t="str">
        <x:v>FP-0201–0300</x:v>
      </x:c>
      <x:c r="C267" s="17" t="n">
        <x:v>10001</x:v>
      </x:c>
      <x:c r="D267" s="17" t="n">
        <x:v>54</x:v>
      </x:c>
      <x:c r="E267" s="17" t="n">
        <x:v>1</x:v>
      </x:c>
      <x:c r="F267" s="17" t="str">
        <x:v>$[53].questions[0]</x:v>
      </x:c>
      <x:c r="G267" s="17" t="str">
        <x:v>Matthäus 2,1</x:v>
      </x:c>
      <x:c r="H267" s="17" t="str">
        <x:v>Welche dieser Aussagen stammt aus Matthäus 2?</x:v>
      </x:c>
      <x:c r="I267" s="17" t="str">
        <x:v>Da Jesus geboren war zu Bethlehem im jüdischen Lande, zur Zeit des Königs Herodes, siehe, da kamen die…</x:v>
      </x:c>
      <x:c r="J267" s="17" t="str">
        <x:v>FAITHPATH_ONLY</x:v>
      </x:c>
      <x:c r="K267" s="17" t="str"/>
      <x:c r="L267" s="17" t="str"/>
      <x:c r="M267" s="17" t="str"/>
      <x:c r="N267" s="17" t="str"/>
      <x:c r="O267" s="17" t="str"/>
      <x:c r="P267" s="17" t="str"/>
      <x:c r="Q267" s="17" t="str">
        <x:v>NO_SOURCE_EQUIVALENT_SELECTED</x:v>
      </x:c>
      <x:c r="R267" s="17" t="str">
        <x:v>N/A</x:v>
      </x:c>
      <x:c r="S267" s="17" t="str">
        <x:v>FaithPath final QA aggregate (16 SINNGLEICH / 84 FAITHPATH_ONLY) + Nachlese final catalog/QA</x:v>
      </x:c>
      <x:c r="T267" s="17" t="str">
        <x:v>Kapitelquiz / kein N-Story-Mapping.</x:v>
      </x:c>
    </x:row>
    <x:row r="268" ht="26.399999618530273" hidden="0" customHeight="1">
      <x:c r="A268" s="17" t="str">
        <x:v>FP-0267</x:v>
      </x:c>
      <x:c r="B268" s="17" t="str">
        <x:v>FP-0201–0300</x:v>
      </x:c>
      <x:c r="C268" s="17" t="n">
        <x:v>10001</x:v>
      </x:c>
      <x:c r="D268" s="17" t="n">
        <x:v>54</x:v>
      </x:c>
      <x:c r="E268" s="17" t="n">
        <x:v>2</x:v>
      </x:c>
      <x:c r="F268" s="17" t="str">
        <x:v>$[53].questions[1]</x:v>
      </x:c>
      <x:c r="G268" s="17" t="str">
        <x:v>Matthäus 2,7</x:v>
      </x:c>
      <x:c r="H268" s="17" t="str">
        <x:v>Welche dieser Aussagen stammt aus Matthäus 2?</x:v>
      </x:c>
      <x:c r="I268" s="17" t="str">
        <x:v>Da berief Herodes die Weisen heimlich und erlernte mit Fleiß von ihnen, wann der Stern erschienen wäre,</x:v>
      </x:c>
      <x:c r="J268" s="17" t="str">
        <x:v>FAITHPATH_ONLY</x:v>
      </x:c>
      <x:c r="K268" s="17" t="str"/>
      <x:c r="L268" s="17" t="str"/>
      <x:c r="M268" s="17" t="str"/>
      <x:c r="N268" s="17" t="str"/>
      <x:c r="O268" s="17" t="str"/>
      <x:c r="P268" s="17" t="str"/>
      <x:c r="Q268" s="17" t="str">
        <x:v>NO_SOURCE_EQUIVALENT_SELECTED</x:v>
      </x:c>
      <x:c r="R268" s="17" t="str">
        <x:v>N/A</x:v>
      </x:c>
      <x:c r="S268" s="17" t="str">
        <x:v>FaithPath final QA aggregate (16 SINNGLEICH / 84 FAITHPATH_ONLY) + Nachlese final catalog/QA</x:v>
      </x:c>
      <x:c r="T268" s="17" t="str">
        <x:v>Kapitelquiz / kein N-Story-Mapping.</x:v>
      </x:c>
    </x:row>
    <x:row r="269" ht="26.399999618530273" hidden="0" customHeight="1">
      <x:c r="A269" s="17" t="str">
        <x:v>FP-0268</x:v>
      </x:c>
      <x:c r="B269" s="17" t="str">
        <x:v>FP-0201–0300</x:v>
      </x:c>
      <x:c r="C269" s="17" t="n">
        <x:v>10001</x:v>
      </x:c>
      <x:c r="D269" s="17" t="n">
        <x:v>54</x:v>
      </x:c>
      <x:c r="E269" s="17" t="n">
        <x:v>3</x:v>
      </x:c>
      <x:c r="F269" s="17" t="str">
        <x:v>$[53].questions[2]</x:v>
      </x:c>
      <x:c r="G269" s="17" t="str">
        <x:v>Matthäus 2,12</x:v>
      </x:c>
      <x:c r="H269" s="17" t="str">
        <x:v>Welche dieser Aussagen stammt aus Matthäus 2?</x:v>
      </x:c>
      <x:c r="I269" s="17" t="str">
        <x:v>Und Gott befahl ihnen im Traum, daß sie sich nicht sollten wieder zu Herodes lenken;</x:v>
      </x:c>
      <x:c r="J269" s="17" t="str">
        <x:v>FAITHPATH_ONLY</x:v>
      </x:c>
      <x:c r="K269" s="17" t="str"/>
      <x:c r="L269" s="17" t="str"/>
      <x:c r="M269" s="17" t="str"/>
      <x:c r="N269" s="17" t="str"/>
      <x:c r="O269" s="17" t="str"/>
      <x:c r="P269" s="17" t="str"/>
      <x:c r="Q269" s="17" t="str">
        <x:v>NO_SOURCE_EQUIVALENT_SELECTED</x:v>
      </x:c>
      <x:c r="R269" s="17" t="str">
        <x:v>N/A</x:v>
      </x:c>
      <x:c r="S269" s="17" t="str">
        <x:v>FaithPath final QA aggregate (16 SINNGLEICH / 84 FAITHPATH_ONLY) + Nachlese final catalog/QA</x:v>
      </x:c>
      <x:c r="T269" s="17" t="str">
        <x:v>Kapitelquiz / kein N-Story-Mapping.</x:v>
      </x:c>
    </x:row>
    <x:row r="270" ht="26.399999618530273" hidden="0" customHeight="1">
      <x:c r="A270" s="17" t="str">
        <x:v>FP-0269</x:v>
      </x:c>
      <x:c r="B270" s="17" t="str">
        <x:v>FP-0201–0300</x:v>
      </x:c>
      <x:c r="C270" s="17" t="n">
        <x:v>10001</x:v>
      </x:c>
      <x:c r="D270" s="17" t="n">
        <x:v>54</x:v>
      </x:c>
      <x:c r="E270" s="17" t="n">
        <x:v>4</x:v>
      </x:c>
      <x:c r="F270" s="17" t="str">
        <x:v>$[53].questions[3]</x:v>
      </x:c>
      <x:c r="G270" s="17" t="str">
        <x:v>Matthäus 2,17</x:v>
      </x:c>
      <x:c r="H270" s="17" t="str">
        <x:v>Welche dieser Aussagen stammt aus Matthäus 2?</x:v>
      </x:c>
      <x:c r="I270" s="17" t="str">
        <x:v>Da ist erfüllt, was gesagt ist von dem Propheten Jeremia, der da spricht:</x:v>
      </x:c>
      <x:c r="J270" s="17" t="str">
        <x:v>FAITHPATH_ONLY</x:v>
      </x:c>
      <x:c r="K270" s="17" t="str"/>
      <x:c r="L270" s="17" t="str"/>
      <x:c r="M270" s="17" t="str"/>
      <x:c r="N270" s="17" t="str"/>
      <x:c r="O270" s="17" t="str"/>
      <x:c r="P270" s="17" t="str"/>
      <x:c r="Q270" s="17" t="str">
        <x:v>NO_SOURCE_EQUIVALENT_SELECTED</x:v>
      </x:c>
      <x:c r="R270" s="17" t="str">
        <x:v>N/A</x:v>
      </x:c>
      <x:c r="S270" s="17" t="str">
        <x:v>FaithPath final QA aggregate (16 SINNGLEICH / 84 FAITHPATH_ONLY) + Nachlese final catalog/QA</x:v>
      </x:c>
      <x:c r="T270" s="17" t="str">
        <x:v>Kapitelquiz / kein N-Story-Mapping.</x:v>
      </x:c>
    </x:row>
    <x:row r="271" ht="26.399999618530273" hidden="0" customHeight="1">
      <x:c r="A271" s="17" t="str">
        <x:v>FP-0270</x:v>
      </x:c>
      <x:c r="B271" s="17" t="str">
        <x:v>FP-0201–0300</x:v>
      </x:c>
      <x:c r="C271" s="17" t="n">
        <x:v>10001</x:v>
      </x:c>
      <x:c r="D271" s="17" t="n">
        <x:v>54</x:v>
      </x:c>
      <x:c r="E271" s="17" t="n">
        <x:v>5</x:v>
      </x:c>
      <x:c r="F271" s="17" t="str">
        <x:v>$[53].questions[4]</x:v>
      </x:c>
      <x:c r="G271" s="17" t="str">
        <x:v>Matthäus 2,23</x:v>
      </x:c>
      <x:c r="H271" s="17" t="str">
        <x:v>Welche dieser Aussagen stammt aus Matthäus 2?</x:v>
      </x:c>
      <x:c r="I271" s="17" t="str">
        <x:v>und kam und wohnte in der Stadt die da heißt Nazareth;</x:v>
      </x:c>
      <x:c r="J271" s="17" t="str">
        <x:v>FAITHPATH_ONLY</x:v>
      </x:c>
      <x:c r="K271" s="17" t="str"/>
      <x:c r="L271" s="17" t="str"/>
      <x:c r="M271" s="17" t="str"/>
      <x:c r="N271" s="17" t="str"/>
      <x:c r="O271" s="17" t="str"/>
      <x:c r="P271" s="17" t="str"/>
      <x:c r="Q271" s="17" t="str">
        <x:v>NO_SOURCE_EQUIVALENT_SELECTED</x:v>
      </x:c>
      <x:c r="R271" s="17" t="str">
        <x:v>N/A</x:v>
      </x:c>
      <x:c r="S271" s="17" t="str">
        <x:v>FaithPath final QA aggregate (16 SINNGLEICH / 84 FAITHPATH_ONLY) + Nachlese final catalog/QA</x:v>
      </x:c>
      <x:c r="T271" s="17" t="str">
        <x:v>Kapitelquiz / kein N-Story-Mapping.</x:v>
      </x:c>
    </x:row>
    <x:row r="272" ht="26.399999618530273" hidden="0" customHeight="1">
      <x:c r="A272" s="17" t="str">
        <x:v>FP-0271</x:v>
      </x:c>
      <x:c r="B272" s="17" t="str">
        <x:v>FP-0201–0300</x:v>
      </x:c>
      <x:c r="C272" s="17" t="n">
        <x:v>10002</x:v>
      </x:c>
      <x:c r="D272" s="17" t="n">
        <x:v>55</x:v>
      </x:c>
      <x:c r="E272" s="17" t="n">
        <x:v>1</x:v>
      </x:c>
      <x:c r="F272" s="17" t="str">
        <x:v>$[54].questions[0]</x:v>
      </x:c>
      <x:c r="G272" s="17" t="str">
        <x:v>Matthäus 3,1</x:v>
      </x:c>
      <x:c r="H272" s="17" t="str">
        <x:v>Welche dieser Aussagen stammt aus Matthäus 3?</x:v>
      </x:c>
      <x:c r="I272" s="17" t="str">
        <x:v>Zu der Zeit kam Johannes der Täufer und predigte in der Wüste des jüdischen Landes</x:v>
      </x:c>
      <x:c r="J272" s="17" t="str">
        <x:v>FAITHPATH_ONLY</x:v>
      </x:c>
      <x:c r="K272" s="17" t="str"/>
      <x:c r="L272" s="17" t="str"/>
      <x:c r="M272" s="17" t="str"/>
      <x:c r="N272" s="17" t="str"/>
      <x:c r="O272" s="17" t="str"/>
      <x:c r="P272" s="17" t="str"/>
      <x:c r="Q272" s="17" t="str">
        <x:v>NO_SOURCE_EQUIVALENT_SELECTED</x:v>
      </x:c>
      <x:c r="R272" s="17" t="str">
        <x:v>N/A</x:v>
      </x:c>
      <x:c r="S272" s="17" t="str">
        <x:v>FaithPath final QA aggregate (16 SINNGLEICH / 84 FAITHPATH_ONLY) + Nachlese final catalog/QA</x:v>
      </x:c>
      <x:c r="T272" s="17" t="str">
        <x:v>Kapitelquiz / kein N-Story-Mapping.</x:v>
      </x:c>
    </x:row>
    <x:row r="273" ht="26.399999618530273" hidden="0" customHeight="1">
      <x:c r="A273" s="17" t="str">
        <x:v>FP-0272</x:v>
      </x:c>
      <x:c r="B273" s="17" t="str">
        <x:v>FP-0201–0300</x:v>
      </x:c>
      <x:c r="C273" s="17" t="n">
        <x:v>10002</x:v>
      </x:c>
      <x:c r="D273" s="17" t="n">
        <x:v>55</x:v>
      </x:c>
      <x:c r="E273" s="17" t="n">
        <x:v>2</x:v>
      </x:c>
      <x:c r="F273" s="17" t="str">
        <x:v>$[54].questions[1]</x:v>
      </x:c>
      <x:c r="G273" s="17" t="str">
        <x:v>Matthäus 3,5</x:v>
      </x:c>
      <x:c r="H273" s="17" t="str">
        <x:v>Welche dieser Aussagen stammt aus Matthäus 3?</x:v>
      </x:c>
      <x:c r="I273" s="17" t="str">
        <x:v>Da ging zu ihm hinaus die Stadt Jerusalem und das ganze jüdische Land und alle Länder an dem Jordan</x:v>
      </x:c>
      <x:c r="J273" s="17" t="str">
        <x:v>FAITHPATH_ONLY</x:v>
      </x:c>
      <x:c r="K273" s="17" t="str"/>
      <x:c r="L273" s="17" t="str"/>
      <x:c r="M273" s="17" t="str"/>
      <x:c r="N273" s="17" t="str"/>
      <x:c r="O273" s="17" t="str"/>
      <x:c r="P273" s="17" t="str"/>
      <x:c r="Q273" s="17" t="str">
        <x:v>NO_SOURCE_EQUIVALENT_SELECTED</x:v>
      </x:c>
      <x:c r="R273" s="17" t="str">
        <x:v>N/A</x:v>
      </x:c>
      <x:c r="S273" s="17" t="str">
        <x:v>FaithPath final QA aggregate (16 SINNGLEICH / 84 FAITHPATH_ONLY) + Nachlese final catalog/QA</x:v>
      </x:c>
      <x:c r="T273" s="17" t="str">
        <x:v>Kapitelquiz / kein N-Story-Mapping.</x:v>
      </x:c>
    </x:row>
    <x:row r="274" ht="26.399999618530273" hidden="0" customHeight="1">
      <x:c r="A274" s="17" t="str">
        <x:v>FP-0273</x:v>
      </x:c>
      <x:c r="B274" s="17" t="str">
        <x:v>FP-0201–0300</x:v>
      </x:c>
      <x:c r="C274" s="17" t="n">
        <x:v>10002</x:v>
      </x:c>
      <x:c r="D274" s="17" t="n">
        <x:v>55</x:v>
      </x:c>
      <x:c r="E274" s="17" t="n">
        <x:v>3</x:v>
      </x:c>
      <x:c r="F274" s="17" t="str">
        <x:v>$[54].questions[2]</x:v>
      </x:c>
      <x:c r="G274" s="17" t="str">
        <x:v>Matthäus 3,9</x:v>
      </x:c>
      <x:c r="H274" s="17" t="str">
        <x:v>Welche dieser Aussagen stammt aus Matthäus 3?</x:v>
      </x:c>
      <x:c r="I274" s="17" t="str">
        <x:v>Denket nur nicht, daß ihr bei euch wollt sagen:</x:v>
      </x:c>
      <x:c r="J274" s="17" t="str">
        <x:v>FAITHPATH_ONLY</x:v>
      </x:c>
      <x:c r="K274" s="17" t="str"/>
      <x:c r="L274" s="17" t="str"/>
      <x:c r="M274" s="17" t="str"/>
      <x:c r="N274" s="17" t="str"/>
      <x:c r="O274" s="17" t="str"/>
      <x:c r="P274" s="17" t="str"/>
      <x:c r="Q274" s="17" t="str">
        <x:v>NO_SOURCE_EQUIVALENT_SELECTED</x:v>
      </x:c>
      <x:c r="R274" s="17" t="str">
        <x:v>N/A</x:v>
      </x:c>
      <x:c r="S274" s="17" t="str">
        <x:v>FaithPath final QA aggregate (16 SINNGLEICH / 84 FAITHPATH_ONLY) + Nachlese final catalog/QA</x:v>
      </x:c>
      <x:c r="T274" s="17" t="str">
        <x:v>Kapitelquiz / kein N-Story-Mapping.</x:v>
      </x:c>
    </x:row>
    <x:row r="275" ht="26.399999618530273" hidden="0" customHeight="1">
      <x:c r="A275" s="17" t="str">
        <x:v>FP-0274</x:v>
      </x:c>
      <x:c r="B275" s="17" t="str">
        <x:v>FP-0201–0300</x:v>
      </x:c>
      <x:c r="C275" s="17" t="n">
        <x:v>10002</x:v>
      </x:c>
      <x:c r="D275" s="17" t="n">
        <x:v>55</x:v>
      </x:c>
      <x:c r="E275" s="17" t="n">
        <x:v>4</x:v>
      </x:c>
      <x:c r="F275" s="17" t="str">
        <x:v>$[54].questions[3]</x:v>
      </x:c>
      <x:c r="G275" s="17" t="str">
        <x:v>Matthäus 3,13</x:v>
      </x:c>
      <x:c r="H275" s="17" t="str">
        <x:v>Welche dieser Aussagen stammt aus Matthäus 3?</x:v>
      </x:c>
      <x:c r="I275" s="17" t="str">
        <x:v>Zu der Zeit kam Jesus aus Galiläa an den Jordan zu Johannes, daß er sich von ihm taufen ließe.</x:v>
      </x:c>
      <x:c r="J275" s="17" t="str">
        <x:v>FAITHPATH_ONLY</x:v>
      </x:c>
      <x:c r="K275" s="17" t="str"/>
      <x:c r="L275" s="17" t="str"/>
      <x:c r="M275" s="17" t="str"/>
      <x:c r="N275" s="17" t="str"/>
      <x:c r="O275" s="17" t="str"/>
      <x:c r="P275" s="17" t="str"/>
      <x:c r="Q275" s="17" t="str">
        <x:v>NO_SOURCE_EQUIVALENT_SELECTED</x:v>
      </x:c>
      <x:c r="R275" s="17" t="str">
        <x:v>N/A</x:v>
      </x:c>
      <x:c r="S275" s="17" t="str">
        <x:v>FaithPath final QA aggregate (16 SINNGLEICH / 84 FAITHPATH_ONLY) + Nachlese final catalog/QA</x:v>
      </x:c>
      <x:c r="T275" s="17" t="str">
        <x:v>Kapitelquiz / kein N-Story-Mapping.</x:v>
      </x:c>
    </x:row>
    <x:row r="276" ht="26.399999618530273" hidden="0" customHeight="1">
      <x:c r="A276" s="17" t="str">
        <x:v>FP-0275</x:v>
      </x:c>
      <x:c r="B276" s="17" t="str">
        <x:v>FP-0201–0300</x:v>
      </x:c>
      <x:c r="C276" s="17" t="n">
        <x:v>10002</x:v>
      </x:c>
      <x:c r="D276" s="17" t="n">
        <x:v>55</x:v>
      </x:c>
      <x:c r="E276" s="17" t="n">
        <x:v>5</x:v>
      </x:c>
      <x:c r="F276" s="17" t="str">
        <x:v>$[54].questions[4]</x:v>
      </x:c>
      <x:c r="G276" s="17" t="str">
        <x:v>Matthäus 3,17</x:v>
      </x:c>
      <x:c r="H276" s="17" t="str">
        <x:v>Welche dieser Aussagen stammt aus Matthäus 3?</x:v>
      </x:c>
      <x:c r="I276" s="17" t="str">
        <x:v>Und siehe, eine Stimme vom Himmel herab sprach:</x:v>
      </x:c>
      <x:c r="J276" s="17" t="str">
        <x:v>FAITHPATH_ONLY</x:v>
      </x:c>
      <x:c r="K276" s="17" t="str"/>
      <x:c r="L276" s="17" t="str"/>
      <x:c r="M276" s="17" t="str"/>
      <x:c r="N276" s="17" t="str"/>
      <x:c r="O276" s="17" t="str"/>
      <x:c r="P276" s="17" t="str"/>
      <x:c r="Q276" s="17" t="str">
        <x:v>NO_SOURCE_EQUIVALENT_SELECTED</x:v>
      </x:c>
      <x:c r="R276" s="17" t="str">
        <x:v>N/A</x:v>
      </x:c>
      <x:c r="S276" s="17" t="str">
        <x:v>FaithPath final QA aggregate (16 SINNGLEICH / 84 FAITHPATH_ONLY) + Nachlese final catalog/QA</x:v>
      </x:c>
      <x:c r="T276" s="17" t="str">
        <x:v>Kapitelquiz / kein N-Story-Mapping.</x:v>
      </x:c>
    </x:row>
    <x:row r="277" ht="26.399999618530273" hidden="0" customHeight="1">
      <x:c r="A277" s="17" t="str">
        <x:v>FP-0276</x:v>
      </x:c>
      <x:c r="B277" s="17" t="str">
        <x:v>FP-0201–0300</x:v>
      </x:c>
      <x:c r="C277" s="17" t="n">
        <x:v>10003</x:v>
      </x:c>
      <x:c r="D277" s="17" t="n">
        <x:v>56</x:v>
      </x:c>
      <x:c r="E277" s="17" t="n">
        <x:v>1</x:v>
      </x:c>
      <x:c r="F277" s="17" t="str">
        <x:v>$[55].questions[0]</x:v>
      </x:c>
      <x:c r="G277" s="17" t="str">
        <x:v>Matthäus 4,1</x:v>
      </x:c>
      <x:c r="H277" s="17" t="str">
        <x:v>Welche dieser Aussagen stammt aus Matthäus 4?</x:v>
      </x:c>
      <x:c r="I277" s="17" t="str">
        <x:v>Da ward Jesus vom Geist in die Wüste geführt, auf daß er von dem Teufel versucht würde.</x:v>
      </x:c>
      <x:c r="J277" s="17" t="str">
        <x:v>FAITHPATH_ONLY</x:v>
      </x:c>
      <x:c r="K277" s="17" t="str"/>
      <x:c r="L277" s="17" t="str"/>
      <x:c r="M277" s="17" t="str"/>
      <x:c r="N277" s="17" t="str"/>
      <x:c r="O277" s="17" t="str"/>
      <x:c r="P277" s="17" t="str"/>
      <x:c r="Q277" s="17" t="str">
        <x:v>NO_SOURCE_EQUIVALENT_SELECTED</x:v>
      </x:c>
      <x:c r="R277" s="17" t="str">
        <x:v>N/A</x:v>
      </x:c>
      <x:c r="S277" s="17" t="str">
        <x:v>FaithPath final QA aggregate (16 SINNGLEICH / 84 FAITHPATH_ONLY) + Nachlese final catalog/QA</x:v>
      </x:c>
      <x:c r="T277" s="17" t="str">
        <x:v>Kapitelquiz / kein N-Story-Mapping.</x:v>
      </x:c>
    </x:row>
    <x:row r="278" ht="26.399999618530273" hidden="0" customHeight="1">
      <x:c r="A278" s="17" t="str">
        <x:v>FP-0277</x:v>
      </x:c>
      <x:c r="B278" s="17" t="str">
        <x:v>FP-0201–0300</x:v>
      </x:c>
      <x:c r="C278" s="17" t="n">
        <x:v>10003</x:v>
      </x:c>
      <x:c r="D278" s="17" t="n">
        <x:v>56</x:v>
      </x:c>
      <x:c r="E278" s="17" t="n">
        <x:v>2</x:v>
      </x:c>
      <x:c r="F278" s="17" t="str">
        <x:v>$[55].questions[1]</x:v>
      </x:c>
      <x:c r="G278" s="17" t="str">
        <x:v>Matthäus 4,7</x:v>
      </x:c>
      <x:c r="H278" s="17" t="str">
        <x:v>Welche dieser Aussagen stammt aus Matthäus 4?</x:v>
      </x:c>
      <x:c r="I278" s="17" t="str">
        <x:v>Da sprach Jesus zu ihm: Wiederum steht auch geschrieben:</x:v>
      </x:c>
      <x:c r="J278" s="17" t="str">
        <x:v>FAITHPATH_ONLY</x:v>
      </x:c>
      <x:c r="K278" s="17" t="str"/>
      <x:c r="L278" s="17" t="str"/>
      <x:c r="M278" s="17" t="str"/>
      <x:c r="N278" s="17" t="str"/>
      <x:c r="O278" s="17" t="str"/>
      <x:c r="P278" s="17" t="str"/>
      <x:c r="Q278" s="17" t="str">
        <x:v>NO_SOURCE_EQUIVALENT_SELECTED</x:v>
      </x:c>
      <x:c r="R278" s="17" t="str">
        <x:v>N/A</x:v>
      </x:c>
      <x:c r="S278" s="17" t="str">
        <x:v>FaithPath final QA aggregate (16 SINNGLEICH / 84 FAITHPATH_ONLY) + Nachlese final catalog/QA</x:v>
      </x:c>
      <x:c r="T278" s="17" t="str">
        <x:v>Kapitelquiz / kein N-Story-Mapping.</x:v>
      </x:c>
    </x:row>
    <x:row r="279" ht="26.399999618530273" hidden="0" customHeight="1">
      <x:c r="A279" s="17" t="str">
        <x:v>FP-0278</x:v>
      </x:c>
      <x:c r="B279" s="17" t="str">
        <x:v>FP-0201–0300</x:v>
      </x:c>
      <x:c r="C279" s="17" t="n">
        <x:v>10003</x:v>
      </x:c>
      <x:c r="D279" s="17" t="n">
        <x:v>56</x:v>
      </x:c>
      <x:c r="E279" s="17" t="n">
        <x:v>3</x:v>
      </x:c>
      <x:c r="F279" s="17" t="str">
        <x:v>$[55].questions[2]</x:v>
      </x:c>
      <x:c r="G279" s="17" t="str">
        <x:v>Matthäus 4,13</x:v>
      </x:c>
      <x:c r="H279" s="17" t="str">
        <x:v>Welche dieser Aussagen stammt aus Matthäus 4?</x:v>
      </x:c>
      <x:c r="I279" s="17" t="str">
        <x:v>Und verließ die Stadt Nazareth, kam und wohnte zu Kapernaum, das da liegt am Meer, im Lande Sebulon und…</x:v>
      </x:c>
      <x:c r="J279" s="17" t="str">
        <x:v>FAITHPATH_ONLY</x:v>
      </x:c>
      <x:c r="K279" s="17" t="str"/>
      <x:c r="L279" s="17" t="str"/>
      <x:c r="M279" s="17" t="str"/>
      <x:c r="N279" s="17" t="str"/>
      <x:c r="O279" s="17" t="str"/>
      <x:c r="P279" s="17" t="str"/>
      <x:c r="Q279" s="17" t="str">
        <x:v>NO_SOURCE_EQUIVALENT_SELECTED</x:v>
      </x:c>
      <x:c r="R279" s="17" t="str">
        <x:v>N/A</x:v>
      </x:c>
      <x:c r="S279" s="17" t="str">
        <x:v>FaithPath final QA aggregate (16 SINNGLEICH / 84 FAITHPATH_ONLY) + Nachlese final catalog/QA</x:v>
      </x:c>
      <x:c r="T279" s="17" t="str">
        <x:v>Kapitelquiz / kein N-Story-Mapping.</x:v>
      </x:c>
    </x:row>
    <x:row r="280" ht="26.399999618530273" hidden="0" customHeight="1">
      <x:c r="A280" s="17" t="str">
        <x:v>FP-0279</x:v>
      </x:c>
      <x:c r="B280" s="17" t="str">
        <x:v>FP-0201–0300</x:v>
      </x:c>
      <x:c r="C280" s="17" t="n">
        <x:v>10003</x:v>
      </x:c>
      <x:c r="D280" s="17" t="n">
        <x:v>56</x:v>
      </x:c>
      <x:c r="E280" s="17" t="n">
        <x:v>4</x:v>
      </x:c>
      <x:c r="F280" s="17" t="str">
        <x:v>$[55].questions[3]</x:v>
      </x:c>
      <x:c r="G280" s="17" t="str">
        <x:v>Matthäus 4,19</x:v>
      </x:c>
      <x:c r="H280" s="17" t="str">
        <x:v>Welche dieser Aussagen stammt aus Matthäus 4?</x:v>
      </x:c>
      <x:c r="I280" s="17" t="str">
        <x:v>Und er sprach zu ihnen: Folget mir nach;</x:v>
      </x:c>
      <x:c r="J280" s="17" t="str">
        <x:v>FAITHPATH_ONLY</x:v>
      </x:c>
      <x:c r="K280" s="17" t="str"/>
      <x:c r="L280" s="17" t="str"/>
      <x:c r="M280" s="17" t="str"/>
      <x:c r="N280" s="17" t="str"/>
      <x:c r="O280" s="17" t="str"/>
      <x:c r="P280" s="17" t="str"/>
      <x:c r="Q280" s="17" t="str">
        <x:v>NO_SOURCE_EQUIVALENT_SELECTED</x:v>
      </x:c>
      <x:c r="R280" s="17" t="str">
        <x:v>N/A</x:v>
      </x:c>
      <x:c r="S280" s="17" t="str">
        <x:v>FaithPath final QA aggregate (16 SINNGLEICH / 84 FAITHPATH_ONLY) + Nachlese final catalog/QA</x:v>
      </x:c>
      <x:c r="T280" s="17" t="str">
        <x:v>Kapitelquiz / kein N-Story-Mapping.</x:v>
      </x:c>
    </x:row>
    <x:row r="281" ht="26.399999618530273" hidden="0" customHeight="1">
      <x:c r="A281" s="17" t="str">
        <x:v>FP-0280</x:v>
      </x:c>
      <x:c r="B281" s="17" t="str">
        <x:v>FP-0201–0300</x:v>
      </x:c>
      <x:c r="C281" s="17" t="n">
        <x:v>10003</x:v>
      </x:c>
      <x:c r="D281" s="17" t="n">
        <x:v>56</x:v>
      </x:c>
      <x:c r="E281" s="17" t="n">
        <x:v>5</x:v>
      </x:c>
      <x:c r="F281" s="17" t="str">
        <x:v>$[55].questions[4]</x:v>
      </x:c>
      <x:c r="G281" s="17" t="str">
        <x:v>Matthäus 4,25</x:v>
      </x:c>
      <x:c r="H281" s="17" t="str">
        <x:v>Welche dieser Aussagen stammt aus Matthäus 4?</x:v>
      </x:c>
      <x:c r="I281" s="17" t="str">
        <x:v>Und es folgte ihm nach viel Volks aus Galiläa, aus den Zehn-Städten, von Jerusalem, aus dem jüdischen…</x:v>
      </x:c>
      <x:c r="J281" s="17" t="str">
        <x:v>FAITHPATH_ONLY</x:v>
      </x:c>
      <x:c r="K281" s="17" t="str"/>
      <x:c r="L281" s="17" t="str"/>
      <x:c r="M281" s="17" t="str"/>
      <x:c r="N281" s="17" t="str"/>
      <x:c r="O281" s="17" t="str"/>
      <x:c r="P281" s="17" t="str"/>
      <x:c r="Q281" s="17" t="str">
        <x:v>NO_SOURCE_EQUIVALENT_SELECTED</x:v>
      </x:c>
      <x:c r="R281" s="17" t="str">
        <x:v>N/A</x:v>
      </x:c>
      <x:c r="S281" s="17" t="str">
        <x:v>FaithPath final QA aggregate (16 SINNGLEICH / 84 FAITHPATH_ONLY) + Nachlese final catalog/QA</x:v>
      </x:c>
      <x:c r="T281" s="17" t="str">
        <x:v>Kapitelquiz / kein N-Story-Mapping.</x:v>
      </x:c>
    </x:row>
    <x:row r="282" ht="26.399999618530273" hidden="0" customHeight="1">
      <x:c r="A282" s="17" t="str">
        <x:v>FP-0281</x:v>
      </x:c>
      <x:c r="B282" s="17" t="str">
        <x:v>FP-0201–0300</x:v>
      </x:c>
      <x:c r="C282" s="17" t="n">
        <x:v>10004</x:v>
      </x:c>
      <x:c r="D282" s="17" t="n">
        <x:v>57</x:v>
      </x:c>
      <x:c r="E282" s="17" t="n">
        <x:v>1</x:v>
      </x:c>
      <x:c r="F282" s="17" t="str">
        <x:v>$[56].questions[0]</x:v>
      </x:c>
      <x:c r="G282" s="17" t="str">
        <x:v>Matthäus 5,1</x:v>
      </x:c>
      <x:c r="H282" s="17" t="str">
        <x:v>Welche dieser Aussagen stammt aus Matthäus 5?</x:v>
      </x:c>
      <x:c r="I282" s="17" t="str">
        <x:v>Da er aber das Volk sah, ging er auf einen Berg und setzte sich;</x:v>
      </x:c>
      <x:c r="J282" s="17" t="str">
        <x:v>FAITHPATH_ONLY</x:v>
      </x:c>
      <x:c r="K282" s="17" t="str"/>
      <x:c r="L282" s="17" t="str"/>
      <x:c r="M282" s="17" t="str"/>
      <x:c r="N282" s="17" t="str"/>
      <x:c r="O282" s="17" t="str"/>
      <x:c r="P282" s="17" t="str"/>
      <x:c r="Q282" s="17" t="str">
        <x:v>NO_SOURCE_EQUIVALENT_SELECTED</x:v>
      </x:c>
      <x:c r="R282" s="17" t="str">
        <x:v>N/A</x:v>
      </x:c>
      <x:c r="S282" s="17" t="str">
        <x:v>FaithPath final QA aggregate (16 SINNGLEICH / 84 FAITHPATH_ONLY) + Nachlese final catalog/QA</x:v>
      </x:c>
      <x:c r="T282" s="17" t="str">
        <x:v>Kapitelquiz / kein N-Story-Mapping.</x:v>
      </x:c>
    </x:row>
    <x:row r="283" ht="26.399999618530273" hidden="0" customHeight="1">
      <x:c r="A283" s="17" t="str">
        <x:v>FP-0282</x:v>
      </x:c>
      <x:c r="B283" s="17" t="str">
        <x:v>FP-0201–0300</x:v>
      </x:c>
      <x:c r="C283" s="17" t="n">
        <x:v>10004</x:v>
      </x:c>
      <x:c r="D283" s="17" t="n">
        <x:v>57</x:v>
      </x:c>
      <x:c r="E283" s="17" t="n">
        <x:v>2</x:v>
      </x:c>
      <x:c r="F283" s="17" t="str">
        <x:v>$[56].questions[1]</x:v>
      </x:c>
      <x:c r="G283" s="17" t="str">
        <x:v>Matthäus 5,13</x:v>
      </x:c>
      <x:c r="H283" s="17" t="str">
        <x:v>Welche dieser Aussagen stammt aus Matthäus 5?</x:v>
      </x:c>
      <x:c r="I283" s="17" t="str">
        <x:v>Ihr seid das Salz der Erde. Wo nun das Salz dumm wird, womit soll man's salzen?</x:v>
      </x:c>
      <x:c r="J283" s="17" t="str">
        <x:v>FAITHPATH_ONLY</x:v>
      </x:c>
      <x:c r="K283" s="17" t="str"/>
      <x:c r="L283" s="17" t="str"/>
      <x:c r="M283" s="17" t="str"/>
      <x:c r="N283" s="17" t="str"/>
      <x:c r="O283" s="17" t="str"/>
      <x:c r="P283" s="17" t="str"/>
      <x:c r="Q283" s="17" t="str">
        <x:v>NO_SOURCE_EQUIVALENT_SELECTED</x:v>
      </x:c>
      <x:c r="R283" s="17" t="str">
        <x:v>N/A</x:v>
      </x:c>
      <x:c r="S283" s="17" t="str">
        <x:v>FaithPath final QA aggregate (16 SINNGLEICH / 84 FAITHPATH_ONLY) + Nachlese final catalog/QA</x:v>
      </x:c>
      <x:c r="T283" s="17" t="str">
        <x:v>Kapitelquiz / kein N-Story-Mapping.</x:v>
      </x:c>
    </x:row>
    <x:row r="284" ht="26.399999618530273" hidden="0" customHeight="1">
      <x:c r="A284" s="17" t="str">
        <x:v>FP-0283</x:v>
      </x:c>
      <x:c r="B284" s="17" t="str">
        <x:v>FP-0201–0300</x:v>
      </x:c>
      <x:c r="C284" s="17" t="n">
        <x:v>10004</x:v>
      </x:c>
      <x:c r="D284" s="17" t="n">
        <x:v>57</x:v>
      </x:c>
      <x:c r="E284" s="17" t="n">
        <x:v>3</x:v>
      </x:c>
      <x:c r="F284" s="17" t="str">
        <x:v>$[56].questions[2]</x:v>
      </x:c>
      <x:c r="G284" s="17" t="str">
        <x:v>Matthäus 5,25</x:v>
      </x:c>
      <x:c r="H284" s="17" t="str">
        <x:v>Welche dieser Aussagen stammt aus Matthäus 5?</x:v>
      </x:c>
      <x:c r="I284" s="17" t="str">
        <x:v>Sei willfährig deinem Widersacher bald, dieweil du noch bei ihm auf dem Wege bist, auf daß dich der…</x:v>
      </x:c>
      <x:c r="J284" s="17" t="str">
        <x:v>FAITHPATH_ONLY</x:v>
      </x:c>
      <x:c r="K284" s="17" t="str"/>
      <x:c r="L284" s="17" t="str"/>
      <x:c r="M284" s="17" t="str"/>
      <x:c r="N284" s="17" t="str"/>
      <x:c r="O284" s="17" t="str"/>
      <x:c r="P284" s="17" t="str"/>
      <x:c r="Q284" s="17" t="str">
        <x:v>NO_SOURCE_EQUIVALENT_SELECTED</x:v>
      </x:c>
      <x:c r="R284" s="17" t="str">
        <x:v>N/A</x:v>
      </x:c>
      <x:c r="S284" s="17" t="str">
        <x:v>FaithPath final QA aggregate (16 SINNGLEICH / 84 FAITHPATH_ONLY) + Nachlese final catalog/QA</x:v>
      </x:c>
      <x:c r="T284" s="17" t="str">
        <x:v>Kapitelquiz / kein N-Story-Mapping.</x:v>
      </x:c>
    </x:row>
    <x:row r="285" ht="26.399999618530273" hidden="0" customHeight="1">
      <x:c r="A285" s="17" t="str">
        <x:v>FP-0284</x:v>
      </x:c>
      <x:c r="B285" s="17" t="str">
        <x:v>FP-0201–0300</x:v>
      </x:c>
      <x:c r="C285" s="17" t="n">
        <x:v>10004</x:v>
      </x:c>
      <x:c r="D285" s="17" t="n">
        <x:v>57</x:v>
      </x:c>
      <x:c r="E285" s="17" t="n">
        <x:v>4</x:v>
      </x:c>
      <x:c r="F285" s="17" t="str">
        <x:v>$[56].questions[3]</x:v>
      </x:c>
      <x:c r="G285" s="17" t="str">
        <x:v>Matthäus 5,36</x:v>
      </x:c>
      <x:c r="H285" s="17" t="str">
        <x:v>Welche dieser Aussagen stammt aus Matthäus 5?</x:v>
      </x:c>
      <x:c r="I285" s="17" t="str">
        <x:v>Auch sollst du nicht bei deinem Haupt schwören, denn du vermagst nicht ein einziges Haar schwarz oder…</x:v>
      </x:c>
      <x:c r="J285" s="17" t="str">
        <x:v>FAITHPATH_ONLY</x:v>
      </x:c>
      <x:c r="K285" s="17" t="str"/>
      <x:c r="L285" s="17" t="str"/>
      <x:c r="M285" s="17" t="str"/>
      <x:c r="N285" s="17" t="str"/>
      <x:c r="O285" s="17" t="str"/>
      <x:c r="P285" s="17" t="str"/>
      <x:c r="Q285" s="17" t="str">
        <x:v>NO_SOURCE_EQUIVALENT_SELECTED</x:v>
      </x:c>
      <x:c r="R285" s="17" t="str">
        <x:v>N/A</x:v>
      </x:c>
      <x:c r="S285" s="17" t="str">
        <x:v>FaithPath final QA aggregate (16 SINNGLEICH / 84 FAITHPATH_ONLY) + Nachlese final catalog/QA</x:v>
      </x:c>
      <x:c r="T285" s="17" t="str">
        <x:v>Kapitelquiz / kein N-Story-Mapping.</x:v>
      </x:c>
    </x:row>
    <x:row r="286" ht="26.399999618530273" hidden="0" customHeight="1">
      <x:c r="A286" s="17" t="str">
        <x:v>FP-0285</x:v>
      </x:c>
      <x:c r="B286" s="17" t="str">
        <x:v>FP-0201–0300</x:v>
      </x:c>
      <x:c r="C286" s="17" t="n">
        <x:v>10004</x:v>
      </x:c>
      <x:c r="D286" s="17" t="n">
        <x:v>57</x:v>
      </x:c>
      <x:c r="E286" s="17" t="n">
        <x:v>5</x:v>
      </x:c>
      <x:c r="F286" s="17" t="str">
        <x:v>$[56].questions[4]</x:v>
      </x:c>
      <x:c r="G286" s="17" t="str">
        <x:v>Matthäus 5,48</x:v>
      </x:c>
      <x:c r="H286" s="17" t="str">
        <x:v>Welche dieser Aussagen stammt aus Matthäus 5?</x:v>
      </x:c>
      <x:c r="I286" s="17" t="str">
        <x:v>Darum sollt ihr vollkommen sein, gleichwie euer Vater im Himmel vollkommen ist.</x:v>
      </x:c>
      <x:c r="J286" s="17" t="str">
        <x:v>FAITHPATH_ONLY</x:v>
      </x:c>
      <x:c r="K286" s="17" t="str"/>
      <x:c r="L286" s="17" t="str"/>
      <x:c r="M286" s="17" t="str"/>
      <x:c r="N286" s="17" t="str"/>
      <x:c r="O286" s="17" t="str"/>
      <x:c r="P286" s="17" t="str"/>
      <x:c r="Q286" s="17" t="str">
        <x:v>NO_SOURCE_EQUIVALENT_SELECTED</x:v>
      </x:c>
      <x:c r="R286" s="17" t="str">
        <x:v>N/A</x:v>
      </x:c>
      <x:c r="S286" s="17" t="str">
        <x:v>FaithPath final QA aggregate (16 SINNGLEICH / 84 FAITHPATH_ONLY) + Nachlese final catalog/QA</x:v>
      </x:c>
      <x:c r="T286" s="17" t="str">
        <x:v>Kapitelquiz / kein N-Story-Mapping.</x:v>
      </x:c>
    </x:row>
    <x:row r="287" ht="26.399999618530273" hidden="0" customHeight="1">
      <x:c r="A287" s="17" t="str">
        <x:v>FP-0286</x:v>
      </x:c>
      <x:c r="B287" s="17" t="str">
        <x:v>FP-0201–0300</x:v>
      </x:c>
      <x:c r="C287" s="17" t="n">
        <x:v>10005</x:v>
      </x:c>
      <x:c r="D287" s="17" t="n">
        <x:v>58</x:v>
      </x:c>
      <x:c r="E287" s="17" t="n">
        <x:v>1</x:v>
      </x:c>
      <x:c r="F287" s="17" t="str">
        <x:v>$[57].questions[0]</x:v>
      </x:c>
      <x:c r="G287" s="17" t="str">
        <x:v>Matthäus 6,1</x:v>
      </x:c>
      <x:c r="H287" s="17" t="str">
        <x:v>Welche dieser Aussagen stammt aus Matthäus 6?</x:v>
      </x:c>
      <x:c r="I287" s="17" t="str">
        <x:v>Habt acht auf eure Almosen, daß ihr die nicht gebet vor den Leuten, daß ihr von ihnen gesehen werdet;</x:v>
      </x:c>
      <x:c r="J287" s="17" t="str">
        <x:v>FAITHPATH_ONLY</x:v>
      </x:c>
      <x:c r="K287" s="17" t="str"/>
      <x:c r="L287" s="17" t="str"/>
      <x:c r="M287" s="17" t="str"/>
      <x:c r="N287" s="17" t="str"/>
      <x:c r="O287" s="17" t="str"/>
      <x:c r="P287" s="17" t="str"/>
      <x:c r="Q287" s="17" t="str">
        <x:v>NO_SOURCE_EQUIVALENT_SELECTED</x:v>
      </x:c>
      <x:c r="R287" s="17" t="str">
        <x:v>N/A</x:v>
      </x:c>
      <x:c r="S287" s="17" t="str">
        <x:v>FaithPath final QA aggregate (16 SINNGLEICH / 84 FAITHPATH_ONLY) + Nachlese final catalog/QA</x:v>
      </x:c>
      <x:c r="T287" s="17" t="str">
        <x:v>Kapitelquiz / kein N-Story-Mapping.</x:v>
      </x:c>
    </x:row>
    <x:row r="288" ht="26.399999618530273" hidden="0" customHeight="1">
      <x:c r="A288" s="17" t="str">
        <x:v>FP-0287</x:v>
      </x:c>
      <x:c r="B288" s="17" t="str">
        <x:v>FP-0201–0300</x:v>
      </x:c>
      <x:c r="C288" s="17" t="n">
        <x:v>10005</x:v>
      </x:c>
      <x:c r="D288" s="17" t="n">
        <x:v>58</x:v>
      </x:c>
      <x:c r="E288" s="17" t="n">
        <x:v>2</x:v>
      </x:c>
      <x:c r="F288" s="17" t="str">
        <x:v>$[57].questions[1]</x:v>
      </x:c>
      <x:c r="G288" s="17" t="str">
        <x:v>Matthäus 6,9</x:v>
      </x:c>
      <x:c r="H288" s="17" t="str">
        <x:v>Welche dieser Aussagen stammt aus Matthäus 6?</x:v>
      </x:c>
      <x:c r="I288" s="17" t="str">
        <x:v>Darum sollt ihr also beten: Unser Vater in dem Himmel!</x:v>
      </x:c>
      <x:c r="J288" s="17" t="str">
        <x:v>FAITHPATH_ONLY</x:v>
      </x:c>
      <x:c r="K288" s="17" t="str"/>
      <x:c r="L288" s="17" t="str"/>
      <x:c r="M288" s="17" t="str"/>
      <x:c r="N288" s="17" t="str"/>
      <x:c r="O288" s="17" t="str"/>
      <x:c r="P288" s="17" t="str"/>
      <x:c r="Q288" s="17" t="str">
        <x:v>NO_SOURCE_EQUIVALENT_SELECTED</x:v>
      </x:c>
      <x:c r="R288" s="17" t="str">
        <x:v>N/A</x:v>
      </x:c>
      <x:c r="S288" s="17" t="str">
        <x:v>FaithPath final QA aggregate (16 SINNGLEICH / 84 FAITHPATH_ONLY) + Nachlese final catalog/QA</x:v>
      </x:c>
      <x:c r="T288" s="17" t="str">
        <x:v>Kapitelquiz / kein N-Story-Mapping.</x:v>
      </x:c>
    </x:row>
    <x:row r="289" ht="26.399999618530273" hidden="0" customHeight="1">
      <x:c r="A289" s="17" t="str">
        <x:v>FP-0288</x:v>
      </x:c>
      <x:c r="B289" s="17" t="str">
        <x:v>FP-0201–0300</x:v>
      </x:c>
      <x:c r="C289" s="17" t="n">
        <x:v>10005</x:v>
      </x:c>
      <x:c r="D289" s="17" t="n">
        <x:v>58</x:v>
      </x:c>
      <x:c r="E289" s="17" t="n">
        <x:v>3</x:v>
      </x:c>
      <x:c r="F289" s="17" t="str">
        <x:v>$[57].questions[2]</x:v>
      </x:c>
      <x:c r="G289" s="17" t="str">
        <x:v>Matthäus 6,17</x:v>
      </x:c>
      <x:c r="H289" s="17" t="str">
        <x:v>Welche dieser Aussagen stammt aus Matthäus 6?</x:v>
      </x:c>
      <x:c r="I289" s="17" t="str">
        <x:v>Wenn du aber fastest, so salbe dein Haupt und wasche dein Angesicht,</x:v>
      </x:c>
      <x:c r="J289" s="17" t="str">
        <x:v>FAITHPATH_ONLY</x:v>
      </x:c>
      <x:c r="K289" s="17" t="str"/>
      <x:c r="L289" s="17" t="str"/>
      <x:c r="M289" s="17" t="str"/>
      <x:c r="N289" s="17" t="str"/>
      <x:c r="O289" s="17" t="str"/>
      <x:c r="P289" s="17" t="str"/>
      <x:c r="Q289" s="17" t="str">
        <x:v>NO_SOURCE_EQUIVALENT_SELECTED</x:v>
      </x:c>
      <x:c r="R289" s="17" t="str">
        <x:v>N/A</x:v>
      </x:c>
      <x:c r="S289" s="17" t="str">
        <x:v>FaithPath final QA aggregate (16 SINNGLEICH / 84 FAITHPATH_ONLY) + Nachlese final catalog/QA</x:v>
      </x:c>
      <x:c r="T289" s="17" t="str">
        <x:v>Kapitelquiz / kein N-Story-Mapping.</x:v>
      </x:c>
    </x:row>
    <x:row r="290" ht="26.399999618530273" hidden="0" customHeight="1">
      <x:c r="A290" s="17" t="str">
        <x:v>FP-0289</x:v>
      </x:c>
      <x:c r="B290" s="17" t="str">
        <x:v>FP-0201–0300</x:v>
      </x:c>
      <x:c r="C290" s="17" t="n">
        <x:v>10005</x:v>
      </x:c>
      <x:c r="D290" s="17" t="n">
        <x:v>58</x:v>
      </x:c>
      <x:c r="E290" s="17" t="n">
        <x:v>4</x:v>
      </x:c>
      <x:c r="F290" s="17" t="str">
        <x:v>$[57].questions[3]</x:v>
      </x:c>
      <x:c r="G290" s="17" t="str">
        <x:v>Matthäus 6,26</x:v>
      </x:c>
      <x:c r="H290" s="17" t="str">
        <x:v>Welche dieser Aussagen stammt aus Matthäus 6?</x:v>
      </x:c>
      <x:c r="I290" s="17" t="str">
        <x:v>Sehet die Vögel unter dem Himmel an:</x:v>
      </x:c>
      <x:c r="J290" s="17" t="str">
        <x:v>FAITHPATH_ONLY</x:v>
      </x:c>
      <x:c r="K290" s="17" t="str"/>
      <x:c r="L290" s="17" t="str"/>
      <x:c r="M290" s="17" t="str"/>
      <x:c r="N290" s="17" t="str"/>
      <x:c r="O290" s="17" t="str"/>
      <x:c r="P290" s="17" t="str"/>
      <x:c r="Q290" s="17" t="str">
        <x:v>NO_SOURCE_EQUIVALENT_SELECTED</x:v>
      </x:c>
      <x:c r="R290" s="17" t="str">
        <x:v>N/A</x:v>
      </x:c>
      <x:c r="S290" s="17" t="str">
        <x:v>FaithPath final QA aggregate (16 SINNGLEICH / 84 FAITHPATH_ONLY) + Nachlese final catalog/QA</x:v>
      </x:c>
      <x:c r="T290" s="17" t="str">
        <x:v>Kapitelquiz / kein N-Story-Mapping.</x:v>
      </x:c>
    </x:row>
    <x:row r="291" ht="26.399999618530273" hidden="0" customHeight="1">
      <x:c r="A291" s="17" t="str">
        <x:v>FP-0290</x:v>
      </x:c>
      <x:c r="B291" s="17" t="str">
        <x:v>FP-0201–0300</x:v>
      </x:c>
      <x:c r="C291" s="17" t="n">
        <x:v>10005</x:v>
      </x:c>
      <x:c r="D291" s="17" t="n">
        <x:v>58</x:v>
      </x:c>
      <x:c r="E291" s="17" t="n">
        <x:v>5</x:v>
      </x:c>
      <x:c r="F291" s="17" t="str">
        <x:v>$[57].questions[4]</x:v>
      </x:c>
      <x:c r="G291" s="17" t="str">
        <x:v>Matthäus 6,34</x:v>
      </x:c>
      <x:c r="H291" s="17" t="str">
        <x:v>Welche dieser Aussagen stammt aus Matthäus 6?</x:v>
      </x:c>
      <x:c r="I291" s="17" t="str">
        <x:v>Darum sorgt nicht für den andern Morgen;</x:v>
      </x:c>
      <x:c r="J291" s="17" t="str">
        <x:v>FAITHPATH_ONLY</x:v>
      </x:c>
      <x:c r="K291" s="17" t="str"/>
      <x:c r="L291" s="17" t="str"/>
      <x:c r="M291" s="17" t="str"/>
      <x:c r="N291" s="17" t="str"/>
      <x:c r="O291" s="17" t="str"/>
      <x:c r="P291" s="17" t="str"/>
      <x:c r="Q291" s="17" t="str">
        <x:v>NO_SOURCE_EQUIVALENT_SELECTED</x:v>
      </x:c>
      <x:c r="R291" s="17" t="str">
        <x:v>N/A</x:v>
      </x:c>
      <x:c r="S291" s="17" t="str">
        <x:v>FaithPath final QA aggregate (16 SINNGLEICH / 84 FAITHPATH_ONLY) + Nachlese final catalog/QA</x:v>
      </x:c>
      <x:c r="T291" s="17" t="str">
        <x:v>Kapitelquiz / kein N-Story-Mapping.</x:v>
      </x:c>
    </x:row>
    <x:row r="292" ht="26.399999618530273" hidden="0" customHeight="1">
      <x:c r="A292" s="17" t="str">
        <x:v>FP-0291</x:v>
      </x:c>
      <x:c r="B292" s="17" t="str">
        <x:v>FP-0201–0300</x:v>
      </x:c>
      <x:c r="C292" s="17" t="n">
        <x:v>10006</x:v>
      </x:c>
      <x:c r="D292" s="17" t="n">
        <x:v>59</x:v>
      </x:c>
      <x:c r="E292" s="17" t="n">
        <x:v>1</x:v>
      </x:c>
      <x:c r="F292" s="17" t="str">
        <x:v>$[58].questions[0]</x:v>
      </x:c>
      <x:c r="G292" s="17" t="str">
        <x:v>Matthäus 7,1</x:v>
      </x:c>
      <x:c r="H292" s="17" t="str">
        <x:v>Welche dieser Aussagen stammt aus Matthäus 7?</x:v>
      </x:c>
      <x:c r="I292" s="17" t="str">
        <x:v>Richtet nicht, auf daß ihr nicht gerichtet werdet.</x:v>
      </x:c>
      <x:c r="J292" s="17" t="str">
        <x:v>FAITHPATH_ONLY</x:v>
      </x:c>
      <x:c r="K292" s="17" t="str"/>
      <x:c r="L292" s="17" t="str"/>
      <x:c r="M292" s="17" t="str"/>
      <x:c r="N292" s="17" t="str"/>
      <x:c r="O292" s="17" t="str"/>
      <x:c r="P292" s="17" t="str"/>
      <x:c r="Q292" s="17" t="str">
        <x:v>NO_SOURCE_EQUIVALENT_SELECTED</x:v>
      </x:c>
      <x:c r="R292" s="17" t="str">
        <x:v>N/A</x:v>
      </x:c>
      <x:c r="S292" s="17" t="str">
        <x:v>FaithPath final QA aggregate (16 SINNGLEICH / 84 FAITHPATH_ONLY) + Nachlese final catalog/QA</x:v>
      </x:c>
      <x:c r="T292" s="17" t="str">
        <x:v>Kapitelquiz / kein N-Story-Mapping.</x:v>
      </x:c>
    </x:row>
    <x:row r="293" ht="26.399999618530273" hidden="0" customHeight="1">
      <x:c r="A293" s="17" t="str">
        <x:v>FP-0292</x:v>
      </x:c>
      <x:c r="B293" s="17" t="str">
        <x:v>FP-0201–0300</x:v>
      </x:c>
      <x:c r="C293" s="17" t="n">
        <x:v>10006</x:v>
      </x:c>
      <x:c r="D293" s="17" t="n">
        <x:v>59</x:v>
      </x:c>
      <x:c r="E293" s="17" t="n">
        <x:v>2</x:v>
      </x:c>
      <x:c r="F293" s="17" t="str">
        <x:v>$[58].questions[1]</x:v>
      </x:c>
      <x:c r="G293" s="17" t="str">
        <x:v>Matthäus 7,8</x:v>
      </x:c>
      <x:c r="H293" s="17" t="str">
        <x:v>Welche dieser Aussagen stammt aus Matthäus 7?</x:v>
      </x:c>
      <x:c r="I293" s="17" t="str">
        <x:v>Denn wer da bittet, der empfängt; und wer da sucht, der findet;</x:v>
      </x:c>
      <x:c r="J293" s="17" t="str">
        <x:v>FAITHPATH_ONLY</x:v>
      </x:c>
      <x:c r="K293" s="17" t="str"/>
      <x:c r="L293" s="17" t="str"/>
      <x:c r="M293" s="17" t="str"/>
      <x:c r="N293" s="17" t="str"/>
      <x:c r="O293" s="17" t="str"/>
      <x:c r="P293" s="17" t="str"/>
      <x:c r="Q293" s="17" t="str">
        <x:v>NO_SOURCE_EQUIVALENT_SELECTED</x:v>
      </x:c>
      <x:c r="R293" s="17" t="str">
        <x:v>N/A</x:v>
      </x:c>
      <x:c r="S293" s="17" t="str">
        <x:v>FaithPath final QA aggregate (16 SINNGLEICH / 84 FAITHPATH_ONLY) + Nachlese final catalog/QA</x:v>
      </x:c>
      <x:c r="T293" s="17" t="str">
        <x:v>Kapitelquiz / kein N-Story-Mapping.</x:v>
      </x:c>
    </x:row>
    <x:row r="294" ht="26.399999618530273" hidden="0" customHeight="1">
      <x:c r="A294" s="17" t="str">
        <x:v>FP-0293</x:v>
      </x:c>
      <x:c r="B294" s="17" t="str">
        <x:v>FP-0201–0300</x:v>
      </x:c>
      <x:c r="C294" s="17" t="n">
        <x:v>10006</x:v>
      </x:c>
      <x:c r="D294" s="17" t="n">
        <x:v>59</x:v>
      </x:c>
      <x:c r="E294" s="17" t="n">
        <x:v>3</x:v>
      </x:c>
      <x:c r="F294" s="17" t="str">
        <x:v>$[58].questions[2]</x:v>
      </x:c>
      <x:c r="G294" s="17" t="str">
        <x:v>Matthäus 7,15</x:v>
      </x:c>
      <x:c r="H294" s="17" t="str">
        <x:v>Welche dieser Aussagen stammt aus Matthäus 7?</x:v>
      </x:c>
      <x:c r="I294" s="17" t="str">
        <x:v>Seht euch vor vor den falschen Propheten, die in Schafskleidern zu euch kommen, inwendig aber sind sie…</x:v>
      </x:c>
      <x:c r="J294" s="17" t="str">
        <x:v>FAITHPATH_ONLY</x:v>
      </x:c>
      <x:c r="K294" s="17" t="str"/>
      <x:c r="L294" s="17" t="str"/>
      <x:c r="M294" s="17" t="str"/>
      <x:c r="N294" s="17" t="str"/>
      <x:c r="O294" s="17" t="str"/>
      <x:c r="P294" s="17" t="str"/>
      <x:c r="Q294" s="17" t="str">
        <x:v>NO_SOURCE_EQUIVALENT_SELECTED</x:v>
      </x:c>
      <x:c r="R294" s="17" t="str">
        <x:v>N/A</x:v>
      </x:c>
      <x:c r="S294" s="17" t="str">
        <x:v>FaithPath final QA aggregate (16 SINNGLEICH / 84 FAITHPATH_ONLY) + Nachlese final catalog/QA</x:v>
      </x:c>
      <x:c r="T294" s="17" t="str">
        <x:v>Kapitelquiz / kein N-Story-Mapping.</x:v>
      </x:c>
    </x:row>
    <x:row r="295" ht="26.399999618530273" hidden="0" customHeight="1">
      <x:c r="A295" s="17" t="str">
        <x:v>FP-0294</x:v>
      </x:c>
      <x:c r="B295" s="17" t="str">
        <x:v>FP-0201–0300</x:v>
      </x:c>
      <x:c r="C295" s="17" t="n">
        <x:v>10006</x:v>
      </x:c>
      <x:c r="D295" s="17" t="n">
        <x:v>59</x:v>
      </x:c>
      <x:c r="E295" s="17" t="n">
        <x:v>4</x:v>
      </x:c>
      <x:c r="F295" s="17" t="str">
        <x:v>$[58].questions[3]</x:v>
      </x:c>
      <x:c r="G295" s="17" t="str">
        <x:v>Matthäus 7,22</x:v>
      </x:c>
      <x:c r="H295" s="17" t="str">
        <x:v>Welche dieser Aussagen stammt aus Matthäus 7?</x:v>
      </x:c>
      <x:c r="I295" s="17" t="str">
        <x:v>Es werden viele zu mir sagen an jenem Tage:</x:v>
      </x:c>
      <x:c r="J295" s="17" t="str">
        <x:v>FAITHPATH_ONLY</x:v>
      </x:c>
      <x:c r="K295" s="17" t="str"/>
      <x:c r="L295" s="17" t="str"/>
      <x:c r="M295" s="17" t="str"/>
      <x:c r="N295" s="17" t="str"/>
      <x:c r="O295" s="17" t="str"/>
      <x:c r="P295" s="17" t="str"/>
      <x:c r="Q295" s="17" t="str">
        <x:v>NO_SOURCE_EQUIVALENT_SELECTED</x:v>
      </x:c>
      <x:c r="R295" s="17" t="str">
        <x:v>N/A</x:v>
      </x:c>
      <x:c r="S295" s="17" t="str">
        <x:v>FaithPath final QA aggregate (16 SINNGLEICH / 84 FAITHPATH_ONLY) + Nachlese final catalog/QA</x:v>
      </x:c>
      <x:c r="T295" s="17" t="str">
        <x:v>Kapitelquiz / kein N-Story-Mapping.</x:v>
      </x:c>
    </x:row>
    <x:row r="296" ht="26.399999618530273" hidden="0" customHeight="1">
      <x:c r="A296" s="17" t="str">
        <x:v>FP-0295</x:v>
      </x:c>
      <x:c r="B296" s="17" t="str">
        <x:v>FP-0201–0300</x:v>
      </x:c>
      <x:c r="C296" s="17" t="n">
        <x:v>10006</x:v>
      </x:c>
      <x:c r="D296" s="17" t="n">
        <x:v>59</x:v>
      </x:c>
      <x:c r="E296" s="17" t="n">
        <x:v>5</x:v>
      </x:c>
      <x:c r="F296" s="17" t="str">
        <x:v>$[58].questions[4]</x:v>
      </x:c>
      <x:c r="G296" s="17" t="str">
        <x:v>Matthäus 7,29</x:v>
      </x:c>
      <x:c r="H296" s="17" t="str">
        <x:v>Welche dieser Aussagen stammt aus Matthäus 7?</x:v>
      </x:c>
      <x:c r="I296" s="17" t="str">
        <x:v>Denn er predigte gewaltig und nicht wie die Schriftgelehrten.</x:v>
      </x:c>
      <x:c r="J296" s="17" t="str">
        <x:v>FAITHPATH_ONLY</x:v>
      </x:c>
      <x:c r="K296" s="17" t="str"/>
      <x:c r="L296" s="17" t="str"/>
      <x:c r="M296" s="17" t="str"/>
      <x:c r="N296" s="17" t="str"/>
      <x:c r="O296" s="17" t="str"/>
      <x:c r="P296" s="17" t="str"/>
      <x:c r="Q296" s="17" t="str">
        <x:v>NO_SOURCE_EQUIVALENT_SELECTED</x:v>
      </x:c>
      <x:c r="R296" s="17" t="str">
        <x:v>N/A</x:v>
      </x:c>
      <x:c r="S296" s="17" t="str">
        <x:v>FaithPath final QA aggregate (16 SINNGLEICH / 84 FAITHPATH_ONLY) + Nachlese final catalog/QA</x:v>
      </x:c>
      <x:c r="T296" s="17" t="str">
        <x:v>Kapitelquiz / kein N-Story-Mapping.</x:v>
      </x:c>
    </x:row>
    <x:row r="297" ht="26.399999618530273" hidden="0" customHeight="1">
      <x:c r="A297" s="17" t="str">
        <x:v>FP-0296</x:v>
      </x:c>
      <x:c r="B297" s="17" t="str">
        <x:v>FP-0201–0300</x:v>
      </x:c>
      <x:c r="C297" s="17" t="n">
        <x:v>10007</x:v>
      </x:c>
      <x:c r="D297" s="17" t="n">
        <x:v>60</x:v>
      </x:c>
      <x:c r="E297" s="17" t="n">
        <x:v>1</x:v>
      </x:c>
      <x:c r="F297" s="17" t="str">
        <x:v>$[59].questions[0]</x:v>
      </x:c>
      <x:c r="G297" s="17" t="str">
        <x:v>Matthäus 8,1</x:v>
      </x:c>
      <x:c r="H297" s="17" t="str">
        <x:v>Welche dieser Aussagen stammt aus Matthäus 8?</x:v>
      </x:c>
      <x:c r="I297" s="17" t="str">
        <x:v>Da er aber vom Berg herabging, folgte ihm viel Volks nach.</x:v>
      </x:c>
      <x:c r="J297" s="17" t="str">
        <x:v>FAITHPATH_ONLY</x:v>
      </x:c>
      <x:c r="K297" s="17" t="str"/>
      <x:c r="L297" s="17" t="str"/>
      <x:c r="M297" s="17" t="str"/>
      <x:c r="N297" s="17" t="str"/>
      <x:c r="O297" s="17" t="str"/>
      <x:c r="P297" s="17" t="str"/>
      <x:c r="Q297" s="17" t="str">
        <x:v>NO_SOURCE_EQUIVALENT_SELECTED</x:v>
      </x:c>
      <x:c r="R297" s="17" t="str">
        <x:v>N/A</x:v>
      </x:c>
      <x:c r="S297" s="17" t="str">
        <x:v>FaithPath final QA aggregate (16 SINNGLEICH / 84 FAITHPATH_ONLY) + Nachlese final catalog/QA</x:v>
      </x:c>
      <x:c r="T297" s="17" t="str">
        <x:v>Kapitelquiz / kein N-Story-Mapping.</x:v>
      </x:c>
    </x:row>
    <x:row r="298" ht="26.399999618530273" hidden="0" customHeight="1">
      <x:c r="A298" s="17" t="str">
        <x:v>FP-0297</x:v>
      </x:c>
      <x:c r="B298" s="17" t="str">
        <x:v>FP-0201–0300</x:v>
      </x:c>
      <x:c r="C298" s="17" t="n">
        <x:v>10007</x:v>
      </x:c>
      <x:c r="D298" s="17" t="n">
        <x:v>60</x:v>
      </x:c>
      <x:c r="E298" s="17" t="n">
        <x:v>2</x:v>
      </x:c>
      <x:c r="F298" s="17" t="str">
        <x:v>$[59].questions[1]</x:v>
      </x:c>
      <x:c r="G298" s="17" t="str">
        <x:v>Matthäus 8,9</x:v>
      </x:c>
      <x:c r="H298" s="17" t="str">
        <x:v>Welche dieser Aussagen stammt aus Matthäus 8?</x:v>
      </x:c>
      <x:c r="I298" s="17" t="str">
        <x:v>Denn ich bin ein Mensch, der Obrigkeit untertan, und habe unter mir Kriegsknechte;</x:v>
      </x:c>
      <x:c r="J298" s="17" t="str">
        <x:v>FAITHPATH_ONLY</x:v>
      </x:c>
      <x:c r="K298" s="17" t="str"/>
      <x:c r="L298" s="17" t="str"/>
      <x:c r="M298" s="17" t="str"/>
      <x:c r="N298" s="17" t="str"/>
      <x:c r="O298" s="17" t="str"/>
      <x:c r="P298" s="17" t="str"/>
      <x:c r="Q298" s="17" t="str">
        <x:v>NO_SOURCE_EQUIVALENT_SELECTED</x:v>
      </x:c>
      <x:c r="R298" s="17" t="str">
        <x:v>N/A</x:v>
      </x:c>
      <x:c r="S298" s="17" t="str">
        <x:v>FaithPath final QA aggregate (16 SINNGLEICH / 84 FAITHPATH_ONLY) + Nachlese final catalog/QA</x:v>
      </x:c>
      <x:c r="T298" s="17" t="str">
        <x:v>Kapitelquiz / kein N-Story-Mapping.</x:v>
      </x:c>
    </x:row>
    <x:row r="299" ht="26.399999618530273" hidden="0" customHeight="1">
      <x:c r="A299" s="17" t="str">
        <x:v>FP-0298</x:v>
      </x:c>
      <x:c r="B299" s="17" t="str">
        <x:v>FP-0201–0300</x:v>
      </x:c>
      <x:c r="C299" s="17" t="n">
        <x:v>10007</x:v>
      </x:c>
      <x:c r="D299" s="17" t="n">
        <x:v>60</x:v>
      </x:c>
      <x:c r="E299" s="17" t="n">
        <x:v>3</x:v>
      </x:c>
      <x:c r="F299" s="17" t="str">
        <x:v>$[59].questions[2]</x:v>
      </x:c>
      <x:c r="G299" s="17" t="str">
        <x:v>Matthäus 8,17</x:v>
      </x:c>
      <x:c r="H299" s="17" t="str">
        <x:v>Welche dieser Aussagen stammt aus Matthäus 8?</x:v>
      </x:c>
      <x:c r="I299" s="17" t="str">
        <x:v>auf das erfüllt würde, was gesagt ist durch den Propheten Jesaja, der da spricht:</x:v>
      </x:c>
      <x:c r="J299" s="17" t="str">
        <x:v>FAITHPATH_ONLY</x:v>
      </x:c>
      <x:c r="K299" s="17" t="str"/>
      <x:c r="L299" s="17" t="str"/>
      <x:c r="M299" s="17" t="str"/>
      <x:c r="N299" s="17" t="str"/>
      <x:c r="O299" s="17" t="str"/>
      <x:c r="P299" s="17" t="str"/>
      <x:c r="Q299" s="17" t="str">
        <x:v>NO_SOURCE_EQUIVALENT_SELECTED</x:v>
      </x:c>
      <x:c r="R299" s="17" t="str">
        <x:v>N/A</x:v>
      </x:c>
      <x:c r="S299" s="17" t="str">
        <x:v>FaithPath final QA aggregate (16 SINNGLEICH / 84 FAITHPATH_ONLY) + Nachlese final catalog/QA</x:v>
      </x:c>
      <x:c r="T299" s="17" t="str">
        <x:v>Kapitelquiz / kein N-Story-Mapping.</x:v>
      </x:c>
    </x:row>
    <x:row r="300" ht="26.399999618530273" hidden="0" customHeight="1">
      <x:c r="A300" s="17" t="str">
        <x:v>FP-0299</x:v>
      </x:c>
      <x:c r="B300" s="17" t="str">
        <x:v>FP-0201–0300</x:v>
      </x:c>
      <x:c r="C300" s="17" t="n">
        <x:v>10007</x:v>
      </x:c>
      <x:c r="D300" s="17" t="n">
        <x:v>60</x:v>
      </x:c>
      <x:c r="E300" s="17" t="n">
        <x:v>4</x:v>
      </x:c>
      <x:c r="F300" s="17" t="str">
        <x:v>$[59].questions[3]</x:v>
      </x:c>
      <x:c r="G300" s="17" t="str">
        <x:v>Matthäus 8,26</x:v>
      </x:c>
      <x:c r="H300" s="17" t="str">
        <x:v>Welche dieser Aussagen stammt aus Matthäus 8?</x:v>
      </x:c>
      <x:c r="I300" s="17" t="str">
        <x:v>Da sagte er zu ihnen: Ihr Kleingläubigen, warum seid ihr so furchtsam?</x:v>
      </x:c>
      <x:c r="J300" s="17" t="str">
        <x:v>FAITHPATH_ONLY</x:v>
      </x:c>
      <x:c r="K300" s="17" t="str"/>
      <x:c r="L300" s="17" t="str"/>
      <x:c r="M300" s="17" t="str"/>
      <x:c r="N300" s="17" t="str"/>
      <x:c r="O300" s="17" t="str"/>
      <x:c r="P300" s="17" t="str"/>
      <x:c r="Q300" s="17" t="str">
        <x:v>NO_SOURCE_EQUIVALENT_SELECTED</x:v>
      </x:c>
      <x:c r="R300" s="17" t="str">
        <x:v>N/A</x:v>
      </x:c>
      <x:c r="S300" s="17" t="str">
        <x:v>FaithPath final QA aggregate (16 SINNGLEICH / 84 FAITHPATH_ONLY) + Nachlese final catalog/QA</x:v>
      </x:c>
      <x:c r="T300" s="17" t="str">
        <x:v>Kapitelquiz / kein N-Story-Mapping.</x:v>
      </x:c>
    </x:row>
    <x:row r="301" ht="26.399999618530273" hidden="0" customHeight="1">
      <x:c r="A301" s="17" t="str">
        <x:v>FP-0300</x:v>
      </x:c>
      <x:c r="B301" s="17" t="str">
        <x:v>FP-0201–0300</x:v>
      </x:c>
      <x:c r="C301" s="17" t="n">
        <x:v>10007</x:v>
      </x:c>
      <x:c r="D301" s="17" t="n">
        <x:v>60</x:v>
      </x:c>
      <x:c r="E301" s="17" t="n">
        <x:v>5</x:v>
      </x:c>
      <x:c r="F301" s="17" t="str">
        <x:v>$[59].questions[4]</x:v>
      </x:c>
      <x:c r="G301" s="17" t="str">
        <x:v>Matthäus 8,34</x:v>
      </x:c>
      <x:c r="H301" s="17" t="str">
        <x:v>Welche dieser Aussagen stammt aus Matthäus 8?</x:v>
      </x:c>
      <x:c r="I301" s="17" t="str">
        <x:v>Und siehe, da ging die ganze Stadt heraus Jesu entgegen.</x:v>
      </x:c>
      <x:c r="J301" s="17" t="str">
        <x:v>FAITHPATH_ONLY</x:v>
      </x:c>
      <x:c r="K301" s="17" t="str"/>
      <x:c r="L301" s="17" t="str"/>
      <x:c r="M301" s="17" t="str"/>
      <x:c r="N301" s="17" t="str"/>
      <x:c r="O301" s="17" t="str"/>
      <x:c r="P301" s="17" t="str"/>
      <x:c r="Q301" s="17" t="str">
        <x:v>NO_SOURCE_EQUIVALENT_SELECTED</x:v>
      </x:c>
      <x:c r="R301" s="17" t="str">
        <x:v>N/A</x:v>
      </x:c>
      <x:c r="S301" s="17" t="str">
        <x:v>FaithPath final QA aggregate (16 SINNGLEICH / 84 FAITHPATH_ONLY) + Nachlese final catalog/QA</x:v>
      </x:c>
      <x:c r="T301" s="17" t="str">
        <x:v>Kapitelquiz / kein N-Story-Mapping.</x:v>
      </x:c>
    </x:row>
  </x:sheetData>
  <x:conditionalFormatting sqref="J2:J301">
    <x:cfRule type="expression" dxfId="0" priority="1">
      <x:formula>J2="EXAKT"</x:formula>
    </x:cfRule>
    <x:cfRule type="expression" dxfId="1" priority="2">
      <x:formula>J2="SINNGLEICH"</x:formula>
    </x:cfRule>
    <x:cfRule type="expression" dxfId="2" priority="3">
      <x:formula>J2="KONFLIKT"</x:formula>
    </x:cfRule>
    <x:cfRule type="expression" dxfId="3" priority="4">
      <x:formula>J2="FAITHPATH_ONLY"</x:formula>
    </x:cfRule>
  </x:conditionalFormatting>
  <x:conditionalFormatting sqref="R2:R301">
    <x:cfRule type="expression" dxfId="4" priority="5">
      <x:formula>R2="MEDIUM"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8" hidden="0" customWidth="1"/>
    <x:col min="4" max="4" width="62" hidden="0" customWidth="1"/>
    <x:col min="5" max="5" width="24" hidden="0" customWidth="1"/>
    <x:col min="6" max="6" width="16" hidden="0" customWidth="1"/>
    <x:col min="7" max="7" width="16" hidden="0" customWidth="1"/>
    <x:col min="8" max="8" width="40" hidden="0" customWidth="1"/>
  </x:cols>
  <x:sheetData>
    <x:row r="1" ht="15" hidden="0" customHeight="1">
      <x:c r="A1" s="16" t="str">
        <x:v>FP_ID</x:v>
      </x:c>
      <x:c r="B1" s="16" t="str">
        <x:v>Field</x:v>
      </x:c>
      <x:c r="C1" s="16" t="str">
        <x:v>Old</x:v>
      </x:c>
      <x:c r="D1" s="16" t="str">
        <x:v>New</x:v>
      </x:c>
      <x:c r="E1" s="16" t="str">
        <x:v>Reference</x:v>
      </x:c>
      <x:c r="F1" s="16" t="str">
        <x:v>Evidence_N_ID</x:v>
      </x:c>
      <x:c r="G1" s="16" t="str">
        <x:v>Action</x:v>
      </x:c>
      <x:c r="H1" s="16" t="str">
        <x:v>Evidence</x:v>
      </x:c>
    </x:row>
    <x:row r="2" ht="15" hidden="0" customHeight="1">
      <x:c r="A2" s="17" t="str">
        <x:v>FP-0021</x:v>
      </x:c>
      <x:c r="B2" s="17" t="str">
        <x:v>a[0]</x:v>
      </x:c>
      <x:c r="C2" s="17" t="str">
        <x:v>Nazareth/Galiläa</x:v>
      </x:c>
      <x:c r="D2" s="17" t="str">
        <x:v>Aus Galiläa.</x:v>
      </x:c>
      <x:c r="E2" s="17" t="str">
        <x:v>Matthäus 3,13</x:v>
      </x:c>
      <x:c r="F2" s="17" t="str">
        <x:v>N-0556</x:v>
      </x:c>
      <x:c r="G2" s="17" t="str">
        <x:v>MATERIALIZE</x:v>
      </x:c>
      <x:c r="H2" s="17" t="str">
        <x:v>Nachlese final QA corrected/freigegeben</x:v>
      </x:c>
    </x:row>
    <x:row r="3" ht="15" hidden="0" customHeight="1">
      <x:c r="A3" s="17" t="str">
        <x:v>FP-0024</x:v>
      </x:c>
      <x:c r="B3" s="17" t="str">
        <x:v>q</x:v>
      </x:c>
      <x:c r="C3" s="17" t="str">
        <x:v>In welcher Gestalt sah Johannes den Geist Gottes herabfahren?</x:v>
      </x:c>
      <x:c r="D3" s="17" t="str">
        <x:v>Wie sah Jesus den Geist Gottes herabfahren?</x:v>
      </x:c>
      <x:c r="E3" s="17" t="str">
        <x:v>Matthäus 3,16</x:v>
      </x:c>
      <x:c r="F3" s="17" t="str">
        <x:v>N-0559</x:v>
      </x:c>
      <x:c r="G3" s="17" t="str">
        <x:v>MATERIALIZE</x:v>
      </x:c>
      <x:c r="H3" s="17" t="str">
        <x:v>Nachlese final QA + FaithPath historical conflict note</x:v>
      </x:c>
    </x:row>
    <x:row r="4" ht="15" hidden="0" customHeight="1">
      <x:c r="A4" s="17" t="str">
        <x:v>FP-0024</x:v>
      </x:c>
      <x:c r="B4" s="17" t="str">
        <x:v>a[1]</x:v>
      </x:c>
      <x:c r="C4" s="17" t="str">
        <x:v>Wie eine Taube</x:v>
      </x:c>
      <x:c r="D4" s="17" t="str">
        <x:v>Gleich als eine Taube.</x:v>
      </x:c>
      <x:c r="E4" s="17" t="str">
        <x:v>Matthäus 3,16</x:v>
      </x:c>
      <x:c r="F4" s="17" t="str">
        <x:v>N-0559</x:v>
      </x:c>
      <x:c r="G4" s="17" t="str">
        <x:v>MATERIALIZE</x:v>
      </x:c>
      <x:c r="H4" s="17" t="str">
        <x:v>Nachlese final QA corrected/freigegeben</x:v>
      </x:c>
    </x:row>
    <x:row r="5" ht="15" hidden="0" customHeight="1">
      <x:c r="A5" s="17" t="str">
        <x:v>FP-0025</x:v>
      </x:c>
      <x:c r="B5" s="17" t="str">
        <x:v>a[0]</x:v>
      </x:c>
      <x:c r="C5" s="17" t="str">
        <x:v>Dies ist mein lieber Sohn</x:v>
      </x:c>
      <x:c r="D5" s="17" t="str">
        <x:v>Dies ist mein lieber Sohn, an welchem ich Wohlgefallen habe.</x:v>
      </x:c>
      <x:c r="E5" s="17" t="str">
        <x:v>Matthäus 3,17</x:v>
      </x:c>
      <x:c r="F5" s="17" t="str">
        <x:v>N-0560</x:v>
      </x:c>
      <x:c r="G5" s="17" t="str">
        <x:v>MATERIALIZE</x:v>
      </x:c>
      <x:c r="H5" s="17" t="str">
        <x:v>Nachlese final QA corrected/freigegeben</x:v>
      </x:c>
    </x:row>
    <x:row r="6" ht="26.399999618530273" hidden="0" customHeight="1">
      <x:c r="A6" s="17" t="str">
        <x:v>FP-0175</x:v>
      </x:c>
      <x:c r="B6" s="17" t="str">
        <x:v>a[0]</x:v>
      </x:c>
      <x:c r="C6" s="17" t="str">
        <x:v>Sie hatte Frieden, baute sich auf und wurde mit Trost des Heiligen Geistes erfüllt</x:v>
      </x:c>
      <x:c r="D6" s="17" t="str">
        <x:v>Sie hatte Frieden, baute sich und wandelte in der Furcht des HERRN und mehrte sich durch den Trost des Heiligen Geistes.</x:v>
      </x:c>
      <x:c r="E6" s="17" t="str">
        <x:v>Apg 9,30-31</x:v>
      </x:c>
      <x:c r="F6" s="17" t="str">
        <x:v>N-1738</x:v>
      </x:c>
      <x:c r="G6" s="17" t="str">
        <x:v>MATERIALIZE</x:v>
      </x:c>
      <x:c r="H6" s="17" t="str">
        <x:v>Nachlese final QA corrected/freigegeben</x:v>
      </x:c>
    </x:row>
  </x:sheetData>
  <x:conditionalFormatting sqref="G2:G6">
    <x:cfRule type="expression" dxfId="5" priority="1">
      <x:formula>G2="MATERIALIZE"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2" hidden="0" customWidth="1"/>
    <x:col min="4" max="4" width="14" hidden="0" customWidth="1"/>
    <x:col min="5" max="5" width="12" hidden="0" customWidth="1"/>
    <x:col min="6" max="6" width="12" hidden="0" customWidth="1"/>
    <x:col min="7" max="7" width="45" hidden="0" customWidth="1"/>
    <x:col min="8" max="8" width="48" hidden="0" customWidth="1"/>
  </x:cols>
  <x:sheetData>
    <x:row r="1" ht="28" customHeight="1">
      <x:c r="A1" s="4" t="str">
        <x:v>Kontrollabgleich gegen dokumentierte FaithPath-Merge-Aggregate</x:v>
      </x:c>
      <x:c r="B1" s="4"/>
      <x:c r="C1" s="4"/>
      <x:c r="D1" s="4"/>
      <x:c r="E1" s="4"/>
      <x:c r="F1" s="4"/>
      <x:c r="G1" s="4"/>
      <x:c r="H1" s="4"/>
    </x:row>
    <x:row r="3" ht="15" hidden="0" customHeight="1">
      <x:c r="A3" s="16" t="str">
        <x:v>Block</x:v>
      </x:c>
      <x:c r="B3" s="16" t="str">
        <x:v>Status</x:v>
      </x:c>
      <x:c r="C3" s="16" t="str">
        <x:v>Soll</x:v>
      </x:c>
      <x:c r="D3" s="16" t="str">
        <x:v>Ist (Formel)</x:v>
      </x:c>
      <x:c r="E3" s="16" t="str">
        <x:v>Differenz</x:v>
      </x:c>
      <x:c r="F3" s="16" t="str">
        <x:v>Ergebnis</x:v>
      </x:c>
      <x:c r="G3" s="16" t="str">
        <x:v>Beschreibung</x:v>
      </x:c>
      <x:c r="H3" s="16" t="str">
        <x:v>Hinweis</x:v>
      </x:c>
    </x:row>
    <x:row r="4" ht="26.399999618530273" hidden="0" customHeight="1">
      <x:c r="A4" s="17" t="str">
        <x:v>FP-0001–0100</x:v>
      </x:c>
      <x:c r="B4" s="17" t="str">
        <x:v>EXAKT</x:v>
      </x:c>
      <x:c r="C4" s="17" t="n">
        <x:v>92</x:v>
      </x:c>
      <x:c r="D4" s="17" t="n">
        <x:f>COUNTIFS('FP-N-Mapping'!$B$2:$B$301,A4,'FP-N-Mapping'!$J$2:$J$301,B4)</x:f>
        <x:v>92</x:v>
      </x:c>
      <x:c r="E4" s="17" t="n">
        <x:f>D4-C4</x:f>
        <x:v>0</x:v>
      </x:c>
      <x:c r="F4" s="17" t="str">
        <x:f>IF(D4=C4,"PASS","FAIL")</x:f>
        <x:v>PASS</x:v>
      </x:c>
      <x:c r="G4" s="17" t="str">
        <x:v>Rekonstruiertes Zeilenmapping gegen final dokumentierten Blockstand.</x:v>
      </x:c>
      <x:c r="H4" s="17" t="str">
        <x:v>Originale historische Block-XLSX nicht verfügbar; daher rekonstruiert.</x:v>
      </x:c>
    </x:row>
    <x:row r="5" ht="26.399999618530273" hidden="0" customHeight="1">
      <x:c r="A5" s="17" t="str">
        <x:v>FP-0001–0100</x:v>
      </x:c>
      <x:c r="B5" s="17" t="str">
        <x:v>SINNGLEICH</x:v>
      </x:c>
      <x:c r="C5" s="17" t="n">
        <x:v>5</x:v>
      </x:c>
      <x:c r="D5" s="17" t="n">
        <x:f>COUNTIFS('FP-N-Mapping'!$B$2:$B$301,A5,'FP-N-Mapping'!$J$2:$J$301,B5)</x:f>
        <x:v>5</x:v>
      </x:c>
      <x:c r="E5" s="17" t="n">
        <x:f>D5-C5</x:f>
        <x:v>0</x:v>
      </x:c>
      <x:c r="F5" s="17" t="str">
        <x:f>IF(D5=C5,"PASS","FAIL")</x:f>
        <x:v>PASS</x:v>
      </x:c>
      <x:c r="G5" s="17" t="str">
        <x:v>Rekonstruiertes Zeilenmapping gegen final dokumentierten Blockstand.</x:v>
      </x:c>
      <x:c r="H5" s="17" t="str">
        <x:v>Originale historische Block-XLSX nicht verfügbar; daher rekonstruiert.</x:v>
      </x:c>
    </x:row>
    <x:row r="6" ht="26.399999618530273" hidden="0" customHeight="1">
      <x:c r="A6" s="17" t="str">
        <x:v>FP-0001–0100</x:v>
      </x:c>
      <x:c r="B6" s="17" t="str">
        <x:v>KONFLIKT</x:v>
      </x:c>
      <x:c r="C6" s="17" t="n">
        <x:v>3</x:v>
      </x:c>
      <x:c r="D6" s="17" t="n">
        <x:f>COUNTIFS('FP-N-Mapping'!$B$2:$B$301,A6,'FP-N-Mapping'!$J$2:$J$301,B6)</x:f>
        <x:v>3</x:v>
      </x:c>
      <x:c r="E6" s="17" t="n">
        <x:f>D6-C6</x:f>
        <x:v>0</x:v>
      </x:c>
      <x:c r="F6" s="17" t="str">
        <x:f>IF(D6=C6,"PASS","FAIL")</x:f>
        <x:v>PASS</x:v>
      </x:c>
      <x:c r="G6" s="17" t="str">
        <x:v>Rekonstruiertes Zeilenmapping gegen final dokumentierten Blockstand.</x:v>
      </x:c>
      <x:c r="H6" s="17" t="str">
        <x:v>Originale historische Block-XLSX nicht verfügbar; daher rekonstruiert.</x:v>
      </x:c>
    </x:row>
    <x:row r="7" ht="26.399999618530273" hidden="0" customHeight="1">
      <x:c r="A7" s="17" t="str">
        <x:v>FP-0101–0200</x:v>
      </x:c>
      <x:c r="B7" s="17" t="str">
        <x:v>SINNGLEICH</x:v>
      </x:c>
      <x:c r="C7" s="17" t="n">
        <x:v>57</x:v>
      </x:c>
      <x:c r="D7" s="17" t="n">
        <x:f>COUNTIFS('FP-N-Mapping'!$B$2:$B$301,A7,'FP-N-Mapping'!$J$2:$J$301,B7)</x:f>
        <x:v>57</x:v>
      </x:c>
      <x:c r="E7" s="17" t="n">
        <x:f>D7-C7</x:f>
        <x:v>0</x:v>
      </x:c>
      <x:c r="F7" s="17" t="str">
        <x:f>IF(D7=C7,"PASS","FAIL")</x:f>
        <x:v>PASS</x:v>
      </x:c>
      <x:c r="G7" s="17" t="str">
        <x:v>Rekonstruiertes Zeilenmapping gegen final dokumentierten Blockstand.</x:v>
      </x:c>
      <x:c r="H7" s="17" t="str">
        <x:v>Originale historische Block-XLSX nicht verfügbar; daher rekonstruiert.</x:v>
      </x:c>
    </x:row>
    <x:row r="8" ht="26.399999618530273" hidden="0" customHeight="1">
      <x:c r="A8" s="17" t="str">
        <x:v>FP-0101–0200</x:v>
      </x:c>
      <x:c r="B8" s="17" t="str">
        <x:v>FAITHPATH_ONLY</x:v>
      </x:c>
      <x:c r="C8" s="17" t="n">
        <x:v>42</x:v>
      </x:c>
      <x:c r="D8" s="17" t="n">
        <x:f>COUNTIFS('FP-N-Mapping'!$B$2:$B$301,A8,'FP-N-Mapping'!$J$2:$J$301,B8)</x:f>
        <x:v>42</x:v>
      </x:c>
      <x:c r="E8" s="17" t="n">
        <x:f>D8-C8</x:f>
        <x:v>0</x:v>
      </x:c>
      <x:c r="F8" s="17" t="str">
        <x:f>IF(D8=C8,"PASS","FAIL")</x:f>
        <x:v>PASS</x:v>
      </x:c>
      <x:c r="G8" s="17" t="str">
        <x:v>Rekonstruiertes Zeilenmapping gegen final dokumentierten Blockstand.</x:v>
      </x:c>
      <x:c r="H8" s="17" t="str">
        <x:v>Originale historische Block-XLSX nicht verfügbar; daher rekonstruiert.</x:v>
      </x:c>
    </x:row>
    <x:row r="9" ht="26.399999618530273" hidden="0" customHeight="1">
      <x:c r="A9" s="17" t="str">
        <x:v>FP-0101–0200</x:v>
      </x:c>
      <x:c r="B9" s="17" t="str">
        <x:v>KONFLIKT</x:v>
      </x:c>
      <x:c r="C9" s="17" t="n">
        <x:v>1</x:v>
      </x:c>
      <x:c r="D9" s="17" t="n">
        <x:f>COUNTIFS('FP-N-Mapping'!$B$2:$B$301,A9,'FP-N-Mapping'!$J$2:$J$301,B9)</x:f>
        <x:v>1</x:v>
      </x:c>
      <x:c r="E9" s="17" t="n">
        <x:f>D9-C9</x:f>
        <x:v>0</x:v>
      </x:c>
      <x:c r="F9" s="17" t="str">
        <x:f>IF(D9=C9,"PASS","FAIL")</x:f>
        <x:v>PASS</x:v>
      </x:c>
      <x:c r="G9" s="17" t="str">
        <x:v>Rekonstruiertes Zeilenmapping gegen final dokumentierten Blockstand.</x:v>
      </x:c>
      <x:c r="H9" s="17" t="str">
        <x:v>Originale historische Block-XLSX nicht verfügbar; daher rekonstruiert.</x:v>
      </x:c>
    </x:row>
    <x:row r="10" ht="26.399999618530273" hidden="0" customHeight="1">
      <x:c r="A10" s="17" t="str">
        <x:v>FP-0201–0300</x:v>
      </x:c>
      <x:c r="B10" s="17" t="str">
        <x:v>SINNGLEICH</x:v>
      </x:c>
      <x:c r="C10" s="17" t="n">
        <x:v>16</x:v>
      </x:c>
      <x:c r="D10" s="17" t="n">
        <x:f>COUNTIFS('FP-N-Mapping'!$B$2:$B$301,A10,'FP-N-Mapping'!$J$2:$J$301,B10)</x:f>
        <x:v>16</x:v>
      </x:c>
      <x:c r="E10" s="17" t="n">
        <x:f>D10-C10</x:f>
        <x:v>0</x:v>
      </x:c>
      <x:c r="F10" s="17" t="str">
        <x:f>IF(D10=C10,"PASS","FAIL")</x:f>
        <x:v>PASS</x:v>
      </x:c>
      <x:c r="G10" s="17" t="str">
        <x:v>Rekonstruiertes Zeilenmapping gegen final dokumentierten Blockstand.</x:v>
      </x:c>
      <x:c r="H10" s="17" t="str">
        <x:v>Originale historische Block-XLSX nicht verfügbar; daher rekonstruiert.</x:v>
      </x:c>
    </x:row>
    <x:row r="11" ht="26.399999618530273" hidden="0" customHeight="1">
      <x:c r="A11" s="17" t="str">
        <x:v>FP-0201–0300</x:v>
      </x:c>
      <x:c r="B11" s="17" t="str">
        <x:v>FAITHPATH_ONLY</x:v>
      </x:c>
      <x:c r="C11" s="17" t="n">
        <x:v>84</x:v>
      </x:c>
      <x:c r="D11" s="17" t="n">
        <x:f>COUNTIFS('FP-N-Mapping'!$B$2:$B$301,A11,'FP-N-Mapping'!$J$2:$J$301,B11)</x:f>
        <x:v>84</x:v>
      </x:c>
      <x:c r="E11" s="17" t="n">
        <x:f>D11-C11</x:f>
        <x:v>0</x:v>
      </x:c>
      <x:c r="F11" s="17" t="str">
        <x:f>IF(D11=C11,"PASS","FAIL")</x:f>
        <x:v>PASS</x:v>
      </x:c>
      <x:c r="G11" s="17" t="str">
        <x:v>Rekonstruiertes Zeilenmapping gegen final dokumentierten Blockstand.</x:v>
      </x:c>
      <x:c r="H11" s="17" t="str">
        <x:v>Originale historische Block-XLSX nicht verfügbar; daher rekonstruiert.</x:v>
      </x:c>
    </x:row>
    <x:row r="12" ht="15" hidden="0" customHeight="1">
      <x:c r="A12" s="17"/>
      <x:c r="B12" s="17"/>
      <x:c r="C12" s="17"/>
      <x:c r="D12" s="17"/>
      <x:c r="E12" s="17"/>
      <x:c r="F12" s="17"/>
      <x:c r="G12" s="17"/>
      <x:c r="H12" s="17"/>
    </x:row>
    <x:row r="13" ht="15" hidden="0" customHeight="1">
      <x:c r="A13" s="17" t="str">
        <x:v>Gesamt</x:v>
      </x:c>
      <x:c r="B13" s="17" t="str">
        <x:v>Zeilen</x:v>
      </x:c>
      <x:c r="C13" s="17" t="n">
        <x:v>300</x:v>
      </x:c>
      <x:c r="D13" s="17" t="n">
        <x:f>COUNTA('FP-N-Mapping'!$A$2:$A$301)</x:f>
        <x:v>300</x:v>
      </x:c>
      <x:c r="E13" s="17" t="n">
        <x:f>D13-C13</x:f>
        <x:v>0</x:v>
      </x:c>
      <x:c r="F13" s="17" t="str">
        <x:f>IF(D13=C13,"PASS","FAIL")</x:f>
        <x:v>PASS</x:v>
      </x:c>
      <x:c r="G13" s="17" t="str">
        <x:v>FP-0001–FP-0300 vollständig enthalten.</x:v>
      </x:c>
      <x:c r="H13" s="17" t="str"/>
    </x:row>
  </x:sheetData>
  <x:mergeCells>
    <x:mergeCell ref="A1:H1"/>
  </x:mergeCells>
  <x:conditionalFormatting sqref="F4:F13">
    <x:cfRule type="expression" dxfId="6" priority="1">
      <x:formula>F4="PASS"</x:formula>
    </x:cfRule>
    <x:cfRule type="expression" dxfId="7" priority="2">
      <x:formula>F4="FAIL"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18" hidden="0" customWidth="1"/>
    <x:col min="4" max="4" width="46" hidden="0" customWidth="1"/>
    <x:col min="5" max="5" width="44" hidden="0" customWidth="1"/>
    <x:col min="6" max="6" width="48" hidden="0" customWidth="1"/>
  </x:cols>
  <x:sheetData>
    <x:row r="1" ht="28" customHeight="1">
      <x:c r="A1" s="4" t="str">
        <x:v>Nachlese-Storyquelle – Übergabehinweise</x:v>
      </x:c>
      <x:c r="B1" s="4"/>
      <x:c r="C1" s="4"/>
      <x:c r="D1" s="4"/>
      <x:c r="E1" s="4"/>
      <x:c r="F1" s="4"/>
    </x:row>
    <x:row r="3" ht="15" hidden="0" customHeight="1">
      <x:c r="A3" s="16" t="str">
        <x:v>Feld</x:v>
      </x:c>
      <x:c r="B3" s="16" t="str">
        <x:v>Wert</x:v>
      </x:c>
      <x:c r="C3" s="16" t="str">
        <x:v>Status</x:v>
      </x:c>
      <x:c r="D3" s="16" t="str">
        <x:v>Verwendung</x:v>
      </x:c>
      <x:c r="E3" s="16" t="str">
        <x:v>Datei</x:v>
      </x:c>
      <x:c r="F3" s="16" t="str">
        <x:v>Hinweis</x:v>
      </x:c>
    </x:row>
    <x:row r="4" ht="26.399999618530273" hidden="0" customHeight="1">
      <x:c r="A4" s="17" t="str">
        <x:v>Kanonische Storyquelle</x:v>
      </x:c>
      <x:c r="B4" s="17" t="str">
        <x:v>66 Bücher · 435 Geschichten · 2.314 Verständnisfragen</x:v>
      </x:c>
      <x:c r="C4" s="17" t="str">
        <x:v>VERIFIZIERT</x:v>
      </x:c>
      <x:c r="D4" s="17" t="str">
        <x:v>Codex muss diese Datei zusammen mit diesem Mapping erhalten.</x:v>
      </x:c>
      <x:c r="E4" s="17" t="str">
        <x:v>Nachlese-Fragenkatalog(2).docx</x:v>
      </x:c>
      <x:c r="F4" s="17" t="str">
        <x:v>Diese XLSX ersetzt den Storykatalog nicht.</x:v>
      </x:c>
    </x:row>
    <x:row r="5" ht="15" hidden="0" customHeight="1">
      <x:c r="A5" s="17" t="str">
        <x:v>Kanonische QA</x:v>
      </x:c>
      <x:c r="B5" s="17" t="str">
        <x:v>2.314 final verifiziert · 0 offen</x:v>
      </x:c>
      <x:c r="C5" s="17" t="str">
        <x:v>VERIFIZIERT</x:v>
      </x:c>
      <x:c r="D5" s="17" t="str">
        <x:v>Korrektur-/N-ID-Nachweis</x:v>
      </x:c>
      <x:c r="E5" s="17" t="str">
        <x:v>Nachlese_Prueftabelle_A01_A24_FINAL.xlsx</x:v>
      </x:c>
      <x:c r="F5" s="17" t="str"/>
    </x:row>
    <x:row r="6" ht="26.399999618530273" hidden="0" customHeight="1">
      <x:c r="A6" s="17" t="str">
        <x:v>FaithPath QA</x:v>
      </x:c>
      <x:c r="B6" s="17" t="str">
        <x:v>1.560 final freigegeben · 0 offen</x:v>
      </x:c>
      <x:c r="C6" s="17" t="str">
        <x:v>VERIFIZIERT</x:v>
      </x:c>
      <x:c r="D6" s="17" t="str">
        <x:v>FP-ID-/Block-Nachweis</x:v>
      </x:c>
      <x:c r="E6" s="17" t="str">
        <x:v>FaithPath_GESAMT_Fragen_Pruefkatalog_FP0001-1560.pdf</x:v>
      </x:c>
      <x:c r="F6" s="17" t="str"/>
    </x:row>
    <x:row r="7" ht="15" hidden="0" customHeight="1">
      <x:c r="A7" s="17"/>
      <x:c r="B7" s="17"/>
      <x:c r="C7" s="17"/>
      <x:c r="D7" s="17"/>
      <x:c r="E7" s="17"/>
      <x:c r="F7" s="17"/>
    </x:row>
    <x:row r="8" ht="15" hidden="0" customHeight="1">
      <x:c r="A8" s="16" t="str">
        <x:v>N-ID-Bereich</x:v>
      </x:c>
      <x:c r="B8" s="16" t="str">
        <x:v>Storytitel</x:v>
      </x:c>
      <x:c r="C8" s="16" t="str">
        <x:v>Bibelspanne</x:v>
      </x:c>
      <x:c r="D8" s="17"/>
      <x:c r="E8" s="16" t="str">
        <x:v>Hinweis</x:v>
      </x:c>
      <x:c r="F8" s="16" t="str">
        <x:v>Bedeutung</x:v>
      </x:c>
    </x:row>
    <x:row r="9" ht="39.599998474121094" hidden="0" customHeight="1">
      <x:c r="A9" s="17" t="str">
        <x:v>N-1439–N-1443</x:v>
      </x:c>
      <x:c r="B9" s="17" t="str">
        <x:v>Nicht zum Kaufhause</x:v>
      </x:c>
      <x:c r="C9" s="17" t="str">
        <x:v>Johannes 2,13–25</x:v>
      </x:c>
      <x:c r="D9" s="17"/>
      <x:c r="E9" s="17" t="str">
        <x:v>Rekonstruktion</x:v>
      </x:c>
      <x:c r="F9" s="17" t="str">
        <x:v>Diese acht Storys lagen in einem Retrieval-Zwischenraum und wurden aus dem finalen Nachlese-Katalog/QA wieder eindeutig hergestellt.</x:v>
      </x:c>
    </x:row>
    <x:row r="10" ht="26.399999618530273" hidden="0" customHeight="1">
      <x:c r="A10" s="17" t="str">
        <x:v>N-1444–N-1449</x:v>
      </x:c>
      <x:c r="B10" s="17" t="str">
        <x:v>Von neuem geboren</x:v>
      </x:c>
      <x:c r="C10" s="17" t="str">
        <x:v>Johannes 3,1–21</x:v>
      </x:c>
      <x:c r="D10" s="17"/>
      <x:c r="E10" s="17" t="str">
        <x:v>435 Storys</x:v>
      </x:c>
      <x:c r="F10" s="17" t="str">
        <x:v>Für die vollständigen 435 Storydefinitionen ist weiterhin die originale DOCX die Source of Truth.</x:v>
      </x:c>
    </x:row>
    <x:row r="11" ht="26.399999618530273" hidden="0" customHeight="1">
      <x:c r="A11" s="17" t="str">
        <x:v>N-1450–N-1455</x:v>
      </x:c>
      <x:c r="B11" s="17" t="str">
        <x:v>Er muss wachsen</x:v>
      </x:c>
      <x:c r="C11" s="17" t="str">
        <x:v>Johannes 3,22–36</x:v>
      </x:c>
      <x:c r="D11" s="17"/>
      <x:c r="E11" s="17" t="str">
        <x:v>Nicht raten</x:v>
      </x:c>
      <x:c r="F11" s="17" t="str">
        <x:v>Falls Codex eine Zuordnung nicht gegen DOCX + N-ID verifizieren kann: REVIEW statt automatischem Write.</x:v>
      </x:c>
    </x:row>
    <x:row r="12" ht="15" hidden="0" customHeight="1">
      <x:c r="A12" s="17" t="str">
        <x:v>N-1456–N-1461</x:v>
      </x:c>
      <x:c r="B12" s="17" t="str">
        <x:v>Jakobs Brunnen</x:v>
      </x:c>
      <x:c r="C12" s="17" t="str">
        <x:v>Johannes 4,1–42</x:v>
      </x:c>
      <x:c r="D12" s="17"/>
      <x:c r="E12" s="17"/>
      <x:c r="F12" s="17"/>
    </x:row>
    <x:row r="13" ht="15" hidden="0" customHeight="1">
      <x:c r="A13" s="17" t="str">
        <x:v>N-1462–N-1467</x:v>
      </x:c>
      <x:c r="B13" s="17" t="str">
        <x:v>Dein Sohn lebt</x:v>
      </x:c>
      <x:c r="C13" s="17" t="str">
        <x:v>Johannes 4,43–54</x:v>
      </x:c>
      <x:c r="D13" s="17"/>
      <x:c r="E13" s="17"/>
      <x:c r="F13" s="17"/>
    </x:row>
    <x:row r="14" ht="15" hidden="0" customHeight="1">
      <x:c r="A14" s="17" t="str">
        <x:v>N-1468–N-1473</x:v>
      </x:c>
      <x:c r="B14" s="17" t="str">
        <x:v>Der Teich Bethesda</x:v>
      </x:c>
      <x:c r="C14" s="17" t="str">
        <x:v>Johannes 5,1–18</x:v>
      </x:c>
      <x:c r="D14" s="17"/>
      <x:c r="E14" s="17"/>
      <x:c r="F14" s="17"/>
    </x:row>
    <x:row r="15" ht="15" hidden="0" customHeight="1">
      <x:c r="A15" s="17" t="str">
        <x:v>N-1474–N-1479</x:v>
      </x:c>
      <x:c r="B15" s="17" t="str">
        <x:v>Vom Tode zum Leben</x:v>
      </x:c>
      <x:c r="C15" s="17" t="str">
        <x:v>Johannes 5,19–47</x:v>
      </x:c>
      <x:c r="D15" s="17"/>
      <x:c r="E15" s="17"/>
      <x:c r="F15" s="17"/>
    </x:row>
    <x:row r="16" ht="15" hidden="0" customHeight="1">
      <x:c r="A16" s="17" t="str">
        <x:v>N-1480–N-1485</x:v>
      </x:c>
      <x:c r="B16" s="17" t="str">
        <x:v>Fünf Gerstenbrote</x:v>
      </x:c>
      <x:c r="C16" s="17" t="str">
        <x:v>Johannes 6,1–21</x:v>
      </x:c>
      <x:c r="D16" s="17"/>
      <x:c r="E16" s="17"/>
      <x:c r="F16" s="17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70" hidden="0" customWidth="1"/>
    <x:col min="3" max="3" width="12" hidden="0" customWidth="1"/>
    <x:col min="4" max="4" width="44" hidden="0" customWidth="1"/>
  </x:cols>
  <x:sheetData>
    <x:row r="1" ht="28" customHeight="1">
      <x:c r="A1" s="4" t="str">
        <x:v>Codex – Ausführungsregeln nach Übergabe dieser Datei</x:v>
      </x:c>
      <x:c r="B1" s="4"/>
      <x:c r="C1" s="4"/>
      <x:c r="D1" s="4"/>
    </x:row>
    <x:row r="3" ht="15" hidden="0" customHeight="1">
      <x:c r="A3" s="16" t="str">
        <x:v>Nr.</x:v>
      </x:c>
      <x:c r="B3" s="16" t="str">
        <x:v>Regel</x:v>
      </x:c>
      <x:c r="C3" s="16" t="str">
        <x:v>Pflicht</x:v>
      </x:c>
      <x:c r="D3" s="16" t="str">
        <x:v>Ergebnis</x:v>
      </x:c>
    </x:row>
    <x:row r="4" ht="26.399999618530273" hidden="0" customHeight="1">
      <x:c r="A4" s="17" t="n">
        <x:v>1</x:v>
      </x:c>
      <x:c r="B4" s="17" t="str">
        <x:v>Lade diese XLSX, den finalen FaithPath-Prüfkatalog und Nachlese-Fragenkatalog(2).docx gemeinsam.</x:v>
      </x:c>
      <x:c r="C4" s="17" t="str">
        <x:v>JA</x:v>
      </x:c>
      <x:c r="D4" s="17" t="str">
        <x:v>Keine Quelle isoliert interpretieren.</x:v>
      </x:c>
    </x:row>
    <x:row r="5" ht="26.399999618530273" hidden="0" customHeight="1">
      <x:c r="A5" s="17" t="n">
        <x:v>2</x:v>
      </x:c>
      <x:c r="B5" s="17" t="str">
        <x:v>Verifiziere jede Zeile mit Match_Status EXAKT/SINNGLEICH/KONFLIKT gegen FP- und N-Quelle.</x:v>
      </x:c>
      <x:c r="C5" s="17" t="str">
        <x:v>JA</x:v>
      </x:c>
      <x:c r="D5" s="17" t="str">
        <x:v>Rekonstruktion wird source-bound.</x:v>
      </x:c>
    </x:row>
    <x:row r="6" ht="26.399999618530273" hidden="0" customHeight="1">
      <x:c r="A6" s="17" t="n">
        <x:v>3</x:v>
      </x:c>
      <x:c r="B6" s="17" t="str">
        <x:v>Materialisiere die fünf Feldänderungen aus Finale-Feldwerte nur bei exakter Locator-/ID-Übereinstimmung.</x:v>
      </x:c>
      <x:c r="C6" s="17" t="str">
        <x:v>JA</x:v>
      </x:c>
      <x:c r="D6" s="17" t="str">
        <x:v>Vier historische Konfliktfälle werden konkret aufgelöst.</x:v>
      </x:c>
    </x:row>
    <x:row r="7" ht="15" hidden="0" customHeight="1">
      <x:c r="A7" s="17" t="n">
        <x:v>4</x:v>
      </x:c>
      <x:c r="B7" s="17" t="str">
        <x:v>FP-0301–FP-1560 bleibt Kapitelquiz und außerhalb des normalen Story-Merges.</x:v>
      </x:c>
      <x:c r="C7" s="17" t="str">
        <x:v>JA</x:v>
      </x:c>
      <x:c r="D7" s="17" t="str">
        <x:v>Keine Vermischung.</x:v>
      </x:c>
    </x:row>
    <x:row r="8" ht="15" hidden="0" customHeight="1">
      <x:c r="A8" s="17" t="n">
        <x:v>5</x:v>
      </x:c>
      <x:c r="B8" s="17" t="str">
        <x:v>N-IDs und FP-IDs erhalten; Provenienz bei kombinierten Storys speichern.</x:v>
      </x:c>
      <x:c r="C8" s="17" t="str">
        <x:v>JA</x:v>
      </x:c>
      <x:c r="D8" s="17" t="str">
        <x:v>Auditierbarkeit.</x:v>
      </x:c>
    </x:row>
    <x:row r="9" ht="15" hidden="0" customHeight="1">
      <x:c r="A9" s="17" t="n">
        <x:v>6</x:v>
      </x:c>
      <x:c r="B9" s="17" t="str">
        <x:v>MEDIUM-Mappings vor Write zusätzlich in der DOCX prüfen; bei Abweichung REVIEW.</x:v>
      </x:c>
      <x:c r="C9" s="17" t="str">
        <x:v>JA</x:v>
      </x:c>
      <x:c r="D9" s="17" t="str">
        <x:v>Kein blindes Mergen.</x:v>
      </x:c>
    </x:row>
    <x:row r="10" ht="15" hidden="0" customHeight="1">
      <x:c r="A10" s="17" t="n">
        <x:v>7</x:v>
      </x:c>
      <x:c r="B10" s="17" t="str">
        <x:v>Nach Umsetzung Validator + Preflight neu erzeugen.</x:v>
      </x:c>
      <x:c r="C10" s="17" t="str">
        <x:v>JA</x:v>
      </x:c>
      <x:c r="D10" s="17" t="str">
        <x:v>Release-Gate erst nach Null-Blockern.</x:v>
      </x:c>
    </x:row>
    <x:row r="11" ht="15" hidden="0" customHeight="1">
      <x:c r="A11" s="17" t="n">
        <x:v>8</x:v>
      </x:c>
      <x:c r="B11" s="17" t="str">
        <x:v>Kein Merge nach main und kein Production-Deploy ohne separate Freigabe.</x:v>
      </x:c>
      <x:c r="C11" s="17" t="str">
        <x:v>JA</x:v>
      </x:c>
      <x:c r="D11" s="17" t="str">
        <x:v>Nur READY_FOR_RELEASE_GATE.</x:v>
      </x:c>
    </x:row>
  </x:sheetData>
  <x:mergeCells>
    <x:mergeCell ref="A1:D1"/>
  </x:mergeCells>
  <x:pageMargins left="0.7" right="0.7" top="0.75" bottom="0.75" header="0.3" footer="0.3"/>
</x:worksheet>
</file>